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1FC79CEF-E110-4354-B30A-69DE0E121D6A}" xr6:coauthVersionLast="47" xr6:coauthVersionMax="47" xr10:uidLastSave="{00000000-0000-0000-0000-000000000000}"/>
  <bookViews>
    <workbookView xWindow="46185" yWindow="0" windowWidth="26010" windowHeight="20985" xr2:uid="{00000000-000D-0000-FFFF-FFFF00000000}"/>
  </bookViews>
  <sheets>
    <sheet name="Main" sheetId="1" r:id="rId1"/>
    <sheet name="Sheet2" sheetId="2" r:id="rId2"/>
  </sheets>
  <definedNames>
    <definedName name="_xlnm._FilterDatabase" localSheetId="0" hidden="1">Main!$A$1:$AG$4190</definedName>
    <definedName name="_xlnm._FilterDatabase" localSheetId="1" hidden="1">Sheet2!$A$1:$E$3145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190" i="1" l="1"/>
  <c r="AG4189" i="1"/>
  <c r="AG4188" i="1"/>
  <c r="AG4187" i="1"/>
  <c r="AG4186" i="1"/>
  <c r="AG4185" i="1"/>
  <c r="AG4184" i="1"/>
  <c r="AG4183" i="1"/>
  <c r="AG4182" i="1"/>
  <c r="AG4181" i="1"/>
  <c r="AG4180" i="1"/>
  <c r="AG4179" i="1"/>
  <c r="AG4178" i="1"/>
  <c r="AG4177" i="1"/>
  <c r="AG4176" i="1"/>
  <c r="AG4175" i="1"/>
  <c r="AG4174" i="1"/>
  <c r="AG4173" i="1"/>
  <c r="AG4172" i="1"/>
  <c r="AG4171" i="1"/>
  <c r="AG4170" i="1"/>
  <c r="AG4169" i="1"/>
  <c r="AG4168" i="1"/>
  <c r="AG4167" i="1"/>
  <c r="AG4166" i="1"/>
  <c r="AG4165" i="1"/>
  <c r="AG4164" i="1"/>
  <c r="AG4163" i="1"/>
  <c r="AG4162" i="1"/>
  <c r="AG4161" i="1"/>
  <c r="AG4160" i="1"/>
  <c r="AG4159" i="1"/>
  <c r="AG4158" i="1"/>
  <c r="AG4157" i="1"/>
  <c r="AG4156" i="1"/>
  <c r="AG4155" i="1"/>
  <c r="AG4154" i="1"/>
  <c r="AG4153" i="1"/>
  <c r="AG4152" i="1"/>
  <c r="AG4151" i="1"/>
  <c r="AG4150" i="1"/>
  <c r="AG4149" i="1"/>
  <c r="AG4148" i="1"/>
  <c r="AG4147" i="1"/>
  <c r="AG4146" i="1"/>
  <c r="AG4145" i="1"/>
  <c r="AG4144" i="1"/>
  <c r="AG4143" i="1"/>
  <c r="AG4142" i="1"/>
  <c r="AG4141" i="1"/>
  <c r="AG4140" i="1"/>
  <c r="AG4139" i="1"/>
  <c r="AG4138" i="1"/>
  <c r="AG4137" i="1"/>
  <c r="AG4136" i="1"/>
  <c r="AG4135" i="1"/>
  <c r="AG4134" i="1"/>
  <c r="AG4133" i="1"/>
  <c r="AG4132" i="1"/>
  <c r="AG4131" i="1"/>
  <c r="AG4130" i="1"/>
  <c r="AG4129" i="1"/>
  <c r="AG4128" i="1"/>
  <c r="AG4127" i="1"/>
  <c r="AG4126" i="1"/>
  <c r="AG4125" i="1"/>
  <c r="AG4124" i="1"/>
  <c r="AG4123" i="1"/>
  <c r="AG4122" i="1"/>
  <c r="AG4121" i="1"/>
  <c r="AG4120" i="1"/>
  <c r="AG4119" i="1"/>
  <c r="AG4118" i="1"/>
  <c r="AG4117" i="1"/>
  <c r="AG4116" i="1"/>
  <c r="AG4115" i="1"/>
  <c r="AG4114" i="1"/>
  <c r="AG4113" i="1"/>
  <c r="AG4112" i="1"/>
  <c r="AG4111" i="1"/>
  <c r="AG4110" i="1"/>
  <c r="AG4109" i="1"/>
  <c r="AG4108" i="1"/>
  <c r="AG4107" i="1"/>
  <c r="AG4106" i="1"/>
  <c r="AG4105" i="1"/>
  <c r="AG4104" i="1"/>
  <c r="AG4103" i="1"/>
  <c r="AG4102" i="1"/>
  <c r="AG4101" i="1"/>
  <c r="AG4100" i="1"/>
  <c r="AG4099" i="1"/>
  <c r="AG4098" i="1"/>
  <c r="AG4097" i="1"/>
  <c r="AG4096" i="1"/>
  <c r="AG4095" i="1"/>
  <c r="AG4094" i="1"/>
  <c r="AG4093" i="1"/>
  <c r="AG4092" i="1"/>
  <c r="AG4091" i="1"/>
  <c r="AG4090" i="1"/>
  <c r="AG4089" i="1"/>
  <c r="AG4088" i="1"/>
  <c r="AG4087" i="1"/>
  <c r="AG4086" i="1"/>
  <c r="AG4085" i="1"/>
  <c r="AG4084" i="1"/>
  <c r="AG4083" i="1"/>
  <c r="AG4082" i="1"/>
  <c r="AG4081" i="1"/>
  <c r="AG4080" i="1"/>
  <c r="AG4079" i="1"/>
  <c r="AG4078" i="1"/>
  <c r="AG4077" i="1"/>
  <c r="AG4076" i="1"/>
  <c r="AG4075" i="1"/>
  <c r="AG4074" i="1"/>
  <c r="AG4073" i="1"/>
  <c r="AG4072" i="1"/>
  <c r="AG4071" i="1"/>
  <c r="AG4070" i="1"/>
  <c r="AG4069" i="1"/>
  <c r="AG4068" i="1"/>
  <c r="AG4067" i="1"/>
  <c r="AG4066" i="1"/>
  <c r="AG4065" i="1"/>
  <c r="AG4064" i="1"/>
  <c r="AG4063" i="1"/>
  <c r="AG4062" i="1"/>
  <c r="AG4061" i="1"/>
  <c r="AG4060" i="1"/>
  <c r="AG4059" i="1"/>
  <c r="AG4058" i="1"/>
  <c r="AG4057" i="1"/>
  <c r="AG4056" i="1"/>
  <c r="AG4055" i="1"/>
  <c r="AG4054" i="1"/>
  <c r="AG4053" i="1"/>
  <c r="AG4052" i="1"/>
  <c r="AG4051" i="1"/>
  <c r="AG4050" i="1"/>
  <c r="AG4049" i="1"/>
  <c r="AG4048" i="1"/>
  <c r="AG4047" i="1"/>
  <c r="AG4046" i="1"/>
  <c r="AG4045" i="1"/>
  <c r="AG4044" i="1"/>
  <c r="AG4043" i="1"/>
  <c r="AG4042" i="1"/>
  <c r="AG4041" i="1"/>
  <c r="AG4040" i="1"/>
  <c r="AG4039" i="1"/>
  <c r="AG4038" i="1"/>
  <c r="AG4037" i="1"/>
  <c r="AG4036" i="1"/>
  <c r="AG4035" i="1"/>
  <c r="AG4034" i="1"/>
  <c r="AG4033" i="1"/>
  <c r="AG4032" i="1"/>
  <c r="AG4031" i="1"/>
  <c r="AG4030" i="1"/>
  <c r="AG4029" i="1"/>
  <c r="AG4028" i="1"/>
  <c r="AG4027" i="1"/>
  <c r="AG4026" i="1"/>
  <c r="AG4025" i="1"/>
  <c r="AG4024" i="1"/>
  <c r="AG4023" i="1"/>
  <c r="AG4022" i="1"/>
  <c r="AG4021" i="1"/>
  <c r="AG4020" i="1"/>
  <c r="AG4019" i="1"/>
  <c r="AG4018" i="1"/>
  <c r="AG4017" i="1"/>
  <c r="AG4016" i="1"/>
  <c r="AG4015" i="1"/>
  <c r="AG4014" i="1"/>
  <c r="AG4013" i="1"/>
  <c r="AG4012" i="1"/>
  <c r="AG4011" i="1"/>
  <c r="AG4010" i="1"/>
  <c r="AG4009" i="1"/>
  <c r="AG4008" i="1"/>
  <c r="AG4007" i="1"/>
  <c r="AG4006" i="1"/>
  <c r="AG4005" i="1"/>
  <c r="AG4004" i="1"/>
  <c r="AG4003" i="1"/>
  <c r="AG4002" i="1"/>
  <c r="AG4001" i="1"/>
  <c r="AG4000" i="1"/>
  <c r="AG3999" i="1"/>
  <c r="AG3998" i="1"/>
  <c r="AG3997" i="1"/>
  <c r="AG3996" i="1"/>
  <c r="AG3995" i="1"/>
  <c r="AG3994" i="1"/>
  <c r="AG3993" i="1"/>
  <c r="AG3992" i="1"/>
  <c r="AG3991" i="1"/>
  <c r="AG3990" i="1"/>
  <c r="AG3989" i="1"/>
  <c r="AG3988" i="1"/>
  <c r="AG3987" i="1"/>
  <c r="AG3986" i="1"/>
  <c r="AG3985" i="1"/>
  <c r="AG3984" i="1"/>
  <c r="AG3983" i="1"/>
  <c r="AG3982" i="1"/>
  <c r="AG3981" i="1"/>
  <c r="AG3980" i="1"/>
  <c r="AG3979" i="1"/>
  <c r="AG3978" i="1"/>
  <c r="AG3977" i="1"/>
  <c r="AG3976" i="1"/>
  <c r="AG3975" i="1"/>
  <c r="AG3974" i="1"/>
  <c r="AG3973" i="1"/>
  <c r="AG3972" i="1"/>
  <c r="AG3971" i="1"/>
  <c r="AG3970" i="1"/>
  <c r="AG3969" i="1"/>
  <c r="AG3968" i="1"/>
  <c r="AG3967" i="1"/>
  <c r="AG3966" i="1"/>
  <c r="AG3965" i="1"/>
  <c r="AG3964" i="1"/>
  <c r="AG3963" i="1"/>
  <c r="AG3962" i="1"/>
  <c r="AG3961" i="1"/>
  <c r="AG3960" i="1"/>
  <c r="AG3959" i="1"/>
  <c r="AG3958" i="1"/>
  <c r="AG3957" i="1"/>
  <c r="AG3956" i="1"/>
  <c r="AG3955" i="1"/>
  <c r="AG3954" i="1"/>
  <c r="AG3953" i="1"/>
  <c r="AG3952" i="1"/>
  <c r="AG3951" i="1"/>
  <c r="AG3950" i="1"/>
  <c r="AG3949" i="1"/>
  <c r="AG3948" i="1"/>
  <c r="AG3947" i="1"/>
  <c r="AG3946" i="1"/>
  <c r="AG3945" i="1"/>
  <c r="AG3944" i="1"/>
  <c r="AG3943" i="1"/>
  <c r="AG3942" i="1"/>
  <c r="AG3941" i="1"/>
  <c r="AG3940" i="1"/>
  <c r="AG3939" i="1"/>
  <c r="AG3938" i="1"/>
  <c r="AG3937" i="1"/>
  <c r="AG3936" i="1"/>
  <c r="AG3935" i="1"/>
  <c r="AG3934" i="1"/>
  <c r="AG3933" i="1"/>
  <c r="AG3932" i="1"/>
  <c r="AG3931" i="1"/>
  <c r="AG3930" i="1"/>
  <c r="AG3929" i="1"/>
  <c r="AG3928" i="1"/>
  <c r="AG3927" i="1"/>
  <c r="AG3926" i="1"/>
  <c r="AG3925" i="1"/>
  <c r="AG3924" i="1"/>
  <c r="AG3923" i="1"/>
  <c r="AG3922" i="1"/>
  <c r="AG3921" i="1"/>
  <c r="AG3920" i="1"/>
  <c r="AG3919" i="1"/>
  <c r="AG3918" i="1"/>
  <c r="AG3917" i="1"/>
  <c r="AG3916" i="1"/>
  <c r="AG3915" i="1"/>
  <c r="AG3914" i="1"/>
  <c r="AG3913" i="1"/>
  <c r="AG3912" i="1"/>
  <c r="AG3911" i="1"/>
  <c r="AG3910" i="1"/>
  <c r="AG3909" i="1"/>
  <c r="AG3908" i="1"/>
  <c r="AG3907" i="1"/>
  <c r="AG3906" i="1"/>
  <c r="AG3905" i="1"/>
  <c r="AG3904" i="1"/>
  <c r="AG3903" i="1"/>
  <c r="AG3902" i="1"/>
  <c r="AG3901" i="1"/>
  <c r="AG3900" i="1"/>
  <c r="AG3899" i="1"/>
  <c r="AG3898" i="1"/>
  <c r="AG3897" i="1"/>
  <c r="AG3896" i="1"/>
  <c r="AG3895" i="1"/>
  <c r="AG3894" i="1"/>
  <c r="AG3893" i="1"/>
  <c r="AG3892" i="1"/>
  <c r="AG3891" i="1"/>
  <c r="AG3890" i="1"/>
  <c r="AG3889" i="1"/>
  <c r="AG3888" i="1"/>
  <c r="AG3887" i="1"/>
  <c r="AG3886" i="1"/>
  <c r="AG3885" i="1"/>
  <c r="AG3884" i="1"/>
  <c r="AG3883" i="1"/>
  <c r="AG3882" i="1"/>
  <c r="AG3881" i="1"/>
  <c r="AG3880" i="1"/>
  <c r="AG3879" i="1"/>
  <c r="AG3878" i="1"/>
  <c r="AG3877" i="1"/>
  <c r="AG3876" i="1"/>
  <c r="AG3875" i="1"/>
  <c r="AG3874" i="1"/>
  <c r="AG3873" i="1"/>
  <c r="AG3872" i="1"/>
  <c r="AG3871" i="1"/>
  <c r="AG3870" i="1"/>
  <c r="AG3869" i="1"/>
  <c r="AG3868" i="1"/>
  <c r="AG3867" i="1"/>
  <c r="AG3866" i="1"/>
  <c r="AG3865" i="1"/>
  <c r="AG3864" i="1"/>
  <c r="AG3863" i="1"/>
  <c r="AG3862" i="1"/>
  <c r="AG3861" i="1"/>
  <c r="AG3860" i="1"/>
  <c r="AG3859" i="1"/>
  <c r="AG3858" i="1"/>
  <c r="AG3857" i="1"/>
  <c r="AG3856" i="1"/>
  <c r="AG3855" i="1"/>
  <c r="AG3854" i="1"/>
  <c r="AG3853" i="1"/>
  <c r="AG3852" i="1"/>
  <c r="AG3851" i="1"/>
  <c r="AG3850" i="1"/>
  <c r="AG3849" i="1"/>
  <c r="AG3848" i="1"/>
  <c r="AG3847" i="1"/>
  <c r="AG3846" i="1"/>
  <c r="AG3845" i="1"/>
  <c r="AG3844" i="1"/>
  <c r="AG3843" i="1"/>
  <c r="AG3842" i="1"/>
  <c r="AG3841" i="1"/>
  <c r="AG3840" i="1"/>
  <c r="AG3839" i="1"/>
  <c r="AG3838" i="1"/>
  <c r="AG3837" i="1"/>
  <c r="AG3836" i="1"/>
  <c r="AG3835" i="1"/>
  <c r="AG3834" i="1"/>
  <c r="AG3833" i="1"/>
  <c r="AG3832" i="1"/>
  <c r="AG3831" i="1"/>
  <c r="AG3830" i="1"/>
  <c r="AG3829" i="1"/>
  <c r="AG3828" i="1"/>
  <c r="AG3827" i="1"/>
  <c r="AG3826" i="1"/>
  <c r="AG3825" i="1"/>
  <c r="AG3824" i="1"/>
  <c r="AG3823" i="1"/>
  <c r="AG3822" i="1"/>
  <c r="AG3821" i="1"/>
  <c r="AG3820" i="1"/>
  <c r="AG3819" i="1"/>
  <c r="AG3818" i="1"/>
  <c r="AG3817" i="1"/>
  <c r="AG3816" i="1"/>
  <c r="AG3815" i="1"/>
  <c r="AG3814" i="1"/>
  <c r="AG3813" i="1"/>
  <c r="AG3812" i="1"/>
  <c r="AG3811" i="1"/>
  <c r="AG3810" i="1"/>
  <c r="AG3809" i="1"/>
  <c r="AG3808" i="1"/>
  <c r="AG3807" i="1"/>
  <c r="AG3806" i="1"/>
  <c r="AG3805" i="1"/>
  <c r="AG3804" i="1"/>
  <c r="AG3803" i="1"/>
  <c r="AG3802" i="1"/>
  <c r="AG3801" i="1"/>
  <c r="AG3800" i="1"/>
  <c r="AG3799" i="1"/>
  <c r="AG3798" i="1"/>
  <c r="AG3797" i="1"/>
  <c r="AG3796" i="1"/>
  <c r="AG3795" i="1"/>
  <c r="AG3794" i="1"/>
  <c r="AG3793" i="1"/>
  <c r="AG3792" i="1"/>
  <c r="AG3791" i="1"/>
  <c r="AG3790" i="1"/>
  <c r="AG3789" i="1"/>
  <c r="AG3788" i="1"/>
  <c r="AG3787" i="1"/>
  <c r="AG3786" i="1"/>
  <c r="AG3785" i="1"/>
  <c r="AG3784" i="1"/>
  <c r="AG3783" i="1"/>
  <c r="AG3782" i="1"/>
  <c r="AG3781" i="1"/>
  <c r="AG3780" i="1"/>
  <c r="AG3779" i="1"/>
  <c r="AG3778" i="1"/>
  <c r="AG3777" i="1"/>
  <c r="AG3776" i="1"/>
  <c r="AG3775" i="1"/>
  <c r="AG3774" i="1"/>
  <c r="AG3773" i="1"/>
  <c r="AG3772" i="1"/>
  <c r="AG3771" i="1"/>
  <c r="AG3770" i="1"/>
  <c r="AG3769" i="1"/>
  <c r="AG3768" i="1"/>
  <c r="AG3767" i="1"/>
  <c r="AG3766" i="1"/>
  <c r="AG3765" i="1"/>
  <c r="AG3764" i="1"/>
  <c r="AG3763" i="1"/>
  <c r="AG3762" i="1"/>
  <c r="AG3761" i="1"/>
  <c r="AG3760" i="1"/>
  <c r="AG3759" i="1"/>
  <c r="AG3758" i="1"/>
  <c r="AG3757" i="1"/>
  <c r="AG3756" i="1"/>
  <c r="AG3755" i="1"/>
  <c r="AG3754" i="1"/>
  <c r="AG3753" i="1"/>
  <c r="AG3752" i="1"/>
  <c r="AG3751" i="1"/>
  <c r="AG3750" i="1"/>
  <c r="AG3749" i="1"/>
  <c r="AG3748" i="1"/>
  <c r="AG3747" i="1"/>
  <c r="AG3746" i="1"/>
  <c r="AG3745" i="1"/>
  <c r="AG3744" i="1"/>
  <c r="AG3743" i="1"/>
  <c r="AG3742" i="1"/>
  <c r="AG3741" i="1"/>
  <c r="AG3740" i="1"/>
  <c r="AG3739" i="1"/>
  <c r="AG3738" i="1"/>
  <c r="AG3737" i="1"/>
  <c r="AG3736" i="1"/>
  <c r="AG3735" i="1"/>
  <c r="AG3734" i="1"/>
  <c r="AG3733" i="1"/>
  <c r="AG3732" i="1"/>
  <c r="AG3731" i="1"/>
  <c r="AG3730" i="1"/>
  <c r="AG3729" i="1"/>
  <c r="AG3728" i="1"/>
  <c r="AG3727" i="1"/>
  <c r="AG3726" i="1"/>
  <c r="AG3725" i="1"/>
  <c r="AG3724" i="1"/>
  <c r="AG3723" i="1"/>
  <c r="AG3722" i="1"/>
  <c r="AG3721" i="1"/>
  <c r="AG3720" i="1"/>
  <c r="AG3719" i="1"/>
  <c r="AG3718" i="1"/>
  <c r="AG3717" i="1"/>
  <c r="AG3716" i="1"/>
  <c r="AG3715" i="1"/>
  <c r="AG3714" i="1"/>
  <c r="AG3713" i="1"/>
  <c r="AG3712" i="1"/>
  <c r="AG3711" i="1"/>
  <c r="AG3710" i="1"/>
  <c r="AG3709" i="1"/>
  <c r="AG3708" i="1"/>
  <c r="AG3707" i="1"/>
  <c r="AG3706" i="1"/>
  <c r="AG3705" i="1"/>
  <c r="AG3704" i="1"/>
  <c r="AG3703" i="1"/>
  <c r="AG3702" i="1"/>
  <c r="AG3701" i="1"/>
  <c r="AG3700" i="1"/>
  <c r="AG3699" i="1"/>
  <c r="AG3698" i="1"/>
  <c r="AG3697" i="1"/>
  <c r="AG3696" i="1"/>
  <c r="AG3695" i="1"/>
  <c r="AG3694" i="1"/>
  <c r="AG3693" i="1"/>
  <c r="AG3692" i="1"/>
  <c r="AG3691" i="1"/>
  <c r="AG3690" i="1"/>
  <c r="AG3689" i="1"/>
  <c r="AG3688" i="1"/>
  <c r="AG3687" i="1"/>
  <c r="AG3686" i="1"/>
  <c r="AG3685" i="1"/>
  <c r="AG3684" i="1"/>
  <c r="AG3683" i="1"/>
  <c r="AG3682" i="1"/>
  <c r="AG3681" i="1"/>
  <c r="AG3680" i="1"/>
  <c r="AG3679" i="1"/>
  <c r="AG3678" i="1"/>
  <c r="AG3677" i="1"/>
  <c r="AG3676" i="1"/>
  <c r="AG3675" i="1"/>
  <c r="AG3674" i="1"/>
  <c r="AG3673" i="1"/>
  <c r="AG3672" i="1"/>
  <c r="AG3671" i="1"/>
  <c r="AG3670" i="1"/>
  <c r="AG3669" i="1"/>
  <c r="AG3668" i="1"/>
  <c r="AG3667" i="1"/>
  <c r="AG3666" i="1"/>
  <c r="AG3665" i="1"/>
  <c r="AG3664" i="1"/>
  <c r="AG3663" i="1"/>
  <c r="AG3662" i="1"/>
  <c r="AG3661" i="1"/>
  <c r="AG3660" i="1"/>
  <c r="AG3659" i="1"/>
  <c r="AG3658" i="1"/>
  <c r="AG3657" i="1"/>
  <c r="AG3656" i="1"/>
  <c r="AG3655" i="1"/>
  <c r="AG3654" i="1"/>
  <c r="AG3653" i="1"/>
  <c r="AG3652" i="1"/>
  <c r="AG3651" i="1"/>
  <c r="AG3650" i="1"/>
  <c r="AG3649" i="1"/>
  <c r="AG3648" i="1"/>
  <c r="AG3647" i="1"/>
  <c r="AG3646" i="1"/>
  <c r="AG3645" i="1"/>
  <c r="AG3644" i="1"/>
  <c r="AG3643" i="1"/>
  <c r="AG3642" i="1"/>
  <c r="AG3641" i="1"/>
  <c r="AG3640" i="1"/>
  <c r="AG3639" i="1"/>
  <c r="AG3638" i="1"/>
  <c r="AG3637" i="1"/>
  <c r="AG3636" i="1"/>
  <c r="AG3635" i="1"/>
  <c r="AG3634" i="1"/>
  <c r="AG3633" i="1"/>
  <c r="AG3632" i="1"/>
  <c r="AG3631" i="1"/>
  <c r="AG3630" i="1"/>
  <c r="AG3629" i="1"/>
  <c r="AG3628" i="1"/>
  <c r="AG3627" i="1"/>
  <c r="AG3626" i="1"/>
  <c r="AG3625" i="1"/>
  <c r="AG3624" i="1"/>
  <c r="AG3623" i="1"/>
  <c r="AG3622" i="1"/>
  <c r="AG3621" i="1"/>
  <c r="AG3620" i="1"/>
  <c r="AG3619" i="1"/>
  <c r="AG3618" i="1"/>
  <c r="AG3617" i="1"/>
  <c r="AG3616" i="1"/>
  <c r="AG3615" i="1"/>
  <c r="AG3614" i="1"/>
  <c r="AG3613" i="1"/>
  <c r="AG3612" i="1"/>
  <c r="AG3611" i="1"/>
  <c r="AG3610" i="1"/>
  <c r="AG3609" i="1"/>
  <c r="AG3608" i="1"/>
  <c r="AG3607" i="1"/>
  <c r="AG3606" i="1"/>
  <c r="AG3605" i="1"/>
  <c r="AG3604" i="1"/>
  <c r="AG3603" i="1"/>
  <c r="AG3602" i="1"/>
  <c r="AG3601" i="1"/>
  <c r="AG3600" i="1"/>
  <c r="AG3599" i="1"/>
  <c r="AG3598" i="1"/>
  <c r="AG3597" i="1"/>
  <c r="AG3596" i="1"/>
  <c r="AG3595" i="1"/>
  <c r="AG3594" i="1"/>
  <c r="AG3593" i="1"/>
  <c r="AG3592" i="1"/>
  <c r="AG3591" i="1"/>
  <c r="AG3590" i="1"/>
  <c r="AG3589" i="1"/>
  <c r="AG3588" i="1"/>
  <c r="AG3587" i="1"/>
  <c r="AG3586" i="1"/>
  <c r="AG3585" i="1"/>
  <c r="AG3584" i="1"/>
  <c r="AG3583" i="1"/>
  <c r="AG3582" i="1"/>
  <c r="AG3581" i="1"/>
  <c r="AG3580" i="1"/>
  <c r="AG3579" i="1"/>
  <c r="AG3578" i="1"/>
  <c r="AG3577" i="1"/>
  <c r="AG3576" i="1"/>
  <c r="AG3575" i="1"/>
  <c r="AG3574" i="1"/>
  <c r="AG3573" i="1"/>
  <c r="AG3572" i="1"/>
  <c r="AG3571" i="1"/>
  <c r="AG3570" i="1"/>
  <c r="AG3569" i="1"/>
  <c r="AG3568" i="1"/>
  <c r="AG3567" i="1"/>
  <c r="AG3566" i="1"/>
  <c r="AG3565" i="1"/>
  <c r="AG3564" i="1"/>
  <c r="AG3563" i="1"/>
  <c r="AG3562" i="1"/>
  <c r="AG3561" i="1"/>
  <c r="AG3560" i="1"/>
  <c r="AG3559" i="1"/>
  <c r="AG3558" i="1"/>
  <c r="AG3557" i="1"/>
  <c r="AG3556" i="1"/>
  <c r="AG3555" i="1"/>
  <c r="AG3554" i="1"/>
  <c r="AG3553" i="1"/>
  <c r="AG3552" i="1"/>
  <c r="AG3551" i="1"/>
  <c r="AG3550" i="1"/>
  <c r="AG3549" i="1"/>
  <c r="AG3548" i="1"/>
  <c r="AG3547" i="1"/>
  <c r="AG3546" i="1"/>
  <c r="AG3545" i="1"/>
  <c r="AG3544" i="1"/>
  <c r="AG3543" i="1"/>
  <c r="AG3542" i="1"/>
  <c r="AG3541" i="1"/>
  <c r="AG3540" i="1"/>
  <c r="AG3539" i="1"/>
  <c r="AG3538" i="1"/>
  <c r="AG3537" i="1"/>
  <c r="AG3536" i="1"/>
  <c r="AG3535" i="1"/>
  <c r="AG3534" i="1"/>
  <c r="AG3533" i="1"/>
  <c r="AG3532" i="1"/>
  <c r="AG3531" i="1"/>
  <c r="AG3530" i="1"/>
  <c r="AG3529" i="1"/>
  <c r="AG3528" i="1"/>
  <c r="AG3527" i="1"/>
  <c r="AG3526" i="1"/>
  <c r="AG3525" i="1"/>
  <c r="AG3524" i="1"/>
  <c r="AG3523" i="1"/>
  <c r="AG3522" i="1"/>
  <c r="AG3521" i="1"/>
  <c r="AG3520" i="1"/>
  <c r="AG3519" i="1"/>
  <c r="AG3518" i="1"/>
  <c r="AG3517" i="1"/>
  <c r="AG3516" i="1"/>
  <c r="AG3515" i="1"/>
  <c r="AG3514" i="1"/>
  <c r="AG3513" i="1"/>
  <c r="AG3512" i="1"/>
  <c r="AG3511" i="1"/>
  <c r="AG3510" i="1"/>
  <c r="AG3509" i="1"/>
  <c r="AG3508" i="1"/>
  <c r="AG3507" i="1"/>
  <c r="AG3506" i="1"/>
  <c r="AG3505" i="1"/>
  <c r="AG3504" i="1"/>
  <c r="AG3503" i="1"/>
  <c r="AG3502" i="1"/>
  <c r="AG3501" i="1"/>
  <c r="AG3500" i="1"/>
  <c r="AG3499" i="1"/>
  <c r="AG3498" i="1"/>
  <c r="AG3497" i="1"/>
  <c r="AG3496" i="1"/>
  <c r="AG3495" i="1"/>
  <c r="AG3494" i="1"/>
  <c r="AG3493" i="1"/>
  <c r="AG3492" i="1"/>
  <c r="AG3491" i="1"/>
  <c r="AG3490" i="1"/>
  <c r="AG3489" i="1"/>
  <c r="AG3488" i="1"/>
  <c r="AG3487" i="1"/>
  <c r="AG3486" i="1"/>
  <c r="AG3485" i="1"/>
  <c r="AG3484" i="1"/>
  <c r="AG3483" i="1"/>
  <c r="AG3482" i="1"/>
  <c r="AG3481" i="1"/>
  <c r="AG3480" i="1"/>
  <c r="AG3479" i="1"/>
  <c r="AG3478" i="1"/>
  <c r="AG3477" i="1"/>
  <c r="AG3476" i="1"/>
  <c r="AG3475" i="1"/>
  <c r="AG3474" i="1"/>
  <c r="AG3473" i="1"/>
  <c r="AG3472" i="1"/>
  <c r="AG3471" i="1"/>
  <c r="AG3470" i="1"/>
  <c r="AG3469" i="1"/>
  <c r="AG3468" i="1"/>
  <c r="AG3467" i="1"/>
  <c r="AG3466" i="1"/>
  <c r="AG3465" i="1"/>
  <c r="AG3464" i="1"/>
  <c r="AG3463" i="1"/>
  <c r="AG3462" i="1"/>
  <c r="AG3461" i="1"/>
  <c r="AG3460" i="1"/>
  <c r="AG3459" i="1"/>
  <c r="AG3458" i="1"/>
  <c r="AG3457" i="1"/>
  <c r="AG3456" i="1"/>
  <c r="AG3455" i="1"/>
  <c r="AG3454" i="1"/>
  <c r="AG3453" i="1"/>
  <c r="AG3452" i="1"/>
  <c r="AG3451" i="1"/>
  <c r="AG3450" i="1"/>
  <c r="AG3449" i="1"/>
  <c r="AG3448" i="1"/>
  <c r="AG3447" i="1"/>
  <c r="AG3446" i="1"/>
  <c r="AG3445" i="1"/>
  <c r="AG3444" i="1"/>
  <c r="AG3443" i="1"/>
  <c r="AG3442" i="1"/>
  <c r="AG3441" i="1"/>
  <c r="AG3440" i="1"/>
  <c r="AG3439" i="1"/>
  <c r="AG3438" i="1"/>
  <c r="AG3437" i="1"/>
  <c r="AG3436" i="1"/>
  <c r="AG3435" i="1"/>
  <c r="AG3434" i="1"/>
  <c r="AG3433" i="1"/>
  <c r="AG3432" i="1"/>
  <c r="AG3431" i="1"/>
  <c r="AG3430" i="1"/>
  <c r="AG3429" i="1"/>
  <c r="AG3428" i="1"/>
  <c r="AG3427" i="1"/>
  <c r="AG3426" i="1"/>
  <c r="AG3425" i="1"/>
  <c r="AG3424" i="1"/>
  <c r="AG3423" i="1"/>
  <c r="AG3422" i="1"/>
  <c r="AG3421" i="1"/>
  <c r="AG3420" i="1"/>
  <c r="AG3419" i="1"/>
  <c r="AG3418" i="1"/>
  <c r="AG3417" i="1"/>
  <c r="AG3416" i="1"/>
  <c r="AG3415" i="1"/>
  <c r="AG3414" i="1"/>
  <c r="AG3413" i="1"/>
  <c r="AG3412" i="1"/>
  <c r="AG3411" i="1"/>
  <c r="AG3410" i="1"/>
  <c r="AG3409" i="1"/>
  <c r="AG3408" i="1"/>
  <c r="AG3407" i="1"/>
  <c r="AG3406" i="1"/>
  <c r="AG3405" i="1"/>
  <c r="AG3404" i="1"/>
  <c r="AG3403" i="1"/>
  <c r="AG3402" i="1"/>
  <c r="AG3401" i="1"/>
  <c r="AG3400" i="1"/>
  <c r="AG3399" i="1"/>
  <c r="AG3398" i="1"/>
  <c r="AG3397" i="1"/>
  <c r="AG3396" i="1"/>
  <c r="AG3395" i="1"/>
  <c r="AG3394" i="1"/>
  <c r="AG3393" i="1"/>
  <c r="AG3392" i="1"/>
  <c r="AG3391" i="1"/>
  <c r="AG3390" i="1"/>
  <c r="AG3389" i="1"/>
  <c r="AG3388" i="1"/>
  <c r="AG3387" i="1"/>
  <c r="AG3386" i="1"/>
  <c r="AG3385" i="1"/>
  <c r="AG3384" i="1"/>
  <c r="AG3383" i="1"/>
  <c r="AG3382" i="1"/>
  <c r="AG3381" i="1"/>
  <c r="AG3380" i="1"/>
  <c r="AG3379" i="1"/>
  <c r="AG3378" i="1"/>
  <c r="AG3377" i="1"/>
  <c r="AG3376" i="1"/>
  <c r="AG3375" i="1"/>
  <c r="AG3374" i="1"/>
  <c r="AG3373" i="1"/>
  <c r="AG3372" i="1"/>
  <c r="AG3371" i="1"/>
  <c r="AG3370" i="1"/>
  <c r="AG3369" i="1"/>
  <c r="AG3368" i="1"/>
  <c r="AG3367" i="1"/>
  <c r="AG3366" i="1"/>
  <c r="AG3365" i="1"/>
  <c r="AG3364" i="1"/>
  <c r="AG3363" i="1"/>
  <c r="AG3362" i="1"/>
  <c r="AG3361" i="1"/>
  <c r="AG3360" i="1"/>
  <c r="AG3359" i="1"/>
  <c r="AG3358" i="1"/>
  <c r="AG3357" i="1"/>
  <c r="AG3356" i="1"/>
  <c r="AG3355" i="1"/>
  <c r="AG3354" i="1"/>
  <c r="AG3353" i="1"/>
  <c r="AG3352" i="1"/>
  <c r="AG3351" i="1"/>
  <c r="AG3350" i="1"/>
  <c r="AG3349" i="1"/>
  <c r="AG3348" i="1"/>
  <c r="AG3347" i="1"/>
  <c r="AG3346" i="1"/>
  <c r="AG3345" i="1"/>
  <c r="AG3344" i="1"/>
  <c r="AG3343" i="1"/>
  <c r="AG3342" i="1"/>
  <c r="AG3341" i="1"/>
  <c r="AG3340" i="1"/>
  <c r="AG3339" i="1"/>
  <c r="AG3338" i="1"/>
  <c r="AG3337" i="1"/>
  <c r="AG3336" i="1"/>
  <c r="AG3335" i="1"/>
  <c r="AG3334" i="1"/>
  <c r="AG3333" i="1"/>
  <c r="AG3332" i="1"/>
  <c r="AG3331" i="1"/>
  <c r="AG3330" i="1"/>
  <c r="AG3329" i="1"/>
  <c r="AG3328" i="1"/>
  <c r="AG3327" i="1"/>
  <c r="AG3326" i="1"/>
  <c r="AG3325" i="1"/>
  <c r="AG3324" i="1"/>
  <c r="AG3323" i="1"/>
  <c r="AG3322" i="1"/>
  <c r="AG3321" i="1"/>
  <c r="AG3320" i="1"/>
  <c r="AG3319" i="1"/>
  <c r="AG3318" i="1"/>
  <c r="AG3317" i="1"/>
  <c r="AG3316" i="1"/>
  <c r="AG3315" i="1"/>
  <c r="AG3314" i="1"/>
  <c r="AG3313" i="1"/>
  <c r="AG3312" i="1"/>
  <c r="AG3311" i="1"/>
  <c r="AG3310" i="1"/>
  <c r="AG3309" i="1"/>
  <c r="AG3308" i="1"/>
  <c r="AG3307" i="1"/>
  <c r="AG3306" i="1"/>
  <c r="AG3305" i="1"/>
  <c r="AG3304" i="1"/>
  <c r="AG3303" i="1"/>
  <c r="AG3302" i="1"/>
  <c r="AG3301" i="1"/>
  <c r="AG3300" i="1"/>
  <c r="AG3299" i="1"/>
  <c r="AG3298" i="1"/>
  <c r="AG3297" i="1"/>
  <c r="AG3296" i="1"/>
  <c r="AG3295" i="1"/>
  <c r="AG3294" i="1"/>
  <c r="AG3293" i="1"/>
  <c r="AG3292" i="1"/>
  <c r="AG3291" i="1"/>
  <c r="AG3290" i="1"/>
  <c r="AG3289" i="1"/>
  <c r="AG3288" i="1"/>
  <c r="AG3287" i="1"/>
  <c r="AG3286" i="1"/>
  <c r="AG3285" i="1"/>
  <c r="AG3284" i="1"/>
  <c r="AG3283" i="1"/>
  <c r="AG3282" i="1"/>
  <c r="AG3281" i="1"/>
  <c r="AG3280" i="1"/>
  <c r="AG3279" i="1"/>
  <c r="AG3278" i="1"/>
  <c r="AG3277" i="1"/>
  <c r="AG3276" i="1"/>
  <c r="AG3275" i="1"/>
  <c r="AG3274" i="1"/>
  <c r="AG3273" i="1"/>
  <c r="AG3272" i="1"/>
  <c r="AG3271" i="1"/>
  <c r="AG3270" i="1"/>
  <c r="AG3269" i="1"/>
  <c r="AG3268" i="1"/>
  <c r="AG3267" i="1"/>
  <c r="AG3266" i="1"/>
  <c r="AG3265" i="1"/>
  <c r="AG3264" i="1"/>
  <c r="AG3263" i="1"/>
  <c r="AG3262" i="1"/>
  <c r="AG3261" i="1"/>
  <c r="AG3260" i="1"/>
  <c r="AG3259" i="1"/>
  <c r="AG3258" i="1"/>
  <c r="AG3257" i="1"/>
  <c r="AG3256" i="1"/>
  <c r="AG3255" i="1"/>
  <c r="AG3254" i="1"/>
  <c r="AG3253" i="1"/>
  <c r="AG3252" i="1"/>
  <c r="AG3251" i="1"/>
  <c r="AG3250" i="1"/>
  <c r="AG3249" i="1"/>
  <c r="AG3248" i="1"/>
  <c r="AG3247" i="1"/>
  <c r="AG3246" i="1"/>
  <c r="AG3245" i="1"/>
  <c r="AG3244" i="1"/>
  <c r="AG3243" i="1"/>
  <c r="AG3242" i="1"/>
  <c r="AG3241" i="1"/>
  <c r="AG3240" i="1"/>
  <c r="AG3239" i="1"/>
  <c r="AG3238" i="1"/>
  <c r="AG3237" i="1"/>
  <c r="AG3236" i="1"/>
  <c r="AG3235" i="1"/>
  <c r="AG3234" i="1"/>
  <c r="AG3233" i="1"/>
  <c r="AG3232" i="1"/>
  <c r="AG3231" i="1"/>
  <c r="AG3230" i="1"/>
  <c r="AG3229" i="1"/>
  <c r="AG3228" i="1"/>
  <c r="AG3227" i="1"/>
  <c r="AG3226" i="1"/>
  <c r="AG3225" i="1"/>
  <c r="AG3224" i="1"/>
  <c r="AG3223" i="1"/>
  <c r="AG3222" i="1"/>
  <c r="AG3221" i="1"/>
  <c r="AG3220" i="1"/>
  <c r="AG3219" i="1"/>
  <c r="AG3218" i="1"/>
  <c r="AG3217" i="1"/>
  <c r="AG3216" i="1"/>
  <c r="AG3215" i="1"/>
  <c r="AG3214" i="1"/>
  <c r="AG3213" i="1"/>
  <c r="AG3212" i="1"/>
  <c r="AG3211" i="1"/>
  <c r="AG3210" i="1"/>
  <c r="AG3209" i="1"/>
  <c r="AG3208" i="1"/>
  <c r="AG3207" i="1"/>
  <c r="AG3206" i="1"/>
  <c r="AG3205" i="1"/>
  <c r="AG3204" i="1"/>
  <c r="AG3203" i="1"/>
  <c r="AG3202" i="1"/>
  <c r="AG3201" i="1"/>
  <c r="AG3200" i="1"/>
  <c r="AG3199" i="1"/>
  <c r="AG3198" i="1"/>
  <c r="AG3197" i="1"/>
  <c r="AG3196" i="1"/>
  <c r="AG3195" i="1"/>
  <c r="AG3194" i="1"/>
  <c r="AG3193" i="1"/>
  <c r="AG3192" i="1"/>
  <c r="AG3191" i="1"/>
  <c r="AG3190" i="1"/>
  <c r="AG3189" i="1"/>
  <c r="AG3188" i="1"/>
  <c r="AG3187" i="1"/>
  <c r="AG3186" i="1"/>
  <c r="AG3185" i="1"/>
  <c r="AG3184" i="1"/>
  <c r="AG3183" i="1"/>
  <c r="AG3182" i="1"/>
  <c r="AG3181" i="1"/>
  <c r="AG3180" i="1"/>
  <c r="AG3179" i="1"/>
  <c r="AG3178" i="1"/>
  <c r="AG3177" i="1"/>
  <c r="AG3176" i="1"/>
  <c r="AG3175" i="1"/>
  <c r="AG3174" i="1"/>
  <c r="AG3173" i="1"/>
  <c r="AG3172" i="1"/>
  <c r="AG3171" i="1"/>
  <c r="AG3170" i="1"/>
  <c r="AG3169" i="1"/>
  <c r="AG3168" i="1"/>
  <c r="AG3167" i="1"/>
  <c r="AG3166" i="1"/>
  <c r="AG3165" i="1"/>
  <c r="AG3164" i="1"/>
  <c r="AG3163" i="1"/>
  <c r="AG3162" i="1"/>
  <c r="AG3161" i="1"/>
  <c r="AG3160" i="1"/>
  <c r="AG3159" i="1"/>
  <c r="AG3158" i="1"/>
  <c r="AG3157" i="1"/>
  <c r="AG3156" i="1"/>
  <c r="AG3155" i="1"/>
  <c r="AG3154" i="1"/>
  <c r="AG3153" i="1"/>
  <c r="AG3152" i="1"/>
  <c r="AG3151" i="1"/>
  <c r="AG3150" i="1"/>
  <c r="AG3149" i="1"/>
  <c r="AG3148" i="1"/>
  <c r="AG3147" i="1"/>
  <c r="AG3146" i="1"/>
  <c r="AG3145" i="1"/>
  <c r="AG3144" i="1"/>
  <c r="AG3143" i="1"/>
  <c r="AG3142" i="1"/>
  <c r="AG3141" i="1"/>
  <c r="AG3140" i="1"/>
  <c r="AG3139" i="1"/>
  <c r="AG3138" i="1"/>
  <c r="AG3137" i="1"/>
  <c r="AG3136" i="1"/>
  <c r="AG3135" i="1"/>
  <c r="AG3134" i="1"/>
  <c r="AG3133" i="1"/>
  <c r="AG3132" i="1"/>
  <c r="AG3131" i="1"/>
  <c r="AG3130" i="1"/>
  <c r="AG3129" i="1"/>
  <c r="AG3128" i="1"/>
  <c r="AG3127" i="1"/>
  <c r="AG3126" i="1"/>
  <c r="AG3125" i="1"/>
  <c r="AG3124" i="1"/>
  <c r="AG3123" i="1"/>
  <c r="AG3122" i="1"/>
  <c r="AG3121" i="1"/>
  <c r="AG3120" i="1"/>
  <c r="AG3119" i="1"/>
  <c r="AG3118" i="1"/>
  <c r="AG3117" i="1"/>
  <c r="AG3116" i="1"/>
  <c r="AG3115" i="1"/>
  <c r="AG3114" i="1"/>
  <c r="AG3113" i="1"/>
  <c r="AG3112" i="1"/>
  <c r="AG3111" i="1"/>
  <c r="AG3110" i="1"/>
  <c r="AG3109" i="1"/>
  <c r="AG3108" i="1"/>
  <c r="AG3107" i="1"/>
  <c r="AG3106" i="1"/>
  <c r="AG3105" i="1"/>
  <c r="AG3104" i="1"/>
  <c r="AG3103" i="1"/>
  <c r="AG3102" i="1"/>
  <c r="AG3101" i="1"/>
  <c r="AG3100" i="1"/>
  <c r="AG3099" i="1"/>
  <c r="AG3098" i="1"/>
  <c r="AG3097" i="1"/>
  <c r="AG3096" i="1"/>
  <c r="AG3095" i="1"/>
  <c r="AG3094" i="1"/>
  <c r="AG3093" i="1"/>
  <c r="AG3092" i="1"/>
  <c r="AG3091" i="1"/>
  <c r="AG3090" i="1"/>
  <c r="AG3089" i="1"/>
  <c r="AG3088" i="1"/>
  <c r="AG3087" i="1"/>
  <c r="AG3086" i="1"/>
  <c r="AG3085" i="1"/>
  <c r="AG3084" i="1"/>
  <c r="AG3083" i="1"/>
  <c r="AG3082" i="1"/>
  <c r="AG3081" i="1"/>
  <c r="AG3080" i="1"/>
  <c r="AG3079" i="1"/>
  <c r="AG3078" i="1"/>
  <c r="AG3077" i="1"/>
  <c r="AG3076" i="1"/>
  <c r="AG3075" i="1"/>
  <c r="AG3074" i="1"/>
  <c r="AG3073" i="1"/>
  <c r="AG3072" i="1"/>
  <c r="AG3071" i="1"/>
  <c r="AG3070" i="1"/>
  <c r="AG3069" i="1"/>
  <c r="AG3068" i="1"/>
  <c r="AG3067" i="1"/>
  <c r="AG3066" i="1"/>
  <c r="AG3065" i="1"/>
  <c r="AG3064" i="1"/>
  <c r="AG3063" i="1"/>
  <c r="AG3062" i="1"/>
  <c r="AG3061" i="1"/>
  <c r="AG3060" i="1"/>
  <c r="AG3059" i="1"/>
  <c r="AG3058" i="1"/>
  <c r="AG3057" i="1"/>
  <c r="AG3056" i="1"/>
  <c r="AG3055" i="1"/>
  <c r="AG3054" i="1"/>
  <c r="AG3053" i="1"/>
  <c r="AG3052" i="1"/>
  <c r="AG3051" i="1"/>
  <c r="AG3050" i="1"/>
  <c r="AG3049" i="1"/>
  <c r="AG3048" i="1"/>
  <c r="AG3047" i="1"/>
  <c r="AG3046" i="1"/>
  <c r="AG3045" i="1"/>
  <c r="AG3044" i="1"/>
  <c r="AG3043" i="1"/>
  <c r="AG3042" i="1"/>
  <c r="AG3041" i="1"/>
  <c r="AG3040" i="1"/>
  <c r="AG3039" i="1"/>
  <c r="AG3038" i="1"/>
  <c r="AG3037" i="1"/>
  <c r="AG3036" i="1"/>
  <c r="AG3035" i="1"/>
  <c r="AG3034" i="1"/>
  <c r="AG3033" i="1"/>
  <c r="AG3032" i="1"/>
  <c r="AG3031" i="1"/>
  <c r="AG3030" i="1"/>
  <c r="AG3029" i="1"/>
  <c r="AG3028" i="1"/>
  <c r="AG3027" i="1"/>
  <c r="AG3026" i="1"/>
  <c r="AG3025" i="1"/>
  <c r="AG3024" i="1"/>
  <c r="AG3023" i="1"/>
  <c r="AG3022" i="1"/>
  <c r="AG3021" i="1"/>
  <c r="AG3020" i="1"/>
  <c r="AG3019" i="1"/>
  <c r="AG3018" i="1"/>
  <c r="AG3017" i="1"/>
  <c r="AG3016" i="1"/>
  <c r="AG3015" i="1"/>
  <c r="AG3014" i="1"/>
  <c r="AG3013" i="1"/>
  <c r="AG3012" i="1"/>
  <c r="AG3011" i="1"/>
  <c r="AG3010" i="1"/>
  <c r="AG3009" i="1"/>
  <c r="AG3008" i="1"/>
  <c r="AG3007" i="1"/>
  <c r="AG3006" i="1"/>
  <c r="AG3005" i="1"/>
  <c r="AG3004" i="1"/>
  <c r="AG3003" i="1"/>
  <c r="AG3002" i="1"/>
  <c r="AG3001" i="1"/>
  <c r="AG3000" i="1"/>
  <c r="AG2999" i="1"/>
  <c r="AG2998" i="1"/>
  <c r="AG2997" i="1"/>
  <c r="AG2996" i="1"/>
  <c r="AG2995" i="1"/>
  <c r="AG2994" i="1"/>
  <c r="AG2993" i="1"/>
  <c r="AG2992" i="1"/>
  <c r="AG2991" i="1"/>
  <c r="AG2990" i="1"/>
  <c r="AG2989" i="1"/>
  <c r="AG2988" i="1"/>
  <c r="AG2987" i="1"/>
  <c r="AG2986" i="1"/>
  <c r="AG2985" i="1"/>
  <c r="AG2984" i="1"/>
  <c r="AG2983" i="1"/>
  <c r="AG2982" i="1"/>
  <c r="AG2981" i="1"/>
  <c r="AG2980" i="1"/>
  <c r="AG2979" i="1"/>
  <c r="AG2978" i="1"/>
  <c r="AG2977" i="1"/>
  <c r="AG2976" i="1"/>
  <c r="AG2975" i="1"/>
  <c r="AG2974" i="1"/>
  <c r="AG2973" i="1"/>
  <c r="AG2972" i="1"/>
  <c r="AG2971" i="1"/>
  <c r="AG2970" i="1"/>
  <c r="AG2969" i="1"/>
  <c r="AG2968" i="1"/>
  <c r="AG2967" i="1"/>
  <c r="AG2966" i="1"/>
  <c r="AG2965" i="1"/>
  <c r="AG2964" i="1"/>
  <c r="AG2963" i="1"/>
  <c r="AG2962" i="1"/>
  <c r="AG2961" i="1"/>
  <c r="AG2960" i="1"/>
  <c r="AG2959" i="1"/>
  <c r="AG2958" i="1"/>
  <c r="AG2957" i="1"/>
  <c r="AG2956" i="1"/>
  <c r="AG2955" i="1"/>
  <c r="AG2954" i="1"/>
  <c r="AG2953" i="1"/>
  <c r="AG2952" i="1"/>
  <c r="AG2951" i="1"/>
  <c r="AG2950" i="1"/>
  <c r="AG2949" i="1"/>
  <c r="AG2948" i="1"/>
  <c r="AG2947" i="1"/>
  <c r="AG2946" i="1"/>
  <c r="AG2945" i="1"/>
  <c r="AG2944" i="1"/>
  <c r="AG2943" i="1"/>
  <c r="AG2942" i="1"/>
  <c r="AG2941" i="1"/>
  <c r="AG2940" i="1"/>
  <c r="AG2939" i="1"/>
  <c r="AG2938" i="1"/>
  <c r="AG2937" i="1"/>
  <c r="AG2936" i="1"/>
  <c r="AG2935" i="1"/>
  <c r="AG2934" i="1"/>
  <c r="AG2933" i="1"/>
  <c r="AG2932" i="1"/>
  <c r="AG2931" i="1"/>
  <c r="AG2930" i="1"/>
  <c r="AG2929" i="1"/>
  <c r="AG2928" i="1"/>
  <c r="AG2927" i="1"/>
  <c r="AG2926" i="1"/>
  <c r="AG2925" i="1"/>
  <c r="AG2924" i="1"/>
  <c r="AG2923" i="1"/>
  <c r="AG2922" i="1"/>
  <c r="AG2921" i="1"/>
  <c r="AG2920" i="1"/>
  <c r="AG2919" i="1"/>
  <c r="AG2918" i="1"/>
  <c r="AG2917" i="1"/>
  <c r="AG2916" i="1"/>
  <c r="AG2915" i="1"/>
  <c r="AG2914" i="1"/>
  <c r="AG2913" i="1"/>
  <c r="AG2912" i="1"/>
  <c r="AG2911" i="1"/>
  <c r="AG2910" i="1"/>
  <c r="AG2909" i="1"/>
  <c r="AG2908" i="1"/>
  <c r="AG2907" i="1"/>
  <c r="AG2906" i="1"/>
  <c r="AG2905" i="1"/>
  <c r="AG2904" i="1"/>
  <c r="AG2903" i="1"/>
  <c r="AG2902" i="1"/>
  <c r="AG2901" i="1"/>
  <c r="AG2900" i="1"/>
  <c r="AG2899" i="1"/>
  <c r="AG2898" i="1"/>
  <c r="AG2897" i="1"/>
  <c r="AG2896" i="1"/>
  <c r="AG2895" i="1"/>
  <c r="AG2894" i="1"/>
  <c r="AG2893" i="1"/>
  <c r="AG2892" i="1"/>
  <c r="AG2891" i="1"/>
  <c r="AG2890" i="1"/>
  <c r="AG2889" i="1"/>
  <c r="AG2888" i="1"/>
  <c r="AG2887" i="1"/>
  <c r="AG2886" i="1"/>
  <c r="AG2885" i="1"/>
  <c r="AG2884" i="1"/>
  <c r="AG2883" i="1"/>
  <c r="AG2882" i="1"/>
  <c r="AG2881" i="1"/>
  <c r="AG2880" i="1"/>
  <c r="AG2879" i="1"/>
  <c r="AG2878" i="1"/>
  <c r="AG2877" i="1"/>
  <c r="AG2876" i="1"/>
  <c r="AG2875" i="1"/>
  <c r="AG2874" i="1"/>
  <c r="AG2873" i="1"/>
  <c r="AG2872" i="1"/>
  <c r="AG2871" i="1"/>
  <c r="AG2870" i="1"/>
  <c r="AG2869" i="1"/>
  <c r="AG2868" i="1"/>
  <c r="AG2867" i="1"/>
  <c r="AG2866" i="1"/>
  <c r="AG2865" i="1"/>
  <c r="AG2864" i="1"/>
  <c r="AG2863" i="1"/>
  <c r="AG2862" i="1"/>
  <c r="AG2861" i="1"/>
  <c r="AG2860" i="1"/>
  <c r="AG2859" i="1"/>
  <c r="AG2858" i="1"/>
  <c r="AG2857" i="1"/>
  <c r="AG2856" i="1"/>
  <c r="AG2855" i="1"/>
  <c r="AG2854" i="1"/>
  <c r="AG2853" i="1"/>
  <c r="AG2852" i="1"/>
  <c r="AG2851" i="1"/>
  <c r="AG2850" i="1"/>
  <c r="AG2849" i="1"/>
  <c r="AG2848" i="1"/>
  <c r="AG2847" i="1"/>
  <c r="AG2846" i="1"/>
  <c r="AG2845" i="1"/>
  <c r="AG2844" i="1"/>
  <c r="AG2843" i="1"/>
  <c r="AG2842" i="1"/>
  <c r="AG2841" i="1"/>
  <c r="AG2840" i="1"/>
  <c r="AG2839" i="1"/>
  <c r="AG2838" i="1"/>
  <c r="AG2837" i="1"/>
  <c r="AG2836" i="1"/>
  <c r="AG2835" i="1"/>
  <c r="AG2834" i="1"/>
  <c r="AG2833" i="1"/>
  <c r="AG2832" i="1"/>
  <c r="AG2831" i="1"/>
  <c r="AG2830" i="1"/>
  <c r="AG2829" i="1"/>
  <c r="AG2828" i="1"/>
  <c r="AG2827" i="1"/>
  <c r="AG2826" i="1"/>
  <c r="AG2825" i="1"/>
  <c r="AG2824" i="1"/>
  <c r="AG2823" i="1"/>
  <c r="AG2822" i="1"/>
  <c r="AG2821" i="1"/>
  <c r="AG2820" i="1"/>
  <c r="AG2819" i="1"/>
  <c r="AG2818" i="1"/>
  <c r="AG2817" i="1"/>
  <c r="AG2816" i="1"/>
  <c r="AG2815" i="1"/>
  <c r="AG2814" i="1"/>
  <c r="AG2813" i="1"/>
  <c r="AG2812" i="1"/>
  <c r="AG2811" i="1"/>
  <c r="AG2810" i="1"/>
  <c r="AG2809" i="1"/>
  <c r="AG2808" i="1"/>
  <c r="AG2807" i="1"/>
  <c r="AG2806" i="1"/>
  <c r="AG2805" i="1"/>
  <c r="AG2804" i="1"/>
  <c r="AG2803" i="1"/>
  <c r="AG2802" i="1"/>
  <c r="AG2801" i="1"/>
  <c r="AG2800" i="1"/>
  <c r="AG2799" i="1"/>
  <c r="AG2798" i="1"/>
  <c r="AG2797" i="1"/>
  <c r="AG2796" i="1"/>
  <c r="AG2795" i="1"/>
  <c r="AG2794" i="1"/>
  <c r="AG2793" i="1"/>
  <c r="AG2792" i="1"/>
  <c r="AG2791" i="1"/>
  <c r="AG2790" i="1"/>
  <c r="AG2789" i="1"/>
  <c r="AG2788" i="1"/>
  <c r="AG2787" i="1"/>
  <c r="AG2786" i="1"/>
  <c r="AG2785" i="1"/>
  <c r="AG2784" i="1"/>
  <c r="AG2783" i="1"/>
  <c r="AG2782" i="1"/>
  <c r="AG2781" i="1"/>
  <c r="AG2780" i="1"/>
  <c r="AG2779" i="1"/>
  <c r="AG2778" i="1"/>
  <c r="AG2777" i="1"/>
  <c r="AG2776" i="1"/>
  <c r="AG2775" i="1"/>
  <c r="AG2774" i="1"/>
  <c r="AG2773" i="1"/>
  <c r="AG2772" i="1"/>
  <c r="AG2771" i="1"/>
  <c r="AG2770" i="1"/>
  <c r="AG2769" i="1"/>
  <c r="AG2768" i="1"/>
  <c r="AG2767" i="1"/>
  <c r="AG2766" i="1"/>
  <c r="AG2765" i="1"/>
  <c r="AG2764" i="1"/>
  <c r="AG2763" i="1"/>
  <c r="AG2762" i="1"/>
  <c r="AG2761" i="1"/>
  <c r="AG2760" i="1"/>
  <c r="AG2759" i="1"/>
  <c r="AG2758" i="1"/>
  <c r="AG2757" i="1"/>
  <c r="AG2756" i="1"/>
  <c r="AG2755" i="1"/>
  <c r="AG2754" i="1"/>
  <c r="AG2753" i="1"/>
  <c r="AG2752" i="1"/>
  <c r="AG2751" i="1"/>
  <c r="AG2750" i="1"/>
  <c r="AG2749" i="1"/>
  <c r="AG2748" i="1"/>
  <c r="AG2747" i="1"/>
  <c r="AG2746" i="1"/>
  <c r="AG2745" i="1"/>
  <c r="AG2744" i="1"/>
  <c r="AG2743" i="1"/>
  <c r="AG2742" i="1"/>
  <c r="AG2741" i="1"/>
  <c r="AG2740" i="1"/>
  <c r="AG2739" i="1"/>
  <c r="AG2738" i="1"/>
  <c r="AG2737" i="1"/>
  <c r="AG2736" i="1"/>
  <c r="AG2735" i="1"/>
  <c r="AG2734" i="1"/>
  <c r="AG2733" i="1"/>
  <c r="AG2732" i="1"/>
  <c r="AG2731" i="1"/>
  <c r="AG2730" i="1"/>
  <c r="AG2729" i="1"/>
  <c r="AG2728" i="1"/>
  <c r="AG2727" i="1"/>
  <c r="AG2726" i="1"/>
  <c r="AG2725" i="1"/>
  <c r="AG2724" i="1"/>
  <c r="AG2723" i="1"/>
  <c r="AG2722" i="1"/>
  <c r="AG2721" i="1"/>
  <c r="AG2720" i="1"/>
  <c r="AG2719" i="1"/>
  <c r="AG2718" i="1"/>
  <c r="AG2717" i="1"/>
  <c r="AG2716" i="1"/>
  <c r="AG2715" i="1"/>
  <c r="AG2714" i="1"/>
  <c r="AG2713" i="1"/>
  <c r="AG2712" i="1"/>
  <c r="AG2711" i="1"/>
  <c r="AG2710" i="1"/>
  <c r="AG2709" i="1"/>
  <c r="AG2708" i="1"/>
  <c r="AG2707" i="1"/>
  <c r="AG2706" i="1"/>
  <c r="AG2705" i="1"/>
  <c r="AG2704" i="1"/>
  <c r="AG2703" i="1"/>
  <c r="AG2702" i="1"/>
  <c r="AG2701" i="1"/>
  <c r="AG2700" i="1"/>
  <c r="AG2699" i="1"/>
  <c r="AG2698" i="1"/>
  <c r="AG2697" i="1"/>
  <c r="AG2696" i="1"/>
  <c r="AG2695" i="1"/>
  <c r="AG2694" i="1"/>
  <c r="AG2693" i="1"/>
  <c r="AG2692" i="1"/>
  <c r="AG2691" i="1"/>
  <c r="AG2690" i="1"/>
  <c r="AG2689" i="1"/>
  <c r="AG2688" i="1"/>
  <c r="AG2687" i="1"/>
  <c r="AG2686" i="1"/>
  <c r="AG2685" i="1"/>
  <c r="AG2684" i="1"/>
  <c r="AG2683" i="1"/>
  <c r="AG2682" i="1"/>
  <c r="AG2681" i="1"/>
  <c r="AG2680" i="1"/>
  <c r="AG2679" i="1"/>
  <c r="AG2678" i="1"/>
  <c r="AG2677" i="1"/>
  <c r="AG2676" i="1"/>
  <c r="AG2675" i="1"/>
  <c r="AG2674" i="1"/>
  <c r="AG2673" i="1"/>
  <c r="AG2672" i="1"/>
  <c r="AG2671" i="1"/>
  <c r="AG2670" i="1"/>
  <c r="AG2669" i="1"/>
  <c r="AG2668" i="1"/>
  <c r="AG2667" i="1"/>
  <c r="AG2666" i="1"/>
  <c r="AG2665" i="1"/>
  <c r="AG2664" i="1"/>
  <c r="AG2663" i="1"/>
  <c r="AG2662" i="1"/>
  <c r="AG2661" i="1"/>
  <c r="AG2660" i="1"/>
  <c r="AG2659" i="1"/>
  <c r="AG2658" i="1"/>
  <c r="AG2657" i="1"/>
  <c r="AG2656" i="1"/>
  <c r="AG2655" i="1"/>
  <c r="AG2654" i="1"/>
  <c r="AG2653" i="1"/>
  <c r="AG2652" i="1"/>
  <c r="AG2651" i="1"/>
  <c r="AG2650" i="1"/>
  <c r="AG2649" i="1"/>
  <c r="AG2648" i="1"/>
  <c r="AG2647" i="1"/>
  <c r="AG2646" i="1"/>
  <c r="AG2645" i="1"/>
  <c r="AG2644" i="1"/>
  <c r="AG2643" i="1"/>
  <c r="AG2642" i="1"/>
  <c r="AG2641" i="1"/>
  <c r="AG2640" i="1"/>
  <c r="AG2639" i="1"/>
  <c r="AG2638" i="1"/>
  <c r="AG2637" i="1"/>
  <c r="AG2636" i="1"/>
  <c r="AG2635" i="1"/>
  <c r="AG2634" i="1"/>
  <c r="AG2633" i="1"/>
  <c r="AG2632" i="1"/>
  <c r="AG2631" i="1"/>
  <c r="AG2630" i="1"/>
  <c r="AG2629" i="1"/>
  <c r="AG2628" i="1"/>
  <c r="AG2627" i="1"/>
  <c r="AG2626" i="1"/>
  <c r="AG2625" i="1"/>
  <c r="AG2624" i="1"/>
  <c r="AG2623" i="1"/>
  <c r="AG2622" i="1"/>
  <c r="AG2621" i="1"/>
  <c r="AG2620" i="1"/>
  <c r="AG2619" i="1"/>
  <c r="AG2618" i="1"/>
  <c r="AG2617" i="1"/>
  <c r="AG2616" i="1"/>
  <c r="AG2615" i="1"/>
  <c r="AG2614" i="1"/>
  <c r="AG2613" i="1"/>
  <c r="AG2612" i="1"/>
  <c r="AG2611" i="1"/>
  <c r="AG2610" i="1"/>
  <c r="AG2609" i="1"/>
  <c r="AG2608" i="1"/>
  <c r="AG2607" i="1"/>
  <c r="AG2606" i="1"/>
  <c r="AG2605" i="1"/>
  <c r="AG2604" i="1"/>
  <c r="AG2603" i="1"/>
  <c r="AG2602" i="1"/>
  <c r="AG2601" i="1"/>
  <c r="AG2600" i="1"/>
  <c r="AG2599" i="1"/>
  <c r="AG2598" i="1"/>
  <c r="AG2597" i="1"/>
  <c r="AG2596" i="1"/>
  <c r="AG2595" i="1"/>
  <c r="AG2594" i="1"/>
  <c r="AG2593" i="1"/>
  <c r="AG2592" i="1"/>
  <c r="AG2591" i="1"/>
  <c r="AG2590" i="1"/>
  <c r="AG2589" i="1"/>
  <c r="AG2588" i="1"/>
  <c r="AG2587" i="1"/>
  <c r="AG2586" i="1"/>
  <c r="AG2585" i="1"/>
  <c r="AG2584" i="1"/>
  <c r="AG2583" i="1"/>
  <c r="AG2582" i="1"/>
  <c r="AG2581" i="1"/>
  <c r="AG2580" i="1"/>
  <c r="AG2579" i="1"/>
  <c r="AG2578" i="1"/>
  <c r="AG2577" i="1"/>
  <c r="AG2576" i="1"/>
  <c r="AG2575" i="1"/>
  <c r="AG2574" i="1"/>
  <c r="AG2573" i="1"/>
  <c r="AG2572" i="1"/>
  <c r="AG2571" i="1"/>
  <c r="AG2570" i="1"/>
  <c r="AG2569" i="1"/>
  <c r="AG2568" i="1"/>
  <c r="AG2567" i="1"/>
  <c r="AG2566" i="1"/>
  <c r="AG2565" i="1"/>
  <c r="AG2564" i="1"/>
  <c r="AG2563" i="1"/>
  <c r="AG2562" i="1"/>
  <c r="AG2561" i="1"/>
  <c r="AG2560" i="1"/>
  <c r="AG2559" i="1"/>
  <c r="AG2558" i="1"/>
  <c r="AG2557" i="1"/>
  <c r="AG2556" i="1"/>
  <c r="AG2555" i="1"/>
  <c r="AG2554" i="1"/>
  <c r="AG2553" i="1"/>
  <c r="AG2552" i="1"/>
  <c r="AG2551" i="1"/>
  <c r="AG2550" i="1"/>
  <c r="AG2549" i="1"/>
  <c r="AG2548" i="1"/>
  <c r="AG2547" i="1"/>
  <c r="AG2546" i="1"/>
  <c r="AG2545" i="1"/>
  <c r="AG2544" i="1"/>
  <c r="AG2543" i="1"/>
  <c r="AG2542" i="1"/>
  <c r="AG2541" i="1"/>
  <c r="AG2540" i="1"/>
  <c r="AG2539" i="1"/>
  <c r="AG2538" i="1"/>
  <c r="AG2537" i="1"/>
  <c r="AG2536" i="1"/>
  <c r="AG2535" i="1"/>
  <c r="AG2534" i="1"/>
  <c r="AG2533" i="1"/>
  <c r="AG2532" i="1"/>
  <c r="AG2531" i="1"/>
  <c r="AG2530" i="1"/>
  <c r="AG2529" i="1"/>
  <c r="AG2528" i="1"/>
  <c r="AG2527" i="1"/>
  <c r="AG2526" i="1"/>
  <c r="AG2525" i="1"/>
  <c r="AG2524" i="1"/>
  <c r="AG2523" i="1"/>
  <c r="AG2522" i="1"/>
  <c r="AG2521" i="1"/>
  <c r="AG2520" i="1"/>
  <c r="AG2519" i="1"/>
  <c r="AG2518" i="1"/>
  <c r="AG2517" i="1"/>
  <c r="AG2516" i="1"/>
  <c r="AG2515" i="1"/>
  <c r="AG2514" i="1"/>
  <c r="AG2513" i="1"/>
  <c r="AG2512" i="1"/>
  <c r="AG2511" i="1"/>
  <c r="AG2510" i="1"/>
  <c r="AG2509" i="1"/>
  <c r="AG2508" i="1"/>
  <c r="AG2507" i="1"/>
  <c r="AG2506" i="1"/>
  <c r="AG2505" i="1"/>
  <c r="AG2504" i="1"/>
  <c r="AG2503" i="1"/>
  <c r="AG2502" i="1"/>
  <c r="AG2501" i="1"/>
  <c r="AG2500" i="1"/>
  <c r="AG2499" i="1"/>
  <c r="AG2498" i="1"/>
  <c r="AG2497" i="1"/>
  <c r="AG2496" i="1"/>
  <c r="AG2495" i="1"/>
  <c r="AG2494" i="1"/>
  <c r="AG2493" i="1"/>
  <c r="AG2492" i="1"/>
  <c r="AG2491" i="1"/>
  <c r="AG2490" i="1"/>
  <c r="AG2489" i="1"/>
  <c r="AG2488" i="1"/>
  <c r="AG2487" i="1"/>
  <c r="AG2486" i="1"/>
  <c r="AG2485" i="1"/>
  <c r="AG2484" i="1"/>
  <c r="AG2483" i="1"/>
  <c r="AG2482" i="1"/>
  <c r="AG2481" i="1"/>
  <c r="AG2480" i="1"/>
  <c r="AG2479" i="1"/>
  <c r="AG2478" i="1"/>
  <c r="AG2477" i="1"/>
  <c r="AG2476" i="1"/>
  <c r="AG2475" i="1"/>
  <c r="AG2474" i="1"/>
  <c r="AG2473" i="1"/>
  <c r="AG2472" i="1"/>
  <c r="AG2471" i="1"/>
  <c r="AG2470" i="1"/>
  <c r="AG2469" i="1"/>
  <c r="AG2468" i="1"/>
  <c r="AG2467" i="1"/>
  <c r="AG2466" i="1"/>
  <c r="AG2465" i="1"/>
  <c r="AG2464" i="1"/>
  <c r="AG2463" i="1"/>
  <c r="AG2462" i="1"/>
  <c r="AG2461" i="1"/>
  <c r="AG2460" i="1"/>
  <c r="AG2459" i="1"/>
  <c r="AG2458" i="1"/>
  <c r="AG2457" i="1"/>
  <c r="AG2456" i="1"/>
  <c r="AG2455" i="1"/>
  <c r="AG2454" i="1"/>
  <c r="AG2453" i="1"/>
  <c r="AG2452" i="1"/>
  <c r="AG2451" i="1"/>
  <c r="AG2450" i="1"/>
  <c r="AG2449" i="1"/>
  <c r="AG2448" i="1"/>
  <c r="AG2447" i="1"/>
  <c r="AG2446" i="1"/>
  <c r="AG2445" i="1"/>
  <c r="AG2444" i="1"/>
  <c r="AG2443" i="1"/>
  <c r="AG2442" i="1"/>
  <c r="AG2441" i="1"/>
  <c r="AG2440" i="1"/>
  <c r="AG2439" i="1"/>
  <c r="AG2438" i="1"/>
  <c r="AG2437" i="1"/>
  <c r="AG2436" i="1"/>
  <c r="AG2435" i="1"/>
  <c r="AG2434" i="1"/>
  <c r="AG2433" i="1"/>
  <c r="AG2432" i="1"/>
  <c r="AG2431" i="1"/>
  <c r="AG2430" i="1"/>
  <c r="AG2429" i="1"/>
  <c r="AG2428" i="1"/>
  <c r="AG2427" i="1"/>
  <c r="AG2426" i="1"/>
  <c r="AG2425" i="1"/>
  <c r="AG2424" i="1"/>
  <c r="AG2423" i="1"/>
  <c r="AG2422" i="1"/>
  <c r="AG2421" i="1"/>
  <c r="AG2420" i="1"/>
  <c r="AG2419" i="1"/>
  <c r="AG2418" i="1"/>
  <c r="AG2417" i="1"/>
  <c r="AG2416" i="1"/>
  <c r="AG2415" i="1"/>
  <c r="AG2414" i="1"/>
  <c r="AG2413" i="1"/>
  <c r="AG2412" i="1"/>
  <c r="AG2411" i="1"/>
  <c r="AG2410" i="1"/>
  <c r="AG2409" i="1"/>
  <c r="AG2408" i="1"/>
  <c r="AG2407" i="1"/>
  <c r="AG2406" i="1"/>
  <c r="AG2405" i="1"/>
  <c r="AG2404" i="1"/>
  <c r="AG2403" i="1"/>
  <c r="AG2402" i="1"/>
  <c r="AG2401" i="1"/>
  <c r="AG2400" i="1"/>
  <c r="AG2399" i="1"/>
  <c r="AG2398" i="1"/>
  <c r="AG2397" i="1"/>
  <c r="AG2396" i="1"/>
  <c r="AG2395" i="1"/>
  <c r="AG2394" i="1"/>
  <c r="AG2393" i="1"/>
  <c r="AG2392" i="1"/>
  <c r="AG2391" i="1"/>
  <c r="AG2390" i="1"/>
  <c r="AG2389" i="1"/>
  <c r="AG2388" i="1"/>
  <c r="AG2387" i="1"/>
  <c r="AG2386" i="1"/>
  <c r="AG2385" i="1"/>
  <c r="AG2384" i="1"/>
  <c r="AG2383" i="1"/>
  <c r="AG2382" i="1"/>
  <c r="AG2381" i="1"/>
  <c r="AG2380" i="1"/>
  <c r="AG2379" i="1"/>
  <c r="AG2378" i="1"/>
  <c r="AG2377" i="1"/>
  <c r="AG2376" i="1"/>
  <c r="AG2375" i="1"/>
  <c r="AG2374" i="1"/>
  <c r="AG2373" i="1"/>
  <c r="AG2372" i="1"/>
  <c r="AG2371" i="1"/>
  <c r="AG2370" i="1"/>
  <c r="AG2369" i="1"/>
  <c r="AG2368" i="1"/>
  <c r="AG2367" i="1"/>
  <c r="AG2366" i="1"/>
  <c r="AG2365" i="1"/>
  <c r="AG2364" i="1"/>
  <c r="AG2363" i="1"/>
  <c r="AG2362" i="1"/>
  <c r="AG2361" i="1"/>
  <c r="AG2360" i="1"/>
  <c r="AG2359" i="1"/>
  <c r="AG2358" i="1"/>
  <c r="AG2357" i="1"/>
  <c r="AG2356" i="1"/>
  <c r="AG2355" i="1"/>
  <c r="AG2354" i="1"/>
  <c r="AG2353" i="1"/>
  <c r="AG2352" i="1"/>
  <c r="AG2351" i="1"/>
  <c r="AG2350" i="1"/>
  <c r="AG2349" i="1"/>
  <c r="AG2348" i="1"/>
  <c r="AG2347" i="1"/>
  <c r="AG2346" i="1"/>
  <c r="AG2345" i="1"/>
  <c r="AG2344" i="1"/>
  <c r="AG2343" i="1"/>
  <c r="AG2342" i="1"/>
  <c r="AG2341" i="1"/>
  <c r="AG2340" i="1"/>
  <c r="AG2339" i="1"/>
  <c r="AG2338" i="1"/>
  <c r="AG2337" i="1"/>
  <c r="AG2336" i="1"/>
  <c r="AG2335" i="1"/>
  <c r="AG2334" i="1"/>
  <c r="AG2333" i="1"/>
  <c r="AG2332" i="1"/>
  <c r="AG2331" i="1"/>
  <c r="AG2330" i="1"/>
  <c r="AG2329" i="1"/>
  <c r="AG2328" i="1"/>
  <c r="AG2327" i="1"/>
  <c r="AG2326" i="1"/>
  <c r="AG2325" i="1"/>
  <c r="AG2324" i="1"/>
  <c r="AG2323" i="1"/>
  <c r="AG2322" i="1"/>
  <c r="AG2321" i="1"/>
  <c r="AG2320" i="1"/>
  <c r="AG2319" i="1"/>
  <c r="AG2318" i="1"/>
  <c r="AG2317" i="1"/>
  <c r="AG2316" i="1"/>
  <c r="AG2315" i="1"/>
  <c r="AG2314" i="1"/>
  <c r="AG2313" i="1"/>
  <c r="AG2312" i="1"/>
  <c r="AG2311" i="1"/>
  <c r="AG2310" i="1"/>
  <c r="AG2309" i="1"/>
  <c r="AG2308" i="1"/>
  <c r="AG2307" i="1"/>
  <c r="AG2306" i="1"/>
  <c r="AG2305" i="1"/>
  <c r="AG2304" i="1"/>
  <c r="AG2303" i="1"/>
  <c r="AG2302" i="1"/>
  <c r="AG2301" i="1"/>
  <c r="AG2300" i="1"/>
  <c r="AG2299" i="1"/>
  <c r="AG2298" i="1"/>
  <c r="AG2297" i="1"/>
  <c r="AG2296" i="1"/>
  <c r="AG2295" i="1"/>
  <c r="AG2294" i="1"/>
  <c r="AG2293" i="1"/>
  <c r="AG2292" i="1"/>
  <c r="AG2291" i="1"/>
  <c r="AG2290" i="1"/>
  <c r="AG2289" i="1"/>
  <c r="AG2288" i="1"/>
  <c r="AG2287" i="1"/>
  <c r="AG2286" i="1"/>
  <c r="AG2285" i="1"/>
  <c r="AG2284" i="1"/>
  <c r="AG2283" i="1"/>
  <c r="AG2282" i="1"/>
  <c r="AG2281" i="1"/>
  <c r="AG2280" i="1"/>
  <c r="AG2279" i="1"/>
  <c r="AG2278" i="1"/>
  <c r="AG2277" i="1"/>
  <c r="AG2276" i="1"/>
  <c r="AG2275" i="1"/>
  <c r="AG2274" i="1"/>
  <c r="AG2273" i="1"/>
  <c r="AG2272" i="1"/>
  <c r="AG2271" i="1"/>
  <c r="AG2270" i="1"/>
  <c r="AG2269" i="1"/>
  <c r="AG2268" i="1"/>
  <c r="AG2267" i="1"/>
  <c r="AG2266" i="1"/>
  <c r="AG2265" i="1"/>
  <c r="AG2264" i="1"/>
  <c r="AG2263" i="1"/>
  <c r="AG2262" i="1"/>
  <c r="AG2261" i="1"/>
  <c r="AG2260" i="1"/>
  <c r="AG2259" i="1"/>
  <c r="AG2258" i="1"/>
  <c r="AG2257" i="1"/>
  <c r="AG2256" i="1"/>
  <c r="AG2255" i="1"/>
  <c r="AG2254" i="1"/>
  <c r="AG2253" i="1"/>
  <c r="AG2252" i="1"/>
  <c r="AG2251" i="1"/>
  <c r="AG2250" i="1"/>
  <c r="AG2249" i="1"/>
  <c r="AG2248" i="1"/>
  <c r="AG2247" i="1"/>
  <c r="AG2246" i="1"/>
  <c r="AG2245" i="1"/>
  <c r="AG2244" i="1"/>
  <c r="AG2243" i="1"/>
  <c r="AG2242" i="1"/>
  <c r="AG2241" i="1"/>
  <c r="AG2240" i="1"/>
  <c r="AG2239" i="1"/>
  <c r="AG2238" i="1"/>
  <c r="AG2237" i="1"/>
  <c r="AG2236" i="1"/>
  <c r="AG2235" i="1"/>
  <c r="AG2234" i="1"/>
  <c r="AG2233" i="1"/>
  <c r="AG2232" i="1"/>
  <c r="AG2231" i="1"/>
  <c r="AG2230" i="1"/>
  <c r="AG2229" i="1"/>
  <c r="AG2228" i="1"/>
  <c r="AG2227" i="1"/>
  <c r="AG2226" i="1"/>
  <c r="AG2225" i="1"/>
  <c r="AG2224" i="1"/>
  <c r="AG2223" i="1"/>
  <c r="AG2222" i="1"/>
  <c r="AG2221" i="1"/>
  <c r="AG2220" i="1"/>
  <c r="AG2219" i="1"/>
  <c r="AG2218" i="1"/>
  <c r="AG2217" i="1"/>
  <c r="AG2216" i="1"/>
  <c r="AG2215" i="1"/>
  <c r="AG2214" i="1"/>
  <c r="AG2213" i="1"/>
  <c r="AG2212" i="1"/>
  <c r="AG2211" i="1"/>
  <c r="AG2210" i="1"/>
  <c r="AG2209" i="1"/>
  <c r="AG2208" i="1"/>
  <c r="AG2207" i="1"/>
  <c r="AG2206" i="1"/>
  <c r="AG2205" i="1"/>
  <c r="AG2204" i="1"/>
  <c r="AG2203" i="1"/>
  <c r="AG2202" i="1"/>
  <c r="AG2201" i="1"/>
  <c r="AG2200" i="1"/>
  <c r="AG2199" i="1"/>
  <c r="AG2198" i="1"/>
  <c r="AG2197" i="1"/>
  <c r="AG2196" i="1"/>
  <c r="AG2195" i="1"/>
  <c r="AG2194" i="1"/>
  <c r="AG2193" i="1"/>
  <c r="AG2192" i="1"/>
  <c r="AG2191" i="1"/>
  <c r="AG2190" i="1"/>
  <c r="AG2189" i="1"/>
  <c r="AG2188" i="1"/>
  <c r="AG2187" i="1"/>
  <c r="AG2186" i="1"/>
  <c r="AG2185" i="1"/>
  <c r="AG2184" i="1"/>
  <c r="AG2183" i="1"/>
  <c r="AG2182" i="1"/>
  <c r="AG2181" i="1"/>
  <c r="AG2180" i="1"/>
  <c r="AG2179" i="1"/>
  <c r="AG2178" i="1"/>
  <c r="AG2177" i="1"/>
  <c r="AG2176" i="1"/>
  <c r="AG2175" i="1"/>
  <c r="AG2174" i="1"/>
  <c r="AG2173" i="1"/>
  <c r="AG2172" i="1"/>
  <c r="AG2171" i="1"/>
  <c r="AG2170" i="1"/>
  <c r="AG2169" i="1"/>
  <c r="AG2168" i="1"/>
  <c r="AG2167" i="1"/>
  <c r="AG2166" i="1"/>
  <c r="AG2165" i="1"/>
  <c r="AG2164" i="1"/>
  <c r="AG2163" i="1"/>
  <c r="AG2162" i="1"/>
  <c r="AG2161" i="1"/>
  <c r="AG2160" i="1"/>
  <c r="AG2159" i="1"/>
  <c r="AG2158" i="1"/>
  <c r="AG2157" i="1"/>
  <c r="AG2156" i="1"/>
  <c r="AG2155" i="1"/>
  <c r="AG2154" i="1"/>
  <c r="AG2153" i="1"/>
  <c r="AG2152" i="1"/>
  <c r="AG2151" i="1"/>
  <c r="AG2150" i="1"/>
  <c r="AG2149" i="1"/>
  <c r="AG2148" i="1"/>
  <c r="AG2147" i="1"/>
  <c r="AG2146" i="1"/>
  <c r="AG2145" i="1"/>
  <c r="AG2144" i="1"/>
  <c r="AG2143" i="1"/>
  <c r="AG2142" i="1"/>
  <c r="AG2141" i="1"/>
  <c r="AG2140" i="1"/>
  <c r="AG2139" i="1"/>
  <c r="AG2138" i="1"/>
  <c r="AG2137" i="1"/>
  <c r="AG2136" i="1"/>
  <c r="AG2135" i="1"/>
  <c r="AG2134" i="1"/>
  <c r="AG2133" i="1"/>
  <c r="AG2132" i="1"/>
  <c r="AG2131" i="1"/>
  <c r="AG2130" i="1"/>
  <c r="AG2129" i="1"/>
  <c r="AG2128" i="1"/>
  <c r="AG2127" i="1"/>
  <c r="AG2126" i="1"/>
  <c r="AG2125" i="1"/>
  <c r="AG2124" i="1"/>
  <c r="AG2123" i="1"/>
  <c r="AG2122" i="1"/>
  <c r="AG2121" i="1"/>
  <c r="AG2120" i="1"/>
  <c r="AG2119" i="1"/>
  <c r="AG2118" i="1"/>
  <c r="AG2117" i="1"/>
  <c r="AG2116" i="1"/>
  <c r="AG2115" i="1"/>
  <c r="AG2114" i="1"/>
  <c r="AG2113" i="1"/>
  <c r="AG2112" i="1"/>
  <c r="AG2111" i="1"/>
  <c r="AG2110" i="1"/>
  <c r="AG2109" i="1"/>
  <c r="AG2108" i="1"/>
  <c r="AG2107" i="1"/>
  <c r="AG2106" i="1"/>
  <c r="AG2105" i="1"/>
  <c r="AG2104" i="1"/>
  <c r="AG2103" i="1"/>
  <c r="AG2102" i="1"/>
  <c r="AG2101" i="1"/>
  <c r="AG2100" i="1"/>
  <c r="AG2099" i="1"/>
  <c r="AG2098" i="1"/>
  <c r="AG2097" i="1"/>
  <c r="AG2096" i="1"/>
  <c r="AG2095" i="1"/>
  <c r="AG2094" i="1"/>
  <c r="AG2093" i="1"/>
  <c r="AG2092" i="1"/>
  <c r="AG2091" i="1"/>
  <c r="AG2090" i="1"/>
  <c r="AG2089" i="1"/>
  <c r="AG2088" i="1"/>
  <c r="AG2087" i="1"/>
  <c r="AG2086" i="1"/>
  <c r="AG2085" i="1"/>
  <c r="AG2084" i="1"/>
  <c r="AG2083" i="1"/>
  <c r="AG2082" i="1"/>
  <c r="AG2081" i="1"/>
  <c r="AG2080" i="1"/>
  <c r="AG2079" i="1"/>
  <c r="AG2078" i="1"/>
  <c r="AG2077" i="1"/>
  <c r="AG2076" i="1"/>
  <c r="AG2075" i="1"/>
  <c r="AG2074" i="1"/>
  <c r="AG2073" i="1"/>
  <c r="AG2072" i="1"/>
  <c r="AG2071" i="1"/>
  <c r="AG2070" i="1"/>
  <c r="AG2069" i="1"/>
  <c r="AG2068" i="1"/>
  <c r="AG2067" i="1"/>
  <c r="AG2066" i="1"/>
  <c r="AG2065" i="1"/>
  <c r="AG2064" i="1"/>
  <c r="AG2063" i="1"/>
  <c r="AG2062" i="1"/>
  <c r="AG2061" i="1"/>
  <c r="AG2060" i="1"/>
  <c r="AG2059" i="1"/>
  <c r="AG2058" i="1"/>
  <c r="AG2057" i="1"/>
  <c r="AG2056" i="1"/>
  <c r="AG2055" i="1"/>
  <c r="AG2054" i="1"/>
  <c r="AG2053" i="1"/>
  <c r="AG2052" i="1"/>
  <c r="AG2051" i="1"/>
  <c r="AG2050" i="1"/>
  <c r="AG2049" i="1"/>
  <c r="AG2048" i="1"/>
  <c r="AG2047" i="1"/>
  <c r="AG2046" i="1"/>
  <c r="AG2045" i="1"/>
  <c r="AG2044" i="1"/>
  <c r="AG2043" i="1"/>
  <c r="AG2042" i="1"/>
  <c r="AG2041" i="1"/>
  <c r="AG2040" i="1"/>
  <c r="AG2039" i="1"/>
  <c r="AG2038" i="1"/>
  <c r="AG2037" i="1"/>
  <c r="AG2036" i="1"/>
  <c r="AG2035" i="1"/>
  <c r="AG2034" i="1"/>
  <c r="AG2033" i="1"/>
  <c r="AG2032" i="1"/>
  <c r="AG2031" i="1"/>
  <c r="AG2030" i="1"/>
  <c r="AG2029" i="1"/>
  <c r="AG2028" i="1"/>
  <c r="AG2027" i="1"/>
  <c r="AG2026" i="1"/>
  <c r="AG2025" i="1"/>
  <c r="AG2024" i="1"/>
  <c r="AG2023" i="1"/>
  <c r="AG2022" i="1"/>
  <c r="AG2021" i="1"/>
  <c r="AG2020" i="1"/>
  <c r="AG2019" i="1"/>
  <c r="AG2018" i="1"/>
  <c r="AG2017" i="1"/>
  <c r="AG2016" i="1"/>
  <c r="AG2015" i="1"/>
  <c r="AG2014" i="1"/>
  <c r="AG2013" i="1"/>
  <c r="AG2012" i="1"/>
  <c r="AG2011" i="1"/>
  <c r="AG2010" i="1"/>
  <c r="AG2009" i="1"/>
  <c r="AG2008" i="1"/>
  <c r="AG2007" i="1"/>
  <c r="AG2006" i="1"/>
  <c r="AG2005" i="1"/>
  <c r="AG2004" i="1"/>
  <c r="AG2003" i="1"/>
  <c r="AG2002" i="1"/>
  <c r="AG2001" i="1"/>
  <c r="AG2000" i="1"/>
  <c r="AG1999" i="1"/>
  <c r="AG1998" i="1"/>
  <c r="AG1997" i="1"/>
  <c r="AG1996" i="1"/>
  <c r="AG1995" i="1"/>
  <c r="AG1994" i="1"/>
  <c r="AG1993" i="1"/>
  <c r="AG1992" i="1"/>
  <c r="AG1991" i="1"/>
  <c r="AG1990" i="1"/>
  <c r="AG1989" i="1"/>
  <c r="AG1988" i="1"/>
  <c r="AG1987" i="1"/>
  <c r="AG1986" i="1"/>
  <c r="AG1985" i="1"/>
  <c r="AG1984" i="1"/>
  <c r="AG1983" i="1"/>
  <c r="AG1982" i="1"/>
  <c r="AG1981" i="1"/>
  <c r="AG1980" i="1"/>
  <c r="AG1979" i="1"/>
  <c r="AG1978" i="1"/>
  <c r="AG1977" i="1"/>
  <c r="AG1976" i="1"/>
  <c r="AG1975" i="1"/>
  <c r="AG1974" i="1"/>
  <c r="AG1973" i="1"/>
  <c r="AG1972" i="1"/>
  <c r="AG1971" i="1"/>
  <c r="AG1970" i="1"/>
  <c r="AG1969" i="1"/>
  <c r="AG1968" i="1"/>
  <c r="AG1967" i="1"/>
  <c r="AG1966" i="1"/>
  <c r="AG1965" i="1"/>
  <c r="AG1964" i="1"/>
  <c r="AG1963" i="1"/>
  <c r="AG1962" i="1"/>
  <c r="AG1961" i="1"/>
  <c r="AG1960" i="1"/>
  <c r="AG1959" i="1"/>
  <c r="AG1958" i="1"/>
  <c r="AG1957" i="1"/>
  <c r="AG1956" i="1"/>
  <c r="AG1955" i="1"/>
  <c r="AG1954" i="1"/>
  <c r="AG1953" i="1"/>
  <c r="AG1952" i="1"/>
  <c r="AG1951" i="1"/>
  <c r="AG1950" i="1"/>
  <c r="AG1949" i="1"/>
  <c r="AG1948" i="1"/>
  <c r="AG1947" i="1"/>
  <c r="AG1946" i="1"/>
  <c r="AG1945" i="1"/>
  <c r="AG1944" i="1"/>
  <c r="AG1943" i="1"/>
  <c r="AG1942" i="1"/>
  <c r="AG1941" i="1"/>
  <c r="AG1940" i="1"/>
  <c r="AG1939" i="1"/>
  <c r="AG1938" i="1"/>
  <c r="AG1937" i="1"/>
  <c r="AG1936" i="1"/>
  <c r="AG1935" i="1"/>
  <c r="AG1934" i="1"/>
  <c r="AG1933" i="1"/>
  <c r="AG1932" i="1"/>
  <c r="AG1931" i="1"/>
  <c r="AG1930" i="1"/>
  <c r="AG1929" i="1"/>
  <c r="AG1928" i="1"/>
  <c r="AG1927" i="1"/>
  <c r="AG1926" i="1"/>
  <c r="AG1925" i="1"/>
  <c r="AG1924" i="1"/>
  <c r="AG1923" i="1"/>
  <c r="AG1922" i="1"/>
  <c r="AG1921" i="1"/>
  <c r="AG1920" i="1"/>
  <c r="AG1919" i="1"/>
  <c r="AG1918" i="1"/>
  <c r="AG1917" i="1"/>
  <c r="AG1916" i="1"/>
  <c r="AG1915" i="1"/>
  <c r="AG1914" i="1"/>
  <c r="AG1913" i="1"/>
  <c r="AG1912" i="1"/>
  <c r="AG1911" i="1"/>
  <c r="AG1910" i="1"/>
  <c r="AG1909" i="1"/>
  <c r="AG1908" i="1"/>
  <c r="AG1907" i="1"/>
  <c r="AG1906" i="1"/>
  <c r="AG1905" i="1"/>
  <c r="AG1904" i="1"/>
  <c r="AG1903" i="1"/>
  <c r="AG1902" i="1"/>
  <c r="AG1901" i="1"/>
  <c r="AG1900" i="1"/>
  <c r="AG1899" i="1"/>
  <c r="AG1898" i="1"/>
  <c r="AG1897" i="1"/>
  <c r="AG1896" i="1"/>
  <c r="AG1895" i="1"/>
  <c r="AG1894" i="1"/>
  <c r="AG1893" i="1"/>
  <c r="AG1892" i="1"/>
  <c r="AG1891" i="1"/>
  <c r="AG1890" i="1"/>
  <c r="AG1889" i="1"/>
  <c r="AG1888" i="1"/>
  <c r="AG1887" i="1"/>
  <c r="AG1886" i="1"/>
  <c r="AG1885" i="1"/>
  <c r="AG1884" i="1"/>
  <c r="AG1883" i="1"/>
  <c r="AG1882" i="1"/>
  <c r="AG1881" i="1"/>
  <c r="AG1880" i="1"/>
  <c r="AG1879" i="1"/>
  <c r="AG1878" i="1"/>
  <c r="AG1877" i="1"/>
  <c r="AG1876" i="1"/>
  <c r="AG1875" i="1"/>
  <c r="AG1874" i="1"/>
  <c r="AG1873" i="1"/>
  <c r="AG1872" i="1"/>
  <c r="AG1871" i="1"/>
  <c r="AG1870" i="1"/>
  <c r="AG1869" i="1"/>
  <c r="AG1868" i="1"/>
  <c r="AG1867" i="1"/>
  <c r="AG1866" i="1"/>
  <c r="AG1865" i="1"/>
  <c r="AG1864" i="1"/>
  <c r="AG1863" i="1"/>
  <c r="AG1862" i="1"/>
  <c r="AG1861" i="1"/>
  <c r="AG1860" i="1"/>
  <c r="AG1859" i="1"/>
  <c r="AG1858" i="1"/>
  <c r="AG1857" i="1"/>
  <c r="AG1856" i="1"/>
  <c r="AG1855" i="1"/>
  <c r="AG1854" i="1"/>
  <c r="AG1853" i="1"/>
  <c r="AG1852" i="1"/>
  <c r="AG1851" i="1"/>
  <c r="AG1850" i="1"/>
  <c r="AG1849" i="1"/>
  <c r="AG1848" i="1"/>
  <c r="AG1847" i="1"/>
  <c r="AG1846" i="1"/>
  <c r="AG1845" i="1"/>
  <c r="AG1844" i="1"/>
  <c r="AG1843" i="1"/>
  <c r="AG1842" i="1"/>
  <c r="AG1841" i="1"/>
  <c r="AG1840" i="1"/>
  <c r="AG1839" i="1"/>
  <c r="AG1838" i="1"/>
  <c r="AG1837" i="1"/>
  <c r="AG1836" i="1"/>
  <c r="AG1835" i="1"/>
  <c r="AG1834" i="1"/>
  <c r="AG1833" i="1"/>
  <c r="AG1832" i="1"/>
  <c r="AG1831" i="1"/>
  <c r="AG1830" i="1"/>
  <c r="AG1829" i="1"/>
  <c r="AG1828" i="1"/>
  <c r="AG1827" i="1"/>
  <c r="AG1826" i="1"/>
  <c r="AG1825" i="1"/>
  <c r="AG1824" i="1"/>
  <c r="AG1823" i="1"/>
  <c r="AG1822" i="1"/>
  <c r="AG1821" i="1"/>
  <c r="AG1820" i="1"/>
  <c r="AG1819" i="1"/>
  <c r="AG1818" i="1"/>
  <c r="AG1817" i="1"/>
  <c r="AG1816" i="1"/>
  <c r="AG1815" i="1"/>
  <c r="AG1814" i="1"/>
  <c r="AG1813" i="1"/>
  <c r="AG1812" i="1"/>
  <c r="AG1811" i="1"/>
  <c r="AG1810" i="1"/>
  <c r="AG1809" i="1"/>
  <c r="AG1808" i="1"/>
  <c r="AG1807" i="1"/>
  <c r="AG1806" i="1"/>
  <c r="AG1805" i="1"/>
  <c r="AG1804" i="1"/>
  <c r="AG1803" i="1"/>
  <c r="AG1802" i="1"/>
  <c r="AG1801" i="1"/>
  <c r="AG1800" i="1"/>
  <c r="AG1799" i="1"/>
  <c r="AG1798" i="1"/>
  <c r="AG1797" i="1"/>
  <c r="AG1796" i="1"/>
  <c r="AG1795" i="1"/>
  <c r="AG1794" i="1"/>
  <c r="AG1793" i="1"/>
  <c r="AG1792" i="1"/>
  <c r="AG1791" i="1"/>
  <c r="AG1790" i="1"/>
  <c r="AG1789" i="1"/>
  <c r="AG1788" i="1"/>
  <c r="AG1787" i="1"/>
  <c r="AG1786" i="1"/>
  <c r="AG1785" i="1"/>
  <c r="AG1784" i="1"/>
  <c r="AG1783" i="1"/>
  <c r="AG1782" i="1"/>
  <c r="AG1781" i="1"/>
  <c r="AG1780" i="1"/>
  <c r="AG1779" i="1"/>
  <c r="AG1778" i="1"/>
  <c r="AG1777" i="1"/>
  <c r="AG1776" i="1"/>
  <c r="AG1775" i="1"/>
  <c r="AG1774" i="1"/>
  <c r="AG1773" i="1"/>
  <c r="AG1772" i="1"/>
  <c r="AG1771" i="1"/>
  <c r="AG1770" i="1"/>
  <c r="AG1769" i="1"/>
  <c r="AG1768" i="1"/>
  <c r="AG1767" i="1"/>
  <c r="AG1766" i="1"/>
  <c r="AG1765" i="1"/>
  <c r="AG1764" i="1"/>
  <c r="AG1763" i="1"/>
  <c r="AG1762" i="1"/>
  <c r="AG1761" i="1"/>
  <c r="AG1760" i="1"/>
  <c r="AG1759" i="1"/>
  <c r="AG1758" i="1"/>
  <c r="AG1757" i="1"/>
  <c r="AG1756" i="1"/>
  <c r="AG1755" i="1"/>
  <c r="AG1754" i="1"/>
  <c r="AG1753" i="1"/>
  <c r="AG1752" i="1"/>
  <c r="AG1751" i="1"/>
  <c r="AG1750" i="1"/>
  <c r="AG1749" i="1"/>
  <c r="AG1748" i="1"/>
  <c r="AG1747" i="1"/>
  <c r="AG1746" i="1"/>
  <c r="AG1745" i="1"/>
  <c r="AG1744" i="1"/>
  <c r="AG1743" i="1"/>
  <c r="AG1742" i="1"/>
  <c r="AG1741" i="1"/>
  <c r="AG1740" i="1"/>
  <c r="AG1739" i="1"/>
  <c r="AG1738" i="1"/>
  <c r="AG1737" i="1"/>
  <c r="AG1736" i="1"/>
  <c r="AG1735" i="1"/>
  <c r="AG1734" i="1"/>
  <c r="AG1733" i="1"/>
  <c r="AG1732" i="1"/>
  <c r="AG1731" i="1"/>
  <c r="AG1730" i="1"/>
  <c r="AG1729" i="1"/>
  <c r="AG1728" i="1"/>
  <c r="AG1727" i="1"/>
  <c r="AG1726" i="1"/>
  <c r="AG1725" i="1"/>
  <c r="AG1724" i="1"/>
  <c r="AG1723" i="1"/>
  <c r="AG1722" i="1"/>
  <c r="AG1721" i="1"/>
  <c r="AG1720" i="1"/>
  <c r="AG1719" i="1"/>
  <c r="AG1718" i="1"/>
  <c r="AG1717" i="1"/>
  <c r="AG1716" i="1"/>
  <c r="AG1715" i="1"/>
  <c r="AG1714" i="1"/>
  <c r="AG1713" i="1"/>
  <c r="AG1712" i="1"/>
  <c r="AG1711" i="1"/>
  <c r="AG1710" i="1"/>
  <c r="AG1709" i="1"/>
  <c r="AG1708" i="1"/>
  <c r="AG1707" i="1"/>
  <c r="AG1706" i="1"/>
  <c r="AG1705" i="1"/>
  <c r="AG1704" i="1"/>
  <c r="AG1703" i="1"/>
  <c r="AG1702" i="1"/>
  <c r="AG1701" i="1"/>
  <c r="AG1700" i="1"/>
  <c r="AG1699" i="1"/>
  <c r="AG1698" i="1"/>
  <c r="AG1697" i="1"/>
  <c r="AG1696" i="1"/>
  <c r="AG1695" i="1"/>
  <c r="AG1694" i="1"/>
  <c r="AG1693" i="1"/>
  <c r="AG1692" i="1"/>
  <c r="AG1691" i="1"/>
  <c r="AG1690" i="1"/>
  <c r="AG1689" i="1"/>
  <c r="AG1688" i="1"/>
  <c r="AG1687" i="1"/>
  <c r="AG1686" i="1"/>
  <c r="AG1685" i="1"/>
  <c r="AG1684" i="1"/>
  <c r="AG1683" i="1"/>
  <c r="AG1682" i="1"/>
  <c r="AG1681" i="1"/>
  <c r="AG1680" i="1"/>
  <c r="AG1679" i="1"/>
  <c r="AG1678" i="1"/>
  <c r="AG1677" i="1"/>
  <c r="AG1676" i="1"/>
  <c r="AG1675" i="1"/>
  <c r="AG1674" i="1"/>
  <c r="AG1673" i="1"/>
  <c r="AG1672" i="1"/>
  <c r="AG1671" i="1"/>
  <c r="AG1670" i="1"/>
  <c r="AG1669" i="1"/>
  <c r="AG1668" i="1"/>
  <c r="AG1667" i="1"/>
  <c r="AG1666" i="1"/>
  <c r="AG1665" i="1"/>
  <c r="AG1664" i="1"/>
  <c r="AG1663" i="1"/>
  <c r="AG1662" i="1"/>
  <c r="AG1661" i="1"/>
  <c r="AG1660" i="1"/>
  <c r="AG1659" i="1"/>
  <c r="AG1658" i="1"/>
  <c r="AG1657" i="1"/>
  <c r="AG1656" i="1"/>
  <c r="AG1655" i="1"/>
  <c r="AG1654" i="1"/>
  <c r="AG1653" i="1"/>
  <c r="AG1652" i="1"/>
  <c r="AG1651" i="1"/>
  <c r="AG1650" i="1"/>
  <c r="AG1649" i="1"/>
  <c r="AG1648" i="1"/>
  <c r="AG1647" i="1"/>
  <c r="AG1646" i="1"/>
  <c r="AG1645" i="1"/>
  <c r="AG1644" i="1"/>
  <c r="AG1643" i="1"/>
  <c r="AG1642" i="1"/>
  <c r="AG1641" i="1"/>
  <c r="AG1640" i="1"/>
  <c r="AG1639" i="1"/>
  <c r="AG1638" i="1"/>
  <c r="AG1637" i="1"/>
  <c r="AG1636" i="1"/>
  <c r="AG1635" i="1"/>
  <c r="AG1634" i="1"/>
  <c r="AG1633" i="1"/>
  <c r="AG1632" i="1"/>
  <c r="AG1631" i="1"/>
  <c r="AG1630" i="1"/>
  <c r="AG1629" i="1"/>
  <c r="AG1628" i="1"/>
  <c r="AG1627" i="1"/>
  <c r="AG1626" i="1"/>
  <c r="AG1625" i="1"/>
  <c r="AG1624" i="1"/>
  <c r="AG1623" i="1"/>
  <c r="AG1622" i="1"/>
  <c r="AG1621" i="1"/>
  <c r="AG1620" i="1"/>
  <c r="AG1619" i="1"/>
  <c r="AG1618" i="1"/>
  <c r="AG1617" i="1"/>
  <c r="AG1616" i="1"/>
  <c r="AG1615" i="1"/>
  <c r="AG1614" i="1"/>
  <c r="AG1613" i="1"/>
  <c r="AG1612" i="1"/>
  <c r="AG1611" i="1"/>
  <c r="AG1610" i="1"/>
  <c r="AG1609" i="1"/>
  <c r="AG1608" i="1"/>
  <c r="AG1607" i="1"/>
  <c r="AG1606" i="1"/>
  <c r="AG1605" i="1"/>
  <c r="AG1604" i="1"/>
  <c r="AG1603" i="1"/>
  <c r="AG1602" i="1"/>
  <c r="AG1601" i="1"/>
  <c r="AG1600" i="1"/>
  <c r="AG1599" i="1"/>
  <c r="AG1598" i="1"/>
  <c r="AG1597" i="1"/>
  <c r="AG1596" i="1"/>
  <c r="AG1595" i="1"/>
  <c r="AG1594" i="1"/>
  <c r="AG1593" i="1"/>
  <c r="AG1592" i="1"/>
  <c r="AG1591" i="1"/>
  <c r="AG1590" i="1"/>
  <c r="AG1589" i="1"/>
  <c r="AG1588" i="1"/>
  <c r="AG1587" i="1"/>
  <c r="AG1586" i="1"/>
  <c r="AG1585" i="1"/>
  <c r="AG1584" i="1"/>
  <c r="AG1583" i="1"/>
  <c r="AG1582" i="1"/>
  <c r="AG1581" i="1"/>
  <c r="AG1580" i="1"/>
  <c r="AG1579" i="1"/>
  <c r="AG1578" i="1"/>
  <c r="AG1577" i="1"/>
  <c r="AG1576" i="1"/>
  <c r="AG1575" i="1"/>
  <c r="AG1574" i="1"/>
  <c r="AG1573" i="1"/>
  <c r="AG1572" i="1"/>
  <c r="AG1571" i="1"/>
  <c r="AG1570" i="1"/>
  <c r="AG1569" i="1"/>
  <c r="AG1568" i="1"/>
  <c r="AG1567" i="1"/>
  <c r="AG1566" i="1"/>
  <c r="AG1565" i="1"/>
  <c r="AG1564" i="1"/>
  <c r="AG1563" i="1"/>
  <c r="AG1562" i="1"/>
  <c r="AG1561" i="1"/>
  <c r="AG1560" i="1"/>
  <c r="AG1559" i="1"/>
  <c r="AG1558" i="1"/>
  <c r="AG1557" i="1"/>
  <c r="AG1556" i="1"/>
  <c r="AG1555" i="1"/>
  <c r="AG1554" i="1"/>
  <c r="AG1553" i="1"/>
  <c r="AG1552" i="1"/>
  <c r="AG1551" i="1"/>
  <c r="AG1550" i="1"/>
  <c r="AG1549" i="1"/>
  <c r="AG1548" i="1"/>
  <c r="AG1547" i="1"/>
  <c r="AG1546" i="1"/>
  <c r="AG1545" i="1"/>
  <c r="AG1544" i="1"/>
  <c r="AG1543" i="1"/>
  <c r="AG1542" i="1"/>
  <c r="AG1541" i="1"/>
  <c r="AG1540" i="1"/>
  <c r="AG1539" i="1"/>
  <c r="AG1538" i="1"/>
  <c r="AG1537" i="1"/>
  <c r="AG1536" i="1"/>
  <c r="AG1535" i="1"/>
  <c r="AG1534" i="1"/>
  <c r="AG1533" i="1"/>
  <c r="AG1532" i="1"/>
  <c r="AG1531" i="1"/>
  <c r="AG1530" i="1"/>
  <c r="AG1529" i="1"/>
  <c r="AG1528" i="1"/>
  <c r="AG1527" i="1"/>
  <c r="AG1526" i="1"/>
  <c r="AG1525" i="1"/>
  <c r="AG1524" i="1"/>
  <c r="AG1523" i="1"/>
  <c r="AG1522" i="1"/>
  <c r="AG1521" i="1"/>
  <c r="AG1520" i="1"/>
  <c r="AG1519" i="1"/>
  <c r="AG1518" i="1"/>
  <c r="AG1517" i="1"/>
  <c r="AG1516" i="1"/>
  <c r="AG1515" i="1"/>
  <c r="AG1514" i="1"/>
  <c r="AG1513" i="1"/>
  <c r="AG1512" i="1"/>
  <c r="AG1511" i="1"/>
  <c r="AG1510" i="1"/>
  <c r="AG1509" i="1"/>
  <c r="AG1508" i="1"/>
  <c r="AG1507" i="1"/>
  <c r="AG1506" i="1"/>
  <c r="AG1505" i="1"/>
  <c r="AG1504" i="1"/>
  <c r="AG1503" i="1"/>
  <c r="AG1502" i="1"/>
  <c r="AG1501" i="1"/>
  <c r="AG1500" i="1"/>
  <c r="AG1499" i="1"/>
  <c r="AG1498" i="1"/>
  <c r="AG1497" i="1"/>
  <c r="AG1496" i="1"/>
  <c r="AG1495" i="1"/>
  <c r="AG1494" i="1"/>
  <c r="AG1493" i="1"/>
  <c r="AG1492" i="1"/>
  <c r="AG1491" i="1"/>
  <c r="AG1490" i="1"/>
  <c r="AG1489" i="1"/>
  <c r="AG1488" i="1"/>
  <c r="AG1487" i="1"/>
  <c r="AG1486" i="1"/>
  <c r="AG1485" i="1"/>
  <c r="AG1484" i="1"/>
  <c r="AG1483" i="1"/>
  <c r="AG1482" i="1"/>
  <c r="AG1481" i="1"/>
  <c r="AG1480" i="1"/>
  <c r="AG1479" i="1"/>
  <c r="AG1478" i="1"/>
  <c r="AG1477" i="1"/>
  <c r="AG1476" i="1"/>
  <c r="AG1475" i="1"/>
  <c r="AG1474" i="1"/>
  <c r="AG1473" i="1"/>
  <c r="AG1472" i="1"/>
  <c r="AG1471" i="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G2" i="1"/>
</calcChain>
</file>

<file path=xl/sharedStrings.xml><?xml version="1.0" encoding="utf-8"?>
<sst xmlns="http://schemas.openxmlformats.org/spreadsheetml/2006/main" count="106380" uniqueCount="10835">
  <si>
    <t>Ship_Name</t>
  </si>
  <si>
    <t>Notes</t>
  </si>
  <si>
    <t>Ship_Notes</t>
  </si>
  <si>
    <t>First_Name</t>
  </si>
  <si>
    <t>Surname</t>
  </si>
  <si>
    <t>Birthdate</t>
  </si>
  <si>
    <t>ID</t>
  </si>
  <si>
    <t>Ref_Page</t>
  </si>
  <si>
    <t>Book</t>
  </si>
  <si>
    <t>Commander</t>
  </si>
  <si>
    <t>Father_FirstName</t>
  </si>
  <si>
    <t>Father_Surname</t>
  </si>
  <si>
    <t>Mother_FirstName</t>
  </si>
  <si>
    <t>Mother_Surname</t>
  </si>
  <si>
    <t>Gender</t>
  </si>
  <si>
    <t>Race</t>
  </si>
  <si>
    <t>Ethnicity</t>
  </si>
  <si>
    <t>Origination_Port</t>
  </si>
  <si>
    <t>Origination_State</t>
  </si>
  <si>
    <t>Departure_Port</t>
  </si>
  <si>
    <t>Departure_Date</t>
  </si>
  <si>
    <t>Arrival_Port_City</t>
  </si>
  <si>
    <t>Primary_Source_1</t>
  </si>
  <si>
    <t>Primary_Source_2</t>
  </si>
  <si>
    <t>Enslaver</t>
  </si>
  <si>
    <t>Origin</t>
  </si>
  <si>
    <t>Extracted_City</t>
  </si>
  <si>
    <t>Extracted_County</t>
  </si>
  <si>
    <t>Extracted_State</t>
  </si>
  <si>
    <t>Country</t>
  </si>
  <si>
    <t>State</t>
  </si>
  <si>
    <t>County</t>
  </si>
  <si>
    <t>Departure_Coordinates</t>
  </si>
  <si>
    <t>3 Friends</t>
  </si>
  <si>
    <t>William Johnson, 21, stout likely fellow, (Lt. Richard Holland). Formerly slave to John Chapman of Princess Ann County, Virginia; left him 4 years.</t>
  </si>
  <si>
    <t>Sloop 3 Friends bound for River St. John's John Stewart, Master</t>
  </si>
  <si>
    <t>William</t>
  </si>
  <si>
    <t>Johnson</t>
  </si>
  <si>
    <t>-</t>
  </si>
  <si>
    <t>Book One Part One</t>
  </si>
  <si>
    <t>John Stewart</t>
  </si>
  <si>
    <t>Male</t>
  </si>
  <si>
    <t>Black</t>
  </si>
  <si>
    <t>African American</t>
  </si>
  <si>
    <t>Formerly slave to John Chapman of Princess Ann County</t>
  </si>
  <si>
    <t>Virginia</t>
  </si>
  <si>
    <t>River St. John's</t>
  </si>
  <si>
    <t>Lt. Richard Holland</t>
  </si>
  <si>
    <t>United States</t>
  </si>
  <si>
    <t>Sally her child, 8 mo.</t>
  </si>
  <si>
    <t>Sally</t>
  </si>
  <si>
    <t>her child</t>
  </si>
  <si>
    <t>Elizabeth</t>
  </si>
  <si>
    <t>Merrick</t>
  </si>
  <si>
    <t>Child Male</t>
  </si>
  <si>
    <t>mo</t>
  </si>
  <si>
    <t>Elizabeth Merrick, 27, stout wench, M, (Luther Hatheway). Born free; served her time with Lambert Woodward of Newtown, Long Island.</t>
  </si>
  <si>
    <t>Female</t>
  </si>
  <si>
    <t>Luther Hatheway</t>
  </si>
  <si>
    <t>Newtown</t>
  </si>
  <si>
    <t>Long Island</t>
  </si>
  <si>
    <t>Richard Merrick, 32, stout likely fellow, (Sam Wilson). Formerly slave to Samuel Merrick of Springfield, Massachusetts, who gave him his freedom &amp; produced a Certificate dated 4 November 74, signed by Merrick, Philips &amp; Dr. White.</t>
  </si>
  <si>
    <t>Richard</t>
  </si>
  <si>
    <t>Tom</t>
  </si>
  <si>
    <t>Gunn</t>
  </si>
  <si>
    <t>Sam Wilson</t>
  </si>
  <si>
    <t>Springfield</t>
  </si>
  <si>
    <t>Massachusetts</t>
  </si>
  <si>
    <t>Tom Gunn, 43, stout, pockmarked, (Sam Wilson). Formerly slave to Enos Gunn of Waterbury, Connecticut.</t>
  </si>
  <si>
    <t>Waterbury</t>
  </si>
  <si>
    <t>Connecticut</t>
  </si>
  <si>
    <t>Hannah and, 16, stout wench, (Lt. Richard Holland). Born free in Cow Neck, Long Island, lived with Caleb Merrill till within this last year.</t>
  </si>
  <si>
    <t>Hannah</t>
  </si>
  <si>
    <t>and</t>
  </si>
  <si>
    <t>Child Female</t>
  </si>
  <si>
    <t>3 Sisters</t>
  </si>
  <si>
    <t>18 September</t>
  </si>
  <si>
    <t>3 Sisters bound for Quebec John Wardell</t>
  </si>
  <si>
    <t>18</t>
  </si>
  <si>
    <t>September</t>
  </si>
  <si>
    <t>Book One Part Two</t>
  </si>
  <si>
    <t>Quebec John Wardell</t>
  </si>
  <si>
    <t>Alexander</t>
  </si>
  <si>
    <t>Cairo, 20, stout wench, (James Peters). Property of James Petes.</t>
  </si>
  <si>
    <t>Alexander bound for St. John's Roger Alderson</t>
  </si>
  <si>
    <t>Cairo</t>
  </si>
  <si>
    <t>70</t>
  </si>
  <si>
    <t>Book Two</t>
  </si>
  <si>
    <t>Roger Alderson</t>
  </si>
  <si>
    <t>New York</t>
  </si>
  <si>
    <t>Fall 1783</t>
  </si>
  <si>
    <t>St. John's</t>
  </si>
  <si>
    <t>Book of Negroes, British Headquarters Papers PRO 30/55/100; Loyalist evacuation shipping lists (1782–1784)</t>
  </si>
  <si>
    <t>Loyalist evacuation lists</t>
  </si>
  <si>
    <t>James Peters</t>
  </si>
  <si>
    <t>Bella, 14, stout wench, (James Peters). Property of James Peters.</t>
  </si>
  <si>
    <t>Bella</t>
  </si>
  <si>
    <t>Esther, 18, stout wench, M, (Bartholomew Cranell). Property of Bartholomew Crannell.</t>
  </si>
  <si>
    <t>Esther</t>
  </si>
  <si>
    <t>Bartholomew Cranell</t>
  </si>
  <si>
    <t>Robert, 36, stout fellow, (Bartholomew Crannell). Formerly slave to Isaac Conklin, 9 Partners; left him 2 years ago.</t>
  </si>
  <si>
    <t>Robert</t>
  </si>
  <si>
    <t>Bartholomew Crannell</t>
  </si>
  <si>
    <t>Pompey, 25, stout fellow, on his own bottom. Born free.</t>
  </si>
  <si>
    <t>Pompey</t>
  </si>
  <si>
    <t>Sam, 35, (Bartholomew Cranell). Property of Bartholomew Crannell.</t>
  </si>
  <si>
    <t>Sam</t>
  </si>
  <si>
    <t>Amities Production</t>
  </si>
  <si>
    <t>Job</t>
  </si>
  <si>
    <t>Thomas Reid</t>
  </si>
  <si>
    <t>16 Jun 1783</t>
  </si>
  <si>
    <t>St. Johns</t>
  </si>
  <si>
    <t>Holchapan</t>
  </si>
  <si>
    <t>George</t>
  </si>
  <si>
    <t>Mary</t>
  </si>
  <si>
    <t>Stepney</t>
  </si>
  <si>
    <t>Amity's Production</t>
  </si>
  <si>
    <t>William Holchapan, 40, stout fellow, M, (on his own bottom). Born free and baptized in the year 1779 in the Parish of St. Paul's, London.</t>
  </si>
  <si>
    <t>Amity's Production bound for St. John's Thomas Reid, Master</t>
  </si>
  <si>
    <t>St</t>
  </si>
  <si>
    <t>London</t>
  </si>
  <si>
    <t>Job State, 24, stout fellow, M, (on his own bottom). Born free at New York.</t>
  </si>
  <si>
    <t>Mary State, 21, half Indian, (on her own bottom). Born free on Long Island.</t>
  </si>
  <si>
    <t>Half Indian</t>
  </si>
  <si>
    <t>Mixed Race</t>
  </si>
  <si>
    <t>Mulatto</t>
  </si>
  <si>
    <t>George State, 25, stout fellow, M, (on his own bottom). Born free at New York.</t>
  </si>
  <si>
    <t>William Stepney, 24, stout fellow, B, (on his own bottom). Born free at St. Augustine.</t>
  </si>
  <si>
    <t>St. Augustine</t>
  </si>
  <si>
    <t>Ann</t>
  </si>
  <si>
    <t>James Robertson, 2½, small boy, (Capt. Mowat).</t>
  </si>
  <si>
    <t>Ship Ann bound for Port Roseway Joseph Clark, Master</t>
  </si>
  <si>
    <t>James</t>
  </si>
  <si>
    <t>Robertson</t>
  </si>
  <si>
    <t>22</t>
  </si>
  <si>
    <t>Joseph Clark</t>
  </si>
  <si>
    <t>8 Jul 1783</t>
  </si>
  <si>
    <t>Port Roseway</t>
  </si>
  <si>
    <t>Capt. Mowat</t>
  </si>
  <si>
    <t>Betsey Robertson, 46, thin wench, (Capt. Mowat). Formerly slave to Captain Paul Layon, Portsmouth, Virginia; left him with her husband.</t>
  </si>
  <si>
    <t>Betsey</t>
  </si>
  <si>
    <t>Barbara</t>
  </si>
  <si>
    <t>Ogden</t>
  </si>
  <si>
    <t>Portsmouth</t>
  </si>
  <si>
    <t>James Robertson, 49, thin, pilot by order, (Capt. Mowat). Formerly slave to Captain Paul Layon, Portsmouth, Virginia; left him 4 years ago, employed as a pilot.</t>
  </si>
  <si>
    <t>William, 14, fine boy. (John Anderson of Port Roseway, claimant.) John Anderson purchased from Hugh Dunn, New York; born nigh Stoney Point. Formerly the property of Edison, taken with a guard of the enemy by a party from the Garrison, 1779.</t>
  </si>
  <si>
    <t>John Anderson of Port Roseway, claimant.</t>
  </si>
  <si>
    <t>Edison</t>
  </si>
  <si>
    <t>Garrison</t>
  </si>
  <si>
    <t>Joe Gold, 30, stout black, (Robert Turnbull). Formerly slave to Daniel Descan , about 14 miles from Charlestown, South Carolina; left him 4 years ago.</t>
  </si>
  <si>
    <t>Joe</t>
  </si>
  <si>
    <t>Gold</t>
  </si>
  <si>
    <t>23</t>
  </si>
  <si>
    <t>South Carolina</t>
  </si>
  <si>
    <t>Robert Turnbull</t>
  </si>
  <si>
    <t>Charlestown</t>
  </si>
  <si>
    <t>Effie Warner, 33, stout wench &amp; boy 2 yrs, old, (William Hill). Formerly slave to John Matthews, Princess Ann, Virginia; left him 5 years ago. GBC.</t>
  </si>
  <si>
    <t>Effie</t>
  </si>
  <si>
    <t>Warner</t>
  </si>
  <si>
    <t>Princess Ann</t>
  </si>
  <si>
    <t>William Hill</t>
  </si>
  <si>
    <t>Sukey her daughter, 12, thin mulatto girl, (Robert Turnbull). Formerly slave to Mrs. Harriet Crook, Savannah, Georgia; left that place 5 years ago.</t>
  </si>
  <si>
    <t>Sukey</t>
  </si>
  <si>
    <t>her daughter</t>
  </si>
  <si>
    <t>his wife</t>
  </si>
  <si>
    <t>Georgia</t>
  </si>
  <si>
    <t>Savannah</t>
  </si>
  <si>
    <t>James Jackson 50, thin, goes as pilot (Capt. Mowat). Formerly slave to late Robert Tucker, Norfolk, Virginia; left him with Lord Dunmore when he left that country &amp; was employed as a pilot.</t>
  </si>
  <si>
    <t>Jackson 50</t>
  </si>
  <si>
    <t>Norfolk</t>
  </si>
  <si>
    <t>Elizabeth Mitchell, 13, stout girl, (Lt. Clows, Guides &amp; Pioneers). Says she was born free near Charlestown, South Carolina; joined the Army in 1780.</t>
  </si>
  <si>
    <t>Ann bound for St. John's Clark</t>
  </si>
  <si>
    <t>Mitchell</t>
  </si>
  <si>
    <t>61</t>
  </si>
  <si>
    <t>Clark</t>
  </si>
  <si>
    <t>Lt. Clows, Guides &amp; Pioneers</t>
  </si>
  <si>
    <t>Dick Vincent, 10, stout boy, (Ens. Vincent). Formerly slave to Charles Vincent, East Chester, grandfather to the Ensign who has delivered the boy to the said Ensign.</t>
  </si>
  <si>
    <t>Dick</t>
  </si>
  <si>
    <t>Vincent</t>
  </si>
  <si>
    <t>Ens. Vincent</t>
  </si>
  <si>
    <t>East Chester</t>
  </si>
  <si>
    <t>child of</t>
  </si>
  <si>
    <t>Abigail</t>
  </si>
  <si>
    <t>c</t>
  </si>
  <si>
    <t>Betsey his</t>
  </si>
  <si>
    <t>wife</t>
  </si>
  <si>
    <t>Sukey her</t>
  </si>
  <si>
    <t>daughter</t>
  </si>
  <si>
    <t>Betsey his wife, 33, stout mulatto wench, (Robert Turnbull). Formerly slave to Mrs. Harriet Crook, Savannah, Georgia; left that place 5 years ago.</t>
  </si>
  <si>
    <t>Judith Jackson, 24, thin wench, mulatto, (Capt. Mowat). Says she served her time to John Bell at Cape Fear and left that with the army of Sir H. Clinton in 1776.</t>
  </si>
  <si>
    <t>Judith</t>
  </si>
  <si>
    <t>Jackson</t>
  </si>
  <si>
    <t>Harry Jackson, 8, good L boy, (Capt. Mowat).</t>
  </si>
  <si>
    <t>Harry</t>
  </si>
  <si>
    <t>Charles Fox, 33, stout fellow, (John Anderson). Formerly slave to John Fox, Gloster, Virginia; left him about five years ago by proclamation. GBC.</t>
  </si>
  <si>
    <t>Charles</t>
  </si>
  <si>
    <t>Fox</t>
  </si>
  <si>
    <t>John Anderson</t>
  </si>
  <si>
    <t>Gloster</t>
  </si>
  <si>
    <t>Peter Warner, 30, stout, cut above his left eye, (William Hill). Formerly slave to Michael Mount, Monmouth, New Jersey; left him 5 years ago. GBC.</t>
  </si>
  <si>
    <t>Peter</t>
  </si>
  <si>
    <t>New Jersey</t>
  </si>
  <si>
    <t>Monmouth</t>
  </si>
  <si>
    <t>Casar Nicholls, 22, stout black man, (William Hill). Formerly slave to Dr. Van Wyck at Fishkills; left him 3½ years ago.</t>
  </si>
  <si>
    <t>Casar</t>
  </si>
  <si>
    <t>Nicholls</t>
  </si>
  <si>
    <t>Judah Pell, 25, S.B. Wench, child 5 yrs, old, (William Hill). Formerly slave to Dr. Ramsey, Norfolk, Virginia; left him about five years ago.</t>
  </si>
  <si>
    <t>Judah</t>
  </si>
  <si>
    <t>Pell</t>
  </si>
  <si>
    <t>John Pell, 14, stout mulatto boy, (William Hill). Son to the above mentioned person.</t>
  </si>
  <si>
    <t>John</t>
  </si>
  <si>
    <t>John Pell, 28, stout man, pock marked, (William Hill). Free as appears by a Certificate of General Birch to whom he was given by Sir Henry Clinton; says he left Charlestown about 5 years ago.</t>
  </si>
  <si>
    <t>Abigail, 35, stout child 4 mo. (Thomas Statia). Formerly slave to White at Brunswick, New Jersey; left him five years ago.</t>
  </si>
  <si>
    <t>Thomas Statia</t>
  </si>
  <si>
    <t>Brunswick</t>
  </si>
  <si>
    <t>Judah Few, 35, stout M wench, child 5 years old. (Robert McCulloch). Free born, James Way's, English Kills, Newtown, Long Island.</t>
  </si>
  <si>
    <t>Few</t>
  </si>
  <si>
    <t>Robert McCulloch</t>
  </si>
  <si>
    <t>English Kills</t>
  </si>
  <si>
    <t>Prince Few, 26, thin mulatto, (Robert McCulloch). Free born, Pearson town, Connecticut.</t>
  </si>
  <si>
    <t>Prince</t>
  </si>
  <si>
    <t>Dinah Terhune, 16, thin girl, (Paul Speed). Formerly slave to Edward Bruce, New York; both the property of Paul Speed as appears by Bill of Sale presented at the inspection.</t>
  </si>
  <si>
    <t>Dinah</t>
  </si>
  <si>
    <t>Terhune</t>
  </si>
  <si>
    <t>Paul Speed</t>
  </si>
  <si>
    <t>Thomas Hicks, 15, fine boy, M, (John Norstrandt). Born free at Rockaway.</t>
  </si>
  <si>
    <t>Thomas</t>
  </si>
  <si>
    <t>Hicks</t>
  </si>
  <si>
    <t>John Norstrandt</t>
  </si>
  <si>
    <t>Jacob Wanton, 35, ordinary man, (James Cotton). Formerly slave to Latham Thurston, Rhode Island; left him with the troops 4 years past by proclamation.</t>
  </si>
  <si>
    <t>Jacob</t>
  </si>
  <si>
    <t>Wanton</t>
  </si>
  <si>
    <t>James Cotton</t>
  </si>
  <si>
    <t>Rhode Island</t>
  </si>
  <si>
    <t>Grace Leich, 17, likely wench, (Capt. Mowat). Formerly slave to Col. Conel, Virginia; left him two years past.</t>
  </si>
  <si>
    <t>Grace</t>
  </si>
  <si>
    <t>Leich</t>
  </si>
  <si>
    <t>Ruth Leich, 20, stout wench, (Capt. Mowat). Formerly slave to Col. Conel, Virginia; left him two years past.</t>
  </si>
  <si>
    <t>Ruth</t>
  </si>
  <si>
    <t>Dick Leich, 28, (ordinary man, pilot by order). (Capt. Mowat). Manney Goddin, Nansemond, Virginia; taken prisoner about 5 years past by the St. Alban Man of War.</t>
  </si>
  <si>
    <t>ordinary man, pilot by order</t>
  </si>
  <si>
    <t>Nansemond</t>
  </si>
  <si>
    <t>James Collin, 43, ordinary man, pilot by order (Capt. Mowat). Formerly slave to John Williams, Norfolk, Virginia; taken by Gen. Arnold at Petersburgh 3 years past.</t>
  </si>
  <si>
    <t>Collin</t>
  </si>
  <si>
    <t>Nancy Walker, 21, likely wench, M, (on her own bottom). Formerly slave to Col. Cornel, Hampton, Virginia; left him two years past.</t>
  </si>
  <si>
    <t>Nancy</t>
  </si>
  <si>
    <t>Walker</t>
  </si>
  <si>
    <t>Hampton</t>
  </si>
  <si>
    <t>Harry 23, stout, John Anderson of Port Roseway, claimant. (John Anderson). Purchased as per Bill of Sale from Medcalf Eden, New York; born on Staten Island.</t>
  </si>
  <si>
    <t>Staten Island</t>
  </si>
  <si>
    <t>Zolpher Jackson, ½. Formerly slave to Luke Sheets, New York, who left him there in the year 1782; sent on board the Thetis.</t>
  </si>
  <si>
    <t>Zolpher</t>
  </si>
  <si>
    <t>Sebro</t>
  </si>
  <si>
    <t>Formerly slave to Luke Sheets</t>
  </si>
  <si>
    <t>Thetis</t>
  </si>
  <si>
    <t>Sebro Jackson, 25, thin wench, mulatto (Capt. Mowat). Formerly slave to Luke Sheets, New York, who left him there in the year 1782; sent on board the Thetis.</t>
  </si>
  <si>
    <t>Rachel</t>
  </si>
  <si>
    <t>London Jackson, 32, stout fellow, pilot by order (Capt. Mowat). Formerly slave to William Ballad, Hampton, Virginia; left him two years past.</t>
  </si>
  <si>
    <t>Rachel Fox, 42, thin weakly wench, (John Anderson). Formerly slave to James Moorfield, late of Norfolk, Virginia; came from thence with Lord Dunmore. GBC.</t>
  </si>
  <si>
    <t>Dick Gray, 25, stout fellow, (William Hill). Free; says he served until he was 21 years of age with John Lee, Westfield Massachusetts.</t>
  </si>
  <si>
    <t>Gray</t>
  </si>
  <si>
    <t>Westfield Massachusetts</t>
  </si>
  <si>
    <t>Nelly Jackson, 33, stout wench. Formerly slave to Hampstead Bailie, Hampton, Virginia; left him two years past.</t>
  </si>
  <si>
    <t>Nelly</t>
  </si>
  <si>
    <t>Thomas Terhune, 19, fine boy, (Paul Speed). Formerly slave to Samuel Terhune, Hackensack; left him 2½ years past.</t>
  </si>
  <si>
    <t>Hackensack</t>
  </si>
  <si>
    <t>George Williams, 27, stout fellow, (John Cooke). Formerly slave to Widow Ward of Richmond, Virginia; left her 4 years ago. GBC.</t>
  </si>
  <si>
    <t>Ann bound for St. John's River Joseph Clark</t>
  </si>
  <si>
    <t>Williams</t>
  </si>
  <si>
    <t>39</t>
  </si>
  <si>
    <t>St. John's River</t>
  </si>
  <si>
    <t>John Cooke</t>
  </si>
  <si>
    <t>Richmond</t>
  </si>
  <si>
    <t>Jacob Smith, 20, stout fellow, B. Thomas Cropper of Accomack, Eastern Shore, Virginia, claimant. (James Scot). Formerly slave to Reuben Waterhouse near Horntown Eastern Shore, Virginia; left him summer 82 &amp; joined Capt. Kid in his whaleboat in the Chesepeake. GBC.</t>
  </si>
  <si>
    <t>Ann bound for St. John's River John Clark, Master</t>
  </si>
  <si>
    <t>Smith</t>
  </si>
  <si>
    <t>John Clark</t>
  </si>
  <si>
    <t>James Scot</t>
  </si>
  <si>
    <t>Dinah Simmons, 40, stout wench, M, (Peter FitzSimmons). Mr. FitzSimmons property as appears by a Bill of Sale produced.</t>
  </si>
  <si>
    <t>Simmons</t>
  </si>
  <si>
    <t>Peter FitzSimmons</t>
  </si>
  <si>
    <t>Sylvia Smith, 14, likely wench, B, (Robert Chillar). Formerly slave to Smith, Norfolk, Virginia; left him 4 years past &amp; joined the troops at New York. GBC.</t>
  </si>
  <si>
    <t>Sylvia</t>
  </si>
  <si>
    <t>Robert Chillar</t>
  </si>
  <si>
    <t>Polly Williams, 20, stout wench, (John Cooke). Formerly lived with Parker Quince of Cape Fear in North Carolina; left him 7 years ago, produced GBC that she is free.</t>
  </si>
  <si>
    <t>Polly</t>
  </si>
  <si>
    <t>North Carolina</t>
  </si>
  <si>
    <t>Peter Stogdon, 23, stout fellow, M, (James Scot). Formerly slave to Robert Stogdon, Princetown; left him about 3 years past. GBC.</t>
  </si>
  <si>
    <t>Stogdon</t>
  </si>
  <si>
    <t>Harry Myers, 21, stout fellow, (John Jenkins). Formerly slave to John Middleworth or Rariton, New Jersey; left him in the year 1777 when the troops left the Jerseys. GBC.</t>
  </si>
  <si>
    <t>Myers</t>
  </si>
  <si>
    <t>John Jenkins</t>
  </si>
  <si>
    <t>Jerseys</t>
  </si>
  <si>
    <t>Pompey Wanton, 25, squat fellow, B, (John Burgis). Formerly slave to Stephen Wanton, Rhode Island; left him at the Evacuation of said place. GBC.</t>
  </si>
  <si>
    <t>John Burgis</t>
  </si>
  <si>
    <t>Ann &amp; Elizabeth</t>
  </si>
  <si>
    <t>Dinah his wife, 23, lusty, squat wench, B, small child (Nicholas Browne). Born free, her mother an Indian; served her time with Edmund Palmer who lived &amp; was hanged at Fishkill for being Tory.</t>
  </si>
  <si>
    <t>Ship Ann &amp; Elizabeth bound for Port Roseway Ben Fowler, Master</t>
  </si>
  <si>
    <t>27</t>
  </si>
  <si>
    <t>Ben Fowler</t>
  </si>
  <si>
    <t>Edmonds</t>
  </si>
  <si>
    <t>1783</t>
  </si>
  <si>
    <t>Book of Negroes</t>
  </si>
  <si>
    <t>Nicholas Browne</t>
  </si>
  <si>
    <t>Fishkill</t>
  </si>
  <si>
    <t>Nancy his</t>
  </si>
  <si>
    <t>Dinah Browne his</t>
  </si>
  <si>
    <t>Hannah his</t>
  </si>
  <si>
    <t>Tom, 40, sickly man, (Thomas Hartley). Formerly slave to Henry Smith, Charlestown, South Carolina, who died soon after it was taken by the British; left no heirs.</t>
  </si>
  <si>
    <t>Thomas Hartley</t>
  </si>
  <si>
    <t>George Barnes, 47, feeble fellow, goes as Cook to the Ship. Says he is a free man; produces a Certificate dated 1770 from John Davis of Newport, Rhode Island, Justice of the Peace.</t>
  </si>
  <si>
    <t>Ann &amp; Elizabeth bound for Spithead &amp; Germany Ben Fowler</t>
  </si>
  <si>
    <t>Barnes</t>
  </si>
  <si>
    <t>58</t>
  </si>
  <si>
    <t>Newport</t>
  </si>
  <si>
    <t>Peace</t>
  </si>
  <si>
    <t>Prince Fraction, 25, stout blind left eye, Edward Trigler of Port Roseway, claimant (Edward Trigler). Property of Edward Trigler, purchased from James Stokes of New York.</t>
  </si>
  <si>
    <t>Fraction</t>
  </si>
  <si>
    <t>Edward Trigler</t>
  </si>
  <si>
    <t>Nancy his wife, 40, thin wench, (Thomas Hartley). Formerly slave to Widow Lott of Charlestown Elliot of Charlestown who she says gave her free before she died 11 years ago.</t>
  </si>
  <si>
    <t>Peter Johnson, 35, stout fellow, (Stephen Shakespeare). Says he got his freedom from Silvester Brinoly, Quaker, New Jersey; that he has lived in New York these 6 years past. GBC.</t>
  </si>
  <si>
    <t>Voice</t>
  </si>
  <si>
    <t>Stephen Shakespeare</t>
  </si>
  <si>
    <t>Judith Johnson, 27, ordinary wench, (Stephen Shakespeare). Formerly slave to Gerrit Langston, Shrewsbury; left him 3 years past. GBC.</t>
  </si>
  <si>
    <t>Shrewsbury</t>
  </si>
  <si>
    <t>Thomas Danvers, 45, ordinary fellow, (Archibald Clarke). Formerly slave to Thomas Brown, Savannah; left him 5 years past.</t>
  </si>
  <si>
    <t>Danvers</t>
  </si>
  <si>
    <t>Archibald Clarke</t>
  </si>
  <si>
    <t>Rachel, 7, fine child. Daughter to George Barnes.</t>
  </si>
  <si>
    <t>Harry Spencell, 38, slender fellow, (Stephen Hairran). Formerly slave to B. Benson left him on the Landing of the British troops on New York Island.</t>
  </si>
  <si>
    <t>Spencell</t>
  </si>
  <si>
    <t>Stephen Hairran</t>
  </si>
  <si>
    <t>New York Island</t>
  </si>
  <si>
    <t>Henry Maxfield, 33, stout fellow, (Alexander Watson). Free born in Mr. Philips's house of Philips's Manor. GBC.</t>
  </si>
  <si>
    <t>Henry</t>
  </si>
  <si>
    <t>Maxfield</t>
  </si>
  <si>
    <t>Alexander Watson</t>
  </si>
  <si>
    <t>John Rogers, 29, stout fellow, (Andrew Gibson). Formerly slave to Captain Rogers, Brig Dispatch, who went to England and left him free.</t>
  </si>
  <si>
    <t>Rogers</t>
  </si>
  <si>
    <t>Andrew Gibson</t>
  </si>
  <si>
    <t>England</t>
  </si>
  <si>
    <t>Thomas Edmonds, 5, small boy, (Stephen Shakespeare). Formerly slave to Mr. Edmonds, Charlestown; left him 5 years past.</t>
  </si>
  <si>
    <t>Bill Browne, 24, stout fellow, (Nicholas Browne). Formerly slave to Jacob Arnold, Morristown, New Jersey; left him three years ago.</t>
  </si>
  <si>
    <t>Bill</t>
  </si>
  <si>
    <t>Browne</t>
  </si>
  <si>
    <t>Morristown</t>
  </si>
  <si>
    <t>Dinah Edmonds, 34, ordinary wench, (Stephen Shakespeare). Formerly slave to Mr. Edmonds, Charlestown; left him 5 years past.</t>
  </si>
  <si>
    <t>Cath Drayton, 40, ordinary wench, (Edward Hannah). Formerly slave to Mrs. Drayton near Charlestown; left her before the Siege of Charlestown.</t>
  </si>
  <si>
    <t>Cath</t>
  </si>
  <si>
    <t>Drayton</t>
  </si>
  <si>
    <t>Edward Hannah</t>
  </si>
  <si>
    <t>Sarah Cross, 34, stout squat wench, M, (Archibald Clarke). Says she was born free at Tappan, served her time to James Rickman, New York Island.</t>
  </si>
  <si>
    <t>Sarah</t>
  </si>
  <si>
    <t>Cross</t>
  </si>
  <si>
    <t>Tappan</t>
  </si>
  <si>
    <t>Hannah his wife, 23, stout wench, 2 small children, (Alexander Watson). Free born in John Predun, Closters, New Jersey.</t>
  </si>
  <si>
    <t>Samuel Drayton, 40, stout fellow, (Edward Hannah). Formerly slave to Mrs. Drayton near Charlestown; left her before the Siege of Charlestown.</t>
  </si>
  <si>
    <t>Samuel</t>
  </si>
  <si>
    <t>Venus, 28, slender wench, (Edward Hannah). Formerly slave to William Smith, Charlestown; left him about 5 years past.</t>
  </si>
  <si>
    <t>Venus</t>
  </si>
  <si>
    <t>Jack Smith, 25, slender fellow, (Edward Hannah). Formerly slave to William Smith, Charlestown; left him about 5 years past.</t>
  </si>
  <si>
    <t>Jack</t>
  </si>
  <si>
    <t>John Dunham, 25, slender fellow, (Nathaniel Hannah). Formerly slave to James Dunham of Augusta; left him 5 years past.</t>
  </si>
  <si>
    <t>Dunham</t>
  </si>
  <si>
    <t>Nathaniel Hannah</t>
  </si>
  <si>
    <t>Augusta</t>
  </si>
  <si>
    <t>Antelope</t>
  </si>
  <si>
    <t>Dan</t>
  </si>
  <si>
    <t>Gordon</t>
  </si>
  <si>
    <t>Bremer Lee</t>
  </si>
  <si>
    <t>Bishick</t>
  </si>
  <si>
    <t>Antelope Gordon</t>
  </si>
  <si>
    <t>Dan, 7, likely boy, Kloproth Lt. Anhalt Zerbel of East Friesland, claimant. (Kloproth). Produces a receipt from John Oakes of Oyster Bay of having bought him for seven guineas, who insures him his property.</t>
  </si>
  <si>
    <t>Antelope Gordon bound for Bremer Lee</t>
  </si>
  <si>
    <t>Kloproth</t>
  </si>
  <si>
    <t>East Friesland</t>
  </si>
  <si>
    <t>Oyster Bay</t>
  </si>
  <si>
    <t>George Bishick, 26, stout fellow. He is Cook on board the ship. Left Virginia 6 years ago. Says he was born free and brought off by a party of marines of the Otter Sloop.</t>
  </si>
  <si>
    <t>Apollo</t>
  </si>
  <si>
    <t>James Jackson, 12, stout boy, (Edward Green). Produced a Certificate from Benjamin James that he is free, both indented to Edward Green till they are 21 to learn the trade of Shoemaker.</t>
  </si>
  <si>
    <t>Apollo bound for Port Roseway John Adamson</t>
  </si>
  <si>
    <t>30</t>
  </si>
  <si>
    <t>John Adamson</t>
  </si>
  <si>
    <t>8 Jun 1783</t>
  </si>
  <si>
    <t>Edward Green</t>
  </si>
  <si>
    <t>Shoemaker</t>
  </si>
  <si>
    <t>Bob, 15, likely boy, (Adj. Cunningham. His property.</t>
  </si>
  <si>
    <t>Apollo bound for St. John's</t>
  </si>
  <si>
    <t>Bob</t>
  </si>
  <si>
    <t>Jupiter Wise, 25, stout fellow, B, (Henry Hotchinson). Certified to be free by the Commandant.</t>
  </si>
  <si>
    <t>Jupiter</t>
  </si>
  <si>
    <t>Wise</t>
  </si>
  <si>
    <t>Henry Hotchinson</t>
  </si>
  <si>
    <t>Jeff, 12, likely boy, (Lieut. B. Ward). His own property.</t>
  </si>
  <si>
    <t>Jeff</t>
  </si>
  <si>
    <t>Lieut. B. Ward</t>
  </si>
  <si>
    <t>Vinia, 25, stout wench, M, (Capt. Willmot). Capt. Willmot's property.</t>
  </si>
  <si>
    <t>Vinia</t>
  </si>
  <si>
    <t>62</t>
  </si>
  <si>
    <t>Capt. Willmot</t>
  </si>
  <si>
    <t>Cara Wilkins, 27, stout wench, M, (Lewis Palmer). Formerly slave to John Wilkinson, New Jersey; left him in the year 1776.</t>
  </si>
  <si>
    <t>Cara</t>
  </si>
  <si>
    <t>Wilkins</t>
  </si>
  <si>
    <t>Formerly slave to John Wilkinson</t>
  </si>
  <si>
    <t>Lewis Palmer</t>
  </si>
  <si>
    <t>Edward Jackson, 14, stout boy, (Edward Green). Produced a Certificate from Benjamin James that he is free.</t>
  </si>
  <si>
    <t>Edward</t>
  </si>
  <si>
    <t>Dinah, 26, stout wench, M. Robert Wilkins of Port Roseway, claimant. (Robert Wilkins). His property having produced a Bill of Sale.</t>
  </si>
  <si>
    <t>Robert Wilkins</t>
  </si>
  <si>
    <t>Sally Bowden, 27, ordinary wench, B.</t>
  </si>
  <si>
    <t>Bowden</t>
  </si>
  <si>
    <t>Roger their</t>
  </si>
  <si>
    <t>son</t>
  </si>
  <si>
    <t>John Adams</t>
  </si>
  <si>
    <t>Freelove his</t>
  </si>
  <si>
    <t>Thomas Rogers, 40, ordinary fellow, B, (Lewis Palmer). Formerly slave to Thomas Wollerd, Chester County, Pennsylvania; left him about 5 years ago.</t>
  </si>
  <si>
    <t>Chester County</t>
  </si>
  <si>
    <t>Pennsylvania</t>
  </si>
  <si>
    <t>Robert, her Vinia's infant, (Capt. Willmot). Capt Willmot's property.</t>
  </si>
  <si>
    <t>Harry, her Vinia's infant, (Capt. Willmot). Capt. Willmot's property.</t>
  </si>
  <si>
    <t>Jack Rogers, 50, stout man, (John Libby). Left free by his master, James Rogers, Newport, Rhode Island, who died 5 years before the war.</t>
  </si>
  <si>
    <t>Ship Apollo bound for Port Roseway John Adams</t>
  </si>
  <si>
    <t>John Libby</t>
  </si>
  <si>
    <t>Dempsey Bowden, 2 months, M.</t>
  </si>
  <si>
    <t>Dempsey</t>
  </si>
  <si>
    <t>Silvia his</t>
  </si>
  <si>
    <t>Henry Carter, 24, stout fellow, (Edward Green). Formerly slave to William Elliot of Middlesex, Virginia; left him 3 years ago. GBC.</t>
  </si>
  <si>
    <t>Carter</t>
  </si>
  <si>
    <t>Middlesex</t>
  </si>
  <si>
    <t>Sealia Bowden, 27, ordinary wench, M, (Atkinson). Formerly slave to Solomon Dean, Norfolk, Virginia; left him in the year 1776. GBC.</t>
  </si>
  <si>
    <t>Sealia</t>
  </si>
  <si>
    <t>Atkinson</t>
  </si>
  <si>
    <t>Nathaniel Black, 1½ , (Capt. Lounz).</t>
  </si>
  <si>
    <t>Ship Apollo bound for Port Roseway John adamson, Master</t>
  </si>
  <si>
    <t>Nathaniel</t>
  </si>
  <si>
    <t>24</t>
  </si>
  <si>
    <t>John adamson</t>
  </si>
  <si>
    <t>Capt. Lounz</t>
  </si>
  <si>
    <t>St. Louis, 60, thin, (John Libby). French free Negro.</t>
  </si>
  <si>
    <t>Louis</t>
  </si>
  <si>
    <t>St. Louis</t>
  </si>
  <si>
    <t>Jacob Wigfall, 36, thin (Richard Wheaton). Formerly the property of Mr. Joseph Wigfall, Charlestown, South Carolina; left him in the year 1779. GBCP</t>
  </si>
  <si>
    <t>Wigfall</t>
  </si>
  <si>
    <t>Richard Wheaton</t>
  </si>
  <si>
    <t>Silvia his wife, 36, stout squat wench, (Richard Wheaton). Formerly the property of Mr. Joseph Wigfall, Charlestown, South Carolina; left him in the year 1779. GBCP</t>
  </si>
  <si>
    <t>Silvia</t>
  </si>
  <si>
    <t>Ismael Warren , 25, stout fellow, (William Campbell). Formerly slave to Joseph Warren, Charlestown, South Carolina; left him in the year 1779. GBCP</t>
  </si>
  <si>
    <t>Ismael</t>
  </si>
  <si>
    <t>Warren</t>
  </si>
  <si>
    <t>William Campbell</t>
  </si>
  <si>
    <t>Effy Black, 25, stout wench, (Capt. Lounz). Formerly slave to John Nesbit, Strasburg ferry, Charlestown; left him 5 years past. GBC.</t>
  </si>
  <si>
    <t>Effy</t>
  </si>
  <si>
    <t>Strasburg</t>
  </si>
  <si>
    <t>Nathaniel Black, 50, ordinary fellow, (Capt. Lounz). Formerly slave to John Nesbit, Strasburg ferry, Charlestown; left him 5 years past. GBC.</t>
  </si>
  <si>
    <t>Peg Boden, 23, stout short wench, (Capt. Lounz). Man employed as carpenter in the Artillery. GBC.</t>
  </si>
  <si>
    <t>Peg</t>
  </si>
  <si>
    <t>Boden</t>
  </si>
  <si>
    <t>Cato Boden, 28, stout fellow, (Capt. Lounz). Formerly an inhabitant on John's Island, say they were born free, that the woman was employed as servant to Major Trail.</t>
  </si>
  <si>
    <t>Cato</t>
  </si>
  <si>
    <t>Mary Fowler, 9, (Robert Whiten). Formerly slave to Mr. Fowler, Savannah; left it about three years ago. GBC.</t>
  </si>
  <si>
    <t>Fowler</t>
  </si>
  <si>
    <t>Robert Whiten</t>
  </si>
  <si>
    <t>Joseph Fowler, 41, stout man, (Robert Whiten). Formerly slave to Mr. Fowler, Savannah; left it about three years ago. GBC.</t>
  </si>
  <si>
    <t>Joseph</t>
  </si>
  <si>
    <t>James Wright, 21, remarkably stout, (Archibald Campbell). Formerly slave to Stephen Wright, Norfolk, Virginia; left him 5 years ago. GBCP</t>
  </si>
  <si>
    <t>Wright</t>
  </si>
  <si>
    <t>Archibald Campbell</t>
  </si>
  <si>
    <t>Lotche Slaide, 46, stout fellow, scar on forehead, (Abner Ellison). Formerly slave to John Slaide, Swansey, Massachusetts; left him 6 years ago. GBCP.</t>
  </si>
  <si>
    <t>Lotche</t>
  </si>
  <si>
    <t>Slaide</t>
  </si>
  <si>
    <t>Abner Ellison</t>
  </si>
  <si>
    <t>Swansey</t>
  </si>
  <si>
    <t>Dublin Fowler, 14, stout boy, scar over his nose, (Richard Wheaton). Formerly slave to Mr. Brisbane, Savannah, Georgia; left him 5 years ago. GBCP.</t>
  </si>
  <si>
    <t>Dublin</t>
  </si>
  <si>
    <t>Freelove his wife, 49, stout wench, (Abner Ellison). Formerly slave to George Chace, Freetown, Massachusetts; left him 6 years ago. GBCP</t>
  </si>
  <si>
    <t>Freelove</t>
  </si>
  <si>
    <t>Freetown</t>
  </si>
  <si>
    <t>John Kassery, 22, stout black fellow, (James Fergusson). Formerly slave to Thomas Haywood, Savannah, Georgia; left him 1st April, 1779.</t>
  </si>
  <si>
    <t>Kassery</t>
  </si>
  <si>
    <t>James Fergusson</t>
  </si>
  <si>
    <t>Roger their son, 14, fine boy, (Abner Ellison). Formerly slave to Jonathan Slade, Swanzey, Massachusetts; left him 6 years ago.</t>
  </si>
  <si>
    <t>Roger</t>
  </si>
  <si>
    <t>their son</t>
  </si>
  <si>
    <t>Swanzey</t>
  </si>
  <si>
    <t>John Jarvis, 34, ordinary man, (Robert Campbell). Says he was free born on John's Island, South Carolina.</t>
  </si>
  <si>
    <t>Jarvis</t>
  </si>
  <si>
    <t>Robert Campbell</t>
  </si>
  <si>
    <t>John's Island</t>
  </si>
  <si>
    <t>Charles Jenkins, 19, stout lad, (William Campbell). Formerly slave to Thomas Jenkins, Savannah, Georgia; left him 6 years ago.</t>
  </si>
  <si>
    <t>Jenkins</t>
  </si>
  <si>
    <t>Jac Lawrence, 23, ordinary man, (John Talbot). Formerly slave to John Lawrence, Isle of Wight, Virginia; left him about 4 years ago.</t>
  </si>
  <si>
    <t>Jac</t>
  </si>
  <si>
    <t>Lawrence</t>
  </si>
  <si>
    <t>John Talbot</t>
  </si>
  <si>
    <t>Rose Morgan, 15, short and stout. Free as appears by a Bill of Sale produced.</t>
  </si>
  <si>
    <t>Rose</t>
  </si>
  <si>
    <t>Morgan</t>
  </si>
  <si>
    <t>Prince Wigsal, 25, short and stout, (Richard Whittin). Formerly slave to to Mr. Wigfall, Charlestown; left him at the Siege of that place. GBC</t>
  </si>
  <si>
    <t>Wigsal</t>
  </si>
  <si>
    <t>Richard Whittin</t>
  </si>
  <si>
    <t>Appolo</t>
  </si>
  <si>
    <t>Boble</t>
  </si>
  <si>
    <t>Ariel</t>
  </si>
  <si>
    <t>Clara, 20, stout wench, (Capt Richardson) of the Ariel) Formerly the property of Col. DeBois whom he left at the taking of Savanna.</t>
  </si>
  <si>
    <t>Ship Ariel bound for St. John's Richardson</t>
  </si>
  <si>
    <t>Clara</t>
  </si>
  <si>
    <t>17</t>
  </si>
  <si>
    <t>Richardson</t>
  </si>
  <si>
    <t>27 Apr 1783</t>
  </si>
  <si>
    <t>Capt Richardson</t>
  </si>
  <si>
    <t>Joseph, 20, stout lad, sawyer &amp; cooper, (Capt. Richardson of the Ariel). Formerly the property of Col. DeVois whom he left at the taking of Savanna.</t>
  </si>
  <si>
    <t>Capt. Richardson of the Ariel</t>
  </si>
  <si>
    <t>Frank her son, 10, fine boy, (Matthew Stewart). Left Charlestown from whence he was ordered by Dr. Humphry of the York volunteers then the property of Mitchel.</t>
  </si>
  <si>
    <t>Frank</t>
  </si>
  <si>
    <t>her son</t>
  </si>
  <si>
    <t>Susanna</t>
  </si>
  <si>
    <t>Matthew Stewart</t>
  </si>
  <si>
    <t>Betsy his wife, 2 children, 32, 14 &amp; 12, stout &amp; healthy, ([Thomas Harrison]). Certificate from General Birch, formerly lived with Willis Wilkinson in Virginia.</t>
  </si>
  <si>
    <t>Betsy</t>
  </si>
  <si>
    <t>Brothers</t>
  </si>
  <si>
    <t>[Thomas Harrison]</t>
  </si>
  <si>
    <t>Sam Brothers, 25, stout Negro man, (Thomas Harrison). Certificate from General Birch formerly lived with Willis Wilkinson in Virginia.</t>
  </si>
  <si>
    <t>Barbarry</t>
  </si>
  <si>
    <t>Allen</t>
  </si>
  <si>
    <t>Thomas Harrison</t>
  </si>
  <si>
    <t>Frank Mitchel her</t>
  </si>
  <si>
    <t>Dinah Mitchel, 30, [stout healthy Negress] with a child in her arms, (Matthew Stewart). Left Charlestown from whence she was ordered by Dr. Humphry of the York volunteers then the property of Mitchel.</t>
  </si>
  <si>
    <t>Mitchel</t>
  </si>
  <si>
    <t>Susanna Jarvis, 22, stout healthy Negress, (John Brown). Indented to J.J. Browne. Says she was made free about nine years ago when Mr. Blowfield died.</t>
  </si>
  <si>
    <t>John Brown</t>
  </si>
  <si>
    <t>Betsy Brothers his wife and 2</t>
  </si>
  <si>
    <t>children</t>
  </si>
  <si>
    <t>Aurora</t>
  </si>
  <si>
    <t>Molly, 20, likely wench. Formerly slave to Barney Beakman, Charlestown, South Carolina; left him in 1779. GMC.</t>
  </si>
  <si>
    <t>Aurora bound for Ostend Thomas Jackson</t>
  </si>
  <si>
    <t>Molly</t>
  </si>
  <si>
    <t>76</t>
  </si>
  <si>
    <t>Sarah Farmer, 23, healthy young woman, (Mrs. Sharp).</t>
  </si>
  <si>
    <t>Ship Aurora bound for St. John's</t>
  </si>
  <si>
    <t>Farmer</t>
  </si>
  <si>
    <t>Mrs. Sharp</t>
  </si>
  <si>
    <t>Barbarry Allen, 22, healthy stout wench, (Humphry Winters). Property of Humphrey Winters of New York from Virginia.</t>
  </si>
  <si>
    <t>Humphry Winters</t>
  </si>
  <si>
    <t>Polydore, 15, likely boy, (Robert Milliner). Formerly the property of John Palmer of Charlestown, South Carolina; left him 3 years ago.</t>
  </si>
  <si>
    <t>Aurora bound for Germany C. Saunders</t>
  </si>
  <si>
    <t>Polydore</t>
  </si>
  <si>
    <t>Robert Milliner</t>
  </si>
  <si>
    <t>John Jack, 22, likely fellow. Formerly slave to Ben Cattle, Ashley River, South Carolina; left him in 1779. GMC.</t>
  </si>
  <si>
    <t>Ashley River</t>
  </si>
  <si>
    <t>Gilbert, 16, likely fellow. Formerly slave to John Ragg, Charlestown, South Carolina; left him in 1780.</t>
  </si>
  <si>
    <t>Gilbert</t>
  </si>
  <si>
    <t>Paul, 19, [stout] mulatto, ([Richard Browne]). Came from Woodbury, Charlestown, South Carolina, with Major Grant of the King's American regiment.</t>
  </si>
  <si>
    <t>Paul</t>
  </si>
  <si>
    <t>[Richard Browne]</t>
  </si>
  <si>
    <t>Woodbury</t>
  </si>
  <si>
    <t>Bristol Cobbwine, 14, stout healthy Negro boy, (Richard Browne). Came from Woodbury, Charlestown, South Carolina, with Major Grant of the King's American regiment about 4 years ago.</t>
  </si>
  <si>
    <t>Bristol</t>
  </si>
  <si>
    <t>Cobbwine</t>
  </si>
  <si>
    <t>Richard Browne</t>
  </si>
  <si>
    <t>Harry Covenhoven, 24, [stout healthy Negro], (Mr. Buskirk). Came in two years ago from Mr. Covenhoven in Jersey.</t>
  </si>
  <si>
    <t>Covenhoven</t>
  </si>
  <si>
    <t>Mr. Buskirk</t>
  </si>
  <si>
    <t>Jersey</t>
  </si>
  <si>
    <t>John Vans, 39, healthy, blind of his right eye, (Mr. Buskirk, Jr.). Taken in Pennsylvania a party of the British Army about 6½ years ago; lived there with Sam Barber who he says had eight months before given him his freedom.</t>
  </si>
  <si>
    <t>Vans</t>
  </si>
  <si>
    <t>Mr. Buskirk, Jr.</t>
  </si>
  <si>
    <t>James Joseph, 15, stout lad, (sailor on board). Says he was born free at the Head of Elk; left it with his father 6 years ago. He is indented to the ship 7 years and has been 4 on board.</t>
  </si>
  <si>
    <t>sailor on board</t>
  </si>
  <si>
    <t>Anthony Haln, 27, stout Negro, (Nicholas Beckle). His own property willed</t>
  </si>
  <si>
    <t>Anthony</t>
  </si>
  <si>
    <t>Haln</t>
  </si>
  <si>
    <t>Nicholas Beckle</t>
  </si>
  <si>
    <t>Elizabeth Black, 24, mulatto from Madagascar, (Mr. Buskirk). Free, indented when nine years of age to Mrs. Courtland.</t>
  </si>
  <si>
    <t>Madagascar</t>
  </si>
  <si>
    <t>Bob Stafford, 20, stout healthy Negro, (Mr. Sharp). Taken from Mr. Wilkinson in Virginia by a party from the Royal Navy about four years ago.</t>
  </si>
  <si>
    <t>Stafford</t>
  </si>
  <si>
    <t>Mr. Sharp</t>
  </si>
  <si>
    <t>Free Negress indented to Mrs. Sharp for one year.</t>
  </si>
  <si>
    <t>Free</t>
  </si>
  <si>
    <t>Negress indented to Mrs. Sharp for one year</t>
  </si>
  <si>
    <t>Betsy, 24, likely wench, (wife to the above). Formerly slave to John Godfrey, Charlestown, South Carolina; left him in 1779. GMC.</t>
  </si>
  <si>
    <t>wife to the above</t>
  </si>
  <si>
    <t>Simson McGuire, 223, stout healthy Negro man, (John Buskirk). Came in to General Arnold in Virginia from Benjamin Hill.</t>
  </si>
  <si>
    <t>Simson</t>
  </si>
  <si>
    <t>McGuire</t>
  </si>
  <si>
    <t>John Buskirk</t>
  </si>
  <si>
    <t>Joyce, 12, healthy Negress, (James Moore). Lived with James Moore for 6 years; her father died in the King's service.</t>
  </si>
  <si>
    <t>Joyce</t>
  </si>
  <si>
    <t>James Moore</t>
  </si>
  <si>
    <t>William Winter, 15, likely lad. Formerly slave to William Sams, John's Island, South Carolina; left him in 1779. GMC.</t>
  </si>
  <si>
    <t>Winter</t>
  </si>
  <si>
    <t>Rose Richard, 20, healthy young woman, (Thomas Richard). Property of Thomas Richard, a refugee from Philadelphia.</t>
  </si>
  <si>
    <t>Thomas Richard</t>
  </si>
  <si>
    <t>Philadelphia</t>
  </si>
  <si>
    <t>Hannah, 19, ordinary wench. Lt. Brackenback of Halifax, claimant. (Lt. Brackenback). Proved to be the Lieutenant's property by Bill of Sale.</t>
  </si>
  <si>
    <t>Aurora bound for Halifax</t>
  </si>
  <si>
    <t>63</t>
  </si>
  <si>
    <t>Halifax</t>
  </si>
  <si>
    <t>Lt. Brackenback</t>
  </si>
  <si>
    <t>Joseph, 1½ her infant. (Lt. Brackenback of Halifax, claimant.) (Lt. Brackenback). Naturally the Lieutenant's property.</t>
  </si>
  <si>
    <t>Lt. Brackenback of Halifax, claimant.</t>
  </si>
  <si>
    <t>Nancy, 28, stout wench, (Henry Myer). Formerly the property of James Jerrads of South Carolina; left him before the Siege of Charlestown &amp; joined the British troops.</t>
  </si>
  <si>
    <t>Henry Myer</t>
  </si>
  <si>
    <t>Mercury, 30, likely lad. Dr. Wright of Halifax, claimant. (Dr. Wright). Proved to be Dr. Wright's property by Bill of Sale.</t>
  </si>
  <si>
    <t>Mercury</t>
  </si>
  <si>
    <t>Dr. Wright</t>
  </si>
  <si>
    <t>Unus Deaton, 27, quadroon, sickly, (Thomas Rogers). Formerly lived with William Bush of Horseneck, Connecticut; says she is free Produces Gen. Birch's Certificate to that purpose.</t>
  </si>
  <si>
    <t>Aurora bound for River St. John's Thomas Jackson</t>
  </si>
  <si>
    <t>Unus</t>
  </si>
  <si>
    <t>Deaton</t>
  </si>
  <si>
    <t>41</t>
  </si>
  <si>
    <t>Thomas Jackson</t>
  </si>
  <si>
    <t>Thomas Rogers</t>
  </si>
  <si>
    <t>Horseneck</t>
  </si>
  <si>
    <t>Daniel Barber, 70, worn out, (James Moore). Says he was made free by Mr. Austin Moore of little York nigh 20 years ago.</t>
  </si>
  <si>
    <t>Daniel</t>
  </si>
  <si>
    <t>Barber</t>
  </si>
  <si>
    <t>little York</t>
  </si>
  <si>
    <t>Mary Ann, 3, fine girl, (Thomas Rogers). Daughter of Charity Morris.</t>
  </si>
  <si>
    <t>Edward, 5, fine boy (Thomas Rogers). Son of Charity Morris.</t>
  </si>
  <si>
    <t>Isaac, 9, fine boy, (Thomas Rogers). Son of Charity Morris.</t>
  </si>
  <si>
    <t>Isaac</t>
  </si>
  <si>
    <t>Charity Morris, 28, stout wench, (Thomas Rogers). She lived with Jonathan Mills on Long Island till she was 18. Says she was born free, produces Gen. Birch's Certificate to that purpose.</t>
  </si>
  <si>
    <t>Charity</t>
  </si>
  <si>
    <t>Morris</t>
  </si>
  <si>
    <t>Ned Morris, 36, stout fellow, (Thomas Rogers). Formerly the property of Gideon Wakeman of Fairfield, Connecticut; left him 6 years ago. GBC.</t>
  </si>
  <si>
    <t>Ned</t>
  </si>
  <si>
    <t>Fairfield</t>
  </si>
  <si>
    <t>Peter Cox, 24, stout fellow, (Thomas Rogers). Formerly the property of John Lloyd of Stamford, Connecticut; left him 3 years ago. GBC.</t>
  </si>
  <si>
    <t>Cox</t>
  </si>
  <si>
    <t>Stamford</t>
  </si>
  <si>
    <t>Thomas Brown, 26, stout fellow, (John Henderson). This negro came from the Island of Jamaica about 3 months ago &amp; has bound himself to John Henderson for 4 years.</t>
  </si>
  <si>
    <t>Aurora bound for River St. John's Jackson</t>
  </si>
  <si>
    <t>Brown</t>
  </si>
  <si>
    <t>40</t>
  </si>
  <si>
    <t>Potter</t>
  </si>
  <si>
    <t>John Henderson</t>
  </si>
  <si>
    <t>the Island of Jamaica</t>
  </si>
  <si>
    <t>Billy Williams, 35, healthy stout man, (Richard Browne). Formerly lived with Mr. Moore of Reedy Island, Caroline, from whence he came with the 71st Regiment about 3 years ago.</t>
  </si>
  <si>
    <t>Billy</t>
  </si>
  <si>
    <t>Reedy Island</t>
  </si>
  <si>
    <t>Caroline</t>
  </si>
  <si>
    <t>Bacher &amp; Atlee</t>
  </si>
  <si>
    <t>Kipp</t>
  </si>
  <si>
    <t>Erasmus Roberts</t>
  </si>
  <si>
    <t>Sarah Anderson his</t>
  </si>
  <si>
    <t>Anderson</t>
  </si>
  <si>
    <t>Sam Van</t>
  </si>
  <si>
    <t>Norstrant</t>
  </si>
  <si>
    <t>Tynes</t>
  </si>
  <si>
    <t>Betty</t>
  </si>
  <si>
    <t>Dixon</t>
  </si>
  <si>
    <t>August</t>
  </si>
  <si>
    <t>Griggs</t>
  </si>
  <si>
    <t>Princes</t>
  </si>
  <si>
    <t>Margret Princes his</t>
  </si>
  <si>
    <t>Nicholas Princes their</t>
  </si>
  <si>
    <t>Elizabeth Princes their</t>
  </si>
  <si>
    <t>Waney</t>
  </si>
  <si>
    <t>VanSant</t>
  </si>
  <si>
    <t>Baker &amp; Atlee</t>
  </si>
  <si>
    <t>Mary, 11, likely girl, (Thomas Darling). The property of Thomas Darling.</t>
  </si>
  <si>
    <t>Baker &amp; Atlee bound for Quebec Roberts</t>
  </si>
  <si>
    <t>Thomas Darling</t>
  </si>
  <si>
    <t>Tampier, 50, ordinary fellow, (Peter Dollyer). Formerly the property of John Pell, Paramus, New Jersey; left him about 5 years past.</t>
  </si>
  <si>
    <t>Tampier</t>
  </si>
  <si>
    <t>Paramus</t>
  </si>
  <si>
    <t>Peter Dollyer</t>
  </si>
  <si>
    <t>Robert Winter, 26, stout fellow, (Thomas McManus). Formerly served with Mr. Roberts in Jamaica, West Indies; left it 2 years past. GBC.</t>
  </si>
  <si>
    <t>Baker &amp; Atlee bound for Port Roseway Erasus Roberts, Master</t>
  </si>
  <si>
    <t>Erasus Roberts</t>
  </si>
  <si>
    <t>Thomas McManus</t>
  </si>
  <si>
    <t>Jamaica</t>
  </si>
  <si>
    <t>West Indies</t>
  </si>
  <si>
    <t>Elizabeth their daughter, 20, stout B wench with small child, (John Moore). Born free in the family of John Hull, Bergen, New Jersey; left it 3 years ago.</t>
  </si>
  <si>
    <t>their daughter</t>
  </si>
  <si>
    <t>Margaret</t>
  </si>
  <si>
    <t>Bergen</t>
  </si>
  <si>
    <t>John Moore</t>
  </si>
  <si>
    <t>Henry Kipp, 23, stout fellow, (Alexander Frazer). Formerly slave to Abraham Kipp, Hackensack, New Jersey; left him 6 years past.</t>
  </si>
  <si>
    <t>Alexander Frazer</t>
  </si>
  <si>
    <t>Betty Tynes, 30, ordinary wench, 1 child is month old, (Timothy Mahan). Formerly slave to Timothy Tynes, James River, Virginia; left him 3 years past. GBC.</t>
  </si>
  <si>
    <t>James River</t>
  </si>
  <si>
    <t>Timothy Mahan</t>
  </si>
  <si>
    <t>Winey VanSant, 45, very ordinary fellow, (Timothy Mahan). Formerly slave to John Van Sant, Bergen County, New Jersey; left him 6 years past. GBC.</t>
  </si>
  <si>
    <t>Winey</t>
  </si>
  <si>
    <t>Bergen County</t>
  </si>
  <si>
    <t>Richard Dixon, 21, stout lad, (Daniel Barry). Formerly slave to John Patterson Georgia; left him at the taking of Savannah. GBC.</t>
  </si>
  <si>
    <t>Daniel Barry</t>
  </si>
  <si>
    <t>Margaret his wife, 40, stout wench, M, (John Moore). Born free in the family of John Hull, Bergen, New Jersey; left it 3 years ago.</t>
  </si>
  <si>
    <t>Nicholas their son, 11, fine boy, (John Moore). Born free in the family of John Hull, Bergen, New Jersey; left it 3 years ago.</t>
  </si>
  <si>
    <t>Nicholas</t>
  </si>
  <si>
    <t>August Griggs, 18, stout lad, (Thomas Jennia). Formerly slave to Samuel Griggs, Georgia; left him at the Siege of Savannah. GBC.</t>
  </si>
  <si>
    <t>Formerly slave to Samuel Griggs</t>
  </si>
  <si>
    <t>Thomas Jennia</t>
  </si>
  <si>
    <t>Isaac Anderson, 30, stout fellow, B, carpenter, (Orchbert Nesbit). Born free in the family of Robert Lindsay, Charlestown South Carolina; left it 7 years ago.</t>
  </si>
  <si>
    <t>Orchbert Nesbit</t>
  </si>
  <si>
    <t>Sarah his wife, 20, stout wench, B, (Orchbert Nesbit). Formerly slave to Harry Smith, Charlestown, South Carolina, who died about 5 years ago.</t>
  </si>
  <si>
    <t>Prince Princes, 53, stout man, (John Moore). Formerly slave to Abraham Peers, Second river, New Jersey; left him 3 years ago about 2 years since he sold him to James Stokes from whom he bought himself &amp; paid L45.</t>
  </si>
  <si>
    <t>Second river</t>
  </si>
  <si>
    <t>Sam Van Norstrant, 28, stout fellow, M, (John Moore). Property of Stoffle Van Nostrant, Acquackenack, New Jersey; left him 4 years ago.</t>
  </si>
  <si>
    <t>Van Norstrant</t>
  </si>
  <si>
    <t>Acquackenack</t>
  </si>
  <si>
    <t>Baker &amp; Atly</t>
  </si>
  <si>
    <t>Roberts</t>
  </si>
  <si>
    <t>Quebec</t>
  </si>
  <si>
    <t>Beaver</t>
  </si>
  <si>
    <t>Tinnia Lynch, 25, stout wench, (Peter Lynch). Formerly servant to Thomas Skinner, Refugee from Amboy: appears to be the property of Peter Lynch.</t>
  </si>
  <si>
    <t>Sloop Beaver bound for Port Roseway Peter Parker, Master</t>
  </si>
  <si>
    <t>Tinnia</t>
  </si>
  <si>
    <t>Lynch</t>
  </si>
  <si>
    <t>Peter Parker</t>
  </si>
  <si>
    <t>Peter Lynch</t>
  </si>
  <si>
    <t>Tinnia Lynch</t>
  </si>
  <si>
    <t>Amboy</t>
  </si>
  <si>
    <t>Sally Lynch, 6, fine girl, (Peter Lynch). Formerly servant to Thomas Skinner, Refugee from Amboy; appears to be the property of Peter Lynch.</t>
  </si>
  <si>
    <t>Casar Handell, 34, stout fellow, (Peter Lynch). Formerly slave to Mr. Handell, Georgia; left him when Savannah was taken by the British troops. GBC.</t>
  </si>
  <si>
    <t>Handell</t>
  </si>
  <si>
    <t>Joseph Skinner, 35, stout fellow, (Peter Lynch). Formerly servant to Thomas Skinner, Refugee from Amboy: appears to be the property of Peter Lynch.</t>
  </si>
  <si>
    <t>Skinner</t>
  </si>
  <si>
    <t>Ceaser</t>
  </si>
  <si>
    <t>Handle</t>
  </si>
  <si>
    <t>Berwick</t>
  </si>
  <si>
    <t>John Humphries, 22, stout fellow. Capt. Prideaux of Ship Brunswick, claimant. (Capt. Prideaux). Formerly slave to Mr. Clarkson of Philadelphia; was captured in South Carolina.</t>
  </si>
  <si>
    <t>Ship Berwick bound for England Capt. Prideaux</t>
  </si>
  <si>
    <t>Humphries</t>
  </si>
  <si>
    <t>Capt. Prideaux</t>
  </si>
  <si>
    <t>Casar Jones, 18, ordinary fellow. (Capt. Prideaux of Ship Brunswick, claimant). (Capt. Prideaux). Purchased by Capt. Prideaux at St. Eustatius in the West Indies.</t>
  </si>
  <si>
    <t>Jones</t>
  </si>
  <si>
    <t>Capt. Prideaux of Ship Brunswick, claimant</t>
  </si>
  <si>
    <t>the West Indies</t>
  </si>
  <si>
    <t>6 Sept. 1783</t>
  </si>
  <si>
    <t>6</t>
  </si>
  <si>
    <t>Sept. 1783</t>
  </si>
  <si>
    <t>England Capt. Prideaux</t>
  </si>
  <si>
    <t>Aaron, 15, stout boy, (Oliver Hicks). Property of Oliver Hicks.</t>
  </si>
  <si>
    <t>Ship Betsey bound for Annapolis Royal William Gallillee</t>
  </si>
  <si>
    <t>Aaron</t>
  </si>
  <si>
    <t>72</t>
  </si>
  <si>
    <t>William Gallillee</t>
  </si>
  <si>
    <t>Annapolis Royal</t>
  </si>
  <si>
    <t>Oliver Hicks</t>
  </si>
  <si>
    <t>Beck, 1, child of the above wench, (Basil Jackson).</t>
  </si>
  <si>
    <t>Beck</t>
  </si>
  <si>
    <t>Basil Jackson</t>
  </si>
  <si>
    <t>John Annis, 30, stout mulatto, on his own bottom. Certified to be free by Mr. Hicks, late Mayor of New York.</t>
  </si>
  <si>
    <t>Annis</t>
  </si>
  <si>
    <t>Mima, free.</t>
  </si>
  <si>
    <t>Mima</t>
  </si>
  <si>
    <t>Hope, 47, stout wench, (Jonathan Kirk). Free born at Sterling.</t>
  </si>
  <si>
    <t>Hope</t>
  </si>
  <si>
    <t>Jonathan Kirk</t>
  </si>
  <si>
    <t>Tertullus, 41, stout fellow, (Jonathan Kirk). Free born South Hole.</t>
  </si>
  <si>
    <t>Tertullus</t>
  </si>
  <si>
    <t>South Hole</t>
  </si>
  <si>
    <t>John Jackson, 22, stout fellow, (Isaac Bonnel, Esq.). Formerly slave to Mr. Bunion, Charlestown, South Carolina; left him in 1780 after the siege.</t>
  </si>
  <si>
    <t>Isaac Bonnel, Esq.</t>
  </si>
  <si>
    <t>John Been, 48, (John Lewis). Formerly slave to [blank] of [blank] at Esopus, Province of New York.</t>
  </si>
  <si>
    <t>Been</t>
  </si>
  <si>
    <t>John Lewis</t>
  </si>
  <si>
    <t>Sam, 5, child of the above wench, (Basil Jackson).</t>
  </si>
  <si>
    <t>Amy Ash, 26, stout wench, M, (John Hinzman). Free born.</t>
  </si>
  <si>
    <t>Amy</t>
  </si>
  <si>
    <t>Ash</t>
  </si>
  <si>
    <t>John Hinzman</t>
  </si>
  <si>
    <t>John, free.</t>
  </si>
  <si>
    <t>Glasgow, 45, stout fellow, (James Rankin). Formerly slave to Ben Stratton, Eastern Shore, Virginia; left him 5 years. GBC.</t>
  </si>
  <si>
    <t>Glasgow</t>
  </si>
  <si>
    <t>James Rankin</t>
  </si>
  <si>
    <t>George, 19, stout lad, (Edward O'Brien). Formerly slave to Thomas Mills nigh Charlestown, South Carolina; left him 4 years. GBC.</t>
  </si>
  <si>
    <t>Edward O'Brien</t>
  </si>
  <si>
    <t>Jim, 8, fine boy, (John Hinzman). Free born.</t>
  </si>
  <si>
    <t>Jim</t>
  </si>
  <si>
    <t>Silvia Ben, 30, ordinary, (John Lewis). Formerly slave to Capt. Miller of New York who gave her her freedom.</t>
  </si>
  <si>
    <t>Ben</t>
  </si>
  <si>
    <t>Cander, 8, children of the above wench, (John Lewis).</t>
  </si>
  <si>
    <t>Cander</t>
  </si>
  <si>
    <t>John, 2, children of the above wench, (John Lewis).</t>
  </si>
  <si>
    <t>Sabinah, 35, stout wench, (Basil Jackson). Formerly slave to Ben Stratton of the Eastern Shore, Virginia; left him 5 years ago. GBC.</t>
  </si>
  <si>
    <t>Sabinah</t>
  </si>
  <si>
    <t>the Eastern Shore</t>
  </si>
  <si>
    <t>Black Bill, 35, stout fellow, (Basil Jackson). Formerly slave to Ben Stratton of the Eastern Shore, Virginia; left him 5 years.</t>
  </si>
  <si>
    <t>Letitia, 25, squat stout wench, (Elias Bolner). Property of Elias Bolner per Bill of Sale produced.</t>
  </si>
  <si>
    <t>Letitia</t>
  </si>
  <si>
    <t>Elias Bolner</t>
  </si>
  <si>
    <t>Jack, 22, stout fellow, (John Hinzman). Formerly slave to Mr. Furman, Prince George County, Virginia; left him 6 years. GBC.</t>
  </si>
  <si>
    <t>Flanders Goff, 20, stout fellow, (William Young). Formerly slave to Richard Goff, Charlestown, South Carolina; left him 4 years. GBC.</t>
  </si>
  <si>
    <t>Flanders</t>
  </si>
  <si>
    <t>Goff</t>
  </si>
  <si>
    <t>William Young</t>
  </si>
  <si>
    <t>Blacket</t>
  </si>
  <si>
    <t>Sarah Howard, 1, (Alexander Robertson).</t>
  </si>
  <si>
    <t>Ship Blacket bound for Port Roseway John Roxby, Master</t>
  </si>
  <si>
    <t>Howard</t>
  </si>
  <si>
    <t>John Roxby</t>
  </si>
  <si>
    <t>Alexander Robertson</t>
  </si>
  <si>
    <t>Flora Bacchus, 11, (Alexander Robertson). General Birch's Certificate.</t>
  </si>
  <si>
    <t>Flora</t>
  </si>
  <si>
    <t>Bacchus</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</si>
  <si>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</si>
  <si>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</si>
  <si>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</si>
  <si>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</si>
  <si>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Peggy</t>
  </si>
  <si>
    <t>Summer</t>
  </si>
  <si>
    <t>Formerly slave to Luke Summer</t>
  </si>
  <si>
    <t>Francis Bruff, 18, stout Black fellow, a cooper, (Andrew Barclay). Born free in the Grenadas, W. Indies, says he was engaged till 21 years of age to Gen. Arnold.</t>
  </si>
  <si>
    <t>Francis</t>
  </si>
  <si>
    <t>Bruff</t>
  </si>
  <si>
    <t>Andrew Barclay</t>
  </si>
  <si>
    <t>Joe Ramsey, 31, stout black fellow, a cooper, (John McLeod). Formerly slave to James Jarridar, Indian Land, South Carolina; left him 5 years ago. GBC</t>
  </si>
  <si>
    <t>Ramsey</t>
  </si>
  <si>
    <t>Indian Land</t>
  </si>
  <si>
    <t>John McLeod</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</si>
  <si>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</si>
  <si>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</si>
  <si>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Ball</t>
  </si>
  <si>
    <t>John Richards, 15, stout boy, their son, (Lt. McLeod, Legion). Formerly slave to James Jarvis, Cowsatrachy; left him at the same time but was not made free. GBC.</t>
  </si>
  <si>
    <t>Richards</t>
  </si>
  <si>
    <t>Lt. McLeod, Legion</t>
  </si>
  <si>
    <t>Bella his wife, 30, stout wench, black, (Lt.McLeod, Legion). Formerly slave to James Jarvis, Cowsatrachy; left him at the same time but was not made free. GBC.</t>
  </si>
  <si>
    <t>Lt.McLeod, Legion</t>
  </si>
  <si>
    <t>Peter Richards, 33, stout fellow, cut on his left thumb, (Lt. McLeod, Legion). Formerly slave to James Jarvis, Cowsatrachy, who he says gave him his freedom at his death abou to years ago. GBC.</t>
  </si>
  <si>
    <t>Adam Jones, 26, stout black fellow, (Andrew Barclay). Says he was born free on the Estate of Thomas Vandexter, Goldmine, Virginia; left that place about 6 years ago.</t>
  </si>
  <si>
    <t>Adam</t>
  </si>
  <si>
    <t>Goldmine</t>
  </si>
  <si>
    <t>Charles Dixon, 47, stout make, carpenter, (William McLeod). Formerly slave to Willis Wilkinson, Nansemond, Virginia; left him about 4 years past.</t>
  </si>
  <si>
    <t>William McLeod</t>
  </si>
  <si>
    <t>Francis Bruff, 18, stout fellow, black, (Andrew Barclay). Born at Grenada, West Indies, from whence he was taken by General Arnold about 12 years past, that he left the General at Quebec &amp; is now free.</t>
  </si>
  <si>
    <t>Grenada</t>
  </si>
  <si>
    <t>John Prior, 26, stout fellow, (James Robinson). Says he was free born in Jamaica, served as Cooper on board the Lyon frigate from which he shows a discharge signed by D. Barns, Purser.</t>
  </si>
  <si>
    <t>Prior</t>
  </si>
  <si>
    <t>James Robinson</t>
  </si>
  <si>
    <t>Jenny Bacchus, 33, low wench, (Alexander Robertson). Formerly slave to Mrs. Stanyard, John's Island; left her before the Siege of Charlestown. GBC.</t>
  </si>
  <si>
    <t>Jenny</t>
  </si>
  <si>
    <t>Lydia</t>
  </si>
  <si>
    <t>Luke Dixon, 13, stout boy, mulatto, (William McLeod). Formerly slave to Willis Wilkinson, Nansemond, Virginia; left him about 4 years past.</t>
  </si>
  <si>
    <t>Luke</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</si>
  <si>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</si>
  <si>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</si>
  <si>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Sophia</t>
  </si>
  <si>
    <t>Sally Dixon, stout wench, mulatto, (William McLeod). Formerly slave to Willis Wilkinson, Nansemond, Virginia; left him about 4 years past.</t>
  </si>
  <si>
    <t>Henry Beach, 30, low lad, (George Betty). Formerly slave to Daniel Beach, Newark, Jersey; left him about 5 years past.</t>
  </si>
  <si>
    <t>Beach</t>
  </si>
  <si>
    <t>George Betty</t>
  </si>
  <si>
    <t>Daniel Beach</t>
  </si>
  <si>
    <t>Newark</t>
  </si>
  <si>
    <t>Robert Freeman, 27, stout fellow, mulatto, (Thomas Powers). Says he was born free. Served his time to Gabriel Philips, powder maker at the Walkill near Goshen.</t>
  </si>
  <si>
    <t>Freeman</t>
  </si>
  <si>
    <t>Thomas Powers</t>
  </si>
  <si>
    <t>Goshen</t>
  </si>
  <si>
    <t>Nancy Mumford, 21, stout wench, (James Robinson). Free as per Bill of Sale of her mother from Mrs. Mumford, Rhode Island, toher father Bristol.</t>
  </si>
  <si>
    <t>Mumford</t>
  </si>
  <si>
    <t>Shadrick Jones, 23, stout fellow, black, (William McLeod) Formerly slave to Thomas Winter, Chester, Cumberland County, Virginia; left him about 6 years past.</t>
  </si>
  <si>
    <t>Shadrick</t>
  </si>
  <si>
    <t>Cumberland County</t>
  </si>
  <si>
    <t>Chester</t>
  </si>
  <si>
    <t>Silva Shepherd, 25, sizable mulatto wench, (Lieut. Dan McLeod). Formerly slave to Israel Shepherd, Nansemond, Virginia; left him about 4 years past.</t>
  </si>
  <si>
    <t>Silva</t>
  </si>
  <si>
    <t>Shepherd</t>
  </si>
  <si>
    <t>Lieut. Dan McLeod</t>
  </si>
  <si>
    <t>Israel Shepherd</t>
  </si>
  <si>
    <t>Peggy Jones, 1, (Lieut. Dan McLeod).</t>
  </si>
  <si>
    <t>William Smith, 33, stout mulatto carpenter, (James Robinson). Free born nigh Tabs Creek, Lancaster County, Virginia.</t>
  </si>
  <si>
    <t>Lancaster County</t>
  </si>
  <si>
    <t>Tabs Creek</t>
  </si>
  <si>
    <t>Silas Bright, 31, stout mulatto, (James Robinson). Formerly slave to Griffin Pierte, Greatbridge, Virginia; left him about 7 years go. GBC.</t>
  </si>
  <si>
    <t>Silas</t>
  </si>
  <si>
    <t>Bright</t>
  </si>
  <si>
    <t>Greatbridge</t>
  </si>
  <si>
    <t>Robert Jenkins, 31, stout black fellow, (James Robinson). Free as per manumission produced signed by Jacob Varse of Charlestown, South Carolina, dated 5 June 70, his former name appears to have been Samuel.</t>
  </si>
  <si>
    <t>Free as per manumission produced signed by Jacob Varse of Charlestown</t>
  </si>
  <si>
    <t>Sarah Browne, 20, stout wench, (James Robinson). Says she was born free at Charlestown, lived since a child at Hackensack, New Jersey.</t>
  </si>
  <si>
    <t>lived since a child at Hackensack</t>
  </si>
  <si>
    <t>Sukey, 25, stout wench (James Robinson). Formerly slave to John Hudson, Virginia, Norfolk; left him about 7 years ago. GBC.</t>
  </si>
  <si>
    <t>Formerly slave to John Hudson</t>
  </si>
  <si>
    <t>Thomas Bacchus, 28, stout made, (Alexander Robertson). Formerly slave to Captain Williams, Charlestown; left him 5½ years past. GBC.</t>
  </si>
  <si>
    <t>John Gray, 28, stout fellow, (James Rees). Formerly slave to Captain Howard Harrand, Williamsburgh, Virginia, who put him in the Army form whence he deserted.</t>
  </si>
  <si>
    <t>Williamsburgh</t>
  </si>
  <si>
    <t>James Rees</t>
  </si>
  <si>
    <t>Myles Dixon, 15, stout boy, mulatto, (William McLeod). Formerly slave to Willis Wilkinson, Nansemond, Virginia; left him about 4 years past.</t>
  </si>
  <si>
    <t>Myles</t>
  </si>
  <si>
    <t>Esther Smith, 14, fine wench, B, (George Bentley). Formerly slave to John Smith of Frog's Point, taken from him about 6 years ago.</t>
  </si>
  <si>
    <t>George Bentley</t>
  </si>
  <si>
    <t>Dolly Dixon, 41, sizable wench, mulatto, (William McLeod). Formerly slave to Willis Wilkinson, Nansemond, Virginia; left him about 4 years past.</t>
  </si>
  <si>
    <t>Dolly</t>
  </si>
  <si>
    <t>Jonathan Monday, 19, stout fellow, mulatto, (Joshua Hill). Formerly slave to Mr. Simmons, Charlestown; left his master who was killed at the Siege of Savannah.</t>
  </si>
  <si>
    <t>Jonathan</t>
  </si>
  <si>
    <t>Monday</t>
  </si>
  <si>
    <t>Joshua Hill</t>
  </si>
  <si>
    <t>Charles, (Andrew Barclay). Came from Jamaica, can't understand him.</t>
  </si>
  <si>
    <t>Mary Bella, 29, stout wench, B½ M, (James Smithers). Slave to Captain Graham, Royal Americans, who left her in New York 4 years ago.</t>
  </si>
  <si>
    <t>James Smithers</t>
  </si>
  <si>
    <t>Blackett</t>
  </si>
  <si>
    <t>Siles</t>
  </si>
  <si>
    <t>Peggy Ramsey his</t>
  </si>
  <si>
    <t>Bella Richards his</t>
  </si>
  <si>
    <t>Libby Richards his</t>
  </si>
  <si>
    <t>John Richards their</t>
  </si>
  <si>
    <t>Rosetta, 30, stout wench. David Whitehill of Quebec, claimant. (David Whitehill). His property having produced a Bill of Sale.</t>
  </si>
  <si>
    <t>Blackett bound for Quebec John Roxby</t>
  </si>
  <si>
    <t>Rosetta</t>
  </si>
  <si>
    <t>David Whitehill</t>
  </si>
  <si>
    <t>Celia Boon, 30, likely wench, (Jane Croser). Formerly the property of Samuel Boon of Charlestown, South Carolina; left him 4 ½ years ago.</t>
  </si>
  <si>
    <t>Celia</t>
  </si>
  <si>
    <t>Boon</t>
  </si>
  <si>
    <t>Jane Croser</t>
  </si>
  <si>
    <t>Nicholas Clouse, 40, stout fellow, M, (Alexander White). Formerly slave of William Nockle of Tappan, New Jersey; left him 3 ½ years ago. GBC.</t>
  </si>
  <si>
    <t>Clouse</t>
  </si>
  <si>
    <t>Alexander White</t>
  </si>
  <si>
    <t>Lena Clouse, 40, stout wench, M, (Alexander White). Formerly slae to Cornelius Tollman of Tappan, New Jersey; left him 3 ½ years ago. GBC.</t>
  </si>
  <si>
    <t>Lena</t>
  </si>
  <si>
    <t>Nancy Hill, 27, likely girl, M, (Robert Cockrill). Says she is free and produces General Birch's Certificate to show it.</t>
  </si>
  <si>
    <t>Hill</t>
  </si>
  <si>
    <t>25</t>
  </si>
  <si>
    <t>Robert Cockrill</t>
  </si>
  <si>
    <t>Elsee Boon, 50, stout fellow, (Jane Croser). Formerly the property of Samuel Boon of Charlestown, South Carolina; left him 4 ½ years ago. GBC.</t>
  </si>
  <si>
    <t>Elsee</t>
  </si>
  <si>
    <t>Dick Boon, 50, stout fellow, (Jane Croser). Formerly the property of Samuel Boon of Charlestown, South Carolina; left him 4 ½ years ago.</t>
  </si>
  <si>
    <t>Shedrick</t>
  </si>
  <si>
    <t>Bachus</t>
  </si>
  <si>
    <t>Bridgewater</t>
  </si>
  <si>
    <t>Hargar, 17, ordinary wench. Widow Brown of St. John's, claimant. (Widow Brown). Formerly the property of the late Dr. Middleton of New York; was after his death sold to the said Widow Brown.</t>
  </si>
  <si>
    <t>Bridgewater bound for St. John's</t>
  </si>
  <si>
    <t>Hargar</t>
  </si>
  <si>
    <t>1 Nov 1784</t>
  </si>
  <si>
    <t>Widow Brown</t>
  </si>
  <si>
    <t>Simon</t>
  </si>
  <si>
    <t>Addams</t>
  </si>
  <si>
    <t>Daniel Addinott</t>
  </si>
  <si>
    <t>Adam, 11, fine boy, John Cochran of St. John's, claimant. (John Cochran). Free born, bound to John Cochran until 21 years of age.</t>
  </si>
  <si>
    <t>Bridgewater bound for St. John's River Daniel Adnitt</t>
  </si>
  <si>
    <t>36</t>
  </si>
  <si>
    <t>Daniel Adnitt</t>
  </si>
  <si>
    <t>John Cochran</t>
  </si>
  <si>
    <t>Molly, 15, stout low wench, pock marked, (Alexander Stuart). Formerly slave of Richard Brookes, Gwyn's Island, Virginia; left him 9 months.</t>
  </si>
  <si>
    <t>Alexander Stuart</t>
  </si>
  <si>
    <t>Island</t>
  </si>
  <si>
    <t>Michael</t>
  </si>
  <si>
    <t>Beacon</t>
  </si>
  <si>
    <t>Jemima</t>
  </si>
  <si>
    <t>St. Johns River</t>
  </si>
  <si>
    <t>Ann, 15, fine wench, (John McPherson). Formerly slave of Thomas Vinters, Virginia.</t>
  </si>
  <si>
    <t>John McPherson</t>
  </si>
  <si>
    <t>Philip, 40, stout fellow, low sized, (Dr. Clarke). Formerly slave of William Dandridge, James River, Virginia; left him 3 years ago. GBC.</t>
  </si>
  <si>
    <t>Philip</t>
  </si>
  <si>
    <t>Dr. Clarke</t>
  </si>
  <si>
    <t>Jemima with 2</t>
  </si>
  <si>
    <t>Jack Coley &amp; 3 children, 34 stout fellow, (John White). Formerly slave to David Coley, Fairfield, Connecticut; left him 6 years ago. GBC.</t>
  </si>
  <si>
    <t>Coley &amp; 3 children</t>
  </si>
  <si>
    <t>John White</t>
  </si>
  <si>
    <t>Coley</t>
  </si>
  <si>
    <t>Dolly, 24, stout squat wench, (James Morrel). Formerly slave of Robert Troup, Portsmouth, Virginia; left him 7 years ago. GBC.</t>
  </si>
  <si>
    <t>James Morrel</t>
  </si>
  <si>
    <t>John Wilkins, 26, stout fellow, scar on his chin, (Peter Toner). Formerly slave of John Thomas, Harrison's purchase, W. Chester; left him 7 years ago.</t>
  </si>
  <si>
    <t>Cuffie</t>
  </si>
  <si>
    <t>Peter Toner</t>
  </si>
  <si>
    <t>Jemima &amp; 2 children, 18, stout wench, (Enoch Garish). Free, served her time with Ebenezer Beman of Long Island.</t>
  </si>
  <si>
    <t>&amp; 2 children</t>
  </si>
  <si>
    <t>Enoch Garish</t>
  </si>
  <si>
    <t>Cuffie, 40, stout fellow, (Enoch Garish). Formerly slave to Hernet Farmier, 2 Mile Square, New York province; left him 7 years ago.</t>
  </si>
  <si>
    <t>Dinah, 24, stout wench, (John White). Free purchased her freedom from Joseph Handford of Fairfield, Connecticut.</t>
  </si>
  <si>
    <t>Jack Coley and 3</t>
  </si>
  <si>
    <t>Joe, 12, fine boy. Joseph O. Forrester of St. John's, claimant. (Joseph O. Forrester). Property of Captain Forrester who the boy says purchased him.</t>
  </si>
  <si>
    <t>Joseph O. Forrester</t>
  </si>
  <si>
    <t>Jack, 38, stout fellow, M. Nathaniel Dickenson of St. John's, claimant. (Nathaniel Dickenson). Property of Nathaniel Dickenson, sold to him by John Day.</t>
  </si>
  <si>
    <t>Nathaniel Dickenson</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</si>
  <si>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</si>
  <si>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</si>
  <si>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</si>
  <si>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Cary</t>
  </si>
  <si>
    <t>William Bogle</t>
  </si>
  <si>
    <t>Robert Lawson, 34, stout fellow, (James Morrel). Formerly slave of John Gordon, Fairfield, Virginia; left him 6 years ago. GBC.</t>
  </si>
  <si>
    <t>Lawson</t>
  </si>
  <si>
    <t>Emey</t>
  </si>
  <si>
    <t>Fraser</t>
  </si>
  <si>
    <t>Saundy</t>
  </si>
  <si>
    <t>Bryan</t>
  </si>
  <si>
    <t>Rosania</t>
  </si>
  <si>
    <t>Mott</t>
  </si>
  <si>
    <t>Phillis</t>
  </si>
  <si>
    <t>Drove</t>
  </si>
  <si>
    <t>Gabriel</t>
  </si>
  <si>
    <t>Ferguson</t>
  </si>
  <si>
    <t>Fortune Logan, 24, ordinary fellow.</t>
  </si>
  <si>
    <t>Bridgewater bound for St. John's Daniel Addinot</t>
  </si>
  <si>
    <t>Fortune</t>
  </si>
  <si>
    <t>Logan</t>
  </si>
  <si>
    <t>Daniel Addinot</t>
  </si>
  <si>
    <t>Issac York, 27, ordinary fellow.</t>
  </si>
  <si>
    <t>Issac</t>
  </si>
  <si>
    <t>York</t>
  </si>
  <si>
    <t>Britain</t>
  </si>
  <si>
    <t>Nelly, 8, likely wench. Major Coffin of St. John's, claimant. (Major Coffin). Became his property by the marriage of Mrs. Coffin.</t>
  </si>
  <si>
    <t>Britain bound for St. John's John Allen</t>
  </si>
  <si>
    <t>John Allen</t>
  </si>
  <si>
    <t>Major Coffin</t>
  </si>
  <si>
    <t>Fortune, 9, likely boy. Major Coffin of St. John's, claimant. (Major Coffin). Became his property by the marriage of Mrs. Coffin.</t>
  </si>
  <si>
    <t>Camel</t>
  </si>
  <si>
    <t>Abigail Orser, 14, likely wench, B, Joseph Orser or Quebec, claimant. Appears to be said Orser's property.</t>
  </si>
  <si>
    <t>Camel bound for Quebec William Tinker</t>
  </si>
  <si>
    <t>Orser</t>
  </si>
  <si>
    <t>23 Aug 1783 (sailed early Sept 1783)</t>
  </si>
  <si>
    <t>Kate</t>
  </si>
  <si>
    <t>Tinker</t>
  </si>
  <si>
    <t>Kate and girl 6</t>
  </si>
  <si>
    <t>years</t>
  </si>
  <si>
    <t>Oliver Orser, 11, likely boy. (Joseph Orser of Quebec, claimant. Appears to be said Orser's property.</t>
  </si>
  <si>
    <t>Oliver</t>
  </si>
  <si>
    <t>Eleanor Hicks, 13, stout wench born at Rockaway, (Johnson Kearstead). Free, but indented for five years to Johnston Kearstead.</t>
  </si>
  <si>
    <t>Ship Camel bound for St.John's Tinker</t>
  </si>
  <si>
    <t>Eleanor</t>
  </si>
  <si>
    <t>Johnson Kearstead</t>
  </si>
  <si>
    <t>Isaac, 17, stout boy, (Joseph Scribner) Property purchased from Ebenezer Scribner of Setockett, Long Island.</t>
  </si>
  <si>
    <t>Joseph Scribner</t>
  </si>
  <si>
    <t>Setockett</t>
  </si>
  <si>
    <t>Almin, 32, stout healthy man, (James Richards). Formerly the property of Williams at Tappan in New Jersey, came in on Sir William Howe's proclamation.</t>
  </si>
  <si>
    <t>Almin</t>
  </si>
  <si>
    <t>James Richards</t>
  </si>
  <si>
    <t>Kate &amp; girl 6 years, 40, stout wench, (Charles Richards). Formerly the property of Thomas Marron of Old Fairfield whom he left on account of the proclamation of Sir W.W. Howe.</t>
  </si>
  <si>
    <t>&amp; girl 6 years</t>
  </si>
  <si>
    <t>Charles Richards</t>
  </si>
  <si>
    <t>Henry, 47, stout man, (Charles Richards). Formerly the property of Thomas Marren of Old Fairfield whom he left on account of the proclamation of Sir W.W. Howe.</t>
  </si>
  <si>
    <t>Caron</t>
  </si>
  <si>
    <t>Bob, 7, fine boy, (Isaac Cooper). Property of Isaac Cooper.</t>
  </si>
  <si>
    <t>Caron bound for Annapolis Royal David Balmanno</t>
  </si>
  <si>
    <t>66</t>
  </si>
  <si>
    <t>David Balmanno</t>
  </si>
  <si>
    <t>Isaac Cooper</t>
  </si>
  <si>
    <t>Joe, 14, fine boy, (Daniel Odell). Property of Daniel Odell.</t>
  </si>
  <si>
    <t>Daniel Odell</t>
  </si>
  <si>
    <t>Anson, 21, stout fellow, (Lt. McDonald). Property of Lieutenant McDonald.</t>
  </si>
  <si>
    <t>Anson</t>
  </si>
  <si>
    <t>Lt. McDonald</t>
  </si>
  <si>
    <t>Joe, 25, stout fellow, (Northrop Marpole). Formerly slave to Abraham Ackerman, Paramus, New Jersey; left him 5 years ago. GBC.</t>
  </si>
  <si>
    <t>Northrop Marpole</t>
  </si>
  <si>
    <t>Amelia Hopewell, 21, stout wench, (Lt. McDonald). Property of Lieutenant McDonald.</t>
  </si>
  <si>
    <t>Amelia</t>
  </si>
  <si>
    <t>Hopewell</t>
  </si>
  <si>
    <t>Margaret, 19, stout wench with a girl 3 years old, (Timothy Clows). Property of Timothy Clows.</t>
  </si>
  <si>
    <t>Timothy Clows</t>
  </si>
  <si>
    <t>Peter Mattocks, 40, stout fellow, (Timothy Clows). Formerly slave to Andrew Lyons, Province of New York.</t>
  </si>
  <si>
    <t>Mattocks</t>
  </si>
  <si>
    <t>Belinda</t>
  </si>
  <si>
    <t>David Balmanne</t>
  </si>
  <si>
    <t>Annapollis Royal</t>
  </si>
  <si>
    <t>Abigail, 7, fine girl, (Jacob Beeber). Property of Jacob Beeber.</t>
  </si>
  <si>
    <t>Jacob Beeber</t>
  </si>
  <si>
    <t>Aberdeen, 40, stout fellow, (John Hicks). Formerly slave to Mary Bridger, Smithfield, Isle of Wight, Virginia; left her 8 years ago. GBC.</t>
  </si>
  <si>
    <t>Aberdeen</t>
  </si>
  <si>
    <t>John Hicks</t>
  </si>
  <si>
    <t>Smithfield</t>
  </si>
  <si>
    <t>Belinda, 43, stout wench with a boy 3 years old, (Gabriel Purdy). Property of Gabriel Purdy.</t>
  </si>
  <si>
    <t>Gabriel Purdy</t>
  </si>
  <si>
    <t>Nancy, 23, stout wench, (Alexander Haight). Formerly slave to Stephen ' Tankard, Norfolk, Virginia; left him 5 years ago. GMC.</t>
  </si>
  <si>
    <t>Alexander Haight</t>
  </si>
  <si>
    <t>Anny Walters, 25, stout wench, (Leonard Tarrant). Formerly slave to Lambert Reddick, Suffolk, Virginia; left him 5 years ago. GMC.</t>
  </si>
  <si>
    <t>Anny</t>
  </si>
  <si>
    <t>Walters</t>
  </si>
  <si>
    <t>Suffolk</t>
  </si>
  <si>
    <t>Leonard Tarrant</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</si>
  <si>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</si>
  <si>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</si>
  <si>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Maryland</t>
  </si>
  <si>
    <t>Joseph Marvin</t>
  </si>
  <si>
    <t>Cecil County</t>
  </si>
  <si>
    <t>Robert Bias, 20, stout fellow, (John Hicks). Born free; lived with Mr. Handford, Smithfield, Isle of Wight, Virginia; left him 4 months ago. GBC.</t>
  </si>
  <si>
    <t>Bias</t>
  </si>
  <si>
    <t>Friar, 30, stout fellow, (John Hicks). Formerly slave to Hassen Pendree, South Carolina; left him 4 years ago. GBC.</t>
  </si>
  <si>
    <t>Friar</t>
  </si>
  <si>
    <t>Formerly slave to Hassen Pendree</t>
  </si>
  <si>
    <t>Naoma Gaul, 18, stout wench, on her own footing. Born free; served until 21 years with John Townsend, Oyster Bay.</t>
  </si>
  <si>
    <t>Naoma</t>
  </si>
  <si>
    <t>Gaul</t>
  </si>
  <si>
    <t>Joseph Gaul, 25, stout fellow, on his own footing. Born free; served until 21 years with Thomas Young, Oyster Bay.</t>
  </si>
  <si>
    <t>Casar, 26, stout fellow, (John Hicks). Property of John Hicks.</t>
  </si>
  <si>
    <t>Peter, 19, stout fellow, (Gabriel Purdy). Property of Gabriel Purdy.</t>
  </si>
  <si>
    <t>Jean, 15, stout wench, (Joseph Marvin). Property of Joseph Marvin.</t>
  </si>
  <si>
    <t>Jean</t>
  </si>
  <si>
    <t>Ship Nancy, Capt. Hammond</t>
  </si>
  <si>
    <t>Ship</t>
  </si>
  <si>
    <t>Sue, 21, stout wench, (Gabriel Purdy). Property of Gabriel Purdy.</t>
  </si>
  <si>
    <t>Sue</t>
  </si>
  <si>
    <t>Ned Moore, 45, stout fellow, (Gabriel Purdy). Property of Gabriel Purdy.</t>
  </si>
  <si>
    <t>Moore</t>
  </si>
  <si>
    <t>Massey</t>
  </si>
  <si>
    <t>Asten</t>
  </si>
  <si>
    <t>Timothy</t>
  </si>
  <si>
    <t>Vigo</t>
  </si>
  <si>
    <t>Titus</t>
  </si>
  <si>
    <t>Doore</t>
  </si>
  <si>
    <t>King</t>
  </si>
  <si>
    <t>Freebody</t>
  </si>
  <si>
    <t>Charming Nancy</t>
  </si>
  <si>
    <t>Lydia Johnson, 30, stout wench, (Lt. Serjeant). Formerly the property of John Brown, 9 Partners; left him 3 years ago. GBC.</t>
  </si>
  <si>
    <t>Charming Nancy bound for Port Roseway John Clark</t>
  </si>
  <si>
    <t>65</t>
  </si>
  <si>
    <t>Lt. Serjeant</t>
  </si>
  <si>
    <t>Nanny, 35, stout wench, (Capt. Hickford). Formerly the property of Austin Graham, 9 Partners, New York Province; left him 7 years ago. GBC.</t>
  </si>
  <si>
    <t>Nanny</t>
  </si>
  <si>
    <t>Capt. Hickford</t>
  </si>
  <si>
    <t>New York Province</t>
  </si>
  <si>
    <t>Rebecca Izzard, 26, stout wench, (Lt. Serjeant). Formerly the property of Ralph Izzard, Esq. Of South Carolina; left him 4 years ago. GBC.</t>
  </si>
  <si>
    <t>Rebecca</t>
  </si>
  <si>
    <t>Izzard</t>
  </si>
  <si>
    <t>Esq</t>
  </si>
  <si>
    <t>Toby Sams, 25, stout fellow, pockmarked, (Lt. Serjeant). Formerly the property of William Sams of John's Island, South Carolina; left him 4 years ago. GBC.</t>
  </si>
  <si>
    <t>Toby</t>
  </si>
  <si>
    <t>Sams</t>
  </si>
  <si>
    <t>Stephen Pottle, 26, stout fellow, M, (Thomas Dalton). Formerly the property of William Miles of Oyster Bay who died 4 years ago &amp; left him free.</t>
  </si>
  <si>
    <t>Stephen</t>
  </si>
  <si>
    <t>Pottle</t>
  </si>
  <si>
    <t>Thomas Dalton</t>
  </si>
  <si>
    <t>Clinton</t>
  </si>
  <si>
    <t>Moses Jessup, 48, feeble fellow. Formerly the property of William Lee of Northumberland County, Virginia; left him 2 years ago. GBC.</t>
  </si>
  <si>
    <t>Clinton bound for Annapolis &amp; St. John's Lt. Trounce</t>
  </si>
  <si>
    <t>Moses</t>
  </si>
  <si>
    <t>Jessup</t>
  </si>
  <si>
    <t>47</t>
  </si>
  <si>
    <t>Lt. Trounce</t>
  </si>
  <si>
    <t>Northumberland County</t>
  </si>
  <si>
    <t>Benjamin Nelis, 24, stout fellow. Formerly the property of Andrew McKay of Isle of Wight County, Virginia; left him 4 years ago. GBC.</t>
  </si>
  <si>
    <t>Benjamin</t>
  </si>
  <si>
    <t>Nelis</t>
  </si>
  <si>
    <t>Isle of Wight County</t>
  </si>
  <si>
    <t>Andrew Casey, 26, likely lad. Formerly the property of David Mead of Nansemond, Virginia; left him 5 years ago. GBC.</t>
  </si>
  <si>
    <t>Andrew</t>
  </si>
  <si>
    <t>Casey</t>
  </si>
  <si>
    <t>Mingo Jordan, 19, stout fellow. Formerly the property of Richard Jordan of Isle of Wight county, Virginia; left him 4 years ago. GBC.</t>
  </si>
  <si>
    <t>Mingo</t>
  </si>
  <si>
    <t>Jordan</t>
  </si>
  <si>
    <t>48</t>
  </si>
  <si>
    <t>Isle of Wight county</t>
  </si>
  <si>
    <t>Samuel Hunter, 36, feeble fellow. Formerly the property of James Hunter, Norfolk County, Virginia; left him 5 years ago. GBC.</t>
  </si>
  <si>
    <t>Hunter</t>
  </si>
  <si>
    <t>Norfolk County</t>
  </si>
  <si>
    <t>Peter Warren, 23, stout fellow. Formerly the property of Peter Warren of Northampton County, Virginia; left him 5 years ago. GBC.</t>
  </si>
  <si>
    <t>Northampton County</t>
  </si>
  <si>
    <t>Dinah Griffin, 23, stout wench. She produces a Certificate from her late master_ bagout of New York of having purchased her freedom as also that for her daughter Sal.</t>
  </si>
  <si>
    <t>Griffin</t>
  </si>
  <si>
    <t>Dorothy</t>
  </si>
  <si>
    <t>Bush</t>
  </si>
  <si>
    <t>Frank Patrick, 28, stout fellow. Formerly the property of Richard Brown of Norfolk, Virginia; left him 4 years ago. GBC.</t>
  </si>
  <si>
    <t>Patrick</t>
  </si>
  <si>
    <t>Anthony Randall, 53, feeble fellow. Formerly the property of Richard Brown of Norfolk, Virginia; left him 5 years ago. GBC.</t>
  </si>
  <si>
    <t>Randall</t>
  </si>
  <si>
    <t>Isaac White, 27, stout fellow. Formerly the property of Theodric Bland of George County, Virginia; left him 4 years ago. GBC.</t>
  </si>
  <si>
    <t>White</t>
  </si>
  <si>
    <t>George County</t>
  </si>
  <si>
    <t>Anthony Stevens, 47, stout fellow. Formerly the property of Peter Connoway of Lancaster, Virginia; left him 7 years ago. GBC.</t>
  </si>
  <si>
    <t>Stevens</t>
  </si>
  <si>
    <t>Lancaster</t>
  </si>
  <si>
    <t>Dick Richard, 30, stout fellow. Formerly the property of Peter Willis of Little York, Virginia; left him 5 years ago. GBC.</t>
  </si>
  <si>
    <t>Little York</t>
  </si>
  <si>
    <t>Dinah, 13, likely girl, (James Dunn). Formerly slave to Michael Bloom of Charlestown, South Carolina; goes with her mother Lucy.</t>
  </si>
  <si>
    <t>James Dunn</t>
  </si>
  <si>
    <t>Job Christeen, 60, feeble fellow. Formerly the property of Walker Connaway of Northumberland County, Virginia; left him 6 years ago. GBC.</t>
  </si>
  <si>
    <t>Christeen</t>
  </si>
  <si>
    <t>John Sparrow, 40, feeble fellow. Formerly the property of Peter Sparrow of Norfolk, Virginia; left him 5 years ago. GBC.</t>
  </si>
  <si>
    <t>Sparrow</t>
  </si>
  <si>
    <t>James Nickins, 35, stout fellow. Formerly the property of John Clayton of Lancaster County, Virginia;left him 7 years ago. GBC.</t>
  </si>
  <si>
    <t>Nickins</t>
  </si>
  <si>
    <t>Thomas Stevens, 13, likely boy. Formerly property of Peter Pew of Tappan, New Jersey; left him 5 years ago. GBC.</t>
  </si>
  <si>
    <t>Lucy Bloom, 40, stout wench, (James Dunn). Formerly slave to Michael Bloom of Charlestown, South Carolina; left him 3 years ago.</t>
  </si>
  <si>
    <t>Lucy</t>
  </si>
  <si>
    <t>Bloom</t>
  </si>
  <si>
    <t>Formerly slave to Michael Bloom of Charlestown</t>
  </si>
  <si>
    <t>Fanny her daughter, 5 mo., fine child, (Alexander Grant). Goes with her mother.</t>
  </si>
  <si>
    <t>Fanny</t>
  </si>
  <si>
    <t>49</t>
  </si>
  <si>
    <t>Alexander Grant</t>
  </si>
  <si>
    <t>mo.</t>
  </si>
  <si>
    <t>Nancy Williams, 29, stout wench, (Alexander Grant). Says she is free and produces General Birch's Certificate.</t>
  </si>
  <si>
    <t>Abraham Saunders, 17, likely boy, M. Says that William Connor, his master, set him free when he was born &amp; produces General Birch's Certificate.</t>
  </si>
  <si>
    <t>Abraham</t>
  </si>
  <si>
    <t>Saunders</t>
  </si>
  <si>
    <t>Dorothy Bush, 36, stout wench. She says her master Andrew Sproule gave her freedom before he died which was 7 years ago. GBC.</t>
  </si>
  <si>
    <t>Ben, 11, fine boy, M James Dunn of Port Roseway, claimant. (James Dunn). Was born &amp; brought up in the family of James Dunn.</t>
  </si>
  <si>
    <t>Benjamin Bush, 47, stout fellow. Formerly the property of Samuel Bush of Norfolk, Virginia; left him 7 years ago. GBC.</t>
  </si>
  <si>
    <t>Jack, 15, stout lad, M, (Francis Wood). Property of Francis Wood.</t>
  </si>
  <si>
    <t>Clinton bound for Port Roseway Lt. Trounce</t>
  </si>
  <si>
    <t>Francis Wood</t>
  </si>
  <si>
    <t>Jude, 9, fine girl, (Francis Wood). Property of Francis Wood.</t>
  </si>
  <si>
    <t>Jude</t>
  </si>
  <si>
    <t>67</t>
  </si>
  <si>
    <t>Elizabeth, 24, stout wench with a small child, (Francis Wood). Property of Francis Wood.</t>
  </si>
  <si>
    <t>Mary, 14, stout wench, (Dr. Henry Mallow). Property of Henry Mallow.</t>
  </si>
  <si>
    <t>50</t>
  </si>
  <si>
    <t>Dr. Henry Mallow</t>
  </si>
  <si>
    <t>Silvia, 30, stout wench, (James Collins). Property of James Collins.</t>
  </si>
  <si>
    <t>James Collins</t>
  </si>
  <si>
    <t>Bet, 5, fine girl, (Samuel Davenport). Property of Samuel Davenport.</t>
  </si>
  <si>
    <t>Bet</t>
  </si>
  <si>
    <t>Samuel Davenport</t>
  </si>
  <si>
    <t>Nan, 7, fine girl, (Samuel Davenport). Property of Samuel Davenport.</t>
  </si>
  <si>
    <t>Nan</t>
  </si>
  <si>
    <t>Hagar Upham, 42, feeble, (Alexander McDonald). Produces a Certificate from John Upham of the Island of Barbadoes of his being free.</t>
  </si>
  <si>
    <t>Hagar</t>
  </si>
  <si>
    <t>Upham</t>
  </si>
  <si>
    <t>Alexander McDonald</t>
  </si>
  <si>
    <t>the Island of Barbadoes</t>
  </si>
  <si>
    <t>Peggy White, 40, ordinary wench, (Hugh Walker). Formerly slave to William White, Port Royal, South Carolina; left him in the year 1779 &amp; joined the troops. GBC.</t>
  </si>
  <si>
    <t>Hugh Walker</t>
  </si>
  <si>
    <t>Minty Atkinson, 21, stout wench, (Hugh Walker). Formerly slave to William Sabbs, South Carolina; left him in the year 1780 after the siege of Charlestown. GBC.</t>
  </si>
  <si>
    <t>Minty</t>
  </si>
  <si>
    <t>Formerly slave to William Sabbs</t>
  </si>
  <si>
    <t>Samuel White, 30, ordinary fellow, (Hugh Walker). Formerly slave to William White, Port Royal, South Carolina; left him in the year 1779; joined the troops at Savannah. GBC.</t>
  </si>
  <si>
    <t>Samuel Atkinson, 21, ordinary fellow, (Hugh Walker). Formerly slave to Joseph Atkinson, South Carolina; left him in the year 1780. GBC.</t>
  </si>
  <si>
    <t>Samuel Croaker, 21, ordinary fellow, (Hugh Walker). Formerly slave to Richard Goff, South Carolina; left him in the year 1780. GBC.</t>
  </si>
  <si>
    <t>Croaker</t>
  </si>
  <si>
    <t>Hannah, 60, mulatto wench, (John Hoser). Free. Formerly slave to William Hilton, parish of Westmoreland, Island of Jamaica.</t>
  </si>
  <si>
    <t>John Hoser</t>
  </si>
  <si>
    <t>Westmoreland</t>
  </si>
  <si>
    <t>Robert Pleasant, 30, stout fellow (Alexander Grant). Formerly slave to Thomas Pleasant of 4 Mile Creek in Virginia; left him 7 years ago. GBC.</t>
  </si>
  <si>
    <t>Pleasant</t>
  </si>
  <si>
    <t>Stephen Hancock, 36, stout fellow. Formerly the property of William Hancock of Norfolk, Virginia; left him 7 years ago. GBC.</t>
  </si>
  <si>
    <t>Hancock</t>
  </si>
  <si>
    <t>Peggy Croaker, 24, ordinary wench, (Hugh Walker). Formerly slave to Jacob Garret, South Carolina; left him in the year 1779 &amp; joined the troops at Savannah. GBC.</t>
  </si>
  <si>
    <t>John Upham, 62, feeble, (Alexander McDonald). Produces a Certificate from John Upham of the Island of Barbadoes of his being free.</t>
  </si>
  <si>
    <t>Thomas Jackson, 40, feeble old fellow, (Alexander McDonald). Says he was born free and produces Gen. Birch's Certificate of his being free.</t>
  </si>
  <si>
    <t>Cesar</t>
  </si>
  <si>
    <t>Cesar Williams, 41, stout fellow, (Alexander Grant). Says he was born free and produces Gen. Birch's Certificate of his being free.</t>
  </si>
  <si>
    <t>Moses Stephens, 3 months, healthy child. Son to Sarah Stevens and born within the British lines.</t>
  </si>
  <si>
    <t>Stephens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</si>
  <si>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</si>
  <si>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</si>
  <si>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</si>
  <si>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</si>
  <si>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</si>
  <si>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</si>
  <si>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Jane</t>
  </si>
  <si>
    <t>Halladay</t>
  </si>
  <si>
    <t>Sarah Stephens, 35, stout wench. Formerly the property of Peter Pew of Tappan, New Jersey; left him 4 years ago. GBC.</t>
  </si>
  <si>
    <t>Peter Halliday, 18 months, healthy child. Son to Jane Halladay and born within the British lines.</t>
  </si>
  <si>
    <t>Halliday</t>
  </si>
  <si>
    <t>Hannah Fleming, 28, stout wench. Formerly the property of David McClaurin of Norfolk, Virginia; left him 7 years ago. GBC.</t>
  </si>
  <si>
    <t>Fleming</t>
  </si>
  <si>
    <t>Susannah Wyah, 25, stout wench. Formerly the property of William Hancock of Princess Ann County, Virginia; left him 3 years ago. GBC.</t>
  </si>
  <si>
    <t>Susannah</t>
  </si>
  <si>
    <t>Wyah</t>
  </si>
  <si>
    <t>John Gordon, 26, stout fellow. Formerly the property of Benjamin Ball of Dorset County, Maryland; left him 6 years ago.</t>
  </si>
  <si>
    <t>Dorset County</t>
  </si>
  <si>
    <t>John Babus, 21, stout fellow. Formerly the property of David Mead of Suffolk County, Virginia; left him 4 years ago. GBC.</t>
  </si>
  <si>
    <t>Babus</t>
  </si>
  <si>
    <t>Suffolk County</t>
  </si>
  <si>
    <t>John Gustus, 19, stout fellow. Formerly the property of John Tasswell of Williamsburg, Virginia; left him 4 years ago. GBC.</t>
  </si>
  <si>
    <t>Gustus</t>
  </si>
  <si>
    <t>Williamsburg</t>
  </si>
  <si>
    <t>Christopher Hallstead, 50, feeble fellow. Formerly the property of Philomel Halstead of Rye, Connecticut; left him 6 years ago. GBC.</t>
  </si>
  <si>
    <t>Christopher</t>
  </si>
  <si>
    <t>Hallstead</t>
  </si>
  <si>
    <t>Isaac Mead, 40, stout fellow. Formerly the property of David Mead of Nansemond, Virginia; left him 4 years ago. GBC.</t>
  </si>
  <si>
    <t>Mead</t>
  </si>
  <si>
    <t>Elizabeth White, 25, stout wench. Formerly the property of John Perrin of Gloucester County, Virginia; left him 5 years ago. GBC.</t>
  </si>
  <si>
    <t>Gloucester County</t>
  </si>
  <si>
    <t>George Scarbery, 25, stout fellow. Thomas Cropper of Accomack, Virginia, claimant. Formerly the property of George Abbot of Accomack county, Virginia; left him 6 years ago. GBC.</t>
  </si>
  <si>
    <t>Scarbery</t>
  </si>
  <si>
    <t>Accomack county</t>
  </si>
  <si>
    <t>Thomas McLeod, 3, fine child, M. Son to Phebe Randall and born within the British lines.</t>
  </si>
  <si>
    <t>McLeod</t>
  </si>
  <si>
    <t>Jenny Hunter, 25, stout wench. Formerly the property of John Sobrisky of Hackensack, New Jersey; left him 6 years ago. GBC.</t>
  </si>
  <si>
    <t>Samuel Tomkin, 23, stout fellow. Formerly the property of Richard Tomkin of Little York, Virginia; left him 7 years ago. GBC.</t>
  </si>
  <si>
    <t>Tomkin</t>
  </si>
  <si>
    <t>William Keeling, 48, feeble fellow. Formerly the property of Grumbell Keeling of the East Shore, Virginia; left him 6 years ago. GBC.</t>
  </si>
  <si>
    <t>Keeling</t>
  </si>
  <si>
    <t>the East Shore</t>
  </si>
  <si>
    <t>Henry Riddick, 24, stout fellow. Formerly the property of Lambert Reddick of Suffolk County, Virginia; left him 4 years ago. GBC.</t>
  </si>
  <si>
    <t>Riddick</t>
  </si>
  <si>
    <t>Robert Fleming, 30, stout fellow. Formerly the property of John Holloway of Petersburgh, Virginia; left him 4 years ago. GBC.</t>
  </si>
  <si>
    <t>Petersburgh</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</si>
  <si>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</si>
  <si>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</si>
  <si>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</si>
  <si>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Phebe Randall, 21, stout wench. Formerly the property of Betsey Jones of Suffolk County, Virginia; left her 5 years ago. GBC.</t>
  </si>
  <si>
    <t>Phebe</t>
  </si>
  <si>
    <t>Barbara Hancock, 20, stout wench. Formerly the property of Samuel Bush of Norfolk County, Virginia; left him 7 years ago. GBC.</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</si>
  <si>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</si>
  <si>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</si>
  <si>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</si>
  <si>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</si>
  <si>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</si>
  <si>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</si>
  <si>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Pindar</t>
  </si>
  <si>
    <t>Hannah Moore, 50, feeble wench. Formerly the property of John Perry of Fairfield, Virginia; left him 7 years ago. GBC.</t>
  </si>
  <si>
    <t>Robert Bray Hancock, 6, fine boy. Son to Barbara Hancock and born within the British lines.</t>
  </si>
  <si>
    <t>Bray Hancock</t>
  </si>
  <si>
    <t>Bill Williams, 37, stout fellow. Formerly the property of William Causins of Amelia county, Virginia; left him 4 years ago. GBC.</t>
  </si>
  <si>
    <t>Amelia county</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</si>
  <si>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</si>
  <si>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</si>
  <si>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</si>
  <si>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Holland</t>
  </si>
  <si>
    <t>Henry Biverowdt, 26, stout fellow. Born free, St. Croix.</t>
  </si>
  <si>
    <t>Biverowdt</t>
  </si>
  <si>
    <t>John Prime, 39, stout fellow. Formerly the property of Valentine Ling, Pond Pond, South Carolina; left him 6 years ago.</t>
  </si>
  <si>
    <t>Prime</t>
  </si>
  <si>
    <t>John Williams, 26, stout fellow. Formerly the property of John Williams, Charlestown; left him 5 years ago.</t>
  </si>
  <si>
    <t>Harry Wait, 63, stout fellow. Formerly the property of Isaac Wait, John's Island, South Carolina; left him 5 years ago.</t>
  </si>
  <si>
    <t>Wait</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</si>
  <si>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</si>
  <si>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</si>
  <si>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</si>
  <si>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Way</t>
  </si>
  <si>
    <t>Albany</t>
  </si>
  <si>
    <t>Harry Middleto, 50, worn out. Formerly the property of Harry Middleton, Charlestown, left him 5 years ago.</t>
  </si>
  <si>
    <t>Middleto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</si>
  <si>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</si>
  <si>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</si>
  <si>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</si>
  <si>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Sampson</t>
  </si>
  <si>
    <t>Miles</t>
  </si>
  <si>
    <t>Princessa, 30, stout wench. Formerly the property of Valentine Ling of Point Ponds, left 5 years ago.</t>
  </si>
  <si>
    <t>Princessa</t>
  </si>
  <si>
    <t>Mary Miles, 46, stout wench. Formerly the property of John Miles, Indian Land, South Carolina; left him 4 years ago.</t>
  </si>
  <si>
    <t>Samuel Jarvis, 60, worn out. Free man.</t>
  </si>
  <si>
    <t>Mary Coles, 23, stout wench. Says she was free born, Musquito Cove, Long Island.</t>
  </si>
  <si>
    <t>Coles</t>
  </si>
  <si>
    <t>Sarah Hutchins, 21, stout wench, 1 child 7 months. Formerly the property of William Harding, Indian Land, South Carolina; left him 5 years ago.</t>
  </si>
  <si>
    <t>Hutchins</t>
  </si>
  <si>
    <t>Fanny Floyd, 26, stout wench. Formerly the property of Abraham Kettletas of Long Island; left him 7 years ago.</t>
  </si>
  <si>
    <t>Floyd</t>
  </si>
  <si>
    <t>Henry Warren, 26, stout fellow. Formerly the property of [blank] Eastern Shore, Virginia; left him 4 years ago. GBC.</t>
  </si>
  <si>
    <t>Eastern Shore</t>
  </si>
  <si>
    <t>Jacob Adams, 26, stout fellow. Says he was born free, Little York, Virginia; left 6 years ago.</t>
  </si>
  <si>
    <t>Adams</t>
  </si>
  <si>
    <t>Samuel Hutchins, 26, stout fellow. Formerly the property of William Harden, Indian Land, South Carolina; left him 8 years ago.</t>
  </si>
  <si>
    <t>Ben Elliot, 69, ordinary fellow. Formerly the property of Joseph Elliot, Savannah, Georgia; left him 2 years ago.</t>
  </si>
  <si>
    <t>Elliot</t>
  </si>
  <si>
    <t>John Cox, 31, stout fellow. Formerly the property of Eleazer Goddin, Maroneck, New York; left him 7 years ago.</t>
  </si>
  <si>
    <t>Eleazer Goddin</t>
  </si>
  <si>
    <t>Maroneck</t>
  </si>
  <si>
    <t>Joe Stone, 24, stout fellow. Formerly the property of Ben Stone, Charlestown, South Carolina; left him 5 years ago.</t>
  </si>
  <si>
    <t>Stone</t>
  </si>
  <si>
    <t>Andrew Cole, 26, stout fellow. Formerly the property of Ben Cole, Marroneck, New York; left him 4 years ago.</t>
  </si>
  <si>
    <t>Cole</t>
  </si>
  <si>
    <t>Joshua Thomson, 21, stout fellow. Formerly the property of Thomas Fisher of Smith's Neck, Virginia; left him 5 years ago.</t>
  </si>
  <si>
    <t>Joshua</t>
  </si>
  <si>
    <t>Thomson</t>
  </si>
  <si>
    <t>Friend</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</si>
  <si>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</si>
  <si>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</si>
  <si>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</si>
  <si>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Herring</t>
  </si>
  <si>
    <t>Isle of Wight</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</si>
  <si>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</si>
  <si>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</si>
  <si>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</si>
  <si>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Miley Wilkins, 30, stout wench. Formerly the property of John Wilkins, Savannah, Georgia; left him 5 years ago.</t>
  </si>
  <si>
    <t>Miley</t>
  </si>
  <si>
    <t>Jingo Johnson, 16, fine lad. Formerly the property of Colonel Bird, Rappahannock, Virginia; left him 4 years ago.</t>
  </si>
  <si>
    <t>Jingo</t>
  </si>
  <si>
    <t>Rappahannock</t>
  </si>
  <si>
    <t>Sally Farmer, 56, stout of her age. Formerly the property of Barin Norgall, Tappan, New Jersey; left him 6 years ago.</t>
  </si>
  <si>
    <t>Catharine Livingston, 50, stout of her age. Formerly the property of Robert Livingston of Livingston Manor; left him 8 years ago.</t>
  </si>
  <si>
    <t>Catharine</t>
  </si>
  <si>
    <t>Livingston</t>
  </si>
  <si>
    <t>Livingston Manor</t>
  </si>
  <si>
    <t>John Cald, 36, stout fellow. Formerly the property of John Cockburn of Philadelphia; left him 5 years ago.</t>
  </si>
  <si>
    <t>Cald</t>
  </si>
  <si>
    <t>Anthony Dimry, 18, stout fellow. Formerly the property of David Dey of English Neighbourhood; left him 5 years ago.</t>
  </si>
  <si>
    <t>Dimry</t>
  </si>
  <si>
    <t>Casar Kingsland, 16, fine boy. Formerly the property of John Seep, Aquackanung, New Jersey; left him 4 years ago.</t>
  </si>
  <si>
    <t>Kingsland</t>
  </si>
  <si>
    <t>Aquackanung</t>
  </si>
  <si>
    <t>Thomas Nason, 25, stout fellow, flat nose. Formerly the property of Thomas Codbert of Philadelphia; left him 5 years ago.</t>
  </si>
  <si>
    <t>Nason</t>
  </si>
  <si>
    <t>James Richards, 20, stout fellow. Formerly the property of John Richards, Barbadoes Neck; left him 7 years ago.</t>
  </si>
  <si>
    <t>William Homes, 26, stout fellow. Formerly the property of Robert Morris of Philadelphia; left him 5 years ago.</t>
  </si>
  <si>
    <t>Homes</t>
  </si>
  <si>
    <t>Nathaniel Wandry, 23, stout fellow. Formerly the property of James Stewart, Newcastle, Pennsylvania; left him 5 years ago.</t>
  </si>
  <si>
    <t>Wandry</t>
  </si>
  <si>
    <t>52</t>
  </si>
  <si>
    <t>Newcastle</t>
  </si>
  <si>
    <t>John Savage, 31, stout fellow, M. Born free, served until 21 years of age with Henry James, Virginia.</t>
  </si>
  <si>
    <t>Savage</t>
  </si>
  <si>
    <t>Tamar Stewart, 26, stout wench, 3 small children. Formerly the property of Andrew Stewart of Norfolk, Virginia; left him 5 years ago.</t>
  </si>
  <si>
    <t>Tamar</t>
  </si>
  <si>
    <t>Stewart</t>
  </si>
  <si>
    <t>Formerly the property of Andrew Stewart of Norfolk</t>
  </si>
  <si>
    <t>Polly Richards, 22, stout wench. Formerly the property of John Sipe of Acquackanung; left him 4 ½ ago.</t>
  </si>
  <si>
    <t>Acquackanung</t>
  </si>
  <si>
    <t>Chloe Wandry, 18, stout wench. Formerly the property of Andrew Stewart of Norfolk, Virginia; left him 5 years ago.</t>
  </si>
  <si>
    <t>Chloe</t>
  </si>
  <si>
    <t>Jenny Coddamus, 24, stout wench, 2 small boys. Formerly the property of Pat Garrison of Stotterdam, New Jersey; left him 3 years ago.</t>
  </si>
  <si>
    <t>Coddamus</t>
  </si>
  <si>
    <t>Tilla Mosely, 16, stout wench. Formerly the property of Colonel Mosely of Newtown, Virginia; left him 6 years ago.</t>
  </si>
  <si>
    <t>Tilla</t>
  </si>
  <si>
    <t>Mosely</t>
  </si>
  <si>
    <t>Nelly Smallwood, 22, stout wench. Formerly the property of Anthony Walker of Cape Ann, Virginia; left him 7 years ago.</t>
  </si>
  <si>
    <t>Smallwood</t>
  </si>
  <si>
    <t>Jane Marshall, 23, stout wench, 2 children 11 years &amp; 1 month old. Formerly the property of Elthen Hunt, Philipse manor; left him 7 years ago.</t>
  </si>
  <si>
    <t>Marshall</t>
  </si>
  <si>
    <t>Mary Savage, 24, stout wench. Formerly the property of Ellis Harkham, Northumberland County, Virginia; left him 6 years ago.</t>
  </si>
  <si>
    <t>Susanna Vanryper, 24, stout wench. Formerly the property of John Sipe, Acquackaung, New Jersey; left him 4 years ago.</t>
  </si>
  <si>
    <t>Vanryper</t>
  </si>
  <si>
    <t>Acquackaung</t>
  </si>
  <si>
    <t>Dinah Strong, 20, stout wench with a son 8 years of age. Formerly the property of John Covenhoven, Acquackaung, New Jersey; left hm 3½ years ago.</t>
  </si>
  <si>
    <t>Strong</t>
  </si>
  <si>
    <t>Mary Vanryper, 24, stout wench with a son 1 year old. Formerly the property of Jacob Vanryper of Aquackanung, New Jersey; left him 5 years ago.</t>
  </si>
  <si>
    <t>Livsa Sally, 20, stout wench. Formerly the property of John Lashley of Aquackanung, New Jersey; left him 6 years ago.</t>
  </si>
  <si>
    <t>Livsa</t>
  </si>
  <si>
    <t>Formerly the property of John Lashley of Aquackanung</t>
  </si>
  <si>
    <t>Betsey Holmes, 18, stout wench with 2 children 3 &amp; 1 years of age. Says she was born free.</t>
  </si>
  <si>
    <t>Holmes</t>
  </si>
  <si>
    <t>Sarah Flee, 21, stout wench. Says she was born free.</t>
  </si>
  <si>
    <t>Flee</t>
  </si>
  <si>
    <t>Rachel Dye, 22, stout wench. Formerly the property of Derrick Dye, Pracaness, New Jersey; left him 3 years ago.</t>
  </si>
  <si>
    <t>Dye</t>
  </si>
  <si>
    <t>Sukey Smith, 25, stout wench. Formerly the property of Major Smith of Gloucester, Virginia; left him 7 years ago.</t>
  </si>
  <si>
    <t>Gloucester</t>
  </si>
  <si>
    <t>Dinah Kingsland, 33, stout wench, a girl 12 years of age. Formerly the property of John Sype of Acquackanung, New Jersey; left him 4 years ago.</t>
  </si>
  <si>
    <t>Dinah Kingsland</t>
  </si>
  <si>
    <t>Patty Mosely, 18, stout wench with a child 2 months old. Formerly the property of Edward Mosely of Princess Ann County, Virginia; left him 7 years ago.</t>
  </si>
  <si>
    <t>Patty</t>
  </si>
  <si>
    <t>Formerly the property of Edward Mosely of Princess Ann County</t>
  </si>
  <si>
    <t>Edward Mosely of Princess Ann County, Virginia; left him 7 years ago.</t>
  </si>
  <si>
    <t>Mosely of Princess Ann County</t>
  </si>
  <si>
    <t>James Hogwood, 27, stout fellow. Formerly the property of Simon Hogwood, Norfolk, Virginia; left him 4 years ago.</t>
  </si>
  <si>
    <t>Hogwood</t>
  </si>
  <si>
    <t>John Maxwell, 25, stout fellow. Formerly the property of Francis Tybout of Newark, New Jersey; left him 7 years ago.</t>
  </si>
  <si>
    <t>Maxwell</t>
  </si>
  <si>
    <t>Frank Marshal, 33, stout fellow. Formerly the property of Abraham Odell of Philipse Manor; left him 6 years ago.</t>
  </si>
  <si>
    <t>Marshal</t>
  </si>
  <si>
    <t>Philipse Manor</t>
  </si>
  <si>
    <t>Phillis Crutchley, 30, stout wench with a child 5 years old. Formerly the property of William Crutchley deceased, of New York.</t>
  </si>
  <si>
    <t>Crutchley</t>
  </si>
  <si>
    <t>Jane James, 40, stout wench. Formerly the property of William Kingsland, Barbadoes Neck, New Jersey; left him 4 years ago.</t>
  </si>
  <si>
    <t>Mary Biverout, [under her name appears "a Davis"], 28, stout wench. Says she was born free at Savannah in Georgia.</t>
  </si>
  <si>
    <t>Biverout</t>
  </si>
  <si>
    <t>Lizzy Williams, 20, stout wench, 1 child 3 weeks old. Formerly the property of John Williams, Port Royall, North Carolina; left him 4 years ago.</t>
  </si>
  <si>
    <t>Lizzy</t>
  </si>
  <si>
    <t>Mary Tomkins, 23, stout wench. Formerly the property of Capt. Tomkins of Little York, Virginia; left him 7 years ago.</t>
  </si>
  <si>
    <t>Tomkins</t>
  </si>
  <si>
    <t>Amy Wait, 33, stout wench. Formerly the property of Israel Wait, John's Island, South Carolina; left in 5 years ago.</t>
  </si>
  <si>
    <t>Chressy Wait, 16, stout wench. Formerly the property of Israel Wait, John's Island, South Carolina; left him 5 years ago.</t>
  </si>
  <si>
    <t>Chressy</t>
  </si>
  <si>
    <t>Phillis Scot, 75, worn out. Formerly the property of John Harbords, Southern branch, Virginia; left him 6 years ago.</t>
  </si>
  <si>
    <t>Scot</t>
  </si>
  <si>
    <t>Sarah Middleton, 25, stout wench, with a child 6 months old. Formerly the property of Harry Middleton, Charlestown, South Carolina; left him 6 years ago.</t>
  </si>
  <si>
    <t>Middleton</t>
  </si>
  <si>
    <t>Samuel Flemming, 20, stout fellow. Born free, lived with James Morgan, Valley Forge; left him 5 years ago.</t>
  </si>
  <si>
    <t>Flemming</t>
  </si>
  <si>
    <t>Robert Johnson, 24, stout fellow. Formerly the property of Richard Van Meter, Monmouth, New Jersey; left him 4 years ago.</t>
  </si>
  <si>
    <t>James Jackson, 24, stout fellow. Formerly the property of Richard Sweepston of Mecklenburgh, Virginia; left him 5 years ago.</t>
  </si>
  <si>
    <t>Mecklenburgh</t>
  </si>
  <si>
    <t>Peggy Jackson, 22, stout wench with 3 children, 8 years, 5 and 4 months. Formerly the property of William Egerson, Norfolk, Virginia; left him 5 years ago.</t>
  </si>
  <si>
    <t>Richard Wheeler, 30, stout man. Purchased his freedom from Caleb Wheeler, New Jersey; left him 7 years ago.</t>
  </si>
  <si>
    <t>Wheeler</t>
  </si>
  <si>
    <t>Henry Van Ryper, 34, stout man. Formerly the property of Abraham VanRyper of Acquackanung; left him 5 years ago.</t>
  </si>
  <si>
    <t>Van Ryper</t>
  </si>
  <si>
    <t>Abraham Smith, 35, stout man. Formerly the property of John Jones of Philadelphia; left him 5 years ago.</t>
  </si>
  <si>
    <t>John Francis, 30, stout man. Formerly the property of Daniel Birch, Newark, New Jersey; left him 3 years ago.</t>
  </si>
  <si>
    <t>Daniel Birch</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</si>
  <si>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</si>
  <si>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</si>
  <si>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Cherrystone</t>
  </si>
  <si>
    <t>John Smith, 27, stout fellow. Formerly the property of William Kirkham of New Cumberland, Virginia; left him 7 years ago.</t>
  </si>
  <si>
    <t>New Cumberland</t>
  </si>
  <si>
    <t>Randel Stewart, 45, stout fellow. Formerly the property of Andrew Stewart of Norfolk, Virginia; left him 5 years ago.</t>
  </si>
  <si>
    <t>Randel</t>
  </si>
  <si>
    <t>Samuel Thomas, 24, stout fellow. Formerly the property of Lewis Cakrean of Montreal, Canada; left him 6 years ago.</t>
  </si>
  <si>
    <t>Montreal</t>
  </si>
  <si>
    <t>Canada</t>
  </si>
  <si>
    <t>Mathew Anthony, 29, stout fellow. Formerly the property of Francis More of Philadelphia; left him 2 years ago.</t>
  </si>
  <si>
    <t>Mathew</t>
  </si>
  <si>
    <t>Thomas Malby, 35, stout fellow. Formerly the property of John Cockburn of Philadelphia; left him 5 years ago.</t>
  </si>
  <si>
    <t>Malby</t>
  </si>
  <si>
    <t>John Richards, 52, stout fellow. Formerly the property of Roger Kingsland of Barbadoes Neck; left him 4 years ago.</t>
  </si>
  <si>
    <t>Philip Woodley, 36, stout fellow. Free by certificate from Samuel Schumaker, late of Philadelphia.</t>
  </si>
  <si>
    <t>Woodley</t>
  </si>
  <si>
    <t>Robert Smallwood, 42, stout fellow. Formerly the property of Robert Ruffean, King William County, Virginia; left him 7 years ago.</t>
  </si>
  <si>
    <t>Daniel Stewart, 16, fine boy. Formerly the property of Andrew Stuart of Norfolk, Virginia; left him 5 years ago.</t>
  </si>
  <si>
    <t>Sarah Scarberry, 26, stout wench. Formerly the property of Judith Burton of Nansemond, Virginia; left her 4 years ago. GBC.</t>
  </si>
  <si>
    <t>Scarberry</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</si>
  <si>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</si>
  <si>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</si>
  <si>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</si>
  <si>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Sal</t>
  </si>
  <si>
    <t>William McKnight, 30, stout fellow. Says he is free and that he lived 18 years with John Hammond of Scamping, New Jersey, and produces GBC.</t>
  </si>
  <si>
    <t>McKnight</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</si>
  <si>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</si>
  <si>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</si>
  <si>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</si>
  <si>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</si>
  <si>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</si>
  <si>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Crane Island</t>
  </si>
  <si>
    <t>Nanny Johnson, 6, fine girl. Formerly the property of George Robinson of Crane Island; left him 3 years ago. GBC.</t>
  </si>
  <si>
    <t>Miles Jordan, 28, stout fellow. Formerly the property of Richard Jordan of the Isle of Wight County, Virginia; left him 5 years ago. GBC.</t>
  </si>
  <si>
    <t>the Isle of Wight County</t>
  </si>
  <si>
    <t>Sally Nelis, 2, fine child. Daughter to Jane Nelis and born within the British lines.</t>
  </si>
  <si>
    <t>David Tankard, 28, stout fellow. Formerly the property of Stephen Tankard of Norfolk, Virginia; left him 6 years ago. GBC.</t>
  </si>
  <si>
    <t>David</t>
  </si>
  <si>
    <t>Tankard</t>
  </si>
  <si>
    <t>Seelah, 17, likely wench. Formerly the property of Miles Wilkinson of Norfolk, Virginia; left him 3 years ago.</t>
  </si>
  <si>
    <t>Seelah</t>
  </si>
  <si>
    <t>Edward Godfrey, 17, likely lad. Formerly the property of Matthew Godfrey of Norfolk, Virginia; left him 5 years ago.</t>
  </si>
  <si>
    <t>Godfrey</t>
  </si>
  <si>
    <t>Thomas Bing, 26, likely lad. Formerly the property of John Miles of Salt Ketches, South Carolina; left him 5 years ago.</t>
  </si>
  <si>
    <t>Bing</t>
  </si>
  <si>
    <t>Robert Bing, 22, likely lad. Formerly the property of John Watters of Charlestown, South Carolina; left him 5 years ago.</t>
  </si>
  <si>
    <t>Valentine Godfrey, 22, likely lad. Formerly the property of Matthew Godfrey of Norfolk, Virginia; left him 5 years ago.</t>
  </si>
  <si>
    <t>Valentine</t>
  </si>
  <si>
    <t>Bristol Storm, 40, stout fellow. Formerly the property of Garrett Storms of Fishkill, New York; left him 3 years ago.</t>
  </si>
  <si>
    <t>Storm</t>
  </si>
  <si>
    <t>Jack Calhoun, 15, stout lad. Formerly the property of Samuel Colhoun of Nansemond, Virginia; left him 5 years ago.</t>
  </si>
  <si>
    <t>Calhoun</t>
  </si>
  <si>
    <t>Thomas Tucker, 40, stout fellow, Blind of an Eye. Formerly the property of Tom Tucker of Providence; left him 8 years ago.</t>
  </si>
  <si>
    <t>Tucker</t>
  </si>
  <si>
    <t>Walter Hammer, 23, stout fellow. Formerly the property of William Parker of Accomack, Virginia; left him 4 years ago.</t>
  </si>
  <si>
    <t>Walter</t>
  </si>
  <si>
    <t>Hammer</t>
  </si>
  <si>
    <t>Accomack</t>
  </si>
  <si>
    <t>William Seaman, 23, stout fellow. Thomas Cropper of Eastern Shore of Virginia, claimant. Formerly the property of George Gilchrist of Eastern Shore, Virginia; left him 5 years ago.</t>
  </si>
  <si>
    <t>Seaman</t>
  </si>
  <si>
    <t>Lewis Kirby, 29, stout fellow. Formerly the property of John Kirby, little York Virginia; left him 3 years ago.</t>
  </si>
  <si>
    <t>Lewis</t>
  </si>
  <si>
    <t>Kirby</t>
  </si>
  <si>
    <t>Esther, 60, feeble wench. Formerly the property of Miles Wilkinson of Norfolk, Virginia; left him 3 years ago.</t>
  </si>
  <si>
    <t>Jonathan Nelis, 4, fine child. Son to Jane Nelis and born within the British lines.</t>
  </si>
  <si>
    <t>Jane Nelis, 30, stout wench. Formerly the property of John Hirst of Norfolk, Virginia; left him 7 years ago. GBC.</t>
  </si>
  <si>
    <t>Nancy Babus, 15, stout girl. Formerly the property of Saul Shepperd of Nansemond, Virginia; left him 5 years ago. GBC.</t>
  </si>
  <si>
    <t>Robert Johnson, 21, stout fellow. Formerly the property of John Alexander of Strafford, Virginia; left him 6 years ago. GBC.</t>
  </si>
  <si>
    <t>Strafford</t>
  </si>
  <si>
    <t>Joseph Reddick, 12, fine boy. Formerly the property of John Tatum of Craney Island, Virginia; left him 4 years ago. GBC.</t>
  </si>
  <si>
    <t>Reddick</t>
  </si>
  <si>
    <t>Craney Island</t>
  </si>
  <si>
    <t>Wynce Gordon, 28, stout wench. Formerly the property of Richard Jordan of Isle of Wight county, Virginia; left him 5 years ago. GBC.</t>
  </si>
  <si>
    <t>Wynce</t>
  </si>
  <si>
    <t>Phillis Gordon, 20, likely wench. Formerly the property of Anthony Walker of Tanners Creek, Virginia; left him 5 years ago. GBC.</t>
  </si>
  <si>
    <t>Tanners Creek</t>
  </si>
  <si>
    <t>Nancy, 28, stout wench. Formerly the property of Charles Coner of Norfolk, Virginia; left him 7 years ago. GBC.</t>
  </si>
  <si>
    <t>James, 6, fine boy. Son to Nancy and born within the British lines.</t>
  </si>
  <si>
    <t>Polly, 3, fine child. Daughter to [Nancy] and born within the British lines.</t>
  </si>
  <si>
    <t>Phillis Halstead, 35, stout wench. Formerly the property of Benjamin Drake of East Chester County, New York; left him 5 years ago. GBC.</t>
  </si>
  <si>
    <t>Halstead</t>
  </si>
  <si>
    <t>East Chester County</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</si>
  <si>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</si>
  <si>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</si>
  <si>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</si>
  <si>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</si>
  <si>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</si>
  <si>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Elsey</t>
  </si>
  <si>
    <t>Agnes Reddick, 5 months, fine child. Daughter to Pleasant Reddick and born within the British lines.</t>
  </si>
  <si>
    <t>Agnes</t>
  </si>
  <si>
    <t>Betsey Williams, 40, stout wench. Formerly the property of John Jordan of Nansemond, Virginia; left him 5 years ago. GBC.</t>
  </si>
  <si>
    <t>Judith Warren, 30, stout wench. Formerly the property of Peter Warren of the Eastern Shore, Virginia; left him 5 years ago.</t>
  </si>
  <si>
    <t>John Jackson, 26, stout fellow. Formerly the property of Anthony Walk, Princess Ann, Virginia; left him 3 years ago.</t>
  </si>
  <si>
    <t>Henry Mitchess, 23, stout fellow. Formerly the property of John Mitchess of Charlestown, South Carolina; left him 4 years ago.</t>
  </si>
  <si>
    <t>Mitchess</t>
  </si>
  <si>
    <t>Bob Johnson, 18, stout fellow. Formerly the property of William Hunter of Princess Ann, Virginia; left him 2 years ago.</t>
  </si>
  <si>
    <t>Daphne Shields, 25, likely wench. Formerly the property of David Shields, Nansemond, Virginia; left him 5 years ago.</t>
  </si>
  <si>
    <t>Daphne</t>
  </si>
  <si>
    <t>Shields</t>
  </si>
  <si>
    <t>Bristol Godfrey, 22, stout fellow. Formerly the property of Matthew Godfrey, Norfolk, Virginia; left him 5 years ago.</t>
  </si>
  <si>
    <t>Kingsstead</t>
  </si>
  <si>
    <t>Annapolis and St Johns</t>
  </si>
  <si>
    <t>Betsey, 18 months, fine child. Daughter to Nancy and born within the British lines.</t>
  </si>
  <si>
    <t>Plummitty</t>
  </si>
  <si>
    <t>Dempsey Buxton, 23, stout fellow. Formerly the property of James Buxton of Nansemond, Virginia; left him 5 years ago.</t>
  </si>
  <si>
    <t>Buxton</t>
  </si>
  <si>
    <t>Josiah</t>
  </si>
  <si>
    <t>Hewslett</t>
  </si>
  <si>
    <t>Jacob Bummele, 35, stout fellow. Formerly the property of Benjamin Chew of Cecil County, Virginia; left him 4 years ago.</t>
  </si>
  <si>
    <t>Bummele</t>
  </si>
  <si>
    <t>James Liverpool, 40, stout fellow. Formerly the property of Christopher Coduise of Brooklyn, New York; left him 7 years ago.</t>
  </si>
  <si>
    <t>Liverpool</t>
  </si>
  <si>
    <t>Brooklyn</t>
  </si>
  <si>
    <t>Henry Floyd, 28, likely lad. Formerly the property of William Floyd of Long Island; left him 7 years ago.</t>
  </si>
  <si>
    <t>Fortune Dixon, 20, likely lad. Formerly the property of Josiah Riddick of Nansemond, Virginia; left him 4 years ago.</t>
  </si>
  <si>
    <t>John Shepherd, 30, stout fellow. Formerly the property of William Shepherd of Nansemond, Virginia; left him 5 years ago.</t>
  </si>
  <si>
    <t>Hannah Bing, 35, likely wench, one child 7 months. Formerly the property of William Jordan of Salt Ketchers, South Carolina; left him 5 years ago.</t>
  </si>
  <si>
    <t>Lydia Friend, 21, likely wench. Formerly the property of Widow Friend, James River, Virginia; left him 3 years ago.</t>
  </si>
  <si>
    <t>Kitty Godfrey, 22, likely wench. Formerly the property of Captain Hullet, Charlestown, South Carolina; left him 3 years ago.</t>
  </si>
  <si>
    <t>Kitty</t>
  </si>
  <si>
    <t>Hannah Kirby, 25, likely wench. Formerly the property of Robert Bruff of Hampton, Virginia; left him 3 years ago.</t>
  </si>
  <si>
    <t>Dempsey Buxton, 26, stout fellow. Says he was born free, Little York, Virginia; left 6 years ago.</t>
  </si>
  <si>
    <t>Phillis Mitchel, 22, likely wench, one child 6 months. Formerly the property of John Mitchess of Charlestown; left him 4 years ago.</t>
  </si>
  <si>
    <t>Commerce</t>
  </si>
  <si>
    <t>Dinah, 35, sickly wench, Rev. Mr. Beardsley of River St. John's, claimant. (Rev. Mr. Beardsley). Says she is his own property having always been in the Family.</t>
  </si>
  <si>
    <t>Commerce bound for St. John's River Richard Strong</t>
  </si>
  <si>
    <t>Richard Strong</t>
  </si>
  <si>
    <t>Rev. Mr. Beardsley</t>
  </si>
  <si>
    <t>Jacob, 12, likely boy, (Rev. Mr. Beardsley). Formerly slave to Thomas Harboard of Portsmouth, Virginia; left him 4 years ago.</t>
  </si>
  <si>
    <t>Sally, 20, stout wench, (Caspar DeDalmack). Formerly slave to Ben Garret of Charlestown, South Carolina; left him 4 years ago.</t>
  </si>
  <si>
    <t>Caspar DeDalmack</t>
  </si>
  <si>
    <t>Betsey Jarvis, 2, M, (Daniel Sickles). Free born.</t>
  </si>
  <si>
    <t>Daniel Sickles</t>
  </si>
  <si>
    <t>Anthony Jarvis, 34, Ordinary fellow, M, (Daniel Sickles). Daniel Sickles' property as appears by a Bill of Sale.</t>
  </si>
  <si>
    <t>Peter Beardsley, 24, stout fellow, M, (Rev. John Beardsley). Property of the Rev. John Beardsley.</t>
  </si>
  <si>
    <t>Beardsley</t>
  </si>
  <si>
    <t>Rev. John Beardsley</t>
  </si>
  <si>
    <t>Scipio Bazely, 30, stout fellow, B, (Rev. John Beardsley). Property of the Rev. John Beardsley.</t>
  </si>
  <si>
    <t>Scipio</t>
  </si>
  <si>
    <t>Bazely</t>
  </si>
  <si>
    <t>Jack Brinkerhoff, 26, ordinary fellow, (Lt. Cooper). Mr. Cooper's property</t>
  </si>
  <si>
    <t>Commerce bound for St. John's Richard Strong</t>
  </si>
  <si>
    <t>Brinkerhoff</t>
  </si>
  <si>
    <t>Lt. Cooper</t>
  </si>
  <si>
    <t>Joe Freeman, 22, ordinary fellow, B, (Capt. Swift, Pennsylvania Loyalist). Says he was born at St. Kitts; that he came to New York in a privateer.</t>
  </si>
  <si>
    <t>Capt. Swift, Pennsylvania Loyalist</t>
  </si>
  <si>
    <t>St. Kitts</t>
  </si>
  <si>
    <t>Cathern Townsend, 17, likely wench, M. Served her time with Ben Nichols but says she was free. GBC.</t>
  </si>
  <si>
    <t>Commerce bound for Spithead R. Strong</t>
  </si>
  <si>
    <t>Cathern</t>
  </si>
  <si>
    <t>Townsend</t>
  </si>
  <si>
    <t>Rose Nichols, 36, ordinary wench. Formerly slave to Ben Nichols, Rhode Island; left him in 1778. GBC.</t>
  </si>
  <si>
    <t>Nichols</t>
  </si>
  <si>
    <t>Adam, 24, stout fellow, (Caspar DeDalmack). Formerly slave to Dr. Casey of John's Island, Province of South Carolina; left him 2 years ago.</t>
  </si>
  <si>
    <t>Hercules, 21, stout fellow, (Caspar DeDalmack). Formerly slave to Thomas Wilton of Charlestown, South Carolina; left him 4 years ago.</t>
  </si>
  <si>
    <t>Hercules</t>
  </si>
  <si>
    <t>Casar Nichols, 12, fine boy. Formerly slave to Ben Nichols, Rhode Island; left him in 1778. GBC.</t>
  </si>
  <si>
    <t>Bob Wheaton, 19, stout fellow. Formerly slave to Thomas Wheton, Norfolk, Virginia; left him in 1779. GMC.</t>
  </si>
  <si>
    <t>Wheaton</t>
  </si>
  <si>
    <t xml:space="preserve">Commerce </t>
  </si>
  <si>
    <t>Sipio</t>
  </si>
  <si>
    <t>Bazeley</t>
  </si>
  <si>
    <t>Concord</t>
  </si>
  <si>
    <t>Raymond</t>
  </si>
  <si>
    <t>George Robinson</t>
  </si>
  <si>
    <t>Port Mattoon</t>
  </si>
  <si>
    <t>Baker</t>
  </si>
  <si>
    <t>Dorothey</t>
  </si>
  <si>
    <t>Goseman</t>
  </si>
  <si>
    <t>Harrison</t>
  </si>
  <si>
    <t>Proffitt</t>
  </si>
  <si>
    <t>Sibe</t>
  </si>
  <si>
    <t>Gozeman</t>
  </si>
  <si>
    <t>Fanney</t>
  </si>
  <si>
    <t>Dorram</t>
  </si>
  <si>
    <t>Fredrick</t>
  </si>
  <si>
    <t>Darcas</t>
  </si>
  <si>
    <t>Groves</t>
  </si>
  <si>
    <t>Payne</t>
  </si>
  <si>
    <t>Dorras</t>
  </si>
  <si>
    <t>Scudder</t>
  </si>
  <si>
    <t>Dickson</t>
  </si>
  <si>
    <t>Mercer</t>
  </si>
  <si>
    <t>Ormond</t>
  </si>
  <si>
    <t>Toney</t>
  </si>
  <si>
    <t>Bartram</t>
  </si>
  <si>
    <t>Blauvelt</t>
  </si>
  <si>
    <t>Perry</t>
  </si>
  <si>
    <t>Cyclops</t>
  </si>
  <si>
    <t>Abram</t>
  </si>
  <si>
    <t>Captain Christain</t>
  </si>
  <si>
    <t>Danger</t>
  </si>
  <si>
    <t>On Board The Ship Danger James Duncan, Master</t>
  </si>
  <si>
    <t>On</t>
  </si>
  <si>
    <t>Board The Ship Danger James Duncan</t>
  </si>
  <si>
    <t>Book Three</t>
  </si>
  <si>
    <t>James Duncan</t>
  </si>
  <si>
    <t>Delight</t>
  </si>
  <si>
    <t>Jack Cooper, 25, slim make, (Simonons, Esq.). Formerly lived with Ged Cooper, Santa Croix, West Indies.</t>
  </si>
  <si>
    <t>Sloop Delight bound for River St. John's Ben Benssis, Master</t>
  </si>
  <si>
    <t>Cooper</t>
  </si>
  <si>
    <t>Ben Benssis</t>
  </si>
  <si>
    <t>Simonons, Esq.</t>
  </si>
  <si>
    <t>Santa Croix</t>
  </si>
  <si>
    <t>Jupiter King, 24, stout fellow, (James Peters). Formerly slave to Col. King, Williamsburgh, Virginia; left him 3 years past. GBC.</t>
  </si>
  <si>
    <t>Tom Wallace, 22, stout lad, (Mr. McMullan). Formerly lived with Mr. Wallace, New Providence, West Indies, free, GBC.</t>
  </si>
  <si>
    <t>Wallace</t>
  </si>
  <si>
    <t>Mr. McMullan</t>
  </si>
  <si>
    <t>New Providence</t>
  </si>
  <si>
    <t>John Clayton, 26, stout make, (Capt. Bell). Lived with John Clayton, Rappahannock river, Virginia; left him 8 years past.</t>
  </si>
  <si>
    <t>Clayton</t>
  </si>
  <si>
    <t>Capt. Bell</t>
  </si>
  <si>
    <t>Diannah</t>
  </si>
  <si>
    <t>Samson</t>
  </si>
  <si>
    <t>William Browne</t>
  </si>
  <si>
    <t>Scotly</t>
  </si>
  <si>
    <t>Scotley</t>
  </si>
  <si>
    <t>Backhus</t>
  </si>
  <si>
    <t>Spencer</t>
  </si>
  <si>
    <t>Dalton</t>
  </si>
  <si>
    <t>Suzan</t>
  </si>
  <si>
    <t>Tarbett</t>
  </si>
  <si>
    <t>Forsyeth</t>
  </si>
  <si>
    <t>Easter</t>
  </si>
  <si>
    <t>Tabby</t>
  </si>
  <si>
    <t>Aldrich</t>
  </si>
  <si>
    <t>Eldridge</t>
  </si>
  <si>
    <t>Turnbull</t>
  </si>
  <si>
    <t>Suzanah</t>
  </si>
  <si>
    <t>Sarrah</t>
  </si>
  <si>
    <t>Miller</t>
  </si>
  <si>
    <t>Reading</t>
  </si>
  <si>
    <t>Marry</t>
  </si>
  <si>
    <t>Hannabell</t>
  </si>
  <si>
    <t>Conner</t>
  </si>
  <si>
    <t>Suckey</t>
  </si>
  <si>
    <t>Broughton</t>
  </si>
  <si>
    <t>Summers</t>
  </si>
  <si>
    <t>Duke Richmond</t>
  </si>
  <si>
    <t>Hector Cockwell, 16, likely lad. Formerly slave to Mr. McReady, Charlestown, South Carolina; left him in the summer of 80.</t>
  </si>
  <si>
    <t>Duke Richmond bound for Spithead Richard Davis</t>
  </si>
  <si>
    <t>Hector</t>
  </si>
  <si>
    <t>Cockwell</t>
  </si>
  <si>
    <t>George Mintoes, 25, stout fellow. Formerly slave to Thomas Gale, Morristown, New Jersey; left him in 1777. GBC.</t>
  </si>
  <si>
    <t>Mintoes</t>
  </si>
  <si>
    <t>Henry Rhodes, 24, ordinary fellow. Says he was free; served his time with John Grig, Gravesend, Long Island.</t>
  </si>
  <si>
    <t>Rhodes</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</si>
  <si>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</si>
  <si>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</si>
  <si>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</si>
  <si>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Teunis</t>
  </si>
  <si>
    <t>Lydia Williams, 17, stout wench, (Lt. Britton). Certified by William Walton, Esq., Magistrate of Police to have availed herself of Sir William Howe's proclamation; was formerly slave to William Timkins, Northampton County, Virginia.</t>
  </si>
  <si>
    <t>Duke Richmond bound for St. John's</t>
  </si>
  <si>
    <t>Lt. Britton</t>
  </si>
  <si>
    <t>Taby Gustus, 24, ordinary wench. Formerly slave to John Curtis, Eastern Shore, Virginia; left him in 1780. GBC.</t>
  </si>
  <si>
    <t>Taby</t>
  </si>
  <si>
    <t>John Higgins, 20, likey fellow. Formerly slave to Dennis Higgins, Santee River, South Carolina; left him in 1779. GBC.</t>
  </si>
  <si>
    <t>Higgins</t>
  </si>
  <si>
    <t>Santee River</t>
  </si>
  <si>
    <t>Sally, 11 weeks old, infant. Born within the British Lines.</t>
  </si>
  <si>
    <t>Susannah, 21, likely wench. Formerly slave to John Stanyard, John's Island, South Carolina; left him in 1780. GBC.</t>
  </si>
  <si>
    <t>Thomas Gale, Morristown, New Jersey; left him in 1777. GBC.</t>
  </si>
  <si>
    <t>Gale</t>
  </si>
  <si>
    <t>Duke of Richmond</t>
  </si>
  <si>
    <t>Hannah Jarvis, 26, fine wench, M, (Capt. Thatcher). Purchased from Stephen Biddle of Staten Island by the captain.</t>
  </si>
  <si>
    <t>Duke of Richmond bound for St. John's</t>
  </si>
  <si>
    <t>Capt. Thatcher</t>
  </si>
  <si>
    <t>Samuel Williams, 16, stout lad, (Lt. Davids, [Brit. Legion]). Formerly slave to Richard Subsion, Charlestown, South Carolina; left him in the year 1780 &amp; joined the British on John's Island.</t>
  </si>
  <si>
    <t>Lt. Davids, [Brit. Legion]</t>
  </si>
  <si>
    <t>Edward Christie, 27, very short fellow, (Dr. Carle, 1 Bat., N.J. Vols.). Formerly slave to William Smith, Susquehanna ferry; left him about 6 years ago &amp; joined the British troops at the Head of Elk.</t>
  </si>
  <si>
    <t>Christie</t>
  </si>
  <si>
    <t>Dr. Carle, 1 Bat., N.J. Vols.</t>
  </si>
  <si>
    <t>Susquehanna</t>
  </si>
  <si>
    <t>Elk</t>
  </si>
  <si>
    <t>Frank Addie, 14, good looking boy, (Lt. Haddin, [1 Bat., N.J. Vols.]). Formerly slave to Molton Wilkinson of Charlestown, South Carolina; left in the year 1780 after the Siege.</t>
  </si>
  <si>
    <t>Addie</t>
  </si>
  <si>
    <t>Lt. Haddin, [1 Bat., N.J. Vols.]</t>
  </si>
  <si>
    <t>Thomas Williams, 30, stout fellow, (Lt. Britain, [1 Bat., N.J. Vols. ]). Certified by William Walton, Esq., Magistrate of P., to have availed himself of Sir William Howe's proclamation; was formerly slave to Mr. Tomkins, Northampton County, Virginia.</t>
  </si>
  <si>
    <t>Lt. Britain, [1 Bat., N.J. Vols. ]</t>
  </si>
  <si>
    <t>Vaughan Covenhoven, 9, likely boy, (Capt. Coggle, [1 Bat., N.J. Vols.]). Formerly slave to Peter Covenhoven, Middletown, New Jersey; captured by Col. Hyde's detachment in 1779 &amp; afterwards purchased by Capt. Coggle.</t>
  </si>
  <si>
    <t>Vaughan</t>
  </si>
  <si>
    <t>Middletown</t>
  </si>
  <si>
    <t>Capt. Coggle, [1 Bat., N.J. Vols.]</t>
  </si>
  <si>
    <t>Jack, 40, stout fellow, (Q.M. Jones). Formerly slave to John Colvill of 96 in South Carolina; said to be purchased from him by Q.M. James. Witnessed by Ens. Banks of this corps.</t>
  </si>
  <si>
    <t>Q.M. Jones</t>
  </si>
  <si>
    <t>Plato, 18, likely boy, (Capt. Barbaree, 2nd [Bat., N.J. Vols.]). Born in the Captain's family.</t>
  </si>
  <si>
    <t>Plato</t>
  </si>
  <si>
    <t>Capt. Barbaree, 2nd [Bat., N.J. Vols.]</t>
  </si>
  <si>
    <t>Sunbury, 26, stout fellow, (Capt. Thatcher, [2nd Bat, N.J. Vols.]). Formerly slave to John Jones, Savannah; left said master and joined the British troops before the Siege of Savannah.</t>
  </si>
  <si>
    <t>Sunbury</t>
  </si>
  <si>
    <t>Capt. Thatcher, [2nd Bat, N.J. Vols.]</t>
  </si>
  <si>
    <t>Mars Peter Jackson</t>
  </si>
  <si>
    <t>Mars</t>
  </si>
  <si>
    <t>Peter Jackson</t>
  </si>
  <si>
    <t>John Sygh, 18, likely rascal, (Capt. Lee, [2nd Bat., N.J. Vols.]). Formerly slave to John Murick of Charlestown, South Carolina; left him about four years ago.</t>
  </si>
  <si>
    <t>Sygh</t>
  </si>
  <si>
    <t>Capt. Lee, [2nd Bat., N.J. Vols.]</t>
  </si>
  <si>
    <t>Peter Jackson, 24, stout fellow, M, (Dr. Smith, Brit. Legion). Formerly slave to Peter VanRyker of Bergen County, New Jersey; joined the British troops on York Island in 1776.</t>
  </si>
  <si>
    <t>Dr. Smith, Brit. Legion</t>
  </si>
  <si>
    <t>York Island</t>
  </si>
  <si>
    <t>James Webb, 18, stout fellow (Capt. Vernon, Brit. Legion). Formerly slave to Mr. John Webb, Halifax, North Carolina; left him early in 1781.</t>
  </si>
  <si>
    <t>Webb</t>
  </si>
  <si>
    <t>Capt. Vernon, Brit. Legion</t>
  </si>
  <si>
    <t>John January, 7, small boy, (Ensign Banks, [2nd Bat., N.J. Vols.]). His own property.</t>
  </si>
  <si>
    <t>January</t>
  </si>
  <si>
    <t>Ensign Banks, [2nd Bat., N.J. Vols.]</t>
  </si>
  <si>
    <t>Richard Richardson, 30, ordinary fellow &amp; lame, (Ens. Stanley, Brit. Legion). Formerly slave to Isaac Woodruff, Elizabeth town, New Jersey; left him 4 years ago.</t>
  </si>
  <si>
    <t>Elizabeth town</t>
  </si>
  <si>
    <t>Ens. Stanley, Brit. Legion</t>
  </si>
  <si>
    <t>Richard Davis</t>
  </si>
  <si>
    <t>Spithead</t>
  </si>
  <si>
    <t>Rhodos</t>
  </si>
  <si>
    <t>Tunis</t>
  </si>
  <si>
    <t>Dutchess of Gordon</t>
  </si>
  <si>
    <t>John Brown, 30, stout fellow, (42nd Reg't.). Formerly slave to Peter Buckie, Charlestown, South Carolina; left him before the siege in 1780.</t>
  </si>
  <si>
    <t>Dutchess of Gordon bound for Halifax James Holmes, Master</t>
  </si>
  <si>
    <t>71</t>
  </si>
  <si>
    <t>James Holmes</t>
  </si>
  <si>
    <t>42nd Reg't.</t>
  </si>
  <si>
    <t>Punch, 25, stout fellow, (42nd Reg't.). Formerly slave to Peter Porcher, Charlestown, South Carolina; left him before the siege in 1780.</t>
  </si>
  <si>
    <t>Punch</t>
  </si>
  <si>
    <t>John Holms</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</si>
  <si>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</si>
  <si>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Dutchess of Gordon bound for St. John's River James Holmes, Master</t>
  </si>
  <si>
    <t>In</t>
  </si>
  <si>
    <t>pursuance of two orders from His Excellency Sir Guy Carleton K. B. General and Commander in Chief of His Majesty's Forces from Nova Scotia to West Florida inclusive</t>
  </si>
  <si>
    <t>Negress indented to Mrs. Sharp for one year.</t>
  </si>
  <si>
    <t>both dated Head Quarters</t>
  </si>
  <si>
    <t>Nova Scotia</t>
  </si>
  <si>
    <t>West Florida</t>
  </si>
  <si>
    <t>Casar Closs, 36, stout fellow, (Samuel Nicklin). Formerly slave to Bowes Reed of Burlington, New Jersey; left him 2 years ago. GBC.</t>
  </si>
  <si>
    <t>Closs</t>
  </si>
  <si>
    <t>Formerly slave to Bowes Reed of Burlington</t>
  </si>
  <si>
    <t>Samuel Nicklin</t>
  </si>
  <si>
    <t>Burlington</t>
  </si>
  <si>
    <t>William Simpson, 45, stout fellow, (42nd Reg't.). Formerly slave to Benjamin Singleton, Charlestown, South Carolina; left him before the siege in 1780.</t>
  </si>
  <si>
    <t>Simpson</t>
  </si>
  <si>
    <t>Jack White, 40, short fellow, (Hugh Quig). Formerly slave to John white of Norfolk, Virginia; left him 4 years ago. GBC.</t>
  </si>
  <si>
    <t>Hugh Quig</t>
  </si>
  <si>
    <t>Sarah &amp; 5 children, 26, short wench, (Hugh Quig). Formerly slave to Edmund Bruce of Norfolk, Virginia; left him 4 years ago. GBC.</t>
  </si>
  <si>
    <t>&amp; 5 children</t>
  </si>
  <si>
    <t>Sam, 34, stout fellow, (Hugh Quig). Formerly slave to John Grimes of Norfolk, Virginia; left him 4 years ago. GBC.</t>
  </si>
  <si>
    <t>Sarah and 5</t>
  </si>
  <si>
    <t>Eagle</t>
  </si>
  <si>
    <t>Dorothy, 5, black, (Widow Conley). Her own property.</t>
  </si>
  <si>
    <t>Eagle bound for St. John's John Blane</t>
  </si>
  <si>
    <t>John Blane</t>
  </si>
  <si>
    <t>Widow Conley</t>
  </si>
  <si>
    <t>Lucy, 16, stout wench, mulatto, (Albert Vanshant). His own property.</t>
  </si>
  <si>
    <t>Albert Vanshant</t>
  </si>
  <si>
    <t>John Gardner</t>
  </si>
  <si>
    <t>Effy and small</t>
  </si>
  <si>
    <t>child</t>
  </si>
  <si>
    <t>Effy &amp; small child, 23, stout B wench. (John Goddard). Formerly slave to J. Dupont, Savannah, Georgia; left him about 6 years ago.</t>
  </si>
  <si>
    <t>Schooner Eagle bound for Port Roseway John Gardner</t>
  </si>
  <si>
    <t>&amp; small child</t>
  </si>
  <si>
    <t>31</t>
  </si>
  <si>
    <t>John Goddard</t>
  </si>
  <si>
    <t>Boston, 30, stout fellow, B. William Briggs of Port Roseway, claimant. (William Briggs). Property of William Briggs.</t>
  </si>
  <si>
    <t>Boston</t>
  </si>
  <si>
    <t>William Briggs</t>
  </si>
  <si>
    <t>Simon, 12, fine boy, B, John Jakeway of Port Roseway, claimant. (John Jakeways). Property of John Jakeways as per Receipt produced.</t>
  </si>
  <si>
    <t>John Jakeways</t>
  </si>
  <si>
    <t>Scipio, 25, stout fellow, B, (John Goddard). Formerly slave to Joseph Dupont, Savannah, Georgia; left him 6 years ago.</t>
  </si>
  <si>
    <t>Elijah</t>
  </si>
  <si>
    <t>Betsey Elliot, 25, ordinary wench. Proved free by Bill of Sale produced.</t>
  </si>
  <si>
    <t>Brig Elijah bound for Port Mattoon Alexander Buchanon</t>
  </si>
  <si>
    <t>74</t>
  </si>
  <si>
    <t>Alexander Duke, 24, stout fellow. Says he was born free in Barbadoes; certified by GMC.</t>
  </si>
  <si>
    <t>Duke</t>
  </si>
  <si>
    <t>Barbadoes</t>
  </si>
  <si>
    <t>Richard Bush, 60, ordinary fellow. Formerly slave to Nancy Goddin, Nansemond, Virginia; left her in 1778. GMC.</t>
  </si>
  <si>
    <t>Joseph Hartley, 20, stout fellow. Says he was born free in Virginia; certified by GMC.</t>
  </si>
  <si>
    <t>Hartley</t>
  </si>
  <si>
    <t>Lucy Johnson, 25, ordinary wench. Says she was born free Rhode Island; certified by GBC.</t>
  </si>
  <si>
    <t>Samuel Saunders, 20, likely lad. Formerly slave to John Beans, Crane Island, Virginia; left him in 1778. GBC.</t>
  </si>
  <si>
    <t>Peggy Minton, 22, likely wench, Quadroon. Formerly slave to William Black, Williamsburgh, Virginia; left him in 1779. GBC.</t>
  </si>
  <si>
    <t>Minton</t>
  </si>
  <si>
    <t>Jane Bridges, 13, likely girl, quadroon. Born free as certified by GBC.</t>
  </si>
  <si>
    <t>Bridges</t>
  </si>
  <si>
    <t>Nelly Bush, 54, ordinary wench. Formerly slave to Andrew Stewart, Princess Ann, Virginia; left him in 1777. GBC.</t>
  </si>
  <si>
    <t>Jenny Fracklan, 24, ordinary wench. Says she was born free in the house of Mr. John Pen, Norfolk County, Virginia. GMC.</t>
  </si>
  <si>
    <t>Fracklan</t>
  </si>
  <si>
    <t>Nancy Basset, 28, likely wench, M. Proved to be free as Certified by GBC.</t>
  </si>
  <si>
    <t>Basset</t>
  </si>
  <si>
    <t>Patience Jackson, 23, very likely wench, M. Says she was born free Rhode Island; certified by GBC.</t>
  </si>
  <si>
    <t>Patience</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</si>
  <si>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</si>
  <si>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</si>
  <si>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</si>
  <si>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</si>
  <si>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Katy</t>
  </si>
  <si>
    <t>Ben Frankham, 21, ordinary fellow. Says he was born free in Charlestown, South Carolina, South Carolina; certified by GMC.</t>
  </si>
  <si>
    <t>Frankham</t>
  </si>
  <si>
    <t>Hannah Linning, 34, ordinary wench, blind of an eye. Formerly slave to John Lynning, Charlestown, South Carolina; left him in 1780. GMC.</t>
  </si>
  <si>
    <t>Linning</t>
  </si>
  <si>
    <t>Mellia Johnson, 19, fine girl. Says she was born free, South Hampton, Long Island. GBC.</t>
  </si>
  <si>
    <t>Mellia</t>
  </si>
  <si>
    <t>South Hampton</t>
  </si>
  <si>
    <t>Maryann</t>
  </si>
  <si>
    <t>Thompson</t>
  </si>
  <si>
    <t>Alexander Buchannon</t>
  </si>
  <si>
    <t>Since Dean, 62, ordinary wench. Formerly slave to Samuel Colbert, Norfolk, Virginia; left him in 1778. GBC.</t>
  </si>
  <si>
    <t>Since</t>
  </si>
  <si>
    <t>Dean</t>
  </si>
  <si>
    <t>Dinah Johnson, 54, ordinary wench. Formerly slave to Mr. Henry Holland of New York who left her free at his death. GBC.</t>
  </si>
  <si>
    <t>Fanny Harris, 20, likely wench &amp; daughter 7 months old. Formerly slave to Mrs. Bird, James river, Virginia; left her in 1779. GMC.</t>
  </si>
  <si>
    <t>Harris</t>
  </si>
  <si>
    <t>Robert Holt, 24, stout fellow. Formerly slave to William Holt, Williamsburgh, Virginia; left him in 1779. GBC.</t>
  </si>
  <si>
    <t>Holt</t>
  </si>
  <si>
    <t>Henry Calls, 22, stout fellow. Formerly slave to George Hellis, Nansemond, Virginia; left him in 1779. GMC.</t>
  </si>
  <si>
    <t>Calls</t>
  </si>
  <si>
    <t>Joseph Warrington, 25, stout fellow. Formerly slave to George Bundeck, Eastern Shore, Virginia; left him in 1780. GMC.</t>
  </si>
  <si>
    <t>Warrington</t>
  </si>
  <si>
    <t>Patty Vantyle, 21, fine wench. Proved to be free; certified by Mr. David Matthews, Mayor.</t>
  </si>
  <si>
    <t>Vantyle</t>
  </si>
  <si>
    <t>Lieut. Col. Bridges, 43, ordinary fellow, lame, (W.M. General Department). Free as appears by GMC.</t>
  </si>
  <si>
    <t>Lieut</t>
  </si>
  <si>
    <t>Col. Bridges</t>
  </si>
  <si>
    <t>73</t>
  </si>
  <si>
    <t>W.M. General Department</t>
  </si>
  <si>
    <t>Reuben Simmons, 37, stout fellow, (W.M. General Department). Formerly slave to Abraham Wilson, Carlisle County, Virginia; left him in 1781. GMC.</t>
  </si>
  <si>
    <t>Reuben</t>
  </si>
  <si>
    <t>Carlisle County</t>
  </si>
  <si>
    <t>William Davis, 30, ordinary fellow, (W.M. General Department). Formerly slave to Lewis Burnel Martin, James River, Virginia; left him in 1779. GMC.</t>
  </si>
  <si>
    <t>Davis</t>
  </si>
  <si>
    <t>March Jones, 40, ordinary fellow. (W.M. General Department). Formerly slave to Mr. Jones, Santee, South Carolina; left him in 1779. GMC.</t>
  </si>
  <si>
    <t>March</t>
  </si>
  <si>
    <t>Santee</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</si>
  <si>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</si>
  <si>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</si>
  <si>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</si>
  <si>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Solomon</t>
  </si>
  <si>
    <t>Ann County</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</si>
  <si>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</si>
  <si>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</si>
  <si>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Levi</t>
  </si>
  <si>
    <t>Accomack County</t>
  </si>
  <si>
    <t>George Wise, 30, stout fellow. Formerly slave to Francis Thorowgood, Norfolk, Virginia; left him in 1778. GBC.</t>
  </si>
  <si>
    <t>John Ballamay, 38, stout fellow, (W.M. General Department). Certified to be free. GBC.</t>
  </si>
  <si>
    <t>Ballamay</t>
  </si>
  <si>
    <t>Tom Hunter, 22, stout fellow, (W.M. General Department). Formerly slave to Bessel Mosely, Norfolk, Virginia; left him in 1778. GMC.</t>
  </si>
  <si>
    <t>Jacob Watson, 27, ordinary fellow. Formerly slave to Philip Watson, Richmond County, Virginia; left him in 1776. GBC.</t>
  </si>
  <si>
    <t>Watson</t>
  </si>
  <si>
    <t>Richmond County</t>
  </si>
  <si>
    <t>George Price, 40, ordinary fellow. Formerly slave to Richard Barrisworth, Charlestown, South Carolina; left him in 1780. GMC.</t>
  </si>
  <si>
    <t>Price</t>
  </si>
  <si>
    <t>Thomas Freeman, 31, stout fellow. Formerly slave to John Roots, Gloster County, Virginia; left him in 1781. GBC.</t>
  </si>
  <si>
    <t>Gloster County</t>
  </si>
  <si>
    <t>Peter Robertson, 24, ordinary fellow. Formerly slave to Frederick Jay, New York; left him in 1779. GBC.</t>
  </si>
  <si>
    <t>Roger Scot, 57, ordinary fellow. Formerly slave to Lord Dunmore; say she got his freedom from Lord Dunmore.</t>
  </si>
  <si>
    <t>James Rea, 24, ordinary fellow without legs. Formerly slave to George Wilk, Williamsburg, Virginia; left him in 1779. GMC.</t>
  </si>
  <si>
    <t>Rea</t>
  </si>
  <si>
    <t>Robert Cain, 19, likely lad. Formerly slave to William Harriot, Georgetown, Virginia; left him in 1777.</t>
  </si>
  <si>
    <t>Cain</t>
  </si>
  <si>
    <t>Georgetown</t>
  </si>
  <si>
    <t>Silas Bright, 26, stout fellow. Formerly slave to William Fife, Norfolk, Virginia; left him in 1776. GBC.</t>
  </si>
  <si>
    <t>George Johnson, 29, ordinary fellow. Says he was free; served his time at Sterling Ironworks. GBC.</t>
  </si>
  <si>
    <t>Sterling Ironworks</t>
  </si>
  <si>
    <t>Jacob Rowan, 26, stout fellow, (W.M. General Department). Formerly slave to Arthur Upshaw, Accomack County, Virginia; left him 1778. GBC.</t>
  </si>
  <si>
    <t>Rowan</t>
  </si>
  <si>
    <t>Massey Vantile, 4. Proved to be free; certified by Mr. David Matthews, Mayor.</t>
  </si>
  <si>
    <t>Vantile</t>
  </si>
  <si>
    <t>Silas, 1 ½, infant. Born free.</t>
  </si>
  <si>
    <t>Joseph Scot, 11, likely boy. Formerly slave to Thomas Rutledge, Beaufort, South Carolina; left him 1778.</t>
  </si>
  <si>
    <t>Beaufort</t>
  </si>
  <si>
    <t>Fanny Hurbert, 9, Formerly slave to Henry Lamot, Norfolk, Virginia.</t>
  </si>
  <si>
    <t>Hurbert</t>
  </si>
  <si>
    <t>Cathern Hurbert, 30, likely wench, M. Formerly slave to Henry Lamot, Norfolk, Virginia; left him in 1776. GBC.</t>
  </si>
  <si>
    <t>75</t>
  </si>
  <si>
    <t>Osmond Thomson, 8, likey boy. Taken prisoner on his passage from Bermuda to Virginia; formerly slave to William Potts of Barbadoes.</t>
  </si>
  <si>
    <t>Osmond</t>
  </si>
  <si>
    <t>Mimbo</t>
  </si>
  <si>
    <t>Mary Ann Thomson, 22, likely wench. Taken prisoner on her passage from Bermuda to Virginia; formerly slave to William Potts of Barbadoes. GBC.</t>
  </si>
  <si>
    <t>Ann Thomson</t>
  </si>
  <si>
    <t>Quack</t>
  </si>
  <si>
    <t>Elizabeth Quack, 50, ordinary wench, M. Born free.</t>
  </si>
  <si>
    <t>Jean Quack, 28, stout wench, M. Born free.</t>
  </si>
  <si>
    <t>Cato, 23, likely fellow, (W.M. General Department). Formerly slave to Thomas Harris, City of New York, who says he got his freedom when his Master died.</t>
  </si>
  <si>
    <t>Port Mattoon Alexander Buchanon</t>
  </si>
  <si>
    <t>Mary Scot, ½, an infant. Born free</t>
  </si>
  <si>
    <t>Elizabeth Edwards, 4. Born within the Lines.</t>
  </si>
  <si>
    <t>Edwards</t>
  </si>
  <si>
    <t>Elizabeth Edwards, 26, ordinary wench. Formerly slave to General McDougall who left her in 1776. GBC.</t>
  </si>
  <si>
    <t>Cathern Scot, 40, stout wench. Formerly slave to Lord Dunmore. GBC.</t>
  </si>
  <si>
    <t>Patty Christopher, 30, stout wench, M. Free as proved by proper certificate.</t>
  </si>
  <si>
    <t>James Campbell, 9 months. Born within the lines.</t>
  </si>
  <si>
    <t>Campbell</t>
  </si>
  <si>
    <t>Ellice, 17, stout wench. Formerly slave to Capt. McDonald, Santee river, South Carolina; left him in 1778. GMC.</t>
  </si>
  <si>
    <t>Ellice</t>
  </si>
  <si>
    <t>Santee river</t>
  </si>
  <si>
    <t>Judith, 9 months, M. Born free.</t>
  </si>
  <si>
    <t>Silvia, 14, likely wench, M. Free as proved by proper certificate.</t>
  </si>
  <si>
    <t>Sally Oxford, 22, ordinary wench. Formerly slave to William Sheppard, Nansemond, Virginia; left him in 1777. GBC.</t>
  </si>
  <si>
    <t>Oxford</t>
  </si>
  <si>
    <t>Mary Bright, 26, ordinary wench. Born free at Jamaica, Long Island; certified by Mr. Hugh Willis.</t>
  </si>
  <si>
    <t>Matthew, 9. Born free.</t>
  </si>
  <si>
    <t>Matthew</t>
  </si>
  <si>
    <t>Esther Roberts, 28, ordinary wench. Free as proved per Bill of Sale produced.</t>
  </si>
  <si>
    <t>Diana Roberts, 10, fine girl. Free as proved per Bill of Sale produced.</t>
  </si>
  <si>
    <t>Diana</t>
  </si>
  <si>
    <t>Peggy Rea, 25, likely wench. Formerly slave to David Shields, Norfolk, Virginia; left him in 1778. GMC.</t>
  </si>
  <si>
    <t>Mimbo Scot, 21, ordinary fellow. Formerly slave to Joseph Scot, Charlestown , South Carolina; left hm in 1778. GBC.</t>
  </si>
  <si>
    <t>Elizabeth, 27, stout wench, M. Says she was born free at St. Augustine.</t>
  </si>
  <si>
    <t>Susannah, 23, stout wench. Formerly slave to Andrew Reynolds, Norfolk, Virginia; left him in 1779. GBC.</t>
  </si>
  <si>
    <t>Phebe Scot, 3 months. Born within the Lines.</t>
  </si>
  <si>
    <t>Eaddie, 5, Formerly slave to Andrew Reynolds, Norfolk, Virginia.</t>
  </si>
  <si>
    <t>Eaddie</t>
  </si>
  <si>
    <t>Chloe, 23, likely wench. Formerly slave to Thomas Bean, Nansemond, Virginia; left him in 1776. GBC.</t>
  </si>
  <si>
    <t>Priscilla, 21, stout wench. Formerly slave to Joshua Jolly, Norfolk County, Virginia; left him in 1777. GMC.</t>
  </si>
  <si>
    <t>Priscilla</t>
  </si>
  <si>
    <t>Dianah, 62, ordinary wench. Formerly slave to John Lynning, Charlestown, South Carolina; left him in 1780. GMC.</t>
  </si>
  <si>
    <t>Dianah</t>
  </si>
  <si>
    <t>Nancy Johnson, 36, stout wench. Formerly slave to William Smith, Accomack, Virginia; left him in 1777. GMC.</t>
  </si>
  <si>
    <t>Abigail, 35, ordinary wench &amp; son Joseph, 5 years old. Formery slave to Peter Barbery, New York; left him in 1776. GBC.</t>
  </si>
  <si>
    <t>Formery slave to Peter Barbery</t>
  </si>
  <si>
    <t>Rebecca Scot, 20, ordinary wench. Formerly slave to Thomas Rutledge, Beaufort, South Carolina; left him in 1778. GMC.</t>
  </si>
  <si>
    <t>Joe, 41, ordinary fellow, (Oswald &amp; Eve). Formerly slave to Paul Pritchard, Charlestown, South Carolina; left him in 1780. GBC.</t>
  </si>
  <si>
    <t>Brig Elizabeth bound for Cat Island Robert Harrington</t>
  </si>
  <si>
    <t>Oswald &amp; Eve</t>
  </si>
  <si>
    <t>Cubit, 38, ordinary fellow, (Oswald Eve). Property of said Oswald Eve.</t>
  </si>
  <si>
    <t>Cubit</t>
  </si>
  <si>
    <t>Oswald Eve</t>
  </si>
  <si>
    <t>Chloe, 1 month, (Oswald &amp; Eve). Born free within the British lines. GMC.</t>
  </si>
  <si>
    <t>Sarah, 4, (Oswald &amp; Eve). Born free within the British lines. GMC.</t>
  </si>
  <si>
    <t>26</t>
  </si>
  <si>
    <t>Clarinda, 5, (Oswald &amp; Eve). Born free within the British lines. GMC.</t>
  </si>
  <si>
    <t>Clarinda</t>
  </si>
  <si>
    <t>Melinda, 11, likely girl. Major Monzies of St. John's, claimant. (Major Monzies). Born &amp; bred in the Major's family.</t>
  </si>
  <si>
    <t>Elizabeth bound for St. John's Watson, Master</t>
  </si>
  <si>
    <t>Melinda</t>
  </si>
  <si>
    <t>Major Monzies</t>
  </si>
  <si>
    <t>Chloe, 19, likely wench, (Lieut. Ambruse). Formerly slave to Mrs. Boykin, Charlestown, South Carolina; left him in 1780 &amp; joined the army on John's Island</t>
  </si>
  <si>
    <t>Lieut. Ambruse</t>
  </si>
  <si>
    <t>Primus, 11, likely boy. Major Monzies of St. John's, claimant. (Major Monzies). Born &amp; bred in the Major's family.</t>
  </si>
  <si>
    <t>Primus</t>
  </si>
  <si>
    <t>Charles Rogers, 33, ordinary fellow, (Oswald &amp; Eve). Proved to be free by Certificate of Daniel Randall, Philadelphia.</t>
  </si>
  <si>
    <t>Abraham Mifflin, 42, stout fellow, (John Boggs). Formerly the property of Charles Mifflin of Philadelphia; came in with his widow who married Capt. Roberts. GBC.</t>
  </si>
  <si>
    <t>Elizabeth bound for River St. John's John Watson</t>
  </si>
  <si>
    <t>Mifflin</t>
  </si>
  <si>
    <t>John Watson</t>
  </si>
  <si>
    <t>John Boggs</t>
  </si>
  <si>
    <t>Jerry Miller, 22, stout made, (Trumpeter, Am. Legion). Formerly slave to Charles Harrison, Prince George, Virginia; joined the army in 1781. Mustered in the regiment.</t>
  </si>
  <si>
    <t>Jerry</t>
  </si>
  <si>
    <t>Prince George</t>
  </si>
  <si>
    <t>Trumpeter, Am. Legion</t>
  </si>
  <si>
    <t>Prince Royal, 26, stout fellow (Nathan Horton). Formerly the property of John Tollman of Charlestown, South Carolina, left him 3 years ago. GBC.</t>
  </si>
  <si>
    <t>Royal</t>
  </si>
  <si>
    <t>Nathan Horton</t>
  </si>
  <si>
    <t>Toney, 10, fine boy, (Dugal McPherson). Indented to Dugal McPherson for 7 years by his own consent.</t>
  </si>
  <si>
    <t>Dugal McPherson</t>
  </si>
  <si>
    <t>Walley Waring, 23, stout fellow, (John Boggs). Formerly slave to Joseph Waring of Stono, South Carolina; left him 3 years ago. GBC.</t>
  </si>
  <si>
    <t>Walley</t>
  </si>
  <si>
    <t>Waring</t>
  </si>
  <si>
    <t>Stono</t>
  </si>
  <si>
    <t>David, 7, an idiot. (John Boggs of River St. John's, claimant. (John Boggs). Born in the family of John Boggs.</t>
  </si>
  <si>
    <t>John Boggs of River St. John's, claimant. (John Boggs</t>
  </si>
  <si>
    <t>Nancy, 40, stout wench. John Boggs of River St. John's, claimant. (John Boggs). Says she is his property having purchased her 11 years ago.</t>
  </si>
  <si>
    <t>Sarah, 30, stout wench (Michael Clark). Free as per Certificate from her last owner, Thomas Brown of London.</t>
  </si>
  <si>
    <t>Michael Clark</t>
  </si>
  <si>
    <t>Simon Johnson, 16, likely lad, (Trumpeter, Am. Legion). Formerly slave to John Cooper, Williamsburgh, Virginia; joined the army with General Arnold in 1781.</t>
  </si>
  <si>
    <t>Nero Denton, 40, stout fellow, (Cornet Gray, B. Legion). Formerly the property of William Denton of Goshen; left him in 1776. GMC.</t>
  </si>
  <si>
    <t>Nero</t>
  </si>
  <si>
    <t>Denton</t>
  </si>
  <si>
    <t>Cornet Gray, B. Legion</t>
  </si>
  <si>
    <t>Henry Cole, 33, ordinary fellow, B, (Charles McPherson). Formerly slave to to James Gosbeck, Esopus, New Jersey; left him in the year 1777.</t>
  </si>
  <si>
    <t>Elizabeth bound for St. John's River John Watson, Master</t>
  </si>
  <si>
    <t>Charles McPherson</t>
  </si>
  <si>
    <t>Henry Francis, 47, stout fellow, (Ellis &amp; Eve). Formerly the property of Simon Halward, Back river, Virginia; left him in 1779. GMC.</t>
  </si>
  <si>
    <t>Ellis &amp; Eve</t>
  </si>
  <si>
    <t>Dick Van</t>
  </si>
  <si>
    <t>Wart</t>
  </si>
  <si>
    <t>Michael Hodgson</t>
  </si>
  <si>
    <t>George Goddin, 22, squat fellow, B, (James Reed). Formerly slave to Eliza Goddin, Nansemond, Virginia; left him 3 years past &amp; came to New York with General Arnold. GBC.</t>
  </si>
  <si>
    <t>Goddin</t>
  </si>
  <si>
    <t>James Reed</t>
  </si>
  <si>
    <t>Penny Channell, 22, ordinary wench, B, (James Reed). Formerly slave to Thomas Channel, Nansemond, Virginia; left him 3 years past &amp; joined General Arnold. GBC.</t>
  </si>
  <si>
    <t>Penny</t>
  </si>
  <si>
    <t>Channell</t>
  </si>
  <si>
    <t>Abraham Channel, 1, M. Born within the British lines.</t>
  </si>
  <si>
    <t>Channel</t>
  </si>
  <si>
    <t>Abraham Dalton, 18, likely boy, B, (Charles McPherson). Formerly slave to David Dalton, North Castle; left him about 4 years past. GBC.</t>
  </si>
  <si>
    <t>North Castle</t>
  </si>
  <si>
    <t>Jenny Cole, 36, ordinary wench, B, (Charles McPherson). Formerly slave to David Dalton, North Castle; left him about 4 years past. GBC.</t>
  </si>
  <si>
    <t>Fanny Mosely, 27, strong ugly wench, B, (James Baxter). Formerly slave to William Moseley, Rhode Island; left him 4 years past &amp; joined the British troops.</t>
  </si>
  <si>
    <t>James Baxter</t>
  </si>
  <si>
    <t>Tommy Mosely, 1, B. Born within the British lines.</t>
  </si>
  <si>
    <t>Tommy</t>
  </si>
  <si>
    <t>Susannah, 7 months, M, (Lieut. Ambruse).</t>
  </si>
  <si>
    <t>John Stephenson, 35, stout fellow, (Joseph Shoemaker). Proved to be free; from the Island of Jamaica.</t>
  </si>
  <si>
    <t>Stephenson</t>
  </si>
  <si>
    <t>Joseph Shoemaker</t>
  </si>
  <si>
    <t>James Kilby, 21, stout fellow, (Joseph Shoemaker). Says he was born free at _, Island of Jamaica; lived with Lawyer Davis.</t>
  </si>
  <si>
    <t>Kilby</t>
  </si>
  <si>
    <t>Nicholas, 20, stout fellow, (Cornet Gray, B. Legion). Formerly the property of Benjamin Fisher, Pennsylvania.</t>
  </si>
  <si>
    <t>Jem, 1, (Cornet Gray, B. Legion). Property of Cornet Gray per Bill of Sale.</t>
  </si>
  <si>
    <t>Jem</t>
  </si>
  <si>
    <t>James, 16, likely boy, B, (Capt. Frink, A.L.). Formerly slave to Mrs. Cuyler who gave him to her daughter Mrs. Frink.</t>
  </si>
  <si>
    <t>Capt. Frink, A.L.</t>
  </si>
  <si>
    <t>Nathaniel, 16, likely boy, M, (Lieut. Bull, A.L. ). Formerly slave to Col. Bannister, Virginia; joined General Arnold in 1781.</t>
  </si>
  <si>
    <t>Lieut. Bull, A.L.</t>
  </si>
  <si>
    <t>Bannister</t>
  </si>
  <si>
    <t>London, 17, stout black, (Trump. Am. Legion). Formerly slave to Robert Pleasant, Virginia; joined General Arnold in 1781.</t>
  </si>
  <si>
    <t>Trump. Am. Legion</t>
  </si>
  <si>
    <t>George, 17, stout likely boy, M, (Trump. Am. Legion). Formerly slave to Col. Carter, Virginia; joined General Arnold in 1781.</t>
  </si>
  <si>
    <t>Toney, 20, stout wench, (Cornet Gray, B. Legion). Property of Cornet Gray per Bill of Sale.</t>
  </si>
  <si>
    <t>Peter Quamina, 30, stout fellow, (Ellis &amp; Eve). Formerly the property of John Stanley, Newburgh, North Carolina; left him in 1778. GMC.</t>
  </si>
  <si>
    <t>Quamina</t>
  </si>
  <si>
    <t>Newburgh</t>
  </si>
  <si>
    <t>Diana, 7, likely girl, (Capt. Frink, A.L.). Who bought her from Mrs. Beadle, Staten Island.</t>
  </si>
  <si>
    <t>John Jones, 40, slow, well sized man, M, (George Low). Formerly slave to Richard Jones, Williamsburg, Virginia; left that with Lord Dunmore in 1776. GBC.</t>
  </si>
  <si>
    <t>Ship Elizabeth bound for Port Roseway Hodgson</t>
  </si>
  <si>
    <t>Hodgson</t>
  </si>
  <si>
    <t>George Low</t>
  </si>
  <si>
    <t>Robert James, 26, stout made fellow, M, (William Chetwine). Says he was born free in Kent in Virginia, joined the British fleet in Chesapeake in 1777. GBC.</t>
  </si>
  <si>
    <t>William Chetwine</t>
  </si>
  <si>
    <t>Kent</t>
  </si>
  <si>
    <t>Chesapeake</t>
  </si>
  <si>
    <t>Thomas Francis, 36, stout made fellow, B, (Robert Merrit). Formerly slave to Isaac Vermilla, Phillips's manor; left him about 6 years past. GBC.</t>
  </si>
  <si>
    <t>Robert Merrit</t>
  </si>
  <si>
    <t>Rebecca Williams, 25, likely wench, ¼ M, (Wiliam Chetwine). Formerly slave to Frank Molden, Maryland, joined Lord Howe's fleet in 1777.</t>
  </si>
  <si>
    <t>Wiliam Chetwine</t>
  </si>
  <si>
    <t>Rachel James, 9, ¼ M, (William Chetwine). Formerly slave to Frank Molden, Maryland.</t>
  </si>
  <si>
    <t>Jack Dunlap, 9, fine boy, black. Lowerhele of Port Roseway, claimant. His property as appears by a Bill of Sale produced.</t>
  </si>
  <si>
    <t>Dunlap</t>
  </si>
  <si>
    <t>Jenny Bruce, 15, fine girl, ¾ white, (William Wilson). These three persons appear to be the property of William Wilson, they having fallen to him in consequence of a marriage settlement between him and Elizabeth Nansberg, Virginia.</t>
  </si>
  <si>
    <t>Bruce</t>
  </si>
  <si>
    <t>William Wilson</t>
  </si>
  <si>
    <t>Betsey Bruce, 13, fine girl, ¾ white, (William Wilson).</t>
  </si>
  <si>
    <t>Hilley Ivey, 12, fine girl, black, (William Wilson).</t>
  </si>
  <si>
    <t>Hilley</t>
  </si>
  <si>
    <t>Ivey</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</si>
  <si>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</si>
  <si>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</si>
  <si>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Owen Roberts</t>
  </si>
  <si>
    <t>Charles Francis, 27, stout made fellow, B, (Robert Merrit). formerly slave to John Myers, Philip's manor; left him about 7 years past. GBC.</t>
  </si>
  <si>
    <t>James James, ¾ ¼ M, (William Chetwine).</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</si>
  <si>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</si>
  <si>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Nuse Bagshaw, 31, stout fellow, (Ellias &amp; Eve). Formerly slave to R. Komer, Matuxent, Virginia; left him in 1781. GBC.</t>
  </si>
  <si>
    <t>Nuse</t>
  </si>
  <si>
    <t>Bagshaw</t>
  </si>
  <si>
    <t>Ellias &amp; Eve</t>
  </si>
  <si>
    <t>R. Komer</t>
  </si>
  <si>
    <t>Matuxent</t>
  </si>
  <si>
    <t>Richard Smith, 21, likely lad (Ellias &amp; Eve). Formerly slave to Capt. Robert Gail, Virginia; left him in 1776. GMC.</t>
  </si>
  <si>
    <t>John Lambert, 57, much worn out, (Ellias &amp; Eve). Formerly slave to William Trusler, Charlestown, South Carolina; taken prisoner by the British troops in 1778. GMC.</t>
  </si>
  <si>
    <t>Lambert</t>
  </si>
  <si>
    <t>John Thomson, 31, ordinary fellow, (Ellias &amp; Eve). Formerly slave to Anker Gardiner, Charlestown, South Carolina; left him in 1779. GMC.</t>
  </si>
  <si>
    <t>Samuel Holmes, 32, ordinary fellow, (Ellias &amp; Eve). Formerly slave to Joseph Holmes, Charlestown, South Carolina; left him in 1780</t>
  </si>
  <si>
    <t>Fanny Lydacre, 3, (John Kingston).</t>
  </si>
  <si>
    <t>Lydacre</t>
  </si>
  <si>
    <t>John Kingston</t>
  </si>
  <si>
    <t>Lucy Lydacre, 24, snug little wench, ¼ M, (John Kingston). Formerly slave to William Lydacre, Jersey; left him in the year 1776 by Proclamation.</t>
  </si>
  <si>
    <t>Jasper Gordon, 7, fine boy, B, (Owen Roberts).</t>
  </si>
  <si>
    <t>Jasper</t>
  </si>
  <si>
    <t>8th July 1783</t>
  </si>
  <si>
    <t>8th</t>
  </si>
  <si>
    <t>July 1783</t>
  </si>
  <si>
    <t>Dick Van Wart, 30, stout made fellow, M, (Robert Merrit). Formerly slave to John Van Wart, Tarrytown, New York province; left him 7 years past. GBC.</t>
  </si>
  <si>
    <t>Van Wart</t>
  </si>
  <si>
    <t>Tarrytown</t>
  </si>
  <si>
    <t>Dalkeith, 25, stout fellow, (Cornet Gray, B. Legion). Formerly the property of James Ronaldson, Smithfield, Virginia; left him in 1778. GMC.</t>
  </si>
  <si>
    <t>Dalkeith</t>
  </si>
  <si>
    <t>Rose Yeates, 30, fine wench, M, (Robert Merrit). Says she was free born in North Castle, that her mother was free; left N. Castle in 1777.</t>
  </si>
  <si>
    <t>Yeates</t>
  </si>
  <si>
    <t>Billy Francis, 3, (Robert Merrit).</t>
  </si>
  <si>
    <t>Cyrus David, 47, ordinary fellow, (Oswald &amp; Eve). Formerly slave to George Godfrey, Georgia; left him in 1779. GMC.</t>
  </si>
  <si>
    <t>Cyrus</t>
  </si>
  <si>
    <t>Formerly slave to George Godfrey</t>
  </si>
  <si>
    <t>Charlotte David, 25, ordinary wench, (Oswald &amp; Eve). Formerly slave to George Godfrey, Georgia; left him in 1779. GMC.</t>
  </si>
  <si>
    <t>Charlotte</t>
  </si>
  <si>
    <t>Nancy Lambert, 31, ordinary wench, (Ellias &amp; Eve). Formerly slave to William Maginnils, Hobbs Court House; left him in 1778. GBC.</t>
  </si>
  <si>
    <t>Rachell, 40, ordinary wench, (Ellias &amp; Eve). Formerly slave to John Collins, Santee, South Carolina; left him in 1778. GBC.</t>
  </si>
  <si>
    <t>Rachell</t>
  </si>
  <si>
    <t>James, 50, worn out, (Ellias &amp; Eve). Formerly slave to George Grenal, Charlestown, South Carolina; left him in 1778. GMC.</t>
  </si>
  <si>
    <t>Lucretia Jones, 27, likely wench, M, (George Low). Says she is free; left Philadelphia with the troops. GBC.</t>
  </si>
  <si>
    <t>Lucretia</t>
  </si>
  <si>
    <t>Charlotte Jones, 3, (George Low).</t>
  </si>
  <si>
    <t>William Wells, 30, stout fine fellow, (George Low). Formerly slave to Captain John George Wills, Mulberry Island, Virginia; left him with Lord Dunmore, 1775. GBC.</t>
  </si>
  <si>
    <t>Wells</t>
  </si>
  <si>
    <t>Mulberry Island</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</si>
  <si>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</si>
  <si>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</si>
  <si>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Michael, 18, stout lad. Property of Lieut. Fleck, reg. of Angellells; purchased from Fleck of Philadelphia.</t>
  </si>
  <si>
    <t>Elizabeth bound for Spithead &amp; Germany Michael Hudson</t>
  </si>
  <si>
    <t>Fleck</t>
  </si>
  <si>
    <t>Jane, 24, ordinary wench, M, (W.M. General Dept.). Born free at Middletown, New Jersey.</t>
  </si>
  <si>
    <t>Sloop Elk bound for Port Mattoon Peter Slack</t>
  </si>
  <si>
    <t>W.M. General Dept.</t>
  </si>
  <si>
    <t>Molly, 21, likely wench, (W.M. General Dept). Formerly slave to William Elliot, Charlestown, South Carolina; left him before the siege of that town in 1780.</t>
  </si>
  <si>
    <t>W.M. General Dept</t>
  </si>
  <si>
    <t>Isabella, 22, ordinary wench, (W.M. General Dept.). Formerly slave to Thomas White, Charlestown, South Carolina; left him before the siege of that town in 1780.</t>
  </si>
  <si>
    <t>Isabella</t>
  </si>
  <si>
    <t>Inspected by Captains Gilfillan &amp; Armstrong, Lieutenant Colonel Smith &amp; Samuel Jones, Esquire, Secretary.</t>
  </si>
  <si>
    <t>Inspected</t>
  </si>
  <si>
    <t>by Captains Gilfillan &amp; Armstrong</t>
  </si>
  <si>
    <t>Port Mattoon Peter Slack</t>
  </si>
  <si>
    <t>Sukey, ½, infant, (W.M. General Dept.). Born within the British lines.</t>
  </si>
  <si>
    <t>Elijah, ½, infant, (W.M. General Dept.). Born within the British lines.</t>
  </si>
  <si>
    <t>Betsey, 22, ordinary wench, (W.M. General Dept). Born free, Southampton, Virginia; served her time to Richard Barrow.</t>
  </si>
  <si>
    <t>Southampton</t>
  </si>
  <si>
    <t>Mary, 17, ordinary wench, (W.M. General Dept). Formerly slave to Isaac Johnson of Philadelphia; left him &amp; joined the British troops in 1778.</t>
  </si>
  <si>
    <t>Katy, 22, stout wench, (W.M. General Dept.). Formerly slave to Mr. Lawrence of Charlestown, South Carolina; left him before the siege of said town &amp; joined the British troops.</t>
  </si>
  <si>
    <t>Betty, 1, infant, (W.M. General Dept.). Born within the British lines.</t>
  </si>
  <si>
    <t>Sukey, 21, ordinary wench, M, (W.M. General Dept). Formerly slave to John Hope, Southampton, Virginia; left him in the year of 1779 &amp; joined the British.</t>
  </si>
  <si>
    <t>Grace, 26, stout wench, (W.M. General Dept.). Formerly slave to Richard Drew, Pennsylvania; left him with the British troops leaving Philadelphia.</t>
  </si>
  <si>
    <t>Sukey, 21, stout wench, (W.M. General Dept.). Formerly slave to Thomas Smith, Charlestown, South Carolina; left him after the Siege in 1780.</t>
  </si>
  <si>
    <t>Enterprise</t>
  </si>
  <si>
    <t>George Andrews, 22, stout fellow, (Ens. Seeble, reg. Dilforth). Formerly the property of William Curl of Northampton, Virginia; left him 3 years ago.</t>
  </si>
  <si>
    <t>Enterprise bound for Spithead &amp; Germany T. Graham</t>
  </si>
  <si>
    <t>Andrews</t>
  </si>
  <si>
    <t>Ens. Seeble, reg. Dilforth</t>
  </si>
  <si>
    <t>Northampton</t>
  </si>
  <si>
    <t>Abraham, 21, stout fellow. Capt. McLeod of St. John's, claimant. (Capt. McLeod). The Captain's Property.</t>
  </si>
  <si>
    <t>Esther bound for St. John's</t>
  </si>
  <si>
    <t>Capt. McLeod</t>
  </si>
  <si>
    <t>Mingo, 3, infant. (Capt. Campbell of St. John's, claimant). (Capt. Campbell). Formerly slave to Mr. McRae, hatter, New Jersey, who sold her to Mr. Burton, New York, &amp; has since been purchased by Capt. Campbell.</t>
  </si>
  <si>
    <t>hatter</t>
  </si>
  <si>
    <t>Capt. Campbell of St. John's, claimant</t>
  </si>
  <si>
    <t>Maria, 21, stout wench. Capt. Campbell of St. John's, claimant. (Capt. Campbell). Formerly slave to Mr. McRae, Hatter, New Jersey, who sold her to Mr. Burton, New York &amp; has since been purchased as she says by Capt. Campbell.</t>
  </si>
  <si>
    <t>Maria</t>
  </si>
  <si>
    <t>Capt. Campbell</t>
  </si>
  <si>
    <t>London Herbert, 30, B.</t>
  </si>
  <si>
    <t>Esther bound for Port Roseway Robert Gill, Master</t>
  </si>
  <si>
    <t>Herbert</t>
  </si>
  <si>
    <t>38</t>
  </si>
  <si>
    <t>Robert Gill</t>
  </si>
  <si>
    <t>Bristol, 40, squat, scar over right eye, 3 marks between his eyes, (Engineer Department). Formerly slave to Kal Rivers, Charlestown, South Carolina; left him about 4 years ago. GBC.</t>
  </si>
  <si>
    <t>Ship Esther bound for Port Roseway Robert Gill, Master</t>
  </si>
  <si>
    <t>Engineer Department</t>
  </si>
  <si>
    <t>Mary Ann, 25, ordinary wench, B, (Alexander McDonald). Formerly slave to John Rutledge, Shore river, South Carolina; left him before the Siege of Charlestown &amp; joined the British troops. GBC.</t>
  </si>
  <si>
    <t>Shore river</t>
  </si>
  <si>
    <t>Elizabeth, 6, B, (Alexander McDonald). Formerly slave to John Rutledge, Shore river, South Carolina; left him before the Siege of Charlestown &amp; joined the British troops.</t>
  </si>
  <si>
    <t>Nancy, 3 months, B, (Alexander McDonald). Born within the British lines.</t>
  </si>
  <si>
    <t>Catharine his</t>
  </si>
  <si>
    <t>Charles Herbert, 50, nearly worn out, M.</t>
  </si>
  <si>
    <t>Rose Herbert, 45, ordinary wench, M.</t>
  </si>
  <si>
    <t>Stephen Peters, 20, squat stout fellow, (Engineer Department). Formerly slave to John Day, Charlestown, South Carolina; left him about 4 years ago.</t>
  </si>
  <si>
    <t>Peters</t>
  </si>
  <si>
    <t>Hanna Herbert, 40, B.</t>
  </si>
  <si>
    <t>Hanna</t>
  </si>
  <si>
    <t>Jenny Herbert, 9, B. Mr. Herbert's property , brought with him from Virginia at the time Lord Dunmore left that Country.</t>
  </si>
  <si>
    <t>David Herbert, 5, B. T. Martin Herbert of Port Roseway, claimant</t>
  </si>
  <si>
    <t>Polly his</t>
  </si>
  <si>
    <t>Sall his</t>
  </si>
  <si>
    <t>Isabella and small</t>
  </si>
  <si>
    <t>Esther bound for Port Roseway Robert Gill</t>
  </si>
  <si>
    <t>Kimme Williams, 18, stout wench, M, (J. Martin Herbert). Says she was born free &amp; that she served her time to Isaac Kimme in New York &amp; Certified free by General Birch.</t>
  </si>
  <si>
    <t>Kimme</t>
  </si>
  <si>
    <t>J. Martin Herbert</t>
  </si>
  <si>
    <t>John Postell, 22, sickly fellow, (Alexander McDonald). Formerly slave to Andrew Postell of Cochchanties, South Carolina; left him 5 years ago. GBC.</t>
  </si>
  <si>
    <t>Postell</t>
  </si>
  <si>
    <t>Cochchanties</t>
  </si>
  <si>
    <t>Robert Postell, 12, fine boy, M, (Alexander McDonald). Formerly slave to Andrew Postell of Cochchanties, South Carolina; left him 5 years ago. GBC.</t>
  </si>
  <si>
    <t>Hannah Jackson, 2, B, (Alexander McDonald). Born within the British lines.</t>
  </si>
  <si>
    <t>Isaac Herbert, 11, M.</t>
  </si>
  <si>
    <t>Venus Herbert, 16, M.</t>
  </si>
  <si>
    <t>Sarah Jackson, 23, ordinary wench, B, (Alexander McDonald). Formerly slave to Thomas Hanley, Georgetown, South Carolina; left him 1780 after the Siege of Charlestown.</t>
  </si>
  <si>
    <t>Isabella &amp; small child, 29, stout black wench, (Engineer Department). Free born in the island of Jamaica; wife to Emanuel.</t>
  </si>
  <si>
    <t>Thomas Scutcheon, 20, stout fellow, (Engineer Department). Formerly slave to Solomon Wilson, Virginia; left him 5 years ago.</t>
  </si>
  <si>
    <t>Scutcheon</t>
  </si>
  <si>
    <t>Polly his wife, 26, stout wench, scar in forehead, (Engineer Department). Formerly slave to Dick Sharp, Richmond, Virginia; left him 3 years ago. GBC.</t>
  </si>
  <si>
    <t>Samuel Mason, 25, stout, pockmarked, scar in forehead, (Engineer Department). Formerly slave to Col. Allen, Caven Point, James river; left him 3 years ago. GBC.</t>
  </si>
  <si>
    <t>Mason</t>
  </si>
  <si>
    <t>Peter Prentice, 32, squat, scar on right wrist, (Engineer Department). Formerly slave to John Southern, Williamsburg, Virginia; left him 3 years ago. GBC.</t>
  </si>
  <si>
    <t>Prentice</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</si>
  <si>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</si>
  <si>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</si>
  <si>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</si>
  <si>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Simmon</t>
  </si>
  <si>
    <t>John Bullet, 35, stout, (Engineer Department). Formerly slave to Nathan Lagree, Wando River; left him 3 years ago.</t>
  </si>
  <si>
    <t>Bullet</t>
  </si>
  <si>
    <t>Wando River</t>
  </si>
  <si>
    <t>Cudja, 40, ordinary fellow, (Engineer Department). Formerly slave to Mr. Franswa; left him when Charlestown was taken. GBC.</t>
  </si>
  <si>
    <t>Cudja</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</si>
  <si>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</si>
  <si>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</si>
  <si>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</si>
  <si>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Prison</t>
  </si>
  <si>
    <t>Cathrine his wife, 19, stout wench, (Engineer Department). Free born, bound with widow Field at fresh meadows, Long Island, until 18 years of age.</t>
  </si>
  <si>
    <t>Cathrine</t>
  </si>
  <si>
    <t>Brass Watson, 30, stout fellow scar left forehead, (Engineer Department). Formerly slave to John Day, Charlestown; left him about 4 years ago.</t>
  </si>
  <si>
    <t>Brass</t>
  </si>
  <si>
    <t>Nancy his wife, 30, stout wench, 2 small children (Engineer Department). Formerly slave to Patt Quince, Wilmington, North Carolina; left him about 7 years ago. GBC.</t>
  </si>
  <si>
    <t>Wilmington</t>
  </si>
  <si>
    <t>Nancy Sears, 43, ordinary wench, (Engineer Department). Appears by sundry papers to be a free wench.</t>
  </si>
  <si>
    <t>Sears</t>
  </si>
  <si>
    <t>Hanna her</t>
  </si>
  <si>
    <t>Sall his wife, 26, stout squat wench, small child, (Engineer Department). Formerly slav to Nathan Lagree, Wando River, left him 3 years ago. GBC.</t>
  </si>
  <si>
    <t>Sall</t>
  </si>
  <si>
    <t>John Lewis, 26, stout yellow, (Engineer Department). Formerly slave to Carter, Western Shore, Virginia; left him 6 years ago. GBC.</t>
  </si>
  <si>
    <t>Rachel Scutcheon, 14, likely girl, mulatto, (Engineer Department). Formerly slave to Solomon Wilson, Virginia; left him 5 years ago.</t>
  </si>
  <si>
    <t>Formerly slave to Solomon Wilson</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</si>
  <si>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</si>
  <si>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</si>
  <si>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</si>
  <si>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Acky</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</si>
  <si>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</si>
  <si>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</si>
  <si>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Lewis Moore, 50, stout fellow, (Engineer Department). Formerly slave to Mr. Moore, Hampton County, Virginia; left him 3 years ago. GBC.</t>
  </si>
  <si>
    <t>Hampton County</t>
  </si>
  <si>
    <t>Jenny Johnson, 21, short, stout wench ½ M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</si>
  <si>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</si>
  <si>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</si>
  <si>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</si>
  <si>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Jeffry</t>
  </si>
  <si>
    <t>Emanuel, 26, stout, Black. Lt. Col. Moncrief, claimant, (Engineer Department). Property of Lieutenant Col. Moncrief. GBC.</t>
  </si>
  <si>
    <t>Emanuel</t>
  </si>
  <si>
    <t>Polly his wife, 27, stout yellow wench, 2 small children, (Engineer Department). Free born, Burlington, New Jersey; left it 7 years ago. GBC.</t>
  </si>
  <si>
    <t>Job Allen, 27, stout black, scar in forehead, (Engineer Department). Formerly slave to David Wilson, Eastern Shore, Maryland; left him 4 years ago. GBC.</t>
  </si>
  <si>
    <t>Jenny Reynolds, 25, thin looking wench, (Engineer Department). Formerly slave to Cornelius Van Horne, Jersey; left him 6 years past. GBC.</t>
  </si>
  <si>
    <t>Reynolds</t>
  </si>
  <si>
    <t>Fishburn</t>
  </si>
  <si>
    <t>James Langford, 21, stout fellow, (William Nutter). Formerly the property of Capt. Langford of Dorset County, Maryland; left him 2 years ago. GBC.</t>
  </si>
  <si>
    <t>Fishburn bound for River St. John's Joseph Gill</t>
  </si>
  <si>
    <t>Langford</t>
  </si>
  <si>
    <t>43</t>
  </si>
  <si>
    <t>Joseph Gill</t>
  </si>
  <si>
    <t>William Nutter</t>
  </si>
  <si>
    <t>Joe, 9 mo., likely child. Gabriel Fowler of River St. John's, claimant. (Gabriel Fowler). Son to Stach.</t>
  </si>
  <si>
    <t>Gabriel Fowler</t>
  </si>
  <si>
    <t>Stach, 17, stout wench. Gabriel Fowler of River St. John's, claimant. (Gabriel Fowler). His property by Bill of Sale produced.</t>
  </si>
  <si>
    <t>Stach</t>
  </si>
  <si>
    <t>Richard Fowler, 25, stout fellow, (Gabriel Fowler). Formerly the property of Ben Conway, Eastern Shore, Virginia; he was taken by a privateer 4 years ago &amp; brought into New York. GBC.</t>
  </si>
  <si>
    <t>Fortune, 12, likely boy, (William Gray). The boy says he was taken from William Churchill's house of Virginia by a Capt. Dempsey who commanded a privateer 3 years ago.</t>
  </si>
  <si>
    <t>William Gray</t>
  </si>
  <si>
    <t>Gabriel Philcox, 22, stout fellow, (Henry Ellis). Formerly the property of Francis Melden, Cecil County, Maryland; left him 5 years ago. GBC.</t>
  </si>
  <si>
    <t>Philcox</t>
  </si>
  <si>
    <t>Henry Ellis</t>
  </si>
  <si>
    <t>Free Britain</t>
  </si>
  <si>
    <t>Eisha</t>
  </si>
  <si>
    <t>Jacob Hays</t>
  </si>
  <si>
    <t>Margret</t>
  </si>
  <si>
    <t>Leven</t>
  </si>
  <si>
    <t>Colin</t>
  </si>
  <si>
    <t>Pitt</t>
  </si>
  <si>
    <t>Bull</t>
  </si>
  <si>
    <t>Berry</t>
  </si>
  <si>
    <t>Tabitha</t>
  </si>
  <si>
    <t>Fountain</t>
  </si>
  <si>
    <t>Knowland</t>
  </si>
  <si>
    <t>Barclett</t>
  </si>
  <si>
    <t>Blackston</t>
  </si>
  <si>
    <t>Lynden</t>
  </si>
  <si>
    <t>Wilson</t>
  </si>
  <si>
    <t>Ceazer</t>
  </si>
  <si>
    <t>Millia</t>
  </si>
  <si>
    <t>Perkins</t>
  </si>
  <si>
    <t>Friends</t>
  </si>
  <si>
    <t>John Williams, 47, stout , (Lt. Tyers). Formerly the slave of Charles Elliot, Charlestown, South Carolina; left him about 4 years ago. GBCP</t>
  </si>
  <si>
    <t>Friends bound for Halifax John Wilson, Master</t>
  </si>
  <si>
    <t>John Wilson</t>
  </si>
  <si>
    <t>Lt. Tyers</t>
  </si>
  <si>
    <t>Thomas London, 36, stout fellow, cooper, (Lt. Tyers). Formerly the property of John Wilson, Charlestown, South Carolina; left him 4 years ago. GBCP</t>
  </si>
  <si>
    <t>Lucretia, 29, stout wench, (Lt. Tyers). Formerly the property of Parson_. John's Island, South Carolina, who at his death left her free. GBC.</t>
  </si>
  <si>
    <t>Marianna</t>
  </si>
  <si>
    <t>Amoretta, 50, stout wench. Charles Morris of Halifax, claimant. (Charles Morris). Property of Charles Morris as per Bill of Sale from Elijah Ladson, Charlestown, South Carolina.</t>
  </si>
  <si>
    <t>Amoretta</t>
  </si>
  <si>
    <t>Charles Morris</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</si>
  <si>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</si>
  <si>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</si>
  <si>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Ship Friends</t>
  </si>
  <si>
    <t>Tyne</t>
  </si>
  <si>
    <t>the Widow Callighan</t>
  </si>
  <si>
    <t>Frank Gibb, 9, fine boy. Robert Gibb of New York, claimant. (Robert Gibbs). Property of Robert Gibbs, born in his house in New York.</t>
  </si>
  <si>
    <t>Gibb</t>
  </si>
  <si>
    <t>Robert Gibbs</t>
  </si>
  <si>
    <t>Betsy Willoughby, 21, stout wench, 2 small children, (Royal Artillery). Formerly slave to Nathaniel Nightingale, Blue mountains, Virginia; left him 6 years ago. GBCP.</t>
  </si>
  <si>
    <t>Willoughby</t>
  </si>
  <si>
    <t>Royal Artillery</t>
  </si>
  <si>
    <t>Blue mountains</t>
  </si>
  <si>
    <t>Mary, 55, stout wench, (Lt. Fyer, Engineers). Formerly the slave of William Butler, Indian Land, South Carolina, who when she was young at his death left her free.</t>
  </si>
  <si>
    <t>Lt. Fyer, Engineers</t>
  </si>
  <si>
    <t>Friendship</t>
  </si>
  <si>
    <t>Lilly, 12, stout fellow, (James Frazer). property of James Frazer.</t>
  </si>
  <si>
    <t>Ship Friendship bound for Port Roseway Charles Coldstream</t>
  </si>
  <si>
    <t>Lilly</t>
  </si>
  <si>
    <t>Charles Coldstream</t>
  </si>
  <si>
    <t>James Frazer</t>
  </si>
  <si>
    <t>Bet, 10, stout girl, (John de Young). Property of John de Young.</t>
  </si>
  <si>
    <t>John de Young</t>
  </si>
  <si>
    <t>Captain, 15, stout lad, M, (John Graff). Property of John Graff.</t>
  </si>
  <si>
    <t>Captain</t>
  </si>
  <si>
    <t>John Graff</t>
  </si>
  <si>
    <t>Bob, 19, stout fellow, (James Frazer). Property of James Frazer.</t>
  </si>
  <si>
    <t>Frigate Cyclops</t>
  </si>
  <si>
    <t>Abram Myers, 20, stout lad. Mr. Burke, purser of Cyclops. Formerly the property of Mr. Thomas Blackwell, Black river, Virginia; left him 6 years ago.</t>
  </si>
  <si>
    <t>Frigate Cyclops bound for Port Roseway Capt. Christian</t>
  </si>
  <si>
    <t>Capt. Christian</t>
  </si>
  <si>
    <t>Black river</t>
  </si>
  <si>
    <t>Frigate London</t>
  </si>
  <si>
    <t>Jeffrey, 10, likely boy, (Hugh Watts). Says that he lived with Daniel Smith at Secaucus in New Jersey; that his father brought him to New York; that his mother was born free; that both of them are gone to Nova Scotia.</t>
  </si>
  <si>
    <t>Frigate London bound for Bremer Lee Hugh Watts</t>
  </si>
  <si>
    <t>Jeffrey</t>
  </si>
  <si>
    <t>Hugh Watts</t>
  </si>
  <si>
    <t>Secaucus</t>
  </si>
  <si>
    <t>Generous Friends</t>
  </si>
  <si>
    <t>Robert Lee, 28, stout fellow, B, (Andrew Cornwall). Formerly slave to Thomas Edwards, 15 miles from little York, Virginia; left him about 18 months past. GBC.</t>
  </si>
  <si>
    <t>Generous Friends bound for St. John's Thomas Huntley, Master</t>
  </si>
  <si>
    <t>Lee</t>
  </si>
  <si>
    <t>34</t>
  </si>
  <si>
    <t>Thomas Huntley</t>
  </si>
  <si>
    <t>Andrew Cornwall</t>
  </si>
  <si>
    <t>David Bricker, 18, stout fellow, B, (Robert Tungate). Formerly slave to Robert White of Accomack, Virginia; left him about 4 years past.</t>
  </si>
  <si>
    <t>Bricker</t>
  </si>
  <si>
    <t>Robert Tungate</t>
  </si>
  <si>
    <t>John Patterson, 15, fine boy, M, (Charles Looseley). Says he was born free, is now indented to Mr. Looseley.</t>
  </si>
  <si>
    <t>Patterson</t>
  </si>
  <si>
    <t>Charles Looseley</t>
  </si>
  <si>
    <t>Jack Loosely, 28, stout fellow, B, (Charles Looseley). Appears to be the property of Mr. Loosely.</t>
  </si>
  <si>
    <t>Loosely</t>
  </si>
  <si>
    <t>Andrew Creamer, 60, old &amp; worn out, B, (Bethaser Creamer). Property of Bethaser Creamer, now a passenger on board the Ship.</t>
  </si>
  <si>
    <t>Creamer</t>
  </si>
  <si>
    <t>Bethaser Creamer</t>
  </si>
  <si>
    <t>Isabella, 5, M, (Charles Looseley). Formerly slave to Resolved Waldron of Brooklyn; left him about 5 years past. GBC.</t>
  </si>
  <si>
    <t>Isabella, 26, stout wench, M, (Charles Looseley). Formerly slave to Resolved Waldron of Brooklyn; left him about 5 years past. GBC.</t>
  </si>
  <si>
    <t>James Ruffin, 25, stout fellow, B, (Lieut. Smith). Says he was born free in Virginia.</t>
  </si>
  <si>
    <t>Ruffin</t>
  </si>
  <si>
    <t>Lieut. Smith</t>
  </si>
  <si>
    <t>Sarah Creamer, 4, (Bethaser Creamer). Property of Bethaser Creamer, now a passenger on board the Ship.</t>
  </si>
  <si>
    <t>Ben Creamer, 28, ordinary fellow, B, (Bethaser Creamer). Property of Bethaser Creamer, now a passenger on board the Ship.</t>
  </si>
  <si>
    <t>Gig</t>
  </si>
  <si>
    <t>Will</t>
  </si>
  <si>
    <t>O'Neale</t>
  </si>
  <si>
    <t>John Ewart</t>
  </si>
  <si>
    <t>Weeks</t>
  </si>
  <si>
    <t>Peter Matthews, 27, ordinary fellow, (Stephen Delancey). Free as appears by a discharge from Major Stephenson dated in London in 1780.</t>
  </si>
  <si>
    <t>Grace bound for Quebec William Oxley</t>
  </si>
  <si>
    <t>Matthews</t>
  </si>
  <si>
    <t>Stephen Delancey</t>
  </si>
  <si>
    <t>John Piggot, their son, 18, stout fellow, B, (John Stewart). Says he was born free at Massanacchus nigh Hackensack, Jersey; left it 9 years ago.</t>
  </si>
  <si>
    <t>Ship Grace bound for Port Roseway William Oxley, Master</t>
  </si>
  <si>
    <t>Piggot</t>
  </si>
  <si>
    <t>William Oxley</t>
  </si>
  <si>
    <t>Casar Piggot, their son, 99, fine boy, (John Stewart). Says he was born free.</t>
  </si>
  <si>
    <t>Lydia Tomkins, 34, likely wench, M, (Daniel Fowler). Formerly slave to Elnathan Hunt, Philipse Manor, New York province; left by her master in 1776. GBC.</t>
  </si>
  <si>
    <t>Grace bound for St. John's River Williiam Oaxley, Master</t>
  </si>
  <si>
    <t>Williiam Oaxley</t>
  </si>
  <si>
    <t>Daniel Fowler</t>
  </si>
  <si>
    <t>Samuel Albert, 20, stout lad, M, (Samuel Mann). Formerly slave to Samuel Tin at Hackensack, New Jersey; says he was made free by the death of his master 7 years ago.</t>
  </si>
  <si>
    <t>Albert</t>
  </si>
  <si>
    <t>Formerly slave to Samuel Tin at Hackensack</t>
  </si>
  <si>
    <t>Samuel Mann</t>
  </si>
  <si>
    <t>Jenny Miller, 38, ordinary wench. M, (Alexander Hare). Hares own property.</t>
  </si>
  <si>
    <t>Alexander Hare</t>
  </si>
  <si>
    <t>Isaac James, stout fellow, B, blind left eye, (Hugh Eagle). Formerly slave to George Wilson of Boston, taken about 3 years old when his master was killed.</t>
  </si>
  <si>
    <t>Hugh Eagle</t>
  </si>
  <si>
    <t>Hannah Harris, 30, ordinary wench, mustee, goes on her own bottom. Freeborn.</t>
  </si>
  <si>
    <t>Polly Harris, 4 months.</t>
  </si>
  <si>
    <t>Betsey Graham, 13, likely girl, B, (John Graham). Graham's property.</t>
  </si>
  <si>
    <t>Graham</t>
  </si>
  <si>
    <t>John Graham</t>
  </si>
  <si>
    <t>Margaret Matthews, 26, stout wench, B, (Stephen Delancey). Formerly slave to John Smith of Connecticut &amp; late of New York government who left her at New York after New York was taken.</t>
  </si>
  <si>
    <t>Betsey, 16, ordinary wench, (Stephen Delancey). Slave to Guy Johnson.</t>
  </si>
  <si>
    <t>York, 11, ordinary boy, (John Huyck). Proved to be John Huych's property.</t>
  </si>
  <si>
    <t>John Huyck</t>
  </si>
  <si>
    <t>Cuff Van Alstine, 16, stout lad, (Major Van Alstine). Major Van Alstine's own property.</t>
  </si>
  <si>
    <t>Cuff</t>
  </si>
  <si>
    <t>Van Alstine</t>
  </si>
  <si>
    <t>Major Van Alstine</t>
  </si>
  <si>
    <t>Ben Johnson, 11, fine boy, (John Johnston). Mr. Johnston's own property.</t>
  </si>
  <si>
    <t>John Johnston</t>
  </si>
  <si>
    <t>Simon Helenbeck, 19, likely lad, (Casper Hellenbeck, Esq.). Mr. Hellenbeck's property.</t>
  </si>
  <si>
    <t>Helenbeck</t>
  </si>
  <si>
    <t>Casper Hellenbeck, Esq.</t>
  </si>
  <si>
    <t>Cato Huggenel, 44, ordinary fellow, (Daniel Huggenell). Formerly slave to William Carson of South Carolina; left him after the Siege of Charlestown. GBC.</t>
  </si>
  <si>
    <t>Huggenel</t>
  </si>
  <si>
    <t>Daniel Huggenell</t>
  </si>
  <si>
    <t>Pusie, 30, ordinary wench, (Peter Van Alstyne). Appears to be Peter Van Alstynes's property.</t>
  </si>
  <si>
    <t>Pusie</t>
  </si>
  <si>
    <t>Peter Van Alstyne</t>
  </si>
  <si>
    <t>Child, 1½, (Peter Van Alstyne). Appears to be Peter Van Alstyne's property.</t>
  </si>
  <si>
    <t>Child</t>
  </si>
  <si>
    <t>Sarah Piggot, 36, stout wench, B, (John Stewart). Says he was born free at Massanacchus nigh Hackensack, Jersey; left it 9 years ago.</t>
  </si>
  <si>
    <t>Peter Martin, 12, fine boy, M, (Robert Martin). Formerly slave to P. Fielf, Chesterfield, Virginia; left him 3 years past. Indented to said Martin as appears by an indenture produced till 18 years of age.</t>
  </si>
  <si>
    <t>Martin</t>
  </si>
  <si>
    <t>Robert Martin</t>
  </si>
  <si>
    <t>Chesterfield</t>
  </si>
  <si>
    <t>Wallace, 21, short &amp; stout, ½ M, (Hemus White). Formerly slave to William Smith, Savannah; left him about 7 years past, certified to be free by Col. Bocebeck.</t>
  </si>
  <si>
    <t>Hemus White</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</si>
  <si>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</si>
  <si>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</si>
  <si>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</si>
  <si>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</si>
  <si>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John Martine, 22, ordinary fellow, (Capt. McDonald). Formerly slave to Mr. Delanse of Charlestown; left him immediately after that town was taken in the year 1780.</t>
  </si>
  <si>
    <t>Martine</t>
  </si>
  <si>
    <t>Capt. McDonald</t>
  </si>
  <si>
    <t>Anthony Piggot, 47, stout man, (John Stewart). Says he was born free at Massanacchus nigh Hackensack, Jersey; left it 9 years ago.</t>
  </si>
  <si>
    <t>Sam Tomkins, 2, M, (Daniel Fowler).</t>
  </si>
  <si>
    <t>John Piggot their</t>
  </si>
  <si>
    <t>Reuben Upkins, 24, squat fellow, B, (Thomas Walsh). Formerly slave to Isaac Furbs, Nansemum, Virginia; left him 4 years past &amp; joined the Troops in the Chesapeake. GBC.</t>
  </si>
  <si>
    <t>Upkins</t>
  </si>
  <si>
    <t>Nansemum</t>
  </si>
  <si>
    <t>Thomas Walsh</t>
  </si>
  <si>
    <t>Ceasar Piggot their</t>
  </si>
  <si>
    <t>Grand Duchess of Russia</t>
  </si>
  <si>
    <t>Tyng</t>
  </si>
  <si>
    <t>Stephen Holman</t>
  </si>
  <si>
    <t>Charleston, South Carolina</t>
  </si>
  <si>
    <t>Dec 1782</t>
  </si>
  <si>
    <t>Juliet</t>
  </si>
  <si>
    <t>Lewes</t>
  </si>
  <si>
    <t>Dowglass</t>
  </si>
  <si>
    <t>Banter</t>
  </si>
  <si>
    <t>Lieut.</t>
  </si>
  <si>
    <t>Ishmael</t>
  </si>
  <si>
    <t>Colley</t>
  </si>
  <si>
    <t>Ceasor</t>
  </si>
  <si>
    <t>Succy</t>
  </si>
  <si>
    <t>Sikes</t>
  </si>
  <si>
    <t>Stephen Hollman</t>
  </si>
  <si>
    <t>Talbot</t>
  </si>
  <si>
    <t>Grand Dutchess of Russia</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</si>
  <si>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</si>
  <si>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Grand Dutchess of Russia bound for Annapolis Royal Holman, Master</t>
  </si>
  <si>
    <t>Holman</t>
  </si>
  <si>
    <t>Nell</t>
  </si>
  <si>
    <t>Will, 23, stout fellow. (Mr. D. Seabury). Formerly the property of David Seaburry.</t>
  </si>
  <si>
    <t>57</t>
  </si>
  <si>
    <t>Mr. D. Seabury</t>
  </si>
  <si>
    <t>Rosanna, 27, stout wench. (Reverend Mr. Sayre). Formerly the property of Reverend Mr. Sayre.</t>
  </si>
  <si>
    <t>Rosanna</t>
  </si>
  <si>
    <t>Reverend Mr. Sayre</t>
  </si>
  <si>
    <t>Nell, 18, stout wench with a mulatto child 7 months old. (Major Bayard). Formerly the property of Mr. William Bayard of New York, father to Major Bayard.</t>
  </si>
  <si>
    <t>Major Bayard</t>
  </si>
  <si>
    <t>Cyrus, 50, stout man. (Major Bayard). Formerly the property of Mr. William Bayard of New York, father to Major Bayard.</t>
  </si>
  <si>
    <t>Jack, 21, stout lad. (Mr. Nat Chandler). Formerly the property of Albert Bonta, Hackensack, New Jersey; left him in 1776. GBC.</t>
  </si>
  <si>
    <t>Mr. Nat Chandler</t>
  </si>
  <si>
    <t>Michael Cox, 26, stout. (Mr. Nat Hubbard). Formerly the property of John Lloyd, Stamford, Connecticut; left him 5 years ago.</t>
  </si>
  <si>
    <t>Mr. Nat Hubbard</t>
  </si>
  <si>
    <t>Plato, 20, stout fellow, (John Marshall). Property of John Marshall.</t>
  </si>
  <si>
    <t>Grand Dutchess of Russia bound for Port Roseway Stephen Holman</t>
  </si>
  <si>
    <t>John Marshall</t>
  </si>
  <si>
    <t>Andrew Bush, 25, stout. (Mr. Nat Hubbard). Formerly the property of William Bush, Horseneck, Connecticut; left him 5 years ago.</t>
  </si>
  <si>
    <t>Phillis, 46, stout wench. (Reverend Mr. Sayre). Formerly the property of the Reverend Mr. Sayre.</t>
  </si>
  <si>
    <t>Richard Sloane, 40, stout fellow, (John Marshall). Born free at Rocky Hill in Jersey; left that three years ago.</t>
  </si>
  <si>
    <t>Sloane</t>
  </si>
  <si>
    <t>Lucey Lykes, 24, squat wench, (George Leonard, Esq.). Formerly slave to John Woodward, New Jersey, taken from thence about six years ago by Capt. Robinson, commanding a galley. GBC.</t>
  </si>
  <si>
    <t>Grand Dutchess of Russia bound for St. John's Stephen Holman, Master</t>
  </si>
  <si>
    <t>Lucey</t>
  </si>
  <si>
    <t>Lykes</t>
  </si>
  <si>
    <t>Formerly slave to John Woodward</t>
  </si>
  <si>
    <t>George Leonard, Esq.</t>
  </si>
  <si>
    <t>Lieut. Berry, 42, stout black, (George Leonard, Esq.). Formerly slave to James Berry, Frederick town, Virginia; left him about six years ago. GBC</t>
  </si>
  <si>
    <t>Frederick town</t>
  </si>
  <si>
    <t>Frederick</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</si>
  <si>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</si>
  <si>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</si>
  <si>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Caesor</t>
  </si>
  <si>
    <t>George Kent, 30, tall stout fellow, (George Leonard, Esq.). Formerly slave to Mr. Lockart, Antigua. GBC.</t>
  </si>
  <si>
    <t>Antigua</t>
  </si>
  <si>
    <t>Joseph Talbot, 28, stout fellow, (James Sutter). Formerly slave to Job McPherson, Charlestown; left him about 7 years ago, came to New York with General Patterson. GBC.</t>
  </si>
  <si>
    <t>James Sutter</t>
  </si>
  <si>
    <t>Nancy Talbot, 21, health seemingly sound, (James Sutter). Formerly slave to Daniel Strooger of Charlestown; left him about four years ago, came to New York with General Patterson. GBC.</t>
  </si>
  <si>
    <t>Moses Simson, 20 stout black, (George Leonard, Esq.) Formerly slave to William Sheppard, Virginia; left him about five years ago and came to New York with the troops. GBC.</t>
  </si>
  <si>
    <t>) Formerly slave to William Sheppard</t>
  </si>
  <si>
    <t>Lilly, 30, stout wench, (Isaac Reed). Property of William Wilbank, King's pilot.</t>
  </si>
  <si>
    <t>Isaac Reed</t>
  </si>
  <si>
    <t>Bill, 25, stout ugly fellow, (William Douglas). Property of William Douglas.</t>
  </si>
  <si>
    <t>William Douglas</t>
  </si>
  <si>
    <t>Basan Vaughan, 25, (Isaac Read). Formerly slave to William Vaughan of South Carolina.</t>
  </si>
  <si>
    <t>Basan</t>
  </si>
  <si>
    <t>Isaac Read</t>
  </si>
  <si>
    <t>Dinah Archer, 42, stout wench, one eyed, (Mrs. Savage). Formerly slave to John Bayne, Norfolk County, Virginia; left him 5 years ago.</t>
  </si>
  <si>
    <t>Archer</t>
  </si>
  <si>
    <t>Mrs. Savage</t>
  </si>
  <si>
    <t>John Warren, 45, stout fellow, (Isaac Read). Formerly slave to Mr. Warren of Antigua who gave him his freedom.</t>
  </si>
  <si>
    <t>Sally, 40, stout wench, (Elliot). Property of Elliot.</t>
  </si>
  <si>
    <t>Molly, 45, stout wench, (John Marshall). Free as certified from the Reverend Dr. Sayre.</t>
  </si>
  <si>
    <t>Leah, 4, fine child, (Isaac Reed). Property of William Wilbank, King's pilot.</t>
  </si>
  <si>
    <t>Leah</t>
  </si>
  <si>
    <t>Thomas Banter, 24, stout black, (Colonel Tyng). Formerly slave to Albert Banter, Paramus, New Jersey; left him about six years ago. GBC</t>
  </si>
  <si>
    <t>Colonel Tyng</t>
  </si>
  <si>
    <t>Rachel, 39, stout wench with 3 children 10, 6, &amp; 2 years old. (Mr. Nat Hubbard). Formerly the property of Nathaniel Hubbard as per Bill of Sale produced from Nathaniel Williams, Huntingdon, Long Island.</t>
  </si>
  <si>
    <t>Huntingdon</t>
  </si>
  <si>
    <t>John Banter, 2, mulatto boy, (Colonel Tyng). Free man.</t>
  </si>
  <si>
    <t>Bill Tyng, 16, stout black, (Colonel Tyng). Slave received from Capt. Tyng in Jamaica.</t>
  </si>
  <si>
    <t>Abraham Hammond, 40, stout M. (Mr. Nat Hubbard). Formerly the property of John Lloyd, Stamford, Connecticut. GBC.</t>
  </si>
  <si>
    <t>Hammond</t>
  </si>
  <si>
    <t>Dinah Tyng, 20, low wench, (Colonel Tyng). Slave bred in his service.</t>
  </si>
  <si>
    <t>John Tyng, 19, stout black, (Colonel Tyng). Slave bred in his service.</t>
  </si>
  <si>
    <t>Lewis Carter, 20, mustee, (Colonel Tyng). Formerly servant to Archibald Gilbert, Virginia; left his service about 4 years ago and came with the troops of New York.</t>
  </si>
  <si>
    <t>Formerly servant to Archibald Gilbert</t>
  </si>
  <si>
    <t>Effie Douglas, 24, mulatto, (Colonel Tyng). Free woman.</t>
  </si>
  <si>
    <t>Douglas</t>
  </si>
  <si>
    <t>Juliet Tyng, 5, mulatto, (Colonel Tyng). Slave bred in his service.</t>
  </si>
  <si>
    <t>Greg</t>
  </si>
  <si>
    <t>Francis, 23, stout B fellow, (James Robinson). Formerly slave to Lucy Turpin, Hawiskak, James River, Virginia. GBC</t>
  </si>
  <si>
    <t>Sloop Greg bound for Port Roseway John Ernast</t>
  </si>
  <si>
    <t>John Ernast</t>
  </si>
  <si>
    <t>Hawiskak</t>
  </si>
  <si>
    <t>Joe Williams, 40, stout B fellow, (James Robinson). Formerly slave to Thomas Smith of Jamaica Island who died at Charlestown 10 years ago. GBC.</t>
  </si>
  <si>
    <t>Jamaica Island</t>
  </si>
  <si>
    <t>John Smith, 29, stout B fellow, (Ben Wood). Free he says, lived with Thomas Fergusson, Charlestown; left it 3 years ago. GBC</t>
  </si>
  <si>
    <t>Ben Wood</t>
  </si>
  <si>
    <t>George Weeks, 25, stout B fellow, (Ben Wood). Formerly slave to George with, Elizabeth City, Virginia; left it 4 years ago. GBC</t>
  </si>
  <si>
    <t>Elizabeth City</t>
  </si>
  <si>
    <t>Will O'Neale, 25, stout fellow, mulatto, (James Robinson). Free</t>
  </si>
  <si>
    <t>Hero</t>
  </si>
  <si>
    <t>Peter, 21, stout fellow, (Major S. DeBose). Formerly the property of John Giles of Suffolk County, Virginia; left him 3 years ago.</t>
  </si>
  <si>
    <t>Hero bound for Spithead &amp; Germany G. Burnet</t>
  </si>
  <si>
    <t>Major S. DeBose</t>
  </si>
  <si>
    <t>Hesperus</t>
  </si>
  <si>
    <t>Jim, 14, stout boy. Sam Clarke of the Hesperus, claimant. (Samuel Clarke). Property of Samuel Clarke as per Bill of Sale produced.</t>
  </si>
  <si>
    <t>Hesperus bound for River St. John's Samuel Clark</t>
  </si>
  <si>
    <t>Samuel Clark</t>
  </si>
  <si>
    <t>Samuel Clarke</t>
  </si>
  <si>
    <t>Sally, 23, stout wench, (Samuel Clarke). Formerly the property of Captain Philips who brought her from Guinea to Savannah where he died &amp; left her free.</t>
  </si>
  <si>
    <t>Guinea</t>
  </si>
  <si>
    <t>Tom, 23, stout man, (Samuel Clarke). Formerly the property of Cary Kelly of New York who died about 2 years ago; he says he gave him his freedom.</t>
  </si>
  <si>
    <t>Hind</t>
  </si>
  <si>
    <t>Peter, 27, stout fellow, residence of claimant, Germany. (Kineschmidt) The negro lived with Stephen Townsend of Charlestown, South Carolina that near 2 years ago married Mr. Townsend's daughter when his master gave him to her.</t>
  </si>
  <si>
    <t>Hind bound for Spithead &amp; Germany Lt. Brison</t>
  </si>
  <si>
    <t>Lt. Brison</t>
  </si>
  <si>
    <t>(Kineschmidt) The negro lived with Stephen Townsend of Charlestown</t>
  </si>
  <si>
    <t>Spithead &amp; Germany</t>
  </si>
  <si>
    <t>Kineschmidt</t>
  </si>
  <si>
    <t>Germany</t>
  </si>
  <si>
    <t>David, 10, likely boy, residence of claimant, Germany (M. Gen. Kosporth). The boy goes with the General who got him at Philadelphia; the boy can give no account with whom he formerly lived.</t>
  </si>
  <si>
    <t>M. Gen. Kosporth</t>
  </si>
  <si>
    <t>Cato Cannon, 40, short stout fellow, (Samuel Ketcham). Formerly slave to John Cannon, Norwalk, New England; left him about 6 years ago.</t>
  </si>
  <si>
    <t>Ship Hope bound for St. John's River Robert Peacock, Master</t>
  </si>
  <si>
    <t>Cannon</t>
  </si>
  <si>
    <t>Robert Peacock</t>
  </si>
  <si>
    <t>Samuel Ketcham</t>
  </si>
  <si>
    <t>Norwalk</t>
  </si>
  <si>
    <t>New England</t>
  </si>
  <si>
    <t>Phillis Ketchin, 44, old &amp; worn wench. John Ketchin of St. John's River, claimant. Clearly his property.</t>
  </si>
  <si>
    <t>Ketchin</t>
  </si>
  <si>
    <t>Frank Fairweather, 10, fine boy. Thomas Fairweather of St. John's River, claimant. Clearly his property.</t>
  </si>
  <si>
    <t>Fairweather</t>
  </si>
  <si>
    <t>Jack Hide, 50, almost past his labour, (John Kitchin). Formerly slave to Joseph Hyde, Fairfield, New England; left him 6 years past. GBC.</t>
  </si>
  <si>
    <t>Hide</t>
  </si>
  <si>
    <t>John Kitchin</t>
  </si>
  <si>
    <t>Mathew Bryan</t>
  </si>
  <si>
    <t>Annapollis</t>
  </si>
  <si>
    <t>Dinah, ½, infant, (Capt. Polhemus). Property of Capt. Polhemus.</t>
  </si>
  <si>
    <t>Ship Hope bound for Annapolis Mat O'Brien</t>
  </si>
  <si>
    <t>Annapolis Mat O'Brien</t>
  </si>
  <si>
    <t>Capt. Polhemus</t>
  </si>
  <si>
    <t>Tim, ½, infant, (Capt. Hicks). Property of Capt. Hicks.</t>
  </si>
  <si>
    <t>Tim</t>
  </si>
  <si>
    <t>Capt. Hicks</t>
  </si>
  <si>
    <t>Dick, 38, stout fellow, (Capt. Peacocke). Formerly slave to John Jones, Savannah; left him 5 years past, indented for 7 years with said Captain.</t>
  </si>
  <si>
    <t>Capt. Peacocke</t>
  </si>
  <si>
    <t>William, 20, stout fellow, (Capt. Hicks). Property of Capt. Hicks.</t>
  </si>
  <si>
    <t>69</t>
  </si>
  <si>
    <t>Rachel, 50, ordinary wench, (Thomas Rapelje). Free born.</t>
  </si>
  <si>
    <t>Thomas Rapelje</t>
  </si>
  <si>
    <t>Lucia, 37, stout wench, (William Dempsey). Says she was born free &amp; that she left Charlestown in the year 1781.</t>
  </si>
  <si>
    <t>Hope bound for Quebec R. Peacock</t>
  </si>
  <si>
    <t>Lucia</t>
  </si>
  <si>
    <t>William Dempsey</t>
  </si>
  <si>
    <t>Jack, 10, ordinary boy, (Capt. Hicks). Property of Capt. Hicks.</t>
  </si>
  <si>
    <t>Elizabeth, 26, stout wench, (Capt. Hicks). Property of Capt. Hicks.</t>
  </si>
  <si>
    <t>Mary, 20. Likely wench, B, (Capt. Polhemus). Property of Capt. Polhemus.</t>
  </si>
  <si>
    <t>Susannah, 11, likely child, (Thomas Rapelje). Free born.</t>
  </si>
  <si>
    <t>Sam Van Wart, 44, ordinary fellow, (Thomas Rapelje). Formerly slave to Jacob Van Wart, Phillipsburgh, West Chester County, New York Province.</t>
  </si>
  <si>
    <t>West Chester County</t>
  </si>
  <si>
    <t>Molly, 16, likely wench, M, (Daniel Hammond). Formerly slave to Dr. Taylor, Virginia; left him 4 years ago.</t>
  </si>
  <si>
    <t>Daniel Hammond</t>
  </si>
  <si>
    <t>John, 26, ordinary fellow, (Joseph Montgomery). Property of Joseph Montgomery.</t>
  </si>
  <si>
    <t>Joseph Montgomery</t>
  </si>
  <si>
    <t>Sarah Allman, 20, likely wench, (Phil Adams). Formerly slave to Phil Allman, Savannah; left him at the siege of that place. GBC.</t>
  </si>
  <si>
    <t>Allman</t>
  </si>
  <si>
    <t>Phil Adams</t>
  </si>
  <si>
    <t>Casar, 50, ordinary fellow, (Lt. Knipsgheld). Formerly slave to Casparus Maybee, Orangetown; left him 7 years ago. GMC.</t>
  </si>
  <si>
    <t>Lt. Knipsgheld</t>
  </si>
  <si>
    <t>Lizzy Martin, 50, worn out, (Thomas Baldwin). Formerly slave to Benjamin Fowler, Horseshoe, South Carolina; left him early in 1780. GBC.</t>
  </si>
  <si>
    <t>Thomas Baldwin</t>
  </si>
  <si>
    <t>Dick, 11, likely boy, (John Moore). Property of John Moore.</t>
  </si>
  <si>
    <t>Phillis, 6, likely child, (Capt. Hicks). Property of Capt. Hicks.</t>
  </si>
  <si>
    <t>William Martin, 13, likely boy, (Thomas Baldwin). Formerly slave to Benjamin Fowler, South Carolina; left him early in 1780. GBC.</t>
  </si>
  <si>
    <t>Cudjoe Thomas, 40, ordinary fellow, (Daniel Hammond). Formerly slave to William Thomas, South Carolina; left him in 1779 at the Siege of Savannah. GBC.</t>
  </si>
  <si>
    <t>Cudjoe</t>
  </si>
  <si>
    <t>Quaco, 22, stout fellow, (Thomas Bannister). Property of Thomas Bannister.</t>
  </si>
  <si>
    <t>Quaco</t>
  </si>
  <si>
    <t>Thomas Bannister</t>
  </si>
  <si>
    <t>James, 13, likely boy, M, (James Ettridge of St. John's, claimant.) (James Etteridge). Property of James Ettridge per Bill of Sale produced.</t>
  </si>
  <si>
    <t>Brig Hopewell bound for St. John's River William Proutt</t>
  </si>
  <si>
    <t>35</t>
  </si>
  <si>
    <t>William Proutt</t>
  </si>
  <si>
    <t>James Ettridge of St. John's, claimant.</t>
  </si>
  <si>
    <t>Tom, 12, likely boy. Robert Letson of St. John's, claimant. (Robert Letson). Property of Robert Letson per Bill of Sale produced.</t>
  </si>
  <si>
    <t>Robert Letson</t>
  </si>
  <si>
    <t>Silvia, 16, likely girl, M. James Ettridge of St. John's, claimant. (James Etteridge). Property of James Ettridge per Bill of Sale produced.</t>
  </si>
  <si>
    <t>James Etteridge</t>
  </si>
  <si>
    <t>Nelly Cooper, 11, likely girl, (Joseph Barret). Formerly the property of Mr. Cooper of Virginia; left it with her parents 2 ½ years ago.</t>
  </si>
  <si>
    <t>Joseph Barret</t>
  </si>
  <si>
    <t>George Travelle, 23, stout fellow, (Caleb Morgan). Born free; formerly lived at Huntington, Long Island.</t>
  </si>
  <si>
    <t>Brig Hopewell bound for Port Roseway George Garbut</t>
  </si>
  <si>
    <t>Travelle</t>
  </si>
  <si>
    <t>George Garbut</t>
  </si>
  <si>
    <t>Caleb Morgan</t>
  </si>
  <si>
    <t>Huntington</t>
  </si>
  <si>
    <t>Edward Wan, 30, stout fellow, (Cook of the Hopewell). Formerly slave to Peter Delancey who gave him his freedom 12 years ago.</t>
  </si>
  <si>
    <t>Wan</t>
  </si>
  <si>
    <t>Cook of the Hopewell</t>
  </si>
  <si>
    <t>Daniel. 9 months, child of the above wench (Katy Profit), (James Dole).</t>
  </si>
  <si>
    <t>9 months</t>
  </si>
  <si>
    <t>Katy Profit</t>
  </si>
  <si>
    <t>Joe, 8, child of the above wench, (James Dole).</t>
  </si>
  <si>
    <t>James Dole</t>
  </si>
  <si>
    <t>Katy Profit, 32, stout wench, (James Dole). Formerly slave to Richard Van Dam of Stotterdam.</t>
  </si>
  <si>
    <t>Profit</t>
  </si>
  <si>
    <t>Becca Teggen, 14, stout make, (John King). His slave as appears by a Bill of Sale produced.</t>
  </si>
  <si>
    <t>Ship Jane bound for Port Roseway Frederick Laingeh</t>
  </si>
  <si>
    <t>Becca</t>
  </si>
  <si>
    <t>Teggen</t>
  </si>
  <si>
    <t>Frederick Laingeh</t>
  </si>
  <si>
    <t>John King</t>
  </si>
  <si>
    <t>Tom Davis, 25, stout make, (John King). Says he served with Phil Tygner, Cumberland County, Virginia. Says h is no slave; left his master 5 years past.</t>
  </si>
  <si>
    <t>Jason</t>
  </si>
  <si>
    <t>Joe Miller, 12, likely boy, (Moses Miller). Property of Moses Miller.</t>
  </si>
  <si>
    <t>Jason bound for St. John's Thomas Appleby</t>
  </si>
  <si>
    <t>68</t>
  </si>
  <si>
    <t>Thomas Appleby</t>
  </si>
  <si>
    <t>Moses Miller</t>
  </si>
  <si>
    <t>Tom, 22, stout fellow, (Joseph Allen). Property of Joseph Allen.</t>
  </si>
  <si>
    <t>Joseph Allen</t>
  </si>
  <si>
    <t>Tamar, 13, ordinary wench, (Gilbert Pugsley). Property of Gilbert Pugsley.</t>
  </si>
  <si>
    <t>Gilbert Pugsley</t>
  </si>
  <si>
    <t>Jenney</t>
  </si>
  <si>
    <t>Phill</t>
  </si>
  <si>
    <t>Bartley</t>
  </si>
  <si>
    <t>Ammerson</t>
  </si>
  <si>
    <t>Bina, 17, likely wench, (John Nash). Proved to be the property of John Nash by Bill of Sale.</t>
  </si>
  <si>
    <t>Brig Jenney bound for Port Mattoon Ammerson</t>
  </si>
  <si>
    <t>Bina</t>
  </si>
  <si>
    <t>78</t>
  </si>
  <si>
    <t>John Nash</t>
  </si>
  <si>
    <t>Bina, 17, likey wench, (John Nash). Proved to be the property of John Nash by Bill of Sale.</t>
  </si>
  <si>
    <t>Pompey, 4 months, (John Nash) Proved to be the property of John Nash by Bill of Sale.</t>
  </si>
  <si>
    <t>November 19, 1783</t>
  </si>
  <si>
    <t>November</t>
  </si>
  <si>
    <t>19</t>
  </si>
  <si>
    <t>Phil Birtley, 50, ordinary &amp; worn out, (John Nash). Formerly slave to John Birtley, Mill town, South Carolina; left him early in 1780. GMC.</t>
  </si>
  <si>
    <t>Phil</t>
  </si>
  <si>
    <t>Birtley</t>
  </si>
  <si>
    <t>Mill</t>
  </si>
  <si>
    <t>Charles Middleton, 57, ordinary &amp; worn out, (John Nash). Formerly slave to Arthur Middleton, Ashley River, South Carolina; left him in 1779. GMC.</t>
  </si>
  <si>
    <t>Abraham, 10, fine boy, (John Nash). Proved to be the property of John Nash by Bill of Sale.</t>
  </si>
  <si>
    <t>John &amp; Jane</t>
  </si>
  <si>
    <t>Ephraim</t>
  </si>
  <si>
    <t>Captain Hammond</t>
  </si>
  <si>
    <t>Betty, 26, likely wench. Edward Beattie of River St. John's, claimant. (Edward Bettie). His property having produced a regular Bill of Sale.</t>
  </si>
  <si>
    <t>Brig Joseph bound for St. John's River Martin Stokes</t>
  </si>
  <si>
    <t>Martin Stokes</t>
  </si>
  <si>
    <t>Edward Bettie</t>
  </si>
  <si>
    <t>Peggy Fenwick, 19, fine wench, (Col. Stewart). Formerly slave to Edward Fenwick, Charlestown, South Carolina; left him in 1780. GBC.</t>
  </si>
  <si>
    <t>Joseph bound for Annapolis Royal James Mitchell</t>
  </si>
  <si>
    <t>Fenwick</t>
  </si>
  <si>
    <t>77</t>
  </si>
  <si>
    <t>James Mitchell</t>
  </si>
  <si>
    <t>Col. Stewart</t>
  </si>
  <si>
    <t>Isaac, 28, ordinary fellow, (Capt. Alex McKay). Formerly slave to Mr. Devon, Savannah; left hm in 1775. Walton, GBC.</t>
  </si>
  <si>
    <t>Capt. Alex McKay</t>
  </si>
  <si>
    <t>Walton</t>
  </si>
  <si>
    <t>Sarah, 20, stout wench, (Capt. Alex McKay). Formerly slave to Samuel White near Charlestown; left him in 1780. Walton, GBC.</t>
  </si>
  <si>
    <t>Lucy Howard, 23, ordinary wench, (Maj. McLean). Formerly slave to Col. Thomas Howard, Indian Lands, South Carolina; left him in 1776.</t>
  </si>
  <si>
    <t>Maj. McLean</t>
  </si>
  <si>
    <t>Indian Lands</t>
  </si>
  <si>
    <t>Violet Moore, 30, stout wench, (Col. Stewart). Formerly slave to William Hedden of New York; say she left her free.</t>
  </si>
  <si>
    <t>Violet</t>
  </si>
  <si>
    <t>Nancy, 11, incurably lame. Gilbert Tippet of Annapolis, claimant. (Gilbert Tippet). Property of Gilbert Tippet.</t>
  </si>
  <si>
    <t>Joseph bound for Annapolis James Mitchel</t>
  </si>
  <si>
    <t>Gilbert Tippet</t>
  </si>
  <si>
    <t>Annapolis</t>
  </si>
  <si>
    <t>Dorothy, 13, sickly wench, (Col. Stewart). Formerly slave to William Hedden of New York; says he left her free.</t>
  </si>
  <si>
    <t>Rose Wright, 25, ordinary wench, (Black Pioneers). Formerly slave to Francis Wright, Norfolk, Virginia; left him in 1779. GBC.</t>
  </si>
  <si>
    <t>Black Pioneers</t>
  </si>
  <si>
    <t>Patience, 7, stout girl, (Black Pioneers). Formerly slave.</t>
  </si>
  <si>
    <t>James With, 24, stout fellow, (Col. Stewart). Formerly slave to George With, Hampton, Virginia; left him in 1779. GMC.</t>
  </si>
  <si>
    <t>With</t>
  </si>
  <si>
    <t>Judith, 9 months, (Black Pioneers). Formerly slave.</t>
  </si>
  <si>
    <t>Joe, 10, stout boy. Gilbert Tippet of Annapolis, claimant. (Gilbert Tippet). Property of Gilbert Tippet.</t>
  </si>
  <si>
    <t>Betsey Bodel, 14, fine girl, (Black Pioneers). Formerly slave to John Budell, Santee, South Carolina; left him in 1779. GBC.</t>
  </si>
  <si>
    <t>Bodel</t>
  </si>
  <si>
    <t>Mary Steel, 24, fine wench, (Black Pioneers). Formerly slave to Charles Cannon, Portsmouth, Virginia; left him in 1778. GMC.</t>
  </si>
  <si>
    <t>Steel</t>
  </si>
  <si>
    <t>Cutto, 55, ordinary wench, (Black Pioneers). Free by proper Certificate.</t>
  </si>
  <si>
    <t>Cutto</t>
  </si>
  <si>
    <t>James Bowles, 28, ordinary fellow, (Black Pioneers). Says he was born free; lived with Isaac Bowls. Left him in 1778.</t>
  </si>
  <si>
    <t>Bowles</t>
  </si>
  <si>
    <t>Phillis, 23, fine wench, (Black Pioneers) Formerly slave to Moses Hays of Narraganset; left him in 1779.</t>
  </si>
  <si>
    <t>Cato Motte, 21, fine lad, (Black Pioneers). Formerly slave to Christopher Motte, Peedee, South Carolina; left him in 1778.</t>
  </si>
  <si>
    <t>Motte</t>
  </si>
  <si>
    <t>Peedee</t>
  </si>
  <si>
    <t>Hannah Hannell, 35, stout wench, (Col. Stewart). Says she was born free.</t>
  </si>
  <si>
    <t>Hannell</t>
  </si>
  <si>
    <t>Jenny Burton, 20, ordinary wench, (Col. Stewart). Formerly slave to Andrew Burken, Savannah, Georgia; left him in 1779. GBC.</t>
  </si>
  <si>
    <t>Burton</t>
  </si>
  <si>
    <t>Phebe Budel, 30, lathy wench, (Black Pioneers). Formerly slave to John Budell, Santee, South Carolina; left him in 1779. GBC.</t>
  </si>
  <si>
    <t>Budel</t>
  </si>
  <si>
    <t>Betsey Herbert, 44, (Black Pioneers). Says she was born free at Peter Van Dewater's, Bedford, Long Island. GBC.</t>
  </si>
  <si>
    <t>Bedford</t>
  </si>
  <si>
    <t>Frances Herbert, 65, worn out wench, (Black Pioneers). Certified to be free. Says she came from the West Indies. GBC.</t>
  </si>
  <si>
    <t>Frances</t>
  </si>
  <si>
    <t>Dolly Wilkinson, 62, stout wench, on her own bottom. Formerly slave to Willis Wilkinson, Nansemond, Virginia; left him in 1779.. GBC.</t>
  </si>
  <si>
    <t>Brig Joseph bound for Port Mattoon Ben Coward</t>
  </si>
  <si>
    <t>Wilkinson</t>
  </si>
  <si>
    <t>Sarah, 11 mo., fine child. [Edward Beattie of River St. John's, claimant]. (Edward Beattie). Born since Esward Beattie bought Betty.</t>
  </si>
  <si>
    <t>Edward Beattie</t>
  </si>
  <si>
    <t>Benjamin Pandorus, 18, fine lad, (Major McLean). Formerly slave to Richard Pandorus, Ashley River, South Carolina; left him in 1779. GBC.</t>
  </si>
  <si>
    <t>Pandorus</t>
  </si>
  <si>
    <t>Major McLean</t>
  </si>
  <si>
    <t>Jack, 4, fine boy. Edward Beattie of River St. John's, claimant. (Edward Beattie). Born since Edward Beattie bought Betty.</t>
  </si>
  <si>
    <t>Amie Orphan, 8, likely girl, (W.M. General Department). Formerly slave to Mr. Hughes near Charlestown, South Carolina; left him 1780. GMC.</t>
  </si>
  <si>
    <t>Amie</t>
  </si>
  <si>
    <t>Orphan</t>
  </si>
  <si>
    <t>Hughes near Charlestown</t>
  </si>
  <si>
    <t>Samba</t>
  </si>
  <si>
    <t>Freer</t>
  </si>
  <si>
    <t>Hagar Britain, 41, ordinary wench, B, (Capt. Drummond). Mr. Drummond's property, Bill of Sale produced.</t>
  </si>
  <si>
    <t>Joseph bound for St. John's River Martin Stout</t>
  </si>
  <si>
    <t>Martin Stout</t>
  </si>
  <si>
    <t>Capt. Drummond</t>
  </si>
  <si>
    <t>Hagar Britain</t>
  </si>
  <si>
    <t>Isaac Berry, 36, ordinary fellow, B, (Capt. Drummond). Formerly slave to F. Parker, Eastern Shore, Virginia; left him &amp; went on board the Otter sloop in the year 1776. GBC.</t>
  </si>
  <si>
    <t>Thomas Potters [Peters], 45, ordinary fellow. (Black Pioneers). Formerly slave to William Campbell, Wilmington, North Carolina; left him in 1776. GMC.</t>
  </si>
  <si>
    <t>Potters Peters</t>
  </si>
  <si>
    <t>Murphy Steele, 34, ordinary fellow. (Black Pioneers). Formerly slave to Stephen Daniel, Wilmington, North Carolina; left him in 1776. GMC.</t>
  </si>
  <si>
    <t>Murphy</t>
  </si>
  <si>
    <t>Steele</t>
  </si>
  <si>
    <t>George Kendle, 35, ordinary fellow, (Black Pioneers). Formerly slave to John Kendle, Eastern Shore, Virginia; left him in 1777.</t>
  </si>
  <si>
    <t>Kendle</t>
  </si>
  <si>
    <t>Toby, 18, ordinary lad, (Capt. Angus McDonald). Formerly slave to Henry Tismore, Cape Fear, North Carolina; left him in 1780.</t>
  </si>
  <si>
    <t>Capt. Angus McDonald</t>
  </si>
  <si>
    <t>Sally Petters, 30, ordinary wench, (Black Pioneers). Formerly slave to Mr. Bellinge, Ashepoo. South Carolina; left him in 1779. GBC.</t>
  </si>
  <si>
    <t>Petters</t>
  </si>
  <si>
    <t>Ashepoo</t>
  </si>
  <si>
    <t>Clara, 12, likely child, (Black Pioneers). Formerly slave to Mr. Bellinge, Ashepoo, South Carolina; left him in 1779.</t>
  </si>
  <si>
    <t>John 1½, infant. Born within the lines.</t>
  </si>
  <si>
    <t>1½</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</si>
  <si>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</si>
  <si>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</si>
  <si>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</si>
  <si>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</si>
  <si>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Judy</t>
  </si>
  <si>
    <t>Sam Hawkins, 25, stout fellow, (W.M. General Department). Formerly slave to John Hawkins of Rye, New England; left him in 1779. GMC.</t>
  </si>
  <si>
    <t>Hawkins</t>
  </si>
  <si>
    <t>Abram Miller, 40, ordinary fellow, (W.M. General Department). Formerly slave to William Hudson, Philadelphia; left him in 1778. GMC.</t>
  </si>
  <si>
    <t>Villotte Miller, 34, stout wench, (W.M. General Department). Formerly slave to Rose Lloyd, Philadelphia; left her in 1778. GMC.</t>
  </si>
  <si>
    <t>Villotte</t>
  </si>
  <si>
    <t>Henry Perry, 20, stout fellow, (Donald Drummond). Formerly slave to Nicholas Perry of Nansemond County, Virginia; left him 4 years ago.</t>
  </si>
  <si>
    <t>Donald Drummond</t>
  </si>
  <si>
    <t>Nansemond County</t>
  </si>
  <si>
    <t>Judah Johnson, 24, ordinary wench, (Major McLean). Formerly slave to William Walker, Savannah, Georgia; left him in 1781. GMC.</t>
  </si>
  <si>
    <t>John Salter, 35, stout fellow, (Black Pioneers). Formerly slave to D. Salter, Philadelphia; left him in 1779. GMC.</t>
  </si>
  <si>
    <t>Salter</t>
  </si>
  <si>
    <t>Sam, 3, fine boy, (Major McLean).</t>
  </si>
  <si>
    <t>Sam, 3, (Mrs. Kelly). Free as Certified by GBC.</t>
  </si>
  <si>
    <t>Mrs. Kelly</t>
  </si>
  <si>
    <t>Jenny, 25, fine wench, (Black Pioneers). Formerly slave to Mrs. Dawson, Savannah; left her in 1779.</t>
  </si>
  <si>
    <t>John Marian, 37, ordinary fellow, (Daniel Ray). Formerly slave to Peter Marian, Santee, South Carolina; left him in 1779. GMC.</t>
  </si>
  <si>
    <t>Marian</t>
  </si>
  <si>
    <t>Daniel Ray</t>
  </si>
  <si>
    <t>Susannah, 25, stout wench, (Daniel Ray). Formerly slave to John Marian, Santee, South Carolina; left him in 1779. GMC.</t>
  </si>
  <si>
    <t>Diana, 7, stout girl, (Daniel Ray). Formerly slave to John Marian, Santee, South Carolina.</t>
  </si>
  <si>
    <t>Sukey, 7 months, (Daniel Ray). Born within the Lines.</t>
  </si>
  <si>
    <t>Stephen, 5, fine boy, (Major McLean).</t>
  </si>
  <si>
    <t>Sambo Crowell, 44, ordinary fellow, (Daniel Ray). Formerly slave to Nathaniel Crumwell, Goose Creek, South Carolina; left him in 1779. GMC.</t>
  </si>
  <si>
    <t>Sambo</t>
  </si>
  <si>
    <t>Crowell</t>
  </si>
  <si>
    <t>Goose Creek</t>
  </si>
  <si>
    <t>Isabella, 5, (Mrs. Kelly). Free as Certified by GBC.</t>
  </si>
  <si>
    <t>Phillis, 30, ordinary wench,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</si>
  <si>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</si>
  <si>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</si>
  <si>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Mariah</t>
  </si>
  <si>
    <t>William Catchpole, 25, ordinary fellow. (Daniel Ray). Certified to be free by Mr. Matthews.</t>
  </si>
  <si>
    <t>Catchpole</t>
  </si>
  <si>
    <t>Nancy Erwine, 32, fine wench, (Capt. McRea). Formerly slave to Charles Renk, South Carolina; left him 4 years ago.</t>
  </si>
  <si>
    <t>Joseph bound for Annapolis James Mitchell</t>
  </si>
  <si>
    <t>Erwine</t>
  </si>
  <si>
    <t>Capt. McRea</t>
  </si>
  <si>
    <t>Sally, 12, fine girl, (Capt. McCrea). Formerly slave to Charles Renk, South Carolina; left him 4 years ago.</t>
  </si>
  <si>
    <t>Capt. McCrea</t>
  </si>
  <si>
    <t>Tom, 2, fine boy, (Capt. McCrea). Formerly slave to Charles Renk, South Carolina.</t>
  </si>
  <si>
    <t>Sambo Frier, 24, ordinary fellow, (Daniel Ray). Formerly slave to George Frier, John's Island, South Carolina; left him in 1779. GMC.</t>
  </si>
  <si>
    <t>Frier</t>
  </si>
  <si>
    <t>Tom Rivers, 43, stout fellow, (Daniel Ray). Formerly slave to Col. Rivers, James Island, South Carolina; left him beginning 1780. GMC.</t>
  </si>
  <si>
    <t>Rivers</t>
  </si>
  <si>
    <t>James Island</t>
  </si>
  <si>
    <t>Anthony, 8, stout lad, (Daniel Ray). Formerly slave to Nathaniel Crumwell, Goose Creek, South Carolina; left him in 1779. GMC.</t>
  </si>
  <si>
    <t>Susanna Motte, 44, stout wench, (Mrs. Kelly). Free as Certified by GBC.</t>
  </si>
  <si>
    <t>Timothy Withers, 26, stout fellow, (Black Pioneers). Formerly slave to William Withers, Goose Creek, South Carolina; left him in 1779.</t>
  </si>
  <si>
    <t>Withers</t>
  </si>
  <si>
    <t>Tom, 1½, (Jacob Smith). Formerly slave to Jacob De Motte, English Neighbourhood.</t>
  </si>
  <si>
    <t>Jacob Smith</t>
  </si>
  <si>
    <t>Sarah, 5, (Jacob Smith). Formerly slave to Jacob De Motte, English Neighbourhood.</t>
  </si>
  <si>
    <t>Ann, 27, stout wench, (Jacob Smith). Formerly slave to Jacob De Motte, English Neighbourhood.</t>
  </si>
  <si>
    <t>Daphne, 11, fine girl, (Mrs. Kelly). Born free.</t>
  </si>
  <si>
    <t>Richard Johnson, 33, ordinary lad, (Major McLean). Formerly slave to William Walker, Savannah Georgia.</t>
  </si>
  <si>
    <t>Nero, 24, stout lad, (Major McLean). Formerly slave to Paul Phipps of Santilena, South Carolina; left him in 1779. GBC.</t>
  </si>
  <si>
    <t>Santilena</t>
  </si>
  <si>
    <t>Frank Cilley, 37, stout lad, (Jacob Smith). Formelry slave to Richard Ireland, Hackensack, New Jersey; left him in 1779. GMC.</t>
  </si>
  <si>
    <t>Cilley</t>
  </si>
  <si>
    <t>William Robertson, 36, stout fellow, (Alexander Ross). Formerly servant to Mark Roberts, Rappahannock, Virginia; left him 6 years past.</t>
  </si>
  <si>
    <t>Sloop Katy bound for Port Roseway Peter Lawrence, Master</t>
  </si>
  <si>
    <t>Peter Lawrence</t>
  </si>
  <si>
    <t>Alexander Ross</t>
  </si>
  <si>
    <t>King George</t>
  </si>
  <si>
    <t>Andrew, 9, likely boy, (Lt. Cox, K.A. Reg't.). Who brought him a child from North Carolina after picking him up in a wood by Lieut. Cox.</t>
  </si>
  <si>
    <t>King George bound for St. John's</t>
  </si>
  <si>
    <t>Lt. Cox, K.A. Reg't.</t>
  </si>
  <si>
    <t>Ned Hustus, 22, stout fellow, M, (Lieut. Eustace, K.A. Reg't.). Formerly slave to Joseph Hollyday, Nansemond, Virginia; left him in the year 1781 &amp; joined the British Troops.</t>
  </si>
  <si>
    <t>Hustus</t>
  </si>
  <si>
    <t>Lieut. Eustace, K.A. Reg't.</t>
  </si>
  <si>
    <t>Will Hollyday, 33, stout fellow, B, (Lieut. Smith), K.A. Reg't.). Formerly slave to Joseph Hollyday, Nansemond, Virginia; left him in the year 1781 &amp; joined the British troops.</t>
  </si>
  <si>
    <t>Hollyday</t>
  </si>
  <si>
    <t>Kingston</t>
  </si>
  <si>
    <t>Thomas Channell, 24, stout fellow, (Duncan Cameron). Formerly the property of Dr. John Channell, Savannah, Georgia; left him 5 years ago.</t>
  </si>
  <si>
    <t>Brig Kingston bound for Port Roseway John Atkinson</t>
  </si>
  <si>
    <t>John Atkinson</t>
  </si>
  <si>
    <t>Duncan Cameron</t>
  </si>
  <si>
    <t>George Peters, 23, stout fellow, (James Duncan). Formerly slave to Christian Jenkins of Indian Land, South Carolina, who died before the war; left the Estate 5 years ago.</t>
  </si>
  <si>
    <t>Moses Laston, 24, ordinary mulatto, (John Davis). Formerly slave to Thomas Jacob, Virginia; left him about 5 years past.</t>
  </si>
  <si>
    <t>Brig Kingston bound for Port Roseway John Atkinson, Master</t>
  </si>
  <si>
    <t>Laston</t>
  </si>
  <si>
    <t>John Davis</t>
  </si>
  <si>
    <t>Robert Brown, 26, stout lad, (John Browne).</t>
  </si>
  <si>
    <t>John Browne</t>
  </si>
  <si>
    <t>Ned Lawson, 22, stout fellow, (Timothy Pruett). Formerly slave to Lawson, Princess Ann, Virginia; left him 6 years past.</t>
  </si>
  <si>
    <t>Timothy Pruett</t>
  </si>
  <si>
    <t>Frank Crumline, 30, short and stout, (George Patten). Formerly slave to Harry Crumline, Santee, South Carolina; left him 5 years past.</t>
  </si>
  <si>
    <t>Crumline</t>
  </si>
  <si>
    <t>George Patten</t>
  </si>
  <si>
    <t>Chloe Crumline, 45, old &amp; worn out, (George Patten). Formerly slave to Harry Crumline, Santee, South Carolina; left him 5 years past.</t>
  </si>
  <si>
    <t>Mingo Crumline, 7, fine boy, (George Patten). Formerly slave to Harry Crumline, Santee, South Carolina; left him 4 years past.</t>
  </si>
  <si>
    <t>Benjamin Dunn, 21, stout fellow, frost bit in the feet, (Alexander Munns). Formerly the property of William Hoyt, Charlestown, South Carolina; left him 4 years ago.</t>
  </si>
  <si>
    <t>Dunn</t>
  </si>
  <si>
    <t>Alexander Munns</t>
  </si>
  <si>
    <t>Towerhill Hall, 32, ordinary fellow, (Thomas Ball). Formerly slave to Elihu Hall, Nottingham township, Pennsylvania; left him 6½ past.</t>
  </si>
  <si>
    <t>Towerhill</t>
  </si>
  <si>
    <t>Hall</t>
  </si>
  <si>
    <t>Nottingham township</t>
  </si>
  <si>
    <t>Thomas Ball</t>
  </si>
  <si>
    <t>Nottingham</t>
  </si>
  <si>
    <t>Jack Sweley, 12, stout boy, (Robert Lavender). Born free in the Island of Jamaica; apprentice to Robert Lavender.</t>
  </si>
  <si>
    <t>Sweley</t>
  </si>
  <si>
    <t>Robert Lavender</t>
  </si>
  <si>
    <t>Cuff Cummins, 24, stout fellow, (John Patton). Formerly slave of Mr. F_n of Philadelphia; left him 5 ½ years ago. GBC.</t>
  </si>
  <si>
    <t>Kingston bound for Port Roseway John Atkinson</t>
  </si>
  <si>
    <t>Cummins</t>
  </si>
  <si>
    <t>John Patton</t>
  </si>
  <si>
    <t>Jenny Parker, 30, stout wench, (William Morris). Formerly the property of Thomas Parker of Boston; left him in 1776.</t>
  </si>
  <si>
    <t>Parker</t>
  </si>
  <si>
    <t>William Morris</t>
  </si>
  <si>
    <t>William Ernst, 31, ordinary fellow, (Lt. Sullivan). Certified to be free by Charles Philips, Cooper in Broad Street in New York, with whom he served his time and by the office of Police.</t>
  </si>
  <si>
    <t>Brig Kingston bound for Port Roseway J. Atkinson</t>
  </si>
  <si>
    <t>Ernst</t>
  </si>
  <si>
    <t>J. Atkinson</t>
  </si>
  <si>
    <t>Lt. Sullivan</t>
  </si>
  <si>
    <t>Lettia, 5, fine child, (Patrick Wall). Property of Patrick Wall.</t>
  </si>
  <si>
    <t>Lettia</t>
  </si>
  <si>
    <t>Patrick Wall</t>
  </si>
  <si>
    <t>Stephen Ficklin, 22, stout fellow, cut in arm &amp; scar between his eyes, (Whiteford Smith). Born at John Fickins, Indian Lands, South Carolina; has been free nigh 9 years as appears by Certificate dated 17 July 1774.</t>
  </si>
  <si>
    <t>Ficklin</t>
  </si>
  <si>
    <t>Whiteford Smith</t>
  </si>
  <si>
    <t>John Thomas, 15, stout lad, (Patrick Wall). Property of Patrick Wall.</t>
  </si>
  <si>
    <t>Hannah, 21, stout pockmarked wench, (Patrick Wall). Property of Patrick Wall.</t>
  </si>
  <si>
    <t>Catharine, 25, sick, on her own footing. Daughter to the above.</t>
  </si>
  <si>
    <t>Jane Samson, 52, stout wench, on her own footing. Born free at Morrisanaie.</t>
  </si>
  <si>
    <t>Hannah, 23, stout wench, (John Patton). Property of John Patton.</t>
  </si>
  <si>
    <t>Eleanor Cross, 11, fine girl, (Joseph White). Born free; indented for 10 years by David Matthews to James White.</t>
  </si>
  <si>
    <t>Joseph White</t>
  </si>
  <si>
    <t>Priscilla, 7, fine child, (James Strahan). Daughter to the above wench.</t>
  </si>
  <si>
    <t>James Strahan</t>
  </si>
  <si>
    <t>Lucy, 26, stout wench, (James Strahan). Formerly slave of Henry Scudder, East End of Long Island; left him in the year 1775. GBC. GMC.</t>
  </si>
  <si>
    <t>East End of Long Island</t>
  </si>
  <si>
    <t>Jane Cook, 41, ordinary, M, (Lt. Sullivan). Certified to be free by her former Master, Thomas Ludlow, Jr., C. of New York 7 by GMC.</t>
  </si>
  <si>
    <t>Cook</t>
  </si>
  <si>
    <t>Clarissa Channill, 20, stout wench, (Duncan Cameron). Formerly the property of Mrs. Delahant of Charlestown, South Carolina; left her 7 years ago.</t>
  </si>
  <si>
    <t>Clarissa</t>
  </si>
  <si>
    <t>Channill</t>
  </si>
  <si>
    <t>Patty Stokes, 19, stout wench (Matt Grimmill). Free as appears by Certificate from A. Stokes of Savannah dated 20 June 1782.</t>
  </si>
  <si>
    <t>Stokes</t>
  </si>
  <si>
    <t>Matt Grimmill</t>
  </si>
  <si>
    <t>Patty Johnson, 17, stout wench, M, (Timothy Pruett). Says she was free born at Portsmouth in Virginia.</t>
  </si>
  <si>
    <t>Affy Lloyd her mother, 36, stout wench, (George Patton). Formerly slave to Thomas Lloyd, Charlestown, South Carolina; left him 5 years ago.</t>
  </si>
  <si>
    <t>Affy</t>
  </si>
  <si>
    <t>Lloyd her mother</t>
  </si>
  <si>
    <t>George Patton</t>
  </si>
  <si>
    <t>Sampson[Bush], 40, ordinary man. Richard Birmingham claimant, Port Roseway. Property of Birmingham by Bill of Sale produced.</t>
  </si>
  <si>
    <t>SampsonBush</t>
  </si>
  <si>
    <t>Charity Bush, 26, low wench, M, (Reed). Formerly slave to Mr. Bush, Princess Ann, Virginia; left him on the strength of General Howe's proclamation about 6 years past.</t>
  </si>
  <si>
    <t>Reed</t>
  </si>
  <si>
    <t>Joe Robinson, 25, stout fellow, (Alexander Murray). Formerly property to Campbell, Charlestown, South Carolina who he says left him free about 5 years ago.</t>
  </si>
  <si>
    <t>Robinson</t>
  </si>
  <si>
    <t>Alexander Murray</t>
  </si>
  <si>
    <t>Absolom Dickson, 31, stout fellow, mulatto, (Richard Jolly). Formerly slave to Solomon Sheppard, Nansemond County, Virginia, left him 4 years ago.</t>
  </si>
  <si>
    <t>Absolom</t>
  </si>
  <si>
    <t>Richard Jolly</t>
  </si>
  <si>
    <t>Jack Thomson, 24, stout fellow, (Matt Grimmill). Formerly belonged to a Mr. Thompson who was killed at Fort Moultrie, South Carolina; left Charlestown 3 years ago.</t>
  </si>
  <si>
    <t>Fort Moultrie</t>
  </si>
  <si>
    <t>Affy Lloyd her</t>
  </si>
  <si>
    <t>mother</t>
  </si>
  <si>
    <t>Peggy and small</t>
  </si>
  <si>
    <t>boy</t>
  </si>
  <si>
    <t>Benjamin Sheppard, 20, stout fellow, (Richard Jolly). Formerly slave to Solomon Sheppart, Nansemond County, Virginia; left him 4 years ago.</t>
  </si>
  <si>
    <t>Sheppard</t>
  </si>
  <si>
    <t>Peggy &amp; small boy, 20, stout wench, (Richard Jolly). Formerly slave to James Jolly, Norfolk County, Virginia; left him 4 years ago.</t>
  </si>
  <si>
    <t>&amp; small boy</t>
  </si>
  <si>
    <t>Sabrinah, 70, (Richard Jolly). Formerly slave to James Jolly, Norfolk County, Virginia, left him 4 years ago.</t>
  </si>
  <si>
    <t>Sabrinah</t>
  </si>
  <si>
    <t>Adam Bush, 24, stout fellow, M, (Reed). Formerly slave to Mr. Bush, Princess Ann, Virginia; left him on the strength of General Howe's proclamation about 6 years past.</t>
  </si>
  <si>
    <t>Nancy Collins, 19, stout wench, (Mrs. Jean Batt). Says she was born free on the Estate of Robert Collins, 12 miles from Charlestown, South Carolina; left that place 5 years ago.</t>
  </si>
  <si>
    <t>Collins</t>
  </si>
  <si>
    <t>Mrs. Jean Batt</t>
  </si>
  <si>
    <t>Phillis Lloyd, 19, stout wench, (George Patton). Formerly slave to Thomas Lloyd, Charlestown, South Carolina; left him 5 years ago.</t>
  </si>
  <si>
    <t>Lloyd</t>
  </si>
  <si>
    <t>L'Abondance</t>
  </si>
  <si>
    <t>Susannah Rivers, 30, stout wench. Formerly the property of Thomas Fitt, Indian Lands, South Carolina; left him 4 years ago.</t>
  </si>
  <si>
    <t>L'Abondance bound for Port Roseway Lt. Phillips, Commander</t>
  </si>
  <si>
    <t>Lt. Phillips, Commander</t>
  </si>
  <si>
    <t>Pamela Glasgow, 30, stout wench with a girl 8 years old. Formerly the property of James Barrow, Hampton, Virginia; left him 3 years ago.</t>
  </si>
  <si>
    <t>Pamela</t>
  </si>
  <si>
    <t>Jonathan Glasgow, 39, stout man. Formerly the property of William Curle, Hampton, Virginia; left him 3 years ago.</t>
  </si>
  <si>
    <t>James Sharpe, 48, stout man. Free, says that about 14 years ago he lived with Mr. Childs of New York.</t>
  </si>
  <si>
    <t>Sharpe</t>
  </si>
  <si>
    <t>88</t>
  </si>
  <si>
    <t>Thomas Patterson, 45, worn out. Formerly the property of Garret Akerman of Paramus, New Jersey; left him 5 years ago.</t>
  </si>
  <si>
    <t>87</t>
  </si>
  <si>
    <t>Henry Walker, 60, stout man of his age. Formerly the property of William Nicholson of Norfolk, Virginia; left him 7 years ago.</t>
  </si>
  <si>
    <t>Sepkins</t>
  </si>
  <si>
    <t>Formerly the property of William Nicholson of Norfolk</t>
  </si>
  <si>
    <t>Patty Gibson, 23, stout wench with 2 children 3 &amp; 1 years old. Says she was born free at Norfolk, Virginia.</t>
  </si>
  <si>
    <t>Gibson</t>
  </si>
  <si>
    <t>Says she was born free at Norfolk</t>
  </si>
  <si>
    <t>Toney Wilkin, 40, stout fellow. Formerly the property of John Wilkinson, Indian Lands, South Carolina; left him 4 years ago.</t>
  </si>
  <si>
    <t>Wilkin</t>
  </si>
  <si>
    <t>89</t>
  </si>
  <si>
    <t>Joseph Brown, 30, stout fellow. Formerly the property of Matthew Phrip, Norfolk, Virginia; left him 3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</si>
  <si>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</si>
  <si>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</si>
  <si>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Tobias Walker is son, 13, fine lad. Formerly the property of John Chapman of Princess Ann County, Virginia; left him 3 years ago.</t>
  </si>
  <si>
    <t>Tobias</t>
  </si>
  <si>
    <t>Walker is son</t>
  </si>
  <si>
    <t>Formerly the property of John Chapman of Princess Ann County</t>
  </si>
  <si>
    <t>James Thompson, 25, stout fellow. Formerly the property of Edward Cooper, Hampton, Virginia; left him 3 years ago.</t>
  </si>
  <si>
    <t>Edie Gordon, 23, stout wench. Formerly the property of Christopher Gordon, Western branch, Virginia; left him 4 years ago.</t>
  </si>
  <si>
    <t>Edie</t>
  </si>
  <si>
    <t>Western branch</t>
  </si>
  <si>
    <t>Betty Patterson, 35, stout wench with 2 boys 9 and 5 years old. Formerly the property of Garret Hopper of Paramus, New Jersey; left him 5 years ago.</t>
  </si>
  <si>
    <t>Formerly the property of Garret Hopper of Paramus</t>
  </si>
  <si>
    <t>Savinah Miles, 25, stout wench. Formerly the property of John Miles, Indian Land, Virginia; left him 5 years ago.</t>
  </si>
  <si>
    <t>Savinah</t>
  </si>
  <si>
    <t>Violet Collet, 22, stout wench with a girl 3 weeks old. Formerly the property of Willis Wilkinson, Nansemond, Virginia; left him 4 years ago.</t>
  </si>
  <si>
    <t>Collet</t>
  </si>
  <si>
    <t>Patience Wilkinson, 30, stout wench with a girl 3 years of age. Formerly the property of Willis Wilkinson, Nansemond, Virginia; left him 4 years ago.</t>
  </si>
  <si>
    <t>James Langelyn, 28, stout fellow. Formerly the property of George Bibbin, Norfolk, Virginia; left him 4 years ago.</t>
  </si>
  <si>
    <t>Langelyn</t>
  </si>
  <si>
    <t>Daniel Sepkins, 54, stout man. Formerly the property of Mr. Hogworth, 2nd River New Jersey; left him 7 years ago.</t>
  </si>
  <si>
    <t>Patty Saunders, 18, stout wench. Formerly the property of George Robertson, Crane Island, Virginia; left him 4 years ago.</t>
  </si>
  <si>
    <t>Sarah Wilkins, 23, stout wench. Formerly the property of John Wilkins, Indian Lands, Virginia; left him 5 years ago.</t>
  </si>
  <si>
    <t>Olive Saunders, 25, stout wench with a boy 2 years of age. Formerly the property of Charles Connor of Crane Island, Virginia; left him 5 years ago.</t>
  </si>
  <si>
    <t>Olive</t>
  </si>
  <si>
    <t>Anna Davis, 24, stout wench with 2 girls 7 &amp; 4 years of age. Formerly the property of John Biddle, Norfolk, Virginia; left him 4 years ago.</t>
  </si>
  <si>
    <t>Anna</t>
  </si>
  <si>
    <t>Richard Miller, 27, stout man. Formerly the property of Charles Ingram of Northumberland, Virginia; left him 7 years ago.</t>
  </si>
  <si>
    <t>Northumberland</t>
  </si>
  <si>
    <t>Abram Quince, 30, stout fellow. Formerly the property of Richard Quince, Wilmington, North Carolina; left him 4 years ago.</t>
  </si>
  <si>
    <t>Quince</t>
  </si>
  <si>
    <t>William Davis, 26, stout fellow. Formerly the property of Francis Land, Norfolk, Virginia; left him 6 years ago.</t>
  </si>
  <si>
    <t>Sikes Rivers, 40, stout fellow. Formerly the property of John Shemby, Savannah, Georgia; left him 6 years ago.</t>
  </si>
  <si>
    <t>Thomas Saunders, 30, stout man. Formerly the property of John Baynes, Crane Island, Virginia; left him 5 years ago.</t>
  </si>
  <si>
    <t>Elizabeth Thomas, 52, stout wench &amp; a girl 8 years old. Formerly the property of John Aston from whom her husband bought her freedom.</t>
  </si>
  <si>
    <t>Abraham Cry, 40, stout fellow. Formerly the property of John Ward of Charlestown, South Carolina; left him 7 years ago.</t>
  </si>
  <si>
    <t>Cry</t>
  </si>
  <si>
    <t>Formerly the property of John Ward of Charlestown</t>
  </si>
  <si>
    <t>Flora Rutledge, 40, ordinary wench. Formerly the property of Gov. Rutledge of Charlestown, South Carolina; left him 7 years ago.</t>
  </si>
  <si>
    <t>Rutledge</t>
  </si>
  <si>
    <t>Rutledge of Charlestown</t>
  </si>
  <si>
    <t>Pompey Rutledge, 44, stout fellow. Formerly the property of Gov. Rutledge of Charlestown, South Carolina; left him 7 years ago.</t>
  </si>
  <si>
    <t>Pompey Rutledge</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</si>
  <si>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</si>
  <si>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</si>
  <si>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</si>
  <si>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Lagree</t>
  </si>
  <si>
    <t>Formerly the property of Mallaby Rivers of Charlestown</t>
  </si>
  <si>
    <t>Lucy Banbury, 40, stout wench. Formerly the property of Arthur Middleton of Charlestown, South Carolina; left him 6 years ago.</t>
  </si>
  <si>
    <t>Banbury</t>
  </si>
  <si>
    <t>Formerly the property of Arthur Middleton of Charlestown</t>
  </si>
  <si>
    <t>Judith Evans, 30, stout wench. Formerly the property of George Ben, Nansemond, Virginia; left him 6 years ago.</t>
  </si>
  <si>
    <t>Evans</t>
  </si>
  <si>
    <t>Sarah Evans, 16, stout wench. Formerly the property of George Ben, Nansemond, Virginia; left him 6 years ago.</t>
  </si>
  <si>
    <t>Juno Thomas, 40, worn out. Formerly the property of Daniel Johnson of Savannah, Georgia; left him 6 years ago.</t>
  </si>
  <si>
    <t>Juno</t>
  </si>
  <si>
    <t>Formerly the property of Daniel Johnson of Savannah</t>
  </si>
  <si>
    <t>Jane Roberts, 23, stout wench, Formerly the property of John Cottarge of Charlestown; left him 4 years ago.</t>
  </si>
  <si>
    <t>Silvia Gordon, 30, stout wench. Formerly the property of Mallaby Rivers of James Island, South Carolina; left him 4 years ago.</t>
  </si>
  <si>
    <t>Formerly the property of Mallaby Rivers of James Island</t>
  </si>
  <si>
    <t>Tom Cain, 30, stout fellow. Formerly the property of John Thomas, a black freeman, Charlestown, South Carolina; left him 4 years ago.</t>
  </si>
  <si>
    <t>Nancy Moody, 14, fine girl. Formerly the property of Henry Moody of Williamsburgh, Virginia; left him 5 years ago.</t>
  </si>
  <si>
    <t>Moody</t>
  </si>
  <si>
    <t>Formerly the property of Henry Moody of Williamsburgh</t>
  </si>
  <si>
    <t>Harry Washington, 43, fine fellow. Formerly the property of General Washington; left him 7 years ago.</t>
  </si>
  <si>
    <t>Washington</t>
  </si>
  <si>
    <t>Moses Campbell, 25, fine fellow. Formerly the property of James Campbell of Wilmington, North Carolina; left him 7 years ago.</t>
  </si>
  <si>
    <t>Rob Robinson, 23, fine fellow. Formerly the property of John Hearns of James Island, South Carolina; left him 6 years ago.</t>
  </si>
  <si>
    <t>Rob</t>
  </si>
  <si>
    <t>Peter Pharo. 35, stout man. Formerly the property of Abraham Duryee of Millstone, New Jersey; left him 6 years ago.</t>
  </si>
  <si>
    <t>Pharo. 35</t>
  </si>
  <si>
    <t>John Thomas, 58, stout man. Says he was left free at the death of William McAdam of New York.</t>
  </si>
  <si>
    <t>Peggy Campbell, 38, stout wench &amp; son 8 years old. Formerly the property of James Rogers, Norfolk, Virginia; left him 7 years ago.</t>
  </si>
  <si>
    <t>Patience Wilkinson, 60, worn out. Formerly the property of Miles Wilkinson of Nansemond, Virginia; left him 4 years ago.</t>
  </si>
  <si>
    <t>Formerly the property of Miles Wilkinson of Nansemond</t>
  </si>
  <si>
    <t>Sally Miles, 18, fine wench. Formerly the property of Phillip Dickinson of Philadelphia; left him 6 years ago.</t>
  </si>
  <si>
    <t>Grace, 36, ordinary wench &amp; daughter 10 months. Formerly the property of Charles Dawson of Charlestown, South Carolina; left him 6 years ago.</t>
  </si>
  <si>
    <t>Formerly the property of Charles Dawson of Charlestown</t>
  </si>
  <si>
    <t>Hagar Miles, 22, stout wench. Formerly the property of John Miles of Askakoo, South Carolina; left him 4 years ago.</t>
  </si>
  <si>
    <t>Formerly the property of John Miles of Askakoo</t>
  </si>
  <si>
    <t>Askakoo, South Carolina</t>
  </si>
  <si>
    <t>Sillah Cain, 40, stout wench. Formerly the property of John Ward of Charlestown, South Carolina; left him 7 years ago.</t>
  </si>
  <si>
    <t>Sillah</t>
  </si>
  <si>
    <t>William Smith, 40, ordinary fellow. Formerly the property of Jacob Hemmings of Charlestown, South Carolina; left him 4 years ago.</t>
  </si>
  <si>
    <t>Titus Milliner, 30, stout fellow. Formerly the property of Peter Farmer of Brunswick, New Jersey; left him 5 years ago.</t>
  </si>
  <si>
    <t>Milliner</t>
  </si>
  <si>
    <t>Formerly the property of Peter Farmer of Brunswick</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</si>
  <si>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</si>
  <si>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</si>
  <si>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</si>
  <si>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</si>
  <si>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Newton</t>
  </si>
  <si>
    <t>Formerly the property of Lambert Newtown of Norfolk</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</si>
  <si>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</si>
  <si>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</si>
  <si>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</si>
  <si>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Formerly the property of Caleb Davis of Newark</t>
  </si>
  <si>
    <t>Jupiter Grosvenor, 55, stout fellow. Formerly the property of Samuel Grosvenor of New Jersey who he says gave him his freedom in 76.</t>
  </si>
  <si>
    <t>Grosvenor</t>
  </si>
  <si>
    <t>Thomas Whitten, 23, stout fellow. Formerly the property of John Whitten of Portsmouth, Virginia; left him 5 years ago.</t>
  </si>
  <si>
    <t>Whitten</t>
  </si>
  <si>
    <t>Harry Fruen, 35, stout fellow. Formerly the property of Thomas Sheppard of Charlestown, South Carolina; left him 7 years ago.</t>
  </si>
  <si>
    <t>Fruen</t>
  </si>
  <si>
    <t>Formerly the property of Thomas Sheppard of Charlestown</t>
  </si>
  <si>
    <t>John Sharp, 67, worn out. Formerly the property of A. Hay of Haverstraw, New Jersey; left him 4½ years ago.</t>
  </si>
  <si>
    <t>Sharp</t>
  </si>
  <si>
    <t>Haverstraw</t>
  </si>
  <si>
    <t>Catharine, 30, stout wench. Formerly the property of Dr. Van Solinger of Philadelphia; left him in New York about 5 years ago.</t>
  </si>
  <si>
    <t>John Banbury, 38, stout fellow. Formerly the property of Arthur Middleton of Charlestown, South Carolina; left him 7 years ago.</t>
  </si>
  <si>
    <t>Bellah Miles, 44, stout wench. Formerly the property of Phillip Dickinson of Philadelphia; left him 7 years ago.</t>
  </si>
  <si>
    <t>Bellah</t>
  </si>
  <si>
    <t>Sukey Leffers, 39, small wench with 2 children 6 years &amp; 2 years old. Formerly the property of John Townsend of Marneck, County of Westchester; left him 6 years ago.</t>
  </si>
  <si>
    <t>Leffers</t>
  </si>
  <si>
    <t>Marneck</t>
  </si>
  <si>
    <t>Moses Wilkinson, 36, blind &amp; lame. Formerly the property of Miles Wilkinson of Nancymond, Virginia; left him 7 years ago.</t>
  </si>
  <si>
    <t>Nancymond</t>
  </si>
  <si>
    <t>Betsey Wilson, 27, stout wench with 2 children 5 &amp; 1 years of age. Says she is free, lived with Mrs. Randsberry of Norfolk, Virginia who died in New York.</t>
  </si>
  <si>
    <t>Maria, 10, fine girl. Late the property of Robert Barrett, Norfolk, Virginia; left him 5 years ago. GBC.</t>
  </si>
  <si>
    <t>Hector Peters, 20, stout fellow. Says he was born free at Charlestown, South Carolina; left that place 4 years ago.</t>
  </si>
  <si>
    <t>Says he was born free at Charlestown</t>
  </si>
  <si>
    <t>Eben</t>
  </si>
  <si>
    <t>Harding</t>
  </si>
  <si>
    <t>Lieut. Philips</t>
  </si>
  <si>
    <t>Pompy</t>
  </si>
  <si>
    <t>Colt</t>
  </si>
  <si>
    <t>Castington</t>
  </si>
  <si>
    <t>Bettsey</t>
  </si>
  <si>
    <t>Mann</t>
  </si>
  <si>
    <t>Amos Thomas, 55, ordinary fellow. Says he was born free.</t>
  </si>
  <si>
    <t>Amos</t>
  </si>
  <si>
    <t>Mary Johnson, 18, stout wench, M, (John Tier). Born free at New Rochelle.</t>
  </si>
  <si>
    <t>L'Abondance bound for Port Roseway Lt. Phillips</t>
  </si>
  <si>
    <t>Lt. Phillips</t>
  </si>
  <si>
    <t>John Tier</t>
  </si>
  <si>
    <t>Eve, 56, stout wench, (Francis Howse). Property of Francis Howse.</t>
  </si>
  <si>
    <t>Eve</t>
  </si>
  <si>
    <t>Francis Howse</t>
  </si>
  <si>
    <t>Sam, 22, stout fellow, tall, (Valentine Nutter). Property of Valentine Nutter.</t>
  </si>
  <si>
    <t>L'Abondance bound for Port Roseway Lt. Philips</t>
  </si>
  <si>
    <t>Lt. Philips</t>
  </si>
  <si>
    <t>Valentine Nutter</t>
  </si>
  <si>
    <t>Casar, 27, stout fellow, (Mrs. Johnston). Property of Mrs. Johnson.</t>
  </si>
  <si>
    <t>Mrs. Johnston</t>
  </si>
  <si>
    <t>Sarah, 17, stout wench, (Mrs. Johnson). Property of Mrs. Johnson.</t>
  </si>
  <si>
    <t>Mrs. Johnson</t>
  </si>
  <si>
    <t>Betty Richards, 55, stout wench, (Benjamin Hart). Formerly slave to John Richards, Barbadoes Neck, New Jersey; left him 1776. GMC.</t>
  </si>
  <si>
    <t>Barbadoes Neck</t>
  </si>
  <si>
    <t>Benjamin Hart</t>
  </si>
  <si>
    <t>Jacob Richards, 57, stout fellow, (Benjamin Hart). Formerly slave to John Richards, Barbadoes Neck, New Jersey; left him in 1776. GMC.</t>
  </si>
  <si>
    <t>Nat Turner, 30, stout fellow, (Robert Thomson). Formerly slave to Pas Turner, Nansemond, Virginia; left him 5 years ago. GBC.</t>
  </si>
  <si>
    <t>Nat</t>
  </si>
  <si>
    <t>Turner</t>
  </si>
  <si>
    <t>Robert Thomson</t>
  </si>
  <si>
    <t>John Woodie, 23, stout lad, (John Tier). Formerly slave to Garabrands Van Houter, Totowa, New Jersey; left him 3 years ago. GBC.</t>
  </si>
  <si>
    <t>Woodie</t>
  </si>
  <si>
    <t>Totowa</t>
  </si>
  <si>
    <t>Hester Wilkinson, 50, stout wench, (Andrew Murray). Formerly slave to Willis Wilkinson, Pigs point, Virginia. GBC.</t>
  </si>
  <si>
    <t>Hester</t>
  </si>
  <si>
    <t>Pigs point</t>
  </si>
  <si>
    <t>Andrew Murray</t>
  </si>
  <si>
    <t>Sam her</t>
  </si>
  <si>
    <t>David Lokes, 30, stout fellow, (Rob Thomson). Formerly slave to William Booker, Westbranch, Virginia; left him 3 years ago. GBC.</t>
  </si>
  <si>
    <t>Lokes</t>
  </si>
  <si>
    <t>Westbranch</t>
  </si>
  <si>
    <t>Rob Thomson</t>
  </si>
  <si>
    <t>Hager</t>
  </si>
  <si>
    <t>Kennady</t>
  </si>
  <si>
    <t>Winslow</t>
  </si>
  <si>
    <t>Freeland</t>
  </si>
  <si>
    <t>Nostrant</t>
  </si>
  <si>
    <t>Sarrah Van</t>
  </si>
  <si>
    <t>John Charles</t>
  </si>
  <si>
    <t>Clap</t>
  </si>
  <si>
    <t>Stanle</t>
  </si>
  <si>
    <t>Platt</t>
  </si>
  <si>
    <t>Peter her</t>
  </si>
  <si>
    <t>Capt. George</t>
  </si>
  <si>
    <t>Leslie</t>
  </si>
  <si>
    <t>Lymus</t>
  </si>
  <si>
    <t>Pandorrus</t>
  </si>
  <si>
    <t>Marria</t>
  </si>
  <si>
    <t>Vinson</t>
  </si>
  <si>
    <t>Hedler</t>
  </si>
  <si>
    <t>Billy Williams, 36, stout fellow. Formerly the property of Charles Middleton of Savannah, Georgia; left him 5 years ago.</t>
  </si>
  <si>
    <t>Formerly the property of Charles Middleton of Savannah</t>
  </si>
  <si>
    <t>Patty Turner, 23, stout wench, (Rob Thomson). Formerly slave to Willis Wilkinson, Nansemond, Virginia; left him 6 years ago. GBC.</t>
  </si>
  <si>
    <t>Eve, 64, stout wench, (Henry Guest). Property of Henry Guest.</t>
  </si>
  <si>
    <t>Henry Guest</t>
  </si>
  <si>
    <t>Peggy Crumwell, 50, stout wench. Formerly the property of Melsey Wilikinson, Nansemond, Virginia; left him 4 years ago.</t>
  </si>
  <si>
    <t>Crumwell</t>
  </si>
  <si>
    <t>Hannah Whitten, 30, stout wench with 5 children 8, 7, 6, 5, &amp; 1 years old. Formerly the property of William Smith, Norfolk, Virginia; left him 5 years ago.</t>
  </si>
  <si>
    <t>Britton Murray, 28, stout fellow. Formerly the property of Isaac Murray, Princess Ann, Virginia; left him 5 years ago.</t>
  </si>
  <si>
    <t>Britton</t>
  </si>
  <si>
    <t>Murray</t>
  </si>
  <si>
    <t>Betsey, 60, worn out &amp; a fine boy 7 years old. Formerly the property of Mr. Davis, West Indies.</t>
  </si>
  <si>
    <t>Samuel Whitten, 39, stout fellow. Formerly the property of John Whitten, Norfolk, Virginia; left him 5 years ago.</t>
  </si>
  <si>
    <t>Mary Brow, 69 worn out. Formerly the property of Cornelius Van Ryper, Bergen, New Jersey; left him 7 years ago.</t>
  </si>
  <si>
    <t>Brow</t>
  </si>
  <si>
    <t>Casar Perth, 37, stout fellow. Formerly the property of Hardy Waller, Norfolk, Virginia; left him 4 years ago.</t>
  </si>
  <si>
    <t>Perth</t>
  </si>
  <si>
    <t>Patty Brown, 55, ordinary wench. Formerly the property of Harry Cooper, Bergen, New Jersey; left him 7 years ago..</t>
  </si>
  <si>
    <t>Marmory Brown, 58, stout fellow. Formerly the property of Derrick Van Ryper, Bergen, New Jersey; left him 7 years ago.</t>
  </si>
  <si>
    <t>Marmory</t>
  </si>
  <si>
    <t>Nathaniel Snowball, 39, stout fellow. Formerly the property of Nrs. Shrewstin, Norfolk, Virginia; left her 7 years ago.</t>
  </si>
  <si>
    <t>Snowball</t>
  </si>
  <si>
    <t>Nrs</t>
  </si>
  <si>
    <t>Shrewstin</t>
  </si>
  <si>
    <t>Ephraim Jerret, 29, stout fellow. Says he was born free in New York; leved with Peter Earl, ship carpenter.</t>
  </si>
  <si>
    <t>Jerret</t>
  </si>
  <si>
    <t>Thomas Miller, 25, stout fellow. Formerly the property of John Whillax, Norfolk, Virginia; left him 5 years ago.</t>
  </si>
  <si>
    <t>James Walker, 24, stout fellow. Formerly the property of Col. Mosely, Newtown, Virginia; left him 5 years ago.</t>
  </si>
  <si>
    <t>Henry Cook, 37, stout fellow. Formerly the property of Thomas Newton, Norfolk, Virginia; left him 7 years ago.</t>
  </si>
  <si>
    <t>Henry Minton, 16, stout fellow. Formerly the property of Henry Middleton, Senior, Charlestown, South Carolina; left him 5 years ago.</t>
  </si>
  <si>
    <t>Dorcas Crumwell, 14, stout wench. Formerly the property of Molsey Wilkinson, Nansemond, Virginia; left him 4 years ago.</t>
  </si>
  <si>
    <t>Dorcas</t>
  </si>
  <si>
    <t>Daniel, 13, stout boy, (William Black). Property of William Black.</t>
  </si>
  <si>
    <t>William Black</t>
  </si>
  <si>
    <t>James Young, 35, stout fellow. Formerly the property of Willis Nickinson, Norfolk, Virginia; left him 5 years ago.</t>
  </si>
  <si>
    <t>Young</t>
  </si>
  <si>
    <t>Joshua Jordan, 14, stout fellow. Formerly the property of Willis Wilkinson, Nansemond, Virginia; left him 5 years ago.</t>
  </si>
  <si>
    <t>Silvia, 30, stout wench, (Valentine Nutter). Property of Valentine Nutter.</t>
  </si>
  <si>
    <t>Jane Pearce, 23, stout wench with 2 children 8 years &amp; 7 months. Formerly the property of Thomas Pearce, Nansemond, Virginia; left him 5 years ago.</t>
  </si>
  <si>
    <t>Pearce</t>
  </si>
  <si>
    <t>James Newcombe, 27, stout fellow. Says he was born free on the estate of Arnet Ellison, Somerset County, Maryland; left him 7 years ago.</t>
  </si>
  <si>
    <t>Newcombe</t>
  </si>
  <si>
    <t>Somerset County</t>
  </si>
  <si>
    <t>Bob Jackson, 12, stout fellow. Formerly the property of Thomas Newton, Norfolk, Virginia; left him 7 years ago.</t>
  </si>
  <si>
    <t>Hannah Jackson, 40, stout wench. Formerly the property of Thomas Newton, Norfolk, Virginia; left him 7 years ago.</t>
  </si>
  <si>
    <t>Kate Mason, 21, stout wench, mulatto. Says she was born free; lived in Charlestown.</t>
  </si>
  <si>
    <t>Jane Thompson, 70, worn out, with a grandchild 4 years old. Says she was born free; lived with Col. Tucker, Norfolk, Virginia; left him 6 years ago.</t>
  </si>
  <si>
    <t>Daniel Archer, 32, stout fellow. Formerly the property of Thomas Archer of Little York, Virginia; left him 4 years ago.</t>
  </si>
  <si>
    <t>Joan Murray, 24, stout wench with 2 children 4 &amp; 2 years old. Formerly the property of Thomas Cheeseman, Gloster County, Virginia; left him 7 years ago.</t>
  </si>
  <si>
    <t>Joan</t>
  </si>
  <si>
    <t>Katy Reddick, 22, stout wench with a girl 5 months old. Formerly the property of Thomas West, Bellingsport, New Jersey; left him 5 years ago.</t>
  </si>
  <si>
    <t>Bellingsport</t>
  </si>
  <si>
    <t>James Moses, 17, stout fellow. Formerly the property of Leddleton Ayres, Northampton, Virginia; left him 1 year ago.</t>
  </si>
  <si>
    <t>Casar McKenzie, 32, stout fellow. Formerly the property of John McKensie of Charlestown, South Carolina; left him 5 years ago.</t>
  </si>
  <si>
    <t>McKenzie</t>
  </si>
  <si>
    <t>Formerly the property of John McKensie of Charlestown</t>
  </si>
  <si>
    <t>Dempse Sullivan, 27, stout fellow. Formerly the property of Henry Best, Elizabeth County, Virginia; left him 4 years ago.</t>
  </si>
  <si>
    <t>Dempse</t>
  </si>
  <si>
    <t>Sullivan</t>
  </si>
  <si>
    <t>Elizabeth County</t>
  </si>
  <si>
    <t>Harry Whitten, 10, fine boy. Formerly the property of John Reed, Portsmouth, Virginia; left him 7 years ago.</t>
  </si>
  <si>
    <t>Nancy Whitten, 32, stout wench with a boy 14 months old. Formerly the property of John Reed, Portsmouth, Virginia; left him 7 years ago.</t>
  </si>
  <si>
    <t>Laker Jordan, 36, stout fellow. Formerly the property of George Jordan, Nansemond, Virginia; left him 5 years ago.</t>
  </si>
  <si>
    <t>Laker</t>
  </si>
  <si>
    <t>Abby Moore, 30, stout wench with 3 children 6 years, 3 years, one 9 months. Formerly the property of Phillip Dickinson of Philadelphia; left him 7 years ago.</t>
  </si>
  <si>
    <t>Abby</t>
  </si>
  <si>
    <t>Sarn</t>
  </si>
  <si>
    <t>Wedder</t>
  </si>
  <si>
    <t>James Legree, 48, stout fellow. Formerly the property of Thomas Lagree of Charlestown, South Carolina; left him 5 years ago.</t>
  </si>
  <si>
    <t>Legree</t>
  </si>
  <si>
    <t>Betsey Connor, 18 months, likely child. Daughter to Teresa Connor and born within the British Lines.</t>
  </si>
  <si>
    <t>Connor</t>
  </si>
  <si>
    <t>Jane Connor, 6, likely girl. Formerly the property of Charles Connor of Norfolk County, Virginia; left him 4 years ago. GBC.</t>
  </si>
  <si>
    <t>Sally Godfrey, 36, sickly wench. Formerly the property of Joseph Simmons of Norfolk County, Virginia; left him 6 years ago.</t>
  </si>
  <si>
    <t>Formerly the property of Joseph Simmons of Norfolk County</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</si>
  <si>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</si>
  <si>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</si>
  <si>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</si>
  <si>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</si>
  <si>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</si>
  <si>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Swansea</t>
  </si>
  <si>
    <t>Jane Hill, 60, feeble wench. Formerly the property of Willis Reddick of Suffolk County, Virginia; left him 5 years ago. GBC.</t>
  </si>
  <si>
    <t>Patience Euige, 16, stout girl. Formerly the property of Barnaby Carney of Norfolk County, Virginia; left him 4 years ago. GBC.</t>
  </si>
  <si>
    <t>Euige</t>
  </si>
  <si>
    <t>Formerly the property of Barnaby Carney of Norfolk County</t>
  </si>
  <si>
    <t>Sarah McDonald, 17, stout girl. Formerly the property of James Goddin of Nansemond, Virginia; left him 4 years ago. GBC.</t>
  </si>
  <si>
    <t>McDonald</t>
  </si>
  <si>
    <t>Formerly the property of James Goddin of Nansemond</t>
  </si>
  <si>
    <t>Ishmael Moseley, 26, stout fellow. Formerly the property of James Carraway of Norfolk County, Virginia; left him 5 years ago. GBC.</t>
  </si>
  <si>
    <t>Moseley</t>
  </si>
  <si>
    <t>Formerly the property of James Carraway of Norfolk County</t>
  </si>
  <si>
    <t>Teresa Connor, 24, stout wench. Formerly the property of Richard Jordan of the Isle White County; left him four years ago. GBC.</t>
  </si>
  <si>
    <t>Teresa</t>
  </si>
  <si>
    <t>the Isle White County</t>
  </si>
  <si>
    <t>John Jackson, 33, stout fellow. Formerly the property of William Malcombe of the Province of New York; left him 6 years ago.</t>
  </si>
  <si>
    <t>the Province of New York</t>
  </si>
  <si>
    <t>Patty Johnson, 27, stout wench, Thomas Copper of Accomak, Eastern Shore Virginia, claimant. Formerly the property of George Parker of the Eastern Shore, Virginia; left him 4 years ago. GBC.</t>
  </si>
  <si>
    <t>Formerly the property of George Parker of the Eastern Shore</t>
  </si>
  <si>
    <t>Harry Williams, 35, stout fellow. Formerly the property of John Gray of Bladen County, North Carolina; left him 4 years ago. GBC.</t>
  </si>
  <si>
    <t>Formerly the property of John Gray of Bladen County</t>
  </si>
  <si>
    <t>Bladen County</t>
  </si>
  <si>
    <t>John White, 30, stout fellow. Formerly the property of Thomas Be of Nansemond, Virginia; left him 4 years ago. GBC.</t>
  </si>
  <si>
    <t>Silvia White, 24, stout wench. Formerly the property of Lambert Newton of Princess Ann County, Virginia; left him 5 years ago. GBC.</t>
  </si>
  <si>
    <t>Formerly the property of Lambert Newton of Princess Ann County</t>
  </si>
  <si>
    <t>Prima Johnston, 60, feeble fellow. Formerly the property of William Currier of Cecil County, Maryland; left him 6 years ago. GBC.</t>
  </si>
  <si>
    <t>Prima</t>
  </si>
  <si>
    <t>Johnston</t>
  </si>
  <si>
    <t>Formerly the property of William Currier of Cecil County</t>
  </si>
  <si>
    <t>Nancy Johnston, 45, stout wench. Formerly the property of John Randall of Prince George County, Virginia; left him 4 years ago. GBC.</t>
  </si>
  <si>
    <t>Formerly the property of John Randall of Prince George County</t>
  </si>
  <si>
    <t>Dominick Yellow, 17, stout fellow, M. Formerly the property of Anthony Ball of Northumberland County, Virginia; left him 2 years ago. GBC.</t>
  </si>
  <si>
    <t>Dominick</t>
  </si>
  <si>
    <t>Yellow</t>
  </si>
  <si>
    <t>Formerly the property of Anthony Ball of Northumberland County</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</si>
  <si>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</si>
  <si>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</si>
  <si>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</si>
  <si>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Carey</t>
  </si>
  <si>
    <t>Charlotte Cary, 15 months, healthy child, M. Daughter to Polly Carey and born within the British Lines.</t>
  </si>
  <si>
    <t>Charlotte Cary</t>
  </si>
  <si>
    <t>Jenny Carey, 4, fine child, M. Daughter to Polly Carey and born within the British Lines.</t>
  </si>
  <si>
    <t>Samuel Johnson, 27, stout fellow. Formerly the property of Willis Hargrove of Nansemond, Virginia; left him 4 years ago. GBC.</t>
  </si>
  <si>
    <t>Formerly the property of Willis Hargrove of Nansemond</t>
  </si>
  <si>
    <t>Nancy McKay, 20, stout wench, Formerly the property of Francis Ballard of Hampton, Virginia; left him 3 years ago. GBC.</t>
  </si>
  <si>
    <t>McKay</t>
  </si>
  <si>
    <t>Formerly the property of Francis Ballard of Hampton</t>
  </si>
  <si>
    <t>James Connor, 25, stout fellow. Formerly the property of Charles Connor of Norfolk County, Virginia; left him four years ago. GBC.</t>
  </si>
  <si>
    <t>Judith Wallis, 2 weeks, healthy infant. Daughter to Margaret Willus; born within the British Lines.</t>
  </si>
  <si>
    <t>Wallis</t>
  </si>
  <si>
    <t>Nancy Brown, 13, stout girl. Formerly the property of Matthew Phips of Norfolk, Virginia; left him 6 years ago. GBC.</t>
  </si>
  <si>
    <t>Formerly the property of Matthew Phips of Norfolk</t>
  </si>
  <si>
    <t>Peter Johnson, 30, stout fellow. Formerly the property of Robert Momrris of Philadelphia; left him 6 years ago. GBC.</t>
  </si>
  <si>
    <t>Betsey Johnson, 32, stout wench. She produces a Certificate of freedom from Margaret Oglivie her former mistress.</t>
  </si>
  <si>
    <t>Blucke</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</si>
  <si>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</si>
  <si>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</si>
  <si>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</si>
  <si>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</si>
  <si>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Lawerence</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</si>
  <si>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</si>
  <si>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</si>
  <si>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</si>
  <si>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Johns</t>
  </si>
  <si>
    <t>John Green, 35, stout fellow. Formerly the property of Ralph Faulkner of Petersburgh, Virginia; left him 4 years ago. GBC.</t>
  </si>
  <si>
    <t>Green</t>
  </si>
  <si>
    <t>David Shepherd, 15, likely boy. Formerly the property of William Shepherd, Nansemond, Virginia; left him 4 years ago. GBC.</t>
  </si>
  <si>
    <t>Jenny Bush, 11, likely girl. Daughter to Margaret Willus ad came from Virginia with her mother who says she is free born.</t>
  </si>
  <si>
    <t>Wallus</t>
  </si>
  <si>
    <t>Cathern Van Sayl, 26, stout wench. Formerly the property of John Vanderveer of Monmouth, New Jersey; left him 5 years ago. GBC.</t>
  </si>
  <si>
    <t>Van Sayl</t>
  </si>
  <si>
    <t>Formerly the property of John Vanderveer of Monmouth</t>
  </si>
  <si>
    <t>Peter Van Sayl, 2 months, healthy child. Daughter to Catharine Vasayl &amp; born within the British Lines.</t>
  </si>
  <si>
    <t>Cornelius Van Sayl, 30, stout fellow. Formerly the property of John Lloyd of Monmouth, New Jersey; left him 5 years ago. GBC.</t>
  </si>
  <si>
    <t>Cornelius</t>
  </si>
  <si>
    <t>Formerly the property of John Lloyd of Monmouth</t>
  </si>
  <si>
    <t>Rose Bond, 21, stout wench. Formerly the property of Andrew Stuart of Crane Island, Virginia; left him 4 years ago. GBC.</t>
  </si>
  <si>
    <t>Bond</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</si>
  <si>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</si>
  <si>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</si>
  <si>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</si>
  <si>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Formerly the property of John Bond of Nancymond</t>
  </si>
  <si>
    <t>Charles Ford, 28, stout fellow. Formerly the property of William Hodges of Norfolk County, Virginia; left him 6 years ago. GBC.</t>
  </si>
  <si>
    <t>Ford</t>
  </si>
  <si>
    <t>Hannah Ford, 30, stout wench. Formerly the property of Joseph Jolly of Norfolk County, Virginia; left him 6 years ago. GBC.</t>
  </si>
  <si>
    <t>Keziah Ford, 2, fine child. Daughter to Hannah Ford &amp; born within the British Lines.</t>
  </si>
  <si>
    <t>Keziah</t>
  </si>
  <si>
    <t>Joseph Elliot, 30. Formerly the property of John Elliot, Gloucester County, Virginia; left him 6 years ago. GBC.</t>
  </si>
  <si>
    <t>Nancy Elliot, 26, stout wench. Formerly the property of Edward Mozley of Norfolk County, Virginia; left him 5 years ago. GBC.</t>
  </si>
  <si>
    <t>Formerly the property of Edward Mozley of Norfolk County</t>
  </si>
  <si>
    <t>Margaret Wallus, 27, stout wench. She says she is free &amp; produces Gen. Birch's Certificate. She came from Virginia four years ago.</t>
  </si>
  <si>
    <t>Mary Van Sayl, 5, likely girl. Formerly the property of John Vanderveer of Monmouth, New Jersey; left him 5 years ago. GBC.</t>
  </si>
  <si>
    <t>Esther Langley, 23, stout wench, M. Formerly the property of Johnson Langley of Norfolk Co., Virginia; left him 3 years ago. GBC.</t>
  </si>
  <si>
    <t>Langley</t>
  </si>
  <si>
    <t>Priscilla Gordon, 19, stout wench. Formerly the property of Willis Wilkinson of Nansemond Co., Virginia; left him 4 years ago. GBC.</t>
  </si>
  <si>
    <t>Mary, 11 months, healthy child. Daughter to Priscilla Gordon and born within the British Lines.</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</si>
  <si>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</si>
  <si>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</si>
  <si>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</si>
  <si>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</si>
  <si>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</si>
  <si>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Formerly the property of James McKay of Norfolk</t>
  </si>
  <si>
    <t>Lydia Walker, 7, fine girl. Formerly the property of James McKay of Norfolk, Virginia; left him 7 years ago. GBC.</t>
  </si>
  <si>
    <t>Duskey York, 24, stout fellow. Formerly the property of Nathaniel Degree of Charlestown, South Carolina; left him 4 years ago. GBC.</t>
  </si>
  <si>
    <t>Duskey</t>
  </si>
  <si>
    <t>Formerly the property of Nathaniel Degree of Charlestown</t>
  </si>
  <si>
    <t>Duskey York</t>
  </si>
  <si>
    <t>Betsey York, 24, stout wench. Formerly the property of John Boden of the Eastern Shore, Virginia; left him 5 years ago. GBC.</t>
  </si>
  <si>
    <t>Betsey York</t>
  </si>
  <si>
    <t>Sally York, 18 months, sickly child. Daughter to Betsey York and born within the British lines.</t>
  </si>
  <si>
    <t>Richard Swan, 23, stout fellow. Formerly the property of John Willoughby of Norfolk, Virginia; left him 7 years ago. GBC.</t>
  </si>
  <si>
    <t>Swan</t>
  </si>
  <si>
    <t>Sally Dennis, 20, stout wench. Formerly the property of Lucas Burrell of Williamsburgh, Virginia; left him 2 years ago. GBC.</t>
  </si>
  <si>
    <t>Dennis</t>
  </si>
  <si>
    <t>Formerly the property of Lucas Burrell of Williamsburgh</t>
  </si>
  <si>
    <t>John Dennis, 19 months, likely child, M. Son to Sally Dennis and born within the British lines.</t>
  </si>
  <si>
    <t>Elizabeth Thomson, 28, stout wench. Formerly the property of George Ingrim of Northumberland County, Virginia; left him 6 years ago. GBC.</t>
  </si>
  <si>
    <t>Tobia Peterkin, 22, stout fellow. Formerly the property of William Wilder of Somerset County, Maryland; left him 3 years ago. GBC.</t>
  </si>
  <si>
    <t>Tobia</t>
  </si>
  <si>
    <t>Peterkin</t>
  </si>
  <si>
    <t>Formerly the property of William Wilder of Somerset County</t>
  </si>
  <si>
    <t>Sally Harrington, 35, stout wench. Formerly the property of Smith McKenzie of Savannah, Georgia; left him 5 years ago. GBC.</t>
  </si>
  <si>
    <t>Harrington</t>
  </si>
  <si>
    <t>Formerly the property of Smith McKenzie of Savannah</t>
  </si>
  <si>
    <t>George Talbot, 36, stout fellow. Formerly the property of Solomon Talbot of Norfolk, Virginia; left him 5 years ago. GBC.</t>
  </si>
  <si>
    <t>Susannah Talbot, 37, stout wench. Formerly the property of Bayley Guy of Norfolk, Virginia; left him 4 years ago. GBC.</t>
  </si>
  <si>
    <t>Formerly the property of Bayley Guy of Norfolk</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</si>
  <si>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</si>
  <si>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</si>
  <si>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</si>
  <si>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</si>
  <si>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Snail</t>
  </si>
  <si>
    <t>Jane Milligan, 20, stout wench. Formerly the property of James Johnson of Savannah, Georgia; left him 2 years ago. GBC.</t>
  </si>
  <si>
    <t>Milligan</t>
  </si>
  <si>
    <t>Maria Milligan, 9 months, healthy child. Daughter to Jane Milligan and born within the British lines.</t>
  </si>
  <si>
    <t>Abby Milligan, 30, stout wench. Formerly the property of John Willoughby of Norfolk County, Virginia; left him 7 years ago. GBC.</t>
  </si>
  <si>
    <t>Formerly the property of John Willoughby of Norfolk County</t>
  </si>
  <si>
    <t>William Patrick, 12, fine boy. Formerly the property of John Willoughby of Norfolk County, Virginia; left him 7 years ago. GBC.</t>
  </si>
  <si>
    <t>Dinah Brown, 3, sickly child. Daughter to Abby Brown &amp; born within the British lines.</t>
  </si>
  <si>
    <t>Harry Harrington, 40, stout fellow. Formerly the property of Litrop Blake of Charlestown, South Carolina; left him 5 years ago. GBC.</t>
  </si>
  <si>
    <t>Formerly the property of Litrop Blake of Charlestown</t>
  </si>
  <si>
    <t>Boston King, 23, stout fellow. Formerly the property of Richard Waring of Charlestown, South Carolina; left him 4 years ago. GBC.</t>
  </si>
  <si>
    <t>Formerly the property of Richard Waring of Charlestown</t>
  </si>
  <si>
    <t>Violet King, 35, stout wench. Formerly the property of Col. Young of Wilmington, North Carolina; left him 3 years ago. GBC.</t>
  </si>
  <si>
    <t>Young of Wilmington</t>
  </si>
  <si>
    <t>Betsey August, 27, stout wench, Formerly the property of Thomas Bowman, Indian Land, South Carolina; left him 4 years ago. GBC.</t>
  </si>
  <si>
    <t>Daniel Moore, 26, stout fellow. Formerly the property of John Moore of Wilmington, North Carolina; left him 7 years ago. GBC.</t>
  </si>
  <si>
    <t>Tinah Moore, 31, stout wench. Formerly the property off Elizabeth Porter of Portsmouth, Virginia; left her 7 years ago. GBC.</t>
  </si>
  <si>
    <t>Tinah</t>
  </si>
  <si>
    <t>Formerly the property off Elizabeth Porter of Portsmouth</t>
  </si>
  <si>
    <t>Elizabeth Moore, 6, fine child. Daughter to Tinah Moore and born within the British Lines.</t>
  </si>
  <si>
    <t>Sarah Goddin, 45, feeble wench. Formerly the property of Grizzy Cooper of Nansemond, Virginia; left her 2 years ago. GBC.</t>
  </si>
  <si>
    <t>Formerly the property of Grizzy Cooper of Nansemond</t>
  </si>
  <si>
    <t>Celia Goddin, 9, likely girl, Formerly the property of Grizzy Cooper of Nansemond, Virginia; left her 2 years ago. GBC.</t>
  </si>
  <si>
    <t>Cyrus Speir, 40, stout fellow, Formerly the property of Cyrus Speir of Cross creek, No. Carolina; left him 7 years ago. GBC.</t>
  </si>
  <si>
    <t>Speir</t>
  </si>
  <si>
    <t>Cross creek</t>
  </si>
  <si>
    <t>Carolina</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</si>
  <si>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</si>
  <si>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</si>
  <si>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</si>
  <si>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Formerly the property of George Bar of Nansemond</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</si>
  <si>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</si>
  <si>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</si>
  <si>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</si>
  <si>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Formerly the property of Edward Thewston of Norfolk County</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</si>
  <si>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</si>
  <si>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</si>
  <si>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</si>
  <si>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</si>
  <si>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Zilpah</t>
  </si>
  <si>
    <t>Cevils</t>
  </si>
  <si>
    <t>Formerly the property of John Wiloughby of Norfolk</t>
  </si>
  <si>
    <t>Hannah Cevils, 10, likely girl. Formerly the property of John Willoughby of Norfolk, Virginia; left him 7 years ago. GBC.</t>
  </si>
  <si>
    <t>Patience Freeman, 18, likely girl. Formerly the property of John Willoughby of Norfolk, Virginia; left him 7 years ago. GBC.</t>
  </si>
  <si>
    <t>Formerly the property of John Willoughby of Norfolk</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</si>
  <si>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</si>
  <si>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</si>
  <si>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Formerly the property of Richard Murray of Princess Ann County</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</si>
  <si>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</si>
  <si>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</si>
  <si>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</si>
  <si>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China</t>
  </si>
  <si>
    <t>Formerly the property of Richard Sparrow of Princess Ann County</t>
  </si>
  <si>
    <t>Anna Cheese, 30, stout wench. Formerly the property of William Glover of Prince George County, Virginia; left him 3 years ago. GBC.</t>
  </si>
  <si>
    <t>Cheese</t>
  </si>
  <si>
    <t>Formerly the property of William Glover of Prince George County</t>
  </si>
  <si>
    <t>William Cheese, 45, stout fellow. Formerly the property of Benjamin Harrison, Province of Virginia; left him 3 years ago. GBC.</t>
  </si>
  <si>
    <t>Binah Jackson, 28, stout wench. Formerly the property of Thomas Waring of Charlestown, South Carolina; left him 5 years ago. GBC.</t>
  </si>
  <si>
    <t>Binah</t>
  </si>
  <si>
    <t>Formerly the property of Thomas Waring of Charlestown</t>
  </si>
  <si>
    <t>Thomas Jackson, 28, stout fellow. Formerly the property of Stephen Shrewsbury of Charlestown, South Carolina; left him 4 years ago. GBC.</t>
  </si>
  <si>
    <t>Benjamin Hevelin, 50, stout fellow. Formerly the property of John Hevlin of Elizabeth town, New Jersey; left him 7 years ago. GBC.</t>
  </si>
  <si>
    <t>Hevelin</t>
  </si>
  <si>
    <t>Formerly the property of John Hevlin of Elizabeth town</t>
  </si>
  <si>
    <t>Isabel Gibbons, 20, likely girl. Margaret Blucke purchased her of Mrs. Coventry's daughter and gave her freedom. GBC.</t>
  </si>
  <si>
    <t>Isabel</t>
  </si>
  <si>
    <t>Gibbons</t>
  </si>
  <si>
    <t>Margaret Blucke, 40, stout wench. Says she was born free in Mrs. Coventry's family in New York &amp; bought her freedom 14 years ago. GBC.</t>
  </si>
  <si>
    <t>Stephen Blucke, 31, stout fellow. Says he was born free in the Island of Barbadoes and produces General Birch's Certificate.</t>
  </si>
  <si>
    <t>Dublin Gordon, 31, stout fellow. Formerly the property of Patrick Haynes of Charlestown, South Carolina; left him 7 years ago.</t>
  </si>
  <si>
    <t>Venus Miller, 24, stout wench. Formerly the property of John Whitten of Norfolk County, Virginia; left him 4 years ago. GBC.</t>
  </si>
  <si>
    <t>Formerly the property of John Whitten of Norfolk County</t>
  </si>
  <si>
    <t>Betsey Herbert, 26, stout wench. Formerly the property of Robert Barron of Norfolk County, Virginia; left him 3 years ago. GBC.</t>
  </si>
  <si>
    <t>Jenny Herbert, 6, fine child. Formerly the property of Robert Barron of Norfolk County, Virginia; left him 3 years ago. GBC.</t>
  </si>
  <si>
    <t>Formerly the property of Robert Barron of Norfolk County</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</si>
  <si>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</si>
  <si>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</si>
  <si>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</si>
  <si>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</si>
  <si>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</si>
  <si>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Parks</t>
  </si>
  <si>
    <t>Francis Jones, 42, stout fellow. Formerly the property of Thomas Mocock of Charles city, Virginia; left him 3 years ago. GBC.</t>
  </si>
  <si>
    <t>Formerly the property of Thomas Mocock of Charles city</t>
  </si>
  <si>
    <t>Charles city</t>
  </si>
  <si>
    <t>Philip Gordon, 23, stout fellow. Formerly the property of George Gordon of Nansemond, Virginia; left him 3 years ago. GBC.</t>
  </si>
  <si>
    <t>Formerly the property of George Gordon of Nansemond</t>
  </si>
  <si>
    <t>Priscilla Gordon, 20, stout wench. Formerly the property of Willis Wilkinson of Charlestown, South Carolina; left him 5 years ago. GBC.</t>
  </si>
  <si>
    <t>Formerly the property of Willis Wilkinson of Charlestown</t>
  </si>
  <si>
    <t>Robert Keeling, 26, stout fellow. Late the property of Captain Keelings of Nansemond, Virginia; left him 4 years ago.</t>
  </si>
  <si>
    <t>Sharp Westcott, 12, fine boy. Formerly the property of George Isdale, Elizabeth, Virginia; left him 5 years ago.</t>
  </si>
  <si>
    <t>Westcott</t>
  </si>
  <si>
    <t>Dick Profitt, 57, worn out. Formerly the property of Harry Brown, Portsmouth, Virginia; left him 7 years ago.</t>
  </si>
  <si>
    <t>Profitt</t>
  </si>
  <si>
    <t>Joseph Westcott, 60, worn out. Formerly the property of Wright Westcott, Norfolk, Virginia; left him 5 years ago.</t>
  </si>
  <si>
    <t>William Moses, 18, stout lad. Formerly the property of Peter Birdny, Northampton, Virginia; left him 4 years ago.</t>
  </si>
  <si>
    <t>Thomas Hawkins, 28, stout fellow. Formerly the property of Richard Nottingham, Northampton, Virginia; left him 7 years ago.</t>
  </si>
  <si>
    <t>Nat Taskew, 23, stout fellow. Formerly the property of Charles Graham, lower Marlborough, Maryland; left him 3 years ago.</t>
  </si>
  <si>
    <t>Taskew</t>
  </si>
  <si>
    <t>lower Marlborough</t>
  </si>
  <si>
    <t>Marlborough</t>
  </si>
  <si>
    <t>Robert Nickinson, 54, worn out. Formerly the property of Capt. Joseph Nickinson of Norfolk, Virginia; left him 4 years ago.</t>
  </si>
  <si>
    <t>Nickinson</t>
  </si>
  <si>
    <t>James Morris, 28, stout fellow. Formerly the property of Phil Lord, Grimes, Middlesex County, Virginia; left him 5 years ago.</t>
  </si>
  <si>
    <t>Middlesex County</t>
  </si>
  <si>
    <t>Kingston Hutchins, 29, stout fellow. Formerly the property of John Hutchins, Norfolk County, Virginia; left him 5 years ago.</t>
  </si>
  <si>
    <t>Baggerty Rogers, 45, stout fellow. Formerly the property of Nicholas Gautter, Norfolk County, Virginia; left him 4 years ago.</t>
  </si>
  <si>
    <t>Baggerty</t>
  </si>
  <si>
    <t>Dinah Conner, 19, stout wench. Formerly the property of Charles Conner, Crane Island, Virginia; left him 5 years ago.</t>
  </si>
  <si>
    <t>Kessiah Sheppard, 18, stout wench. Formerly the property of Saul Shepperd, 18, stout wench. Formerly the property of Saul Sheppard, Norfolk, Virginia; left him 4 years ago.</t>
  </si>
  <si>
    <t>Kessiah</t>
  </si>
  <si>
    <t>Jenny Rogers, 30, stout wench with 2 children 9 &amp; 6 years old. Formerly the property of David Pursell of Portsmouth, Virginia; left him 4 years ago.</t>
  </si>
  <si>
    <t>Formerly the property of David Pursell of Portsmouth</t>
  </si>
  <si>
    <t>Unis Caldwell, 19, stout wench, M. Formerly the property of Ozel Kimberly of Newhaven, New England; left him 4 years ago.</t>
  </si>
  <si>
    <t>Unis</t>
  </si>
  <si>
    <t>Caldwell</t>
  </si>
  <si>
    <t>Ozel Kimberly</t>
  </si>
  <si>
    <t>Newhaven</t>
  </si>
  <si>
    <t>Kitty Murray, 30, stout wench with a girl 10 years old. Formerly the property of William Sheppard, Nansemond, Virginia; left him 4 years ago.</t>
  </si>
  <si>
    <t>Moses Murray, 30, stout fellow. Formerly the property of James Murder, Norfolk County, Virginia; left him 4 years ago.</t>
  </si>
  <si>
    <t>Sarah Bell, 19, stout wench. Formerly the property of John Bell of Suffolk County, Virginia; left him 2 years ago.</t>
  </si>
  <si>
    <t>Bell</t>
  </si>
  <si>
    <t>Formerly the property of John Bell of Suffolk County</t>
  </si>
  <si>
    <t>Judy Weedon, 14, fine girl. Free as per Bill of Sale.</t>
  </si>
  <si>
    <t>Weedon</t>
  </si>
  <si>
    <t>Jenny Toney, 52, worn out. Formerly the property of Daniel Underwood, Connecticut, Rhode Island; free by Bill of Sale.</t>
  </si>
  <si>
    <t>George Shields, 19, stout fellow. Formerly the property of William Nixon, Norfolk, Virginia; left him 3 years ago.</t>
  </si>
  <si>
    <t>George Bayley, 22, stout fellow. Formerly the property of Matthew Phrip, Norfolk, Virginia; left him 4 years ago.</t>
  </si>
  <si>
    <t>Bayley</t>
  </si>
  <si>
    <t>Thomas Basset, 39, stout fellow. Born free at Petersburgh, Virginia; left 2 years ago.</t>
  </si>
  <si>
    <t>Anthony Trewell, 26, stout fellow. Formerly the property of John Trewell, Sussex County, Delaware; left him 1 years ago.</t>
  </si>
  <si>
    <t>Trewell</t>
  </si>
  <si>
    <t>Sussex County</t>
  </si>
  <si>
    <t>Delaware</t>
  </si>
  <si>
    <t>John Paul, 48, worn out. Formerly the property of Wilson Curt, Northampton, Virginia; left him 5 years ago.</t>
  </si>
  <si>
    <t>Joseph Glair, 50, worn out. Formerly the property of John Blair, Eastern shore, Virginia; left him 5 years ago.</t>
  </si>
  <si>
    <t>Glair</t>
  </si>
  <si>
    <t>Eastern shore</t>
  </si>
  <si>
    <t>Peter Weeks, 45, stout fellow. Says he was born free at Northampton on the estate of Major John Robins; left him 5 years ago.</t>
  </si>
  <si>
    <t>Rachel Herbert, 24, stout wench with 1 girl 3 weeks old. Formerly the property of Melsey Wilkinson, Nansemond, Virginia; left him 4 years ago.</t>
  </si>
  <si>
    <t>Nancy Peters, 50, stout wench. Formerly the property of Thomas Phipps of Charlestown, South Carolina; left him 4 years ago.</t>
  </si>
  <si>
    <t>Formerly the property of Thomas Phipps of Charlestown</t>
  </si>
  <si>
    <t>Hannah Blair, 25, stout wench with 2 fine sons, 4 &amp; 2 years old. Formerly the property of Jacob Hancock, Eastern Shore, Virginia; left him 7 years ago.</t>
  </si>
  <si>
    <t>Blair</t>
  </si>
  <si>
    <t>Molly Wescot, 36, stout wench with 2 fine girls, 12 &amp; 8 years old. Formerly the property of George Izzard, Norfolk, Virginia; left him 5 years ago.</t>
  </si>
  <si>
    <t>Wescot</t>
  </si>
  <si>
    <t>Becky Seabrook, 27, stout wench. Formerly the property of John Seabrook of Charlestown, South Carolina; left him 5 years ago.</t>
  </si>
  <si>
    <t>Becky</t>
  </si>
  <si>
    <t>Seabrook</t>
  </si>
  <si>
    <t>Formerly the property of John Seabrook of Charlestown</t>
  </si>
  <si>
    <t>Venus Profit, 50, ordinary wench. Formerly the property of Mr. Knapp of Gosport, Virginia; left him 7 years ago.</t>
  </si>
  <si>
    <t>Knapp of Gosport</t>
  </si>
  <si>
    <t>Gosport</t>
  </si>
  <si>
    <t>Patty Nickinson, 40, stout wench. Says she served 21 years with James Tinniald of Willoughby bay, Virginia; left him 5 years ago.</t>
  </si>
  <si>
    <t>Says she served 21 years with James Tinniald of Willoughby bay</t>
  </si>
  <si>
    <t>Priscilla Ivory, 45, stout wench. Formerly the property of Robert Gordon of Nansemond, Virginia; left him 4 years ago.</t>
  </si>
  <si>
    <t>Ivory</t>
  </si>
  <si>
    <t>Formerly the property of Robert Gordon of Nansemond</t>
  </si>
  <si>
    <t>Dinah Laurence, 30, stout wench. Formerly the property of John Murphy, Isle of Wight, Virginia; left him 5 years ago.</t>
  </si>
  <si>
    <t>Laurence</t>
  </si>
  <si>
    <t>Dinah Weeks, 35, stout wench. Formerly the property of Robert Bruce of New York who she says gave her her freedom 6 months ago.</t>
  </si>
  <si>
    <t>Lucy Morris, 26, stout wench &amp; child 8 months old. Formerly the property of Lambert Lightfort, Isle of Wight, Virginia; left him 4 years ago.</t>
  </si>
  <si>
    <t>Luke Smith, 18, stout fellow. Formerly the property of William Hodges, Western branch, Virginia; left him 6 years ago.</t>
  </si>
  <si>
    <t>Rose, 40, stout wench. Formerly the property of Nicholas Ryall of Elisabeth, Virginia; left him 5 years ago.</t>
  </si>
  <si>
    <t>Elisabeth</t>
  </si>
  <si>
    <t>Abby Paul, 45, stout wench &amp; son 7 years old. Formerly the property of Wright Westcott, Norfolk, Virginia; left him 5 years ago.</t>
  </si>
  <si>
    <t>Dick Lawrence, 35, stout fellow. Formerly the property of John Laurence of Isle of Wight who gave him his freedom 4 years ago.</t>
  </si>
  <si>
    <t>Joseph Haynes, 28, stout fellow. Formerly the property of Peter Boder, Eastern Shore, Virginia; left him 4 years ago.</t>
  </si>
  <si>
    <t>Haynes</t>
  </si>
  <si>
    <t>James Knapp, 12, fine boy. Formerly the property of Andrew Sproule, Portsmouth, Virginia; left him 7 years ago.</t>
  </si>
  <si>
    <t>Knapp</t>
  </si>
  <si>
    <t>Amos Carrey, 45, stout fellow. Formerly the property of Mrs. Col. Carey of NewPort left her 7 years ago.</t>
  </si>
  <si>
    <t>Carrey</t>
  </si>
  <si>
    <t>Nel Richards, 19, stout fellow. Formerly the property of Mr. McNeill of the Island of Jamaica; left him 4 years ago.</t>
  </si>
  <si>
    <t>Nel</t>
  </si>
  <si>
    <t>Toney Christian, 40, stout fellow. Formerly the property of Michael Christian, Northampton, Virginia; left him 4 years ago.</t>
  </si>
  <si>
    <t>Christian</t>
  </si>
  <si>
    <t>John Ivory, 35, stout fellow. Formerly the property of Thomas Newton, Norfolk, Virginia; left him 3 years ago.</t>
  </si>
  <si>
    <t>John McKay, 40, stout fellow. Formerly the property of Sovereign Ayres, Northampton, Virginia; left him 4 years ago.</t>
  </si>
  <si>
    <t>Adam Veters, 30, stout fellow. Formerly the property of Sovereign Ayres, Northampton, Virginia; left him 4 years ago.</t>
  </si>
  <si>
    <t>Veters</t>
  </si>
  <si>
    <t>Samuel Brown, 17, stout fellow. Formerly the property of Richard Garret, Beaufort, South Carolina; left him 3 years ago.</t>
  </si>
  <si>
    <t>Michael Thomas, 18, stout fellow. Formerly the property of Charles Thomas, James river, Virginia; left him 3 years ago.</t>
  </si>
  <si>
    <t>James river</t>
  </si>
  <si>
    <t>Jack Taylor, 27, stout fellow. Formerly the property of Widow Taylor, Norfolk, Virginia; left him 4 years ago.</t>
  </si>
  <si>
    <t>Taylor</t>
  </si>
  <si>
    <t>Sally Haynes, 25, stout wench. Formerly the property of Peter Boden, Eastern Shore, Virginia; left him 4 years ago.</t>
  </si>
  <si>
    <t>Saunders Smith, 22, stout fellow. Formerly the property of William Hodges, Western branch, Virginia; left him 6 years ago.</t>
  </si>
  <si>
    <t>James Smith, 50, worn out. Formerly the property of William Beyley, Norfolk County, Virginia; left him 6 years ago.</t>
  </si>
  <si>
    <t>Eunis Smith, 10, fine girl. Formerly the property of William Hodges, Norfolk County, Virginia; left him 6 years ago.</t>
  </si>
  <si>
    <t>Eunis</t>
  </si>
  <si>
    <t>Patience Ford, 24, stout wench. Late the property of Matthew Baxton, Norfolk, Virginia; left him 5 years ago. GBC.</t>
  </si>
  <si>
    <t>Dennis Ford, 29, stout man. Late the property of John Hodges, Norfolk, Virginia; left him 5 years ago. GBC.</t>
  </si>
  <si>
    <t>Sarah Jones, 33, stout wench. Late the property of Richard Stevens, Port Royal, South Carolina; left him 4 years ago.</t>
  </si>
  <si>
    <t>Port Royal</t>
  </si>
  <si>
    <t>Alice Tankard, 20, stout wench with a daughter 5 years old. Late the property of Scarborough Tankard, Norfolk, Virginia; left him 5 years ago.</t>
  </si>
  <si>
    <t>Alice</t>
  </si>
  <si>
    <t>Jane Bell, 26, stout wench with a daughter 8 years old. Late the property of John Bell of Sussex County, Maryland; left him 1½ years ago.</t>
  </si>
  <si>
    <t>Edmond Bell, 33, stout fellow. Late the property of John Bell of Sussex County, Maryland; left him 1½ years ago. GBC.</t>
  </si>
  <si>
    <t>Edmond</t>
  </si>
  <si>
    <t>Late the property of John Bell of Sussex County</t>
  </si>
  <si>
    <t>Annie Keeling, 26, stout wench with 1 small child. Late the property of Thomas Halliday of Nansemond, Virginia; left him 4 years ago. GBC.</t>
  </si>
  <si>
    <t>Annie</t>
  </si>
  <si>
    <t>Late the property of Thomas Halliday of Nansemond</t>
  </si>
  <si>
    <t>David Edwards, 27, stout fellow. Born free at Boston, lived as coachman with Sir William Pepperel. GBC.</t>
  </si>
  <si>
    <t>Sarah Edwards, 23, stout wench with 2 small children. Late the property of Mrs. Col. Carleton; left by her in New York. GBC.</t>
  </si>
  <si>
    <t>Tommy Post, 33, stout fellow. Late the property of John Post, Stotterdam, New Jersey; left him 6 years ago.</t>
  </si>
  <si>
    <t>Post</t>
  </si>
  <si>
    <t>Stotterdam</t>
  </si>
  <si>
    <t>Ned Cox, 19, stout fellow. Late the property of Philip Grimes, Rapphannock, Virginia; left him 4 years ago. GBC.</t>
  </si>
  <si>
    <t>Rapphannock</t>
  </si>
  <si>
    <t>Charles Bailey, 19, stout fellow. Late the property of Barney Bailey, Southampton, Virginia; left him 3 years ago. GBC.</t>
  </si>
  <si>
    <t>Bailey</t>
  </si>
  <si>
    <t>Peter Vansuyl, 32, stout fellow. Late the property of Gabriel Woodman of Tom's River, New Jersey; left him 5 years ago. GBC.</t>
  </si>
  <si>
    <t>Vansuyl</t>
  </si>
  <si>
    <t>Thomas Sheppard, 55, stout man. Late the property of Joseph Shepperd, Norfolk, Virginia; left him 5 years ago. GBC.</t>
  </si>
  <si>
    <t>Gabriel Lawrance, 18 months, fine child. Son to Dinah Lawrence and born within the British lines.</t>
  </si>
  <si>
    <t>Lawrance</t>
  </si>
  <si>
    <t>Samuel Moore, 26, stout fellow. Formerly the property of Skinker More at Lokers folly, North Carolina; left him 7 years ago.</t>
  </si>
  <si>
    <t>Formerly the property of Skinker More at Lokers folly</t>
  </si>
  <si>
    <t>Lucy Shepperd, 45, stout wench. Late the property of Robert Barrett, Norfolk, Virginia; left him 5 years ago.</t>
  </si>
  <si>
    <t>Shepperd</t>
  </si>
  <si>
    <t>Luke Wilson, 28, stout man. Late the property of James Parker, Norfolk County, Virginia; left him 7 years ago.</t>
  </si>
  <si>
    <t>Rose Smith, 12, fine girl. Formerly the property of William Hodges, Norfolk County, Virginia; left hm 6 years ago.</t>
  </si>
  <si>
    <t>Susannah Smith, 40, stout wench with a child 4 years old. Late the property of William Hodges, Norfolk County, Virginia; left him 6 years ago.</t>
  </si>
  <si>
    <t>James Young, 30, stout fellow. Late the property of John Phillips, Norfolk County, Virginia; left him 6 years ago.</t>
  </si>
  <si>
    <t>Molly Burgis, 24, stout wench, M. Late the property of Nathaniel Batt, Buttermilk Bay, Massachusetts; left him 4 years ago.</t>
  </si>
  <si>
    <t>Burgis</t>
  </si>
  <si>
    <t>Buttermilk Bay</t>
  </si>
  <si>
    <t>Jeffrey Burgis, 35, stout fellow. Late the property of Nathaniel Burges, Norfolk County, Virginia; left him 4 years ago.</t>
  </si>
  <si>
    <t>Samuel Craney, 20, stout fellow. Late the property of Edward Wise of Great Patowmack river, Virginia; left him 4 years ago.</t>
  </si>
  <si>
    <t>Craney</t>
  </si>
  <si>
    <t>Late the property of Edward Wise of Great Patowmack river</t>
  </si>
  <si>
    <t>Great Patowmack</t>
  </si>
  <si>
    <t>Lydia Carey, 45, stout wench. Late the property of Joseph Jolly, Norfolk County, Virginia; left him 4 years ago.</t>
  </si>
  <si>
    <t>Thomas Carey, 50, stout fellow. Late the property of William Reed, Blackwater, Virginia; left him 7 years ago.</t>
  </si>
  <si>
    <t>Blackwater</t>
  </si>
  <si>
    <t>John Martin, 30, stout fellow, stutters. Late the property of John Wyatt, Norfolk County, Virginia; left him 4 years ago.</t>
  </si>
  <si>
    <t>John Townsend, 21, stout fellow. Late the property of Daniel Sturgis of Pennsylvania; left him 2 years ago.</t>
  </si>
  <si>
    <t>Hester Johnson, 26. Late the property of John Bell, Sussex County, Maryland; left him 2 years ago.</t>
  </si>
  <si>
    <t>John Johnson, 24, stout fellow. Late the property of William Wade, Sussex County, Maryland; left him 2 years ago.</t>
  </si>
  <si>
    <t>John Jackson, 23, stout fellow. Late the property of Mrs. Jemma Whittfield, Isle of Wight County, Virginia; left him 5 years ago.</t>
  </si>
  <si>
    <t>Rachel Bell, 16, fine wench. Late property of John Bell, Sussex County, Maryland; left him 1 year ago.</t>
  </si>
  <si>
    <t>Daniel Proffitt, 24, stout fellow. Late the property of Joseph Jolly, Norfolk County, Virginia; left him 7 years ago.</t>
  </si>
  <si>
    <t>Joseph Tramell, 24, stout fellow. Late the property of Henry Jones, Northampton County, Virginia; left him 5 years ago.</t>
  </si>
  <si>
    <t>Tramell</t>
  </si>
  <si>
    <t>Thomas Pool her grandson, 15, fine boy. Late the property of Robert Barrett, Southern branch, Virginia; left him 1 year ago.</t>
  </si>
  <si>
    <t>Pool her grandson</t>
  </si>
  <si>
    <t>Margaret, 65, worn out. Late the property of John Whitten, Southern branch, Virginia; left him 5 years ago.</t>
  </si>
  <si>
    <t>Southern branch</t>
  </si>
  <si>
    <t>Thomas Shields, 63, worn out. Late the property of William Shields, Norfolk, Virginia; left him 5 years ago.</t>
  </si>
  <si>
    <t>Dorothy Fall, 22, stout wench with a boy 1 year old. Late the property of William White of Nansemond, Virginia; left him 4 years ago.</t>
  </si>
  <si>
    <t>Fall</t>
  </si>
  <si>
    <t>Late the property of William White of Nansemond</t>
  </si>
  <si>
    <t>Adam Fall, 27, stout fellow. Late the property of Edward Fenwick. St. Mary's, Maryland; left him 4 years ago.</t>
  </si>
  <si>
    <t>Clara Campbell, 23, stout wench with a boy 3 months old. Says she was born free, Norfolk, Virginia.</t>
  </si>
  <si>
    <t>Annie Jordan, 26, stout wench with a boy 3 years old. Late the property of Richard Jordan of the Isle of Wight, Virginia; left him 5 years ago.</t>
  </si>
  <si>
    <t>Late the property of Richard Jordan of the Isle of Wight</t>
  </si>
  <si>
    <t>William Jordan, 32, stout fellow. Late the property of Richard Jordan of the Isle of Wight, Virginia; left him 5 years ago.</t>
  </si>
  <si>
    <t>James Jones, 42, stout fellow. Late the property of Benjamin Jones of the Island of Bermuda; taken &amp; brought in here 7 years ago.</t>
  </si>
  <si>
    <t>the Island of Bermuda</t>
  </si>
  <si>
    <t>Lucy Bush, 35, stout wench with a boy 5 years old. Late the property of William Warner nigh Philadelphia; left him 5 years ago.</t>
  </si>
  <si>
    <t>Isaac Bush, 35, stout fellow. Late the property of Matthew Phrip, Norfolk County, Virginia; left him 5 years ago.</t>
  </si>
  <si>
    <t>Dolly Wilson, 45, stout wench. Late the property of Henry Singleton, Norfolk County, Virginia; left him 7 years ago.</t>
  </si>
  <si>
    <t>Silvie Tramell, 22, stout wench. Late the property of Andrew Stewart of Princess Ann County, Virginia; left him 5 years ago.</t>
  </si>
  <si>
    <t>Silvie</t>
  </si>
  <si>
    <t>Late the property of Andrew Stewart of Princess Ann County</t>
  </si>
  <si>
    <t>Thomas Evans, 40, stout fellow. Formerly the property of Andrew Evans of Charlestown, South Carolina; left him 7 years ago.</t>
  </si>
  <si>
    <t>Hannah Jackson, 12, fine girl. Formerly the property of William Holt of Williamsburgh, Virginia; left him 4 years ago.</t>
  </si>
  <si>
    <t>L'Abondence</t>
  </si>
  <si>
    <t>Ennis</t>
  </si>
  <si>
    <t>Sanders</t>
  </si>
  <si>
    <t>Trowell</t>
  </si>
  <si>
    <t>Bassett</t>
  </si>
  <si>
    <t>Thomas Pool her</t>
  </si>
  <si>
    <t>grandson</t>
  </si>
  <si>
    <t>Burges</t>
  </si>
  <si>
    <t>Gibbins</t>
  </si>
  <si>
    <t>Heulin</t>
  </si>
  <si>
    <t>Proffott</t>
  </si>
  <si>
    <t>Anney</t>
  </si>
  <si>
    <t>Kessick</t>
  </si>
  <si>
    <t>Edmund</t>
  </si>
  <si>
    <t>Tomey</t>
  </si>
  <si>
    <t>Shephard</t>
  </si>
  <si>
    <t>Jeany</t>
  </si>
  <si>
    <t>Judey</t>
  </si>
  <si>
    <t>Jeffery</t>
  </si>
  <si>
    <t>Cranney</t>
  </si>
  <si>
    <t>Calsa</t>
  </si>
  <si>
    <t>Spur</t>
  </si>
  <si>
    <t>Prissilla</t>
  </si>
  <si>
    <t>Katty</t>
  </si>
  <si>
    <t>Ceasar</t>
  </si>
  <si>
    <t>Demps</t>
  </si>
  <si>
    <t>Voilet</t>
  </si>
  <si>
    <t>Cloe</t>
  </si>
  <si>
    <t>Dusky</t>
  </si>
  <si>
    <t>Lydie</t>
  </si>
  <si>
    <t>Tashew</t>
  </si>
  <si>
    <t>Prissella</t>
  </si>
  <si>
    <t>Pabley</t>
  </si>
  <si>
    <t>Nickkinson</t>
  </si>
  <si>
    <t>Beckkey</t>
  </si>
  <si>
    <t>Abbey</t>
  </si>
  <si>
    <t>Collett</t>
  </si>
  <si>
    <t>Katherine</t>
  </si>
  <si>
    <t>Governier</t>
  </si>
  <si>
    <t>Cryt</t>
  </si>
  <si>
    <t>Pharo</t>
  </si>
  <si>
    <t>Paterson</t>
  </si>
  <si>
    <t>Wilburn</t>
  </si>
  <si>
    <t>Charotte</t>
  </si>
  <si>
    <t>Hamond</t>
  </si>
  <si>
    <t>Cornelius Van</t>
  </si>
  <si>
    <t>Sayl</t>
  </si>
  <si>
    <t>Peter Van</t>
  </si>
  <si>
    <t>Mary Van</t>
  </si>
  <si>
    <t>Cathern Van</t>
  </si>
  <si>
    <t>Murry</t>
  </si>
  <si>
    <t>Thirisso</t>
  </si>
  <si>
    <t>Christzer</t>
  </si>
  <si>
    <t>Kesiah</t>
  </si>
  <si>
    <t>Ishmeal</t>
  </si>
  <si>
    <t>Euinge</t>
  </si>
  <si>
    <t>Glais</t>
  </si>
  <si>
    <t>Lake</t>
  </si>
  <si>
    <t>Waistcoat</t>
  </si>
  <si>
    <t>L'Abundance</t>
  </si>
  <si>
    <t>Hesther</t>
  </si>
  <si>
    <t>La Aigle</t>
  </si>
  <si>
    <t>Lidia</t>
  </si>
  <si>
    <t>John Blain</t>
  </si>
  <si>
    <t>Phillister</t>
  </si>
  <si>
    <t>Jonny</t>
  </si>
  <si>
    <t>Prudence</t>
  </si>
  <si>
    <t>Lettius</t>
  </si>
  <si>
    <t>Levitia</t>
  </si>
  <si>
    <t>Crocker</t>
  </si>
  <si>
    <t>Cockburn</t>
  </si>
  <si>
    <t>Larry</t>
  </si>
  <si>
    <t>Pomp</t>
  </si>
  <si>
    <t>Bobb</t>
  </si>
  <si>
    <t>Lesslie</t>
  </si>
  <si>
    <t>Quash</t>
  </si>
  <si>
    <t>Ladies Adventure</t>
  </si>
  <si>
    <t>David Devonshire, 21, stout fellow, (Kyphanson). Formerly the property of Mr. John Hamilton of South Carolina; left him &amp; returned to Augustine.</t>
  </si>
  <si>
    <t>Ladies Adventure bound for Spithead &amp; Germany Humble, Master</t>
  </si>
  <si>
    <t>Devonshire</t>
  </si>
  <si>
    <t>Kyphanson</t>
  </si>
  <si>
    <t>Augustine</t>
  </si>
  <si>
    <t>Samuel Banmord, 30, stout fellow, (Knyphanson). Formerly the property of Jeremiah Brewer of Brooklyn, Long Island; left him 7 years ago. GBC.</t>
  </si>
  <si>
    <t>Banmord</t>
  </si>
  <si>
    <t>Knyphanson</t>
  </si>
  <si>
    <t>Lady's Adventure</t>
  </si>
  <si>
    <t>Capt. Robert Gibson</t>
  </si>
  <si>
    <t>James Jenkins, 23, stout man, (Lt. Davidson, KAD). General Birch's Certificate Proclamation. Formerly the property of Benjamin Jenkins, Charlestown, South Carolina.</t>
  </si>
  <si>
    <t>Ship Lady's Adventure bound for St. John's Capt. Robt. Gibson</t>
  </si>
  <si>
    <t>Capt. Robt. Gibson</t>
  </si>
  <si>
    <t>Lt. Davidson, KAD</t>
  </si>
  <si>
    <t>George Greenard, 19, stout mulatto, (Capt. Fulton, KAD), Formerly served Mr. Greenard at Charlestown; left it with Sir Henry Clinton's Army. GBC.</t>
  </si>
  <si>
    <t>Greenard</t>
  </si>
  <si>
    <t>Capt. Fulton, KAD</t>
  </si>
  <si>
    <t>Edmund Hill, 21, stout man, (Pioneer, KAD). General Birch's Certificate to be free formerly the property of Lewis Adams of Somerset County, New Jersey.</t>
  </si>
  <si>
    <t>Pioneer, KAD</t>
  </si>
  <si>
    <t>Andrew Hilton, 22, stout mulatto, (Pioneer, KAD,). Free by General Birch's certificate, says he was born in the family of Basil Brooks, Benedict County, Maryland; his other an Indian.</t>
  </si>
  <si>
    <t>Hilton</t>
  </si>
  <si>
    <t>Pioneer, KAD,</t>
  </si>
  <si>
    <t>Benedict County</t>
  </si>
  <si>
    <t>Charles Allen, 25, stout, M, between an Indian &amp; Span., (Pioneer, KAD). Free by General Birch's certificate says he lived with Matthew Hobbs of Sussex County, Maryland, until 25.</t>
  </si>
  <si>
    <t>Indian/Spanish</t>
  </si>
  <si>
    <t>Hannah Roberts, 30, healthy, (Capt. Humble, Ship Adventure). Free born at Bermuda. GBC</t>
  </si>
  <si>
    <t>Capt. Humble, Ship Adventure</t>
  </si>
  <si>
    <t>Gabriel Dickenson, 22, stout, (Pioneer, KAD). Free by General Birch's certificate. Free born at North Castle, New York Government.</t>
  </si>
  <si>
    <t>Dickenson</t>
  </si>
  <si>
    <t>Charles Terrill, 21, stout (Trumpeter KAD). Free by General Birch's certificate; formerly the property of Mr. John Murphy, Richmond, Virginia.</t>
  </si>
  <si>
    <t>Terrill</t>
  </si>
  <si>
    <t>Trumpeter KAD</t>
  </si>
  <si>
    <t>John Frederick, 21½, stout, (Trumpeter, KAD). Free by General Birch's certificate; formerly the property of Lord Baltimore who gave him his freedom.</t>
  </si>
  <si>
    <t>Trumpeter, KAD</t>
  </si>
  <si>
    <t>Pompey Brown, 21, stout, Maj. Murray, (KAD). General Birch's certificate Proclamation. Formerly the property of Richard Stevens, Back Society, New Jersey.</t>
  </si>
  <si>
    <t>KAD</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</si>
  <si>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</si>
  <si>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</si>
  <si>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Higginson</t>
  </si>
  <si>
    <t>Cornet Nicollson, KAD</t>
  </si>
  <si>
    <t>Abraham Marrian, 25, stout (Lt. Tarbell, KAD) General Birch's Certificate Proclamation. Formerly the property of General Marion.</t>
  </si>
  <si>
    <t>Marrian</t>
  </si>
  <si>
    <t>Lt. Tarbell, KAD</t>
  </si>
  <si>
    <t>Scipio Jenkins, 16, stout boy, (Cornet Freeman, KAD). General Birch's Certificate Proclamation. Formerly the property of Benjamin Jenkins, Charlestown, South Carolina.</t>
  </si>
  <si>
    <t>Cornet Freeman, KAD</t>
  </si>
  <si>
    <t>Elsia Daughty, 19, stout mulatto, half Indian, (R.A. Dragoon). Free born and served Ben Doughty at Flushing, 18 years.</t>
  </si>
  <si>
    <t>Elsia</t>
  </si>
  <si>
    <t>Daughty</t>
  </si>
  <si>
    <t>R.A. Dragoon</t>
  </si>
  <si>
    <t>Joseph Stewart, 15, stout boy, (Capt. Stewart KAD). General Birch's Certificate Proclamation. Formerly the property of Crawford, Middletown, Jersey.</t>
  </si>
  <si>
    <t>Capt. Stewart KAD</t>
  </si>
  <si>
    <t>Crawford</t>
  </si>
  <si>
    <t>Henry Cruden, 13, stout boy, (Col. Thomson, KAD). Given to Col. Thomson by Col. Cruden.</t>
  </si>
  <si>
    <t>Cruden</t>
  </si>
  <si>
    <t>Col. Thomson, KAD</t>
  </si>
  <si>
    <t>Hester Walton, 28, stout, blind of an eye, (Cornet Nicolson, KAD). Formerly Mr. Colb's, South Carolina; left him 4 years ago. General Birch's Certificate.</t>
  </si>
  <si>
    <t>Cornet Nicolson, KAD</t>
  </si>
  <si>
    <t>Hector Micuro, 23, stout mulatto, (Trumpeter KAD). Formerly servant to Mr. Pyate at Charlestown; left it with Col. Thompson, GBC.</t>
  </si>
  <si>
    <t>Micuro</t>
  </si>
  <si>
    <t>William Dixon, 18, stout black, (Lt. Jones, KAD). Formerly slave to Mr. Glenn near Charlestown; left that five years ago. GBC.</t>
  </si>
  <si>
    <t>Lt. Jones, KAD</t>
  </si>
  <si>
    <t>Silvia Bailley, 26, thin wench, black, (Major Murray, KAD). Formerlly servant to Thomas Heartley, Georgia; sent from thence by Col. Cruger. GBC.</t>
  </si>
  <si>
    <t>Bailley</t>
  </si>
  <si>
    <t>Formerlly servant to Thomas Heartley</t>
  </si>
  <si>
    <t>Major Murray, KAD</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</si>
  <si>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</si>
  <si>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</si>
  <si>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</si>
  <si>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Killingsworth</t>
  </si>
  <si>
    <t>Israel Crawford, 27, stout blind of the righty eye, (Lt. Tomlinson. KAD). Formerly servant to John Griffin at Campden. Left him two years ago. GBC</t>
  </si>
  <si>
    <t>Israel</t>
  </si>
  <si>
    <t>Lt. Tomlinson. KAD</t>
  </si>
  <si>
    <t>Campden</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</si>
  <si>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</si>
  <si>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</si>
  <si>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Nancook</t>
  </si>
  <si>
    <t>Jeremy Dyer, 20, tall and stout, (Cornet Parks, KAD). Formerly slave to Samuel Dyer, Rhode Island; left him with the troops four years ago.</t>
  </si>
  <si>
    <t>Jeremy</t>
  </si>
  <si>
    <t>Dyer</t>
  </si>
  <si>
    <t>Cornet Parks, KAD</t>
  </si>
  <si>
    <t>George Roberts, 30, stout, (Capt. Humble, Ship Adventure). Free born, totally ignorant of the place of his birth. GBC</t>
  </si>
  <si>
    <t>Joseph Kelley, 25, stout mulatto, (Pioneer, KAD) Free agreeable to General Birch's certificate, till 21 years of age lived at Sam Hopkin's of Satocket.</t>
  </si>
  <si>
    <t>Kelley</t>
  </si>
  <si>
    <t>Dick Jackson, 21, stout man, (Trumpeter, [KAD]). Formerly the property of Col. Lloyd of Maryland, free as certified by General Birch.</t>
  </si>
  <si>
    <t>Trumpeter, [KAD]</t>
  </si>
  <si>
    <t>William Hanson, 22, stout, (Capt. Fulton, KAD). Free by General Birch's Certificate, formerly lived with Mr. Hanson in Maryland from whom he was taken by an armed boat about a year ago.</t>
  </si>
  <si>
    <t>Hanson</t>
  </si>
  <si>
    <t>Stephen Samson, 22, stout man, (Cornet Reynolds, KAD). General Birch's certificate; formerly the property of John Whitman of Charlestown, South Carolina who just before he died at New York about 4½ years ago gave him his freedom in presence of William Bryant.</t>
  </si>
  <si>
    <t>Cornet Reynolds, KAD</t>
  </si>
  <si>
    <t>Sam Everly, 30, stout and tall, (Major Murray, KAD). Free man, formerly slave to Mr. Thomas Everley at Charlestown.</t>
  </si>
  <si>
    <t>Everly</t>
  </si>
  <si>
    <t>Lucy Letchmore, 22, stout, black, (R.A. Dragoon). Formerly slave to Mr. Barker, South Carolina; came to New York about 8 years ago with Captain Lawson, bridge master.</t>
  </si>
  <si>
    <t>Letchmore</t>
  </si>
  <si>
    <t>Clarisa Roberts, 6, healthy, (Capt. Humble, Ship Adventure). Born free.</t>
  </si>
  <si>
    <t>Clarisa</t>
  </si>
  <si>
    <t>James Watson, 30, stout man, (Cornet Reynolds, KAD). Formerly the property of Mr. Colb at Cheerwas, South Carolina, General Birch's Certificate.</t>
  </si>
  <si>
    <t>Cheerwas</t>
  </si>
  <si>
    <t>Daniel Green, 20, stout black, (Trumpeter, KAD). Given free by Captain Williams, Master of a Transport in England. GBC.</t>
  </si>
  <si>
    <t>Tilley Moses, 12, healthy mulatto wench, (R.A. Dragoon). Born free in Virginia.</t>
  </si>
  <si>
    <t>Tilley</t>
  </si>
  <si>
    <t>Judith Everly, 18, squat, stout wench, Guinea born (Major Murray, KAD). Formerly slave to Mr. Everly.</t>
  </si>
  <si>
    <t>Nathaniel Lindsay, 20, stout man, (Cornet Lechmore, KAD). Free born in the Grenades. General Birch's certificate.</t>
  </si>
  <si>
    <t>Lindsay</t>
  </si>
  <si>
    <t>Cornet Lechmore, KAD</t>
  </si>
  <si>
    <t>Joyce Moses, 20, healthy mulatto wench, (R.A. Dragoon). Says she was born free in the West Indies.</t>
  </si>
  <si>
    <t>Edward Lloyd, 19, [stout man], (Trumpeter, KAD). Formerly the property of Ebenezer Cowley of Fairfield who gave him his freedom.</t>
  </si>
  <si>
    <t>Sally Terrell, 22, stout mulatto, half Indian, (R.A. Dragoon). Formerly slave to Mr. Graham, Jamaica, West Indies.</t>
  </si>
  <si>
    <t>Terrell</t>
  </si>
  <si>
    <t>John Stewart, 19, [stout man], (Lt. Stewart, KAD). General Birch's certificate says he was born free but formerly lived with John Williamson, Charleston, South Carolina.</t>
  </si>
  <si>
    <t>Lt. Stewart, KAD</t>
  </si>
  <si>
    <t>Charleston</t>
  </si>
  <si>
    <t>Keatie Dyer, 25, stout mulatto wench, (Cornet Reynolds, KAD). Formerly servant to Mr. Dyer, Rhode Island, and left that place with the troops six years ago.</t>
  </si>
  <si>
    <t>Keatie</t>
  </si>
  <si>
    <t>20</t>
  </si>
  <si>
    <t>Bella Jenkins, 24, stout mulatto wench, (Cornet Freeman, KAD.) Formerly slave to Mr. Wigfall, Charlestown, left in the year 1780. G.B. Certificate.</t>
  </si>
  <si>
    <t>Cornet Freeman, KAD.</t>
  </si>
  <si>
    <t>Peter Moses, 27, stout man, (Pioneer, KAD). Formerly the property of General Balford of Hampton, Virginia, says that at his death got his freedom about 8 years ago.</t>
  </si>
  <si>
    <t>Lehigh</t>
  </si>
  <si>
    <t>Molly, 40, ordinary wench, incurably lame of left arm, (B. Pioneers). Formerly slave to Mr. Hogwood, Great Bridge near Portsmouth, Virginia; left him in 1779.</t>
  </si>
  <si>
    <t>Lehigh bound for Annapolis Royal John Blair, Master</t>
  </si>
  <si>
    <t>John Blair</t>
  </si>
  <si>
    <t>Great Bridge near Portsmouth</t>
  </si>
  <si>
    <t>B. Pioneers</t>
  </si>
  <si>
    <t>Fanny Brown, 40, stout lump of a wench, (Black Pioneers). Formerly slave to Robert Gilmore, Norfolk, Virginia; left her with Lord Dunmore in 1776.</t>
  </si>
  <si>
    <t>George, 1, (B. Pioneers). Born within the British lines.</t>
  </si>
  <si>
    <t>John Cockburn, 56, ordinary fellow, (Black Pioneers). Born free as appears by General Birch's Certificate.</t>
  </si>
  <si>
    <t>John, 4 months, ordinary fellow, (Black Pioneers). Born within the British Lines.</t>
  </si>
  <si>
    <t>Nancy, 36, ordinary wench, (Black Pioneers). Formelry slave to George Walden, Charlestown, South Carolina; left him in 1776.</t>
  </si>
  <si>
    <t>Patty, 6, likely girl, (Black Pioneers). Born within the British Lines.</t>
  </si>
  <si>
    <t>Charlotte, 18, stout wench, (Black Pioneers). Formerly slave to Alexander Foreman, Great Bridge near Portsmouth, Virginia; left him in 1779.</t>
  </si>
  <si>
    <t>Jenny, 9, (B. Pioneers). Formelry slave to Mr. Hogwood, Great Bridge near Portsmouth, Virginia; left him in 1779.</t>
  </si>
  <si>
    <t>Harry, 3, (B. Pioneers). Born within the British Lines.</t>
  </si>
  <si>
    <t>Joseph, 7, (Black Pioneers). Formerly slave to Mr. Hogwood, Great Bridge near Portsmouth, Virginia; left him in 1779.</t>
  </si>
  <si>
    <t>Pleasant, 26, ordinary wench, (Black Pioneers). Formerly slave to Col. Godfrey, Norfolk, Virginia; left him in 1778.</t>
  </si>
  <si>
    <t>Sally, 27, ordinary wench, (Black Pioneers). Formerly slave to Samuel Ash, Edisto, South Carolina; left him in 1779.</t>
  </si>
  <si>
    <t>Edisto</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</si>
  <si>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</si>
  <si>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</si>
  <si>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</si>
  <si>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</si>
  <si>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August, 7, likely boy, (Black Pioneers). Formerly slave to Phil Phelix, Philadelphia; left him in 1778.</t>
  </si>
  <si>
    <t>Sally, 32, ordinary wench, (Black Pioneers). Formerly slave to Isaac Waite, Charlestown, South Carolina; left him 1779.</t>
  </si>
  <si>
    <t>Silvia, 55, ordinary wench, worn out, (Black Pioneers). Formerly slave to Joseph Hunt, Charlestown, South Carolina; left his service 20 years ago. Says she is free.</t>
  </si>
  <si>
    <t>Mary, 20, likely wench, (Black Pioneers). Formerly slave to William Conner, Crane Island near Norfolk, Virginia; left him in 1778.</t>
  </si>
  <si>
    <t>Crane Island near Norfolk</t>
  </si>
  <si>
    <t>Prudence, 11, likely girl, (Black Pioneers). Formerly slave to William Conner, Crane Island near Norfolk, Virginia; left him in 1778.</t>
  </si>
  <si>
    <t>Betsey, 36, ordinary wench, (Black Pioneers). Formerly slave to William Conner, Crane Island near Norfolk, Virginia; left him in 1778.</t>
  </si>
  <si>
    <t>Sarah, 42, ordinary wench, stone blind, (Black Pioneers). Formerly slave to Lord Dunmore. Left him in 1776.</t>
  </si>
  <si>
    <t>Sam, 10, likely boy, (Black Pioneers). Formerly slave to Willis Wilson, Portsmouth, Virginia; left him 1778.</t>
  </si>
  <si>
    <t>Grace, 20, ordinary wench, (Black Pioneers). Formerly slave to Col. Carter, James River, Virginia; left him in 1779.</t>
  </si>
  <si>
    <t>Pleasant, 17, likely wench, (B. Pioneers). Formerly servant to Willis Wilkinson, Nansemond, Virginia; left him in 1778.</t>
  </si>
  <si>
    <t>Ned, 6, likely boy, (Black Pioneers). Formerly slave to Col. Godfrey, Norfolk, Virginia; left him in 1778.</t>
  </si>
  <si>
    <t>Prince, 30, ordinary fellow with a wooden leg, (B. Pioneers). Formerly servant to Mr. Spooner, Philadelphia; left him in 1777.</t>
  </si>
  <si>
    <t>Will, 50, ordinary fellow, (B. Pioneers). Formerly servant to Mr. Scarborough, Norfolk, Virginia; left him in 1778.</t>
  </si>
  <si>
    <t>Inspected by Captains Gilfillan &amp; Armstrong &amp; Lieutenant Col. Smith.</t>
  </si>
  <si>
    <t>by Captains Gilfillan &amp; Armstrong &amp; Lieutenant Col. Smith</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</si>
  <si>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</si>
  <si>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</si>
  <si>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</si>
  <si>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</si>
  <si>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</si>
  <si>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Johnny, ½, infant, (Black Pioneers). Born within the British Lines.</t>
  </si>
  <si>
    <t>Johnny</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</si>
  <si>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</si>
  <si>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</si>
  <si>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</si>
  <si>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</si>
  <si>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Valley Forge</t>
  </si>
  <si>
    <t>Abraham Lesslie, 31, stout fellow, (B. Pioneers). Formerly servant to Richard Quints, Upper Town Creek, North Carolina; left him in 1776.</t>
  </si>
  <si>
    <t>Upper Town Creek</t>
  </si>
  <si>
    <t>Quash, 39, ordinary rascal, (B. Pioneers). Formerly servant to Parker Quints, Upper Town Creek, North Carolina; left him 1776.</t>
  </si>
  <si>
    <t>Lettius, 11, likely child, (Black Pioneers). Formerly slave to Col. Godfrey, Norfolk, Virginia; left him in 1778.</t>
  </si>
  <si>
    <t>Little Dale</t>
  </si>
  <si>
    <t>Sarah &amp; 2 children, 25, short mulatto wench, (Richard Vanderborough). Says she was born free in Philip's Manor, lived with Isaac Vermille.</t>
  </si>
  <si>
    <t>Little Dale bound for St. John's River Richard Helsick</t>
  </si>
  <si>
    <t>Richard Helsick</t>
  </si>
  <si>
    <t>Richard Vanderborough</t>
  </si>
  <si>
    <t>23, stout fellow, (Richard Vanderborough). Formerly slave to Leonard Van Klock at Poughkeepsie; left him 5 years ago.</t>
  </si>
  <si>
    <t>Poughkeepsie</t>
  </si>
  <si>
    <t>Jude, 14, short wench. (Donn VanDyne of St. John's claimant. (Donn VanDyne). Property of Donn VanDyne in whose family she was born.</t>
  </si>
  <si>
    <t>Donn VanDyne of St. John's claimant. (Donn VanDyne</t>
  </si>
  <si>
    <t>Jacob, 12, likely boy. Donn VanDyne of St. John's , claimant. (Don VanDyne). Property of Donn VanDyne in whose family he was born.</t>
  </si>
  <si>
    <t>Don VanDyne</t>
  </si>
  <si>
    <t>London, 68, worn out, a cooper, Thomas Bosworth of St. John's, claimant. (Thomas Bosworth). Property of Thomas Bosworth who purchased him 16 years ago.</t>
  </si>
  <si>
    <t>Thomas Bosworth</t>
  </si>
  <si>
    <t>Sarah and 2</t>
  </si>
  <si>
    <t>Richard Kelsick</t>
  </si>
  <si>
    <t>Peter, 15, (Capt. Pitcairn, 82 Regt). Formerly slave to John Munn, Charlestown, South Carolina; left him 2 years past by proclamation.</t>
  </si>
  <si>
    <t>Little Dale bound for Halifax Ketrick, Master</t>
  </si>
  <si>
    <t>Ketrick</t>
  </si>
  <si>
    <t>Capt. Pitcairn, 82 Regt</t>
  </si>
  <si>
    <t>Barbara Ogden, 35, stout wench, (on her own bottom). Formerly slave to Stephen Baldwin, Paramus, New Jersey; left him 4 years ago.</t>
  </si>
  <si>
    <t>Jack, 15, stout boy, (Christopher Benson, Junr.). Formerly slave to Capt. Pearson, King's Creek, Virginia; brought away about 2 years ago by Capt. Kid, New York, Commanding a privateer.</t>
  </si>
  <si>
    <t>&amp; infant</t>
  </si>
  <si>
    <t>Christopher Benson, Junr.</t>
  </si>
  <si>
    <t>Creek</t>
  </si>
  <si>
    <t>London Frigate</t>
  </si>
  <si>
    <t>Hugh Walls</t>
  </si>
  <si>
    <t>May</t>
  </si>
  <si>
    <t>Gullet</t>
  </si>
  <si>
    <t>Dunk</t>
  </si>
  <si>
    <t>Lautten</t>
  </si>
  <si>
    <t>Syrrus</t>
  </si>
  <si>
    <t>Bogert</t>
  </si>
  <si>
    <t>Gads</t>
  </si>
  <si>
    <t>Wyllie</t>
  </si>
  <si>
    <t>Williiam</t>
  </si>
  <si>
    <t>Sippio</t>
  </si>
  <si>
    <t>Blew</t>
  </si>
  <si>
    <t>McGriggor</t>
  </si>
  <si>
    <t>Mannan</t>
  </si>
  <si>
    <t>Singleton</t>
  </si>
  <si>
    <t>Simsa</t>
  </si>
  <si>
    <t>Simonsbury</t>
  </si>
  <si>
    <t>Nannis</t>
  </si>
  <si>
    <t>Preniah</t>
  </si>
  <si>
    <t>Dina</t>
  </si>
  <si>
    <t>Sara</t>
  </si>
  <si>
    <t>Blue</t>
  </si>
  <si>
    <t>Byrrian</t>
  </si>
  <si>
    <t>Blavelt</t>
  </si>
  <si>
    <t>Susana</t>
  </si>
  <si>
    <t>Hand</t>
  </si>
  <si>
    <t>Palmer</t>
  </si>
  <si>
    <t>Perrow</t>
  </si>
  <si>
    <t>Knight</t>
  </si>
  <si>
    <t>London, Frigate</t>
  </si>
  <si>
    <t>William Bogert, 20, stout make, (Charles Oliver Bruff). Formerly slave to John Bogert, Tappan, New Jersey; left him about 5 years ago in consequence of Proclamation.</t>
  </si>
  <si>
    <t>London, Frigate bound for Port Roseway Hugh Watts, Master</t>
  </si>
  <si>
    <t>Charles Oliver Bruff</t>
  </si>
  <si>
    <t>William Syrrus, 30, stout make, (Alpheus Palmer). Formerly slave to Joseph Smith, Charlestown, taken at the siege of Charlestown on his way from the enemy camp.</t>
  </si>
  <si>
    <t>Alpheus Palmer</t>
  </si>
  <si>
    <t>Richard Lautten, 41, stout make, (James Dowell). Free born in New Castle County, Pennsylvania, at his father's house.</t>
  </si>
  <si>
    <t>Free born in New Castle County</t>
  </si>
  <si>
    <t>James Dowell</t>
  </si>
  <si>
    <t>New Castle County</t>
  </si>
  <si>
    <t>Thomas Browne, 40, stout make, 3 long scars each cheek, (George Rapalje). Formerly slave to Ahasmerus Merselis near Hackensack, New Jersey; left him 4 ½ years past by proclamation.</t>
  </si>
  <si>
    <t>Formerly slave to Ahasmerus Merselis near Hackensack</t>
  </si>
  <si>
    <t>George Rapalje</t>
  </si>
  <si>
    <t>Isaac, 21, squat stout mulatto, (William Cassels). Formerly slave to John Henderson, Williamsburgh, Virginia; brought off by his parents 5 years ago by proclamation.</t>
  </si>
  <si>
    <t>William Cassels</t>
  </si>
  <si>
    <t>Dick Richards, 22, stout fellow, (William Cassels). Formerly slave to John Wriden, Isle of White, Virginia; left him 4½ years past by proclamation.</t>
  </si>
  <si>
    <t>Isle of White</t>
  </si>
  <si>
    <t>Joseph, 32, stout fellow, (James Dowell). Formerly slave to Capt. Cunningham, Jamaica, West Indies, who left him free at his death.</t>
  </si>
  <si>
    <t>Cunningham</t>
  </si>
  <si>
    <t>Isaac Connor, 49, ailing man, (John Wilson). Formerly slave to Charles Connors, Norfolk, Virginia; left him 4 years past by proclamation.</t>
  </si>
  <si>
    <t>John Simonsbury, 43, healthy, (Alpheus Palmer). Formerly slave to Charles Collins, Fredericksburgh, Dutchess County; left him four years past by proclamation.</t>
  </si>
  <si>
    <t>Fredericksburgh</t>
  </si>
  <si>
    <t>Dutchess County</t>
  </si>
  <si>
    <t>Thomas Smith, 25, stout, brickmaker, (Charles Oliver Bruff). Formerly slave to Sparrows Maybee, Tappan, New Jersey; left him about 5 years ago in consequence of Proclamation.</t>
  </si>
  <si>
    <t>William Dunk, 32, stout fellow, (Charles Oliver Bruff). Formerly slave to John Blavalt, Tappan, New Jersey; left him 4½ years past by proclamation.</t>
  </si>
  <si>
    <t>Ben Broughton, 38, passable, (Alpheus Palmer). Formerly slave to Thomas Hoggat, Norfolk, Virginia; left him about 4 years ago in consequence of Proclamation.</t>
  </si>
  <si>
    <t>Henry McGrigger, 24, stout fellow, (Alpheus Palmer). Formerly slave to Thomas Haywood, Charlestown; joined the British troops under the command of General Provost on its march near Charlestown.</t>
  </si>
  <si>
    <t>McGrigger</t>
  </si>
  <si>
    <t>Simsa Herring, 25, stout fellow, (Charles Oliver Bruff). Formerly slave to Daniel Herring near Tappan, New Jersey; left 4½ years ago on the strength of the proclamation.</t>
  </si>
  <si>
    <t>Formerly slave to Daniel Herring near Tappan</t>
  </si>
  <si>
    <t>Judith Saunders, 25, stout wench, better half Indian (George Rapalje). Born free at Stonington in the home of Thomas Williams, Connecticut.</t>
  </si>
  <si>
    <t>Stonington</t>
  </si>
  <si>
    <t>Gad Saunders, 25, stout man, (George Rapalje). Formerly slave to David Gilbert, New Haven, Connecticut; left him 4 years ago. Deserter from the Continental army.</t>
  </si>
  <si>
    <t>Gad</t>
  </si>
  <si>
    <t>New Haven</t>
  </si>
  <si>
    <t>Samuel Wyllie, 30, stout man, (Mr. Ray). Formerly slave to Edward Davis at Savannah; left the said place with General Clark and the troops. GBC.</t>
  </si>
  <si>
    <t>Mr. Ray</t>
  </si>
  <si>
    <t>Williiam Fortune, 40, stout man, (Mr. Ray). Formerly slave to John Morgan at Harrington, New Jersey, came in on the strength of General Howe's proclamation 6 years past. GBC.</t>
  </si>
  <si>
    <t>Formerly slave to John Morgan at Harrington</t>
  </si>
  <si>
    <t>Jacob Miles, 36, stout fellow, (James Dowell). Came with the troops from Philadelphia to New York; says he was born free at Dover, Pennsylvania.</t>
  </si>
  <si>
    <t>Dover</t>
  </si>
  <si>
    <t>Sippio Simmons, 26, stout lad, (Richard White). Given to General Provost by General Haldin and on the General's death left him free.</t>
  </si>
  <si>
    <t>Richard White</t>
  </si>
  <si>
    <t>Robert Blew, 30, stout fellow, (Richard White). Formerly a servant to Captain Gills who left him with Parson turner which parson he left 4 years ago &amp; joined the British troops at Norfolk in Consequence of Proclamation.</t>
  </si>
  <si>
    <t>Peter Randall, 23, stout fellow, (William Cassels). Formerly slave to James Field in Petersburg, Virginia whom he left 4 years ago &amp; came to New York.</t>
  </si>
  <si>
    <t>Formerly slave to James Field in Petersburg</t>
  </si>
  <si>
    <t>Petersburg</t>
  </si>
  <si>
    <t>William Mannan, 27, thin lathy fellow, (Richard White). Formerly slave to George Sobriskey at Oldbridge, Jersey, about 7 years ago.</t>
  </si>
  <si>
    <t>George May, 34, stout fellow, (James Dowell). Formerly slave to Mr. Radlow, Jamaica, West Indies; came to New York about 9 years ago in a transport.</t>
  </si>
  <si>
    <t>James Perrow, 38, squat little man, (Charles Oliver Bruff). Left free by Alexander Blaes, Raritan landing, New Jersey.</t>
  </si>
  <si>
    <t>Raritan landing</t>
  </si>
  <si>
    <t>Raritan</t>
  </si>
  <si>
    <t>Thomas Ogden, 29, stout, scar on the point of left eye, (on his own bottom). Formerly slave to Stephen Baldwin, New Jersey; left him 4½ years ago in consequence of proclamation.</t>
  </si>
  <si>
    <t>Formerly slave to Stephen Baldwin</t>
  </si>
  <si>
    <t>Tom Knight, 38, squat little man, (Joseph Inglish). Left Antigua about four years ago. Steven Clarkely.</t>
  </si>
  <si>
    <t>Joseph Inglish</t>
  </si>
  <si>
    <t>Dinah McGrigger, 24, stout wench, mulatto, (Alpheus Palmer). Formerly slave to John Dale on John's Island, South Carolina; left him 5 years past by proclamation.</t>
  </si>
  <si>
    <t>Formerly slave to John Dale on John's Island</t>
  </si>
  <si>
    <t>Moses Palmer, 18, stout, Ben Palmer of Frogs Neck, claimant. Goes with the son Elizabeth Williams, 36, small wench, (Kenneth Renck). Free.</t>
  </si>
  <si>
    <t>Kenneth Renck</t>
  </si>
  <si>
    <t>Samuel Martin, 16, stout make, (on his own bottom). Formerly slave to Stephen Baldwin in N. Ark mountains in the Jerseys; left his master 4½ years past by proclamation.</t>
  </si>
  <si>
    <t>N. Ark mountains</t>
  </si>
  <si>
    <t>Nancy Broughton, 24, remarkably stout &amp; lusty, scars right arm, (Alpheus Palmer). Formerly slave to Thermer Hogwood, Princess Ann County, Virginia; left him 4 years ago.</t>
  </si>
  <si>
    <t>Princess Ann County</t>
  </si>
  <si>
    <t>Nancy, 25, stout wench, (Benjamin Palmer). Formerly slave to John Wigfall, Charlestown, South Carolina; left him 3 years ago.</t>
  </si>
  <si>
    <t>Benjamin Palmer</t>
  </si>
  <si>
    <t>Nan, 12, stout girl, (John Wilson). Formerly slave to Charles Connor, Crane Island, Virginia; left him 4 years ago.</t>
  </si>
  <si>
    <t>Phillis, 34, stout wench, (John Wilson). Formerly slave to Andrew Stewart, Crane Island, Virginia; left him 4 years ago.</t>
  </si>
  <si>
    <t>Nancy, 20, slim made black wench, (William Cassells). Formerly slave to Mr. Dove, Georgia; left him at the Siege of Savannah.</t>
  </si>
  <si>
    <t>Dove</t>
  </si>
  <si>
    <t>William Cassells</t>
  </si>
  <si>
    <t>Catharine, 17, stout wench. James Dowell, claimant. Free born in the family of James Dewitt at Albany.</t>
  </si>
  <si>
    <t>Samuel Gullet, 32, stout fellow, black, (Hugh Hays). Formerly slave to William Deshee, Wooster County, Virginia; left him 5 years past.</t>
  </si>
  <si>
    <t>Wooster County</t>
  </si>
  <si>
    <t>Hugh Hays</t>
  </si>
  <si>
    <t>Jeremy, 4, mulatto, (Thomas Whiting). Free as appears by a Bill of Sale dated March 1781, signed by William Wade to William Carman.</t>
  </si>
  <si>
    <t>Thomas Whiting</t>
  </si>
  <si>
    <t>Charles Francis, 20, stout mulatto, (Charles O. Bruff). Formerly slave to David Smith, Tappan, New Jersey; left him 4½ years past by proclamation.</t>
  </si>
  <si>
    <t>Charles O. Bruff</t>
  </si>
  <si>
    <t>John Sparrow, 3.</t>
  </si>
  <si>
    <t>Sukey Sparrow, 9.</t>
  </si>
  <si>
    <t>Hester Singleton, 30, stout, flat, square wench, M, (Hugh Hays). Formerly slave to John Singleton, Wanda River, South Carolina; left him 5 years past.</t>
  </si>
  <si>
    <t>Wanda River</t>
  </si>
  <si>
    <t>Phillis Sparrow, 28, stout, sizable wench, mulatto, (Charles O. Bruff). Formerly slave to Charles Suydam, Brunswick, New Jersey; left him 7 years past by proclamation.</t>
  </si>
  <si>
    <t>Nannis Sparrow, 11.</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</si>
  <si>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</si>
  <si>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</si>
  <si>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</si>
  <si>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William Carson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</si>
  <si>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</si>
  <si>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</si>
  <si>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Bunyan</t>
  </si>
  <si>
    <t>Cacyte</t>
  </si>
  <si>
    <t>Hannah Palmer, 15, stout wench, Ben Palmer of Frogs Neck, claimant. Goes with Ben Palmer's son.</t>
  </si>
  <si>
    <t>Moriah, 26, weakly wench, (Alpheus Palmer). Formerly slave to John Smith, Charlestown; left him at the siege of that place.</t>
  </si>
  <si>
    <t>Moriah</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</si>
  <si>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</si>
  <si>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</si>
  <si>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Formerly slave to Captain Archie Norfolk</t>
  </si>
  <si>
    <t>Sara Graham, 24, stout wench, (James Dowell). Says she came free as a servant to Mr. Graham from Antigua about 2 years ago. Mr. Graham went to England last fall.</t>
  </si>
  <si>
    <t>Lord Townsend</t>
  </si>
  <si>
    <t>Betts, 30, ordinary wench. Capt. John Longstreet, claimant. Capt. Longstreet's property proved.</t>
  </si>
  <si>
    <t>Lord Townsend bound for Annapolis Royal James Hog</t>
  </si>
  <si>
    <t>Betts</t>
  </si>
  <si>
    <t>James Hog</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</si>
  <si>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</si>
  <si>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</si>
  <si>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</si>
  <si>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Capt. Thomas</t>
  </si>
  <si>
    <t>Bill, 15, likely boy, (Lt. McLeod). Lieut. McLeod's Property per the Major's Certificate &amp; Bill of Sale.</t>
  </si>
  <si>
    <t>Lt. McLeod</t>
  </si>
  <si>
    <t>Rachel, 32, ordinary wench, (Lt. McLeod). Lieut. McLeod's property per the Major's Certificate &amp; Bill of Sale.</t>
  </si>
  <si>
    <t>Ned, 20, stout fellow, (Maj. John VanDyke). Property of Major John VanDyke.</t>
  </si>
  <si>
    <t>Maj. John VanDyke</t>
  </si>
  <si>
    <t>Rachel, 28, stout wench, (2nd Mast. Cloud). Born free nigh Flushing, Long Island; lived with Capt. Hicks.</t>
  </si>
  <si>
    <t>2nd Mast. Cloud</t>
  </si>
  <si>
    <t>Jack, 28, stout fellow, (Major Tympany). Formerly slave to William Moore, Dorchester, South Carolina; left him 8 years ago. GBC.</t>
  </si>
  <si>
    <t>Major Tympany</t>
  </si>
  <si>
    <t>Dorchester</t>
  </si>
  <si>
    <t>Joe, 52, stout fellow, (Major Tympany). Formerly slave to George Culbert of Savannah, Georgia; left him 7 years ago. GMC.</t>
  </si>
  <si>
    <t>Sampson, 30, stout fellow, B, (Capt. Raymond). Formerly slave to Robert McReady, Head of Elk; left him 7 years ago. GBC.</t>
  </si>
  <si>
    <t>Capt. Raymond</t>
  </si>
  <si>
    <t>Abraham, 23, stout fellow, (Capt. Bowen). Formerly slave to James Smith, Charlestown, South Carolina; left him in 1779. GMC.</t>
  </si>
  <si>
    <t>Capt. Bowen</t>
  </si>
  <si>
    <t>Jenny Perry, 40, ordinary wench, (Capt. Hutten). Formerly slave to Daniel Perry, Hackensack, New Jersey; left him 5 years ago. GMC.</t>
  </si>
  <si>
    <t>Capt. Hutten</t>
  </si>
  <si>
    <t>Pompey Campbell, 50, ordinary fellow, (Capt. Thomas). Formerly slave to Arthur Campbell, Norfolk, Virginia; left him in 1776.</t>
  </si>
  <si>
    <t>Tom Domaresh, 20, ordinary fellow, (Major Tympany). Formerly slave to John Demarsh, Hackensack, New Jersey; left him 5 years ago. GMC.</t>
  </si>
  <si>
    <t>Domaresh</t>
  </si>
  <si>
    <t>Flora Robins, 35, ordinary wench, (Major Tympany). Formerly slave to Dr. Middleton, Savannah; left him in the year 1780. GBC.</t>
  </si>
  <si>
    <t>Robins</t>
  </si>
  <si>
    <t>Abraham, 3, small boy, (Col. Cole). Proved to be the Colonel's property by Certificate from Police.</t>
  </si>
  <si>
    <t>Col. Cole</t>
  </si>
  <si>
    <t>Annie, 17, ordinary wench, (Col. Cole). Proved to be the Colonel's property of Certificate from Police.</t>
  </si>
  <si>
    <t>Certificate</t>
  </si>
  <si>
    <t>Silvia, 30, ordinary wench, (Col. Cole). Proved to be the colonel's property by Certificate from Police.</t>
  </si>
  <si>
    <t>Sarah, 12, ordinary wench, (Major Tympany). Formerly slave to Dr. Middletown, Savannah; left him in the year 1780. GMC.</t>
  </si>
  <si>
    <t>Susannah, 14, ordinary wench, (Major Tympany). Formerly slave to Dr. Middleton, Savannah; left him in the year 1780. GMC.</t>
  </si>
  <si>
    <t>Sally, 10, ordinary wench, (Capt. Raymond). Capt. Raymond's property; certified by the Office of Police.</t>
  </si>
  <si>
    <t>Moses Caswell, 28, stout fellow, (Joseph Munford). Formerly slave to Col Caswell, North Carolina; left him in the year 1780. GBC.</t>
  </si>
  <si>
    <t>Caswell</t>
  </si>
  <si>
    <t>Joseph Munford</t>
  </si>
  <si>
    <t>Abraham Robertson, 15, likely boy, (Capt. McDonald). Formerly slave to Col. Robertson, Virginia; left him 3 years ago.</t>
  </si>
  <si>
    <t>Jack, 60, stout fellow, (Major Tympany). Formerly slave to Samuel Covenhoven, Hacken sack, New Jersey; left him 4 years ago.</t>
  </si>
  <si>
    <t>Samuel Penilack, 25, stout fellow, M, (Ens. Taylor). Formerly slave to Peter Schenck, Milstone, New Jersey; left him 7 years ago. GBC.</t>
  </si>
  <si>
    <t>Penilack</t>
  </si>
  <si>
    <t>Ens. Taylor</t>
  </si>
  <si>
    <t>Milstone</t>
  </si>
  <si>
    <t>James Nichols, 27, stout fellow, (Col. Cole). Formerly slave to Philip Nichols, Fairfield, Connecticut; left him near 5 years ago. GBC.</t>
  </si>
  <si>
    <t>Sharper Cole, 20, likely lad, (Col. Cole). The Colonel's own property; certified by Office of Police.</t>
  </si>
  <si>
    <t>Sharper</t>
  </si>
  <si>
    <t>Anthony Butler, 18, likely lad, (Joseph Munford). Formerly slave to Captain Carter, 56th; certified to be free by General Birch.</t>
  </si>
  <si>
    <t>Butler</t>
  </si>
  <si>
    <t>Lord Townshend</t>
  </si>
  <si>
    <t>James Hogg</t>
  </si>
  <si>
    <t>Lydecker</t>
  </si>
  <si>
    <t>River St. Johns</t>
  </si>
  <si>
    <t>Sukey her daughter, 11 mo., likely child, (Thomas Wolverton). Born since Anna left E. Warde.</t>
  </si>
  <si>
    <t>Lord Townshend bound for St. John's River James Hogg</t>
  </si>
  <si>
    <t>Thomas Wolverton</t>
  </si>
  <si>
    <t>John Howard, 26, stout fellow, B, (James Hogg). Formerly slave to William Mallery, Norfolk, Virginia; left him &amp; joined the troops with Lord Dunmore in 1776.</t>
  </si>
  <si>
    <t>Lord Townshend bound for St. John's River James Hogg, Master</t>
  </si>
  <si>
    <t>John Casor, 3 months old, B.</t>
  </si>
  <si>
    <t>Casor</t>
  </si>
  <si>
    <t>Nancy Howard, 23, neat wench, B, (James Hogg). Formerly slave to Bland Stewart, Dorchester, South Carolina, who left him in the year 1779 when she joined the British troops. GBC.</t>
  </si>
  <si>
    <t>Ben Riddle, 7, M, (Thomas Woolverton). Formerly slave to Joseph Griffiths, Newcastle County, Pennsylvania; left him in 1777 &amp; joined the troops at the Head of Elk.</t>
  </si>
  <si>
    <t>Riddle</t>
  </si>
  <si>
    <t>Thomas Woolverton</t>
  </si>
  <si>
    <t>Newcastle County</t>
  </si>
  <si>
    <t>David Riddle, 28, stout fellow, B, (Thomas Woolverton). Formerly slave to Joseph Griffiths, Newcastle County, Pennsylvania; left him in 1777 &amp; joined the troops at the Head of Elk.</t>
  </si>
  <si>
    <t>Anna 27, stout wench, (Thomas Wolverton). Formerly slave to Edmund Warde of East Chester in the province of New York; left him near 7 years ago.</t>
  </si>
  <si>
    <t>Lucifer</t>
  </si>
  <si>
    <t>Iron</t>
  </si>
  <si>
    <t>Patton Esq.</t>
  </si>
  <si>
    <t>Lucifer Fireship</t>
  </si>
  <si>
    <t>Harry Dean, 16, stout lad, (sailor on board). Formerly the property of Benjamin Dean of Salem, Massachusetts; left him 10 months ago.</t>
  </si>
  <si>
    <t>Lucifer Fireship bound for Spithead Patton, Esq.</t>
  </si>
  <si>
    <t>Salem</t>
  </si>
  <si>
    <t>James Iron, 28, stout fellow. Lt. Fleck, claimant. Formerly the property of Robert Hamilton of Buckingham County, Virginia; left him 15 months ago.</t>
  </si>
  <si>
    <t>Formerly the property of Robert Hamilton of Buckingham County</t>
  </si>
  <si>
    <t>Buckingham County</t>
  </si>
  <si>
    <t>Charles, 10, fine boy. Sam Stretch of River St. John's claimant. (Sam Stretch). Property of Samuel Stretch as per Bill of Sale produced.</t>
  </si>
  <si>
    <t>Sloop Lydia bound for Annapolis Royal Jacob Getcheus</t>
  </si>
  <si>
    <t>37</t>
  </si>
  <si>
    <t>Jacob Getcheus</t>
  </si>
  <si>
    <t>Sam Stretch</t>
  </si>
  <si>
    <t>Grace her</t>
  </si>
  <si>
    <t>infant</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</si>
  <si>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</si>
  <si>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Sloop Lydia bound for Annapolis Royal Jacob Getcheus, Master</t>
  </si>
  <si>
    <t>Huams</t>
  </si>
  <si>
    <t>Hagar Thomson, 22, stout wench, (Major Brown, NYV). Free born at Newark, New Jersey.</t>
  </si>
  <si>
    <t>Major Brown, NYV</t>
  </si>
  <si>
    <t>Thomas Tait, 23, stout fellow, almost white, (Major Brown,NYV). Free born at Petersburgh in Virginia. Indented to serve till 21 years of age to John Graham of Petersburgh; left him 5 years.</t>
  </si>
  <si>
    <t>Tait</t>
  </si>
  <si>
    <t>Major Brown,NYV</t>
  </si>
  <si>
    <t>Henry Bruens, 45, stout fellow, (Major Brown, NYV). Formerly slave to Eliza Bruen of Newark who died about 2 years ago &amp; at his death gave him his freedom.</t>
  </si>
  <si>
    <t>Bruens</t>
  </si>
  <si>
    <t>Peter Huams, 50, stout fellow, (Major Brown, NYV). Formerly slave to Solomon Bostick of New Milford, New Jersey; left him in November 1776.</t>
  </si>
  <si>
    <t>New Milford</t>
  </si>
  <si>
    <t>Kassey Aitken, 19, stout lad, (Major Brown, NYV). Formerly slave to Joseph Allen of Neward, New Jersey; left him in November 1776.</t>
  </si>
  <si>
    <t>Kassey</t>
  </si>
  <si>
    <t>Aitken</t>
  </si>
  <si>
    <t>Hagar Bruen, 44, stout wench, (Major Brown, NYV). Formerly slave to Joseph Allen of Newark, New Jersey; left him in November 1776.</t>
  </si>
  <si>
    <t>Bruen</t>
  </si>
  <si>
    <t>Brutus Junius, 42, stout fellow, (John Bridgewater). Formerly slave to James Devaux in the province of Georgia; joined the British troops upon their landing there in 1778. GBC.</t>
  </si>
  <si>
    <t>Brutus</t>
  </si>
  <si>
    <t>Junius</t>
  </si>
  <si>
    <t>John Bridgewater</t>
  </si>
  <si>
    <t>Amey Junius, 35, stout wench, (John Bridgewater). Formerly slave to James Devaux in the province of Georgia; joined the British troops upon their landing there in 1778. GBC.</t>
  </si>
  <si>
    <t>Amey</t>
  </si>
  <si>
    <t>Grace her infant, 7 mo.</t>
  </si>
  <si>
    <t>her infant</t>
  </si>
  <si>
    <t>Eli Atken, 14, stout boy, (Major Brown, NYV). Formerly slave to Joseph Allen of Newark, New Jersey; left him in November 1776.</t>
  </si>
  <si>
    <t>Eli</t>
  </si>
  <si>
    <t>Atken</t>
  </si>
  <si>
    <t>Cato, 25, stout fellow. John Bridgewater of Annapolis Royal, claimant. (John Bridgewater). Property of John Bridgewater who bought him 18 years ago out of a Guinea Ship at New York.</t>
  </si>
  <si>
    <t>a Guinea Ship</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</si>
  <si>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</si>
  <si>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Bristol, 35, stout fellow. Isaac Brown of Annapolis Royal, claimant. (Isaac Brown). Property of Dr. Isaac Brown whose father bought him at One Year Old.</t>
  </si>
  <si>
    <t>Isaac Brown</t>
  </si>
  <si>
    <t>July 8, 1783</t>
  </si>
  <si>
    <t>July</t>
  </si>
  <si>
    <t>8</t>
  </si>
  <si>
    <t>Venus and 2 small</t>
  </si>
  <si>
    <t>James Grayson</t>
  </si>
  <si>
    <t>Darkas and</t>
  </si>
  <si>
    <t>Phebe, 1½, infant, (Ensign Stanley). Cornelius Munford, Long Island near Flushing, returned to the owner.</t>
  </si>
  <si>
    <t>Mars bound for St. John's</t>
  </si>
  <si>
    <t>Ensign Stanley</t>
  </si>
  <si>
    <t>Diana, 26, stout wench, (Ensign Stanley). Cornelius Munford, Long Island near Flushing, returned to the owner.</t>
  </si>
  <si>
    <t>Darkas</t>
  </si>
  <si>
    <t>Nancy Haynes, ½, B.</t>
  </si>
  <si>
    <t>Mars bound for Port Roseway</t>
  </si>
  <si>
    <t>Paul Moore, 36, ordinary fellow, (Capt. McPherson). Col. John Taylor, Richmond County, Virginia; left him in 1777 &amp; joined the British troops.</t>
  </si>
  <si>
    <t>Capt. McPherson</t>
  </si>
  <si>
    <t>Thomas Britton, 30, stout fellow, (Isaac Hildrith). Produces a Certificate from General Birch of his being free.</t>
  </si>
  <si>
    <t>Mars bound for Port Roseway James Grayson</t>
  </si>
  <si>
    <t>Isaac Hildrith</t>
  </si>
  <si>
    <t>Samuel Ivey, 44, stout fellow. James Grayson of Whitehaven, England, claimant. (James Grayson). His property having produced a Bill of Sale.</t>
  </si>
  <si>
    <t>Tony</t>
  </si>
  <si>
    <t>Haines</t>
  </si>
  <si>
    <t>Whitehaven</t>
  </si>
  <si>
    <t>Sukey, 9, fine girl, (Thomas Wood). Says she is his own property having purchased her in Savannah.</t>
  </si>
  <si>
    <t>Thomas Wood</t>
  </si>
  <si>
    <t>Tony Haines, 45, stout fellow, (James Cornet). Formerly slave to William Haines of Norfolk, Virginia; left him 8 years ago. GBC.</t>
  </si>
  <si>
    <t>James Cornet</t>
  </si>
  <si>
    <t>Silas Bright, 25, stout fellow, M, (James McKee). Formerly slave to Gilfin Post of Norfolk, Virginia; left him 6 years ago. GBC.</t>
  </si>
  <si>
    <t>James McKee</t>
  </si>
  <si>
    <t>Richard Betts, 22, stout fellow, (Archibald Anderson). Formerly slave to Thomas Betts of Chesterfield County, Virginia; left him 3 years ago. GBC.</t>
  </si>
  <si>
    <t>Archibald Anderson</t>
  </si>
  <si>
    <t>Chesterfield County</t>
  </si>
  <si>
    <t>Prince Augustus, 50, feeble old fellow, (Isaac Hildrith). Formerly slave to John Simon of Boston, New England; left him upon the Evacuation of the Town.</t>
  </si>
  <si>
    <t>Augustus</t>
  </si>
  <si>
    <t>Anna, 20, stout wench, M. John Speir of Port Roseway, claimant. (John Speir). His property having produced a Bill of Sale.</t>
  </si>
  <si>
    <t>John Speir</t>
  </si>
  <si>
    <t>Sarah Moore, 24, likely wench, M, (Capt. McPherson). Mary Meaks near Warwick Town, Maryland; left her 6 years ago. GBC.</t>
  </si>
  <si>
    <t>Cloe Haynes, 8, B.</t>
  </si>
  <si>
    <t>Dinah Haynes, 45, ordinary wench, B, (James Cummins). Formerly slave to Thomas Hammond, Suffolk town, Virginia; left him in the year 1779. GBC.</t>
  </si>
  <si>
    <t>James Cummins</t>
  </si>
  <si>
    <t>Mingo, 27, ordinary fellow, (Ensign Stanley). Cornelius Munford, Long Island near Flushing, returned to the owner.</t>
  </si>
  <si>
    <t>Darkas &amp; Child, 28, nearly worn out, M, (on his own bottom) Born free, South Carolina.</t>
  </si>
  <si>
    <t>Ship Mars bound for St. John's Grayson</t>
  </si>
  <si>
    <t>&amp; Child</t>
  </si>
  <si>
    <t>Grayson</t>
  </si>
  <si>
    <t>Lamb</t>
  </si>
  <si>
    <t>Hewell</t>
  </si>
  <si>
    <t>Prince Blake, 6, likely lad, B, (Lieut. Robins). Capt. Blake, Charlestown; left him after the Siege of that place &amp; joined the British troops. GMC.</t>
  </si>
  <si>
    <t>Blake</t>
  </si>
  <si>
    <t>Lieut. Robins</t>
  </si>
  <si>
    <t>Catharine, 66, worn out, M, (on his own bottom). Born free, Norwalk, Connecticut.</t>
  </si>
  <si>
    <t>Willis Herbert, 30, stout fellow, (James Miller). Formerly the property of William Herbert of Norfolk, Virginia; left him 4 years ago. GBC.</t>
  </si>
  <si>
    <t>Willis</t>
  </si>
  <si>
    <t>James Miller</t>
  </si>
  <si>
    <t>Venus &amp; 2 small children, 25, [stout wench], (Jolly Longshore, Free, indented to him for two years.</t>
  </si>
  <si>
    <t>&amp; 2 small children</t>
  </si>
  <si>
    <t>Peggy Lynch, 18, [stout wench], (William Cross). Formerly the property of Mr. Lynch at Charleston, certificate from General Birch.</t>
  </si>
  <si>
    <t>William Cross</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</si>
  <si>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</si>
  <si>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Ives</t>
  </si>
  <si>
    <t>Capt. Grayson</t>
  </si>
  <si>
    <t>Joe, 27, [stout man], (Caleb Mallory). His property as per bill of sale produced.</t>
  </si>
  <si>
    <t>Caleb Mallory</t>
  </si>
  <si>
    <t>Henry Lyon, 36, stout fellow, (Capt. James Grayson). Formerly to Andrew Lyon, Horseneck, New England; left him three years past.</t>
  </si>
  <si>
    <t>Lyon</t>
  </si>
  <si>
    <t>Capt. James Grayson</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</si>
  <si>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</si>
  <si>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</si>
  <si>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</si>
  <si>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Redding</t>
  </si>
  <si>
    <t>Ned Thomas, 21, likely fellow, (Cornet Hovendon). Certified to be free by General Musgrave's Certificate.</t>
  </si>
  <si>
    <t>Cornet Hovendon</t>
  </si>
  <si>
    <t>Murcer, 18, ordinary wench, (Cornet Hovendon). Lived with Widow Kitchum, Huntingdon, Long Island; certified by General Musgrave to be free.</t>
  </si>
  <si>
    <t>Murcer</t>
  </si>
  <si>
    <t>Abraham, 16, stout lad, (Cornet Hovendon). Formerly the property of James Jenkins of Wappoo bridge, South Carolina; left him immediately after the Siege of Charlestown. GBC.</t>
  </si>
  <si>
    <t>Wappoo</t>
  </si>
  <si>
    <t>Betsey Collins, 30, stout wench, (John Buskirk). Formerly slave to Nicholas Terhune, Hackensack, New Jersey; left him about four years past.</t>
  </si>
  <si>
    <t>Joseph Phillips, 22, stout fellow, (Capt. Grayson). Formerly slave to Phil Hawkins, Jamaica, West Indies; left him about 8 years past.</t>
  </si>
  <si>
    <t>Phillips</t>
  </si>
  <si>
    <t>Jonas Bracey, 25, stout fellow, (James Miller). Formerly the property of Thomas Bracey of Norfolk, Virginia; left him 2 years ago. GBC.</t>
  </si>
  <si>
    <t>Jonas</t>
  </si>
  <si>
    <t>Bracey</t>
  </si>
  <si>
    <t>Lamb Hewell, 65, nearly worn out, M, (on his own bottom). [born free], South Carolina.</t>
  </si>
  <si>
    <t>[born free]</t>
  </si>
  <si>
    <t>Dempse Slaughter, 35, stout fellow, (Jolly Longshore). Says he was born free, that he lived for some time with Dempsee Walls, Norfolk, Virginia.</t>
  </si>
  <si>
    <t>Slaughter</t>
  </si>
  <si>
    <t>Jolly Longshore</t>
  </si>
  <si>
    <t>Moses, 4, fine boy, M, (on his own bottom). Born free, Norwalk, Connecticut.</t>
  </si>
  <si>
    <t>Charles, 18, stout fellow, (Cornet Coulter). Formerly the property of Job Morrell, St. John's parish, South Carolina; left him 3 years ago. GMC.</t>
  </si>
  <si>
    <t>Cornet Coulter</t>
  </si>
  <si>
    <t>James Robinson, 30, stout fellow, (Lieut. Sargen). Mr. Robertson, Charlestown, South Carolina; left him before the Siege of that Garrison &amp; joined the British troops. GBC.</t>
  </si>
  <si>
    <t>Lieut. Sargen</t>
  </si>
  <si>
    <t>Joseph Collins, 30, stout fellow. Dr. VanBuren of Hackensack, New Jersey, claimant, (John Buskirk). Formerly slave to John Kipp, New York Island, sold by Kipp to Dr. VanBuren, Hackensack, New Jersey, whom he left four years past.</t>
  </si>
  <si>
    <t>II</t>
  </si>
  <si>
    <t>Ned Ugee, 30, likely fellow. General Hugee, Charlestown, South Carolina; left him &amp; joined the British troops before the Siege of that Garrison. GBC.</t>
  </si>
  <si>
    <t>Ugee</t>
  </si>
  <si>
    <t>Hugee</t>
  </si>
  <si>
    <t>John Fortune, 20, likely lad, (Capt. Gelder). Capt. Connor, Norfolk, Virginia; left him before the Siege of that Garrison &amp; joined the British troops in 1779. GBC.</t>
  </si>
  <si>
    <t>Capt. Gelder</t>
  </si>
  <si>
    <t>13 September</t>
  </si>
  <si>
    <t>13</t>
  </si>
  <si>
    <t>London, 19, stout fellow, B, (Peter Robinson). Formerly slave to John Slinne, Charlestown, South Carolina; left him 5 years ago.</t>
  </si>
  <si>
    <t>Ship Mary bound for Port Roseway Francis Roughbottom</t>
  </si>
  <si>
    <t>29</t>
  </si>
  <si>
    <t>Francis Roughbottom</t>
  </si>
  <si>
    <t>4 Aug 1783</t>
  </si>
  <si>
    <t>Peter Robinson</t>
  </si>
  <si>
    <t>Bill, 12, likely boy, (Aury Vanvoorst). Property of Aury Vanvoorst.</t>
  </si>
  <si>
    <t>Mary bound for Port Roseway George Bell</t>
  </si>
  <si>
    <t>George Bell</t>
  </si>
  <si>
    <t>Aury Vanvoorst</t>
  </si>
  <si>
    <t>Sarah, 20, likely wench, (James Bogart). Property of James Bogart.</t>
  </si>
  <si>
    <t>James Bogart</t>
  </si>
  <si>
    <t>Esther their</t>
  </si>
  <si>
    <t>Lucinda his</t>
  </si>
  <si>
    <t>Lucinda</t>
  </si>
  <si>
    <t>Phillis Duet, 46, ordinary wench, B, (Matthew Peacock). Says she was born free; that she lived as servant with James Duet at Pedee, South Carolina; that she left him about 3 years past.</t>
  </si>
  <si>
    <t>Mary bound for Quebec Matthew Peacock</t>
  </si>
  <si>
    <t>Duet</t>
  </si>
  <si>
    <t>Matthew Peacock</t>
  </si>
  <si>
    <t>Duett</t>
  </si>
  <si>
    <t>Mathew Peacock</t>
  </si>
  <si>
    <t>Harry, 30, ordinary fellow, (Capt. Akerman). Property of Capt. Akerman.</t>
  </si>
  <si>
    <t>Capt. Akerman</t>
  </si>
  <si>
    <t>Sam, 40, ordinary fellow, (Capt. Akerman). Property of Capt. Akerman.</t>
  </si>
  <si>
    <t>Susannah, ½ infant, (James Bogart). Property of James Bogart.</t>
  </si>
  <si>
    <t>George Flanders, 23, stout fellow, B. (Agent Chipcot). Formerly slave to Thomas Irwin at St. Augustine; left him about 18 months past.</t>
  </si>
  <si>
    <t>Agent Chipcot</t>
  </si>
  <si>
    <t>Mary Ashe his</t>
  </si>
  <si>
    <t>Sam, 20, likely fellow. Formerly slave to Thomas Winks, Norfolk, Virginia; left him in 1779. GMC.</t>
  </si>
  <si>
    <t>Mary bound for Ostend Matthew Peacock</t>
  </si>
  <si>
    <t>Peg, 16, stout girl, lame of one leg, (George McCall). Property of George McCall.</t>
  </si>
  <si>
    <t>Mary bound for St. John's Thomas Rowbottom</t>
  </si>
  <si>
    <t>Thomas Rowbottom</t>
  </si>
  <si>
    <t>George McCall</t>
  </si>
  <si>
    <t>Hamptead</t>
  </si>
  <si>
    <t>Sam, 35, ordinary fellow, (Capt. Akerman). Property of Capt. Akerman.</t>
  </si>
  <si>
    <t>Primus, 19, stout fellow, B, George Thomas of H.A. Dragoons, claimant. (George Thomas). Purchased from Mr. George Thomas from John Woodberry's attorney Thomas Portell as appears by record dated Charlestown, South Carolina, 2nd December 1782.</t>
  </si>
  <si>
    <t>George Thomas</t>
  </si>
  <si>
    <t>Charlotte Plumb, 13, fine girl, M. Daughter &amp; property of Thomas Plumb above mentioned.</t>
  </si>
  <si>
    <t>Plumb</t>
  </si>
  <si>
    <t>Wynie Hempstead, 18, stout wench &amp; a child 2 mo. old, (Joseph Veasey). Formerly slave to William Hempstead, Pancatant, Virginia; came to New York with Lord Dunmore. GBC.</t>
  </si>
  <si>
    <t>Wynie</t>
  </si>
  <si>
    <t>Hempstead</t>
  </si>
  <si>
    <t>28</t>
  </si>
  <si>
    <t>Joseph Veasey</t>
  </si>
  <si>
    <t>Pancatant</t>
  </si>
  <si>
    <t>Sarah Fillifitas, 14, fine girl, B, ½ Mul. (Peter Robinson). Born free at Philadelphia from whence she came with Peter Robinson 5 years ago.</t>
  </si>
  <si>
    <t>Fillifitas</t>
  </si>
  <si>
    <t>Sally, 18, stout squat, B, (Peter Robinson). Formerly slave to John Hall, Charlestown, South Carolina; left him 3 years ago.</t>
  </si>
  <si>
    <t>Dinah, 20, stout black wench, (Joseph Pinchon). Formerly slave to Beggert Butler, Leedstown, Virginia; left him 3 years ago.</t>
  </si>
  <si>
    <t>Joseph Pinchon</t>
  </si>
  <si>
    <t>Leedstown</t>
  </si>
  <si>
    <t>Lucinda his wife, 23, stout wench, 2 small children, B, (James Moffatt). Formerly slave to Joseph Cuthbert, Savannah, Georgia; left him 4 years ago.</t>
  </si>
  <si>
    <t>Cuthbert</t>
  </si>
  <si>
    <t>James Moffatt</t>
  </si>
  <si>
    <t>John Cuthbert, 26, stout fellow, B, (James Moffatt). Formerly slave to Joseph Cuthbert, Savannah, Georgia; left him 4 years ago.</t>
  </si>
  <si>
    <t>Sam Cuthbert, 26, stout fellow, B, (James Moffatt). Formerly slave to Joseph Cuthbert, Savannah, Georgia; left him 4 years ago.</t>
  </si>
  <si>
    <t>Esther their daughter, 10, fine girl, B. (John Davis). Formerly slave to Cato Ashe, Charlestown, South Carolina.</t>
  </si>
  <si>
    <t>Ashe</t>
  </si>
  <si>
    <t>Ashe his wife</t>
  </si>
  <si>
    <t>Mary Ashe his wife, 38, stout wench, B, (John Davis). Formerly slave to James Gerrido, Indian Land, South Carolina; left him 8 years ago.</t>
  </si>
  <si>
    <t>William Ashe, 38, stout fellow, B, (John Davis). Formerly slave to Cato Ashe, Charlestown, South Carolina; left him 8 years ago.</t>
  </si>
  <si>
    <t>Hannah his wife, 21, stout wench, B, 2 small children, (Peter Parker). Formerly slave to Ned Cooper, Hampton, Virginia; left him 3 years ago.</t>
  </si>
  <si>
    <t>Joe, 26, stout fellow, B, (Peter Parker). Formerly slave to William Bennet, Hampton, Virginia; left him 3 years ago.</t>
  </si>
  <si>
    <t>Nancy Peters, 20, stout wench, B, (George Scot). Formerly slave to Woodward Flowers, Monk's Corner, South Carolina; left him 4 years ago.</t>
  </si>
  <si>
    <t>George Scot</t>
  </si>
  <si>
    <t>Frank Peters, 20, stout fellow, B, (George Scot). Formerly slavet o Woodward Flowers, Monk's Corner, South Carolina; left him 4 years ago.</t>
  </si>
  <si>
    <t>Anthony Davis, 29, stout fellow, (Joseph Veasey). Formerly slave to Mark Davis on the Delaware; left him about 3 years past. GBC.</t>
  </si>
  <si>
    <t>Lucy Whitting, 36, stout wench, M, (Andrew Calder). Born free in Potomack, Virginia, served some time with Aaron Mozley; left him 6 years past.</t>
  </si>
  <si>
    <t>Whitting</t>
  </si>
  <si>
    <t>Born free in Potomack</t>
  </si>
  <si>
    <t>Andrew Calder</t>
  </si>
  <si>
    <t>Potomack</t>
  </si>
  <si>
    <t>George Butler, 23, stout fellow, M, (John Mitchell). Born free at Hallets Cove, Long Island.</t>
  </si>
  <si>
    <t>John Mitchell</t>
  </si>
  <si>
    <t>Thomas Patrick, 42 stout fellow, (Hugh Fraser). Formerly slave to Captain Colbet, Norfolk, Virginia; left him 5 years past. GBC.</t>
  </si>
  <si>
    <t>Hugh Fraser</t>
  </si>
  <si>
    <t>Phebe Patrick, 29, stout wench, (Hugh Fraser). Formerly slave to Mrs. Taylor, Norfolk, Virginia; left him 5 years past. GBC.</t>
  </si>
  <si>
    <t>Ichabod Cornwall, 23, slim weakly fellow, (Joseph Pimken). Formerly slave to Nat Dungey, New Milford, Connecticut; left him 4 years past. GBC.</t>
  </si>
  <si>
    <t>Ichabod</t>
  </si>
  <si>
    <t>Cornwall</t>
  </si>
  <si>
    <t>Joseph Pimken</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</si>
  <si>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</si>
  <si>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</si>
  <si>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Phil Ackland</t>
  </si>
  <si>
    <t>Warwick</t>
  </si>
  <si>
    <t>Sally Hays, 46, very thin wench, 1 child 2 years old (Daniel Lafferty). Served her time to Thomas Cassidy, Potomack river, Virginia; left him 6 years past.</t>
  </si>
  <si>
    <t>Hays</t>
  </si>
  <si>
    <t>Daniel Lafferty</t>
  </si>
  <si>
    <t>Potomack river</t>
  </si>
  <si>
    <t>Sukey Butler, 23, stout wench, M, (John Mitchell). Born free, served 18 years with Abner Shadwell, East end, Long Island.</t>
  </si>
  <si>
    <t>East</t>
  </si>
  <si>
    <t>Sally Taylor, 35, square made wench, (Phil Ackland). Formerly slave to Col. Ruscow, Warwick, Virginia; left him 5 years past.</t>
  </si>
  <si>
    <t>Hannah, 14, fine girl, (George Thomas of H.A. Dragoons, claimant). (George Thomas). Purchased from Mr. George Thomas from John Woodberry's attorney Thomas Portell as appears by record dated Charlestown, South Carolina, 2nd December 1782.</t>
  </si>
  <si>
    <t>George Thomas of H.A. Dragoons, claimant</t>
  </si>
  <si>
    <t>John Smith, 49, ordinary fellow, (James Graham). Formerly belonged to John Carter, Barbadoes; left that place 3 years past.</t>
  </si>
  <si>
    <t>James Graham</t>
  </si>
  <si>
    <t>Scipio Buxton, 26, stout fellow, (Richard Williams). Formerly slave to Mr. Buxton, Nansemond, Virginia; left him 5 years past.</t>
  </si>
  <si>
    <t>Richard Williams</t>
  </si>
  <si>
    <t>Thomas Plumb, 42, stout fellow, M, carpenter, (Andrew Ross). Born free, Little York, Virginia.</t>
  </si>
  <si>
    <t>Andrew Ross</t>
  </si>
  <si>
    <t>Zaccheus Curle, 30, stout fellow, B, (Peter Parker). Formerly slave to Mr. Curle, Hampton, Virginia; left him 4 years.</t>
  </si>
  <si>
    <t>Zaccheus</t>
  </si>
  <si>
    <t>Curle</t>
  </si>
  <si>
    <t>Samuel Whitting, 25, likely fellow, M, (Andrew Calder). Born free on Picken Creek, served his time to John Gordon there; left that about 6 years past.</t>
  </si>
  <si>
    <t>Phillis, 14, stout wench, (Charles Hale). Property of Charles Hale.</t>
  </si>
  <si>
    <t>Mercury bound for St. John's Thomas Dawson</t>
  </si>
  <si>
    <t>Thomas Dawson</t>
  </si>
  <si>
    <t>Charles Hale</t>
  </si>
  <si>
    <t>Peg, 22, stout wench, (Sam Dickenson). Property of Samuel Dickenson.</t>
  </si>
  <si>
    <t>Sam Dickenson</t>
  </si>
  <si>
    <t>Harry, 12, fine boy, (Samuel Peters). Property of Samuel Peters.</t>
  </si>
  <si>
    <t>Samuel Peters</t>
  </si>
  <si>
    <t>Tom, 26, stout fellow, (John Ryerson). John Ryerson's property proved.</t>
  </si>
  <si>
    <t>Michael bound for Annapolis James Bishop</t>
  </si>
  <si>
    <t>John Ryerson</t>
  </si>
  <si>
    <t>Ming, 26, stout fellow, (John Morrison). Formerly slave to Mr. Reynolds, Rhode Island Government; left him with the troops evacuating that Garrison.</t>
  </si>
  <si>
    <t>Ming</t>
  </si>
  <si>
    <t>John Morrison</t>
  </si>
  <si>
    <t>Rhode Island Government</t>
  </si>
  <si>
    <t>Mary Ann, 22, ordinary wench, (John Morrison). Born free; from New Port Glasgow in Scotland.</t>
  </si>
  <si>
    <t>New Port Glasgow</t>
  </si>
  <si>
    <t>Scotland</t>
  </si>
  <si>
    <t>Priscilla, 32, stout wench, (John Ryerson). John Ryerson's property proved.</t>
  </si>
  <si>
    <t>Sam, 2, an infant, (John Ryerson). John Ryerson's property proved.</t>
  </si>
  <si>
    <t>Sarah, 22, stout wench, M, (Francis Ryerson). Francis Ryerson's property proved.</t>
  </si>
  <si>
    <t>Francis Ryerson</t>
  </si>
  <si>
    <t>Dinah, 28, stout wench, (Capt. Hornbrook). Capt. Hornbrook's property.</t>
  </si>
  <si>
    <t>Capt. Hornbrook</t>
  </si>
  <si>
    <t>Cato, 2, an infant, (Capt. Hornbrook). Capt. Hornbrook's property.</t>
  </si>
  <si>
    <t>Cows, 22, ordinary fellow, M, (Mr. VanHorn). Mr VanHorn's property.</t>
  </si>
  <si>
    <t>Cows</t>
  </si>
  <si>
    <t>Mr. VanHorn</t>
  </si>
  <si>
    <t>VanHorn</t>
  </si>
  <si>
    <t>Sam, 22, ordinary fellow, M, (Mr. VanHorn). Mr. VanHorn's property.</t>
  </si>
  <si>
    <t>Judith, 40, ordinary wench, (Mrs. VanHorn). Mrs. VanHorn's property.</t>
  </si>
  <si>
    <t>Mrs. VanHorn</t>
  </si>
  <si>
    <t>Mid Summer Blossom</t>
  </si>
  <si>
    <t>Will Hicks, 12, stout boy, M, (Dr. Russell, 33, Reg't.). Says he was born free at Port Royal, South Carolina; stolen from thence by a Capt. McDonald, Master of a ship.</t>
  </si>
  <si>
    <t>Mid Summer Blossom bound for Halifax Will Rayon</t>
  </si>
  <si>
    <t>Will Rayon</t>
  </si>
  <si>
    <t>Says he was born free at Port Royal</t>
  </si>
  <si>
    <t>Dr. Russell, 33, Reg't.</t>
  </si>
  <si>
    <t>Bristol, 25, stout fellow, (Dr. Russell, 33 Reg't.). Formerly slave to Isaac Waite, John's Island, South Carolina; left him 1779.</t>
  </si>
  <si>
    <t>Dr. Russell, 33 Reg't.</t>
  </si>
  <si>
    <t>Nancy, 37, stout wench, (Dr. Russell, 33 Reg't.). Formerly slave to Isaac Waite, John's Island, South Carolina; left him in 1779. GBC.</t>
  </si>
  <si>
    <t>Dick, 21, stout fellow, (Lieut. Harvey, 33 Reg't.). Formerly servant to John White, Charlestown; says he was born free.</t>
  </si>
  <si>
    <t>Lieut. Harvey, 33 Reg't.</t>
  </si>
  <si>
    <t>Solomon, 25, stout fellow, (Capt. Stewart, 33, Reg't.). Formerly slave to Chief Justice Howard of North Carolina; now understood to be property of Miss Howard, his daughter.</t>
  </si>
  <si>
    <t>Capt. Stewart, 33, Reg't.</t>
  </si>
  <si>
    <t>Kate, 16, stout wench, (Dr. Russell, 33, Reg't.). Formerly slave to Isaac Waite, John's Island, South Carolina; left him in 1779.</t>
  </si>
  <si>
    <t>Midsummer Blossom</t>
  </si>
  <si>
    <t>William Rayon</t>
  </si>
  <si>
    <t>Milford</t>
  </si>
  <si>
    <t>21 Aug. 1783</t>
  </si>
  <si>
    <t>Milford bound for Germany John Moy</t>
  </si>
  <si>
    <t>21</t>
  </si>
  <si>
    <t>Aug. 1783</t>
  </si>
  <si>
    <t>Germany John Moy</t>
  </si>
  <si>
    <t>London, 24, stout fellow, (Knoblauch). Formerly the property of James Tiller of Charlestown, South Carolina; left him 4 years ago.</t>
  </si>
  <si>
    <t>59</t>
  </si>
  <si>
    <t>Knoblauch</t>
  </si>
  <si>
    <t>Peter, 26, stout fellow, (Knoblauch). Formerly the property of George Roberts of Masters Bluff, South Carolina; left him 4 years ago.</t>
  </si>
  <si>
    <t>Formerly the property of George Roberts of Masters Bluff</t>
  </si>
  <si>
    <t>Masters Bluff</t>
  </si>
  <si>
    <t>Hannah, 26, stout wench (Knoblauch). Formerly the property of Thomas Humphries, James Island, South Carolina; left him 4 years ago.</t>
  </si>
  <si>
    <t>Juno, 24, stout fellow, (Knoblauch). Formerly the property of Burgoyne of Perrysburgh, Georgia; left him 4 years ago.</t>
  </si>
  <si>
    <t>George, 2, fine child. Son to Hannah &amp; born within the British line.</t>
  </si>
  <si>
    <t>Minerva</t>
  </si>
  <si>
    <t>Jane, 16, likely girl. John Watson of Yorkshire, claimant. (John Watson). Who says he brought her up.</t>
  </si>
  <si>
    <t>Minerva bound for Spithead John Hall</t>
  </si>
  <si>
    <t>Rosannah</t>
  </si>
  <si>
    <t>Yorkshire</t>
  </si>
  <si>
    <t>Casar, 14, stout fellow. John Watson of Yorkshire, claimant. (John Watson). Who says he brought him up.</t>
  </si>
  <si>
    <t>John, 13, ordinary fellow. Formerly slave to William Simmonds, Charlestown, South Carolina; left him in 1780. GMC.</t>
  </si>
  <si>
    <t>Molly bound for Spithead G. Legyet</t>
  </si>
  <si>
    <t>Montague</t>
  </si>
  <si>
    <t>Diana Carden, 24, ordinary wench, (Lieut. Col. DeVeber). Formerly slave to Richard Burke, Rhode Island; left him 7 years ago.</t>
  </si>
  <si>
    <t>Montague bound for St. John's</t>
  </si>
  <si>
    <t>Carden</t>
  </si>
  <si>
    <t>Lieut. Col. DeVeber</t>
  </si>
  <si>
    <t>Ben Grey, stout fellow, (Robert Wilson). Formerly slave to Peter Lusam of Georgetown, South Carolina; left him 2 years ago.</t>
  </si>
  <si>
    <t>Montague bound for River St. John's Robert Wilson</t>
  </si>
  <si>
    <t>Grey</t>
  </si>
  <si>
    <t>Robert Wilson</t>
  </si>
  <si>
    <t>Tom Mills, 15, stout boy, (Jesse Lamorce). Formerly slave to Joseph Mills of Suffolk, Virginia; left him 2 years ago. GBC.</t>
  </si>
  <si>
    <t>Mills</t>
  </si>
  <si>
    <t>Jesse Lamorce</t>
  </si>
  <si>
    <t>Lucy Potter, 24, stout wench, (Tim Whitmore). Formerly slave to Isaac Acker of White Plains, province of New York; left him 6 years ago. GBC.</t>
  </si>
  <si>
    <t>Tim Whitmore</t>
  </si>
  <si>
    <t>John Potter, 25, stout fellow, (Tim Whitmore). Formerly slave to Robert Potter of Rhode Island; left him 5 years ago. GBC.</t>
  </si>
  <si>
    <t>John Dunn, 45, stout, B, (Simon Fraser). Formerly slave to John Dunn, Boundbrook, New Jersey; left him in 1778.</t>
  </si>
  <si>
    <t>Ship Montague bound for Port Roseway Robert Wilson</t>
  </si>
  <si>
    <t>Simon Fraser</t>
  </si>
  <si>
    <t>Boundbrook</t>
  </si>
  <si>
    <t>Dinah &amp; little boy, 40, stout wench, (Simon Fraser). Formerly slave to Mrs. Saunders in New York who gave her freedom 4 years ago.</t>
  </si>
  <si>
    <t>&amp; little boy</t>
  </si>
  <si>
    <t>James Lindsey, 21, stout, B, (Isaac Enslow). Formerly property of Neal Gilles of the Ship Dutchess of Hamilton from London who gave him his freedom in the year 1778.</t>
  </si>
  <si>
    <t>Lindsey</t>
  </si>
  <si>
    <t>Isaac Enslow</t>
  </si>
  <si>
    <t>Nancy Davids, 25, stout wench, 3 small children, (Benjamin Grosvenor). Formerly slave to Robert Daniel, Cape Fear, North Carolina; left him in the year 1776.</t>
  </si>
  <si>
    <t>Davids</t>
  </si>
  <si>
    <t>Benjamin Grosvenor</t>
  </si>
  <si>
    <t>Jerry Pero, 30, stout, B, (Caspar Grassman). Says he was born free on the Estate of John Myers, Savannah, LeMar, Jamaica.</t>
  </si>
  <si>
    <t>Pero</t>
  </si>
  <si>
    <t>Caspar Grassman</t>
  </si>
  <si>
    <t>LeMar</t>
  </si>
  <si>
    <t>Abraham Ness, 30, stout fellow, (Adj't. Ness). Formerly slave to James Brown, Camden, South Carolina, from whom Mr. Ness purchased him in the year 1782.</t>
  </si>
  <si>
    <t>Ness</t>
  </si>
  <si>
    <t>Adj't. Ness</t>
  </si>
  <si>
    <t>Camden</t>
  </si>
  <si>
    <t>Lucy Ness, 29. Stout wench, (Adj't. Ness). Formerly slave to Widow Payne, Camden, South Carolina, from whom Mr. Ness Purchased from the widow by Mr. Ness at Charlestown.</t>
  </si>
  <si>
    <t>David, 8, fine boy. (Isaac Enslow of Port Roseway, claimant. Clearly proved his property.</t>
  </si>
  <si>
    <t>Ship Montague bound for Port Roseway Robert Wilson, Master</t>
  </si>
  <si>
    <t>William Carden, 27, stout fellow, (Lieut. Col. DeVeber). Formerly slave to Joseph Taylor, Danbury, Connecticut; left him 7 years past &amp; joined the troops there.</t>
  </si>
  <si>
    <t>Danbury</t>
  </si>
  <si>
    <t>Dinah and little</t>
  </si>
  <si>
    <t>David Saunders, 27, stout, pockmarked, (Benjamin Grosvenor). Born on the Estate of John Inman in Cape Fear, North Carolina. Capt. Lindsay of the Pearl Frigate gave him his freedom.</t>
  </si>
  <si>
    <t>Rachel, 28, stout wench. Isaac Enslow of Port Roseway, claimant. Clearly proved his property.</t>
  </si>
  <si>
    <t>Minnus, 19, remarkable fine wench, (Sarah Nunn). Says she is free; was born at Fresh Meadows, Long Island, near the House of Mr. Skidmore.</t>
  </si>
  <si>
    <t>Minnus</t>
  </si>
  <si>
    <t>Sarah Nunn</t>
  </si>
  <si>
    <t>Jenny Perrill, 45, stout wench, 1 child a year old, (James Rose). Served with Captain Perrill, N. Town, Virginia; left him 6 years past, no slave.</t>
  </si>
  <si>
    <t>Perrill</t>
  </si>
  <si>
    <t>James Rose</t>
  </si>
  <si>
    <t>Will Woodhouse, 48, tall &amp; worn out, (James Rose). Formerly slave to William Woodhouse, Princess Ann, Virginia; left Virginia 6 years past by proclamation.</t>
  </si>
  <si>
    <t>Woodhouse</t>
  </si>
  <si>
    <t>Benjamin Phillips, 40, tall slim fellow, (Robert Fox). Formerly servant to George Phillips, Middletown, Connecticut; left him six years past by proclamation.</t>
  </si>
  <si>
    <t>Robert Fox</t>
  </si>
  <si>
    <t>Polly Pompey, 9, fine wench, (Robert Fox).</t>
  </si>
  <si>
    <t>Jeff, 9, fine boy. John Fox of Halifax, claimant. (John Fox). Property of John Fox, purchased by his brother who gave him to him.</t>
  </si>
  <si>
    <t>Nancy bound for Halifax Robert Bruce</t>
  </si>
  <si>
    <t>Robert Bruce</t>
  </si>
  <si>
    <t>John Fox</t>
  </si>
  <si>
    <t>Simon, 12, fine boy, (Capt. Frazer Guideste). Formerly slave to Cyrus Griffin, Esq., Virginia; left him in the year 1780.</t>
  </si>
  <si>
    <t>Capt. Frazer Guideste</t>
  </si>
  <si>
    <t>Ursula Fortune, 24, stout wench, (Capt. Frazer Guideste). Says she was born free, served her time with Mr. Benjamin Hubbert in Fredericksburg, Virginia.</t>
  </si>
  <si>
    <t>Ursula</t>
  </si>
  <si>
    <t>Benjamin Hubbert in Fredericksburg</t>
  </si>
  <si>
    <t>Fredericksburg</t>
  </si>
  <si>
    <t>William Allen, 23, stout man, (Robert Bruce). Says he was born free at St. Kitts; Cook of the Nancy.</t>
  </si>
  <si>
    <t>Ephraim, 60, stout man of his age, (Ludwick Syphle). Freeborn Indian.</t>
  </si>
  <si>
    <t>Ship Nancy bound for St. John's Capt. Hammond</t>
  </si>
  <si>
    <t>Capt. Hammond</t>
  </si>
  <si>
    <t>Ludwick Syphle</t>
  </si>
  <si>
    <t>Francis, 40, very stout big fellow, B, (John Hajeman). Formerly the property of Samuel Moore, Newtown, Long Island, who has given him his freedom as per pattern produced.</t>
  </si>
  <si>
    <t>John Hajeman</t>
  </si>
  <si>
    <t>Grace Walker, 50, stout wench with a child 5 months old, (Matthew Portelous). Formerly the property of James Naylor, Hampton County, Virginia; left him 5 years ago.</t>
  </si>
  <si>
    <t>Matthew Portelous</t>
  </si>
  <si>
    <t>John Walker, 34, stout fellow, M, (Matthew Portelous). Formerly the property of John Ben of Nansemond, Virginia; left him 5 years ago. GBC.</t>
  </si>
  <si>
    <t>Cuff Ben, 40, stout, thick set man (Jehiel Portelous). Formerly the property of George Ben of Norfoolk, Virginia; left him 5 years ago. GBC.</t>
  </si>
  <si>
    <t>Jehiel Portelous</t>
  </si>
  <si>
    <t>Norfoolk</t>
  </si>
  <si>
    <t>Andrew Moore, 23, stout man, (John Fox). Formerly slave to James Ray nigh Augusta, Georgia; left him 4 years ago.</t>
  </si>
  <si>
    <t>John &amp; Jane, William Dawson</t>
  </si>
  <si>
    <t>&amp; Jane</t>
  </si>
  <si>
    <t>Casar, 25, stout fellow, (Cornelius Van Dyne). Property of Cornelius Van Dyne.</t>
  </si>
  <si>
    <t>Cornelius Van Dyne</t>
  </si>
  <si>
    <t>Lewis, 45, stout fellow, (Ben Lester). Property of Benjamin Lester.</t>
  </si>
  <si>
    <t>Ben Lester</t>
  </si>
  <si>
    <t>Sam, 15, stout lad, B, (Ben Lester). Property of Benjamin Lester.</t>
  </si>
  <si>
    <t>John Daniel, 31, stout B fellow, (Joseph Durffey). Free born in New Providence. GBCP</t>
  </si>
  <si>
    <t>Schooner Nancy bound for Port Roseway Joseph Duffey</t>
  </si>
  <si>
    <t>Joseph Duffey</t>
  </si>
  <si>
    <t>Joseph Durffey</t>
  </si>
  <si>
    <t>Jacob Somerset, 21, stout B, fellow, (Joseph Durffey). Formerly slave to William Somerset, Charlestown, South Carolina; left him 5 years ago. GBCP</t>
  </si>
  <si>
    <t>Somerset</t>
  </si>
  <si>
    <t>John Gibbons, 43, stout B fellow, (Joseph Durffey). Formerly slave to Joseph Gibbons, Savannah, Georgia; left him 5 years ago. GBCP</t>
  </si>
  <si>
    <t>Hannibal, 11, stout boy, (Ben Lester). Property of Benjamin Lester.</t>
  </si>
  <si>
    <t>Hannibal</t>
  </si>
  <si>
    <t>Prince, 22, stout fellow, (Chaplain Brown). Property of Chaplain.</t>
  </si>
  <si>
    <t>Brig Nancy bound for Annapolis Royal Mich Cunningham</t>
  </si>
  <si>
    <t>Mich Cunningham</t>
  </si>
  <si>
    <t>Chaplain Brown</t>
  </si>
  <si>
    <t>Jim, 4, fine boy, (Peter Brown). Says he was born free at Newtown, Long Island; lived 6 years with Abraham Rapelje.</t>
  </si>
  <si>
    <t>Peter Brown</t>
  </si>
  <si>
    <t>Lydia, 20, stout wench, (Maj. Millidge). Formerly the property of William Hopton, Charlestown, South Carolina; left him 4 years ago. GMC.</t>
  </si>
  <si>
    <t>Maj. Millidge</t>
  </si>
  <si>
    <t>Peter, 40, stout fellow, (Peter Brown). Formerly the property of John Bour, Suffolk County, Virginia; left him 4 years ago. GMC.</t>
  </si>
  <si>
    <t>Pompey, 32, stout fellow with a wife &amp; 2 children, (Jonathan Clawson). Property of Jonathan Clawson.</t>
  </si>
  <si>
    <t>Jonathan Clawson</t>
  </si>
  <si>
    <t>Eliza Ward, 7, fine girl, (Ebenezer Ward). Property of Ebenezer Ward.</t>
  </si>
  <si>
    <t>Eliza</t>
  </si>
  <si>
    <t>Ward</t>
  </si>
  <si>
    <t>Ebenezer Ward</t>
  </si>
  <si>
    <t>Letitia, 16, stout wench, M, (Ben Lester). Property of Benjamin Lester.</t>
  </si>
  <si>
    <t>Betty Rapelje, 21, stout wench, (Peter Brown). Says she was born free at Newtown, Long Island; lived 6 years with Abraham Rapelje.</t>
  </si>
  <si>
    <t>Rapelje</t>
  </si>
  <si>
    <t>Gill, 8, stout boy, (Ben Lester). Property of Benjamin Lester.</t>
  </si>
  <si>
    <t>Gill</t>
  </si>
  <si>
    <t>wife of</t>
  </si>
  <si>
    <t>Michael Cunningham</t>
  </si>
  <si>
    <t>Nautilus</t>
  </si>
  <si>
    <t>Charles Johnson, 49, stout man of his age, (Thomas Cartwright). Formerly the property of George Biscoe, St. Mary's County, Maryland; left him 4½ years ago. GBC.</t>
  </si>
  <si>
    <t>Nautilus bound for Abaco Kildare Williamson, Master</t>
  </si>
  <si>
    <t>Savannah, Georgia</t>
  </si>
  <si>
    <t>Jul 1782</t>
  </si>
  <si>
    <t>Thomas Cartwright</t>
  </si>
  <si>
    <t>Hannah Johnson, 40, stout wench, (Thomas Cartwright). Formerly the property of Simon Hallyar, Hampton, Virginia; left him 4 years ago. GBC.</t>
  </si>
  <si>
    <t>Robert Johnson, 49, stout fellow, (Thomas Cartwright). Formerly the property of George Biscoe of St. Mary's County, Maryland; left him 4½ years ago. GBC.</t>
  </si>
  <si>
    <t>St. Mary's County</t>
  </si>
  <si>
    <t>Jack, 25, stout fellow, (John Longley). Formerly the property of John Longley purchased from Sarah Ayoner as per Bill of Sale produced.</t>
  </si>
  <si>
    <t>John Longley</t>
  </si>
  <si>
    <t>Thomas Miller, 20, stout fellow, (Isaac Punderson). Formerly the property of John Whitten of Portsmouth, Virginia; left him 4 years ago.</t>
  </si>
  <si>
    <t>Isaac Punderson</t>
  </si>
  <si>
    <t>Isabella, 40, stout wench, (Humphrey Massenburgh). Formerly the property of Charles Mifflin of Philadelphia; left him 5 years ago. GBC.</t>
  </si>
  <si>
    <t>Humphrey Massenburgh</t>
  </si>
  <si>
    <t>Cuffy Lucas, 38, stout fellow, (Humphrey Massenburgh). Formerly the property of Ann Lukes, Eastern Shore, Virginia; left 2 years ago. GBC.</t>
  </si>
  <si>
    <t>Cuffy</t>
  </si>
  <si>
    <t>Lucas</t>
  </si>
  <si>
    <t>Peter Johnson, 25, stout fellow, scar on his forehead, (William Smith). Formerly the property of Daniel Sera, Savannah, Georgia. GBC.</t>
  </si>
  <si>
    <t>William Smith</t>
  </si>
  <si>
    <t>Timothy Snowball, 37, stout fellow, M, (Capt Kennedy). Formerly the property of Cornelius Colbert, Norfolk, Virginia; left him 7 years ago. GBC.</t>
  </si>
  <si>
    <t>Capt Kennedy</t>
  </si>
  <si>
    <t>Benjamin Harris, 29, stout tall fellow, (Thomas Cartwright). Formerly the property of Caleb Herman, St. Mary's County, Maryland; left him 5 years ago. GBC.</t>
  </si>
  <si>
    <t>Hesther Scot, 25, stout M wench, (Matthew Arnold). Free as per Gov. Bull's Certificate.</t>
  </si>
  <si>
    <t>Matthew Arnold</t>
  </si>
  <si>
    <t>Jack Jordan, 55, stout little man, (John Job). Formerly the property of Robert Jordan, Norfolk, Virginia; left him 7 years ago. GBC.</t>
  </si>
  <si>
    <t>John Job</t>
  </si>
  <si>
    <t>Nancy Dixon, 30, sick at present with a girl her daughter, 6 years old (Thomas Cartwright). Formerly the property of John Dixon of Williamsburgh, Virginia; left him 3 years ago. GBC.</t>
  </si>
  <si>
    <t>Joe Grant, 19, stout fellow, (John Shoemaker). Born free at Bristol in Barbadoes.</t>
  </si>
  <si>
    <t>Grant</t>
  </si>
  <si>
    <t>St. Augustine, East Florida</t>
  </si>
  <si>
    <t>John Shoemaker</t>
  </si>
  <si>
    <t>James Snow, 25, stout fellow, pockmarked, (Capt. Patrick Kennedy). Formerly the property of John Elwin from Jamaica who died at Charlestown about 15 years ago. GBC.</t>
  </si>
  <si>
    <t>Snow</t>
  </si>
  <si>
    <t>Capt. Patrick Kennedy</t>
  </si>
  <si>
    <t>Anthony Townass, 40, stout fellow, (William Lerner). Formerly the property of Henry Townass of Middletown of New Jersey; left him 4 years ago. GBC.</t>
  </si>
  <si>
    <t>Townass</t>
  </si>
  <si>
    <t>William Lerner</t>
  </si>
  <si>
    <t>Isaac Bush, 28, stout fellow, (Isaiah Low). Formerly the property of Lincey Opey of Cherry point, Potowmack river, Virginia. GBC.</t>
  </si>
  <si>
    <t>Isaiah Low</t>
  </si>
  <si>
    <t>Cherry</t>
  </si>
  <si>
    <t>Potowmack river</t>
  </si>
  <si>
    <t>Charles Hazell, 57, stout fellow, blind right eye, (William Goldthwait). Says he was born free at New London. GBC.</t>
  </si>
  <si>
    <t>Hazell</t>
  </si>
  <si>
    <t>William Goldthwait</t>
  </si>
  <si>
    <t>New London</t>
  </si>
  <si>
    <t>Ned Price, 40, stout little man, (Capt. Patrick Kennedy). Born free on Long Island. GBC.</t>
  </si>
  <si>
    <t>Venus Jordan, 64, stout little wench (John Job). Formerly the property of Capt. Wingfield of Boston, New England; left him 7 years ago. GBC.</t>
  </si>
  <si>
    <t>Kate, 19, stout little wench, (Capt. Patrick Kennedy). Born free at Jericho on Long Island; served 10 years with John Duryee. GBC.</t>
  </si>
  <si>
    <t>Jericho</t>
  </si>
  <si>
    <t>Susannah Paul, 30, stout wench, mulatto, 3 children 3, 5 &amp; 2 years old, (Capt. Patrick Kennedy). Free having purchased her freedom of William Brown of New York. GBC.</t>
  </si>
  <si>
    <t>Hercules 16, stout fellow, very flat nose, (Joseph Pilgrim). Formerly the property of Isaac Harleston who was killed at the Eutaws of Irish town, South Carolina, 6 years ago.</t>
  </si>
  <si>
    <t>16</t>
  </si>
  <si>
    <t>Joseph Pilgrim</t>
  </si>
  <si>
    <t>Lucas, 30, stout fellow, (Joseph Pilgrim). Formerly the property of Benedict Burgoyne, Savannah, Georgia; left him 6 years ago.</t>
  </si>
  <si>
    <t>Phillis Wilkins, 31, stout wench, M, (Capt. Patrick Kennedy). Born free on Long Island. GBC.</t>
  </si>
  <si>
    <t>Ichabod Wilkins, 25, stout man, (Capt. Patrick Kennedy). Formerly the property of John Thomas of White Plains, New York province; left him 7 years ago.</t>
  </si>
  <si>
    <t>Tom, 64, stout fellow, (Charles Whitehead). Free; made his escape from Cape Francois.</t>
  </si>
  <si>
    <t>Charles Whitehead</t>
  </si>
  <si>
    <t>Joseph Paul, 30, stout low man, (Capt. Patrick Kennedy). Free having purchased his freedom from Lawrence Cartwright of New York. GBC.</t>
  </si>
  <si>
    <t>Sally Jones, 25, stout wench, M, (Capt. Patrick Kennedy). Formerly the property of James Jones of Charlestown, South Carolina; left him 3 years ago. GBC.</t>
  </si>
  <si>
    <t>Nancy, 60, stout wench, (Joseph Pilgrim). Formerly the property of Colonel Cole of Swynyard, James river; left him 8 years ago.</t>
  </si>
  <si>
    <t>Swynyard</t>
  </si>
  <si>
    <t>Tom, 10, stout thin man, (Robert Smith). Formerly the property of Mr. Ulon of Norfolk who was killed.</t>
  </si>
  <si>
    <t>Robert Smith</t>
  </si>
  <si>
    <t>Flora Bush, 26, thin wench, (Isaiah Low). Formerly the property of Patrick Symons, Cherry point, Virginia; left him 2 years ago.</t>
  </si>
  <si>
    <t>Joseph Cox, 40, stout fellow, cooper by trade, (Patrick Kennedy). Formerly the property of John Bybank, Totowa, New Jersey; left him 2 years ago. GBC.</t>
  </si>
  <si>
    <t>Patrick Kennedy</t>
  </si>
  <si>
    <t>Adam, 11½, stout boy, scar on forehead, (Richard Warner). Formerly the property of Richard Warner.</t>
  </si>
  <si>
    <t>Richard Warner</t>
  </si>
  <si>
    <t>Rose, 20, fine girl, (John Shoemaker). Formerly the property of John Shoemaker who purchased her from Vandewater, Bedford, Long Island.</t>
  </si>
  <si>
    <t>Vandewater</t>
  </si>
  <si>
    <t>Neptune</t>
  </si>
  <si>
    <t>Samuel Bellson</t>
  </si>
  <si>
    <t>Nancy Van Horne, 26, stout made wench, (James Driscoll of Port Roseway, claimant). His property as appears by Bill of Sale produced.</t>
  </si>
  <si>
    <t>Ship Nero bound for Port Roseway George Burnett</t>
  </si>
  <si>
    <t>Van Horne</t>
  </si>
  <si>
    <t>George Burnett</t>
  </si>
  <si>
    <t>James Driscoll of Port Roseway, claimant</t>
  </si>
  <si>
    <t>Nancy Van</t>
  </si>
  <si>
    <t>Horne</t>
  </si>
  <si>
    <t>Peter Donnel, 29, ordinary fellow, M. James Driscoll of Port Roseway, claimant. His property as appears by Bill of Sale produced.</t>
  </si>
  <si>
    <t>Donnel</t>
  </si>
  <si>
    <t>Nesbitt</t>
  </si>
  <si>
    <t>Port Matton</t>
  </si>
  <si>
    <t>Hart</t>
  </si>
  <si>
    <t>Tunkio</t>
  </si>
  <si>
    <t>Arthur</t>
  </si>
  <si>
    <t>Bowler</t>
  </si>
  <si>
    <t>Suky</t>
  </si>
  <si>
    <t>Dismal</t>
  </si>
  <si>
    <t>Fan</t>
  </si>
  <si>
    <t>Tishy</t>
  </si>
  <si>
    <t>Lakey</t>
  </si>
  <si>
    <t>Philis</t>
  </si>
  <si>
    <t>French</t>
  </si>
  <si>
    <t>Sweney</t>
  </si>
  <si>
    <t>Westerfield</t>
  </si>
  <si>
    <t>Conway</t>
  </si>
  <si>
    <t>Stebbs</t>
  </si>
  <si>
    <t>Richison</t>
  </si>
  <si>
    <t>Stratten</t>
  </si>
  <si>
    <t>Billinger</t>
  </si>
  <si>
    <t>Mount</t>
  </si>
  <si>
    <t>Goodwin</t>
  </si>
  <si>
    <t>Backus</t>
  </si>
  <si>
    <t>Erwin</t>
  </si>
  <si>
    <t>Bolton</t>
  </si>
  <si>
    <t>Jorden</t>
  </si>
  <si>
    <t>Wingwood</t>
  </si>
  <si>
    <t>DeGraw</t>
  </si>
  <si>
    <t>Villiot</t>
  </si>
  <si>
    <t>Parkin</t>
  </si>
  <si>
    <t>Dismall</t>
  </si>
  <si>
    <t>Field</t>
  </si>
  <si>
    <t>Ellenor</t>
  </si>
  <si>
    <t>Benjamen</t>
  </si>
  <si>
    <t>Bartlet</t>
  </si>
  <si>
    <t>Redhook</t>
  </si>
  <si>
    <t>Straten</t>
  </si>
  <si>
    <t>Vanbruyck</t>
  </si>
  <si>
    <t>Pamerton</t>
  </si>
  <si>
    <t>Raddock</t>
  </si>
  <si>
    <t>Chanty</t>
  </si>
  <si>
    <t>Rachal</t>
  </si>
  <si>
    <t>Hanah</t>
  </si>
  <si>
    <t>Stratton</t>
  </si>
  <si>
    <t>Derling</t>
  </si>
  <si>
    <t>Izard</t>
  </si>
  <si>
    <t>Vanboran</t>
  </si>
  <si>
    <t>Whitehead</t>
  </si>
  <si>
    <t>Catto</t>
  </si>
  <si>
    <t>Jardine</t>
  </si>
  <si>
    <t>Astkins</t>
  </si>
  <si>
    <t>Bass</t>
  </si>
  <si>
    <t>Longstreet</t>
  </si>
  <si>
    <t>Crosby</t>
  </si>
  <si>
    <t>Boyle</t>
  </si>
  <si>
    <t>Bristow</t>
  </si>
  <si>
    <t>Borden</t>
  </si>
  <si>
    <t>Garret</t>
  </si>
  <si>
    <t>Heart</t>
  </si>
  <si>
    <t>Work</t>
  </si>
  <si>
    <t>Page</t>
  </si>
  <si>
    <t>Roach</t>
  </si>
  <si>
    <t>Gerrow</t>
  </si>
  <si>
    <t>Olinda</t>
  </si>
  <si>
    <t>Bridget</t>
  </si>
  <si>
    <t>Nanney</t>
  </si>
  <si>
    <t>Bayard</t>
  </si>
  <si>
    <t>Ryarson</t>
  </si>
  <si>
    <t>Waldron</t>
  </si>
  <si>
    <t>Dickison</t>
  </si>
  <si>
    <t>Barren</t>
  </si>
  <si>
    <t>Sweeney</t>
  </si>
  <si>
    <t>Nicholas &amp; Jane</t>
  </si>
  <si>
    <t>Israel Merrit, 25, stout fellow, B, (Capt. Kipp). Property of said Captain Kipp, [now a passenger].</t>
  </si>
  <si>
    <t>Nicholas &amp; Jane bound for Fort Cumberland John Allison, Master</t>
  </si>
  <si>
    <t>Merrit</t>
  </si>
  <si>
    <t>Capt. Kipp</t>
  </si>
  <si>
    <t>Alice Knepp, 6, (Captain Knepp). Property of said Captain Knepp, now a passenger.</t>
  </si>
  <si>
    <t>Knepp</t>
  </si>
  <si>
    <t>Captain Knepp</t>
  </si>
  <si>
    <t>Job Knepp, 1, (Captain Knepp). Property of said Captain Knepp, [now a passenger.]</t>
  </si>
  <si>
    <t>Lydia Purdie, 15, stout wench, B, (Gabriel Pudie). Property of said Purdie, [now a passenger].</t>
  </si>
  <si>
    <t>Purdie</t>
  </si>
  <si>
    <t>Gabriel Pudie</t>
  </si>
  <si>
    <t>Dinah Knepp, 29, stout wench, (Captain Knepp). Property of said Captain Knepp, [now a passenger].</t>
  </si>
  <si>
    <t>Nicholas and Jane</t>
  </si>
  <si>
    <t>John Allison</t>
  </si>
  <si>
    <t>Fort Cumberland</t>
  </si>
  <si>
    <t>Allice</t>
  </si>
  <si>
    <t>Nisbet</t>
  </si>
  <si>
    <t>Joseph Willis, 9 months. Her children.</t>
  </si>
  <si>
    <t>Ship Nisbet bound for Port Mattoon Wilson</t>
  </si>
  <si>
    <t>Rachel Willis, 30, very ordinary wench. Formerly slave to Increase Carpenter, Jamaica, Long Island; he left her in 1776. GMC.</t>
  </si>
  <si>
    <t>Samuel Willis, 41, very ordinary fellow. Formerly slave to David Earle, Bergen, New Jersey; left him in 1779. GBC.</t>
  </si>
  <si>
    <t>Anthony Redhook, 25, likely lad. Formerly slave to Moses Redhook, Nansemond, Virginia; left him 1779. GMC.</t>
  </si>
  <si>
    <t>Thomas Bruin, 30, ordinary fellow. Formerly slave to David Bruin, Hackensack, New Jersey; left him in 1779. GMC.</t>
  </si>
  <si>
    <t>Bruin</t>
  </si>
  <si>
    <t>Charles Willis, 5. Her children.</t>
  </si>
  <si>
    <t>Joseph Harris, 53, ordinary fellow. Formerly slave to Mr. Harris, Rhaway, New Jersey; left him in 1776. GMC.</t>
  </si>
  <si>
    <t>Rhaway</t>
  </si>
  <si>
    <t>Isaac Betty, 25, ordinary fellow. Formerly slave to John Betty, Charlestown, South Carolina; left him in 1780. GMC.</t>
  </si>
  <si>
    <t>Joseph Bartlet, 31, stout man. Formerly slave to Gilbert Livingston, Poughkeepsie, New York; left him 1779. GMC.</t>
  </si>
  <si>
    <t>Jenny Willis, 3. Her children.</t>
  </si>
  <si>
    <t>George Barclay, 8, likely boy. Her children.</t>
  </si>
  <si>
    <t>Barclay</t>
  </si>
  <si>
    <t>Boler</t>
  </si>
  <si>
    <t>Sarah Field, 2. Her children.</t>
  </si>
  <si>
    <t>William Billinger, 23, likely fellow. Formerly slave to George Billinger, Ashley River, South Carolina; left him in May 1780. GMC.</t>
  </si>
  <si>
    <t>Elizabeth Barclay, 12, likely quadroon. Her children.</t>
  </si>
  <si>
    <t>Rachel Barclay, 16, likely girl. Her children.</t>
  </si>
  <si>
    <t>Betsey Boler, 12, likely girl. Says she was born free, Portsmouth, Rhode Island. GBC.</t>
  </si>
  <si>
    <t>Phebe Boler, 35, ordinary wench. Says she was born free, Portsmouth, Rhode Island. GBC.</t>
  </si>
  <si>
    <t>Arthur Boler, 34, stout fellow. Formerly slave to Medcalfe Bowler, Portsmouth, Rhode Island; left him in 1781. GBC.</t>
  </si>
  <si>
    <t>Funky Hancock, 25, ordinary wench. Formerly slave to John Hancock, Princess Ann County, Virginia; left him in 1781. GBC.</t>
  </si>
  <si>
    <t>Funky</t>
  </si>
  <si>
    <t>Nelly Lamb, 21, stout wench. Formerly slave to Col. Ruffin Jordan, Norfolk County, Virginia; left him in 1779. GBC.</t>
  </si>
  <si>
    <t>John Green, 44, ordinary fellow. Formerly slave to Lucy Given, Norfolk County, Virginia; left him 1776. GMC.</t>
  </si>
  <si>
    <t>Ben Field, 4. Her children.</t>
  </si>
  <si>
    <t>Flora Hill, 21, ordinary wench. Formerly slave to James Yard, Philadelphia; left him in 1778. GMC.</t>
  </si>
  <si>
    <t>Judy Jordan, 9, likely wench. Her children.</t>
  </si>
  <si>
    <t>Dempse Jordan, 11, likely boy. Her children.</t>
  </si>
  <si>
    <t>Rachel Jordan, 30, stout wench. Formerly slave to Solomon Slaughter, Nansemond, Virginia; left him in 1779. GBC.</t>
  </si>
  <si>
    <t>Thom Richardson, 32, stout fellow. Formerly slave to Edward Dawson, Aarons County, Maryland; left him in July 1777. GMC.</t>
  </si>
  <si>
    <t>Thom</t>
  </si>
  <si>
    <t>Aarons County</t>
  </si>
  <si>
    <t>Isaac Warren, 25, ordinary fellow. Formerly slave to Thomas Warren, Charlestown, South Carolina; left him in May 1780. GMC.</t>
  </si>
  <si>
    <t>Garret Hart, 29, stout fellow. Formerly slave to Conrad Ralph near Reading, Pennsylvania; left him in April 1778. GMC.</t>
  </si>
  <si>
    <t>Formerly slave to Conrad Ralph near Reading</t>
  </si>
  <si>
    <t>Sam Dismal, 31, stout fellow. Formerly slave to John Dismal, Somerset County, Maryland; left him in 1779. GMC.</t>
  </si>
  <si>
    <t>Sam Smith, 36, stout fellow. Formerly slave to Col. Samuel Breese, Monmouth, New Jersey; left him in 1778. GMC.</t>
  </si>
  <si>
    <t>James Annie, 39, stout fellow. Formerly slave to John Annie, Rhode Island; left him in 1779. GMC.</t>
  </si>
  <si>
    <t>Joseph Wingwood, 24, stout fellow. Formerly slave to Gilbert Wingwood, Wando, South Carolina; left him in 1780. GMC.</t>
  </si>
  <si>
    <t>Wando</t>
  </si>
  <si>
    <t>Esther Clark, 35, ordinary wench. Formerly slave to Michael Clark, Philadelphia; left him in June 1778.</t>
  </si>
  <si>
    <t>Nancy Savage, 17, stout wench. Formerly slave to Thomas Savage, Charlestown, South Carolina; left him in 1778. GMC.</t>
  </si>
  <si>
    <t>William Goodwin, 45, ordinary fellow. Formerly slave to James Goodwin, Nansemond, Virginia;l left him 1780. GMC.</t>
  </si>
  <si>
    <t>Richard Price, 30, stout fellow. Formerly slave to James Price, Hampton, Virginia; left him in 1776. GMC.</t>
  </si>
  <si>
    <t>Charles Sweeney, 40, stout fellow. Formerly slave to Major Sweeney, Hampton, Virginia. GMC.</t>
  </si>
  <si>
    <t>Simon Rutledge, 23, stout fellow. Formerly slave to Thomas Rutledge, Charlestown, South Carolina; left him in 1777. GMC.</t>
  </si>
  <si>
    <t>Pompey Perkins, 30, stout fellow. Formerly slave to James Perkins, Boston. GMC.</t>
  </si>
  <si>
    <t>Sam Cooper, 32, stout fellow. Formerly slave to John Cooper, New England. GMC.</t>
  </si>
  <si>
    <t>Kitty, 25, stout wench. Formerly slave to Peter Trumbly, New Jersey; left him in 1776.</t>
  </si>
  <si>
    <t>Formerly slave to Peter Trumbly</t>
  </si>
  <si>
    <t>York, 27, stout fellow. Formerly slave to John Borden, Eastern Shore, Virginia.; left him in 1776. GMC.</t>
  </si>
  <si>
    <t>John Ryerson, 36, stout fellow, one eyed. Formerly slave to John Ryerson, Hackensack, New Jersey; left him in 1776.</t>
  </si>
  <si>
    <t>Ryerson</t>
  </si>
  <si>
    <t>Betty, 3, Free.</t>
  </si>
  <si>
    <t>Peggy, 24, stout wench. Born free on Bahamas Island.</t>
  </si>
  <si>
    <t>Bahamas Island</t>
  </si>
  <si>
    <t>George, 11 months, her children.</t>
  </si>
  <si>
    <t>Nancy, 5, her children.</t>
  </si>
  <si>
    <t>Jeff, 5, fine boy, M, (Mr. Thomas Cutler). Bound until 21 years of age to Mr. Cutler.</t>
  </si>
  <si>
    <t>Mr. Thomas Cutler</t>
  </si>
  <si>
    <t>Henry Derling, 32, stout fellow, M, (Mr. Thomas Cutler). Free. Formerly the property of Garret Derling, Jamaica South, who gave him his freedom 6 years ago.</t>
  </si>
  <si>
    <t>Jamaica South</t>
  </si>
  <si>
    <t>Susannah, 65, stout wench.</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</si>
  <si>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</si>
  <si>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</si>
  <si>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</si>
  <si>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Bacchus Erwin, 40, ordinary fellow. Formerly slave to David Irwin, Philadelphia; left him in 1778. GMC.</t>
  </si>
  <si>
    <t>Isaac Balton, 23, likely fellow. Formerly slave to Joseph Johnson, Norfolk, Virginia; left him in 1778. GMC.</t>
  </si>
  <si>
    <t>Balton</t>
  </si>
  <si>
    <t>Benjamin Gerrow, 25, stout fellow. Formerly slave to Peter Gerrow, Charlestown, South Carolina.</t>
  </si>
  <si>
    <t>Dick Roach, 55, stout fellow. Formerly slave to Lieutenant Col. DeLancey.</t>
  </si>
  <si>
    <t>Charles Whiter, 25, stout fellow. Formerly slave to Dr. Dillehour, Charlestown, South Carolina; left him in 1777. GMC.</t>
  </si>
  <si>
    <t>Whiter</t>
  </si>
  <si>
    <t>Paul Jackson, 35, ordinary fellow. Formerly slave to Joe Jackson, Boston; left him in 1775.</t>
  </si>
  <si>
    <t>Peggy, 7, fine girl.</t>
  </si>
  <si>
    <t>Polly, 14, fine girl. Formerly slave to Peter Trumbly, Springfield, New Jersey.</t>
  </si>
  <si>
    <t>Willis Page, 35, stout fellow. Formerly slave to John Driver, Nansemond, Virginia; left him in 1779. GMC.</t>
  </si>
  <si>
    <t>Job Work, 22, stout fellow. Formerly slave to Anthony Work, Hemps Landing, Virginia; left him in 1778. GMC.</t>
  </si>
  <si>
    <t>Hemps Landing</t>
  </si>
  <si>
    <t>Joseph Harris, 53, stout fellow. Formerly slave to Joseph Harris, Rhaway neck, New Jersey; left him in 1775. GMC.</t>
  </si>
  <si>
    <t>Rhaway neck</t>
  </si>
  <si>
    <t>Abraham Bayard, 30, stout fellow. Formerly slave to Samuel Bayard, Cecil County, Maryland; left him in 1777. GMC.</t>
  </si>
  <si>
    <t>Charles Lamb, 30, stout fellow. Formerly slave to Frederick Hanson, Kent County, Maryland; left him in 1777. GMC.</t>
  </si>
  <si>
    <t>Kent County</t>
  </si>
  <si>
    <t>Ned Dickinson, 21, stout fellow. Says he was born free in West Indies; pressed on board a Man a War.</t>
  </si>
  <si>
    <t>Dickinson</t>
  </si>
  <si>
    <t>Benjamin, 23, stout fellow. Formerly slave to Isaac Waldron, Charlestown, South Carolina; left him in 1776. GMC.</t>
  </si>
  <si>
    <t>Moses Mount, 20, ordinary fellow. Formerly slave to Michael Mount, Allentown, New Jersey; left him in 1776. GMC.</t>
  </si>
  <si>
    <t>Allentown</t>
  </si>
  <si>
    <t>Israel Barclay, 6, Her children.</t>
  </si>
  <si>
    <t>Violet Parkin, 27, ordinary wench, (Mr. Parkin). Mr. Parkin's property.</t>
  </si>
  <si>
    <t>Mr. Parkin</t>
  </si>
  <si>
    <t>Mary Stratton, 24, likely wench. Formerly slave to Ben Stratton, Eastern Shore, Virginia; left him in 1779. GBC.</t>
  </si>
  <si>
    <t>Sarah Stebbs, 22, stout wench, (Wagon Master General Department). Born free on Long Island.</t>
  </si>
  <si>
    <t>Port Mattoon Wilson</t>
  </si>
  <si>
    <t>Wagon Master General Department</t>
  </si>
  <si>
    <t>Nancy, 2, stout wench, (Wagon Master General Department). Formerly slave to John Miles, South Carolina; left him in 1781.</t>
  </si>
  <si>
    <t>Formerly slave to John Miles</t>
  </si>
  <si>
    <t>Mary, 1, (Wagon Master General Department). Her child.</t>
  </si>
  <si>
    <t>Phillis, 22, stout wench, (Wagon Master General Department). Formelry slave to Thomas Erskine, Charlestown, South Carolina; left him in 1776.</t>
  </si>
  <si>
    <t>Rose French, 16, stout wench, (Wagon Master General Department). Formerly slave to Obadiah Bown, Shrewsbury, New Jersey; left him in 1778.</t>
  </si>
  <si>
    <t>Molly Sweney, 30, stout wench, (Wagon Master General Department). Formerly slave to John Willoughby, Willoughby Point; left him in 1778.</t>
  </si>
  <si>
    <t>Phillis, 40, stout (Wagon Master General Department). Born free at Rhode Island.</t>
  </si>
  <si>
    <t>Betty Westerfield, 28, stout wench, (Wagon Master General Department). Born free at Rhode Island.</t>
  </si>
  <si>
    <t>Bristol, 12, (Wagon Master General Department). Her children.</t>
  </si>
  <si>
    <t>Jenny Conway, 33, stout wench, (Wagon Master General Department). Formerly slave to Oxford Birt, Spanktown, New Jersey; left him in 1777.</t>
  </si>
  <si>
    <t>Spanktown</t>
  </si>
  <si>
    <t>Nancy, 15 months, (Wagon Master General Department). Her Child.</t>
  </si>
  <si>
    <t>Hannah, 22, (Wagon Master General Department). Formerly slave to Stephen Wright, Norfolk, Virginia; left him in 1776.</t>
  </si>
  <si>
    <t>Elizabeth, 20, (Wagon Master General Department). Free born.</t>
  </si>
  <si>
    <t>Massey, 22, (Wagon Master General Department). Formerly slave to John Jay, Esq.; Left him in 1778.</t>
  </si>
  <si>
    <t>Sukey Dismal, 24, stout wench, (Wagon Master General Department). Formerly the property of B. Guy, Norfolk, Virginia; left him 5 years ago.</t>
  </si>
  <si>
    <t>Pomp Wilson, 54, stout fellow, (Wagon Master General Department). Formerly the property of William Curl, Hampton, Virginia; left him 5 years ago. GMC.</t>
  </si>
  <si>
    <t>Sally, 16 months, (Wagon Master General Department). Born within the British Lines.</t>
  </si>
  <si>
    <t>Amelia Connor, 19, stout wench, (Wagon Master General Department). Formerly the property of James Vandross of Charlestown, South Carolina; left him 3 years ago.</t>
  </si>
  <si>
    <t>Formerly the property of James Vandross of Charlestown</t>
  </si>
  <si>
    <t>Lucy Hart, 35, stout wench, (Wagon Master General Department). Formerly the property of Samson Levi of Philadelphia who gave her her freedom.</t>
  </si>
  <si>
    <t>Rachel Wilson, 34, stout wench, (Wagon Master General Department). Formerly the property of William Curl of Hampton, Virginia; left him 5 years ago.</t>
  </si>
  <si>
    <t>Formerly the property of William Curl of Hampton</t>
  </si>
  <si>
    <t>Gab Morris, 23, stout fellow, (Wagon Master General Department). Formerly the property of John Allen, Surryside, Virginia; left him 3 years ago. GMC.</t>
  </si>
  <si>
    <t>Gab</t>
  </si>
  <si>
    <t>Surryside</t>
  </si>
  <si>
    <t>Bristol Borden, 20, stout fellow, (Wagon Master General Department). Formerly the property of John Borden, Northampton County, Virginia; left him 3 years ago. GMC.</t>
  </si>
  <si>
    <t>Thomas Boyle, 26, stout fellow, (Wagon Master General Department). Formerly the property of Adam Boyle of Cecil County, Maryland; left him 6 years ago. GMC.</t>
  </si>
  <si>
    <t>Formerly the property of Adam Boyle of Cecil County</t>
  </si>
  <si>
    <t>Tishy Barclay, 3, Her children.</t>
  </si>
  <si>
    <t>Quash Shepherd, 29, stout fellow, (Wagon Master General Department). Formerly the property of William Shepard, Nansemond, Virginia; left him 5 years ago. GMC.</t>
  </si>
  <si>
    <t>John, 20 months, (Wagon Master General Department). Her child.</t>
  </si>
  <si>
    <t>John Longstreet, 45, stout fellow, (Wagon Master General Department). Formerly the property of Derick Longstreet, Princetown, New Jersey; left him 7 years ago. GMC.</t>
  </si>
  <si>
    <t>Princetown</t>
  </si>
  <si>
    <t>Dinah, 22, stout wench, (Wagon Master General Department). Formelry slave to John Rag, Charlestown, South Carolina; left him in 1778.</t>
  </si>
  <si>
    <t>Lakey, 7 months, (Wagon Master General Department). Her children.</t>
  </si>
  <si>
    <t>Jane Barclay, ½. Her children.</t>
  </si>
  <si>
    <t>Fan Barclay, 42, ordinary wench. Says she was born free. Certified by James Henderson, Waggon Master.</t>
  </si>
  <si>
    <t>Eleanor Field, 27, stout wench. Formerly slave to Jeremy Field, Piscataway, New Jersey; her master left her in 1776. GMC.</t>
  </si>
  <si>
    <t>Piscataway</t>
  </si>
  <si>
    <t>Ben Field, 38, ordinary fellow. Formerly slave to Jeremy Field, Piscataway, New Jersey; his master left him in 1776. GMC.</t>
  </si>
  <si>
    <t>Dick Parkin, ½, (Mr. Parkin). Mr. Parkin's property.</t>
  </si>
  <si>
    <t>Benjamin, 1, infant, (Wagon Master General Department). Her children</t>
  </si>
  <si>
    <t>Diana, 8, (Wagon Master General Department). Her children.</t>
  </si>
  <si>
    <t>Peggy Waldron, 30, stout wench, (Wagon Master General Department). Free. Formerly the property of Isaac Waldron, Charlestown, South Carolina; left him 1777. GBC.</t>
  </si>
  <si>
    <t>Jenny, 3 months, infant, (Wagon Master General Department).</t>
  </si>
  <si>
    <t>Lydia, 23, stout wench, (Wagon Master General Department). Free. Formelry the property of John Alstin, Charlestown, South Carolina; left him in 1777.</t>
  </si>
  <si>
    <t>Sally, 16 months, infant, (Wagon Master General Department). Her child.</t>
  </si>
  <si>
    <t>Rachel, 19, stout wench, (Wagon Master General Department). Free. Formerly the property of Gov. Graham, Savannah.</t>
  </si>
  <si>
    <t>Ilinda, 19, stout wench, M, (Wagon Master General Department). Born free at Flushing, Long Island.</t>
  </si>
  <si>
    <t>Ilinda</t>
  </si>
  <si>
    <t>Nelly, 36, stout wench, (Wagon Master General Department). Born free at Hackensack, New Jersey.</t>
  </si>
  <si>
    <t>Born free at Hackensack</t>
  </si>
  <si>
    <t>Bridget, 35, stout wench, one eyed, (Wagon Master General Department). Formerly slave to James Murphy, Norfolk, Virginia; left him in 1775. GBC.</t>
  </si>
  <si>
    <t>Lydia, 29, stout wench, (Wagon Master General Department). Formelry slave to Robert Murray, Senee, South Carolina; left him in 1776.</t>
  </si>
  <si>
    <t>Senee</t>
  </si>
  <si>
    <t>Rose, 7, (Wagon Master General Department). Her child.</t>
  </si>
  <si>
    <t>Hannah, 40, stout wench, (Wagon Master General Department). Free. Served 31 years with John Gale of Maryland.</t>
  </si>
  <si>
    <t>Jem, 9 months, infant, (Wagon Master General Department). Her child.</t>
  </si>
  <si>
    <t>Nancy, 20, stout wench, several scars in her face, (Wagon Master General Department). Formerly slave to Rutledge, Charlestown, South Carolina.</t>
  </si>
  <si>
    <t>Mary, 7 months, infant, (Wagon Master General Department). Her child.</t>
  </si>
  <si>
    <t>Nanny, 26, stout wench, (Wagon Master General Department). Formerly slave to Thacker Washington, Eastern Shore; left him in 1776.</t>
  </si>
  <si>
    <t>Hagar, 20, stout wench, (Wagon Master General Department). Formerly slave to Thomas Broughton, Canonachee, South Carolina; left him in 1779.</t>
  </si>
  <si>
    <t>Canonachee</t>
  </si>
  <si>
    <t>Silvia Thompson, 23, stout wench, (Wagon Master General Department). Formerly slave to Thomas Ladson, Charlestown, South Carolina; left him in 1778.</t>
  </si>
  <si>
    <t>Fanny, 30, stout wench, (Wagon Master General Department). Formerly slave to Dr. Bluefinch of Boston; left him in 1775.</t>
  </si>
  <si>
    <t>John, 2, (Wagon Master General Department). Her children.</t>
  </si>
  <si>
    <t>Ben Astens, 56, stout fellow, (Wagon Master General Department). Formerly the property of Alexander Atkins, Newcastle County; left him 5 years ago. GMC.</t>
  </si>
  <si>
    <t>Astens</t>
  </si>
  <si>
    <t>Prince Crosbie, 22, stout fellow, (Wagon Master General Department). Formerly the property of Timothy Crosbie of Charlestown, South Carolina; left him 5 years ago. GMC.</t>
  </si>
  <si>
    <t>Crosbie</t>
  </si>
  <si>
    <t>Formerly the property of Timothy Crosbie of Charlestown</t>
  </si>
  <si>
    <t>Prince Crosbie</t>
  </si>
  <si>
    <t>Richard Jardine, 31, stout fellow, (Wagon Master General Department). Formerly the property of Edward Jardin, Nansemond, Virginia; left him 4 years ago. GMC.</t>
  </si>
  <si>
    <t>Barry Sawyer, 25 years, stout fellow, Royal Artillery Department. Formerly slave to Charles Sawyer, Princes Ann County, Virginia; left him in 1776. GMC.</t>
  </si>
  <si>
    <t>Barry</t>
  </si>
  <si>
    <t>Sawyer</t>
  </si>
  <si>
    <t>Princes Ann County</t>
  </si>
  <si>
    <t>Daniel Brown, 45, stout fellow, (Wagon Master General Department). Formerly the property of Thomas Russel, Maryland; left him 4 years ago. GMC.</t>
  </si>
  <si>
    <t>Formerly the property of Thomas Russel</t>
  </si>
  <si>
    <t>Jenny Frederick, 32 years, ordinary wench, WMGD. Certified to be free by Jonah Frederick of Boston, New England.</t>
  </si>
  <si>
    <t>Prince Frederick, 32 years, stout fellow, WMGD. Formerly slave to Capt. Frederick, Boston, New England; left him in 1776. GMC.</t>
  </si>
  <si>
    <t>Samuel Minton, 60 years, nearly worn out, WMGD. Formerly slave to Thomas Minton, Norfolk, Virginia; left him in 1779. GMC.</t>
  </si>
  <si>
    <t>Peter Young, 21 years, ordinary fellow, WMGD. Formerly slave to Charles Conner, Crane Island, Virginia; left him in 1779. GMC.</t>
  </si>
  <si>
    <t>William Sampson, 28 years, likely fellow, WMGD. Formerly slave to James Jackson, New Windson, New York Province; left him in 1777. GMC.</t>
  </si>
  <si>
    <t>New Windson</t>
  </si>
  <si>
    <t>Close Herring, 50 years, nearly worn out, WMGD. Formerly slave to Patton Herring, Tappan, New Jersey; left him and joined the British troops in 1778. GMC.</t>
  </si>
  <si>
    <t>Close</t>
  </si>
  <si>
    <t>Patton Herring</t>
  </si>
  <si>
    <t>Jenny Rivers, 7 years, ordinary child, WMGD. Born free within the British Lines.</t>
  </si>
  <si>
    <t>Sally Rivers, 30 years, ordinary wench, WMGD. Formerly slave to Molly Rivers, Charlestwon, South Carolina; left her in 1776. GMC.</t>
  </si>
  <si>
    <t>Charlestwon</t>
  </si>
  <si>
    <t>Fortune Rivers, 30 years, ordinary fellow, WMGD. Formerly slave to Molly Rivers, Charlestown, South Carolina; left her in 1776. GMC.</t>
  </si>
  <si>
    <t>Thomas York, 31, stout fellow. Formerly slave to Col. Bird, Reading, Pennsylvania; left him in 1777.</t>
  </si>
  <si>
    <t>Shinea Sawyer, 33 years, stout wench, RAD. Formerly slave to John Ivie, Norfolk County, Virginia; left him in 1776. GMC.</t>
  </si>
  <si>
    <t>Shinea</t>
  </si>
  <si>
    <t>Francis Wells, 24, stout lad. Formerly slave to Thomas Wills, Mulberry, Virginia; left him in 1780.</t>
  </si>
  <si>
    <t>Mulberry</t>
  </si>
  <si>
    <t>Nancy Van Bruyck, 28, stout wench. Formerly slave to David Edwards, Tappan, New Jersey; left him in 1779.</t>
  </si>
  <si>
    <t>Van Bruyck</t>
  </si>
  <si>
    <t>John Van Bruyck, 33, ordinary fellow. Formerly slave to Samuel Van Bruyck, Tappan, New Jersey; left him in 1779.</t>
  </si>
  <si>
    <t>Billy Palmerton, 4. Her child.</t>
  </si>
  <si>
    <t>Palmerton</t>
  </si>
  <si>
    <t>Betsy Palmerton, 20, stout wench. Formerly slave to Joseph Palmerton, Charlestown, South Carolina; left him in 1778. GMC.</t>
  </si>
  <si>
    <t>Jenny Redock, 12, ordinary girl. Formerly slave to Col. Redock, Virginia. GMC.</t>
  </si>
  <si>
    <t>Redock</t>
  </si>
  <si>
    <t>Charity Redock, 14, ordinary girl. Formerly slave to Col. Redock, Virginia. GMC.</t>
  </si>
  <si>
    <t>Richard Redock, 39, ordinary fellow. Formerly slave to Col. Redock, Virginia; left him in 1778. GMC.</t>
  </si>
  <si>
    <t>Priscilla, 8, ordinary. Her child.</t>
  </si>
  <si>
    <t>Nancy Sheppard, 40, stout wench. Formerly slave to Edward Buston, Nansemond, Virginia; left him in 1779. GBC.</t>
  </si>
  <si>
    <t>Hannah Richardson, 22, ordinary wench. Formerly slave to Ben Bennet, Head of Elk, Maryland; left him in 1779. GMC.</t>
  </si>
  <si>
    <t>Head of Elk</t>
  </si>
  <si>
    <t>Peggy Stratton, 4 months. Her children.</t>
  </si>
  <si>
    <t>Johnny Stratton, 2. Her children.</t>
  </si>
  <si>
    <t>Sarah Van Bruyck, 5. Her child.</t>
  </si>
  <si>
    <t>Nelly Sawyer, 14 years, likely wench, RAD. Formerly slave to James Hickerson, Norfolk, Virginia; left him in 1776. GMC.</t>
  </si>
  <si>
    <t>Thomas Thomas, aged 36 years, stout fellow, Royal Artillery Department. Formerly slave to Charles Thomas, Nancy Mund, Virginia; left him in 1776. GBC.</t>
  </si>
  <si>
    <t>Nancy Mund</t>
  </si>
  <si>
    <t>Tom Sawyer, 10 years, likely boy, RAD. Formerly slave to James Micherson, Norfolk County, Virginia; left him 1776. GMC.</t>
  </si>
  <si>
    <t>Philip Thompson, 24, stout fellow, M, (Wagon Master General Department). Formerly the property of James Thompson, Clown, South Carolina; left him 4 years ago. GMC.</t>
  </si>
  <si>
    <t>Clown</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</si>
  <si>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</si>
  <si>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</si>
  <si>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</si>
  <si>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Formerly the property of David Alstin of Woodbridge</t>
  </si>
  <si>
    <t>Woodbridge</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</si>
  <si>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</si>
  <si>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</si>
  <si>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Formerly the property of Land Degraw of Tappan</t>
  </si>
  <si>
    <t>Patty Reid, 23 years, likely wench, RAD. Formerly slave to Joseph Corrin, James River, Virginia; left him in 1777. GM</t>
  </si>
  <si>
    <t>Reid</t>
  </si>
  <si>
    <t>George Wilkins, 53, stout fellow, (Wagon Master General Department). Formerly the property of S. Wilkin, Princess Ann, Virginia;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</si>
  <si>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</si>
  <si>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</si>
  <si>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</si>
  <si>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</si>
  <si>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Van Borun</t>
  </si>
  <si>
    <t>Wagon master General Department</t>
  </si>
  <si>
    <t>Andrew Whitehead, 29, stout fellow, (Wagon Master General Department). Formerly the property of Hemed Whitehead, South Carolina; left him 6 years ago. GMC.</t>
  </si>
  <si>
    <t>Formerly the property of Hemed Whitehead</t>
  </si>
  <si>
    <t>Cato Brown, 31, stout fellow, (Wagon Master General Department). Formerly the property of Samuel Hudson, Philadelphia; left him 7 years ago. GMC.</t>
  </si>
  <si>
    <t>Chris King, 28, stout fellow, (Wagon Master General Department). Formerly the property of Thomas Reese near Valley Forge, Pennsylvania; left him 5 years ago. GMC.</t>
  </si>
  <si>
    <t>Chris</t>
  </si>
  <si>
    <t>Formerly the property of Thomas Reese near Valley Forge</t>
  </si>
  <si>
    <t>Chloe Sawyer, 11 years, likely wench, RAD. Formerly slave to John Ivie, Norfolk County, Virginia; left him in 1776. GMC.</t>
  </si>
  <si>
    <t>James Reid, 33 years , stout fellow, RAD. Formerly slave to Doctor Reid, Norfolk, Virginia; left him &amp; joined Lord Dunmore in 1776. GMC.</t>
  </si>
  <si>
    <t>Miney Henry, 25 years, ordinary wench, RAD. Formerly slave to Joseph Convey, Philadelphia; left him in 1778. GMC.</t>
  </si>
  <si>
    <t>Miney</t>
  </si>
  <si>
    <t>Tom Summer, 35 years, ordinary fellow, RAD. Formerly slave to Josiah Summer, Nancy Mund, Virginia; left him 1779. GBC.</t>
  </si>
  <si>
    <t>Pinna Summer, 21 years, likely wench, RAD. Formerly slave to Josiah Summer, Nancy Mund, Virginia; left him in 1779. GBC.</t>
  </si>
  <si>
    <t>Pinna</t>
  </si>
  <si>
    <t>Cato Summer, 2½ years, RAD, born free within the British Lines.</t>
  </si>
  <si>
    <t>Michael Wallace, 38 years, likely fellow, RAD. Formerly slave to James Wallace, Norfolk, Virginia; left him and joined Lord Dunmore in 1777. GMC.</t>
  </si>
  <si>
    <t>Molly Henry, 4 years, fine child, RAD. Born free within the British lines.</t>
  </si>
  <si>
    <t>Dick Wallace, 4 years, fine boy, RAD. Born free within the British Lines.</t>
  </si>
  <si>
    <t>Hannah Wallace 22 years, ordinary wench, RAD. Formerly slave to William Arronstead, Gloucester, Virginia; left him in 1776. GMC.</t>
  </si>
  <si>
    <t>Wallace 22 years</t>
  </si>
  <si>
    <t>Ralph Henry, 30 years, ordinary fellow, RAD. Formerly slave to Patrick Henry, Gloucester, Virginia; left him in 1776.</t>
  </si>
  <si>
    <t>Ralph</t>
  </si>
  <si>
    <t>Rose Stratton, 8, Her children.</t>
  </si>
  <si>
    <t>Pallacier</t>
  </si>
  <si>
    <t>Peter Britain, 17, stout lad. Formerly slave to William Sands, Charlestown, South Carolina; left him in 1779. GBC.</t>
  </si>
  <si>
    <t>Pallacier bound for Spithead James Smith</t>
  </si>
  <si>
    <t>Pallessier</t>
  </si>
  <si>
    <t>Howthey</t>
  </si>
  <si>
    <t>James Smith</t>
  </si>
  <si>
    <t>Keate</t>
  </si>
  <si>
    <t>Ham</t>
  </si>
  <si>
    <t>Passesier</t>
  </si>
  <si>
    <t>Jack, 14, likely boy. Capt. Mills of St. John's, claimant. (Capt. Mills). Certified to be his property from the Office of Police.</t>
  </si>
  <si>
    <t>Passesier bound for St. John's James Smith</t>
  </si>
  <si>
    <t>Capt. Mills</t>
  </si>
  <si>
    <t>Rose, 14, likely wench. Capt. Mills of St. John's, claimant (Capt. Mills). Certified t be his property from the Office of Police.</t>
  </si>
  <si>
    <t>Ham, 15, likely boy. Ensign Hubbard of St. John's, claimant. (Ens. Hubbard). Certified to be his property from the Office of Police.</t>
  </si>
  <si>
    <t>Ens. Hubbard</t>
  </si>
  <si>
    <t>Warwick, 26, stout fellow, (Adj't. Carpenter). Formerly the property of Aaron Jellot, Charlestown, South Carolina; left him 5 years ago. GMC.</t>
  </si>
  <si>
    <t>Adj't. Carpenter</t>
  </si>
  <si>
    <t>Jack, 9, likely boy. Ensign Carpenter of St. John's, claimant. (Ens. Carpenter). Certified to be his property by Office of Police.</t>
  </si>
  <si>
    <t>Ens. Carpenter</t>
  </si>
  <si>
    <t>Kate, 23, stout wench, (Ensign Carpenter). Formerly the property of John Williamson, Charlestown, South Carolina; left him 5 years ago. GMC.</t>
  </si>
  <si>
    <t>Ensign Carpenter</t>
  </si>
  <si>
    <t>Mary, 41, ordinary wench. Ensign Cheace of St. John's, claimant. (Ens. Cheace). His property certified by Mr. Walton.</t>
  </si>
  <si>
    <t>Ens. Cheace</t>
  </si>
  <si>
    <t>Nancy Howthey, 14, ordinary wench, (Lieut. DeVeber). Formerly the property of Mr. Hawthey, Charlestown, South Carolina; left him 5 years ago. GBC.</t>
  </si>
  <si>
    <t>Lieut. DeVeber</t>
  </si>
  <si>
    <t>William, 22, stout man, (Col. Winslow). Certificate from General Birch, freeborn in Mont Serrat</t>
  </si>
  <si>
    <t>Ship Peggy bound for Port Roseway Jacob Wilson</t>
  </si>
  <si>
    <t>Jacob Wilson</t>
  </si>
  <si>
    <t>Col. Winslow</t>
  </si>
  <si>
    <t>Ceasor and a</t>
  </si>
  <si>
    <t>Peter Parker, 40, stout fellow with one arm, (Thomas Mallard). Formerly the property of Thomas Parker of Providence, Rhode Island, whom he says gave him his freedom &amp; produces Gen. Birch's Certificate.</t>
  </si>
  <si>
    <t>Peggy bound for River St. John's Jacob Wilson</t>
  </si>
  <si>
    <t>Thomas Mallard</t>
  </si>
  <si>
    <t>Providence</t>
  </si>
  <si>
    <t>Thomas Fountain, 44, stout fellow, (Thomas Mallard). Formerly the property of Edward Cole of Northumberland County, Virginia; left him 7 years ago. GBC.</t>
  </si>
  <si>
    <t>Jeremiah Cole, 20, stout fellow, (Thomas Mallard). Formerly the property of Elizabeth Cole of Northumberland County, Virginia; left her 5 years ago. GBC.</t>
  </si>
  <si>
    <t>Jeremiah</t>
  </si>
  <si>
    <t>William Faucet, 25, stout fellow, (Richard Walker). Formerly the property of David Faucitt of Sinepuxent, Maryland; left him 3 years ago. GBC.</t>
  </si>
  <si>
    <t>Faucet</t>
  </si>
  <si>
    <t>Richard Walker</t>
  </si>
  <si>
    <t>George, 18, stout lad, (Peter Ryerson). Formerly lived with Dennis Hagan in South Carolina to whom he was indented for 20 years; brought from thence by Capt. Gore, 33rd Reg't.</t>
  </si>
  <si>
    <t>Peter Ryerson</t>
  </si>
  <si>
    <t>George, 13, stout boy, (Capt. Philips). His own property.</t>
  </si>
  <si>
    <t>Capt. Philips</t>
  </si>
  <si>
    <t>Parthenia Stanly, 35, stout wench &amp; small boy, (Col. Winslow). Free as per Certificate of her late Mrs. Mott.</t>
  </si>
  <si>
    <t>Parthenia</t>
  </si>
  <si>
    <t>Stanly</t>
  </si>
  <si>
    <t>Abraham, 19, stout lad, (John Cutler). Came form Virginia with Lieut. Col. Pennington of the Guards, formerly the property of Peter Rose.</t>
  </si>
  <si>
    <t>John Cutler</t>
  </si>
  <si>
    <t>Peter, 10, stout boy, (Col. Winslow). Certificate from General Birch, freed by Mr. Deane of Jamaica, Long Island.</t>
  </si>
  <si>
    <t>Josiah Smith, 42, stout sawyer &amp; labourer, (Malcom Morrison). Formerly the property of William Smith of Portsmouth, Virginia left it about six years ago.</t>
  </si>
  <si>
    <t>Malcom Morrison</t>
  </si>
  <si>
    <t>Paul Coffin, 29, stout labourer, (Major Coffin) , Fanning's reg't.). Property of Major Coffin purchased from Mr. Greentree.</t>
  </si>
  <si>
    <t>Coffin</t>
  </si>
  <si>
    <t>Harry, 23, stout labourer, (Major Coffin, Fanning's reg't.) Property of Major Coffin purchased from Mr. Greentree</t>
  </si>
  <si>
    <t>Major Coffin, Fanning's reg't.</t>
  </si>
  <si>
    <t>Phebe, 21, stout wench, (Major Coffin, Fanning's reg't.) Property of Major Coffin purchased from Mr. Greentree.</t>
  </si>
  <si>
    <t>Mary his wife and</t>
  </si>
  <si>
    <t>Fortune, 35, stout man, (Col. Winslow) Certificate form General Birch, formerly the property of Isaac Warner of Philadelphia.</t>
  </si>
  <si>
    <t>Letitie, 26, stout wench, (Col. Winslow. [Certificate from General Birch], freeborn in Mont Serrat.</t>
  </si>
  <si>
    <t>Letitie</t>
  </si>
  <si>
    <t>Mary his wife &amp; boy, 26, stout wench. (Lt. Reed Delancey's brigade). His own property.</t>
  </si>
  <si>
    <t>his wife &amp; boy</t>
  </si>
  <si>
    <t>Lt. Reed Delancey's brigade</t>
  </si>
  <si>
    <t>Joe and, 36, stout man, labourer, (Lt. Reed Delancey's brigade). His own property.</t>
  </si>
  <si>
    <t>Hannah his wife, 22, stout wench, (Mr. Edwards). Freeborn on Staten Island both of them having General Birch's certificate.</t>
  </si>
  <si>
    <t>Mr. Edwards</t>
  </si>
  <si>
    <t>Abraham &amp; 21, stout man, (Mr. Edwards). Property of Gideon White but allowed to go with Mr. Edwards to Nova Scotia.</t>
  </si>
  <si>
    <t>&amp; 21</t>
  </si>
  <si>
    <t>Ceasor &amp; a boy 9 years old, 30, stout man, (Peter Ryerson). Property of Peter Ryerson with whom he is going to Nova Scotia.</t>
  </si>
  <si>
    <t>&amp; a boy 9 years old</t>
  </si>
  <si>
    <t>Richard Stanley, 39, stout man, (Col. Thomson). Certificate from General Birch, formerly the property of Mr. Stoddart of Jamaica who he says at the time of his death made him free.</t>
  </si>
  <si>
    <t>Stanley</t>
  </si>
  <si>
    <t>Col. Thomson</t>
  </si>
  <si>
    <t>Lilley, 5, likely girl, (Robert Hicks). Born within the British Lines, daughter to Nancy Willet.</t>
  </si>
  <si>
    <t>Lilley</t>
  </si>
  <si>
    <t>Robert Hicks</t>
  </si>
  <si>
    <t>Gilbert Lafferts, 21 years, likely lad, Mr. James Henderson's possession, proved to be the property of Mr. James Henderson, Waggon Master &amp; Bill of Sale produced.</t>
  </si>
  <si>
    <t>On Board the Ship Peggy James Beazley, Master</t>
  </si>
  <si>
    <t>Lafferts</t>
  </si>
  <si>
    <t>James Beazley</t>
  </si>
  <si>
    <t>John, 8, likely boy,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</si>
  <si>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</si>
  <si>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Willet</t>
  </si>
  <si>
    <t>Pomp Willet, 36, stout fellow, (Robert Hicks). Formerly the property of Sarah Willet of West Chester County who died in 1776 when he came into the British lines. GBC.</t>
  </si>
  <si>
    <t>Jenny, 14, likely mulatto girl. Thomas Mallard of River St. John's, claimant. (Thomas Mallard). His property having produces a Bill of Sale.</t>
  </si>
  <si>
    <t>Charles Stiephon, 18, stout lad, (Richard Walker). Formerly the property of William Samuel of Charlestown, South Carolina; left him 3 years ago. GBC.</t>
  </si>
  <si>
    <t>Stiephon</t>
  </si>
  <si>
    <t>Mary Anne, 43, stout wench. Bartholomew Coxeter of River St. John's, claimant. (Bartholomew Coxeter). The property of him.</t>
  </si>
  <si>
    <t>Anne</t>
  </si>
  <si>
    <t>Bartholomew Coxeter</t>
  </si>
  <si>
    <t>Rebecca, 12, likely girl. (Bartholomew Coxeter of River St. John's, claimant). (Bartholomew Coxeter). Daughter of Mary Anna.</t>
  </si>
  <si>
    <t>Bartholomew Coxeter of River St. John's, claimant</t>
  </si>
  <si>
    <t>Binah Jones, 36, stout wench, (Richard Walker). She says she is a free woman &amp; lived one year with Mr. Rogers of Charlestown, South Carolina &amp; left it upon the Evacuation.</t>
  </si>
  <si>
    <t>Salley</t>
  </si>
  <si>
    <t>Jenny, 22, stout wench, (Thomas Mallard). She say she was the property of Walter Lyon of Princess Ann County, Virginia; that she left him 6 years past.</t>
  </si>
  <si>
    <t>Pompey Ravo, 40, stout fellow, (Robert Hicks). Formerly the property of Gabriel Ravo of Perrysburgh, South Carolina; left him 4 years ago. GBC.</t>
  </si>
  <si>
    <t>Ravo</t>
  </si>
  <si>
    <t>Perrysburgh</t>
  </si>
  <si>
    <t>John Bucher, aged 23 years, stout fellow, goes with the Waggon Master General's department. Formerly slave to Mr. Webb, Charlestown, South Carolina; left him in 1776. General Musgrave's Certificate.</t>
  </si>
  <si>
    <t>Bucher</t>
  </si>
  <si>
    <t>Board the Ship Peggy James Beazley</t>
  </si>
  <si>
    <t>George Lacy, 42, stout man marked with small pox, (John Finch). Born free in the family of Mr. Churchill in Virginia with whom he served until 30 years of age. GBC.</t>
  </si>
  <si>
    <t>Ship Polly bound for Port Roseway John Browne</t>
  </si>
  <si>
    <t>Lacy</t>
  </si>
  <si>
    <t>John Finch</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</si>
  <si>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</si>
  <si>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</si>
  <si>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</si>
  <si>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John Miller</t>
  </si>
  <si>
    <t>Hannah, 32, stout wench, (Col. Risbeck). Formerly the property of John Williamson and wife to Francis Stewart.</t>
  </si>
  <si>
    <t>Polly bound for Spithead &amp; Germany John Broome</t>
  </si>
  <si>
    <t>Col. Risbeck</t>
  </si>
  <si>
    <t>Deborah his wife, 20, stout wench, thick lips, pock marked, (Mr. Lynch). Formerly slave to General Washington, came away about 4 years ago.</t>
  </si>
  <si>
    <t>Deborah</t>
  </si>
  <si>
    <t>Mr. Lynch</t>
  </si>
  <si>
    <t>Sam Bayard, 45, stout tall man, (Matthew Tankard). Formerly slave to Peter Bayard, New Jersey, came off about 5 years ago.</t>
  </si>
  <si>
    <t>Matthew Tankard</t>
  </si>
  <si>
    <t>George, 30, stout fellow, (Waggoner reg., Knoblauch). Formerly the property of Thomas Middleton of Charlestown, South Carolina; left him 4 years ago.</t>
  </si>
  <si>
    <t>Waggoner reg., Knoblauch</t>
  </si>
  <si>
    <t>George, 26, stout fellow, (Drummer reg., Knoblauch). Formerly the property of Thomas Bean of Savannah, Georgia; left him 4 years ago.</t>
  </si>
  <si>
    <t>Drummer reg., Knoblauch</t>
  </si>
  <si>
    <t>George, 23, stout fellow, (Drummer red.). Formerly the property of James Hartley of Savannah, Georgia; left him 4 years ago.</t>
  </si>
  <si>
    <t>Drummer red.</t>
  </si>
  <si>
    <t>Francis Stewart, 30, stout fellow, (Drummer reg.). Formerly the property of John Williamson of the Indian Lands, South Carolina; left him 4 years ago.</t>
  </si>
  <si>
    <t>Drummer reg.</t>
  </si>
  <si>
    <t>July, 20, stout fellow, (Drummer reg.). Formerly the property of John Lewis Burgoyne of the Indian Lands, South Carolina; left him 4 years ago.</t>
  </si>
  <si>
    <t>Lucy, 1, fine child, (Col. Risbeck). Daughter to Kitty and born within the British lines.</t>
  </si>
  <si>
    <t>Sarah, 4, fine child, (Col. Risbeck). Daughter to Kitty and born within the British lines.</t>
  </si>
  <si>
    <t>Kitty, 22, stout wench, (Col. Risbeck). Formerly the property of George Huge of Stono, South Carolina; left him 4 years ago.</t>
  </si>
  <si>
    <t>Christiana, 15, stout wench, (Col Risbeck). Formerly the property of John Williamson and daughter to Francis Stewart.</t>
  </si>
  <si>
    <t>Christiana</t>
  </si>
  <si>
    <t>Col Risbeck</t>
  </si>
  <si>
    <t>Peggy, 20, stout wench, (Col. Risbeck). Formerly the property of John Williamson and daughter to Francis Stewart.</t>
  </si>
  <si>
    <t>Eleanor Foster, 34, thin wench, (Francis Hunter). Appears to be free to the satisfaction of Mr. Parker.</t>
  </si>
  <si>
    <t>Foster</t>
  </si>
  <si>
    <t>Francis Hunter</t>
  </si>
  <si>
    <t>Fanny, 33, stout wench, 3 scars in each cheek, (James Fraser). Formerly slave to Mr. Cunningham who died in England where she got her freedom 6 years ago. GBC.</t>
  </si>
  <si>
    <t>James Fraser</t>
  </si>
  <si>
    <t>Harry Squash, 22, stout middle sized, (Mr. Lynch). Property of Mr. Lynch, purchased from Captain Huddleston, Royal Artillery.</t>
  </si>
  <si>
    <t>Squash</t>
  </si>
  <si>
    <t>Deborah his</t>
  </si>
  <si>
    <t>John Broome</t>
  </si>
  <si>
    <t>John, 15, likely boy. Q. M. Hunter of Germany, claimant. (Q.M. Hunter, reg. Knoblauch). Formerly the property of the Quartermaster who bought him of Benjamin Carpenter of Jamaica, Long Island.</t>
  </si>
  <si>
    <t>Q.M. Hunter, reg. Knoblauch</t>
  </si>
  <si>
    <t>Thomas Foster, 28, stout, scar in his forehead, (Francis Hunter). Formerly slave to John Harbeck of New York. His master left him there in the year 76 since which he has served &amp; done duty in the Black Company.</t>
  </si>
  <si>
    <t>Simon Gairway, 26, stout man, (William Johnson). Served Jenkin Philips, Pennsylvania, 21 years when he got his freedom; left him about four years ago. GBC.</t>
  </si>
  <si>
    <t>Gairway</t>
  </si>
  <si>
    <t>William Johnson</t>
  </si>
  <si>
    <t>Jack Smith, 31, tall stout man, (John McNeal). Formerly slave to Jacomiah Smith of Elizabeth town who he left about five years ago.</t>
  </si>
  <si>
    <t>John McNeal</t>
  </si>
  <si>
    <t>William Williams, 25, middle sized man, (William Johnson). Formerly slave to Sam Williams of Pennsylvania; left him about three years ago. GBC.</t>
  </si>
  <si>
    <t>Jacob Lawson, 30, stout man, (Mr. Dewit). Formerly slave to Col. Lawson of Princess Ann, Virginia. GBC</t>
  </si>
  <si>
    <t>Mr. Dewit</t>
  </si>
  <si>
    <t>Ruth his wife, (age not listed), (Mr, Dewit). Formerly slave to Henry Corneck, Virginia; left him about 6 years ago.</t>
  </si>
  <si>
    <t>age not listed</t>
  </si>
  <si>
    <t>Luke Brian, 25, stout man, (William Johnson). Says he was born free in the family of Mr. Warrington, Seabrook, Connecticut; left him two years ago.</t>
  </si>
  <si>
    <t>Brian</t>
  </si>
  <si>
    <t>Harry Gray, 30, stout man, (John Hoke). Formerly slave to Benjamin Churchwell of Rappahannock, Virginia; left him six years ago.</t>
  </si>
  <si>
    <t>John Hoke</t>
  </si>
  <si>
    <t>Mingo, 18, stout fellow. Formerly the property of John Williamson of the Indian Lands, South Carolina; left him 4 years ago.</t>
  </si>
  <si>
    <t>Kate her</t>
  </si>
  <si>
    <t>Fanny his</t>
  </si>
  <si>
    <t>Abby his</t>
  </si>
  <si>
    <t>Ruth his</t>
  </si>
  <si>
    <t>Jack Gordon, 40, stout , middle size, blemish left eye, (John Miller). Formerly slave to Benjamin Gordon, Charlestown who he says gave him his freedom about 4 years ago.</t>
  </si>
  <si>
    <t>Sam Dickinson, 24, stout tall man, (Robert French). Formerly slave to Thomas Hunt, Philip's Manor, in the year 1776 taken in arms by Capt. Daniel Kipp.</t>
  </si>
  <si>
    <t>Robert French</t>
  </si>
  <si>
    <t>Abby his wife, 28, stout wench, 3 scars in her face, (John Hoke). Formerly slave to Benjamin Churchwell of Rappahannock, Virginia; left him six years ago.</t>
  </si>
  <si>
    <t>Prince of Orange</t>
  </si>
  <si>
    <t>William, 51, stout fellow, (James Bergen). Formerly slave to William Robertson, Westmoreland, Virginia; taken by some whaleboats about 10 months ago.</t>
  </si>
  <si>
    <t>Prince of Orange bound for Port Roseway Thomas McCaull</t>
  </si>
  <si>
    <t>Thomas McCaull</t>
  </si>
  <si>
    <t>James Bergen</t>
  </si>
  <si>
    <t>Prosperous Amelia</t>
  </si>
  <si>
    <t>Charles, 23, stout fellow, (James Alexander). Property of James Alexander.</t>
  </si>
  <si>
    <t>Prosperous Amelia bound for Port Roseway Thomas Atkinson</t>
  </si>
  <si>
    <t>Thomas Atkinson</t>
  </si>
  <si>
    <t>James Alexander</t>
  </si>
  <si>
    <t>Thom Bolton, 52, stout fellow, (Cornelius Rapelje). Formerly the property of Thomas Bolton, Nansemond, Virginia; left him 6 years ago. GBC.</t>
  </si>
  <si>
    <t>Cornelius Rapelje</t>
  </si>
  <si>
    <t>Sue, 25, stout wench, (James Alexander). Property of James Alexander.</t>
  </si>
  <si>
    <t>Jenny Bolton, 11, stout girl, (Mr. Potts). Property of Mr. Potts.</t>
  </si>
  <si>
    <t>Mr. Potts</t>
  </si>
  <si>
    <t>Anny Bolton, 42, stout wench, (James Alexander). Formerly the property of Thomas Bolton, Nansemond, Virginia; left him 6 years ago. GBC.</t>
  </si>
  <si>
    <t>Scipio, 31, stout fellow, (Mr. Potts). Formerly the property of Philip Scuyler, Albany; left him 3½ years ago. GMC.</t>
  </si>
  <si>
    <t>Philip Scuyler</t>
  </si>
  <si>
    <t>Francis, 50, stout man of his age, B, (Frederick Myers). Made free by Mr. John Rosser to whom he belonged as appears by Certificate dated at Savannah, Georgia, 22nd June 1772.</t>
  </si>
  <si>
    <t>Ship Providence bound for Port Roseway John Richee</t>
  </si>
  <si>
    <t>John Richee</t>
  </si>
  <si>
    <t>Frederick Myers</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</si>
  <si>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</si>
  <si>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</si>
  <si>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Loyal</t>
  </si>
  <si>
    <t>Daniel Grandon</t>
  </si>
  <si>
    <t>Monmouth County</t>
  </si>
  <si>
    <t>Hagar his wife, 35, stout wench, (Daniel Grandon). Formerly slave to David Forman, Monmouth, New Jersey; left him 5 years ago. GBC.</t>
  </si>
  <si>
    <t>Abner Cromwell, 16, stout lad, (Daniel Grandon). Formerly slave to Lewis Thomas, Duplin County, North Carolina; left him 3 years ago. GBC.</t>
  </si>
  <si>
    <t>Abner</t>
  </si>
  <si>
    <t>Cromwell</t>
  </si>
  <si>
    <t>Duplin County</t>
  </si>
  <si>
    <t>Bill, 26, stout fellow. William Black of Port Roseway, claimant. (William Black). Property of William Black.</t>
  </si>
  <si>
    <t>John Dick, 25, stout fellow, (Capt. Richie). Born in Kingston, Jamaica; free, indented to John Ritchie.</t>
  </si>
  <si>
    <t>Capt. Richie</t>
  </si>
  <si>
    <t>Henry Williams, 23, stout fellow, (Capt. Richie). Born free at Bridgetown, Barbadoes.</t>
  </si>
  <si>
    <t>Bridgetown</t>
  </si>
  <si>
    <t>Sylvia, 30, stout wench, B, (Frederick Myers). Made free by Mr John Rosser to whom he belonged as appears by Certificate dated at Savannah, Georgia 22nd June 1772.</t>
  </si>
  <si>
    <t>James Campbell, 22, stout fellow, (Stephen Shakespeare). Says he was born free in the family of Thomas Ford, Charlestown, South Carolina.</t>
  </si>
  <si>
    <t>Luke Johnson, 18, stout fellow, (Stephen Shakespeare). Formerly slave to Charles Casoner, Norfolk, Virginia; left him 5 years ago.</t>
  </si>
  <si>
    <t>Dinah Jackson, 6, fine girl, (on her own bottom). Free wench born at Rhode Island.</t>
  </si>
  <si>
    <t>Fonlove</t>
  </si>
  <si>
    <t>Ned Jackson, 6, fine boy, (on his own bottom). Free boy born at Rhode Island.</t>
  </si>
  <si>
    <t>Ellis</t>
  </si>
  <si>
    <t>Hagar his</t>
  </si>
  <si>
    <t>John Richie</t>
  </si>
  <si>
    <t>Nero McCulloch, 22, stout short fellow, (Stephen Shakespeare). Formerly slave to General Thomas Scribbins, Georgia; left him 5 years past. GBC.</t>
  </si>
  <si>
    <t>McCulloch</t>
  </si>
  <si>
    <t>Patty Shewbrick, 20, likely wench, M, a boy 10 mo. old, (Stephen Shakespeare). Formerly slave to Thomas Shubrick, Charlestown; left him 5 years past by Proclamation. GBC.</t>
  </si>
  <si>
    <t>Shewbrick</t>
  </si>
  <si>
    <t>James Ramsey, 20, stout lad, (on his own bottom). Formerly slave to Murphey Godfrey, Norfolk, Virginia; left 5 years past. GBC.</t>
  </si>
  <si>
    <t>Hana Hazard, 36, likely wench, (Andrew Hoggrth). Born free to a certainly at Rhode Island.</t>
  </si>
  <si>
    <t>Hana</t>
  </si>
  <si>
    <t>Hazard</t>
  </si>
  <si>
    <t>Andrew Hoggrth</t>
  </si>
  <si>
    <t>London Bloy, 40, ordinary fellow, M, (Jesse Lear). Formerly slave to Lemuel Yestown Newtown, Virginia; left him 4 years past. GBC.</t>
  </si>
  <si>
    <t>Bloy</t>
  </si>
  <si>
    <t>Jesse Lear</t>
  </si>
  <si>
    <t>Catharine Richardson, 9, fine girl, (Jesse Lear). Formerly slave to Mr. Richardson Norfolk, Virginia; left him 4 years past. GBC.</t>
  </si>
  <si>
    <t>David Jones, 40, ordinary fellow, (Stephen Shakespeare). Formerly slave to Lawrence Lawnse, Ketchatche, South Carolina; left him about 4 years past.</t>
  </si>
  <si>
    <t>Ben Hazard, 11, fine boy, (Andrew Hoggarth). Born free to a certainty at Rhode Island.</t>
  </si>
  <si>
    <t>Andrew Hoggarth</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</si>
  <si>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</si>
  <si>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</si>
  <si>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</si>
  <si>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</si>
  <si>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</si>
  <si>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</si>
  <si>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</si>
  <si>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</si>
  <si>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Cato Ramsey, 45, slim fellow, (Stephen Shakespeare). Formerly slave to Dr. John Ramsey, Norfolk, Virginia; left him 7 years past. GBC.</t>
  </si>
  <si>
    <t>Abigail Richardson, 38, stout wench, (Jesse Lear). Formerly slave to Mr. Richardson, Norfolk, Virginia; left him 4 years past.</t>
  </si>
  <si>
    <t>Ranger</t>
  </si>
  <si>
    <t>Herron</t>
  </si>
  <si>
    <t>Halsted</t>
  </si>
  <si>
    <t>English</t>
  </si>
  <si>
    <t>Godfray</t>
  </si>
  <si>
    <t>Givin</t>
  </si>
  <si>
    <t>Poole</t>
  </si>
  <si>
    <t>Stagdon</t>
  </si>
  <si>
    <t>Mixied</t>
  </si>
  <si>
    <t>Halstide</t>
  </si>
  <si>
    <t>Nash</t>
  </si>
  <si>
    <t>Nezer</t>
  </si>
  <si>
    <t>Clary</t>
  </si>
  <si>
    <t>Carth</t>
  </si>
  <si>
    <t>Maxico</t>
  </si>
  <si>
    <t>Quomo</t>
  </si>
  <si>
    <t>Elizah</t>
  </si>
  <si>
    <t>Anthony Philips, 23, stout, (Capt. Philips). Captain Philips' property clearly.</t>
  </si>
  <si>
    <t>Brig Ranger bound for Annapolis Royal James Philips</t>
  </si>
  <si>
    <t>Philips</t>
  </si>
  <si>
    <t>James Philips</t>
  </si>
  <si>
    <t>Charles Demce, 23, stout mulatto, (Lt. Tardeal). Born free; lived with William Ford, Flushing, Long Island.</t>
  </si>
  <si>
    <t>Demce</t>
  </si>
  <si>
    <t>Lt. Tardeal</t>
  </si>
  <si>
    <t>Hester Ruggles, 7, fine wench, (General Ruggles). The General's property.</t>
  </si>
  <si>
    <t>Ruggles</t>
  </si>
  <si>
    <t>General Ruggles</t>
  </si>
  <si>
    <t>Jeffery Ruggles, 6, fine boy, (General Ruggles). The General's property.</t>
  </si>
  <si>
    <t>Prince, 19, stout B. Richard Ruggles of Annapolis, claimant. (Richard Ruggles). Property of Richard Ruggles.</t>
  </si>
  <si>
    <t>Richard Ruggles</t>
  </si>
  <si>
    <t>Robert Williams, 23, stout, (General Ruggles). Free born at Shrewsbury, New Jersey.</t>
  </si>
  <si>
    <t>Free born at Shrewsbury</t>
  </si>
  <si>
    <t>John Coslin, 25, stout, M, (General Ruggles). Free born at North Hampshire, Virginia; parents free.</t>
  </si>
  <si>
    <t>Coslin</t>
  </si>
  <si>
    <t>Free born at North Hampshire</t>
  </si>
  <si>
    <t>North Hampshire</t>
  </si>
  <si>
    <t>William, 6, fine boy, B. William Chandler of Annapolis, claimant. (William Chandler). Property of William Chandler as per Bill of Sale produced.</t>
  </si>
  <si>
    <t>William Chandler</t>
  </si>
  <si>
    <t>Violett, 11, fine girl, B, John Mckown of Annapolis, claimant. (John McKown). Property of William Mckown, born in his father-in-law's family.</t>
  </si>
  <si>
    <t>Violett</t>
  </si>
  <si>
    <t>John McKown</t>
  </si>
  <si>
    <t>Kemp</t>
  </si>
  <si>
    <t>Leonard</t>
  </si>
  <si>
    <t>Clarke</t>
  </si>
  <si>
    <t>Neal</t>
  </si>
  <si>
    <t>Forde</t>
  </si>
  <si>
    <t>Frip</t>
  </si>
  <si>
    <t>Rachael</t>
  </si>
  <si>
    <t>Church</t>
  </si>
  <si>
    <t>Port</t>
  </si>
  <si>
    <t>Miny</t>
  </si>
  <si>
    <t>Sumner</t>
  </si>
  <si>
    <t>Silla</t>
  </si>
  <si>
    <t>Sollberry</t>
  </si>
  <si>
    <t>Scott</t>
  </si>
  <si>
    <t>Garritt</t>
  </si>
  <si>
    <t>Garrett</t>
  </si>
  <si>
    <t>Shiaea</t>
  </si>
  <si>
    <t>Nelley</t>
  </si>
  <si>
    <t>Jam</t>
  </si>
  <si>
    <t>Sucky</t>
  </si>
  <si>
    <t>Cornick</t>
  </si>
  <si>
    <t>Vinters</t>
  </si>
  <si>
    <t>Carragan</t>
  </si>
  <si>
    <t>Argill</t>
  </si>
  <si>
    <t>Killing</t>
  </si>
  <si>
    <t>Cornwallis, 25, stout fellow, (Knoblauch). Formerly the property of John Keayton of Indian Lands, South Carolina; left him 6 years ago.</t>
  </si>
  <si>
    <t>Rebecca bound for Spithead &amp; Germany John Wallow</t>
  </si>
  <si>
    <t>Cornwallis</t>
  </si>
  <si>
    <t>Toby, 25, stout fellow, (Knoblauch). Formerly the property of John Lewis Burgoyne, Indian Lands, South Carolina; left him 6 years ago.</t>
  </si>
  <si>
    <t>Jeanis, 19, stout wench, (Capt. Pitcher). Formerly the property of Miss McFarlane, Savannah, Georgia; left him 2 years ago.</t>
  </si>
  <si>
    <t>Jeanis</t>
  </si>
  <si>
    <t>Capt. Pitcher</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</si>
  <si>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</si>
  <si>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</si>
  <si>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</si>
  <si>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John, 25, stout fellow, (Knoblauch). Formerly the property of Henry Middleton, Charlestown, South Carolina; left him 4 years ago.</t>
  </si>
  <si>
    <t>Betsy, 28, stout wench, (Major Gable). Formerly the property of Owen Adam of Tinker's Creek, South Carolina; left him 4 years ago.</t>
  </si>
  <si>
    <t>Major Gable</t>
  </si>
  <si>
    <t>Bess, 20, stout wench, (Major Gable). Formerly the property of Benjamiin Garret of Charlestown, South Carolina; left him 4 years ago.</t>
  </si>
  <si>
    <t>Bess</t>
  </si>
  <si>
    <t>York, 30, stout fellow (Knoblauch). Formerly the property of William Logan of Charlestown, South Carolina; left him 4 years ago.</t>
  </si>
  <si>
    <t>Anthony Ricks, 45, stout fellow. Sailor on board Rebecca, claimant. West India negro.</t>
  </si>
  <si>
    <t>Ricks</t>
  </si>
  <si>
    <t>West India</t>
  </si>
  <si>
    <t>George, 20, stout fellow, (Knoblauch). Formerly the property of John Fox, Savannah, Georgia; left him 6 years ago.</t>
  </si>
  <si>
    <t>John Willow</t>
  </si>
  <si>
    <t>Spithead and Germany</t>
  </si>
  <si>
    <t>Rhinocerus</t>
  </si>
  <si>
    <t>Robert &amp; Elizabeth</t>
  </si>
  <si>
    <t>Tempe, 9, likely wench, (Capt. Williams). Property of Capt. Williams; police certificate.</t>
  </si>
  <si>
    <t>Robert &amp; Elizabeth bound for Annapolis John Milbank</t>
  </si>
  <si>
    <t>Tempe</t>
  </si>
  <si>
    <t>Capt. Williams</t>
  </si>
  <si>
    <t>Sibbe, 11, likely wench, (Moses Ward). Property of Moses Ward.</t>
  </si>
  <si>
    <t>Sibbe</t>
  </si>
  <si>
    <t>Moses Ward</t>
  </si>
  <si>
    <t>Robert and Elizabeth</t>
  </si>
  <si>
    <t>Tempie</t>
  </si>
  <si>
    <t>John Millbank</t>
  </si>
  <si>
    <t>19 Sep 1783</t>
  </si>
  <si>
    <t>Loyalist claim record</t>
  </si>
  <si>
    <t>Roy Britton</t>
  </si>
  <si>
    <t>Ben, 20, stout fellow, (Col. Schuler, reg. Dilforth). Formerly the property of Rowland Lownds of Charlestown, South Carolina; left him 3 years ago.</t>
  </si>
  <si>
    <t>Roy Britton bound for Germany James Dunn</t>
  </si>
  <si>
    <t>Formerly the property of Rowland Lownds of Charlestown</t>
  </si>
  <si>
    <t>Col. Schuler, reg. Dilforth</t>
  </si>
  <si>
    <t>Royal Breton</t>
  </si>
  <si>
    <t>Jacob Dunn</t>
  </si>
  <si>
    <t>Jack, 23, stout B fellow. Joseph of Port Roseway, claimant. (Joseph Holmes). Property of Joseph Holmes.</t>
  </si>
  <si>
    <t>Schooner Sally bound for Port Roseway John Prim</t>
  </si>
  <si>
    <t>John Prim</t>
  </si>
  <si>
    <t>Joseph Holmes</t>
  </si>
  <si>
    <t>Sam, 26, stout B fellow. Joseph Holmes of Port Roseway, claimant. (Joseph Holmes). Property of Joseph Holmes.</t>
  </si>
  <si>
    <t>John Primus, 22, stout fellow, (William Bell). Says he was born free &amp; produces a Certificate dated 29 July 82 from Robert Balligall, Commissioner of Claims at Charlestown; he is hired as a Sailor on board.</t>
  </si>
  <si>
    <t>Sally bound for River St. John's William Bell</t>
  </si>
  <si>
    <t>William Bell</t>
  </si>
  <si>
    <t>Moses Thompson, 20, stout fellow, (Justice Sherwood). Born free at Philadelphia; his father &amp; mother free.</t>
  </si>
  <si>
    <t>Sally bound for St. John's William Bell</t>
  </si>
  <si>
    <t>Justice Sherwood</t>
  </si>
  <si>
    <t>Silas, 31, stout B fellow, (John Keriche). Formerly slave to William Pettitt, Bucks County, Pennsylvania; left him about 5 years ago.</t>
  </si>
  <si>
    <t>John Keriche</t>
  </si>
  <si>
    <t>Bucks County</t>
  </si>
  <si>
    <t>Ned, 40, stout fellow, (Richard Carman). Property of Richard Carman.</t>
  </si>
  <si>
    <t>Richard Carman</t>
  </si>
  <si>
    <t>James, 26, stout fellow, (William Bell). Formerly the property of Mr. Smith of Savannah, Georgia; left him 3 years ago. He is hired as a Sailor.</t>
  </si>
  <si>
    <t>Mary, 36, stout wench, (John Van Winkle). Property of John Van Winkle.</t>
  </si>
  <si>
    <t>John Van Winkle</t>
  </si>
  <si>
    <t>Jenny, 40, stout wench, (Richard Carman). Property of Richard Carman.</t>
  </si>
  <si>
    <t>Sally, 6 months old, children of the above wench, (John Van Winkle). Property of John Van Winkle.</t>
  </si>
  <si>
    <t>Jackey, 3, children of the above wench Mary, (John Van Winkle). Property of John Van Winkle.</t>
  </si>
  <si>
    <t>Jackey</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</si>
  <si>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</si>
  <si>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</si>
  <si>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Etherington</t>
  </si>
  <si>
    <t>Saucy Ben</t>
  </si>
  <si>
    <t>Shiels</t>
  </si>
  <si>
    <t>Selina</t>
  </si>
  <si>
    <t>Casar, 40, thin fellow, (Mr. Jenkins). Property of Mr. Jenkins.</t>
  </si>
  <si>
    <t>Selina bound for Port Roseway John McGee</t>
  </si>
  <si>
    <t>John McGee</t>
  </si>
  <si>
    <t>Mr. Jenkins</t>
  </si>
  <si>
    <t>Robert, 30, stout fellow, (Lawrence Van Buskirk). Property of Lawrence Buskirk.</t>
  </si>
  <si>
    <t>Lawrence Van Buskirk</t>
  </si>
  <si>
    <t>Sally, 19, stout wench, (D. Landy). Formerly slave to Mrs. Parker who left her free at New York about three years ago.</t>
  </si>
  <si>
    <t>D. Landy</t>
  </si>
  <si>
    <t>Dinah, 38, stout wench, (L.V. Buskirk). Property of L.V. Buskirk.</t>
  </si>
  <si>
    <t>L.V. Buskirk</t>
  </si>
  <si>
    <t>Poll, 16, stout girl, (William Summers). Property of William Summers.</t>
  </si>
  <si>
    <t>Poll</t>
  </si>
  <si>
    <t>William Summers</t>
  </si>
  <si>
    <t>George, 14, stout boy, (Richard Jenkins). Property of Richard Jenkins.</t>
  </si>
  <si>
    <t>Richard Jenkins</t>
  </si>
  <si>
    <t>Ship Spring</t>
  </si>
  <si>
    <t>Shouldham</t>
  </si>
  <si>
    <t>James Nicholson</t>
  </si>
  <si>
    <t>Wainworth</t>
  </si>
  <si>
    <t>Yaft</t>
  </si>
  <si>
    <t>Benson</t>
  </si>
  <si>
    <t>Jacksons</t>
  </si>
  <si>
    <t>Sibyl</t>
  </si>
  <si>
    <t>Lt. Fitzgerald</t>
  </si>
  <si>
    <t>The Downs</t>
  </si>
  <si>
    <t>Silina</t>
  </si>
  <si>
    <t>John McGie</t>
  </si>
  <si>
    <t>Skuldham</t>
  </si>
  <si>
    <t>Rose Wansworth, 30, stout wench, 2 children 12 &amp; 5 years of age, (Godfrey Wainwood). Formerly slave to Daniel Russel of New port, Rhode Island; left him 7 years ago.</t>
  </si>
  <si>
    <t>Sloop Skuldham bound for Annapolis Royal James Nicholson</t>
  </si>
  <si>
    <t>Wansworth</t>
  </si>
  <si>
    <t>Godfrey Wainwood</t>
  </si>
  <si>
    <t>Casar, 51, ordinary fellow, (Mrs. Grant). Property of Mrs. Grant by Bill of Sale.</t>
  </si>
  <si>
    <t>Mrs. Grant</t>
  </si>
  <si>
    <t>Bill, 14, fine boy, (Mrs. Grant). Free.</t>
  </si>
  <si>
    <t>Daniel, 5 fine boy, (Mrs. Grant). Free.</t>
  </si>
  <si>
    <t>Cato, 35, stout fellow, (Godfrey Wainwood). Free.</t>
  </si>
  <si>
    <t>Yast Benson, 24, stout fellow, (Ephraim Stanford). Formerly slave to Sampson Benson of Harlem; left him 7 years ago. GBC.</t>
  </si>
  <si>
    <t>Yast</t>
  </si>
  <si>
    <t>Ephraim Stanford</t>
  </si>
  <si>
    <t>Harlem</t>
  </si>
  <si>
    <t>Jenny, 20, fine wench with 2 children, 2 years old &amp; one 1 month, (William Mot). Free.</t>
  </si>
  <si>
    <t>William Mot</t>
  </si>
  <si>
    <t>Jane, 17, fine wench, (Bartholomew Haynes). Formerly slave to Bartholomew Gidney of White Plains; Haynes property by Bill of Sale.</t>
  </si>
  <si>
    <t>Bartholomew Haynes</t>
  </si>
  <si>
    <t>Margaret, 15, fine wench, (James Irwin). Property of James Irwin by Bill of Sale.</t>
  </si>
  <si>
    <t>James Irwin</t>
  </si>
  <si>
    <t>James Jackson, 36, ordinary fellow, (John Smith). Formerly slave to Silas Holly of Stamford, Connecticut; left him 7 years ago. GBC.</t>
  </si>
  <si>
    <t>John Smith</t>
  </si>
  <si>
    <t>Betsey Jackson, 16, fine girl, (John Smith). Free born.</t>
  </si>
  <si>
    <t>Hannah, 30, stout wench with child 2 years old, (Mrs. Grant). Free.</t>
  </si>
  <si>
    <t>Sovereign</t>
  </si>
  <si>
    <t>Lottie, 30, likely wench, (Capt. Carr). Formerly the property of John Walloby, Virginia; left him 8 years ago. GBC.</t>
  </si>
  <si>
    <t>Sovereign bound for St. John's Stewart</t>
  </si>
  <si>
    <t>Lottie</t>
  </si>
  <si>
    <t>Formerly the property of John Walloby</t>
  </si>
  <si>
    <t>Capt. Carr</t>
  </si>
  <si>
    <t>James Fraser, 9, stout boy, (Ensign Height). Formerly the property of Mr. Frazer, Virginia; left him 1780. GBC.</t>
  </si>
  <si>
    <t>Frazer</t>
  </si>
  <si>
    <t>Ensign Height</t>
  </si>
  <si>
    <t>Hannah Jones, 20, stout wench, (Capt. McCoy). Formerly the property of James Nichol, Charlestown, South Carolina; left him in 1779; declared free by GMC.</t>
  </si>
  <si>
    <t>Capt. McCoy</t>
  </si>
  <si>
    <t>Emmy Adams, 26, likely wench, (Capt. McCoy). Formerly the property of Isaac Homes, John's Island, South Carolina; left him 4 years ago. GBC.</t>
  </si>
  <si>
    <t>Emmy</t>
  </si>
  <si>
    <t>Simon Adams, 38, ordinary fellow, B, (Capt. McCoy). Formerly the property of Isaac Homes, John's Island, South Carolina; left him 4 years ago.</t>
  </si>
  <si>
    <t>Rosanna Mott, 25, stout wench, M, (Capt. McGill). Formerly the property of Jacob Mott, Charlestown, South Carolina; left him after the Siege of that Garrison. GMC.</t>
  </si>
  <si>
    <t>Capt. McGill</t>
  </si>
  <si>
    <t>John Brown, 25, stout fellow, M, (Capt. McGill). Appears to be free.</t>
  </si>
  <si>
    <t>Tinah Leech, 25, stout wench, (Capt. French). Formerly slave to George Leach of Philadelphia; Gen. Musgraves Certificate.</t>
  </si>
  <si>
    <t>Leech</t>
  </si>
  <si>
    <t>Capt. French</t>
  </si>
  <si>
    <t>Abigail his</t>
  </si>
  <si>
    <t>William Stewart</t>
  </si>
  <si>
    <t>St Johns River</t>
  </si>
  <si>
    <t>Pompey Grant, 30, ordinary fellow (Delanceys). Formerly slave to Thomas Grant at New York; Gen. Musgrave's Certificate.</t>
  </si>
  <si>
    <t>Delanceys</t>
  </si>
  <si>
    <t>Peter Bean, 32, likely fellow, (James Travess). Formerly slave to David Davis, White Plains; left him two years past, says he has since been sold by his master to said Travess.</t>
  </si>
  <si>
    <t>Ship Sovereign bound for St. John's River William Stewart, Master</t>
  </si>
  <si>
    <t>Bean</t>
  </si>
  <si>
    <t>James Travess</t>
  </si>
  <si>
    <t>Susannah, 35, ordinary wench. Capt. McPherson of St. John's, claimant. (Capt. McPherson). Property proved per Bill of Sale.</t>
  </si>
  <si>
    <t>Phillis Drove, 20. Likely wench, B, (Capt. McCoy). Formerly the property of William Gardner near Charlestown, South Carolina; left him three years ago. GMC.</t>
  </si>
  <si>
    <t>Formerly the property of William Gardner near Charlestown</t>
  </si>
  <si>
    <t>Michael Beacon, 25, stout fellow, (Ensign Boyle). Formerly slave to Andrew Thomson, New Kent, Virginia; left him about 3 years &amp; joined Lord Cornwallis's Army.</t>
  </si>
  <si>
    <t>New Kent</t>
  </si>
  <si>
    <t>Ensign Boyle</t>
  </si>
  <si>
    <t>Sandy Alexander, 21, stout fellow, (Lt. Howe). Formerly the property of William Matthews, Charlestown, South Carolina; left him 3 years ago. GBC.</t>
  </si>
  <si>
    <t>Sandy</t>
  </si>
  <si>
    <t>Lt. Howe</t>
  </si>
  <si>
    <t>Dian</t>
  </si>
  <si>
    <t>Ned, 25, stout fellow, (Lt. Potts). Proved to be free.</t>
  </si>
  <si>
    <t>Lt. Potts</t>
  </si>
  <si>
    <t>Luke Spencer, 25, stout, (Dr. Stevens). Formerly slave to Oliver Spencer, Elizabeth town, New Jersey; left him 6 years ago.</t>
  </si>
  <si>
    <t>Dr. Stevens</t>
  </si>
  <si>
    <t>Tim, 22, stout fellow. Capt. T. French of St. John's, claimant. (Capt. T. French). Certified from the office of Police to be the Captain's property purchased from James Whitten, Charlestown.</t>
  </si>
  <si>
    <t>Capt. T. French</t>
  </si>
  <si>
    <t>George Black, 40, stout fellow, (Jere Ketcham). Formerly slave to Josiah Portress, Petersburg, Virginia; left him 4 years past. GBC.</t>
  </si>
  <si>
    <t>Jere Ketcham</t>
  </si>
  <si>
    <t>Anthony Gilman, 46, stout short fellow, (Hilliard). Formerly slave to Major Gllman, Plasto, New England; left him about 3 years past.</t>
  </si>
  <si>
    <t>Gilman</t>
  </si>
  <si>
    <t>Hilliard</t>
  </si>
  <si>
    <t>Thomas Brinkerhoof, 34, very short ordinary man, (James Petters). Formerly slave to Cornelius Boggard near Hackensack, New Jersey; left him 5 years past. GBC.</t>
  </si>
  <si>
    <t>Brinkerhoof</t>
  </si>
  <si>
    <t>James Petters</t>
  </si>
  <si>
    <t>Cornelius Moss, 30, stout fellow, likely, (Capt. Ed Ellison). Formerly slave to Daniel Moore, Woodbridge, New Jersey; left him 7 years ago. GBC.</t>
  </si>
  <si>
    <t>Moss</t>
  </si>
  <si>
    <t>Capt. Ed Ellison</t>
  </si>
  <si>
    <t>Bill Piggot, 28, stout fellow, (George Harding). formerly slave to Gabriell Jones, Augusta County, Virginia; left him eight years ago.</t>
  </si>
  <si>
    <t>George Harding</t>
  </si>
  <si>
    <t>Augusta County</t>
  </si>
  <si>
    <t>Pompey Chase, 28, stout fellow, Reuben Chase of River St. John's , claimant, (Reuben Chase). Property of Reuben Chase as per Bill of Sale from Jacob Sharpe of Boston.</t>
  </si>
  <si>
    <t>Chase</t>
  </si>
  <si>
    <t>Reuben Chase</t>
  </si>
  <si>
    <t>John Voice, 36, stout fellow B, (Captain Stewart St. Louis). Free born at Fonta Bell, Barbadoes.</t>
  </si>
  <si>
    <t>Captain Stewart St. Louis</t>
  </si>
  <si>
    <t>Dian, 20, stout , squat wench small child, (George Harding). Formerly slave to John Scull, Philadelphia; left him 4 years ago.</t>
  </si>
  <si>
    <t>Abigail his wife, 26, stout wench, small child, (Dr. Stevens). Served her time out with Joseph Graham of Boston.</t>
  </si>
  <si>
    <t>Anthony Ferguson, 21, stout fellow, (Lt. Holland). Formerly the property of John Ferguson, Wilmington, North Carolina; left him 5 years ago. GMC.</t>
  </si>
  <si>
    <t>Lt. Holland</t>
  </si>
  <si>
    <t>Gabriel Johnson, 27, stout fellow, (Capt. Stephenson). Formerly the property of Jacob Petsworth, Quibble town, New Jersey, and joined the British troops, GMC.</t>
  </si>
  <si>
    <t>Quibble town</t>
  </si>
  <si>
    <t>Capt. Stephenson</t>
  </si>
  <si>
    <t>Nancy Bryan, 16, likely wench, (Ensign Matthewson). Formerly the property of Louis Bryan, Virginia; left him 5 years ago. GMC.</t>
  </si>
  <si>
    <t>Formerly the property of Louis Bryan</t>
  </si>
  <si>
    <t>Ensign Matthewson</t>
  </si>
  <si>
    <t>Fortune Logan, 20, likely fellow, (Major Armstrong). Formerly the property of William Logan, left him 3 years ago. GMC.</t>
  </si>
  <si>
    <t>Major Armstrong</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</si>
  <si>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</si>
  <si>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</si>
  <si>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Paris</t>
  </si>
  <si>
    <t>Cornet Merrell</t>
  </si>
  <si>
    <t>Oree</t>
  </si>
  <si>
    <t>Joe, 25, stout fellow, (Dr. Gamble). Formerly the property of Robert Johnson, Charlestown, South Carolina; left him 5 years ago. GMC.</t>
  </si>
  <si>
    <t>Dr. Gamble</t>
  </si>
  <si>
    <t>Isaac York, 26, stout fellow, (Ensign Murray). Appears to be free. GMC.</t>
  </si>
  <si>
    <t>Ensign Murray</t>
  </si>
  <si>
    <t>John Jones, 37, stout fellow, (Capt. McCoy). Formerly the property of Henry Crouch, South Carolina; left him in the year 1780. GBC.</t>
  </si>
  <si>
    <t>Jack, 18, likely boy, (William Stuart). Formerly slave Barnes of Santee Province of South Carolina; left him 3 years ago.</t>
  </si>
  <si>
    <t>Sovereign bound for St. John's River William Stewart</t>
  </si>
  <si>
    <t>William Stuart</t>
  </si>
  <si>
    <t>Kezzia, 16, likely wench. Thomas Bean of River St. John's, claimant. (Thomas Bean). The property of Thomas Bean, he having produced a regular Bill of Sale.</t>
  </si>
  <si>
    <t>Kezzia</t>
  </si>
  <si>
    <t>Thomas Bean</t>
  </si>
  <si>
    <t>Peter Wearin, 21, stout fellow, (John Menzies). Formerly slave to Thomas Wearin of Charlestown, South Carolina; left him 2 years ago. GBC.</t>
  </si>
  <si>
    <t>Wearin</t>
  </si>
  <si>
    <t>John Menzies</t>
  </si>
  <si>
    <t>Liberty, 25, stout fellow. Capt. Dunbar of St. John', claimant. (Capt. Dunbar). Negro acknowledges to have been purchased by the Capt. At the West Indies 17 years ago.</t>
  </si>
  <si>
    <t>Liberty</t>
  </si>
  <si>
    <t>Capt. Dunbar</t>
  </si>
  <si>
    <t>Dunbar</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</si>
  <si>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</si>
  <si>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</si>
  <si>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</si>
  <si>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James Sayre</t>
  </si>
  <si>
    <t>Diana, 2, likely wench. L.C. Robertson of St. John's, claimant. (Capt. Robertson). Proved the Colonel's property.\</t>
  </si>
  <si>
    <t>Capt. Robertson</t>
  </si>
  <si>
    <t>John Lynch, 18, (stout healthy) lad, (Andrew Ritchse). Certificate form General Birch, formerly the property of Mr. Lynch of South Carolina.</t>
  </si>
  <si>
    <t>Ship Spencer bound for St. John's Ballantine</t>
  </si>
  <si>
    <t>Ballantine</t>
  </si>
  <si>
    <t>stout healthy</t>
  </si>
  <si>
    <t>Sarah Fox, 21, stout healthy wench, (John Bettle). Purchased her freedom of Mr. Lowell of Antigua as per his certificate.</t>
  </si>
  <si>
    <t>John Bettle</t>
  </si>
  <si>
    <t>Jacob Lynch, 42, stout, blind right eye, (Andrew Ritchse). Certificate from General Birch, formerly the property of Mr. Lynch of South Carolina.</t>
  </si>
  <si>
    <t>Andrew Ritchse</t>
  </si>
  <si>
    <t>Lucinda, 25, stout mulatto wench. Manuel Housterman of River St. John's claimant. (M. Housterman). She is wife to Manuel Housterman.</t>
  </si>
  <si>
    <t>Spencer bound for River St. John's A. Valentine</t>
  </si>
  <si>
    <t>A. Valentine</t>
  </si>
  <si>
    <t>M. Housterman</t>
  </si>
  <si>
    <t>Isaac Corie, 27, stout man, (Col. Gilbert). Formerly the property of William Mott of Great Neck, Long Island, a Quaker who gave him his freedom.</t>
  </si>
  <si>
    <t>Corie</t>
  </si>
  <si>
    <t>Col. Gilbert</t>
  </si>
  <si>
    <t>Hagar Corie, 22, stout wench, small child 18 mo. old, (Col. Gilbert). Formerly the property of Joseph Hewlett of Great Neck, Long Island.</t>
  </si>
  <si>
    <t>William Scot, 24, stout fellow, M, (David Wright). Says he was born free at Charles City, Virginia; served till 21 years of age with Berry Harden. Pass from Mr. Matthews, Mayor.</t>
  </si>
  <si>
    <t>Spencer bound for Port Roseway</t>
  </si>
  <si>
    <t>David Wright</t>
  </si>
  <si>
    <t>Charles City</t>
  </si>
  <si>
    <t>Berry Harden</t>
  </si>
  <si>
    <t>James Vallentyne, 33, stout fellow, pockmarked, B, (David Wright). Says he was born free. Lived with John Studvelt, Prince George County, Virginia; left it 3 years ago. GBC.</t>
  </si>
  <si>
    <t>Vallentyne</t>
  </si>
  <si>
    <t>Jane, 28, stout wench, (David Wright ). Formerly the property of David Cooper of Nansemond, Virginia; left him 3 years ago.</t>
  </si>
  <si>
    <t>Phebe Lynch, 42, stout, little woman, (James Ritchse). Certificate from General Birch, formerly the property of Mr. Lynch of South Carolina.</t>
  </si>
  <si>
    <t>James Ritchse</t>
  </si>
  <si>
    <t>Phebe Lynch</t>
  </si>
  <si>
    <t>Spring</t>
  </si>
  <si>
    <t>George Black, 35, (Lt. Col. Isaac). Freed by Lawrence Hartshorne as certified</t>
  </si>
  <si>
    <t>Ship Spring bound for St. John's</t>
  </si>
  <si>
    <t>Lt. Col. Isaac</t>
  </si>
  <si>
    <t>Reuben, 7, ([Lt. Col. Isaac Allen. [Freed by Lawrence Hartshorne as certified.]</t>
  </si>
  <si>
    <t>Sukey, 5, ([Lt. Col. Isaac Allen]). [Freed by Lawrence Hartshorne as certified.]</t>
  </si>
  <si>
    <t>[Lt. Col. Isaac Allen]</t>
  </si>
  <si>
    <t>Ann Black, 25, ([Lt. Col. Isaac Allen)]. [Freed by Lawrence Hartshorne as certified.]</t>
  </si>
  <si>
    <t>[Lt. Col. Isaac Allen</t>
  </si>
  <si>
    <t>Inspected by Captains Gilfillan, Armstrong, and Lieutenant Colonel Smith.</t>
  </si>
  <si>
    <t>Stafford bound for Halifax Robert Watson</t>
  </si>
  <si>
    <t>by Captains Gilfillan</t>
  </si>
  <si>
    <t>Robert Watson</t>
  </si>
  <si>
    <t>Jack Spencer, 34, stout fellow, M.</t>
  </si>
  <si>
    <t>Ship Stafford bound for Port Roseway Robert Watson, Master</t>
  </si>
  <si>
    <t>Robert Willet, 53, worn out, half Indian (Robert Spencer). Perfectly free.</t>
  </si>
  <si>
    <t>Robert Spencer</t>
  </si>
  <si>
    <t>John Dempse, 27, stout man,½ mulatto, (Charles Hart). Formerly slave to David Mead, Nansemond, Virginia; left him 4 years past, GBC.</t>
  </si>
  <si>
    <t>Charles Hart</t>
  </si>
  <si>
    <t>Hanna Collins, 2, mulatto, (David Phillips). The property of said David Phillips.</t>
  </si>
  <si>
    <t>David Phillips</t>
  </si>
  <si>
    <t>William Williams, 23, stout fellow, (Donald McLeod). Formerly the property of Col. Warrington of North Carolina; left him 3 years ago. GBC.</t>
  </si>
  <si>
    <t>Stafford bound for Port Roseway Robert Watson</t>
  </si>
  <si>
    <t>Donald McLeod</t>
  </si>
  <si>
    <t>John Ranger, 24, stout fellow (Donald McCrimmond). The property of James Wright by Certificate from David Matthews, Mayor of New York.</t>
  </si>
  <si>
    <t>Donald McCrimmond</t>
  </si>
  <si>
    <t>Peter Johnson, 18, stout lad (Donald McCrimmond). Formerly the property of William Johnson of Wilmington, North Carolina; left 2 years ago. GBC.</t>
  </si>
  <si>
    <t>Formerly the property of William Johnson of Wilmington</t>
  </si>
  <si>
    <t>Amanda Courtney, 16, stout wench. Courtney Taylor of Port Roseway, claimant. (Courtney). Purchased from Captain Irving of Charlestown.</t>
  </si>
  <si>
    <t>Ship Stafford bound for Port Roseway Capt. Watson</t>
  </si>
  <si>
    <t>Amanda</t>
  </si>
  <si>
    <t>Courtney</t>
  </si>
  <si>
    <t>Capt. Watson</t>
  </si>
  <si>
    <t>Marianna, 29, stout wench. (Courtney Taylor of Port Roseway, claimant.). (Courtney). Purchased from John Reed of New York.</t>
  </si>
  <si>
    <t>Courtney Taylor of Port Roseway, claimant.</t>
  </si>
  <si>
    <t>John Thomas, 28, ½, stout fellow, (Courtney Taylor of Port Roseway, claimant.) (Courtney). Served with Phoenix Fisher, Duck Creek, Delaware, till 21 years of age when he says he got his freedom.</t>
  </si>
  <si>
    <t>Duck Creek</t>
  </si>
  <si>
    <t>Cato Linus, 34, stout fellow, (Charles Kart). Born free at Kingston, Jamaica; came here with Captain Jackson of the Aurora 7 years ago.</t>
  </si>
  <si>
    <t>Linus</t>
  </si>
  <si>
    <t>Charles Kart</t>
  </si>
  <si>
    <t>Bill Williams, 19, stout lad, (Donald McLeod). Formerly the property of John Frazer of White Bluff of Georgia; left him 4 years ago. GBC.</t>
  </si>
  <si>
    <t>White Bluff</t>
  </si>
  <si>
    <t>Robin</t>
  </si>
  <si>
    <t>Willett</t>
  </si>
  <si>
    <t>Mary Collins, 28, stout wench, (David Phillips). The property of said David Phillips.</t>
  </si>
  <si>
    <t>Jacob, 17, stout lad, (John Norris) Property of John Norris as per Bill of Sale produced.</t>
  </si>
  <si>
    <t>John Norris</t>
  </si>
  <si>
    <t>Sarah, 23, stout wench, (Lewis O'Brien). Property of Lewis O'Brien.</t>
  </si>
  <si>
    <t>Lewis O'Brien</t>
  </si>
  <si>
    <t>William Locum, 26, stout fellow, M, (Capt. Robert Dove). Born free in Somerset County, Maryland.</t>
  </si>
  <si>
    <t>Locum</t>
  </si>
  <si>
    <t>Born free in Somerset County</t>
  </si>
  <si>
    <t>Capt. Robert Dove</t>
  </si>
  <si>
    <t>Thomas, 26, stout fellow, (Robert Watson of the Stafford). Formerly slave to Jacob Duryee, Ferry Street, New York, who he says gave him his freedom 3½ years ago.</t>
  </si>
  <si>
    <t>Ferry Street</t>
  </si>
  <si>
    <t>Robert Watson of the Stafford</t>
  </si>
  <si>
    <t>Charity, 21, stout wench, (John Bennet). Property of John Bennet.</t>
  </si>
  <si>
    <t>John Bennet</t>
  </si>
  <si>
    <t>Sam, 13, stout boy, (John Norris). Property of John Norris as per Bill of Sale produced.</t>
  </si>
  <si>
    <t>Elizabeth, 24, stout wench, (John Norris). Property of John Norris as per Bill of Sale produced.</t>
  </si>
  <si>
    <t>Supply</t>
  </si>
  <si>
    <t>Henry Arrington, 38, stout fellow, on his own bottom. Certified free by GMC.</t>
  </si>
  <si>
    <t>Supply bound for Halifax</t>
  </si>
  <si>
    <t>Arrington</t>
  </si>
  <si>
    <t>Sybill</t>
  </si>
  <si>
    <t>Samuel Edmonds, 27, stout fellow, goes as a passenger. Formerly the property of John Smith of Accomack, Virginia; left him one year ago. GBC.</t>
  </si>
  <si>
    <t>Sybill bound for The Downs Lt. Fitzgerald</t>
  </si>
  <si>
    <t>Formerly the property of John Smith of Accomack</t>
  </si>
  <si>
    <t>Symetry</t>
  </si>
  <si>
    <t>Fairchild</t>
  </si>
  <si>
    <t>Francis Maxwell</t>
  </si>
  <si>
    <t>Connowell</t>
  </si>
  <si>
    <t>Josephson</t>
  </si>
  <si>
    <t>Griffith</t>
  </si>
  <si>
    <t>Oliphant</t>
  </si>
  <si>
    <t>Hoggart</t>
  </si>
  <si>
    <t>Symmetry</t>
  </si>
  <si>
    <t>Prudence Cornwell, 32, ordinary wench, M, (on her own bottom). Says she was born free in Maryland.</t>
  </si>
  <si>
    <t>Symmetry bound for St. Johns Francis Maxwell</t>
  </si>
  <si>
    <t>Cornwell</t>
  </si>
  <si>
    <t>Jack Cornwell, 2, (on his own bottom). Born free.</t>
  </si>
  <si>
    <t>Jack Griffith, 8, B, (Robert Griffith). Proved to be Robert Griffith's property as appears by a Bill of Sale produced.</t>
  </si>
  <si>
    <t>Robert Griffith</t>
  </si>
  <si>
    <t>Cuff Fairchild, 55, ordinary fellow, B, (Ben Stanton). Formerly slave to George Fairchild, Stratford, Connecticut; left him 4 years past. GBC</t>
  </si>
  <si>
    <t>Ben Stanton</t>
  </si>
  <si>
    <t>Stratford</t>
  </si>
  <si>
    <t>Cuff Potter, 53, ordinary fellow, M, (on his own bottom). Formerly slave to Ralph Potter, Rhode Island; left him n the year 1779 with the British troops. GBC</t>
  </si>
  <si>
    <t>Bacchus Samson, 19, stout fellow, B, (Robert Napier). Formerly slave to Miss Smith &amp; Samson, South Carolina; since Smith died &amp; Sampson gone to England Consigned Mr. Napier as appears by an writing.</t>
  </si>
  <si>
    <t>Formerly slave to Miss Smith &amp; Samson</t>
  </si>
  <si>
    <t>Robert Napier</t>
  </si>
  <si>
    <t>Jack Josephson, 17, fine boy, B, (Robert Griffith). Formerly slave to Henry Raddick, Norfolk, Virginia; left him about 5 years past. GBC</t>
  </si>
  <si>
    <t>Tom Hoggart, 22, ordinary fellow, B, (Josiah Brownell). Formerly slave to Thomas Hoggart, Norfolk, Virginia; left him 4 years past.</t>
  </si>
  <si>
    <t>Josiah Brownell</t>
  </si>
  <si>
    <t>Tom Henry, 19, stout lad, (Robert Griffith). Formerly slave to L. Warring, Cypures, South Carolina; left him after the Siege of Charlestown. GBC</t>
  </si>
  <si>
    <t>Cypures</t>
  </si>
  <si>
    <t>John Reid, 45, ordinary fellow, M, (on his own bottom). Says he was born free in Maryland.</t>
  </si>
  <si>
    <t>York Oliphant, 16, fine lad, B, (Samuel Conklin). Formerly slave to Dr. Oliphant, Charlestown; left him at the Surrender of the Garrison in the year '80. GBC.</t>
  </si>
  <si>
    <t>Samuel Conklin</t>
  </si>
  <si>
    <t>Tartar</t>
  </si>
  <si>
    <t>Betty and</t>
  </si>
  <si>
    <t>Andrew Yates</t>
  </si>
  <si>
    <t>Casar, 16, stout lad. (Oliver Bourdett of St. John's, claimant. (Oliver Bourdett). Property of Oliver Bourdett, born n his father's house.</t>
  </si>
  <si>
    <t>Brig Tartar bound for St. John's River Andrew Yates</t>
  </si>
  <si>
    <t>Oliver Bourdett of St. John's, claimant. (Oliver Bourdett</t>
  </si>
  <si>
    <t>Joshua, 22, stout fellow, scar in forehead, (John Demill). Slave to Doctor Smith of Long Island, father-in-law to Dr. Demill.</t>
  </si>
  <si>
    <t>John Demill</t>
  </si>
  <si>
    <t>Charles Cambridge, 27, very stout, blacksmith, M, (Joel Holmes). Says he was born free in Worcester County, Maryland; served his time with Joseph Ducheel.</t>
  </si>
  <si>
    <t>Cambridge</t>
  </si>
  <si>
    <t>Joel Holmes</t>
  </si>
  <si>
    <t>Worcester County</t>
  </si>
  <si>
    <t>Mary, 39, little woman, (Nicholas Howell). Formerly slave to Mrs. Mott, Somersett County, Virginia; left her 6 years ago.</t>
  </si>
  <si>
    <t>Nicholas Howell</t>
  </si>
  <si>
    <t>Somersett County</t>
  </si>
  <si>
    <t>Betty &amp; infant, 20, stout wench. Conrad Hendricks of St. John's claimant. (Conrad Hendricks). Property of Conrad Hendricks per Bill of Sale produced.</t>
  </si>
  <si>
    <t>Conrad Hendricks</t>
  </si>
  <si>
    <t>Harry Bourdet, 18, stout fellow, Oliver Bourdett of St. John's, claimant. (Oliver Bourdett). Property of Oliver Bourdett, born in his father's house.</t>
  </si>
  <si>
    <t>Bourdet</t>
  </si>
  <si>
    <t>Oliver Bourdett</t>
  </si>
  <si>
    <t>Thames</t>
  </si>
  <si>
    <t>Jenny, 12, likely girl. Henry Rayden of St. John's, claimant. (Henry Rayden). Who bought her of Ethan Sickles &amp; produced a Bill of Sale.</t>
  </si>
  <si>
    <t>Thames bound for St. John's River Abraham Ingram, Master</t>
  </si>
  <si>
    <t>Abraham Ingram</t>
  </si>
  <si>
    <t>Henry Rayden</t>
  </si>
  <si>
    <t>Sarah &amp; infant, 30, short wench. Jasper buckel of St. John's, claimant. (Jasper Buckel). Who bought her of John Tabor Kempe and produced a Bill of Sale.</t>
  </si>
  <si>
    <t>Jasper Buckel</t>
  </si>
  <si>
    <t>Mima, 26, stout wench. John Cook of St. John's claimant. (John Cook). Who say she bought her 13 years ago.</t>
  </si>
  <si>
    <t>John Cook</t>
  </si>
  <si>
    <t>Mary Braveboy, 44, stout wench, (Anthony Rice). She declares she is free and produces GBC to that purpose.</t>
  </si>
  <si>
    <t>Braveboy</t>
  </si>
  <si>
    <t>Anthony Rice</t>
  </si>
  <si>
    <t>Richard Cole, 35, stout fellow, (Anthony Rice). Formerly slave to William Cole, Norhumberland County, Virginia; left him 5 years ago. GBC.</t>
  </si>
  <si>
    <t>Norhumberland County</t>
  </si>
  <si>
    <t>Sarah and her</t>
  </si>
  <si>
    <t>The Brothers</t>
  </si>
  <si>
    <t>Charles Goodman, 11, fine boy. Isaac Goodman of St. John's, claimant, (Isaac Goodman). Property of Isaac Goodman.</t>
  </si>
  <si>
    <t>The Brothers bound for River St. Johns William Walker</t>
  </si>
  <si>
    <t>Goodman</t>
  </si>
  <si>
    <t>Isaac Goodman</t>
  </si>
  <si>
    <t>Bill McIntire, 6 fine boy, (Sam Wiggan). Son to the above.</t>
  </si>
  <si>
    <t>McIntire</t>
  </si>
  <si>
    <t>Sam Wiggan</t>
  </si>
  <si>
    <t>Lissey his wife, 24 stout wench, (Sam Wiggan). Formerly slave to Cornelius Lowe, Brunswick Landing who died in Spring 78 when she left that place.</t>
  </si>
  <si>
    <t>Lissey</t>
  </si>
  <si>
    <t>Brunswick Landing</t>
  </si>
  <si>
    <t>Cornelius McIntire, 28, stout fellow, Miller, (Sam Wiggan), Free, served till 21 years of age with John Schenck, Brunswick Landing. GBCP</t>
  </si>
  <si>
    <t>Sam, 23, stout fellow, cooper, (Archibald Montgomery). Formerly slave to John Dobbins, Black river, South Carolina; left him 4 years ago.</t>
  </si>
  <si>
    <t>Archibald Montgomery</t>
  </si>
  <si>
    <t>Fortune, 30, stout fellow, scar on his lip, (Benjamin Myers). Formerly slave to Mr. Wilkinson, Savannah, Georgia; left him 5 years ago.</t>
  </si>
  <si>
    <t>Benjamin Myers</t>
  </si>
  <si>
    <t>Lissey his</t>
  </si>
  <si>
    <t>William Walker</t>
  </si>
  <si>
    <t>River St Johns</t>
  </si>
  <si>
    <t>Sill Williams, 15, stout wench, B, (Capt. Fred Williams). Property of said Williams, now a passenger.</t>
  </si>
  <si>
    <t>Thetis bound for Fort Cumberland Robert Gordon</t>
  </si>
  <si>
    <t>Sill</t>
  </si>
  <si>
    <t>Capt. Fred Williams</t>
  </si>
  <si>
    <t>Prince Williams, 17, stout fellow, B, (Capt. Fred Williams). Property of said Williams, now a passenger.</t>
  </si>
  <si>
    <t>Totton</t>
  </si>
  <si>
    <t>Robert Gordon</t>
  </si>
  <si>
    <t>Henry Totten, 12, fine boy, B, (Joseph Totten). Property of said Joseph Totten, (now a passenger).</t>
  </si>
  <si>
    <t>Totten</t>
  </si>
  <si>
    <t>Joseph Totten</t>
  </si>
  <si>
    <t>Peter totten, 28, stout lad, B, (James Totten). Property of said James Totten, (now a passenger).</t>
  </si>
  <si>
    <t>totten</t>
  </si>
  <si>
    <t>James Totten</t>
  </si>
  <si>
    <t>Three Friends</t>
  </si>
  <si>
    <t>Sep 1782</t>
  </si>
  <si>
    <t>Sally her</t>
  </si>
  <si>
    <t>Three Sisters</t>
  </si>
  <si>
    <t>Sam Fleet, 5, small boy, (Alexander Robertson).</t>
  </si>
  <si>
    <t>Ship Three Sisters bound for Port Roseway John Wardell</t>
  </si>
  <si>
    <t>Fleet</t>
  </si>
  <si>
    <t>John Wardell</t>
  </si>
  <si>
    <t>Lydia his wife, 20, stout squat wench, (Alexander Robertson). Formerly slave to Dr. Cuthbert nigh Savannah in Georgia; left him six years ago. GBC.</t>
  </si>
  <si>
    <t>Cuff Warwick, 28, stout fellow, (Alexander Robertson). Formerly slave to Dr. Cuthbert nigh Savannah in Georgia; left him six years ago. GBC.</t>
  </si>
  <si>
    <t>Betsey Morris, 38, stout wench, (Alexander Robertson). Formerly slave to William Gibbs, Charlestown, South Carolina; left him six years ago.</t>
  </si>
  <si>
    <t>Sam Morris, 40, stout carpenter by trade, (Alexander Robertson). Says she was born free in the family of Mr. Ponthien, Charlestown, South Carolina.</t>
  </si>
  <si>
    <t>Foreman Pleasant, 15, slight made wench, (John Mckenzie). Says she was born free in New York in the house of the late John McAdam.</t>
  </si>
  <si>
    <t>Foreman</t>
  </si>
  <si>
    <t>John Mckenzie</t>
  </si>
  <si>
    <t>Mary Ann, 23, very small, (John Clirby). Formerly slave to Thomas Cooper, Santee, South Carolina; left him at the Siege of Charlestown. GBC.</t>
  </si>
  <si>
    <t>John Clirby</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</si>
  <si>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</si>
  <si>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</si>
  <si>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Coleman</t>
  </si>
  <si>
    <t>Jim, 10, a stout boy, John McAlpine of Port Roseway, claimant, (John McAlpine). Property of John McAlpine purchased from D. Peters, Hampstead, South Long Island.</t>
  </si>
  <si>
    <t>John McAlpine</t>
  </si>
  <si>
    <t>South Long Island</t>
  </si>
  <si>
    <t>Huggenell</t>
  </si>
  <si>
    <t>Cuff Van</t>
  </si>
  <si>
    <t>Aulstine</t>
  </si>
  <si>
    <t>Lydia Warwick his</t>
  </si>
  <si>
    <t>Townshend</t>
  </si>
  <si>
    <t>Thomas Lydecker, 32, stout fellow, (John Mercereau). Formerly the property of Garret Lydecker of Hackensack, New Jersey; left him 6 years ago. GBC.</t>
  </si>
  <si>
    <t>Townshend bound for River St. John's J. Hog</t>
  </si>
  <si>
    <t>J. Hog</t>
  </si>
  <si>
    <t>Formerly the property of Garret Lydecker of Hackensack</t>
  </si>
  <si>
    <t>John Mercereau</t>
  </si>
  <si>
    <t>Tree Briton</t>
  </si>
  <si>
    <t>Thomas Johnson, 40, stout fellow, B, (Donald Ross). Formerly slave to Burgess Smith, Lancaster County; left him 4 years past and came to New York. GBC</t>
  </si>
  <si>
    <t>Tree Briton bound for Port Roseway Jacob Hays, Master</t>
  </si>
  <si>
    <t>Donald Ross</t>
  </si>
  <si>
    <t>Josiah Berry, 30, stout fellow, (Moses Pitcher). Formerly slave to James Barclay, Accomack in Virginia; left him 2 years past. GBC.</t>
  </si>
  <si>
    <t>Moses Pitcher</t>
  </si>
  <si>
    <t>Leven Johnson, 31, stout fellow, M, (Sturges Perry). Formerly slave to Captain Thomas Bell, Philadelphia; left him at the Evacuation of said city, Gen. Birch's Certificate.</t>
  </si>
  <si>
    <t>Sturges Perry</t>
  </si>
  <si>
    <t>Margaret Johnson, 43, stout wench, M, (Sturges Perry). Free as appears by a Bill of Sale.</t>
  </si>
  <si>
    <t>Sarah Johnson, 22, squat wench, quadroon, (Donald Ross). Formerly slave to Burgess Smith, Lancaster County; left him with the above Thomas Johnson her husband. GBC</t>
  </si>
  <si>
    <t>Eisha Johnson, 11, M, (Donald Ross).</t>
  </si>
  <si>
    <t>Tabitha Berry, 24, stout squat wench, (Moses Pitcher). Formerly slave to Ralph Justice, Accomack in Virginia; left him 2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</si>
  <si>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</si>
  <si>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</si>
  <si>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Says he was free born at Northampton</t>
  </si>
  <si>
    <t>Pompey Linden, 27, stout fellow, cuts in each cheek, (Josiah Dursey). Formerly slave to Josias Lyndon, Rhode Island; left him 4 years past. GBC</t>
  </si>
  <si>
    <t>Linden</t>
  </si>
  <si>
    <t>Josiah Dursey</t>
  </si>
  <si>
    <t>Pompey Linden</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</si>
  <si>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</si>
  <si>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</si>
  <si>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</si>
  <si>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Formerly slave to William Williamson of the Indian Land</t>
  </si>
  <si>
    <t>the Indian Land</t>
  </si>
  <si>
    <t>Cato Perkins, 44, stout fellow, (Alexander McDonald). Formerly slave to John Perkins of Charlestown, South Carolina; left him 5 years ago. GBC</t>
  </si>
  <si>
    <t>Formerly slave to John Perkins of Charlestown</t>
  </si>
  <si>
    <t>Isaac Wilkins, 15, stout boy. Thomas Cropper of Accomack County, Virginia, claimant. (John Cowling). Formerly slave to John Wilkins, Northampton County Virginia; left him 4 years past. GBC</t>
  </si>
  <si>
    <t>Thomas Cropper of Accomack County</t>
  </si>
  <si>
    <t>John Cowling</t>
  </si>
  <si>
    <t>Betsey Fountain, 21, stout wench, (John Cowling). Formerly slave to William Hascomb of Northumberland County, Virginia; left him 7 years past. GBC</t>
  </si>
  <si>
    <t>Formerly slave to William Hascomb of Northumberland County</t>
  </si>
  <si>
    <t>Samuel Edwards, 36, stout fellow, middle sized, (John Christie). Says he is free and lived as a hired servant with Mr. Dickenson of Philadelphia.</t>
  </si>
  <si>
    <t>John Christie</t>
  </si>
  <si>
    <t>Mary, 25, stout squat wench, (Donald McRimen). Formerly slave to Godolphin Moore nigh Augusta in Georgia; left him 5 years past. GBC</t>
  </si>
  <si>
    <t>Donald McRimen</t>
  </si>
  <si>
    <t>Colin Johnson, 4, M, (Donald Ross).</t>
  </si>
  <si>
    <t>John Williams, 30, stout fellow, (Donald McRimen). Formerly slave to Godolphin Moore nigh Augusta in Georgia; left him 5 years past. GBC</t>
  </si>
  <si>
    <t>Joe Williams, 27, stout fellow, (James Robinson). Formerly servant to Benjamin McVeaugh at Frankfort nigh Philadelphia; left him 6 years past. GBC</t>
  </si>
  <si>
    <t>Frankfort</t>
  </si>
  <si>
    <t>Nancy Jackson, 11, B, (Alexander McDonald). Formerly servant to Mrs. Maitland, Long Island.</t>
  </si>
  <si>
    <t>Kate Barclett, 45, ordinary wench, B, (Henry King). Formerly slave to Allen Mozley, Stafford County, Virginia; left him with her husband James Barclett as above. GBC.</t>
  </si>
  <si>
    <t>Stafford County</t>
  </si>
  <si>
    <t>Henry King</t>
  </si>
  <si>
    <t>Isaac Wilson, 22, stout fellow, B, (Hampton Moore). Formerly servant to John Peters near Hamstead, Long Island; says he was born free</t>
  </si>
  <si>
    <t>Hampton Moore</t>
  </si>
  <si>
    <t>Hamstead</t>
  </si>
  <si>
    <t>Cazar Bull, 1.</t>
  </si>
  <si>
    <t>Cazar</t>
  </si>
  <si>
    <t>Millia Bull, 6, fine wench, M, (Donald Ross). Formerly slave to Mr. Bull, Rhode Island; left him with the British troops in 1779.</t>
  </si>
  <si>
    <t>Philip bull, 13, fine boy, B, (Donald Ross). Formerly slave to Mr. Bull, Rhode Island; left him with the British troops in 1779.</t>
  </si>
  <si>
    <t>bull</t>
  </si>
  <si>
    <t>Jemima Bull, 26, slender wench, B, (Donald Ross). Formerly slave to Mr. Bull, Rhode Island; left him with the British troops in 1779. GBC</t>
  </si>
  <si>
    <t>William Pitt, 32, stout , B, (Robert McQuay). Formerly slave to John Pitt, Nansemond, Virginia; left him &amp; joined the army commanded by General Matthews in the Chesapeak 4 yrs. Past. GBC.</t>
  </si>
  <si>
    <t>Robert McQuay</t>
  </si>
  <si>
    <t>Chesapeak</t>
  </si>
  <si>
    <t>Abraham Thomas, 20, stout lad, B, (Donald Ross). Formerly slave to Lemuel Willet, Fredricksburg, Dutchess County ; says he was born free in the town of West Chester. GBC</t>
  </si>
  <si>
    <t>Fredricksburg</t>
  </si>
  <si>
    <t>West Chester</t>
  </si>
  <si>
    <t>Patty Johnson, 9 months, M, (Donald Ross).</t>
  </si>
  <si>
    <t>Billy Knowland, 18, stout fellow, (John Christie). Formerly slave to George Knowland, Nansemond, Virginia; left him 3 yrs. Past. GBC</t>
  </si>
  <si>
    <t>James Barclett, 59, ordinary fellow, M, (Henry King). Formerly slave to Col. John Washington, Potomack, Virginia; left him about 5 years past. GBC</t>
  </si>
  <si>
    <t>Jack Richards, 28, stout fellow, (Sturges Perry). Formerly slave to Nancy Preston, Trenton, New Jersey; left her 6 years past. GBC</t>
  </si>
  <si>
    <t>Trenton</t>
  </si>
  <si>
    <t>Trepassey</t>
  </si>
  <si>
    <t>Tom, 26, ordinary fellow, (Capt. Palmer). Formerly slave to Tunis Denyse, Monmouth County, New Jersey; left him early in 1778.</t>
  </si>
  <si>
    <t>Trepassey bound for Fort Cumberland</t>
  </si>
  <si>
    <t>Aug 1784</t>
  </si>
  <si>
    <t>Capt. Palmer</t>
  </si>
  <si>
    <t>Tunis Denyse</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</si>
  <si>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</si>
  <si>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</si>
  <si>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</si>
  <si>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Martin Clany</t>
  </si>
  <si>
    <t>Jane, 33, ordinary wench, (Capt. Palmer). Formerly slave to Joseph Foster, Long Sing, Westchester County, New York Province; left him 4 years ago.</t>
  </si>
  <si>
    <t>Westchester County</t>
  </si>
  <si>
    <t>Mary, 17, likely wench, M, (Capt. Forshemy). Free born in the Captain's family.</t>
  </si>
  <si>
    <t>Capt. Forshemy</t>
  </si>
  <si>
    <t>Trident</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</si>
  <si>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</si>
  <si>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Trident bound for Bremer Lee Robert Gallilee</t>
  </si>
  <si>
    <t>Bremer Lee Robert Gallilee</t>
  </si>
  <si>
    <t>Dick, 25, stout fellow. Robert Gallilee of Whitby, claimant. (Robert Gallilee). He says he was purchased by Robert Gallilee at Kingston in the Island of Jamaica.</t>
  </si>
  <si>
    <t>Robert Gallilee</t>
  </si>
  <si>
    <t>Toby, 23, stout fellow. He says he was the property of Capt. Ezekiel Pope of the American Militia who was killed in the _ of Guilford &amp; that he was taken prisoner. Says he wishes to go home in the ship being hired by the Month.</t>
  </si>
  <si>
    <t>Judith, 16, stout wench, (Major Weidersheim). She says she was born free and indented for 7 years to Mr. Wright of Philby in Canada with whom she served her time.</t>
  </si>
  <si>
    <t>Major Weidersheim</t>
  </si>
  <si>
    <t>Transports of this matter and desired him to use means for returning back to this place all Negroes not mentioned in the Lists.</t>
  </si>
  <si>
    <t>Transports</t>
  </si>
  <si>
    <t>of this matter and desired him to use means for returning back to this place all Negroes not mentioned in the Lists</t>
  </si>
  <si>
    <t>Tom, 26, stout fellow, (Major Weidersheim). Says he ran away from John Pickhall of the Island of Jamaica 4 years ago; that he saw his master since in Canada who did not claim him.</t>
  </si>
  <si>
    <t>Two  Sisters</t>
  </si>
  <si>
    <t>Buckley</t>
  </si>
  <si>
    <t>Derry</t>
  </si>
  <si>
    <t>Two Sisters</t>
  </si>
  <si>
    <t>Kitty, infant, M, (Dr. Humphries, N.Y. Vols.). Her infant.</t>
  </si>
  <si>
    <t>Two Sisters bound for St. John's</t>
  </si>
  <si>
    <t>Dr. Humphries, N.Y. Vols.</t>
  </si>
  <si>
    <t>London Derry, 30, stout fellow, B, (Amos Moss). Formerly slave to Gabriel W. Ludlow, City of New York, now at nine partners; left him two years past. GBC</t>
  </si>
  <si>
    <t>Two Sisters bound for St. John's John Brown</t>
  </si>
  <si>
    <t>Amos Moss</t>
  </si>
  <si>
    <t>William Fortune, 25, stout fellow, B, (Capt. Browne). Says he was born free in the Island of Granadas.</t>
  </si>
  <si>
    <t>Capt. Browne</t>
  </si>
  <si>
    <t>the Island of</t>
  </si>
  <si>
    <t>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</si>
  <si>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</si>
  <si>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</si>
  <si>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</si>
  <si>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Joseph Heit</t>
  </si>
  <si>
    <t>Darcas Buckley, 45, ordinary wench. Property of Dr. Farque of Fairfield as aforesaid; left him as above.</t>
  </si>
  <si>
    <t>Prince Buckley, 5, (Property of Dr. Farque of Fairfield as aforesaid; left him as above.)</t>
  </si>
  <si>
    <t>Property of Dr. Farque of Fairfield as aforesaid; left him as above.</t>
  </si>
  <si>
    <t>Ambrose Lewis, 19, stout fellow, (Lieut. DeBeck). His own property.</t>
  </si>
  <si>
    <t>Ambrose</t>
  </si>
  <si>
    <t>Lieut. DeBeck</t>
  </si>
  <si>
    <t>Gull, 16, stout boy, B, (Dr. Humphries, N.Y. Vols.). Formerly slave to Capt. Atkins, Clown, South Carolina; left him about 4 years ago. Sold by the widow of said Atkins.</t>
  </si>
  <si>
    <t>Gull</t>
  </si>
  <si>
    <t>Besse, 21, likely wench, (D. Humphries, N.Y. Vols.). Lived with Capt. Atkins, Clown, South Carolina; left him about 4 years ago. Sold by the widow of said Atkins sometime after as the wench says.</t>
  </si>
  <si>
    <t>Besse</t>
  </si>
  <si>
    <t>D. Humphries, N.Y. Vols.</t>
  </si>
  <si>
    <t>Silvia, 20, likely wench, B. Capt. Brown of 2 sisters , claimant. (Capt Brown). Formerly slave to Col. Lowe near Brunswick, New Jersey; left him in 1776 &amp; joined the British troops.</t>
  </si>
  <si>
    <t>Lowe near Brunswick</t>
  </si>
  <si>
    <t>Capt Brown</t>
  </si>
  <si>
    <t>Union</t>
  </si>
  <si>
    <t>Tom Hide, 27, (Tyler Dibble). Formerly slave to John Hyde, Fairfield, Connecticut; left him 5 years ago. GBC.</t>
  </si>
  <si>
    <t>Ship Union bound for St. John's Con Wilson</t>
  </si>
  <si>
    <t>Con Wilson</t>
  </si>
  <si>
    <t>Tyler Dibble</t>
  </si>
  <si>
    <t>Sukey, 9, stout mulatto, (Tyler Dibble). Free born; indented servant to Tyler Dibble.</t>
  </si>
  <si>
    <t>Consill Wilson</t>
  </si>
  <si>
    <t>Umberston</t>
  </si>
  <si>
    <t>Fanny, 22, sick wench, [Mary Rinn of Port Roseway, claimant. Formerly slave to Mrs. Marianna Jones; left to Mrs. Rinn by Marianna Jones as appears by Copy of a Will produced.</t>
  </si>
  <si>
    <t>Ship Venus bound for Port Roseway John Martin</t>
  </si>
  <si>
    <t>John Martin</t>
  </si>
  <si>
    <t>Sentry &amp; child, 28, stout wench. [Mary Rinn of Port Roseway, claimant.] Formerly slave to Mrs. Marianna Jones; left to Mrs. Rinn by Marianna Jones as appears by Copy of a Will produced.</t>
  </si>
  <si>
    <t>Sentry</t>
  </si>
  <si>
    <t>&amp; child</t>
  </si>
  <si>
    <t>Anthony Jones, 40, stout fellow, Mary Rinn of Port Roseway, claimant. Formerly slave to Mrs. Marianna Jones; left to Mrs. Rinn by Marianna Jones as appears by Copy of a Will produced.</t>
  </si>
  <si>
    <t>Phillis Rinn, 32, stout &amp; short, Mary Rinn of Port Roseway, claimant. Property of Mary Rinn as appears by written authority.</t>
  </si>
  <si>
    <t>Rinn</t>
  </si>
  <si>
    <t>Carsy Rinn, 28, ordinary wench. Mary Rinn of Port Roseway, claimant. Property of Mary Rinna as appears by written authority.</t>
  </si>
  <si>
    <t>Carsy</t>
  </si>
  <si>
    <t>Billy Rinn, 40, ordinary fellow, Mary Rinn of Port Roseway, claimant. Property of Mary Rinn as appears by written authority.</t>
  </si>
  <si>
    <t>Sentry and</t>
  </si>
  <si>
    <t>Charles Rinn, 32, tall &amp; stout. Mary Rinn of Port Roseway, claimant. Property of Mary Rinn as appears by written authority.</t>
  </si>
  <si>
    <t>Volcano Fire Ship</t>
  </si>
  <si>
    <t>Waller Esq.</t>
  </si>
  <si>
    <t>Searum</t>
  </si>
  <si>
    <t>Volcano Fireship</t>
  </si>
  <si>
    <t>Bill Searum, 17, stout, (Prince Hereditaire). Formerly the property of Dr. James Searum of Charlestown, South Carolina; left him 3 years ago.</t>
  </si>
  <si>
    <t>Volcano Fireship bound for Spithead Walter, Esq</t>
  </si>
  <si>
    <t>James Searum of Charlestown</t>
  </si>
  <si>
    <t>Prince Hereditaire</t>
  </si>
  <si>
    <t>George Glocestor, 15, likely boy, (Lt. Col. Der Tuck). Formerly the property of William Tugle of Gloucester, Virginia; left him 2 years ago. GBC.</t>
  </si>
  <si>
    <t>Glocestor</t>
  </si>
  <si>
    <t>Formerly the property of William Tugle of Gloucester</t>
  </si>
  <si>
    <t>Lt. Col. Der Tuck</t>
  </si>
  <si>
    <t>Sam Taylor, 17, stout lad, (sailor on board). Formerly the property of Thomas Edwards of Northumberland County, Virginia; left him 1 year ago.</t>
  </si>
  <si>
    <t>Formerly the property of Thomas Edwards of Northumberland County</t>
  </si>
  <si>
    <t>James Davis, 35, stout fellow, (sailor on board). West India Negro.</t>
  </si>
  <si>
    <t>Albaco</t>
  </si>
  <si>
    <t>Flora Nerna, 48, stout wench, (William Wright). Formerly the property of Mr. Kingsland of Barbadoes Neck, New Jersey; left him 3 years ago. GBC.</t>
  </si>
  <si>
    <t>William bound for St. John's River Edward Major</t>
  </si>
  <si>
    <t>Nerna</t>
  </si>
  <si>
    <t>Edward Major</t>
  </si>
  <si>
    <t>William Wright</t>
  </si>
  <si>
    <t>Peggy, 20, stout wench, (Daniel Blair). Formerly the property of Major Robinson, Rappahannock, Virginia; left him 3 years ago.</t>
  </si>
  <si>
    <t>William bound for Port Roseway Thomas Potts</t>
  </si>
  <si>
    <t>60</t>
  </si>
  <si>
    <t>Thomas Potts</t>
  </si>
  <si>
    <t>Daniel Blair</t>
  </si>
  <si>
    <t>Michael Wilkins, 15, stout boy, M, (William Wright). Formerly the property of John Thomas of the White Plains, New York province; left him 4 years ago. GBC.</t>
  </si>
  <si>
    <t>the White Plains</t>
  </si>
  <si>
    <t>Adam, 21, stout set fellow, (Adam Sutherland). Formerly the property of George Rivers of James's Island, South Carolina, who sold him to Adam Sutherland.</t>
  </si>
  <si>
    <t>Formerly the property of George Rivers of James's Island</t>
  </si>
  <si>
    <t>Adam Sutherland</t>
  </si>
  <si>
    <t>Vulean, 18, stout fellow, (Robert Andrews). Property of Robert Andrews.</t>
  </si>
  <si>
    <t>Vulean</t>
  </si>
  <si>
    <t>Robert Andrews</t>
  </si>
  <si>
    <t>Powell</t>
  </si>
  <si>
    <t>Tanyard</t>
  </si>
  <si>
    <t>Grisswell</t>
  </si>
  <si>
    <t>Grace, 7, fine girl, (John Turner). Born free. Indented to John Turner for 10 years from 18 February 1783.</t>
  </si>
  <si>
    <t>John Turner</t>
  </si>
  <si>
    <t>Christopher, 28, ordinary fellow, (Capt. Atwood, K.A. Reg't.). Formerly slave to Alexander McAlister, East Florida; left him &amp; joined the British troops at Savannah in 1780.</t>
  </si>
  <si>
    <t>William bound for St. John's</t>
  </si>
  <si>
    <t>Capt. Atwood, K.A. Reg't.</t>
  </si>
  <si>
    <t>East Florida</t>
  </si>
  <si>
    <t>Beariman</t>
  </si>
  <si>
    <t>Manuel</t>
  </si>
  <si>
    <t>Kenty</t>
  </si>
  <si>
    <t>JohnCook</t>
  </si>
  <si>
    <t>Lettice</t>
  </si>
  <si>
    <t>Anthony, 32, ordinary fellow, (Lt. Barker, K.A. Reg't.). Formerly slave to Ben Warren, Charlestown, South Carolina; left him year 1780 previous to the Siege of that Garrison.</t>
  </si>
  <si>
    <t>Lt. Barker, K.A. Reg't.</t>
  </si>
  <si>
    <t>Mannays</t>
  </si>
  <si>
    <t>Pavell</t>
  </si>
  <si>
    <t>Wickfall</t>
  </si>
  <si>
    <t>Andrew West, 24, very stout fellow, (William Wright). Formerly the property of James West of Shrewsbury, New Jersey; left him 4 years ago. GBC.</t>
  </si>
  <si>
    <t>West</t>
  </si>
  <si>
    <t>William &amp; Mary</t>
  </si>
  <si>
    <t>Sarah, ½, infant, (Dr. Bullen). Property of Dr. Bullen.</t>
  </si>
  <si>
    <t>William &amp; Mary bound for Halifax Anthony Moore</t>
  </si>
  <si>
    <t>Anthony Moore</t>
  </si>
  <si>
    <t>Dr. Bullen</t>
  </si>
  <si>
    <t>Mellia Marrant, 30, squat wench, B, (Thomas Grigg). Formerly the property of John Marrant near Santee, Carolina; left him at the siege of Charlestown. GBC.</t>
  </si>
  <si>
    <t>William &amp; Mary bound for Annapolis Royal Moses Brewer</t>
  </si>
  <si>
    <t>Marrant</t>
  </si>
  <si>
    <t>Moses Brewer</t>
  </si>
  <si>
    <t>Thomas Grigg</t>
  </si>
  <si>
    <t>Achabee, 60, stout fellow, (Dr. Bullen). Property of Dr. Bullen.</t>
  </si>
  <si>
    <t>William &amp; Mary bound for Halifax William Moore, Master</t>
  </si>
  <si>
    <t>Achabee</t>
  </si>
  <si>
    <t>William Moore</t>
  </si>
  <si>
    <t>Catharina, 60, old stout wench, (Dr. Bullen). Property of Dr. Bullen.</t>
  </si>
  <si>
    <t>Catharina</t>
  </si>
  <si>
    <t>Jenny, 40, stout wench, (Dr. Bullen). Property of Dr. Bullen.</t>
  </si>
  <si>
    <t>Prince, 30, stout fellow, (Dr. Bullen). Property of Dr. Bullen.</t>
  </si>
  <si>
    <t>Katy, 6, fine girl, (Dr. Bullen). Property of Dr. Bullen.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</si>
  <si>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</si>
  <si>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</si>
  <si>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</si>
  <si>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</si>
  <si>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Rosannah Mott, 26, stout wench, (Lt. Carter agent). Formerly the property of Jacob Mott of Charlestown, South Carolina; left him 3 years ago. GBC.</t>
  </si>
  <si>
    <t>William &amp; Mary bound for Germany M. Bauer</t>
  </si>
  <si>
    <t>Formerly the property of Jacob Mott of Charlestown</t>
  </si>
  <si>
    <t>Lt. Carter agent</t>
  </si>
  <si>
    <t>Frank Symons, 45, ordinary fellow, B, (Thomas Grigg). Formerly slae to Edward Simmons, Charlestown, South Carolina; left him about the time that Charlestown was besieging. GBC.</t>
  </si>
  <si>
    <t>Symons</t>
  </si>
  <si>
    <t>Peter Newbold, 30, stout fellow, B, (Capt. Hill). It appears from the Comandant's Certificate that he was formerly the property of Chris Newbold of Mansfield in New Jersey. GBC.</t>
  </si>
  <si>
    <t>Newbold</t>
  </si>
  <si>
    <t>Capt. Hill</t>
  </si>
  <si>
    <t>Mansfield</t>
  </si>
  <si>
    <t>Amelia Marrant, 6, B, (Thomas Grigg). Child of Mellia Marrant.</t>
  </si>
  <si>
    <t>Ben Marrant, 4, B, (Thomas Grigg). Child of Mellia Marrant.</t>
  </si>
  <si>
    <t>Cuffie Bush, 50, ordinary fellow, B, (James Heughston). Formerly slave to William Bush, Horseneck, Connecticut; left him abut 5 years past. GBC.</t>
  </si>
  <si>
    <t>James Heughston</t>
  </si>
  <si>
    <t>Glasgow Grigg, 26, stout fellow, M, (James Heughston). Formerly the property of John Grigg, Horseneck, Connecticut; left him 3 years past.</t>
  </si>
  <si>
    <t>Grigg</t>
  </si>
  <si>
    <t>Charles Ferrel, 13, blind of one eye, fine boy, (James Heughston). Formerly slave of Thomas Ferrill, Stone ferry, South Carolina; left him with the troops from Charlestown. GBC.</t>
  </si>
  <si>
    <t>Ferrel</t>
  </si>
  <si>
    <t>Stone ferry</t>
  </si>
  <si>
    <t>Judith Glasgow, 22, slim wench, M, (James Heughston). Declared free. GBC.</t>
  </si>
  <si>
    <t>Hannah Glasgow, 6, M, (James Heughston). Child of Judith Glasgow.</t>
  </si>
  <si>
    <t>Judith Glasgow</t>
  </si>
  <si>
    <t>Richard Glasgow, 1 ½, M, (James Heughston). Child of Judith Glasgow.</t>
  </si>
  <si>
    <t>John London, 20, stout fellow, M, (Capt. Hill). Formerly servant to Mr. Fowler &amp; says he was born of a free mother. GBC.</t>
  </si>
  <si>
    <t>Casar Speffen, 42, ordinary fellow, B, (Susannah Buskirk). Formerly slave to John Lawrence, Clarendon, [Province] (State in the original) of New York; left him in the year 1777. GBC.</t>
  </si>
  <si>
    <t>Speffen</t>
  </si>
  <si>
    <t>Susannah Buskirk</t>
  </si>
  <si>
    <t>Clarendon</t>
  </si>
  <si>
    <t>William and Mary</t>
  </si>
  <si>
    <t>Ferrell</t>
  </si>
  <si>
    <t>William transport</t>
  </si>
  <si>
    <t>Lettice London, 29, stout wench, (George Antill). Formerly the property of George Webb of Norfolk, Virginia; left him 6 years ago.</t>
  </si>
  <si>
    <t>William transport bound for Abbaco John Cook, Master</t>
  </si>
  <si>
    <t>Formerly the property of George Webb of Norfolk</t>
  </si>
  <si>
    <t>George Antill</t>
  </si>
  <si>
    <t>Rebecca, 22, stout wench with a child 1 year old, (Alexander Dean). Formerly the property of Joseph Bradford of Charlestown, South Carolina; left him 4 years ago.</t>
  </si>
  <si>
    <t>Formerly the property of Joseph Bradford of Charlestown</t>
  </si>
  <si>
    <t>Alexander Dean</t>
  </si>
  <si>
    <t>Carolina, 10, fine boy, (Alexander Dean). Formerly the property of Alexander Dean by Bill of Sale produced.</t>
  </si>
  <si>
    <t>Juba, 30, stout fellow, (Alexander Dean). Formerly the property of Alexander Dean by Bill of Sale produced.</t>
  </si>
  <si>
    <t>Juba</t>
  </si>
  <si>
    <t>Sally Beariman, 25, fine wench, (Alexander Dean). Formerly the property of Thomas Beauman of Beaufort, South Carolina; left him 4 years ago.</t>
  </si>
  <si>
    <t>Formerly the property of Thomas Beauman of Beaufort</t>
  </si>
  <si>
    <t>Maurice Williams, 35, stout fellow, (Alexander Dean). Formerly the property of Robert Miles of Savannah, South Carolina; left him 5 years ago.</t>
  </si>
  <si>
    <t>Maurice</t>
  </si>
  <si>
    <t>Formerly the property of Robert Miles of Savannah</t>
  </si>
  <si>
    <t>Primus Fortune, 30, stout fellow (Alexander Dean). Formerly the property of Isaac Warner of Philadelphia; left him 4 years ago.</t>
  </si>
  <si>
    <t>Joseph Scot, 40, stout fellow, (Alexander Dean). Says he is free, lived in Charlestown, carpenter.</t>
  </si>
  <si>
    <t>Esther Moore, 16, fine girl, (Joseph Moore). Formerly the property of Joseph Moore.</t>
  </si>
  <si>
    <t>Joseph Moore</t>
  </si>
  <si>
    <t>Jack Johnson, 11, fine boy, (Joseph Moore). Formerly the property of Andrew Johnson, Charlestown, South Carolina; left 2 years ago.</t>
  </si>
  <si>
    <t>Kate Johnson, 11, stout wench, (Joseph Moore). Formerly the property of Andrew Johnson, Charlestown, South Carolina; left 2 years ago.</t>
  </si>
  <si>
    <t>James Kain, 37, stout fellow, (Joseph Moore). Formerly the property of John Houston, Savannah, Georgia; left 4 years ago.</t>
  </si>
  <si>
    <t>Kain</t>
  </si>
  <si>
    <t>John Jackson, 26, stout fellow, (Alexander Dean). Says he is free; lived with Tom Hutchinson, Charlestown, South Carolina; left him 5 years ago.</t>
  </si>
  <si>
    <t>William Kinty, 27, stout fellow, (Cornelius Blanchard). Formerly the property of William Petery of St. John, South Carolina; left 5 years ago.</t>
  </si>
  <si>
    <t>Kinty</t>
  </si>
  <si>
    <t>Cornelius Blanchard</t>
  </si>
  <si>
    <t>St. John</t>
  </si>
  <si>
    <t>Daphne Rivers, 35, stout wench, (Elias Davis). Formerly the property of Samuel Fulton, Charlestown, South Carolina; left 4 years ago. GBC.</t>
  </si>
  <si>
    <t>Elias Davis</t>
  </si>
  <si>
    <t>Diana, 22, stout wench &amp; child 10 months old (J. Heid). Formerly the property of Mrs. Cross, Charlestown, South Carolina; left 4 years ago. GBC.</t>
  </si>
  <si>
    <t>J. Heid</t>
  </si>
  <si>
    <t>James Nash, 28, stout fellow, (J. Heid). Formerly the property of John Ash near Stono, South Carolina. GBC.</t>
  </si>
  <si>
    <t>Formerly the property of John Ash near Stono</t>
  </si>
  <si>
    <t>Joe Elliot, 26, stout fellow, (J. Heid). Formerly the property of George Elliot, Charlestown, South Carolina; left 3 years ago. GBC.</t>
  </si>
  <si>
    <t>Sharp, 36, stout fellow, (Patrick Kennedy). Formerly the property of John Cooke of Charlestown; left him 4 years ago.</t>
  </si>
  <si>
    <t>George, 25, stout fellow, (Patrick Kennedy). Came from Jamaica where he says he was born free. GBC.</t>
  </si>
  <si>
    <t>Paris, 50, stout fellow, (John Wallis Barclay). Formerly the property of John Willis Barclay by Bill of Sale produced.</t>
  </si>
  <si>
    <t>John Wallis Barclay</t>
  </si>
  <si>
    <t>Hannah Taylor, 22, stout wench with a child 6 months old, (George Antill). Formerly the property of Timothy Burges of Portsmouth, Virginia; left him 4 years ago.</t>
  </si>
  <si>
    <t>Formerly the property of Timothy Burges of Portsmouth</t>
  </si>
  <si>
    <t>Venus, 33, stout wench with 4 children 11, 8, 4 &amp; 2 years old, (John Wallis Barclay). Formerly the property of John Willis Barclay by Bill of Sale.</t>
  </si>
  <si>
    <t>William Willis, 39, stout husky man, (John Cameron). Formerly the property of Joseph Pinto of New York who gave him his freedom about 10 years ago.</t>
  </si>
  <si>
    <t>John Cameron</t>
  </si>
  <si>
    <t>Henry Jackson, 23, stout fellow, (George Antill). Formerly the property of Thomas Gold of Richmond, Virginia; left him 4 years ago. GBC.</t>
  </si>
  <si>
    <t>Formerly the property of Thomas Gold of Richmond</t>
  </si>
  <si>
    <t>Peggy, 21, stout wench, 1 child 8 months (George Antill). Formerly the property of Jesse Barlow of Portsmouth, Virginia; left him 5 years ago.</t>
  </si>
  <si>
    <t>Formerly the property of Jesse Barlow of Portsmouth</t>
  </si>
  <si>
    <t>Jane Williams, 60, ordinary wench, (George Antill). Formerly the property of Matthew Burgis of Portsmouth, Virginia; left him 5 years ago.</t>
  </si>
  <si>
    <t>Formerly the property of Matthew Burgis of Portsmouth</t>
  </si>
  <si>
    <t>George Taylor, 28, stout fellow, (George Antill). Says he is free.</t>
  </si>
  <si>
    <t>Susanna Pavell, 34, ordinary wench with a boy 5 years old, (John Jordan). Formerly the property of Capt. Dickson who she says left her free.</t>
  </si>
  <si>
    <t>John Jordan</t>
  </si>
  <si>
    <t>Isaac Murray, 16, fine boy, (Cornelius Blanchard). Certificate of Freedom from Gabriel Marygault.</t>
  </si>
  <si>
    <t>Luce, 11, fine girl, (John Hutchins). Property of said Hutchins by Bill of Sale.</t>
  </si>
  <si>
    <t>Luce</t>
  </si>
  <si>
    <t>John Hutchins</t>
  </si>
  <si>
    <t>Nancy, 24, fine wench, 2 children 4 &amp; 2 years old, (Blanchard). Property of said Blanchard.</t>
  </si>
  <si>
    <t>Blanchard</t>
  </si>
  <si>
    <t>Patty, 21, fine wench, 1 child 6 months old, (William McDonald). Formerly the property of General Howe of the Continental Army; left him 4 years ago.</t>
  </si>
  <si>
    <t>William McDonald</t>
  </si>
  <si>
    <t>Hester Willis, 26, stout wench, (John Cameron). Formerly the property of Joseph Pinto of New York who gave him his freedom 10 years ago.</t>
  </si>
  <si>
    <t>Bob Powell, 32, stout fellow, (John Jordan). Formerly the property of John Powell of Charlestown, left him 3 years ago.</t>
  </si>
  <si>
    <t>Betsey, 28, idiot, (Mrs. Barclay). Says she is free.</t>
  </si>
  <si>
    <t>Mrs. Barclay</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</si>
  <si>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</si>
  <si>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</si>
  <si>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</si>
  <si>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Griswell</t>
  </si>
  <si>
    <t>Formerly the property of Hector Criswell of Georgetown</t>
  </si>
  <si>
    <t>John Jones</t>
  </si>
  <si>
    <t>James Brown, 23, stout fellow, (George Wilbank). Born free at Salem Township, New Jersey; served until 21 with Abraham Hewlins.</t>
  </si>
  <si>
    <t>Born free at Salem Township</t>
  </si>
  <si>
    <t>George Wilbank</t>
  </si>
  <si>
    <t>Salem Township</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</si>
  <si>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</si>
  <si>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</si>
  <si>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</si>
  <si>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Tom Tanyard, 31, stout fellow, (John Jordan). Formerly the property of James Tanyard, Stono, South Carolina; left him 4 years ago.</t>
  </si>
  <si>
    <t>Isaac Wickfall, 45, ordinary fellow (George Antill). Formerly the property of Joseph Wickfall, Waubam, South Carolina; left him 4 years ago.</t>
  </si>
  <si>
    <t>Waubam</t>
  </si>
  <si>
    <t>William transport</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</si>
  <si>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</si>
  <si>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Abbaco John Cook, Master</t>
  </si>
  <si>
    <t>Jul 1783</t>
  </si>
  <si>
    <t>lat</t>
  </si>
  <si>
    <t>lng</t>
  </si>
  <si>
    <t>LookupKey</t>
  </si>
  <si>
    <t>AK</t>
  </si>
  <si>
    <t>Aleutians East</t>
  </si>
  <si>
    <t>AKAleutians East</t>
  </si>
  <si>
    <t>AL</t>
  </si>
  <si>
    <t>Aleutians West</t>
  </si>
  <si>
    <t>AKAleutians West</t>
  </si>
  <si>
    <t>AR</t>
  </si>
  <si>
    <t>Anchorage</t>
  </si>
  <si>
    <t>AKAnchorage</t>
  </si>
  <si>
    <t>AZ</t>
  </si>
  <si>
    <t>Bethel</t>
  </si>
  <si>
    <t>AKBethel</t>
  </si>
  <si>
    <t>CA</t>
  </si>
  <si>
    <t>Bristol Bay</t>
  </si>
  <si>
    <t>AKBristol Bay</t>
  </si>
  <si>
    <t>CO</t>
  </si>
  <si>
    <t>Chugach</t>
  </si>
  <si>
    <t>AKChugach</t>
  </si>
  <si>
    <t>CT</t>
  </si>
  <si>
    <t>Copper River</t>
  </si>
  <si>
    <t>AKCopper River</t>
  </si>
  <si>
    <t>DC</t>
  </si>
  <si>
    <t>Denali</t>
  </si>
  <si>
    <t>AKDenali</t>
  </si>
  <si>
    <t>DE</t>
  </si>
  <si>
    <t>Dillingham</t>
  </si>
  <si>
    <t>AKDillingham</t>
  </si>
  <si>
    <t>FL</t>
  </si>
  <si>
    <t>Fairbanks North Star</t>
  </si>
  <si>
    <t>AKFairbanks North Star</t>
  </si>
  <si>
    <t>GA</t>
  </si>
  <si>
    <t>AKHaines</t>
  </si>
  <si>
    <t>HI</t>
  </si>
  <si>
    <t>Hoonah-Angoon</t>
  </si>
  <si>
    <t>AKHoonah-Angoon</t>
  </si>
  <si>
    <t>IA</t>
  </si>
  <si>
    <t>Juneau</t>
  </si>
  <si>
    <t>AKJuneau</t>
  </si>
  <si>
    <t>Kenai Peninsula</t>
  </si>
  <si>
    <t>AKKenai Peninsula</t>
  </si>
  <si>
    <t>IL</t>
  </si>
  <si>
    <t>Ketchikan Gateway</t>
  </si>
  <si>
    <t>AKKetchikan Gateway</t>
  </si>
  <si>
    <t>IN</t>
  </si>
  <si>
    <t>Kodiak Island</t>
  </si>
  <si>
    <t>AKKodiak Island</t>
  </si>
  <si>
    <t>KS</t>
  </si>
  <si>
    <t>Kusilvak</t>
  </si>
  <si>
    <t>AKKusilvak</t>
  </si>
  <si>
    <t>KY</t>
  </si>
  <si>
    <t>Lake and Peninsula</t>
  </si>
  <si>
    <t>AKLake and Peninsula</t>
  </si>
  <si>
    <t>LA</t>
  </si>
  <si>
    <t>Matanuska-Susitna</t>
  </si>
  <si>
    <t>AKMatanuska-Susitna</t>
  </si>
  <si>
    <t>MA</t>
  </si>
  <si>
    <t>Nome</t>
  </si>
  <si>
    <t>AKNome</t>
  </si>
  <si>
    <t>MD</t>
  </si>
  <si>
    <t>North Slope</t>
  </si>
  <si>
    <t>AKNorth Slope</t>
  </si>
  <si>
    <t>ME</t>
  </si>
  <si>
    <t>Northwest Arctic</t>
  </si>
  <si>
    <t>AKNorthwest Arctic</t>
  </si>
  <si>
    <t>MI</t>
  </si>
  <si>
    <t>AKPetersburg</t>
  </si>
  <si>
    <t>MN</t>
  </si>
  <si>
    <t>Prince of Wales-Hyder</t>
  </si>
  <si>
    <t>AKPrince of Wales-Hyder</t>
  </si>
  <si>
    <t>MO</t>
  </si>
  <si>
    <t>Sitka</t>
  </si>
  <si>
    <t>AKSitka</t>
  </si>
  <si>
    <t>MS</t>
  </si>
  <si>
    <t>Skagway</t>
  </si>
  <si>
    <t>AKSkagway</t>
  </si>
  <si>
    <t>MT</t>
  </si>
  <si>
    <t>Southeast Fairbanks</t>
  </si>
  <si>
    <t>AKSoutheast Fairbanks</t>
  </si>
  <si>
    <t>NC</t>
  </si>
  <si>
    <t>Wrangell</t>
  </si>
  <si>
    <t>AKWrangell</t>
  </si>
  <si>
    <t>ND</t>
  </si>
  <si>
    <t>Yakutat</t>
  </si>
  <si>
    <t>AKYakutat</t>
  </si>
  <si>
    <t>NE</t>
  </si>
  <si>
    <t>Yukon-Koyukuk</t>
  </si>
  <si>
    <t>AKYukon-Koyukuk</t>
  </si>
  <si>
    <t>NH</t>
  </si>
  <si>
    <t>Autauga</t>
  </si>
  <si>
    <t>ALAutauga</t>
  </si>
  <si>
    <t>NJ</t>
  </si>
  <si>
    <t>Baldwin</t>
  </si>
  <si>
    <t>ALBaldwin</t>
  </si>
  <si>
    <t>NM</t>
  </si>
  <si>
    <t>Barbour</t>
  </si>
  <si>
    <t>ALBarbour</t>
  </si>
  <si>
    <t>NV</t>
  </si>
  <si>
    <t>Bibb</t>
  </si>
  <si>
    <t>ALBibb</t>
  </si>
  <si>
    <t>NY</t>
  </si>
  <si>
    <t>Blount</t>
  </si>
  <si>
    <t>ALBlount</t>
  </si>
  <si>
    <t>OH</t>
  </si>
  <si>
    <t>Bullock</t>
  </si>
  <si>
    <t>ALBullock</t>
  </si>
  <si>
    <t>OK</t>
  </si>
  <si>
    <t>ALButler</t>
  </si>
  <si>
    <t>OR</t>
  </si>
  <si>
    <t>ALCalhoun</t>
  </si>
  <si>
    <t>PA</t>
  </si>
  <si>
    <t>Chambers</t>
  </si>
  <si>
    <t>ALChambers</t>
  </si>
  <si>
    <t>RI</t>
  </si>
  <si>
    <t>Cherokee</t>
  </si>
  <si>
    <t>ALCherokee</t>
  </si>
  <si>
    <t>SC</t>
  </si>
  <si>
    <t>Chilton</t>
  </si>
  <si>
    <t>ALChilton</t>
  </si>
  <si>
    <t>SD</t>
  </si>
  <si>
    <t>Choctaw</t>
  </si>
  <si>
    <t>ALChoctaw</t>
  </si>
  <si>
    <t>TN</t>
  </si>
  <si>
    <t>ALClarke</t>
  </si>
  <si>
    <t>TX</t>
  </si>
  <si>
    <t>Clay</t>
  </si>
  <si>
    <t>ALClay</t>
  </si>
  <si>
    <t>UT</t>
  </si>
  <si>
    <t>Cleburne</t>
  </si>
  <si>
    <t>ALCleburne</t>
  </si>
  <si>
    <t>VA</t>
  </si>
  <si>
    <t>Coffee</t>
  </si>
  <si>
    <t>ALCoffee</t>
  </si>
  <si>
    <t>VT</t>
  </si>
  <si>
    <t>Colbert</t>
  </si>
  <si>
    <t>ALColbert</t>
  </si>
  <si>
    <t>WA</t>
  </si>
  <si>
    <t>Conecuh</t>
  </si>
  <si>
    <t>ALConecuh</t>
  </si>
  <si>
    <t>WI</t>
  </si>
  <si>
    <t>Coosa</t>
  </si>
  <si>
    <t>ALCoosa</t>
  </si>
  <si>
    <t>WV</t>
  </si>
  <si>
    <t>Covington</t>
  </si>
  <si>
    <t>ALCovington</t>
  </si>
  <si>
    <t>WY</t>
  </si>
  <si>
    <t>Crenshaw</t>
  </si>
  <si>
    <t>ALCrenshaw</t>
  </si>
  <si>
    <t>Cullman</t>
  </si>
  <si>
    <t>ALCullman</t>
  </si>
  <si>
    <t>Dale</t>
  </si>
  <si>
    <t>ALDale</t>
  </si>
  <si>
    <t>Dallas</t>
  </si>
  <si>
    <t>ALDallas</t>
  </si>
  <si>
    <t>DeKalb</t>
  </si>
  <si>
    <t>ALDeKalb</t>
  </si>
  <si>
    <t>Elmore</t>
  </si>
  <si>
    <t>ALElmore</t>
  </si>
  <si>
    <t>Escambia</t>
  </si>
  <si>
    <t>ALEscambia</t>
  </si>
  <si>
    <t>Etowah</t>
  </si>
  <si>
    <t>ALEtowah</t>
  </si>
  <si>
    <t>Fayette</t>
  </si>
  <si>
    <t>ALFayette</t>
  </si>
  <si>
    <t>Franklin</t>
  </si>
  <si>
    <t>ALFranklin</t>
  </si>
  <si>
    <t>Geneva</t>
  </si>
  <si>
    <t>ALGeneva</t>
  </si>
  <si>
    <t>Greene</t>
  </si>
  <si>
    <t>ALGreene</t>
  </si>
  <si>
    <t>Hale</t>
  </si>
  <si>
    <t>ALHale</t>
  </si>
  <si>
    <t>ALHenry</t>
  </si>
  <si>
    <t>Houston</t>
  </si>
  <si>
    <t>ALHouston</t>
  </si>
  <si>
    <t>ALJackson</t>
  </si>
  <si>
    <t>Jefferson</t>
  </si>
  <si>
    <t>ALJefferson</t>
  </si>
  <si>
    <t>Lamar</t>
  </si>
  <si>
    <t>ALLamar</t>
  </si>
  <si>
    <t>Lauderdale</t>
  </si>
  <si>
    <t>ALLauderdale</t>
  </si>
  <si>
    <t>ALLawrence</t>
  </si>
  <si>
    <t>ALLee</t>
  </si>
  <si>
    <t>Limestone</t>
  </si>
  <si>
    <t>ALLimestone</t>
  </si>
  <si>
    <t>Lowndes</t>
  </si>
  <si>
    <t>ALLowndes</t>
  </si>
  <si>
    <t>Macon</t>
  </si>
  <si>
    <t>ALMacon</t>
  </si>
  <si>
    <t>Madison</t>
  </si>
  <si>
    <t>ALMadison</t>
  </si>
  <si>
    <t>Marengo</t>
  </si>
  <si>
    <t>ALMarengo</t>
  </si>
  <si>
    <t>Marion</t>
  </si>
  <si>
    <t>ALMarion</t>
  </si>
  <si>
    <t>ALMarshall</t>
  </si>
  <si>
    <t>Mobile</t>
  </si>
  <si>
    <t>ALMobile</t>
  </si>
  <si>
    <t>Monroe</t>
  </si>
  <si>
    <t>ALMonroe</t>
  </si>
  <si>
    <t>Montgomery</t>
  </si>
  <si>
    <t>ALMontgomery</t>
  </si>
  <si>
    <t>ALMorgan</t>
  </si>
  <si>
    <t>ALPerry</t>
  </si>
  <si>
    <t>Pickens</t>
  </si>
  <si>
    <t>ALPickens</t>
  </si>
  <si>
    <t>Pike</t>
  </si>
  <si>
    <t>ALPike</t>
  </si>
  <si>
    <t>Randolph</t>
  </si>
  <si>
    <t>ALRandolph</t>
  </si>
  <si>
    <t>Russell</t>
  </si>
  <si>
    <t>ALRussell</t>
  </si>
  <si>
    <t>Shelby</t>
  </si>
  <si>
    <t>ALShelby</t>
  </si>
  <si>
    <t>St. Clair</t>
  </si>
  <si>
    <t>ALSt. Clair</t>
  </si>
  <si>
    <t>Sumter</t>
  </si>
  <si>
    <t>ALSumter</t>
  </si>
  <si>
    <t>Talladega</t>
  </si>
  <si>
    <t>ALTalladega</t>
  </si>
  <si>
    <t>Tallapoosa</t>
  </si>
  <si>
    <t>ALTallapoosa</t>
  </si>
  <si>
    <t>Tuscaloosa</t>
  </si>
  <si>
    <t>ALTuscaloosa</t>
  </si>
  <si>
    <t>ALWalker</t>
  </si>
  <si>
    <t>ALWashington</t>
  </si>
  <si>
    <t>Wilcox</t>
  </si>
  <si>
    <t>ALWilcox</t>
  </si>
  <si>
    <t>Winston</t>
  </si>
  <si>
    <t>ALWinston</t>
  </si>
  <si>
    <t>Arkansas</t>
  </si>
  <si>
    <t>ARArkansas</t>
  </si>
  <si>
    <t>Ashley</t>
  </si>
  <si>
    <t>ARAshley</t>
  </si>
  <si>
    <t>Baxter</t>
  </si>
  <si>
    <t>ARBaxter</t>
  </si>
  <si>
    <t>Benton</t>
  </si>
  <si>
    <t>ARBenton</t>
  </si>
  <si>
    <t>Boone</t>
  </si>
  <si>
    <t>ARBoone</t>
  </si>
  <si>
    <t>Bradley</t>
  </si>
  <si>
    <t>ARBradley</t>
  </si>
  <si>
    <t>ARCalhoun</t>
  </si>
  <si>
    <t>Carroll</t>
  </si>
  <si>
    <t>ARCarroll</t>
  </si>
  <si>
    <t>Chicot</t>
  </si>
  <si>
    <t>ARChicot</t>
  </si>
  <si>
    <t>ARClark</t>
  </si>
  <si>
    <t>ARClay</t>
  </si>
  <si>
    <t>ARCleburne</t>
  </si>
  <si>
    <t>Cleveland</t>
  </si>
  <si>
    <t>ARCleveland</t>
  </si>
  <si>
    <t>Columbia</t>
  </si>
  <si>
    <t>ARColumbia</t>
  </si>
  <si>
    <t>ARConway</t>
  </si>
  <si>
    <t>Craighead</t>
  </si>
  <si>
    <t>ARCraighead</t>
  </si>
  <si>
    <t>ARCrawford</t>
  </si>
  <si>
    <t>Crittenden</t>
  </si>
  <si>
    <t>ARCrittenden</t>
  </si>
  <si>
    <t>ARCross</t>
  </si>
  <si>
    <t>ARDallas</t>
  </si>
  <si>
    <t>Desha</t>
  </si>
  <si>
    <t>ARDesha</t>
  </si>
  <si>
    <t>Drew</t>
  </si>
  <si>
    <t>ARDrew</t>
  </si>
  <si>
    <t>Faulkner</t>
  </si>
  <si>
    <t>ARFaulkner</t>
  </si>
  <si>
    <t>ARFranklin</t>
  </si>
  <si>
    <t>Fulton</t>
  </si>
  <si>
    <t>ARFulton</t>
  </si>
  <si>
    <t>Garland</t>
  </si>
  <si>
    <t>ARGarland</t>
  </si>
  <si>
    <t>ARGrant</t>
  </si>
  <si>
    <t>ARGreene</t>
  </si>
  <si>
    <t>ARHempstead</t>
  </si>
  <si>
    <t>Hot Spring</t>
  </si>
  <si>
    <t>ARHot Spring</t>
  </si>
  <si>
    <t>ARHoward</t>
  </si>
  <si>
    <t>Independence</t>
  </si>
  <si>
    <t>ARIndependence</t>
  </si>
  <si>
    <t>ARIzard</t>
  </si>
  <si>
    <t>ARJackson</t>
  </si>
  <si>
    <t>ARJefferson</t>
  </si>
  <si>
    <t>ARJohnson</t>
  </si>
  <si>
    <t>Lafayette</t>
  </si>
  <si>
    <t>ARLafayette</t>
  </si>
  <si>
    <t>ARLawrence</t>
  </si>
  <si>
    <t>ARLee</t>
  </si>
  <si>
    <t>Lincoln</t>
  </si>
  <si>
    <t>ARLincoln</t>
  </si>
  <si>
    <t>Little River</t>
  </si>
  <si>
    <t>ARLittle River</t>
  </si>
  <si>
    <t>ARLogan</t>
  </si>
  <si>
    <t>Lonoke</t>
  </si>
  <si>
    <t>ARLonoke</t>
  </si>
  <si>
    <t>ARMadison</t>
  </si>
  <si>
    <t>ARMarion</t>
  </si>
  <si>
    <t>ARMiller</t>
  </si>
  <si>
    <t>Mississippi</t>
  </si>
  <si>
    <t>ARMississippi</t>
  </si>
  <si>
    <t>ARMonroe</t>
  </si>
  <si>
    <t>ARMontgomery</t>
  </si>
  <si>
    <t>Nevada</t>
  </si>
  <si>
    <t>ARNevada</t>
  </si>
  <si>
    <t>ARNewton</t>
  </si>
  <si>
    <t>Ouachita</t>
  </si>
  <si>
    <t>AROuachita</t>
  </si>
  <si>
    <t>ARPerry</t>
  </si>
  <si>
    <t>ARPhillips</t>
  </si>
  <si>
    <t>ARPike</t>
  </si>
  <si>
    <t>Poinsett</t>
  </si>
  <si>
    <t>ARPoinsett</t>
  </si>
  <si>
    <t>Polk</t>
  </si>
  <si>
    <t>ARPolk</t>
  </si>
  <si>
    <t>Pope</t>
  </si>
  <si>
    <t>ARPope</t>
  </si>
  <si>
    <t>Prairie</t>
  </si>
  <si>
    <t>ARPrairie</t>
  </si>
  <si>
    <t>Pulaski</t>
  </si>
  <si>
    <t>ARPulaski</t>
  </si>
  <si>
    <t>ARRandolph</t>
  </si>
  <si>
    <t>Saline</t>
  </si>
  <si>
    <t>ARSaline</t>
  </si>
  <si>
    <t>ARScott</t>
  </si>
  <si>
    <t>Searcy</t>
  </si>
  <si>
    <t>ARSearcy</t>
  </si>
  <si>
    <t>Sebastian</t>
  </si>
  <si>
    <t>ARSebastian</t>
  </si>
  <si>
    <t>Sevier</t>
  </si>
  <si>
    <t>ARSevier</t>
  </si>
  <si>
    <t>ARSharp</t>
  </si>
  <si>
    <t>St. Francis</t>
  </si>
  <si>
    <t>ARSt. Francis</t>
  </si>
  <si>
    <t>ARStone</t>
  </si>
  <si>
    <t>ARUnion</t>
  </si>
  <si>
    <t>Van Buren</t>
  </si>
  <si>
    <t>ARVan Buren</t>
  </si>
  <si>
    <t>ARWashington</t>
  </si>
  <si>
    <t>ARWhite</t>
  </si>
  <si>
    <t>Woodruff</t>
  </si>
  <si>
    <t>ARWoodruff</t>
  </si>
  <si>
    <t>Yell</t>
  </si>
  <si>
    <t>ARYell</t>
  </si>
  <si>
    <t>Apache</t>
  </si>
  <si>
    <t>AZApache</t>
  </si>
  <si>
    <t>Cochise</t>
  </si>
  <si>
    <t>AZCochise</t>
  </si>
  <si>
    <t>Coconino</t>
  </si>
  <si>
    <t>AZCoconino</t>
  </si>
  <si>
    <t>Gila</t>
  </si>
  <si>
    <t>AZGila</t>
  </si>
  <si>
    <t>AZGraham</t>
  </si>
  <si>
    <t>Greenlee</t>
  </si>
  <si>
    <t>AZGreenlee</t>
  </si>
  <si>
    <t>La Paz</t>
  </si>
  <si>
    <t>AZLa Paz</t>
  </si>
  <si>
    <t>Maricopa</t>
  </si>
  <si>
    <t>AZMaricopa</t>
  </si>
  <si>
    <t>Mohave</t>
  </si>
  <si>
    <t>AZMohave</t>
  </si>
  <si>
    <t>Navajo</t>
  </si>
  <si>
    <t>AZNavajo</t>
  </si>
  <si>
    <t>Pima</t>
  </si>
  <si>
    <t>AZPima</t>
  </si>
  <si>
    <t>Pinal</t>
  </si>
  <si>
    <t>AZPinal</t>
  </si>
  <si>
    <t>Santa Cruz</t>
  </si>
  <si>
    <t>AZSanta Cruz</t>
  </si>
  <si>
    <t>Yavapai</t>
  </si>
  <si>
    <t>AZYavapai</t>
  </si>
  <si>
    <t>Yuma</t>
  </si>
  <si>
    <t>AZYuma</t>
  </si>
  <si>
    <t>Alameda</t>
  </si>
  <si>
    <t>CAAlameda</t>
  </si>
  <si>
    <t>Alpine</t>
  </si>
  <si>
    <t>CAAlpine</t>
  </si>
  <si>
    <t>Amador</t>
  </si>
  <si>
    <t>CAAmador</t>
  </si>
  <si>
    <t>Butte</t>
  </si>
  <si>
    <t>CAButte</t>
  </si>
  <si>
    <t>Calaveras</t>
  </si>
  <si>
    <t>CACalaveras</t>
  </si>
  <si>
    <t>Colusa</t>
  </si>
  <si>
    <t>CAColusa</t>
  </si>
  <si>
    <t>Contra Costa</t>
  </si>
  <si>
    <t>CAContra Costa</t>
  </si>
  <si>
    <t>Del Norte</t>
  </si>
  <si>
    <t>CADel Norte</t>
  </si>
  <si>
    <t>El Dorado</t>
  </si>
  <si>
    <t>CAEl Dorado</t>
  </si>
  <si>
    <t>Fresno</t>
  </si>
  <si>
    <t>CAFresno</t>
  </si>
  <si>
    <t>Glenn</t>
  </si>
  <si>
    <t>CAGlenn</t>
  </si>
  <si>
    <t>Humboldt</t>
  </si>
  <si>
    <t>CAHumboldt</t>
  </si>
  <si>
    <t>Imperial</t>
  </si>
  <si>
    <t>CAImperial</t>
  </si>
  <si>
    <t>Inyo</t>
  </si>
  <si>
    <t>CAInyo</t>
  </si>
  <si>
    <t>Kern</t>
  </si>
  <si>
    <t>CAKern</t>
  </si>
  <si>
    <t>Kings</t>
  </si>
  <si>
    <t>CAKings</t>
  </si>
  <si>
    <t>CALake</t>
  </si>
  <si>
    <t>Lassen</t>
  </si>
  <si>
    <t>CALassen</t>
  </si>
  <si>
    <t>Los Angeles</t>
  </si>
  <si>
    <t>CALos Angeles</t>
  </si>
  <si>
    <t>Madera</t>
  </si>
  <si>
    <t>CAMadera</t>
  </si>
  <si>
    <t>Marin</t>
  </si>
  <si>
    <t>CAMarin</t>
  </si>
  <si>
    <t>Mariposa</t>
  </si>
  <si>
    <t>CAMariposa</t>
  </si>
  <si>
    <t>Mendocino</t>
  </si>
  <si>
    <t>CAMendocino</t>
  </si>
  <si>
    <t>Merced</t>
  </si>
  <si>
    <t>CAMerced</t>
  </si>
  <si>
    <t>Modoc</t>
  </si>
  <si>
    <t>CAModoc</t>
  </si>
  <si>
    <t>Mono</t>
  </si>
  <si>
    <t>CAMono</t>
  </si>
  <si>
    <t>Monterey</t>
  </si>
  <si>
    <t>CAMonterey</t>
  </si>
  <si>
    <t>Napa</t>
  </si>
  <si>
    <t>CANapa</t>
  </si>
  <si>
    <t>CANevada</t>
  </si>
  <si>
    <t>Orange</t>
  </si>
  <si>
    <t>CAOrange</t>
  </si>
  <si>
    <t>Placer</t>
  </si>
  <si>
    <t>CAPlacer</t>
  </si>
  <si>
    <t>Plumas</t>
  </si>
  <si>
    <t>CAPlumas</t>
  </si>
  <si>
    <t>Riverside</t>
  </si>
  <si>
    <t>CARiverside</t>
  </si>
  <si>
    <t>Sacramento</t>
  </si>
  <si>
    <t>CASacramento</t>
  </si>
  <si>
    <t>San Benito</t>
  </si>
  <si>
    <t>CASan Benito</t>
  </si>
  <si>
    <t>San Bernardino</t>
  </si>
  <si>
    <t>CASan Bernardino</t>
  </si>
  <si>
    <t>San Diego</t>
  </si>
  <si>
    <t>CASan Diego</t>
  </si>
  <si>
    <t>San Francisco</t>
  </si>
  <si>
    <t>CASan Francisco</t>
  </si>
  <si>
    <t>San Joaquin</t>
  </si>
  <si>
    <t>CASan Joaquin</t>
  </si>
  <si>
    <t>San Luis Obispo</t>
  </si>
  <si>
    <t>CASan Luis Obispo</t>
  </si>
  <si>
    <t>San Mateo</t>
  </si>
  <si>
    <t>CASan Mateo</t>
  </si>
  <si>
    <t>Santa Barbara</t>
  </si>
  <si>
    <t>CASanta Barbara</t>
  </si>
  <si>
    <t>Santa Clara</t>
  </si>
  <si>
    <t>CASanta Clara</t>
  </si>
  <si>
    <t>CASanta Cruz</t>
  </si>
  <si>
    <t>Shasta</t>
  </si>
  <si>
    <t>CAShasta</t>
  </si>
  <si>
    <t>Sierra</t>
  </si>
  <si>
    <t>CASierra</t>
  </si>
  <si>
    <t>Siskiyou</t>
  </si>
  <si>
    <t>CASiskiyou</t>
  </si>
  <si>
    <t>Solano</t>
  </si>
  <si>
    <t>CASolano</t>
  </si>
  <si>
    <t>Sonoma</t>
  </si>
  <si>
    <t>CASonoma</t>
  </si>
  <si>
    <t>Stanislaus</t>
  </si>
  <si>
    <t>CAStanislaus</t>
  </si>
  <si>
    <t>Sutter</t>
  </si>
  <si>
    <t>CASutter</t>
  </si>
  <si>
    <t>Tehama</t>
  </si>
  <si>
    <t>CATehama</t>
  </si>
  <si>
    <t>Trinity</t>
  </si>
  <si>
    <t>CATrinity</t>
  </si>
  <si>
    <t>Tulare</t>
  </si>
  <si>
    <t>CATulare</t>
  </si>
  <si>
    <t>Tuolumne</t>
  </si>
  <si>
    <t>CATuolumne</t>
  </si>
  <si>
    <t>Ventura</t>
  </si>
  <si>
    <t>CAVentura</t>
  </si>
  <si>
    <t>Yolo</t>
  </si>
  <si>
    <t>CAYolo</t>
  </si>
  <si>
    <t>Yuba</t>
  </si>
  <si>
    <t>CAYuba</t>
  </si>
  <si>
    <t>COAdams</t>
  </si>
  <si>
    <t>Alamosa</t>
  </si>
  <si>
    <t>COAlamosa</t>
  </si>
  <si>
    <t>Arapahoe</t>
  </si>
  <si>
    <t>COArapahoe</t>
  </si>
  <si>
    <t>Archuleta</t>
  </si>
  <si>
    <t>COArchuleta</t>
  </si>
  <si>
    <t>Baca</t>
  </si>
  <si>
    <t>COBaca</t>
  </si>
  <si>
    <t>Bent</t>
  </si>
  <si>
    <t>COBent</t>
  </si>
  <si>
    <t>Boulder</t>
  </si>
  <si>
    <t>COBoulder</t>
  </si>
  <si>
    <t>Broomfield</t>
  </si>
  <si>
    <t>COBroomfield</t>
  </si>
  <si>
    <t>Chaffee</t>
  </si>
  <si>
    <t>COChaffee</t>
  </si>
  <si>
    <t>Cheyenne</t>
  </si>
  <si>
    <t>COCheyenne</t>
  </si>
  <si>
    <t>Clear Creek</t>
  </si>
  <si>
    <t>COClear Creek</t>
  </si>
  <si>
    <t>Conejos</t>
  </si>
  <si>
    <t>COConejos</t>
  </si>
  <si>
    <t>Costilla</t>
  </si>
  <si>
    <t>COCostilla</t>
  </si>
  <si>
    <t>Crowley</t>
  </si>
  <si>
    <t>COCrowley</t>
  </si>
  <si>
    <t>Custer</t>
  </si>
  <si>
    <t>COCuster</t>
  </si>
  <si>
    <t>Delta</t>
  </si>
  <si>
    <t>CODelta</t>
  </si>
  <si>
    <t>Denver</t>
  </si>
  <si>
    <t>CODenver</t>
  </si>
  <si>
    <t>Dolores</t>
  </si>
  <si>
    <t>CODolores</t>
  </si>
  <si>
    <t>CODouglas</t>
  </si>
  <si>
    <t>COEagle</t>
  </si>
  <si>
    <t>El Paso</t>
  </si>
  <si>
    <t>COEl Paso</t>
  </si>
  <si>
    <t>Elbert</t>
  </si>
  <si>
    <t>COElbert</t>
  </si>
  <si>
    <t>Fremont</t>
  </si>
  <si>
    <t>COFremont</t>
  </si>
  <si>
    <t>Garfield</t>
  </si>
  <si>
    <t>COGarfield</t>
  </si>
  <si>
    <t>Gilpin</t>
  </si>
  <si>
    <t>COGilpin</t>
  </si>
  <si>
    <t>Grand</t>
  </si>
  <si>
    <t>COGrand</t>
  </si>
  <si>
    <t>Gunnison</t>
  </si>
  <si>
    <t>COGunnison</t>
  </si>
  <si>
    <t>Hinsdale</t>
  </si>
  <si>
    <t>COHinsdale</t>
  </si>
  <si>
    <t>Huerfano</t>
  </si>
  <si>
    <t>COHuerfano</t>
  </si>
  <si>
    <t>COJackson</t>
  </si>
  <si>
    <t>COJefferson</t>
  </si>
  <si>
    <t>Kiowa</t>
  </si>
  <si>
    <t>COKiowa</t>
  </si>
  <si>
    <t>Kit Carson</t>
  </si>
  <si>
    <t>COKit Carson</t>
  </si>
  <si>
    <t>La Plata</t>
  </si>
  <si>
    <t>COLa Plata</t>
  </si>
  <si>
    <t>COLake</t>
  </si>
  <si>
    <t>Larimer</t>
  </si>
  <si>
    <t>COLarimer</t>
  </si>
  <si>
    <t>Las Animas</t>
  </si>
  <si>
    <t>COLas Animas</t>
  </si>
  <si>
    <t>COLincoln</t>
  </si>
  <si>
    <t>COLogan</t>
  </si>
  <si>
    <t>Mesa</t>
  </si>
  <si>
    <t>COMesa</t>
  </si>
  <si>
    <t>Mineral</t>
  </si>
  <si>
    <t>COMineral</t>
  </si>
  <si>
    <t>Moffat</t>
  </si>
  <si>
    <t>COMoffat</t>
  </si>
  <si>
    <t>Montezuma</t>
  </si>
  <si>
    <t>COMontezuma</t>
  </si>
  <si>
    <t>Montrose</t>
  </si>
  <si>
    <t>COMontrose</t>
  </si>
  <si>
    <t>COMorgan</t>
  </si>
  <si>
    <t>Otero</t>
  </si>
  <si>
    <t>COOtero</t>
  </si>
  <si>
    <t>Ouray</t>
  </si>
  <si>
    <t>COOuray</t>
  </si>
  <si>
    <t>Park</t>
  </si>
  <si>
    <t>COPark</t>
  </si>
  <si>
    <t>COPhillips</t>
  </si>
  <si>
    <t>Pitkin</t>
  </si>
  <si>
    <t>COPitkin</t>
  </si>
  <si>
    <t>Prowers</t>
  </si>
  <si>
    <t>COProwers</t>
  </si>
  <si>
    <t>Pueblo</t>
  </si>
  <si>
    <t>COPueblo</t>
  </si>
  <si>
    <t>Rio Blanco</t>
  </si>
  <si>
    <t>CORio Blanco</t>
  </si>
  <si>
    <t>Rio Grande</t>
  </si>
  <si>
    <t>CORio Grande</t>
  </si>
  <si>
    <t>Routt</t>
  </si>
  <si>
    <t>CORoutt</t>
  </si>
  <si>
    <t>Saguache</t>
  </si>
  <si>
    <t>COSaguache</t>
  </si>
  <si>
    <t>San Juan</t>
  </si>
  <si>
    <t>COSan Juan</t>
  </si>
  <si>
    <t>San Miguel</t>
  </si>
  <si>
    <t>COSan Miguel</t>
  </si>
  <si>
    <t>Sedgwick</t>
  </si>
  <si>
    <t>COSedgwick</t>
  </si>
  <si>
    <t>Summit</t>
  </si>
  <si>
    <t>COSummit</t>
  </si>
  <si>
    <t>Teller</t>
  </si>
  <si>
    <t>COTeller</t>
  </si>
  <si>
    <t>COWashington</t>
  </si>
  <si>
    <t>Weld</t>
  </si>
  <si>
    <t>COWeld</t>
  </si>
  <si>
    <t>COYuma</t>
  </si>
  <si>
    <t>Capitol</t>
  </si>
  <si>
    <t>CTCapitol</t>
  </si>
  <si>
    <t>Greater Bridgeport</t>
  </si>
  <si>
    <t>CTGreater Bridgeport</t>
  </si>
  <si>
    <t>Lower Connecticut River Valley</t>
  </si>
  <si>
    <t>CTLower Connecticut River Valley</t>
  </si>
  <si>
    <t>Naugatuck Valley</t>
  </si>
  <si>
    <t>CTNaugatuck Valley</t>
  </si>
  <si>
    <t>Northeastern Connecticut</t>
  </si>
  <si>
    <t>CTNortheastern Connecticut</t>
  </si>
  <si>
    <t>Northwest Hills</t>
  </si>
  <si>
    <t>CTNorthwest Hills</t>
  </si>
  <si>
    <t>South Central Connecticut</t>
  </si>
  <si>
    <t>CTSouth Central Connecticut</t>
  </si>
  <si>
    <t>Southeastern Connecticut</t>
  </si>
  <si>
    <t>CTSoutheastern Connecticut</t>
  </si>
  <si>
    <t>Western Connecticut</t>
  </si>
  <si>
    <t>CTWestern Connecticut</t>
  </si>
  <si>
    <t>District of Columbia</t>
  </si>
  <si>
    <t>DCDistrict of Columbia</t>
  </si>
  <si>
    <t>DEKent</t>
  </si>
  <si>
    <t>New Castle</t>
  </si>
  <si>
    <t>DENew Castle</t>
  </si>
  <si>
    <t>Sussex</t>
  </si>
  <si>
    <t>DESussex</t>
  </si>
  <si>
    <t>Alachua</t>
  </si>
  <si>
    <t>FLAlachua</t>
  </si>
  <si>
    <t>FLBaker</t>
  </si>
  <si>
    <t>Bay</t>
  </si>
  <si>
    <t>FLBay</t>
  </si>
  <si>
    <t>Bradford</t>
  </si>
  <si>
    <t>FLBradford</t>
  </si>
  <si>
    <t>Brevard</t>
  </si>
  <si>
    <t>FLBrevard</t>
  </si>
  <si>
    <t>Broward</t>
  </si>
  <si>
    <t>FLBroward</t>
  </si>
  <si>
    <t>FLCalhoun</t>
  </si>
  <si>
    <t>FLCharlotte</t>
  </si>
  <si>
    <t>Citrus</t>
  </si>
  <si>
    <t>FLCitrus</t>
  </si>
  <si>
    <t>FLClay</t>
  </si>
  <si>
    <t>Collier</t>
  </si>
  <si>
    <t>FLCollier</t>
  </si>
  <si>
    <t>FLColumbia</t>
  </si>
  <si>
    <t>DeSoto</t>
  </si>
  <si>
    <t>FLDeSoto</t>
  </si>
  <si>
    <t>Dixie</t>
  </si>
  <si>
    <t>FLDixie</t>
  </si>
  <si>
    <t>Duval</t>
  </si>
  <si>
    <t>FLDuval</t>
  </si>
  <si>
    <t>FLEscambia</t>
  </si>
  <si>
    <t>Flagler</t>
  </si>
  <si>
    <t>FLFlagler</t>
  </si>
  <si>
    <t>FLFranklin</t>
  </si>
  <si>
    <t>Gadsden</t>
  </si>
  <si>
    <t>FLGadsden</t>
  </si>
  <si>
    <t>Gilchrist</t>
  </si>
  <si>
    <t>FLGilchrist</t>
  </si>
  <si>
    <t>Glades</t>
  </si>
  <si>
    <t>FLGlades</t>
  </si>
  <si>
    <t>Gulf</t>
  </si>
  <si>
    <t>FLGulf</t>
  </si>
  <si>
    <t>Hamilton</t>
  </si>
  <si>
    <t>FLHamilton</t>
  </si>
  <si>
    <t>Hardee</t>
  </si>
  <si>
    <t>FLHardee</t>
  </si>
  <si>
    <t>Hendry</t>
  </si>
  <si>
    <t>FLHendry</t>
  </si>
  <si>
    <t>Hernando</t>
  </si>
  <si>
    <t>FLHernando</t>
  </si>
  <si>
    <t>Highlands</t>
  </si>
  <si>
    <t>FLHighlands</t>
  </si>
  <si>
    <t>Hillsborough</t>
  </si>
  <si>
    <t>FLHillsborough</t>
  </si>
  <si>
    <t>FLHolmes</t>
  </si>
  <si>
    <t>Indian River</t>
  </si>
  <si>
    <t>FLIndian River</t>
  </si>
  <si>
    <t>FLJackson</t>
  </si>
  <si>
    <t>FLJefferson</t>
  </si>
  <si>
    <t>FLLafayette</t>
  </si>
  <si>
    <t>FLLake</t>
  </si>
  <si>
    <t>FLLee</t>
  </si>
  <si>
    <t>Leon</t>
  </si>
  <si>
    <t>FLLeon</t>
  </si>
  <si>
    <t>Levy</t>
  </si>
  <si>
    <t>FLLevy</t>
  </si>
  <si>
    <t>FLLiberty</t>
  </si>
  <si>
    <t>FLMadison</t>
  </si>
  <si>
    <t>Manatee</t>
  </si>
  <si>
    <t>FLManatee</t>
  </si>
  <si>
    <t>FLMarion</t>
  </si>
  <si>
    <t>FLMartin</t>
  </si>
  <si>
    <t>Miami-Dade</t>
  </si>
  <si>
    <t>FLMiami-Dade</t>
  </si>
  <si>
    <t>FLMonroe</t>
  </si>
  <si>
    <t>Nassau</t>
  </si>
  <si>
    <t>FLNassau</t>
  </si>
  <si>
    <t>Okaloosa</t>
  </si>
  <si>
    <t>FLOkaloosa</t>
  </si>
  <si>
    <t>Okeechobee</t>
  </si>
  <si>
    <t>FLOkeechobee</t>
  </si>
  <si>
    <t>FLOrange</t>
  </si>
  <si>
    <t>Osceola</t>
  </si>
  <si>
    <t>FLOsceola</t>
  </si>
  <si>
    <t>Palm Beach</t>
  </si>
  <si>
    <t>FLPalm Beach</t>
  </si>
  <si>
    <t>Pasco</t>
  </si>
  <si>
    <t>FLPasco</t>
  </si>
  <si>
    <t>Pinellas</t>
  </si>
  <si>
    <t>FLPinellas</t>
  </si>
  <si>
    <t>FLPolk</t>
  </si>
  <si>
    <t>Putnam</t>
  </si>
  <si>
    <t>FLPutnam</t>
  </si>
  <si>
    <t>Santa Rosa</t>
  </si>
  <si>
    <t>FLSanta Rosa</t>
  </si>
  <si>
    <t>Sarasota</t>
  </si>
  <si>
    <t>FLSarasota</t>
  </si>
  <si>
    <t>Seminole</t>
  </si>
  <si>
    <t>FLSeminole</t>
  </si>
  <si>
    <t>FLSt. Johns</t>
  </si>
  <si>
    <t>St. Lucie</t>
  </si>
  <si>
    <t>FLSt. Lucie</t>
  </si>
  <si>
    <t>FLSumter</t>
  </si>
  <si>
    <t>Suwannee</t>
  </si>
  <si>
    <t>FLSuwannee</t>
  </si>
  <si>
    <t>FLTaylor</t>
  </si>
  <si>
    <t>FLUnion</t>
  </si>
  <si>
    <t>Volusia</t>
  </si>
  <si>
    <t>FLVolusia</t>
  </si>
  <si>
    <t>Wakulla</t>
  </si>
  <si>
    <t>FLWakulla</t>
  </si>
  <si>
    <t>FLWalton</t>
  </si>
  <si>
    <t>FLWashington</t>
  </si>
  <si>
    <t>Appling</t>
  </si>
  <si>
    <t>GAAppling</t>
  </si>
  <si>
    <t>GAAtkinson</t>
  </si>
  <si>
    <t>Bacon</t>
  </si>
  <si>
    <t>GABacon</t>
  </si>
  <si>
    <t>GABaker</t>
  </si>
  <si>
    <t>GABaldwin</t>
  </si>
  <si>
    <t>Banks</t>
  </si>
  <si>
    <t>GABanks</t>
  </si>
  <si>
    <t>Barrow</t>
  </si>
  <si>
    <t>GABarrow</t>
  </si>
  <si>
    <t>Bartow</t>
  </si>
  <si>
    <t>GABartow</t>
  </si>
  <si>
    <t>Ben Hill</t>
  </si>
  <si>
    <t>GABen Hill</t>
  </si>
  <si>
    <t>Berrien</t>
  </si>
  <si>
    <t>GABerrien</t>
  </si>
  <si>
    <t>GABibb</t>
  </si>
  <si>
    <t>Bleckley</t>
  </si>
  <si>
    <t>GABleckley</t>
  </si>
  <si>
    <t>Brantley</t>
  </si>
  <si>
    <t>GABrantley</t>
  </si>
  <si>
    <t>Brooks</t>
  </si>
  <si>
    <t>GABrooks</t>
  </si>
  <si>
    <t>GABryan</t>
  </si>
  <si>
    <t>Bulloch</t>
  </si>
  <si>
    <t>GABulloch</t>
  </si>
  <si>
    <t>Burke</t>
  </si>
  <si>
    <t>GABurke</t>
  </si>
  <si>
    <t>Butts</t>
  </si>
  <si>
    <t>GAButts</t>
  </si>
  <si>
    <t>GACalhoun</t>
  </si>
  <si>
    <t>GACamden</t>
  </si>
  <si>
    <t>Candler</t>
  </si>
  <si>
    <t>GACandler</t>
  </si>
  <si>
    <t>GACarroll</t>
  </si>
  <si>
    <t>Catoosa</t>
  </si>
  <si>
    <t>GACatoosa</t>
  </si>
  <si>
    <t>Charlton</t>
  </si>
  <si>
    <t>GACharlton</t>
  </si>
  <si>
    <t>Chatham</t>
  </si>
  <si>
    <t>GAChatham</t>
  </si>
  <si>
    <t>Chattahoochee</t>
  </si>
  <si>
    <t>GAChattahoochee</t>
  </si>
  <si>
    <t>Chattooga</t>
  </si>
  <si>
    <t>GAChattooga</t>
  </si>
  <si>
    <t>GACherokee</t>
  </si>
  <si>
    <t>GAClarke</t>
  </si>
  <si>
    <t>GAClay</t>
  </si>
  <si>
    <t>GAClayton</t>
  </si>
  <si>
    <t>Clinch</t>
  </si>
  <si>
    <t>GAClinch</t>
  </si>
  <si>
    <t>Cobb</t>
  </si>
  <si>
    <t>GACobb</t>
  </si>
  <si>
    <t>GACoffee</t>
  </si>
  <si>
    <t>Colquitt</t>
  </si>
  <si>
    <t>GAColquitt</t>
  </si>
  <si>
    <t>GAColumbia</t>
  </si>
  <si>
    <t>GACook</t>
  </si>
  <si>
    <t>Coweta</t>
  </si>
  <si>
    <t>GACoweta</t>
  </si>
  <si>
    <t>GACrawford</t>
  </si>
  <si>
    <t>Crisp</t>
  </si>
  <si>
    <t>GACrisp</t>
  </si>
  <si>
    <t>Dade</t>
  </si>
  <si>
    <t>GADade</t>
  </si>
  <si>
    <t>Dawson</t>
  </si>
  <si>
    <t>GADawson</t>
  </si>
  <si>
    <t>GADeKalb</t>
  </si>
  <si>
    <t>Decatur</t>
  </si>
  <si>
    <t>GADecatur</t>
  </si>
  <si>
    <t>Dodge</t>
  </si>
  <si>
    <t>GADodge</t>
  </si>
  <si>
    <t>Dooly</t>
  </si>
  <si>
    <t>GADooly</t>
  </si>
  <si>
    <t>Dougherty</t>
  </si>
  <si>
    <t>GADougherty</t>
  </si>
  <si>
    <t>GADouglas</t>
  </si>
  <si>
    <t>Early</t>
  </si>
  <si>
    <t>GAEarly</t>
  </si>
  <si>
    <t>Echols</t>
  </si>
  <si>
    <t>GAEchols</t>
  </si>
  <si>
    <t>Effingham</t>
  </si>
  <si>
    <t>GAEffingham</t>
  </si>
  <si>
    <t>GAElbert</t>
  </si>
  <si>
    <t>GAEmanuel</t>
  </si>
  <si>
    <t>GAEvans</t>
  </si>
  <si>
    <t>Fannin</t>
  </si>
  <si>
    <t>GAFannin</t>
  </si>
  <si>
    <t>GAFayette</t>
  </si>
  <si>
    <t>GAFloyd</t>
  </si>
  <si>
    <t>Forsyth</t>
  </si>
  <si>
    <t>GAForsyth</t>
  </si>
  <si>
    <t>GAFranklin</t>
  </si>
  <si>
    <t>GAFulton</t>
  </si>
  <si>
    <t>Gilmer</t>
  </si>
  <si>
    <t>GAGilmer</t>
  </si>
  <si>
    <t>Glascock</t>
  </si>
  <si>
    <t>GAGlascock</t>
  </si>
  <si>
    <t>Glynn</t>
  </si>
  <si>
    <t>GAGlynn</t>
  </si>
  <si>
    <t>GAGordon</t>
  </si>
  <si>
    <t>Grady</t>
  </si>
  <si>
    <t>GAGrady</t>
  </si>
  <si>
    <t>GAGreene</t>
  </si>
  <si>
    <t>Gwinnett</t>
  </si>
  <si>
    <t>GAGwinnett</t>
  </si>
  <si>
    <t>Habersham</t>
  </si>
  <si>
    <t>GAHabersham</t>
  </si>
  <si>
    <t>GAHall</t>
  </si>
  <si>
    <t>GAHancock</t>
  </si>
  <si>
    <t>Haralson</t>
  </si>
  <si>
    <t>GAHaralson</t>
  </si>
  <si>
    <t>GAHarris</t>
  </si>
  <si>
    <t>GAHart</t>
  </si>
  <si>
    <t>Heard</t>
  </si>
  <si>
    <t>GAHeard</t>
  </si>
  <si>
    <t>GAHenry</t>
  </si>
  <si>
    <t>GAHouston</t>
  </si>
  <si>
    <t>Irwin</t>
  </si>
  <si>
    <t>GAIrwin</t>
  </si>
  <si>
    <t>GAJackson</t>
  </si>
  <si>
    <t>GAJasper</t>
  </si>
  <si>
    <t>Jeff Davis</t>
  </si>
  <si>
    <t>GAJeff Davis</t>
  </si>
  <si>
    <t>GAJefferson</t>
  </si>
  <si>
    <t>GAJenkins</t>
  </si>
  <si>
    <t>GAJohnson</t>
  </si>
  <si>
    <t>GAJones</t>
  </si>
  <si>
    <t>GALamar</t>
  </si>
  <si>
    <t>Lanier</t>
  </si>
  <si>
    <t>GALanier</t>
  </si>
  <si>
    <t>Laurens</t>
  </si>
  <si>
    <t>GALaurens</t>
  </si>
  <si>
    <t>GALee</t>
  </si>
  <si>
    <t>GALiberty</t>
  </si>
  <si>
    <t>GALincoln</t>
  </si>
  <si>
    <t>Long</t>
  </si>
  <si>
    <t>GALong</t>
  </si>
  <si>
    <t>GALowndes</t>
  </si>
  <si>
    <t>Lumpkin</t>
  </si>
  <si>
    <t>GALumpkin</t>
  </si>
  <si>
    <t>GAMacon</t>
  </si>
  <si>
    <t>GAMadison</t>
  </si>
  <si>
    <t>GAMarion</t>
  </si>
  <si>
    <t>McDuffie</t>
  </si>
  <si>
    <t>GAMcDuffie</t>
  </si>
  <si>
    <t>McIntosh</t>
  </si>
  <si>
    <t>GAMcIntosh</t>
  </si>
  <si>
    <t>Meriwether</t>
  </si>
  <si>
    <t>GAMeriwether</t>
  </si>
  <si>
    <t>GAMiller</t>
  </si>
  <si>
    <t>GAMitchell</t>
  </si>
  <si>
    <t>GAMonroe</t>
  </si>
  <si>
    <t>GAMontgomery</t>
  </si>
  <si>
    <t>GAMorgan</t>
  </si>
  <si>
    <t>GAMurray</t>
  </si>
  <si>
    <t>Muscogee</t>
  </si>
  <si>
    <t>GAMuscogee</t>
  </si>
  <si>
    <t>GANewton</t>
  </si>
  <si>
    <t>Oconee</t>
  </si>
  <si>
    <t>GAOconee</t>
  </si>
  <si>
    <t>Oglethorpe</t>
  </si>
  <si>
    <t>GAOglethorpe</t>
  </si>
  <si>
    <t>Paulding</t>
  </si>
  <si>
    <t>GAPaulding</t>
  </si>
  <si>
    <t>Peach</t>
  </si>
  <si>
    <t>GAPeach</t>
  </si>
  <si>
    <t>GAPickens</t>
  </si>
  <si>
    <t>Pierce</t>
  </si>
  <si>
    <t>GAPierce</t>
  </si>
  <si>
    <t>GAPike</t>
  </si>
  <si>
    <t>GAPolk</t>
  </si>
  <si>
    <t>GAPulaski</t>
  </si>
  <si>
    <t>GAPutnam</t>
  </si>
  <si>
    <t>Quitman</t>
  </si>
  <si>
    <t>GAQuitman</t>
  </si>
  <si>
    <t>Rabun</t>
  </si>
  <si>
    <t>GARabun</t>
  </si>
  <si>
    <t>GARandolph</t>
  </si>
  <si>
    <t>GARichmond</t>
  </si>
  <si>
    <t>Rockdale</t>
  </si>
  <si>
    <t>GARockdale</t>
  </si>
  <si>
    <t>Schley</t>
  </si>
  <si>
    <t>GASchley</t>
  </si>
  <si>
    <t>Screven</t>
  </si>
  <si>
    <t>GAScreven</t>
  </si>
  <si>
    <t>GASeminole</t>
  </si>
  <si>
    <t>Spalding</t>
  </si>
  <si>
    <t>GASpalding</t>
  </si>
  <si>
    <t>GAStephens</t>
  </si>
  <si>
    <t>GAStewart</t>
  </si>
  <si>
    <t>GASumter</t>
  </si>
  <si>
    <t>GATalbot</t>
  </si>
  <si>
    <t>Taliaferro</t>
  </si>
  <si>
    <t>GATaliaferro</t>
  </si>
  <si>
    <t>Tattnall</t>
  </si>
  <si>
    <t>GATattnall</t>
  </si>
  <si>
    <t>GATaylor</t>
  </si>
  <si>
    <t>Telfair</t>
  </si>
  <si>
    <t>GATelfair</t>
  </si>
  <si>
    <t>GATerrell</t>
  </si>
  <si>
    <t>GAThomas</t>
  </si>
  <si>
    <t>Tift</t>
  </si>
  <si>
    <t>GATift</t>
  </si>
  <si>
    <t>Toombs</t>
  </si>
  <si>
    <t>GAToombs</t>
  </si>
  <si>
    <t>Towns</t>
  </si>
  <si>
    <t>GATowns</t>
  </si>
  <si>
    <t>Treutlen</t>
  </si>
  <si>
    <t>GATreutlen</t>
  </si>
  <si>
    <t>Troup</t>
  </si>
  <si>
    <t>GATroup</t>
  </si>
  <si>
    <t>GATurner</t>
  </si>
  <si>
    <t>Twiggs</t>
  </si>
  <si>
    <t>GATwiggs</t>
  </si>
  <si>
    <t>GAUnion</t>
  </si>
  <si>
    <t>Upson</t>
  </si>
  <si>
    <t>GAUpson</t>
  </si>
  <si>
    <t>GAWalker</t>
  </si>
  <si>
    <t>GAWalton</t>
  </si>
  <si>
    <t>Ware</t>
  </si>
  <si>
    <t>GAWare</t>
  </si>
  <si>
    <t>GAWarren</t>
  </si>
  <si>
    <t>GAWashington</t>
  </si>
  <si>
    <t>Wayne</t>
  </si>
  <si>
    <t>GAWayne</t>
  </si>
  <si>
    <t>Webster</t>
  </si>
  <si>
    <t>GAWebster</t>
  </si>
  <si>
    <t>GAWheeler</t>
  </si>
  <si>
    <t>GAWhite</t>
  </si>
  <si>
    <t>Whitfield</t>
  </si>
  <si>
    <t>GAWhitfield</t>
  </si>
  <si>
    <t>GAWilcox</t>
  </si>
  <si>
    <t>Wilkes</t>
  </si>
  <si>
    <t>GAWilkes</t>
  </si>
  <si>
    <t>GAWilkinson</t>
  </si>
  <si>
    <t>Worth</t>
  </si>
  <si>
    <t>GAWorth</t>
  </si>
  <si>
    <t>Hawaii</t>
  </si>
  <si>
    <t>HIHawaii</t>
  </si>
  <si>
    <t>Honolulu</t>
  </si>
  <si>
    <t>HIHonolulu</t>
  </si>
  <si>
    <t>Kalawao</t>
  </si>
  <si>
    <t>HIKalawao</t>
  </si>
  <si>
    <t>Kauai</t>
  </si>
  <si>
    <t>HIKauai</t>
  </si>
  <si>
    <t>Maui</t>
  </si>
  <si>
    <t>HIMaui</t>
  </si>
  <si>
    <t>Adair</t>
  </si>
  <si>
    <t>IAAdair</t>
  </si>
  <si>
    <t>IAAdams</t>
  </si>
  <si>
    <t>Allamakee</t>
  </si>
  <si>
    <t>IAAllamakee</t>
  </si>
  <si>
    <t>Appanoose</t>
  </si>
  <si>
    <t>IAAppanoose</t>
  </si>
  <si>
    <t>Audubon</t>
  </si>
  <si>
    <t>IAAudubon</t>
  </si>
  <si>
    <t>IABenton</t>
  </si>
  <si>
    <t>Black Hawk</t>
  </si>
  <si>
    <t>IABlack Hawk</t>
  </si>
  <si>
    <t>IABoone</t>
  </si>
  <si>
    <t>Bremer</t>
  </si>
  <si>
    <t>IABremer</t>
  </si>
  <si>
    <t>Buchanan</t>
  </si>
  <si>
    <t>IABuchanan</t>
  </si>
  <si>
    <t>Buena Vista</t>
  </si>
  <si>
    <t>IABuena Vista</t>
  </si>
  <si>
    <t>IAButler</t>
  </si>
  <si>
    <t>IACalhoun</t>
  </si>
  <si>
    <t>IACarroll</t>
  </si>
  <si>
    <t>Cass</t>
  </si>
  <si>
    <t>IACass</t>
  </si>
  <si>
    <t>Cedar</t>
  </si>
  <si>
    <t>IACedar</t>
  </si>
  <si>
    <t>Cerro Gordo</t>
  </si>
  <si>
    <t>IACerro Gordo</t>
  </si>
  <si>
    <t>IACherokee</t>
  </si>
  <si>
    <t>Chickasaw</t>
  </si>
  <si>
    <t>IAChickasaw</t>
  </si>
  <si>
    <t>IAClarke</t>
  </si>
  <si>
    <t>IAClay</t>
  </si>
  <si>
    <t>IAClayton</t>
  </si>
  <si>
    <t>IAClinton</t>
  </si>
  <si>
    <t>IACrawford</t>
  </si>
  <si>
    <t>IADallas</t>
  </si>
  <si>
    <t>IADavis</t>
  </si>
  <si>
    <t>IADecatur</t>
  </si>
  <si>
    <t>IADelaware</t>
  </si>
  <si>
    <t>Des Moines</t>
  </si>
  <si>
    <t>IADes Moines</t>
  </si>
  <si>
    <t>IADickinson</t>
  </si>
  <si>
    <t>Dubuque</t>
  </si>
  <si>
    <t>IADubuque</t>
  </si>
  <si>
    <t>Emmet</t>
  </si>
  <si>
    <t>IAEmmet</t>
  </si>
  <si>
    <t>IAFayette</t>
  </si>
  <si>
    <t>IAFloyd</t>
  </si>
  <si>
    <t>IAFranklin</t>
  </si>
  <si>
    <t>IAFremont</t>
  </si>
  <si>
    <t>IAGreene</t>
  </si>
  <si>
    <t>Grundy</t>
  </si>
  <si>
    <t>IAGrundy</t>
  </si>
  <si>
    <t>Guthrie</t>
  </si>
  <si>
    <t>IAGuthrie</t>
  </si>
  <si>
    <t>IAHamilton</t>
  </si>
  <si>
    <t>IAHancock</t>
  </si>
  <si>
    <t>Hardin</t>
  </si>
  <si>
    <t>IAHardin</t>
  </si>
  <si>
    <t>IAHarrison</t>
  </si>
  <si>
    <t>IAHenry</t>
  </si>
  <si>
    <t>IAHoward</t>
  </si>
  <si>
    <t>IAHumboldt</t>
  </si>
  <si>
    <t>Ida</t>
  </si>
  <si>
    <t>IAIda</t>
  </si>
  <si>
    <t>Iowa</t>
  </si>
  <si>
    <t>IAIowa</t>
  </si>
  <si>
    <t>IAJackson</t>
  </si>
  <si>
    <t>IAJasper</t>
  </si>
  <si>
    <t>IAJefferson</t>
  </si>
  <si>
    <t>IAJohnson</t>
  </si>
  <si>
    <t>IAJones</t>
  </si>
  <si>
    <t>Keokuk</t>
  </si>
  <si>
    <t>IAKeokuk</t>
  </si>
  <si>
    <t>Kossuth</t>
  </si>
  <si>
    <t>IAKossuth</t>
  </si>
  <si>
    <t>IALee</t>
  </si>
  <si>
    <t>Linn</t>
  </si>
  <si>
    <t>IALinn</t>
  </si>
  <si>
    <t>Louisa</t>
  </si>
  <si>
    <t>IALouisa</t>
  </si>
  <si>
    <t>IALucas</t>
  </si>
  <si>
    <t>IALyon</t>
  </si>
  <si>
    <t>IAMadison</t>
  </si>
  <si>
    <t>Mahaska</t>
  </si>
  <si>
    <t>IAMahaska</t>
  </si>
  <si>
    <t>IAMarion</t>
  </si>
  <si>
    <t>IAMarshall</t>
  </si>
  <si>
    <t>IAMills</t>
  </si>
  <si>
    <t>IAMitchell</t>
  </si>
  <si>
    <t>Monona</t>
  </si>
  <si>
    <t>IAMonona</t>
  </si>
  <si>
    <t>IAMonroe</t>
  </si>
  <si>
    <t>IAMontgomery</t>
  </si>
  <si>
    <t>Muscatine</t>
  </si>
  <si>
    <t>IAMuscatine</t>
  </si>
  <si>
    <t>O'Brien</t>
  </si>
  <si>
    <t>IAO'Brien</t>
  </si>
  <si>
    <t>IAOsceola</t>
  </si>
  <si>
    <t>IAPage</t>
  </si>
  <si>
    <t>Palo Alto</t>
  </si>
  <si>
    <t>IAPalo Alto</t>
  </si>
  <si>
    <t>Plymouth</t>
  </si>
  <si>
    <t>IAPlymouth</t>
  </si>
  <si>
    <t>Pocahontas</t>
  </si>
  <si>
    <t>IAPocahontas</t>
  </si>
  <si>
    <t>IAPolk</t>
  </si>
  <si>
    <t>Pottawattamie</t>
  </si>
  <si>
    <t>IAPottawattamie</t>
  </si>
  <si>
    <t>Poweshiek</t>
  </si>
  <si>
    <t>IAPoweshiek</t>
  </si>
  <si>
    <t>Ringgold</t>
  </si>
  <si>
    <t>IARinggold</t>
  </si>
  <si>
    <t>Sac</t>
  </si>
  <si>
    <t>IASac</t>
  </si>
  <si>
    <t>IAScott</t>
  </si>
  <si>
    <t>IAShelby</t>
  </si>
  <si>
    <t>Sioux</t>
  </si>
  <si>
    <t>IASioux</t>
  </si>
  <si>
    <t>Story</t>
  </si>
  <si>
    <t>IAStory</t>
  </si>
  <si>
    <t>Tama</t>
  </si>
  <si>
    <t>IATama</t>
  </si>
  <si>
    <t>IATaylor</t>
  </si>
  <si>
    <t>IAUnion</t>
  </si>
  <si>
    <t>IAVan Buren</t>
  </si>
  <si>
    <t>Wapello</t>
  </si>
  <si>
    <t>IAWapello</t>
  </si>
  <si>
    <t>IAWarren</t>
  </si>
  <si>
    <t>IAWashington</t>
  </si>
  <si>
    <t>IAWayne</t>
  </si>
  <si>
    <t>IAWebster</t>
  </si>
  <si>
    <t>Winnebago</t>
  </si>
  <si>
    <t>IAWinnebago</t>
  </si>
  <si>
    <t>Winneshiek</t>
  </si>
  <si>
    <t>IAWinneshiek</t>
  </si>
  <si>
    <t>IAWoodbury</t>
  </si>
  <si>
    <t>IAWorth</t>
  </si>
  <si>
    <t>IAWright</t>
  </si>
  <si>
    <t>Ada</t>
  </si>
  <si>
    <t>IDAda</t>
  </si>
  <si>
    <t>IDAdams</t>
  </si>
  <si>
    <t>Bannock</t>
  </si>
  <si>
    <t>IDBannock</t>
  </si>
  <si>
    <t>Bear Lake</t>
  </si>
  <si>
    <t>IDBear Lake</t>
  </si>
  <si>
    <t>Benewah</t>
  </si>
  <si>
    <t>IDBenewah</t>
  </si>
  <si>
    <t>Bingham</t>
  </si>
  <si>
    <t>IDBingham</t>
  </si>
  <si>
    <t>Blaine</t>
  </si>
  <si>
    <t>IDBlaine</t>
  </si>
  <si>
    <t>Boise</t>
  </si>
  <si>
    <t>IDBoise</t>
  </si>
  <si>
    <t>Bonner</t>
  </si>
  <si>
    <t>IDBonner</t>
  </si>
  <si>
    <t>Bonneville</t>
  </si>
  <si>
    <t>IDBonneville</t>
  </si>
  <si>
    <t>Boundary</t>
  </si>
  <si>
    <t>IDBoundary</t>
  </si>
  <si>
    <t>IDButte</t>
  </si>
  <si>
    <t>Camas</t>
  </si>
  <si>
    <t>IDCamas</t>
  </si>
  <si>
    <t>Canyon</t>
  </si>
  <si>
    <t>IDCanyon</t>
  </si>
  <si>
    <t>Caribou</t>
  </si>
  <si>
    <t>IDCaribou</t>
  </si>
  <si>
    <t>Cassia</t>
  </si>
  <si>
    <t>IDCassia</t>
  </si>
  <si>
    <t>IDClark</t>
  </si>
  <si>
    <t>Clearwater</t>
  </si>
  <si>
    <t>IDClearwater</t>
  </si>
  <si>
    <t>IDCuster</t>
  </si>
  <si>
    <t>IDElmore</t>
  </si>
  <si>
    <t>IDFranklin</t>
  </si>
  <si>
    <t>IDFremont</t>
  </si>
  <si>
    <t>Gem</t>
  </si>
  <si>
    <t>IDGem</t>
  </si>
  <si>
    <t>Gooding</t>
  </si>
  <si>
    <t>IDGooding</t>
  </si>
  <si>
    <t>Idaho</t>
  </si>
  <si>
    <t>IDIdaho</t>
  </si>
  <si>
    <t>IDJefferson</t>
  </si>
  <si>
    <t>Jerome</t>
  </si>
  <si>
    <t>IDJerome</t>
  </si>
  <si>
    <t>Kootenai</t>
  </si>
  <si>
    <t>IDKootenai</t>
  </si>
  <si>
    <t>Latah</t>
  </si>
  <si>
    <t>IDLatah</t>
  </si>
  <si>
    <t>Lemhi</t>
  </si>
  <si>
    <t>IDLemhi</t>
  </si>
  <si>
    <t>IDLewis</t>
  </si>
  <si>
    <t>IDLincoln</t>
  </si>
  <si>
    <t>IDMadison</t>
  </si>
  <si>
    <t>Minidoka</t>
  </si>
  <si>
    <t>IDMinidoka</t>
  </si>
  <si>
    <t>Nez Perce</t>
  </si>
  <si>
    <t>IDNez Perce</t>
  </si>
  <si>
    <t>Oneida</t>
  </si>
  <si>
    <t>IDOneida</t>
  </si>
  <si>
    <t>Owyhee</t>
  </si>
  <si>
    <t>IDOwyhee</t>
  </si>
  <si>
    <t>Payette</t>
  </si>
  <si>
    <t>IDPayette</t>
  </si>
  <si>
    <t>Power</t>
  </si>
  <si>
    <t>IDPower</t>
  </si>
  <si>
    <t>Shoshone</t>
  </si>
  <si>
    <t>IDShoshone</t>
  </si>
  <si>
    <t>Teton</t>
  </si>
  <si>
    <t>IDTeton</t>
  </si>
  <si>
    <t>Twin Falls</t>
  </si>
  <si>
    <t>IDTwin Falls</t>
  </si>
  <si>
    <t>Valley</t>
  </si>
  <si>
    <t>IDValley</t>
  </si>
  <si>
    <t>IDWashington</t>
  </si>
  <si>
    <t>ILAdams</t>
  </si>
  <si>
    <t>ILAlexander</t>
  </si>
  <si>
    <t>ILBond</t>
  </si>
  <si>
    <t>ILBoone</t>
  </si>
  <si>
    <t>ILBrown</t>
  </si>
  <si>
    <t>Bureau</t>
  </si>
  <si>
    <t>ILBureau</t>
  </si>
  <si>
    <t>ILCalhoun</t>
  </si>
  <si>
    <t>ILCarroll</t>
  </si>
  <si>
    <t>ILCass</t>
  </si>
  <si>
    <t>Champaign</t>
  </si>
  <si>
    <t>ILChampaign</t>
  </si>
  <si>
    <t>ILChristian</t>
  </si>
  <si>
    <t>ILClark</t>
  </si>
  <si>
    <t>ILClay</t>
  </si>
  <si>
    <t>ILClinton</t>
  </si>
  <si>
    <t>ILColes</t>
  </si>
  <si>
    <t>ILCook</t>
  </si>
  <si>
    <t>ILCrawford</t>
  </si>
  <si>
    <t>Cumberland</t>
  </si>
  <si>
    <t>ILCumberland</t>
  </si>
  <si>
    <t>De Witt</t>
  </si>
  <si>
    <t>ILDe Witt</t>
  </si>
  <si>
    <t>ILDeKalb</t>
  </si>
  <si>
    <t>ILDouglas</t>
  </si>
  <si>
    <t>DuPage</t>
  </si>
  <si>
    <t>ILDuPage</t>
  </si>
  <si>
    <t>Edgar</t>
  </si>
  <si>
    <t>ILEdgar</t>
  </si>
  <si>
    <t>ILEdwards</t>
  </si>
  <si>
    <t>ILEffingham</t>
  </si>
  <si>
    <t>ILFayette</t>
  </si>
  <si>
    <t>ILFord</t>
  </si>
  <si>
    <t>ILFranklin</t>
  </si>
  <si>
    <t>ILFulton</t>
  </si>
  <si>
    <t>Gallatin</t>
  </si>
  <si>
    <t>ILGallatin</t>
  </si>
  <si>
    <t>ILGreene</t>
  </si>
  <si>
    <t>ILGrundy</t>
  </si>
  <si>
    <t>ILHamilton</t>
  </si>
  <si>
    <t>ILHancock</t>
  </si>
  <si>
    <t>ILHardin</t>
  </si>
  <si>
    <t>Henderson</t>
  </si>
  <si>
    <t>ILHenderson</t>
  </si>
  <si>
    <t>ILHenry</t>
  </si>
  <si>
    <t>Iroquois</t>
  </si>
  <si>
    <t>ILIroquois</t>
  </si>
  <si>
    <t>ILJackson</t>
  </si>
  <si>
    <t>ILJasper</t>
  </si>
  <si>
    <t>ILJefferson</t>
  </si>
  <si>
    <t>ILJersey</t>
  </si>
  <si>
    <t>Jo Daviess</t>
  </si>
  <si>
    <t>ILJo Daviess</t>
  </si>
  <si>
    <t>ILJohnson</t>
  </si>
  <si>
    <t>Kane</t>
  </si>
  <si>
    <t>ILKane</t>
  </si>
  <si>
    <t>Kankakee</t>
  </si>
  <si>
    <t>ILKankakee</t>
  </si>
  <si>
    <t>Kendall</t>
  </si>
  <si>
    <t>ILKendall</t>
  </si>
  <si>
    <t>Knox</t>
  </si>
  <si>
    <t>ILKnox</t>
  </si>
  <si>
    <t>LaSalle</t>
  </si>
  <si>
    <t>ILLaSalle</t>
  </si>
  <si>
    <t>ILLake</t>
  </si>
  <si>
    <t>ILLawrence</t>
  </si>
  <si>
    <t>ILLee</t>
  </si>
  <si>
    <t>ILLivingston</t>
  </si>
  <si>
    <t>ILLogan</t>
  </si>
  <si>
    <t>ILMacon</t>
  </si>
  <si>
    <t>Macoupin</t>
  </si>
  <si>
    <t>ILMacoupin</t>
  </si>
  <si>
    <t>ILMadison</t>
  </si>
  <si>
    <t>ILMarion</t>
  </si>
  <si>
    <t>ILMarshall</t>
  </si>
  <si>
    <t>ILMason</t>
  </si>
  <si>
    <t>Massac</t>
  </si>
  <si>
    <t>ILMassac</t>
  </si>
  <si>
    <t>McDonough</t>
  </si>
  <si>
    <t>ILMcDonough</t>
  </si>
  <si>
    <t>McHenry</t>
  </si>
  <si>
    <t>ILMcHenry</t>
  </si>
  <si>
    <t>McLean</t>
  </si>
  <si>
    <t>ILMcLean</t>
  </si>
  <si>
    <t>Menard</t>
  </si>
  <si>
    <t>ILMenard</t>
  </si>
  <si>
    <t>ILMercer</t>
  </si>
  <si>
    <t>ILMonroe</t>
  </si>
  <si>
    <t>ILMontgomery</t>
  </si>
  <si>
    <t>ILMorgan</t>
  </si>
  <si>
    <t>Moultrie</t>
  </si>
  <si>
    <t>ILMoultrie</t>
  </si>
  <si>
    <t>Ogle</t>
  </si>
  <si>
    <t>ILOgle</t>
  </si>
  <si>
    <t>Peoria</t>
  </si>
  <si>
    <t>ILPeoria</t>
  </si>
  <si>
    <t>ILPerry</t>
  </si>
  <si>
    <t>Piatt</t>
  </si>
  <si>
    <t>ILPiatt</t>
  </si>
  <si>
    <t>ILPike</t>
  </si>
  <si>
    <t>ILPope</t>
  </si>
  <si>
    <t>ILPulaski</t>
  </si>
  <si>
    <t>ILPutnam</t>
  </si>
  <si>
    <t>ILRandolph</t>
  </si>
  <si>
    <t>Richland</t>
  </si>
  <si>
    <t>ILRichland</t>
  </si>
  <si>
    <t>Rock Island</t>
  </si>
  <si>
    <t>ILRock Island</t>
  </si>
  <si>
    <t>ILSaline</t>
  </si>
  <si>
    <t>Sangamon</t>
  </si>
  <si>
    <t>ILSangamon</t>
  </si>
  <si>
    <t>Schuyler</t>
  </si>
  <si>
    <t>ILSchuyler</t>
  </si>
  <si>
    <t>ILScott</t>
  </si>
  <si>
    <t>ILShelby</t>
  </si>
  <si>
    <t>ILSt. Clair</t>
  </si>
  <si>
    <t>Stark</t>
  </si>
  <si>
    <t>ILStark</t>
  </si>
  <si>
    <t>ILStephenson</t>
  </si>
  <si>
    <t>Tazewell</t>
  </si>
  <si>
    <t>ILTazewell</t>
  </si>
  <si>
    <t>ILUnion</t>
  </si>
  <si>
    <t>Vermilion</t>
  </si>
  <si>
    <t>ILVermilion</t>
  </si>
  <si>
    <t>Wabash</t>
  </si>
  <si>
    <t>ILWabash</t>
  </si>
  <si>
    <t>ILWarren</t>
  </si>
  <si>
    <t>ILWashington</t>
  </si>
  <si>
    <t>ILWayne</t>
  </si>
  <si>
    <t>ILWhite</t>
  </si>
  <si>
    <t>Whiteside</t>
  </si>
  <si>
    <t>ILWhiteside</t>
  </si>
  <si>
    <t>ILWill</t>
  </si>
  <si>
    <t>Williamson</t>
  </si>
  <si>
    <t>ILWilliamson</t>
  </si>
  <si>
    <t>ILWinnebago</t>
  </si>
  <si>
    <t>Woodford</t>
  </si>
  <si>
    <t>ILWoodford</t>
  </si>
  <si>
    <t>INAdams</t>
  </si>
  <si>
    <t>INAllen</t>
  </si>
  <si>
    <t>Bartholomew</t>
  </si>
  <si>
    <t>INBartholomew</t>
  </si>
  <si>
    <t>INBenton</t>
  </si>
  <si>
    <t>Blackford</t>
  </si>
  <si>
    <t>INBlackford</t>
  </si>
  <si>
    <t>INBoone</t>
  </si>
  <si>
    <t>INBrown</t>
  </si>
  <si>
    <t>INCarroll</t>
  </si>
  <si>
    <t>INCass</t>
  </si>
  <si>
    <t>INClark</t>
  </si>
  <si>
    <t>INClay</t>
  </si>
  <si>
    <t>INClinton</t>
  </si>
  <si>
    <t>INCrawford</t>
  </si>
  <si>
    <t>Daviess</t>
  </si>
  <si>
    <t>INDaviess</t>
  </si>
  <si>
    <t>INDeKalb</t>
  </si>
  <si>
    <t>Dearborn</t>
  </si>
  <si>
    <t>INDearborn</t>
  </si>
  <si>
    <t>INDecatur</t>
  </si>
  <si>
    <t>INDelaware</t>
  </si>
  <si>
    <t>Dubois</t>
  </si>
  <si>
    <t>INDubois</t>
  </si>
  <si>
    <t>Elkhart</t>
  </si>
  <si>
    <t>INElkhart</t>
  </si>
  <si>
    <t>INFayette</t>
  </si>
  <si>
    <t>INFloyd</t>
  </si>
  <si>
    <t>INFountain</t>
  </si>
  <si>
    <t>INFranklin</t>
  </si>
  <si>
    <t>INFulton</t>
  </si>
  <si>
    <t>INGibson</t>
  </si>
  <si>
    <t>INGrant</t>
  </si>
  <si>
    <t>INGreene</t>
  </si>
  <si>
    <t>INHamilton</t>
  </si>
  <si>
    <t>INHancock</t>
  </si>
  <si>
    <t>INHarrison</t>
  </si>
  <si>
    <t>Hendricks</t>
  </si>
  <si>
    <t>INHendricks</t>
  </si>
  <si>
    <t>INHenry</t>
  </si>
  <si>
    <t>INHoward</t>
  </si>
  <si>
    <t>INHuntington</t>
  </si>
  <si>
    <t>INJackson</t>
  </si>
  <si>
    <t>INJasper</t>
  </si>
  <si>
    <t>Jay</t>
  </si>
  <si>
    <t>INJay</t>
  </si>
  <si>
    <t>INJefferson</t>
  </si>
  <si>
    <t>Jennings</t>
  </si>
  <si>
    <t>INJennings</t>
  </si>
  <si>
    <t>INJohnson</t>
  </si>
  <si>
    <t>INKnox</t>
  </si>
  <si>
    <t>Kosciusko</t>
  </si>
  <si>
    <t>INKosciusko</t>
  </si>
  <si>
    <t>LaGrange</t>
  </si>
  <si>
    <t>INLaGrange</t>
  </si>
  <si>
    <t>LaPorte</t>
  </si>
  <si>
    <t>INLaPorte</t>
  </si>
  <si>
    <t>INLake</t>
  </si>
  <si>
    <t>INLawrence</t>
  </si>
  <si>
    <t>INMadison</t>
  </si>
  <si>
    <t>INMarion</t>
  </si>
  <si>
    <t>INMarshall</t>
  </si>
  <si>
    <t>INMartin</t>
  </si>
  <si>
    <t>Miami</t>
  </si>
  <si>
    <t>INMiami</t>
  </si>
  <si>
    <t>INMonroe</t>
  </si>
  <si>
    <t>INMontgomery</t>
  </si>
  <si>
    <t>INMorgan</t>
  </si>
  <si>
    <t>INNewton</t>
  </si>
  <si>
    <t>Noble</t>
  </si>
  <si>
    <t>INNoble</t>
  </si>
  <si>
    <t>Ohio</t>
  </si>
  <si>
    <t>INOhio</t>
  </si>
  <si>
    <t>INOrange</t>
  </si>
  <si>
    <t>Owen</t>
  </si>
  <si>
    <t>INOwen</t>
  </si>
  <si>
    <t>Parke</t>
  </si>
  <si>
    <t>INParke</t>
  </si>
  <si>
    <t>INPerry</t>
  </si>
  <si>
    <t>INPike</t>
  </si>
  <si>
    <t>Porter</t>
  </si>
  <si>
    <t>INPorter</t>
  </si>
  <si>
    <t>Posey</t>
  </si>
  <si>
    <t>INPosey</t>
  </si>
  <si>
    <t>INPulaski</t>
  </si>
  <si>
    <t>INPutnam</t>
  </si>
  <si>
    <t>INRandolph</t>
  </si>
  <si>
    <t>Ripley</t>
  </si>
  <si>
    <t>INRipley</t>
  </si>
  <si>
    <t>Rush</t>
  </si>
  <si>
    <t>INRush</t>
  </si>
  <si>
    <t>INScott</t>
  </si>
  <si>
    <t>INShelby</t>
  </si>
  <si>
    <t>INSpencer</t>
  </si>
  <si>
    <t>St. Joseph</t>
  </si>
  <si>
    <t>INSt. Joseph</t>
  </si>
  <si>
    <t>Starke</t>
  </si>
  <si>
    <t>INStarke</t>
  </si>
  <si>
    <t>Steuben</t>
  </si>
  <si>
    <t>INSteuben</t>
  </si>
  <si>
    <t>INSullivan</t>
  </si>
  <si>
    <t>Switzerland</t>
  </si>
  <si>
    <t>INSwitzerland</t>
  </si>
  <si>
    <t>Tippecanoe</t>
  </si>
  <si>
    <t>INTippecanoe</t>
  </si>
  <si>
    <t>Tipton</t>
  </si>
  <si>
    <t>INTipton</t>
  </si>
  <si>
    <t>INUnion</t>
  </si>
  <si>
    <t>Vanderburgh</t>
  </si>
  <si>
    <t>INVanderburgh</t>
  </si>
  <si>
    <t>Vermillion</t>
  </si>
  <si>
    <t>INVermillion</t>
  </si>
  <si>
    <t>INVigo</t>
  </si>
  <si>
    <t>INWabash</t>
  </si>
  <si>
    <t>INWarren</t>
  </si>
  <si>
    <t>Warrick</t>
  </si>
  <si>
    <t>INWarrick</t>
  </si>
  <si>
    <t>INWashington</t>
  </si>
  <si>
    <t>INWayne</t>
  </si>
  <si>
    <t>INWells</t>
  </si>
  <si>
    <t>INWhite</t>
  </si>
  <si>
    <t>Whitley</t>
  </si>
  <si>
    <t>INWhitley</t>
  </si>
  <si>
    <t>KSAllen</t>
  </si>
  <si>
    <t>KSAnderson</t>
  </si>
  <si>
    <t>Atchison</t>
  </si>
  <si>
    <t>KSAtchison</t>
  </si>
  <si>
    <t>KSBarber</t>
  </si>
  <si>
    <t>Barton</t>
  </si>
  <si>
    <t>KSBarton</t>
  </si>
  <si>
    <t>Bourbon</t>
  </si>
  <si>
    <t>KSBourbon</t>
  </si>
  <si>
    <t>KSBrown</t>
  </si>
  <si>
    <t>KSButler</t>
  </si>
  <si>
    <t>KSChase</t>
  </si>
  <si>
    <t>Chautauqua</t>
  </si>
  <si>
    <t>KSChautauqua</t>
  </si>
  <si>
    <t>KSCherokee</t>
  </si>
  <si>
    <t>KSCheyenne</t>
  </si>
  <si>
    <t>KSClark</t>
  </si>
  <si>
    <t>KSClay</t>
  </si>
  <si>
    <t>Cloud</t>
  </si>
  <si>
    <t>KSCloud</t>
  </si>
  <si>
    <t>Coffey</t>
  </si>
  <si>
    <t>KSCoffey</t>
  </si>
  <si>
    <t>Comanche</t>
  </si>
  <si>
    <t>KSComanche</t>
  </si>
  <si>
    <t>Cowley</t>
  </si>
  <si>
    <t>KSCowley</t>
  </si>
  <si>
    <t>KSCrawford</t>
  </si>
  <si>
    <t>KSDecatur</t>
  </si>
  <si>
    <t>KSDickinson</t>
  </si>
  <si>
    <t>Doniphan</t>
  </si>
  <si>
    <t>KSDoniphan</t>
  </si>
  <si>
    <t>KSDouglas</t>
  </si>
  <si>
    <t>KSEdwards</t>
  </si>
  <si>
    <t>KSElk</t>
  </si>
  <si>
    <t>KSEllis</t>
  </si>
  <si>
    <t>Ellsworth</t>
  </si>
  <si>
    <t>KSEllsworth</t>
  </si>
  <si>
    <t>Finney</t>
  </si>
  <si>
    <t>KSFinney</t>
  </si>
  <si>
    <t>KSFord</t>
  </si>
  <si>
    <t>KSFranklin</t>
  </si>
  <si>
    <t>Geary</t>
  </si>
  <si>
    <t>KSGeary</t>
  </si>
  <si>
    <t>Gove</t>
  </si>
  <si>
    <t>KSGove</t>
  </si>
  <si>
    <t>KSGraham</t>
  </si>
  <si>
    <t>KSGrant</t>
  </si>
  <si>
    <t>KSGray</t>
  </si>
  <si>
    <t>Greeley</t>
  </si>
  <si>
    <t>KSGreeley</t>
  </si>
  <si>
    <t>Greenwood</t>
  </si>
  <si>
    <t>KSGreenwood</t>
  </si>
  <si>
    <t>KSHamilton</t>
  </si>
  <si>
    <t>Harper</t>
  </si>
  <si>
    <t>KSHarper</t>
  </si>
  <si>
    <t>Harvey</t>
  </si>
  <si>
    <t>KSHarvey</t>
  </si>
  <si>
    <t>Haskell</t>
  </si>
  <si>
    <t>KSHaskell</t>
  </si>
  <si>
    <t>Hodgeman</t>
  </si>
  <si>
    <t>KSHodgeman</t>
  </si>
  <si>
    <t>KSJackson</t>
  </si>
  <si>
    <t>KSJefferson</t>
  </si>
  <si>
    <t>Jewell</t>
  </si>
  <si>
    <t>KSJewell</t>
  </si>
  <si>
    <t>KSJohnson</t>
  </si>
  <si>
    <t>Kearny</t>
  </si>
  <si>
    <t>KSKearny</t>
  </si>
  <si>
    <t>Kingman</t>
  </si>
  <si>
    <t>KSKingman</t>
  </si>
  <si>
    <t>KSKiowa</t>
  </si>
  <si>
    <t>Labette</t>
  </si>
  <si>
    <t>KSLabette</t>
  </si>
  <si>
    <t>Lane</t>
  </si>
  <si>
    <t>KSLane</t>
  </si>
  <si>
    <t>Leavenworth</t>
  </si>
  <si>
    <t>KSLeavenworth</t>
  </si>
  <si>
    <t>KSLincoln</t>
  </si>
  <si>
    <t>KSLinn</t>
  </si>
  <si>
    <t>KSLogan</t>
  </si>
  <si>
    <t>KSLyon</t>
  </si>
  <si>
    <t>KSMarion</t>
  </si>
  <si>
    <t>KSMarshall</t>
  </si>
  <si>
    <t>McPherson</t>
  </si>
  <si>
    <t>KSMcPherson</t>
  </si>
  <si>
    <t>Meade</t>
  </si>
  <si>
    <t>KSMeade</t>
  </si>
  <si>
    <t>KSMiami</t>
  </si>
  <si>
    <t>KSMitchell</t>
  </si>
  <si>
    <t>KSMontgomery</t>
  </si>
  <si>
    <t>KSMorris</t>
  </si>
  <si>
    <t>Morton</t>
  </si>
  <si>
    <t>KSMorton</t>
  </si>
  <si>
    <t>Nemaha</t>
  </si>
  <si>
    <t>KSNemaha</t>
  </si>
  <si>
    <t>Neosho</t>
  </si>
  <si>
    <t>KSNeosho</t>
  </si>
  <si>
    <t>KSNess</t>
  </si>
  <si>
    <t>Norton</t>
  </si>
  <si>
    <t>KSNorton</t>
  </si>
  <si>
    <t>Osage</t>
  </si>
  <si>
    <t>KSOsage</t>
  </si>
  <si>
    <t>Osborne</t>
  </si>
  <si>
    <t>KSOsborne</t>
  </si>
  <si>
    <t>Ottawa</t>
  </si>
  <si>
    <t>KSOttawa</t>
  </si>
  <si>
    <t>Pawnee</t>
  </si>
  <si>
    <t>KSPawnee</t>
  </si>
  <si>
    <t>KSPhillips</t>
  </si>
  <si>
    <t>Pottawatomie</t>
  </si>
  <si>
    <t>KSPottawatomie</t>
  </si>
  <si>
    <t>Pratt</t>
  </si>
  <si>
    <t>KSPratt</t>
  </si>
  <si>
    <t>Rawlins</t>
  </si>
  <si>
    <t>KSRawlins</t>
  </si>
  <si>
    <t>Reno</t>
  </si>
  <si>
    <t>KSReno</t>
  </si>
  <si>
    <t>Republic</t>
  </si>
  <si>
    <t>KSRepublic</t>
  </si>
  <si>
    <t>Rice</t>
  </si>
  <si>
    <t>KSRice</t>
  </si>
  <si>
    <t>Riley</t>
  </si>
  <si>
    <t>KSRiley</t>
  </si>
  <si>
    <t>Rooks</t>
  </si>
  <si>
    <t>KSRooks</t>
  </si>
  <si>
    <t>KSRush</t>
  </si>
  <si>
    <t>KSRussell</t>
  </si>
  <si>
    <t>KSSaline</t>
  </si>
  <si>
    <t>KSScott</t>
  </si>
  <si>
    <t>KSSedgwick</t>
  </si>
  <si>
    <t>Seward</t>
  </si>
  <si>
    <t>KSSeward</t>
  </si>
  <si>
    <t>Shawnee</t>
  </si>
  <si>
    <t>KSShawnee</t>
  </si>
  <si>
    <t>Sheridan</t>
  </si>
  <si>
    <t>KSSheridan</t>
  </si>
  <si>
    <t>Sherman</t>
  </si>
  <si>
    <t>KSSherman</t>
  </si>
  <si>
    <t>KSSmith</t>
  </si>
  <si>
    <t>KSStafford</t>
  </si>
  <si>
    <t>Stanton</t>
  </si>
  <si>
    <t>KSStanton</t>
  </si>
  <si>
    <t>KSStevens</t>
  </si>
  <si>
    <t>KSSumner</t>
  </si>
  <si>
    <t>KSThomas</t>
  </si>
  <si>
    <t>Trego</t>
  </si>
  <si>
    <t>KSTrego</t>
  </si>
  <si>
    <t>Wabaunsee</t>
  </si>
  <si>
    <t>KSWabaunsee</t>
  </si>
  <si>
    <t>KSWallace</t>
  </si>
  <si>
    <t>KSWashington</t>
  </si>
  <si>
    <t>Wichita</t>
  </si>
  <si>
    <t>KSWichita</t>
  </si>
  <si>
    <t>KSWilson</t>
  </si>
  <si>
    <t>Woodson</t>
  </si>
  <si>
    <t>KSWoodson</t>
  </si>
  <si>
    <t>Wyandotte</t>
  </si>
  <si>
    <t>KSWyandotte</t>
  </si>
  <si>
    <t>KYAdair</t>
  </si>
  <si>
    <t>KYAllen</t>
  </si>
  <si>
    <t>KYAnderson</t>
  </si>
  <si>
    <t>Ballard</t>
  </si>
  <si>
    <t>KYBallard</t>
  </si>
  <si>
    <t>KYBarren</t>
  </si>
  <si>
    <t>Bath</t>
  </si>
  <si>
    <t>KYBath</t>
  </si>
  <si>
    <t>KYBell</t>
  </si>
  <si>
    <t>KYBoone</t>
  </si>
  <si>
    <t>KYBourbon</t>
  </si>
  <si>
    <t>Boyd</t>
  </si>
  <si>
    <t>KYBoyd</t>
  </si>
  <si>
    <t>KYBoyle</t>
  </si>
  <si>
    <t>Bracken</t>
  </si>
  <si>
    <t>KYBracken</t>
  </si>
  <si>
    <t>Breathitt</t>
  </si>
  <si>
    <t>KYBreathitt</t>
  </si>
  <si>
    <t>Breckinridge</t>
  </si>
  <si>
    <t>KYBreckinridge</t>
  </si>
  <si>
    <t>Bullitt</t>
  </si>
  <si>
    <t>KYBullitt</t>
  </si>
  <si>
    <t>KYButler</t>
  </si>
  <si>
    <t>KYCaldwell</t>
  </si>
  <si>
    <t>Calloway</t>
  </si>
  <si>
    <t>KYCalloway</t>
  </si>
  <si>
    <t>KYCampbell</t>
  </si>
  <si>
    <t>Carlisle</t>
  </si>
  <si>
    <t>KYCarlisle</t>
  </si>
  <si>
    <t>KYCarroll</t>
  </si>
  <si>
    <t>KYCarter</t>
  </si>
  <si>
    <t>KYCasey</t>
  </si>
  <si>
    <t>KYChristian</t>
  </si>
  <si>
    <t>KYClark</t>
  </si>
  <si>
    <t>KYClay</t>
  </si>
  <si>
    <t>KYClinton</t>
  </si>
  <si>
    <t>KYCrittenden</t>
  </si>
  <si>
    <t>KYCumberland</t>
  </si>
  <si>
    <t>KYDaviess</t>
  </si>
  <si>
    <t>Edmonson</t>
  </si>
  <si>
    <t>KYEdmonson</t>
  </si>
  <si>
    <t>Elliott</t>
  </si>
  <si>
    <t>KYElliott</t>
  </si>
  <si>
    <t>Estill</t>
  </si>
  <si>
    <t>KYEstill</t>
  </si>
  <si>
    <t>KYFayette</t>
  </si>
  <si>
    <t>KYFleming</t>
  </si>
  <si>
    <t>KYFloyd</t>
  </si>
  <si>
    <t>KYFranklin</t>
  </si>
  <si>
    <t>KYFulton</t>
  </si>
  <si>
    <t>KYGallatin</t>
  </si>
  <si>
    <t>Garrard</t>
  </si>
  <si>
    <t>KYGarrard</t>
  </si>
  <si>
    <t>KYGrant</t>
  </si>
  <si>
    <t>Graves</t>
  </si>
  <si>
    <t>KYGraves</t>
  </si>
  <si>
    <t>KYGrayson</t>
  </si>
  <si>
    <t>KYGreen</t>
  </si>
  <si>
    <t>Greenup</t>
  </si>
  <si>
    <t>KYGreenup</t>
  </si>
  <si>
    <t>KYHancock</t>
  </si>
  <si>
    <t>KYHardin</t>
  </si>
  <si>
    <t>Harlan</t>
  </si>
  <si>
    <t>KYHarlan</t>
  </si>
  <si>
    <t>KYHarrison</t>
  </si>
  <si>
    <t>KYHart</t>
  </si>
  <si>
    <t>KYHenderson</t>
  </si>
  <si>
    <t>KYHenry</t>
  </si>
  <si>
    <t>Hickman</t>
  </si>
  <si>
    <t>KYHickman</t>
  </si>
  <si>
    <t>Hopkins</t>
  </si>
  <si>
    <t>KYHopkins</t>
  </si>
  <si>
    <t>KYJackson</t>
  </si>
  <si>
    <t>KYJefferson</t>
  </si>
  <si>
    <t>Jessamine</t>
  </si>
  <si>
    <t>KYJessamine</t>
  </si>
  <si>
    <t>KYJohnson</t>
  </si>
  <si>
    <t>Kenton</t>
  </si>
  <si>
    <t>KYKenton</t>
  </si>
  <si>
    <t>Knott</t>
  </si>
  <si>
    <t>KYKnott</t>
  </si>
  <si>
    <t>KYKnox</t>
  </si>
  <si>
    <t>Larue</t>
  </si>
  <si>
    <t>KYLarue</t>
  </si>
  <si>
    <t>Laurel</t>
  </si>
  <si>
    <t>KYLaurel</t>
  </si>
  <si>
    <t>KYLawrence</t>
  </si>
  <si>
    <t>KYLee</t>
  </si>
  <si>
    <t>KYLeslie</t>
  </si>
  <si>
    <t>Letcher</t>
  </si>
  <si>
    <t>KYLetcher</t>
  </si>
  <si>
    <t>KYLewis</t>
  </si>
  <si>
    <t>KYLincoln</t>
  </si>
  <si>
    <t>KYLivingston</t>
  </si>
  <si>
    <t>KYLogan</t>
  </si>
  <si>
    <t>KYLyon</t>
  </si>
  <si>
    <t>KYMadison</t>
  </si>
  <si>
    <t>Magoffin</t>
  </si>
  <si>
    <t>KYMagoffin</t>
  </si>
  <si>
    <t>KYMarion</t>
  </si>
  <si>
    <t>KYMarshall</t>
  </si>
  <si>
    <t>KYMartin</t>
  </si>
  <si>
    <t>KYMason</t>
  </si>
  <si>
    <t>McCracken</t>
  </si>
  <si>
    <t>KYMcCracken</t>
  </si>
  <si>
    <t>McCreary</t>
  </si>
  <si>
    <t>KYMcCreary</t>
  </si>
  <si>
    <t>KYMcLean</t>
  </si>
  <si>
    <t>KYMeade</t>
  </si>
  <si>
    <t>Menifee</t>
  </si>
  <si>
    <t>KYMenifee</t>
  </si>
  <si>
    <t>KYMercer</t>
  </si>
  <si>
    <t>Metcalfe</t>
  </si>
  <si>
    <t>KYMetcalfe</t>
  </si>
  <si>
    <t>KYMonroe</t>
  </si>
  <si>
    <t>KYMontgomery</t>
  </si>
  <si>
    <t>KYMorgan</t>
  </si>
  <si>
    <t>Muhlenberg</t>
  </si>
  <si>
    <t>KYMuhlenberg</t>
  </si>
  <si>
    <t>Nelson</t>
  </si>
  <si>
    <t>KYNelson</t>
  </si>
  <si>
    <t>KYNicholas</t>
  </si>
  <si>
    <t>KYOhio</t>
  </si>
  <si>
    <t>Oldham</t>
  </si>
  <si>
    <t>KYOldham</t>
  </si>
  <si>
    <t>KYOwen</t>
  </si>
  <si>
    <t>Owsley</t>
  </si>
  <si>
    <t>KYOwsley</t>
  </si>
  <si>
    <t>Pendleton</t>
  </si>
  <si>
    <t>KYPendleton</t>
  </si>
  <si>
    <t>KYPerry</t>
  </si>
  <si>
    <t>KYPike</t>
  </si>
  <si>
    <t>KYPowell</t>
  </si>
  <si>
    <t>KYPulaski</t>
  </si>
  <si>
    <t>KYRobertson</t>
  </si>
  <si>
    <t>Rockcastle</t>
  </si>
  <si>
    <t>KYRockcastle</t>
  </si>
  <si>
    <t>KYRowan</t>
  </si>
  <si>
    <t>KYRussell</t>
  </si>
  <si>
    <t>KYScott</t>
  </si>
  <si>
    <t>KYShelby</t>
  </si>
  <si>
    <t>KYSimpson</t>
  </si>
  <si>
    <t>KYSpencer</t>
  </si>
  <si>
    <t>KYTaylor</t>
  </si>
  <si>
    <t>Todd</t>
  </si>
  <si>
    <t>KYTodd</t>
  </si>
  <si>
    <t>Trigg</t>
  </si>
  <si>
    <t>KYTrigg</t>
  </si>
  <si>
    <t>Trimble</t>
  </si>
  <si>
    <t>KYTrimble</t>
  </si>
  <si>
    <t>KYUnion</t>
  </si>
  <si>
    <t>KYWarren</t>
  </si>
  <si>
    <t>KYWashington</t>
  </si>
  <si>
    <t>KYWayne</t>
  </si>
  <si>
    <t>KYWebster</t>
  </si>
  <si>
    <t>KYWhitley</t>
  </si>
  <si>
    <t>Wolfe</t>
  </si>
  <si>
    <t>KYWolfe</t>
  </si>
  <si>
    <t>KYWoodford</t>
  </si>
  <si>
    <t>Acadia</t>
  </si>
  <si>
    <t>LAAcadia</t>
  </si>
  <si>
    <t>LAAllen</t>
  </si>
  <si>
    <t>Ascension</t>
  </si>
  <si>
    <t>LAAscension</t>
  </si>
  <si>
    <t>Assumption</t>
  </si>
  <si>
    <t>LAAssumption</t>
  </si>
  <si>
    <t>Avoyelles</t>
  </si>
  <si>
    <t>LAAvoyelles</t>
  </si>
  <si>
    <t>Beauregard</t>
  </si>
  <si>
    <t>LABeauregard</t>
  </si>
  <si>
    <t>Bienville</t>
  </si>
  <si>
    <t>LABienville</t>
  </si>
  <si>
    <t>Bossier</t>
  </si>
  <si>
    <t>LABossier</t>
  </si>
  <si>
    <t>Caddo</t>
  </si>
  <si>
    <t>LACaddo</t>
  </si>
  <si>
    <t>Calcasieu</t>
  </si>
  <si>
    <t>LACalcasieu</t>
  </si>
  <si>
    <t>LACaldwell</t>
  </si>
  <si>
    <t>Cameron</t>
  </si>
  <si>
    <t>LACameron</t>
  </si>
  <si>
    <t>Catahoula</t>
  </si>
  <si>
    <t>LACatahoula</t>
  </si>
  <si>
    <t>Claiborne</t>
  </si>
  <si>
    <t>LAClaiborne</t>
  </si>
  <si>
    <t>Concordia</t>
  </si>
  <si>
    <t>LAConcordia</t>
  </si>
  <si>
    <t>De Soto</t>
  </si>
  <si>
    <t>LADe Soto</t>
  </si>
  <si>
    <t>East Baton Rouge</t>
  </si>
  <si>
    <t>LAEast Baton Rouge</t>
  </si>
  <si>
    <t>East Carroll</t>
  </si>
  <si>
    <t>LAEast Carroll</t>
  </si>
  <si>
    <t>East Feliciana</t>
  </si>
  <si>
    <t>LAEast Feliciana</t>
  </si>
  <si>
    <t>Evangeline</t>
  </si>
  <si>
    <t>LAEvangeline</t>
  </si>
  <si>
    <t>LAFranklin</t>
  </si>
  <si>
    <t>LAGrant</t>
  </si>
  <si>
    <t>Iberia</t>
  </si>
  <si>
    <t>LAIberia</t>
  </si>
  <si>
    <t>Iberville</t>
  </si>
  <si>
    <t>LAIberville</t>
  </si>
  <si>
    <t>LAJackson</t>
  </si>
  <si>
    <t>LAJefferson</t>
  </si>
  <si>
    <t>Jefferson Davis</t>
  </si>
  <si>
    <t>LAJefferson Davis</t>
  </si>
  <si>
    <t>LALaSalle</t>
  </si>
  <si>
    <t>LALafayette</t>
  </si>
  <si>
    <t>Lafourche</t>
  </si>
  <si>
    <t>LALafourche</t>
  </si>
  <si>
    <t>LALincoln</t>
  </si>
  <si>
    <t>LALivingston</t>
  </si>
  <si>
    <t>LAMadison</t>
  </si>
  <si>
    <t>Morehouse</t>
  </si>
  <si>
    <t>LAMorehouse</t>
  </si>
  <si>
    <t>Natchitoches</t>
  </si>
  <si>
    <t>LANatchitoches</t>
  </si>
  <si>
    <t>Orleans</t>
  </si>
  <si>
    <t>LAOrleans</t>
  </si>
  <si>
    <t>LAOuachita</t>
  </si>
  <si>
    <t>Plaquemines</t>
  </si>
  <si>
    <t>LAPlaquemines</t>
  </si>
  <si>
    <t>Pointe Coupee</t>
  </si>
  <si>
    <t>LAPointe Coupee</t>
  </si>
  <si>
    <t>Rapides</t>
  </si>
  <si>
    <t>LARapides</t>
  </si>
  <si>
    <t>Red River</t>
  </si>
  <si>
    <t>LARed River</t>
  </si>
  <si>
    <t>LARichland</t>
  </si>
  <si>
    <t>Sabine</t>
  </si>
  <si>
    <t>LASabine</t>
  </si>
  <si>
    <t>St. Bernard</t>
  </si>
  <si>
    <t>LASt. Bernard</t>
  </si>
  <si>
    <t>St. Charles</t>
  </si>
  <si>
    <t>LASt. Charles</t>
  </si>
  <si>
    <t>St. Helena</t>
  </si>
  <si>
    <t>LASt. Helena</t>
  </si>
  <si>
    <t>St. James</t>
  </si>
  <si>
    <t>LASt. James</t>
  </si>
  <si>
    <t>St. John the Baptist</t>
  </si>
  <si>
    <t>LASt. John the Baptist</t>
  </si>
  <si>
    <t>St. Landry</t>
  </si>
  <si>
    <t>LASt. Landry</t>
  </si>
  <si>
    <t>St. Martin</t>
  </si>
  <si>
    <t>LASt. Martin</t>
  </si>
  <si>
    <t>St. Mary</t>
  </si>
  <si>
    <t>LASt. Mary</t>
  </si>
  <si>
    <t>St. Tammany</t>
  </si>
  <si>
    <t>LASt. Tammany</t>
  </si>
  <si>
    <t>Tangipahoa</t>
  </si>
  <si>
    <t>LATangipahoa</t>
  </si>
  <si>
    <t>Tensas</t>
  </si>
  <si>
    <t>LATensas</t>
  </si>
  <si>
    <t>Terrebonne</t>
  </si>
  <si>
    <t>LATerrebonne</t>
  </si>
  <si>
    <t>LAUnion</t>
  </si>
  <si>
    <t>LAVermilion</t>
  </si>
  <si>
    <t>Vernon</t>
  </si>
  <si>
    <t>LAVernon</t>
  </si>
  <si>
    <t>LAWashington</t>
  </si>
  <si>
    <t>LAWebster</t>
  </si>
  <si>
    <t>West Baton Rouge</t>
  </si>
  <si>
    <t>LAWest Baton Rouge</t>
  </si>
  <si>
    <t>West Carroll</t>
  </si>
  <si>
    <t>LAWest Carroll</t>
  </si>
  <si>
    <t>West Feliciana</t>
  </si>
  <si>
    <t>LAWest Feliciana</t>
  </si>
  <si>
    <t>Winn</t>
  </si>
  <si>
    <t>LAWinn</t>
  </si>
  <si>
    <t>Barnstable</t>
  </si>
  <si>
    <t>MABarnstable</t>
  </si>
  <si>
    <t>Berkshire</t>
  </si>
  <si>
    <t>MABerkshire</t>
  </si>
  <si>
    <t>MABristol</t>
  </si>
  <si>
    <t>Dukes</t>
  </si>
  <si>
    <t>MADukes</t>
  </si>
  <si>
    <t>Essex</t>
  </si>
  <si>
    <t>MAEssex</t>
  </si>
  <si>
    <t>MAFranklin</t>
  </si>
  <si>
    <t>Hampden</t>
  </si>
  <si>
    <t>MAHampden</t>
  </si>
  <si>
    <t>Hampshire</t>
  </si>
  <si>
    <t>MAHampshire</t>
  </si>
  <si>
    <t>MAMiddlesex</t>
  </si>
  <si>
    <t>Nantucket</t>
  </si>
  <si>
    <t>MANantucket</t>
  </si>
  <si>
    <t>MANorfolk</t>
  </si>
  <si>
    <t>MAPlymouth</t>
  </si>
  <si>
    <t>MASuffolk</t>
  </si>
  <si>
    <t>Worcester</t>
  </si>
  <si>
    <t>MAWorcester</t>
  </si>
  <si>
    <t>Allegany</t>
  </si>
  <si>
    <t>MDAllegany</t>
  </si>
  <si>
    <t>Anne Arundel</t>
  </si>
  <si>
    <t>MDAnne Arundel</t>
  </si>
  <si>
    <t>Baltimore</t>
  </si>
  <si>
    <t>MDBaltimore</t>
  </si>
  <si>
    <t>Calvert</t>
  </si>
  <si>
    <t>MDCalvert</t>
  </si>
  <si>
    <t>MDCaroline</t>
  </si>
  <si>
    <t>MDCarroll</t>
  </si>
  <si>
    <t>Cecil</t>
  </si>
  <si>
    <t>MDCecil</t>
  </si>
  <si>
    <t>MDCharles</t>
  </si>
  <si>
    <t>MDDorchester</t>
  </si>
  <si>
    <t>MDFrederick</t>
  </si>
  <si>
    <t>MDGarrett</t>
  </si>
  <si>
    <t>Harford</t>
  </si>
  <si>
    <t>MDHarford</t>
  </si>
  <si>
    <t>MDHoward</t>
  </si>
  <si>
    <t>MDKent</t>
  </si>
  <si>
    <t>MDMontgomery</t>
  </si>
  <si>
    <t>Prince George's</t>
  </si>
  <si>
    <t>MDPrince George's</t>
  </si>
  <si>
    <t>Queen Anne's</t>
  </si>
  <si>
    <t>MDQueen Anne's</t>
  </si>
  <si>
    <t>MDSomerset</t>
  </si>
  <si>
    <t>St. Mary's</t>
  </si>
  <si>
    <t>MDSt. Mary's</t>
  </si>
  <si>
    <t>MDTalbot</t>
  </si>
  <si>
    <t>MDWashington</t>
  </si>
  <si>
    <t>Wicomico</t>
  </si>
  <si>
    <t>MDWicomico</t>
  </si>
  <si>
    <t>MDWorcester</t>
  </si>
  <si>
    <t>Androscoggin</t>
  </si>
  <si>
    <t>MEAndroscoggin</t>
  </si>
  <si>
    <t>Aroostook</t>
  </si>
  <si>
    <t>MEAroostook</t>
  </si>
  <si>
    <t>MECumberland</t>
  </si>
  <si>
    <t>MEFranklin</t>
  </si>
  <si>
    <t>MEHancock</t>
  </si>
  <si>
    <t>Kennebec</t>
  </si>
  <si>
    <t>MEKennebec</t>
  </si>
  <si>
    <t>MEKnox</t>
  </si>
  <si>
    <t>MELincoln</t>
  </si>
  <si>
    <t>MEOxford</t>
  </si>
  <si>
    <t>Penobscot</t>
  </si>
  <si>
    <t>MEPenobscot</t>
  </si>
  <si>
    <t>Piscataquis</t>
  </si>
  <si>
    <t>MEPiscataquis</t>
  </si>
  <si>
    <t>Sagadahoc</t>
  </si>
  <si>
    <t>MESagadahoc</t>
  </si>
  <si>
    <t>MESomerset</t>
  </si>
  <si>
    <t>Waldo</t>
  </si>
  <si>
    <t>MEWaldo</t>
  </si>
  <si>
    <t>MEWashington</t>
  </si>
  <si>
    <t>MEYork</t>
  </si>
  <si>
    <t>Alcona</t>
  </si>
  <si>
    <t>MIAlcona</t>
  </si>
  <si>
    <t>Alger</t>
  </si>
  <si>
    <t>MIAlger</t>
  </si>
  <si>
    <t>Allegan</t>
  </si>
  <si>
    <t>MIAllegan</t>
  </si>
  <si>
    <t>Alpena</t>
  </si>
  <si>
    <t>MIAlpena</t>
  </si>
  <si>
    <t>Antrim</t>
  </si>
  <si>
    <t>MIAntrim</t>
  </si>
  <si>
    <t>Arenac</t>
  </si>
  <si>
    <t>MIArenac</t>
  </si>
  <si>
    <t>Baraga</t>
  </si>
  <si>
    <t>MIBaraga</t>
  </si>
  <si>
    <t>MIBarry</t>
  </si>
  <si>
    <t>MIBay</t>
  </si>
  <si>
    <t>Benzie</t>
  </si>
  <si>
    <t>MIBenzie</t>
  </si>
  <si>
    <t>MIBerrien</t>
  </si>
  <si>
    <t>Branch</t>
  </si>
  <si>
    <t>MIBranch</t>
  </si>
  <si>
    <t>MICalhoun</t>
  </si>
  <si>
    <t>MICass</t>
  </si>
  <si>
    <t>Charlevoix</t>
  </si>
  <si>
    <t>MICharlevoix</t>
  </si>
  <si>
    <t>Cheboygan</t>
  </si>
  <si>
    <t>MICheboygan</t>
  </si>
  <si>
    <t>Chippewa</t>
  </si>
  <si>
    <t>MIChippewa</t>
  </si>
  <si>
    <t>Clare</t>
  </si>
  <si>
    <t>MIClare</t>
  </si>
  <si>
    <t>MIClinton</t>
  </si>
  <si>
    <t>MICrawford</t>
  </si>
  <si>
    <t>MIDelta</t>
  </si>
  <si>
    <t>MIDickinson</t>
  </si>
  <si>
    <t>Eaton</t>
  </si>
  <si>
    <t>MIEaton</t>
  </si>
  <si>
    <t>MIEmmet</t>
  </si>
  <si>
    <t>Genesee</t>
  </si>
  <si>
    <t>MIGenesee</t>
  </si>
  <si>
    <t>Gladwin</t>
  </si>
  <si>
    <t>MIGladwin</t>
  </si>
  <si>
    <t>Gogebic</t>
  </si>
  <si>
    <t>MIGogebic</t>
  </si>
  <si>
    <t>Grand Traverse</t>
  </si>
  <si>
    <t>MIGrand Traverse</t>
  </si>
  <si>
    <t>Gratiot</t>
  </si>
  <si>
    <t>MIGratiot</t>
  </si>
  <si>
    <t>Hillsdale</t>
  </si>
  <si>
    <t>MIHillsdale</t>
  </si>
  <si>
    <t>Houghton</t>
  </si>
  <si>
    <t>MIHoughton</t>
  </si>
  <si>
    <t>Huron</t>
  </si>
  <si>
    <t>MIHuron</t>
  </si>
  <si>
    <t>Ingham</t>
  </si>
  <si>
    <t>MIIngham</t>
  </si>
  <si>
    <t>Ionia</t>
  </si>
  <si>
    <t>MIIonia</t>
  </si>
  <si>
    <t>Iosco</t>
  </si>
  <si>
    <t>MIIosco</t>
  </si>
  <si>
    <t>MIIron</t>
  </si>
  <si>
    <t>MIIsabella</t>
  </si>
  <si>
    <t>MIJackson</t>
  </si>
  <si>
    <t>Kalamazoo</t>
  </si>
  <si>
    <t>MIKalamazoo</t>
  </si>
  <si>
    <t>Kalkaska</t>
  </si>
  <si>
    <t>MIKalkaska</t>
  </si>
  <si>
    <t>MIKent</t>
  </si>
  <si>
    <t>Keweenaw</t>
  </si>
  <si>
    <t>MIKeweenaw</t>
  </si>
  <si>
    <t>MILake</t>
  </si>
  <si>
    <t>Lapeer</t>
  </si>
  <si>
    <t>MILapeer</t>
  </si>
  <si>
    <t>Leelanau</t>
  </si>
  <si>
    <t>MILeelanau</t>
  </si>
  <si>
    <t>Lenawee</t>
  </si>
  <si>
    <t>MILenawee</t>
  </si>
  <si>
    <t>MILivingston</t>
  </si>
  <si>
    <t>MILuce</t>
  </si>
  <si>
    <t>Mackinac</t>
  </si>
  <si>
    <t>MIMackinac</t>
  </si>
  <si>
    <t>Macomb</t>
  </si>
  <si>
    <t>MIMacomb</t>
  </si>
  <si>
    <t>Manistee</t>
  </si>
  <si>
    <t>MIManistee</t>
  </si>
  <si>
    <t>Marquette</t>
  </si>
  <si>
    <t>MIMarquette</t>
  </si>
  <si>
    <t>MIMason</t>
  </si>
  <si>
    <t>Mecosta</t>
  </si>
  <si>
    <t>MIMecosta</t>
  </si>
  <si>
    <t>Menominee</t>
  </si>
  <si>
    <t>MIMenominee</t>
  </si>
  <si>
    <t>Midland</t>
  </si>
  <si>
    <t>MIMidland</t>
  </si>
  <si>
    <t>Missaukee</t>
  </si>
  <si>
    <t>MIMissaukee</t>
  </si>
  <si>
    <t>MIMonroe</t>
  </si>
  <si>
    <t>Montcalm</t>
  </si>
  <si>
    <t>MIMontcalm</t>
  </si>
  <si>
    <t>Montmorency</t>
  </si>
  <si>
    <t>MIMontmorency</t>
  </si>
  <si>
    <t>Muskegon</t>
  </si>
  <si>
    <t>MIMuskegon</t>
  </si>
  <si>
    <t>Newaygo</t>
  </si>
  <si>
    <t>MINewaygo</t>
  </si>
  <si>
    <t>Oakland</t>
  </si>
  <si>
    <t>MIOakland</t>
  </si>
  <si>
    <t>Oceana</t>
  </si>
  <si>
    <t>MIOceana</t>
  </si>
  <si>
    <t>Ogemaw</t>
  </si>
  <si>
    <t>MIOgemaw</t>
  </si>
  <si>
    <t>Ontonagon</t>
  </si>
  <si>
    <t>MIOntonagon</t>
  </si>
  <si>
    <t>MIOsceola</t>
  </si>
  <si>
    <t>Oscoda</t>
  </si>
  <si>
    <t>MIOscoda</t>
  </si>
  <si>
    <t>Otsego</t>
  </si>
  <si>
    <t>MIOtsego</t>
  </si>
  <si>
    <t>MIOttawa</t>
  </si>
  <si>
    <t>Presque Isle</t>
  </si>
  <si>
    <t>MIPresque Isle</t>
  </si>
  <si>
    <t>Roscommon</t>
  </si>
  <si>
    <t>MIRoscommon</t>
  </si>
  <si>
    <t>Saginaw</t>
  </si>
  <si>
    <t>MISaginaw</t>
  </si>
  <si>
    <t>Sanilac</t>
  </si>
  <si>
    <t>MISanilac</t>
  </si>
  <si>
    <t>Schoolcraft</t>
  </si>
  <si>
    <t>MISchoolcraft</t>
  </si>
  <si>
    <t>Shiawassee</t>
  </si>
  <si>
    <t>MIShiawassee</t>
  </si>
  <si>
    <t>MISt. Clair</t>
  </si>
  <si>
    <t>MISt. Joseph</t>
  </si>
  <si>
    <t>Tuscola</t>
  </si>
  <si>
    <t>MITuscola</t>
  </si>
  <si>
    <t>MIVan Buren</t>
  </si>
  <si>
    <t>Washtenaw</t>
  </si>
  <si>
    <t>MIWashtenaw</t>
  </si>
  <si>
    <t>MIWayne</t>
  </si>
  <si>
    <t>Wexford</t>
  </si>
  <si>
    <t>MIWexford</t>
  </si>
  <si>
    <t>Aitkin</t>
  </si>
  <si>
    <t>MNAitkin</t>
  </si>
  <si>
    <t>Anoka</t>
  </si>
  <si>
    <t>MNAnoka</t>
  </si>
  <si>
    <t>Becker</t>
  </si>
  <si>
    <t>MNBecker</t>
  </si>
  <si>
    <t>Beltrami</t>
  </si>
  <si>
    <t>MNBeltrami</t>
  </si>
  <si>
    <t>MNBenton</t>
  </si>
  <si>
    <t>Big Stone</t>
  </si>
  <si>
    <t>MNBig Stone</t>
  </si>
  <si>
    <t>Blue Earth</t>
  </si>
  <si>
    <t>MNBlue Earth</t>
  </si>
  <si>
    <t>MNBrown</t>
  </si>
  <si>
    <t>Carlton</t>
  </si>
  <si>
    <t>MNCarlton</t>
  </si>
  <si>
    <t>Carver</t>
  </si>
  <si>
    <t>MNCarver</t>
  </si>
  <si>
    <t>MNCass</t>
  </si>
  <si>
    <t>MNChippewa</t>
  </si>
  <si>
    <t>Chisago</t>
  </si>
  <si>
    <t>MNChisago</t>
  </si>
  <si>
    <t>MNClay</t>
  </si>
  <si>
    <t>MNClearwater</t>
  </si>
  <si>
    <t>MNCook</t>
  </si>
  <si>
    <t>Cottonwood</t>
  </si>
  <si>
    <t>MNCottonwood</t>
  </si>
  <si>
    <t>Crow Wing</t>
  </si>
  <si>
    <t>MNCrow Wing</t>
  </si>
  <si>
    <t>Dakota</t>
  </si>
  <si>
    <t>MNDakota</t>
  </si>
  <si>
    <t>MNDodge</t>
  </si>
  <si>
    <t>MNDouglas</t>
  </si>
  <si>
    <t>Faribault</t>
  </si>
  <si>
    <t>MNFaribault</t>
  </si>
  <si>
    <t>Fillmore</t>
  </si>
  <si>
    <t>MNFillmore</t>
  </si>
  <si>
    <t>Freeborn</t>
  </si>
  <si>
    <t>MNFreeborn</t>
  </si>
  <si>
    <t>Goodhue</t>
  </si>
  <si>
    <t>MNGoodhue</t>
  </si>
  <si>
    <t>MNGrant</t>
  </si>
  <si>
    <t>Hennepin</t>
  </si>
  <si>
    <t>MNHennepin</t>
  </si>
  <si>
    <t>MNHouston</t>
  </si>
  <si>
    <t>Hubbard</t>
  </si>
  <si>
    <t>MNHubbard</t>
  </si>
  <si>
    <t>Isanti</t>
  </si>
  <si>
    <t>MNIsanti</t>
  </si>
  <si>
    <t>Itasca</t>
  </si>
  <si>
    <t>MNItasca</t>
  </si>
  <si>
    <t>MNJackson</t>
  </si>
  <si>
    <t>Kanabec</t>
  </si>
  <si>
    <t>MNKanabec</t>
  </si>
  <si>
    <t>Kandiyohi</t>
  </si>
  <si>
    <t>MNKandiyohi</t>
  </si>
  <si>
    <t>Kittson</t>
  </si>
  <si>
    <t>MNKittson</t>
  </si>
  <si>
    <t>Koochiching</t>
  </si>
  <si>
    <t>MNKoochiching</t>
  </si>
  <si>
    <t>Lac qui Parle</t>
  </si>
  <si>
    <t>MNLac qui Parle</t>
  </si>
  <si>
    <t>MNLake</t>
  </si>
  <si>
    <t>Lake of the Woods</t>
  </si>
  <si>
    <t>MNLake of the Woods</t>
  </si>
  <si>
    <t>Le Sueur</t>
  </si>
  <si>
    <t>MNLe Sueur</t>
  </si>
  <si>
    <t>MNLincoln</t>
  </si>
  <si>
    <t>MNLyon</t>
  </si>
  <si>
    <t>Mahnomen</t>
  </si>
  <si>
    <t>MNMahnomen</t>
  </si>
  <si>
    <t>MNMarshall</t>
  </si>
  <si>
    <t>MNMartin</t>
  </si>
  <si>
    <t>MNMcLeod</t>
  </si>
  <si>
    <t>Meeker</t>
  </si>
  <si>
    <t>MNMeeker</t>
  </si>
  <si>
    <t>Mille Lacs</t>
  </si>
  <si>
    <t>MNMille Lacs</t>
  </si>
  <si>
    <t>Morrison</t>
  </si>
  <si>
    <t>MNMorrison</t>
  </si>
  <si>
    <t>Mower</t>
  </si>
  <si>
    <t>MNMower</t>
  </si>
  <si>
    <t>MNMurray</t>
  </si>
  <si>
    <t>Nicollet</t>
  </si>
  <si>
    <t>MNNicollet</t>
  </si>
  <si>
    <t>Nobles</t>
  </si>
  <si>
    <t>MNNobles</t>
  </si>
  <si>
    <t>Norman</t>
  </si>
  <si>
    <t>MNNorman</t>
  </si>
  <si>
    <t>Olmsted</t>
  </si>
  <si>
    <t>MNOlmsted</t>
  </si>
  <si>
    <t>Otter Tail</t>
  </si>
  <si>
    <t>MNOtter Tail</t>
  </si>
  <si>
    <t>Pennington</t>
  </si>
  <si>
    <t>MNPennington</t>
  </si>
  <si>
    <t>Pine</t>
  </si>
  <si>
    <t>MNPine</t>
  </si>
  <si>
    <t>Pipestone</t>
  </si>
  <si>
    <t>MNPipestone</t>
  </si>
  <si>
    <t>MNPolk</t>
  </si>
  <si>
    <t>MNPope</t>
  </si>
  <si>
    <t>MNRamsey</t>
  </si>
  <si>
    <t>Red Lake</t>
  </si>
  <si>
    <t>MNRed Lake</t>
  </si>
  <si>
    <t>Redwood</t>
  </si>
  <si>
    <t>MNRedwood</t>
  </si>
  <si>
    <t>Renville</t>
  </si>
  <si>
    <t>MNRenville</t>
  </si>
  <si>
    <t>MNRice</t>
  </si>
  <si>
    <t>Rock</t>
  </si>
  <si>
    <t>MNRock</t>
  </si>
  <si>
    <t>Roseau</t>
  </si>
  <si>
    <t>MNRoseau</t>
  </si>
  <si>
    <t>MNScott</t>
  </si>
  <si>
    <t>Sherburne</t>
  </si>
  <si>
    <t>MNSherburne</t>
  </si>
  <si>
    <t>Sibley</t>
  </si>
  <si>
    <t>MNSibley</t>
  </si>
  <si>
    <t>MNSt. Louis</t>
  </si>
  <si>
    <t>Stearns</t>
  </si>
  <si>
    <t>MNStearns</t>
  </si>
  <si>
    <t>MNSteele</t>
  </si>
  <si>
    <t>MNStevens</t>
  </si>
  <si>
    <t>Swift</t>
  </si>
  <si>
    <t>MNSwift</t>
  </si>
  <si>
    <t>MNTodd</t>
  </si>
  <si>
    <t>Traverse</t>
  </si>
  <si>
    <t>MNTraverse</t>
  </si>
  <si>
    <t>Wabasha</t>
  </si>
  <si>
    <t>MNWabasha</t>
  </si>
  <si>
    <t>Wadena</t>
  </si>
  <si>
    <t>MNWadena</t>
  </si>
  <si>
    <t>Waseca</t>
  </si>
  <si>
    <t>MNWaseca</t>
  </si>
  <si>
    <t>MNWashington</t>
  </si>
  <si>
    <t>Watonwan</t>
  </si>
  <si>
    <t>MNWatonwan</t>
  </si>
  <si>
    <t>MNWilkin</t>
  </si>
  <si>
    <t>Winona</t>
  </si>
  <si>
    <t>MNWinona</t>
  </si>
  <si>
    <t>MNWright</t>
  </si>
  <si>
    <t>Yellow Medicine</t>
  </si>
  <si>
    <t>MNYellow Medicine</t>
  </si>
  <si>
    <t>MOAdair</t>
  </si>
  <si>
    <t>MOAndrew</t>
  </si>
  <si>
    <t>MOAtchison</t>
  </si>
  <si>
    <t>Audrain</t>
  </si>
  <si>
    <t>MOAudrain</t>
  </si>
  <si>
    <t>MOBarry</t>
  </si>
  <si>
    <t>MOBarton</t>
  </si>
  <si>
    <t>Bates</t>
  </si>
  <si>
    <t>MOBates</t>
  </si>
  <si>
    <t>MOBenton</t>
  </si>
  <si>
    <t>Bollinger</t>
  </si>
  <si>
    <t>MOBollinger</t>
  </si>
  <si>
    <t>MOBoone</t>
  </si>
  <si>
    <t>MOBuchanan</t>
  </si>
  <si>
    <t>MOButler</t>
  </si>
  <si>
    <t>MOCaldwell</t>
  </si>
  <si>
    <t>Callaway</t>
  </si>
  <si>
    <t>MOCallaway</t>
  </si>
  <si>
    <t>MOCamden</t>
  </si>
  <si>
    <t>Cape Girardeau</t>
  </si>
  <si>
    <t>MOCape Girardeau</t>
  </si>
  <si>
    <t>MOCarroll</t>
  </si>
  <si>
    <t>MOCarter</t>
  </si>
  <si>
    <t>MOCass</t>
  </si>
  <si>
    <t>MOCedar</t>
  </si>
  <si>
    <t>Chariton</t>
  </si>
  <si>
    <t>MOChariton</t>
  </si>
  <si>
    <t>MOChristian</t>
  </si>
  <si>
    <t>MOClark</t>
  </si>
  <si>
    <t>MOClay</t>
  </si>
  <si>
    <t>MOClinton</t>
  </si>
  <si>
    <t>MOCole</t>
  </si>
  <si>
    <t>MOCooper</t>
  </si>
  <si>
    <t>MOCrawford</t>
  </si>
  <si>
    <t>MODade</t>
  </si>
  <si>
    <t>MODallas</t>
  </si>
  <si>
    <t>MODaviess</t>
  </si>
  <si>
    <t>MODeKalb</t>
  </si>
  <si>
    <t>Dent</t>
  </si>
  <si>
    <t>MODent</t>
  </si>
  <si>
    <t>MODouglas</t>
  </si>
  <si>
    <t>Dunklin</t>
  </si>
  <si>
    <t>MODunklin</t>
  </si>
  <si>
    <t>MOFranklin</t>
  </si>
  <si>
    <t>Gasconade</t>
  </si>
  <si>
    <t>MOGasconade</t>
  </si>
  <si>
    <t>Gentry</t>
  </si>
  <si>
    <t>MOGentry</t>
  </si>
  <si>
    <t>MOGreene</t>
  </si>
  <si>
    <t>MOGrundy</t>
  </si>
  <si>
    <t>MOHarrison</t>
  </si>
  <si>
    <t>MOHenry</t>
  </si>
  <si>
    <t>Hickory</t>
  </si>
  <si>
    <t>MOHickory</t>
  </si>
  <si>
    <t>MOHolt</t>
  </si>
  <si>
    <t>MOHoward</t>
  </si>
  <si>
    <t>Howell</t>
  </si>
  <si>
    <t>MOHowell</t>
  </si>
  <si>
    <t>MOIron</t>
  </si>
  <si>
    <t>MOJackson</t>
  </si>
  <si>
    <t>MOJasper</t>
  </si>
  <si>
    <t>MOJefferson</t>
  </si>
  <si>
    <t>MOJohnson</t>
  </si>
  <si>
    <t>MOKnox</t>
  </si>
  <si>
    <t>Laclede</t>
  </si>
  <si>
    <t>MOLaclede</t>
  </si>
  <si>
    <t>MOLafayette</t>
  </si>
  <si>
    <t>MOLawrence</t>
  </si>
  <si>
    <t>MOLewis</t>
  </si>
  <si>
    <t>MOLincoln</t>
  </si>
  <si>
    <t>MOLinn</t>
  </si>
  <si>
    <t>MOLivingston</t>
  </si>
  <si>
    <t>MOMacon</t>
  </si>
  <si>
    <t>MOMadison</t>
  </si>
  <si>
    <t>Maries</t>
  </si>
  <si>
    <t>MOMaries</t>
  </si>
  <si>
    <t>MOMarion</t>
  </si>
  <si>
    <t>MOMcDonald</t>
  </si>
  <si>
    <t>MOMercer</t>
  </si>
  <si>
    <t>MOMiller</t>
  </si>
  <si>
    <t>MOMississippi</t>
  </si>
  <si>
    <t>Moniteau</t>
  </si>
  <si>
    <t>MOMoniteau</t>
  </si>
  <si>
    <t>MOMonroe</t>
  </si>
  <si>
    <t>MOMontgomery</t>
  </si>
  <si>
    <t>MOMorgan</t>
  </si>
  <si>
    <t>New Madrid</t>
  </si>
  <si>
    <t>MONew Madrid</t>
  </si>
  <si>
    <t>MONewton</t>
  </si>
  <si>
    <t>Nodaway</t>
  </si>
  <si>
    <t>MONodaway</t>
  </si>
  <si>
    <t>Oregon</t>
  </si>
  <si>
    <t>MOOregon</t>
  </si>
  <si>
    <t>MOOsage</t>
  </si>
  <si>
    <t>Ozark</t>
  </si>
  <si>
    <t>MOOzark</t>
  </si>
  <si>
    <t>Pemiscot</t>
  </si>
  <si>
    <t>MOPemiscot</t>
  </si>
  <si>
    <t>MOPerry</t>
  </si>
  <si>
    <t>Pettis</t>
  </si>
  <si>
    <t>MOPettis</t>
  </si>
  <si>
    <t>Phelps</t>
  </si>
  <si>
    <t>MOPhelps</t>
  </si>
  <si>
    <t>MOPike</t>
  </si>
  <si>
    <t>Platte</t>
  </si>
  <si>
    <t>MOPlatte</t>
  </si>
  <si>
    <t>MOPolk</t>
  </si>
  <si>
    <t>MOPulaski</t>
  </si>
  <si>
    <t>MOPutnam</t>
  </si>
  <si>
    <t>Ralls</t>
  </si>
  <si>
    <t>MORalls</t>
  </si>
  <si>
    <t>MORandolph</t>
  </si>
  <si>
    <t>Ray</t>
  </si>
  <si>
    <t>MORay</t>
  </si>
  <si>
    <t>MOReynolds</t>
  </si>
  <si>
    <t>MORipley</t>
  </si>
  <si>
    <t>MOSaline</t>
  </si>
  <si>
    <t>MOSchuyler</t>
  </si>
  <si>
    <t>MOScotland</t>
  </si>
  <si>
    <t>MOScott</t>
  </si>
  <si>
    <t>Shannon</t>
  </si>
  <si>
    <t>MOShannon</t>
  </si>
  <si>
    <t>MOShelby</t>
  </si>
  <si>
    <t>MOSt. Charles</t>
  </si>
  <si>
    <t>MOSt. Clair</t>
  </si>
  <si>
    <t>St. Francois</t>
  </si>
  <si>
    <t>MOSt. Francois</t>
  </si>
  <si>
    <t>MOSt. Louis</t>
  </si>
  <si>
    <t>Ste. Genevieve</t>
  </si>
  <si>
    <t>MOSte. Genevieve</t>
  </si>
  <si>
    <t>Stoddard</t>
  </si>
  <si>
    <t>MOStoddard</t>
  </si>
  <si>
    <t>MOStone</t>
  </si>
  <si>
    <t>MOSullivan</t>
  </si>
  <si>
    <t>Taney</t>
  </si>
  <si>
    <t>MOTaney</t>
  </si>
  <si>
    <t>Texas</t>
  </si>
  <si>
    <t>MOTexas</t>
  </si>
  <si>
    <t>MOVernon</t>
  </si>
  <si>
    <t>MOWarren</t>
  </si>
  <si>
    <t>MOWashington</t>
  </si>
  <si>
    <t>MOWayne</t>
  </si>
  <si>
    <t>MOWebster</t>
  </si>
  <si>
    <t>MOWorth</t>
  </si>
  <si>
    <t>MOWright</t>
  </si>
  <si>
    <t>MSAdams</t>
  </si>
  <si>
    <t>Alcorn</t>
  </si>
  <si>
    <t>MSAlcorn</t>
  </si>
  <si>
    <t>Amite</t>
  </si>
  <si>
    <t>MSAmite</t>
  </si>
  <si>
    <t>Attala</t>
  </si>
  <si>
    <t>MSAttala</t>
  </si>
  <si>
    <t>MSBenton</t>
  </si>
  <si>
    <t>Bolivar</t>
  </si>
  <si>
    <t>MSBolivar</t>
  </si>
  <si>
    <t>MSCalhoun</t>
  </si>
  <si>
    <t>MSCarroll</t>
  </si>
  <si>
    <t>MSChickasaw</t>
  </si>
  <si>
    <t>MSChoctaw</t>
  </si>
  <si>
    <t>MSClaiborne</t>
  </si>
  <si>
    <t>MSClarke</t>
  </si>
  <si>
    <t>MSClay</t>
  </si>
  <si>
    <t>Coahoma</t>
  </si>
  <si>
    <t>MSCoahoma</t>
  </si>
  <si>
    <t>Copiah</t>
  </si>
  <si>
    <t>MSCopiah</t>
  </si>
  <si>
    <t>MSCovington</t>
  </si>
  <si>
    <t>MSDeSoto</t>
  </si>
  <si>
    <t>Forrest</t>
  </si>
  <si>
    <t>MSForrest</t>
  </si>
  <si>
    <t>MSFranklin</t>
  </si>
  <si>
    <t>MSGeorge</t>
  </si>
  <si>
    <t>MSGreene</t>
  </si>
  <si>
    <t>MSGrenada</t>
  </si>
  <si>
    <t>MSHancock</t>
  </si>
  <si>
    <t>MSHarrison</t>
  </si>
  <si>
    <t>Hinds</t>
  </si>
  <si>
    <t>MSHinds</t>
  </si>
  <si>
    <t>MSHolmes</t>
  </si>
  <si>
    <t>Humphreys</t>
  </si>
  <si>
    <t>MSHumphreys</t>
  </si>
  <si>
    <t>Issaquena</t>
  </si>
  <si>
    <t>MSIssaquena</t>
  </si>
  <si>
    <t>Itawamba</t>
  </si>
  <si>
    <t>MSItawamba</t>
  </si>
  <si>
    <t>MSJackson</t>
  </si>
  <si>
    <t>MSJasper</t>
  </si>
  <si>
    <t>MSJefferson</t>
  </si>
  <si>
    <t>MSJefferson Davis</t>
  </si>
  <si>
    <t>MSJones</t>
  </si>
  <si>
    <t>Kemper</t>
  </si>
  <si>
    <t>MSKemper</t>
  </si>
  <si>
    <t>MSLafayette</t>
  </si>
  <si>
    <t>MSLamar</t>
  </si>
  <si>
    <t>MSLauderdale</t>
  </si>
  <si>
    <t>MSLawrence</t>
  </si>
  <si>
    <t>Leake</t>
  </si>
  <si>
    <t>MSLeake</t>
  </si>
  <si>
    <t>MSLee</t>
  </si>
  <si>
    <t>Leflore</t>
  </si>
  <si>
    <t>MSLeflore</t>
  </si>
  <si>
    <t>MSLincoln</t>
  </si>
  <si>
    <t>MSLowndes</t>
  </si>
  <si>
    <t>MSMadison</t>
  </si>
  <si>
    <t>MSMarion</t>
  </si>
  <si>
    <t>MSMarshall</t>
  </si>
  <si>
    <t>MSMonroe</t>
  </si>
  <si>
    <t>MSMontgomery</t>
  </si>
  <si>
    <t>Neshoba</t>
  </si>
  <si>
    <t>MSNeshoba</t>
  </si>
  <si>
    <t>MSNewton</t>
  </si>
  <si>
    <t>Noxubee</t>
  </si>
  <si>
    <t>MSNoxubee</t>
  </si>
  <si>
    <t>Oktibbeha</t>
  </si>
  <si>
    <t>MSOktibbeha</t>
  </si>
  <si>
    <t>Panola</t>
  </si>
  <si>
    <t>MSPanola</t>
  </si>
  <si>
    <t>Pearl River</t>
  </si>
  <si>
    <t>MSPearl River</t>
  </si>
  <si>
    <t>MSPerry</t>
  </si>
  <si>
    <t>MSPike</t>
  </si>
  <si>
    <t>Pontotoc</t>
  </si>
  <si>
    <t>MSPontotoc</t>
  </si>
  <si>
    <t>Prentiss</t>
  </si>
  <si>
    <t>MSPrentiss</t>
  </si>
  <si>
    <t>MSQuitman</t>
  </si>
  <si>
    <t>Rankin</t>
  </si>
  <si>
    <t>MSRankin</t>
  </si>
  <si>
    <t>MSScott</t>
  </si>
  <si>
    <t>Sharkey</t>
  </si>
  <si>
    <t>MSSharkey</t>
  </si>
  <si>
    <t>MSSimpson</t>
  </si>
  <si>
    <t>MSSmith</t>
  </si>
  <si>
    <t>MSStone</t>
  </si>
  <si>
    <t>Sunflower</t>
  </si>
  <si>
    <t>MSSunflower</t>
  </si>
  <si>
    <t>Tallahatchie</t>
  </si>
  <si>
    <t>MSTallahatchie</t>
  </si>
  <si>
    <t>Tate</t>
  </si>
  <si>
    <t>MSTate</t>
  </si>
  <si>
    <t>Tippah</t>
  </si>
  <si>
    <t>MSTippah</t>
  </si>
  <si>
    <t>Tishomingo</t>
  </si>
  <si>
    <t>MSTishomingo</t>
  </si>
  <si>
    <t>Tunica</t>
  </si>
  <si>
    <t>MSTunica</t>
  </si>
  <si>
    <t>MSUnion</t>
  </si>
  <si>
    <t>Walthall</t>
  </si>
  <si>
    <t>MSWalthall</t>
  </si>
  <si>
    <t>MSWarren</t>
  </si>
  <si>
    <t>MSWashington</t>
  </si>
  <si>
    <t>MSWayne</t>
  </si>
  <si>
    <t>MSWebster</t>
  </si>
  <si>
    <t>MSWilkinson</t>
  </si>
  <si>
    <t>MSWinston</t>
  </si>
  <si>
    <t>Yalobusha</t>
  </si>
  <si>
    <t>MSYalobusha</t>
  </si>
  <si>
    <t>Yazoo</t>
  </si>
  <si>
    <t>MSYazoo</t>
  </si>
  <si>
    <t>Beaverhead</t>
  </si>
  <si>
    <t>MTBeaverhead</t>
  </si>
  <si>
    <t>Big Horn</t>
  </si>
  <si>
    <t>MTBig Horn</t>
  </si>
  <si>
    <t>MTBlaine</t>
  </si>
  <si>
    <t>Broadwater</t>
  </si>
  <si>
    <t>MTBroadwater</t>
  </si>
  <si>
    <t>Carbon</t>
  </si>
  <si>
    <t>MTCarbon</t>
  </si>
  <si>
    <t>MTCarter</t>
  </si>
  <si>
    <t>Cascade</t>
  </si>
  <si>
    <t>MTCascade</t>
  </si>
  <si>
    <t>Chouteau</t>
  </si>
  <si>
    <t>MTChouteau</t>
  </si>
  <si>
    <t>MTCuster</t>
  </si>
  <si>
    <t>Daniels</t>
  </si>
  <si>
    <t>MTDaniels</t>
  </si>
  <si>
    <t>MTDawson</t>
  </si>
  <si>
    <t>Deer Lodge</t>
  </si>
  <si>
    <t>MTDeer Lodge</t>
  </si>
  <si>
    <t>Fallon</t>
  </si>
  <si>
    <t>MTFallon</t>
  </si>
  <si>
    <t>Fergus</t>
  </si>
  <si>
    <t>MTFergus</t>
  </si>
  <si>
    <t>Flathead</t>
  </si>
  <si>
    <t>MTFlathead</t>
  </si>
  <si>
    <t>MTGallatin</t>
  </si>
  <si>
    <t>MTGarfield</t>
  </si>
  <si>
    <t>Glacier</t>
  </si>
  <si>
    <t>MTGlacier</t>
  </si>
  <si>
    <t>Golden Valley</t>
  </si>
  <si>
    <t>MTGolden Valley</t>
  </si>
  <si>
    <t>Granite</t>
  </si>
  <si>
    <t>MTGranite</t>
  </si>
  <si>
    <t>MTHill</t>
  </si>
  <si>
    <t>MTJefferson</t>
  </si>
  <si>
    <t>Judith Basin</t>
  </si>
  <si>
    <t>MTJudith Basin</t>
  </si>
  <si>
    <t>MTLake</t>
  </si>
  <si>
    <t>Lewis and Clark</t>
  </si>
  <si>
    <t>MTLewis and Clark</t>
  </si>
  <si>
    <t>MTLiberty</t>
  </si>
  <si>
    <t>MTLincoln</t>
  </si>
  <si>
    <t>MTMadison</t>
  </si>
  <si>
    <t>McCone</t>
  </si>
  <si>
    <t>MTMcCone</t>
  </si>
  <si>
    <t>Meagher</t>
  </si>
  <si>
    <t>MTMeagher</t>
  </si>
  <si>
    <t>MTMineral</t>
  </si>
  <si>
    <t>Missoula</t>
  </si>
  <si>
    <t>MTMissoula</t>
  </si>
  <si>
    <t>Musselshell</t>
  </si>
  <si>
    <t>MTMusselshell</t>
  </si>
  <si>
    <t>MTPark</t>
  </si>
  <si>
    <t>Petroleum</t>
  </si>
  <si>
    <t>MTPetroleum</t>
  </si>
  <si>
    <t>MTPhillips</t>
  </si>
  <si>
    <t>Pondera</t>
  </si>
  <si>
    <t>MTPondera</t>
  </si>
  <si>
    <t>Powder River</t>
  </si>
  <si>
    <t>MTPowder River</t>
  </si>
  <si>
    <t>MTPowell</t>
  </si>
  <si>
    <t>MTPrairie</t>
  </si>
  <si>
    <t>Ravalli</t>
  </si>
  <si>
    <t>MTRavalli</t>
  </si>
  <si>
    <t>MTRichland</t>
  </si>
  <si>
    <t>Roosevelt</t>
  </si>
  <si>
    <t>MTRoosevelt</t>
  </si>
  <si>
    <t>Rosebud</t>
  </si>
  <si>
    <t>MTRosebud</t>
  </si>
  <si>
    <t>MTSanders</t>
  </si>
  <si>
    <t>MTSheridan</t>
  </si>
  <si>
    <t>Silver Bow</t>
  </si>
  <si>
    <t>MTSilver Bow</t>
  </si>
  <si>
    <t>Stillwater</t>
  </si>
  <si>
    <t>MTStillwater</t>
  </si>
  <si>
    <t>Sweet Grass</t>
  </si>
  <si>
    <t>MTSweet Grass</t>
  </si>
  <si>
    <t>MTTeton</t>
  </si>
  <si>
    <t>Toole</t>
  </si>
  <si>
    <t>MTToole</t>
  </si>
  <si>
    <t>Treasure</t>
  </si>
  <si>
    <t>MTTreasure</t>
  </si>
  <si>
    <t>MTValley</t>
  </si>
  <si>
    <t>Wheatland</t>
  </si>
  <si>
    <t>MTWheatland</t>
  </si>
  <si>
    <t>Wibaux</t>
  </si>
  <si>
    <t>MTWibaux</t>
  </si>
  <si>
    <t>Yellowstone</t>
  </si>
  <si>
    <t>MTYellowstone</t>
  </si>
  <si>
    <t>Alamance</t>
  </si>
  <si>
    <t>NCAlamance</t>
  </si>
  <si>
    <t>NCAlexander</t>
  </si>
  <si>
    <t>Alleghany</t>
  </si>
  <si>
    <t>NCAlleghany</t>
  </si>
  <si>
    <t>NCAnson</t>
  </si>
  <si>
    <t>NCAshe</t>
  </si>
  <si>
    <t>Avery</t>
  </si>
  <si>
    <t>NCAvery</t>
  </si>
  <si>
    <t>NCBeaufort</t>
  </si>
  <si>
    <t>Bertie</t>
  </si>
  <si>
    <t>NCBertie</t>
  </si>
  <si>
    <t>Bladen</t>
  </si>
  <si>
    <t>NCBladen</t>
  </si>
  <si>
    <t>NCBrunswick</t>
  </si>
  <si>
    <t>Buncombe</t>
  </si>
  <si>
    <t>NCBuncombe</t>
  </si>
  <si>
    <t>NCBurke</t>
  </si>
  <si>
    <t>Cabarrus</t>
  </si>
  <si>
    <t>NCCabarrus</t>
  </si>
  <si>
    <t>NCCaldwell</t>
  </si>
  <si>
    <t>NCCamden</t>
  </si>
  <si>
    <t>Carteret</t>
  </si>
  <si>
    <t>NCCarteret</t>
  </si>
  <si>
    <t>NCCaswell</t>
  </si>
  <si>
    <t>Catawba</t>
  </si>
  <si>
    <t>NCCatawba</t>
  </si>
  <si>
    <t>NCChatham</t>
  </si>
  <si>
    <t>NCCherokee</t>
  </si>
  <si>
    <t>Chowan</t>
  </si>
  <si>
    <t>NCChowan</t>
  </si>
  <si>
    <t>NCClay</t>
  </si>
  <si>
    <t>NCCleveland</t>
  </si>
  <si>
    <t>Columbus</t>
  </si>
  <si>
    <t>NCColumbus</t>
  </si>
  <si>
    <t>Craven</t>
  </si>
  <si>
    <t>NCCraven</t>
  </si>
  <si>
    <t>NCCumberland</t>
  </si>
  <si>
    <t>Currituck</t>
  </si>
  <si>
    <t>NCCurrituck</t>
  </si>
  <si>
    <t>Dare</t>
  </si>
  <si>
    <t>NCDare</t>
  </si>
  <si>
    <t>Davidson</t>
  </si>
  <si>
    <t>NCDavidson</t>
  </si>
  <si>
    <t>Davie</t>
  </si>
  <si>
    <t>NCDavie</t>
  </si>
  <si>
    <t>Duplin</t>
  </si>
  <si>
    <t>NCDuplin</t>
  </si>
  <si>
    <t>Durham</t>
  </si>
  <si>
    <t>NCDurham</t>
  </si>
  <si>
    <t>Edgecombe</t>
  </si>
  <si>
    <t>NCEdgecombe</t>
  </si>
  <si>
    <t>NCForsyth</t>
  </si>
  <si>
    <t>NCFranklin</t>
  </si>
  <si>
    <t>Gaston</t>
  </si>
  <si>
    <t>NCGaston</t>
  </si>
  <si>
    <t>Gates</t>
  </si>
  <si>
    <t>NCGates</t>
  </si>
  <si>
    <t>NCGraham</t>
  </si>
  <si>
    <t>Granville</t>
  </si>
  <si>
    <t>NCGranville</t>
  </si>
  <si>
    <t>NCGreene</t>
  </si>
  <si>
    <t>Guilford</t>
  </si>
  <si>
    <t>NCGuilford</t>
  </si>
  <si>
    <t>NCHalifax</t>
  </si>
  <si>
    <t>Harnett</t>
  </si>
  <si>
    <t>NCHarnett</t>
  </si>
  <si>
    <t>Haywood</t>
  </si>
  <si>
    <t>NCHaywood</t>
  </si>
  <si>
    <t>NCHenderson</t>
  </si>
  <si>
    <t>Hertford</t>
  </si>
  <si>
    <t>NCHertford</t>
  </si>
  <si>
    <t>Hoke</t>
  </si>
  <si>
    <t>NCHoke</t>
  </si>
  <si>
    <t>Hyde</t>
  </si>
  <si>
    <t>NCHyde</t>
  </si>
  <si>
    <t>Iredell</t>
  </si>
  <si>
    <t>NCIredell</t>
  </si>
  <si>
    <t>NCJackson</t>
  </si>
  <si>
    <t>NCJohnston</t>
  </si>
  <si>
    <t>NCJones</t>
  </si>
  <si>
    <t>NCLee</t>
  </si>
  <si>
    <t>Lenoir</t>
  </si>
  <si>
    <t>NCLenoir</t>
  </si>
  <si>
    <t>NCLincoln</t>
  </si>
  <si>
    <t>NCMacon</t>
  </si>
  <si>
    <t>NCMadison</t>
  </si>
  <si>
    <t>NCMartin</t>
  </si>
  <si>
    <t>McDowell</t>
  </si>
  <si>
    <t>NCMcDowell</t>
  </si>
  <si>
    <t>Mecklenburg</t>
  </si>
  <si>
    <t>NCMecklenburg</t>
  </si>
  <si>
    <t>NCMitchell</t>
  </si>
  <si>
    <t>NCMontgomery</t>
  </si>
  <si>
    <t>NCMoore</t>
  </si>
  <si>
    <t>NCNash</t>
  </si>
  <si>
    <t>New Hanover</t>
  </si>
  <si>
    <t>NCNew Hanover</t>
  </si>
  <si>
    <t>NCNorthampton</t>
  </si>
  <si>
    <t>Onslow</t>
  </si>
  <si>
    <t>NCOnslow</t>
  </si>
  <si>
    <t>NCOrange</t>
  </si>
  <si>
    <t>Pamlico</t>
  </si>
  <si>
    <t>NCPamlico</t>
  </si>
  <si>
    <t>Pasquotank</t>
  </si>
  <si>
    <t>NCPasquotank</t>
  </si>
  <si>
    <t>Pender</t>
  </si>
  <si>
    <t>NCPender</t>
  </si>
  <si>
    <t>Perquimans</t>
  </si>
  <si>
    <t>NCPerquimans</t>
  </si>
  <si>
    <t>Person</t>
  </si>
  <si>
    <t>NCPerson</t>
  </si>
  <si>
    <t>NCPitt</t>
  </si>
  <si>
    <t>NCPolk</t>
  </si>
  <si>
    <t>NCRandolph</t>
  </si>
  <si>
    <t>NCRichmond</t>
  </si>
  <si>
    <t>Robeson</t>
  </si>
  <si>
    <t>NCRobeson</t>
  </si>
  <si>
    <t>Rockingham</t>
  </si>
  <si>
    <t>NCRockingham</t>
  </si>
  <si>
    <t>NCRowan</t>
  </si>
  <si>
    <t>Rutherford</t>
  </si>
  <si>
    <t>NCRutherford</t>
  </si>
  <si>
    <t>NCSampson</t>
  </si>
  <si>
    <t>NCScotland</t>
  </si>
  <si>
    <t>NCStanly</t>
  </si>
  <si>
    <t>NCStokes</t>
  </si>
  <si>
    <t>Surry</t>
  </si>
  <si>
    <t>NCSurry</t>
  </si>
  <si>
    <t>Swain</t>
  </si>
  <si>
    <t>NCSwain</t>
  </si>
  <si>
    <t>Transylvania</t>
  </si>
  <si>
    <t>NCTransylvania</t>
  </si>
  <si>
    <t>Tyrrell</t>
  </si>
  <si>
    <t>NCTyrrell</t>
  </si>
  <si>
    <t>NCUnion</t>
  </si>
  <si>
    <t>Vance</t>
  </si>
  <si>
    <t>NCVance</t>
  </si>
  <si>
    <t>Wake</t>
  </si>
  <si>
    <t>NCWake</t>
  </si>
  <si>
    <t>NCWarren</t>
  </si>
  <si>
    <t>NCWashington</t>
  </si>
  <si>
    <t>Watauga</t>
  </si>
  <si>
    <t>NCWatauga</t>
  </si>
  <si>
    <t>NCWayne</t>
  </si>
  <si>
    <t>NCWilkes</t>
  </si>
  <si>
    <t>NCWilson</t>
  </si>
  <si>
    <t>Yadkin</t>
  </si>
  <si>
    <t>NCYadkin</t>
  </si>
  <si>
    <t>Yancey</t>
  </si>
  <si>
    <t>NCYancey</t>
  </si>
  <si>
    <t>NDAdams</t>
  </si>
  <si>
    <t>NDBarnes</t>
  </si>
  <si>
    <t>NDBenson</t>
  </si>
  <si>
    <t>Billings</t>
  </si>
  <si>
    <t>NDBillings</t>
  </si>
  <si>
    <t>Bottineau</t>
  </si>
  <si>
    <t>NDBottineau</t>
  </si>
  <si>
    <t>Bowman</t>
  </si>
  <si>
    <t>NDBowman</t>
  </si>
  <si>
    <t>NDBurke</t>
  </si>
  <si>
    <t>Burleigh</t>
  </si>
  <si>
    <t>NDBurleigh</t>
  </si>
  <si>
    <t>NDCass</t>
  </si>
  <si>
    <t>Cavalier</t>
  </si>
  <si>
    <t>NDCavalier</t>
  </si>
  <si>
    <t>Dickey</t>
  </si>
  <si>
    <t>NDDickey</t>
  </si>
  <si>
    <t>Divide</t>
  </si>
  <si>
    <t>NDDivide</t>
  </si>
  <si>
    <t>NDDunn</t>
  </si>
  <si>
    <t>Eddy</t>
  </si>
  <si>
    <t>NDEddy</t>
  </si>
  <si>
    <t>Emmons</t>
  </si>
  <si>
    <t>NDEmmons</t>
  </si>
  <si>
    <t>NDFoster</t>
  </si>
  <si>
    <t>NDGolden Valley</t>
  </si>
  <si>
    <t>Grand Forks</t>
  </si>
  <si>
    <t>NDGrand Forks</t>
  </si>
  <si>
    <t>NDGrant</t>
  </si>
  <si>
    <t>NDGriggs</t>
  </si>
  <si>
    <t>Hettinger</t>
  </si>
  <si>
    <t>NDHettinger</t>
  </si>
  <si>
    <t>Kidder</t>
  </si>
  <si>
    <t>NDKidder</t>
  </si>
  <si>
    <t>LaMoure</t>
  </si>
  <si>
    <t>NDLaMoure</t>
  </si>
  <si>
    <t>NDLogan</t>
  </si>
  <si>
    <t>NDMcHenry</t>
  </si>
  <si>
    <t>NDMcIntosh</t>
  </si>
  <si>
    <t>NDMcKenzie</t>
  </si>
  <si>
    <t>NDMcLean</t>
  </si>
  <si>
    <t>NDMercer</t>
  </si>
  <si>
    <t>NDMorton</t>
  </si>
  <si>
    <t>Mountrail</t>
  </si>
  <si>
    <t>NDMountrail</t>
  </si>
  <si>
    <t>NDNelson</t>
  </si>
  <si>
    <t>NDOliver</t>
  </si>
  <si>
    <t>Pembina</t>
  </si>
  <si>
    <t>NDPembina</t>
  </si>
  <si>
    <t>NDPierce</t>
  </si>
  <si>
    <t>NDRamsey</t>
  </si>
  <si>
    <t>Ransom</t>
  </si>
  <si>
    <t>NDRansom</t>
  </si>
  <si>
    <t>NDRenville</t>
  </si>
  <si>
    <t>NDRichland</t>
  </si>
  <si>
    <t>Rolette</t>
  </si>
  <si>
    <t>NDRolette</t>
  </si>
  <si>
    <t>Sargent</t>
  </si>
  <si>
    <t>NDSargent</t>
  </si>
  <si>
    <t>NDSheridan</t>
  </si>
  <si>
    <t>NDSioux</t>
  </si>
  <si>
    <t>Slope</t>
  </si>
  <si>
    <t>NDSlope</t>
  </si>
  <si>
    <t>NDStark</t>
  </si>
  <si>
    <t>NDSteele</t>
  </si>
  <si>
    <t>Stutsman</t>
  </si>
  <si>
    <t>NDStutsman</t>
  </si>
  <si>
    <t>Towner</t>
  </si>
  <si>
    <t>NDTowner</t>
  </si>
  <si>
    <t>Traill</t>
  </si>
  <si>
    <t>NDTraill</t>
  </si>
  <si>
    <t>Walsh</t>
  </si>
  <si>
    <t>NDWalsh</t>
  </si>
  <si>
    <t>NDWard</t>
  </si>
  <si>
    <t>NDWells</t>
  </si>
  <si>
    <t>NDWilliams</t>
  </si>
  <si>
    <t>NEAdams</t>
  </si>
  <si>
    <t>NEAntelope</t>
  </si>
  <si>
    <t>NEArthur</t>
  </si>
  <si>
    <t>Banner</t>
  </si>
  <si>
    <t>NEBanner</t>
  </si>
  <si>
    <t>NEBlaine</t>
  </si>
  <si>
    <t>NEBoone</t>
  </si>
  <si>
    <t>Box Butte</t>
  </si>
  <si>
    <t>NEBox Butte</t>
  </si>
  <si>
    <t>NEBoyd</t>
  </si>
  <si>
    <t>NEBrown</t>
  </si>
  <si>
    <t>Buffalo</t>
  </si>
  <si>
    <t>NEBuffalo</t>
  </si>
  <si>
    <t>Burt</t>
  </si>
  <si>
    <t>NEBurt</t>
  </si>
  <si>
    <t>NEButler</t>
  </si>
  <si>
    <t>NECass</t>
  </si>
  <si>
    <t>NECedar</t>
  </si>
  <si>
    <t>NEChase</t>
  </si>
  <si>
    <t>NECherry</t>
  </si>
  <si>
    <t>NECheyenne</t>
  </si>
  <si>
    <t>NEClay</t>
  </si>
  <si>
    <t>Colfax</t>
  </si>
  <si>
    <t>NEColfax</t>
  </si>
  <si>
    <t>Cuming</t>
  </si>
  <si>
    <t>NECuming</t>
  </si>
  <si>
    <t>NECuster</t>
  </si>
  <si>
    <t>NEDakota</t>
  </si>
  <si>
    <t>Dawes</t>
  </si>
  <si>
    <t>NEDawes</t>
  </si>
  <si>
    <t>NEDawson</t>
  </si>
  <si>
    <t>Deuel</t>
  </si>
  <si>
    <t>NEDeuel</t>
  </si>
  <si>
    <t>NEDixon</t>
  </si>
  <si>
    <t>NEDodge</t>
  </si>
  <si>
    <t>NEDouglas</t>
  </si>
  <si>
    <t>Dundy</t>
  </si>
  <si>
    <t>NEDundy</t>
  </si>
  <si>
    <t>NEFillmore</t>
  </si>
  <si>
    <t>NEFranklin</t>
  </si>
  <si>
    <t>Frontier</t>
  </si>
  <si>
    <t>NEFrontier</t>
  </si>
  <si>
    <t>Furnas</t>
  </si>
  <si>
    <t>NEFurnas</t>
  </si>
  <si>
    <t>Gage</t>
  </si>
  <si>
    <t>NEGage</t>
  </si>
  <si>
    <t>Garden</t>
  </si>
  <si>
    <t>NEGarden</t>
  </si>
  <si>
    <t>NEGarfield</t>
  </si>
  <si>
    <t>Gosper</t>
  </si>
  <si>
    <t>NEGosper</t>
  </si>
  <si>
    <t>NEGrant</t>
  </si>
  <si>
    <t>NEGreeley</t>
  </si>
  <si>
    <t>NEHall</t>
  </si>
  <si>
    <t>NEHamilton</t>
  </si>
  <si>
    <t>NEHarlan</t>
  </si>
  <si>
    <t>Hayes</t>
  </si>
  <si>
    <t>NEHayes</t>
  </si>
  <si>
    <t>Hitchcock</t>
  </si>
  <si>
    <t>NEHitchcock</t>
  </si>
  <si>
    <t>NEHolt</t>
  </si>
  <si>
    <t>Hooker</t>
  </si>
  <si>
    <t>NEHooker</t>
  </si>
  <si>
    <t>NEHoward</t>
  </si>
  <si>
    <t>NEJefferson</t>
  </si>
  <si>
    <t>NEJohnson</t>
  </si>
  <si>
    <t>Kearney</t>
  </si>
  <si>
    <t>NEKearney</t>
  </si>
  <si>
    <t>Keith</t>
  </si>
  <si>
    <t>NEKeith</t>
  </si>
  <si>
    <t>Keya Paha</t>
  </si>
  <si>
    <t>NEKeya Paha</t>
  </si>
  <si>
    <t>Kimball</t>
  </si>
  <si>
    <t>NEKimball</t>
  </si>
  <si>
    <t>NEKnox</t>
  </si>
  <si>
    <t>NELancaster</t>
  </si>
  <si>
    <t>NELincoln</t>
  </si>
  <si>
    <t>NELogan</t>
  </si>
  <si>
    <t>Loup</t>
  </si>
  <si>
    <t>NELoup</t>
  </si>
  <si>
    <t>NEMadison</t>
  </si>
  <si>
    <t>NEMcPherson</t>
  </si>
  <si>
    <t>NEMerrick</t>
  </si>
  <si>
    <t>Morrill</t>
  </si>
  <si>
    <t>NEMorrill</t>
  </si>
  <si>
    <t>Nance</t>
  </si>
  <si>
    <t>NENance</t>
  </si>
  <si>
    <t>NENemaha</t>
  </si>
  <si>
    <t>Nuckolls</t>
  </si>
  <si>
    <t>NENuckolls</t>
  </si>
  <si>
    <t>Otoe</t>
  </si>
  <si>
    <t>NEOtoe</t>
  </si>
  <si>
    <t>NEPawnee</t>
  </si>
  <si>
    <t>NEPerkins</t>
  </si>
  <si>
    <t>NEPhelps</t>
  </si>
  <si>
    <t>NEPierce</t>
  </si>
  <si>
    <t>NEPlatte</t>
  </si>
  <si>
    <t>NEPolk</t>
  </si>
  <si>
    <t>Red Willow</t>
  </si>
  <si>
    <t>NERed Willow</t>
  </si>
  <si>
    <t>NERichardson</t>
  </si>
  <si>
    <t>NERock</t>
  </si>
  <si>
    <t>NESaline</t>
  </si>
  <si>
    <t>Sarpy</t>
  </si>
  <si>
    <t>NESarpy</t>
  </si>
  <si>
    <t>NESaunders</t>
  </si>
  <si>
    <t>Scotts Bluff</t>
  </si>
  <si>
    <t>NEScotts Bluff</t>
  </si>
  <si>
    <t>NESeward</t>
  </si>
  <si>
    <t>NESheridan</t>
  </si>
  <si>
    <t>NESherman</t>
  </si>
  <si>
    <t>NESioux</t>
  </si>
  <si>
    <t>NEStanton</t>
  </si>
  <si>
    <t>Thayer</t>
  </si>
  <si>
    <t>NEThayer</t>
  </si>
  <si>
    <t>NEThomas</t>
  </si>
  <si>
    <t>Thurston</t>
  </si>
  <si>
    <t>NEThurston</t>
  </si>
  <si>
    <t>NEValley</t>
  </si>
  <si>
    <t>NEWashington</t>
  </si>
  <si>
    <t>NEWayne</t>
  </si>
  <si>
    <t>NEWebster</t>
  </si>
  <si>
    <t>NEWheeler</t>
  </si>
  <si>
    <t>NEYork</t>
  </si>
  <si>
    <t>Belknap</t>
  </si>
  <si>
    <t>NHBelknap</t>
  </si>
  <si>
    <t>NHCarroll</t>
  </si>
  <si>
    <t>Cheshire</t>
  </si>
  <si>
    <t>NHCheshire</t>
  </si>
  <si>
    <t>Coos</t>
  </si>
  <si>
    <t>NHCoos</t>
  </si>
  <si>
    <t>Grafton</t>
  </si>
  <si>
    <t>NHGrafton</t>
  </si>
  <si>
    <t>NHHillsborough</t>
  </si>
  <si>
    <t>Merrimack</t>
  </si>
  <si>
    <t>NHMerrimack</t>
  </si>
  <si>
    <t>NHRockingham</t>
  </si>
  <si>
    <t>NHStrafford</t>
  </si>
  <si>
    <t>NHSullivan</t>
  </si>
  <si>
    <t>Atlantic</t>
  </si>
  <si>
    <t>NJAtlantic</t>
  </si>
  <si>
    <t>NJBergen</t>
  </si>
  <si>
    <t>NJBurlington</t>
  </si>
  <si>
    <t>NJCamden</t>
  </si>
  <si>
    <t>Cape May</t>
  </si>
  <si>
    <t>NJCape May</t>
  </si>
  <si>
    <t>NJCumberland</t>
  </si>
  <si>
    <t>NJEssex</t>
  </si>
  <si>
    <t>NJGloucester</t>
  </si>
  <si>
    <t>Hudson</t>
  </si>
  <si>
    <t>NJHudson</t>
  </si>
  <si>
    <t>Hunterdon</t>
  </si>
  <si>
    <t>NJHunterdon</t>
  </si>
  <si>
    <t>NJMercer</t>
  </si>
  <si>
    <t>NJMiddlesex</t>
  </si>
  <si>
    <t>NJMonmouth</t>
  </si>
  <si>
    <t>NJMorris</t>
  </si>
  <si>
    <t>Ocean</t>
  </si>
  <si>
    <t>NJOcean</t>
  </si>
  <si>
    <t>Passaic</t>
  </si>
  <si>
    <t>NJPassaic</t>
  </si>
  <si>
    <t>NJSalem</t>
  </si>
  <si>
    <t>NJSomerset</t>
  </si>
  <si>
    <t>NJSussex</t>
  </si>
  <si>
    <t>NJUnion</t>
  </si>
  <si>
    <t>NJWarren</t>
  </si>
  <si>
    <t>Bernalillo</t>
  </si>
  <si>
    <t>NMBernalillo</t>
  </si>
  <si>
    <t>Catron</t>
  </si>
  <si>
    <t>NMCatron</t>
  </si>
  <si>
    <t>Chaves</t>
  </si>
  <si>
    <t>NMChaves</t>
  </si>
  <si>
    <t>Cibola</t>
  </si>
  <si>
    <t>NMCibola</t>
  </si>
  <si>
    <t>NMColfax</t>
  </si>
  <si>
    <t>Curry</t>
  </si>
  <si>
    <t>NMCurry</t>
  </si>
  <si>
    <t>De Baca</t>
  </si>
  <si>
    <t>NMDe Baca</t>
  </si>
  <si>
    <t>DoÃ±a Ana</t>
  </si>
  <si>
    <t>NMDoÃ±a Ana</t>
  </si>
  <si>
    <t>NMEddy</t>
  </si>
  <si>
    <t>NMGrant</t>
  </si>
  <si>
    <t>Guadalupe</t>
  </si>
  <si>
    <t>NMGuadalupe</t>
  </si>
  <si>
    <t>NMHarding</t>
  </si>
  <si>
    <t>Hidalgo</t>
  </si>
  <si>
    <t>NMHidalgo</t>
  </si>
  <si>
    <t>Lea</t>
  </si>
  <si>
    <t>NMLea</t>
  </si>
  <si>
    <t>NMLincoln</t>
  </si>
  <si>
    <t>Los Alamos</t>
  </si>
  <si>
    <t>NMLos Alamos</t>
  </si>
  <si>
    <t>Luna</t>
  </si>
  <si>
    <t>NMLuna</t>
  </si>
  <si>
    <t>McKinley</t>
  </si>
  <si>
    <t>NMMcKinley</t>
  </si>
  <si>
    <t>Mora</t>
  </si>
  <si>
    <t>NMMora</t>
  </si>
  <si>
    <t>NMOtero</t>
  </si>
  <si>
    <t>Quay</t>
  </si>
  <si>
    <t>NMQuay</t>
  </si>
  <si>
    <t>Rio Arriba</t>
  </si>
  <si>
    <t>NMRio Arriba</t>
  </si>
  <si>
    <t>NMRoosevelt</t>
  </si>
  <si>
    <t>NMSan Juan</t>
  </si>
  <si>
    <t>NMSan Miguel</t>
  </si>
  <si>
    <t>Sandoval</t>
  </si>
  <si>
    <t>NMSandoval</t>
  </si>
  <si>
    <t>Santa Fe</t>
  </si>
  <si>
    <t>NMSanta Fe</t>
  </si>
  <si>
    <t>NMSierra</t>
  </si>
  <si>
    <t>Socorro</t>
  </si>
  <si>
    <t>NMSocorro</t>
  </si>
  <si>
    <t>Taos</t>
  </si>
  <si>
    <t>NMTaos</t>
  </si>
  <si>
    <t>Torrance</t>
  </si>
  <si>
    <t>NMTorrance</t>
  </si>
  <si>
    <t>NMUnion</t>
  </si>
  <si>
    <t>Valencia</t>
  </si>
  <si>
    <t>NMValencia</t>
  </si>
  <si>
    <t>Carson City</t>
  </si>
  <si>
    <t>NVCarson City</t>
  </si>
  <si>
    <t>Churchill</t>
  </si>
  <si>
    <t>NVChurchill</t>
  </si>
  <si>
    <t>NVClark</t>
  </si>
  <si>
    <t>NVDouglas</t>
  </si>
  <si>
    <t>Elko</t>
  </si>
  <si>
    <t>NVElko</t>
  </si>
  <si>
    <t>Esmeralda</t>
  </si>
  <si>
    <t>NVEsmeralda</t>
  </si>
  <si>
    <t>Eureka</t>
  </si>
  <si>
    <t>NVEureka</t>
  </si>
  <si>
    <t>NVHumboldt</t>
  </si>
  <si>
    <t>Lander</t>
  </si>
  <si>
    <t>NVLander</t>
  </si>
  <si>
    <t>NVLincoln</t>
  </si>
  <si>
    <t>NVLyon</t>
  </si>
  <si>
    <t>NVMineral</t>
  </si>
  <si>
    <t>Nye</t>
  </si>
  <si>
    <t>NVNye</t>
  </si>
  <si>
    <t>Pershing</t>
  </si>
  <si>
    <t>NVPershing</t>
  </si>
  <si>
    <t>Storey</t>
  </si>
  <si>
    <t>NVStorey</t>
  </si>
  <si>
    <t>Washoe</t>
  </si>
  <si>
    <t>NVWashoe</t>
  </si>
  <si>
    <t>White Pine</t>
  </si>
  <si>
    <t>NVWhite Pine</t>
  </si>
  <si>
    <t>NYAlbany</t>
  </si>
  <si>
    <t>NYAllegany</t>
  </si>
  <si>
    <t>Bronx</t>
  </si>
  <si>
    <t>NYBronx</t>
  </si>
  <si>
    <t>Broome</t>
  </si>
  <si>
    <t>NYBroome</t>
  </si>
  <si>
    <t>Cattaraugus</t>
  </si>
  <si>
    <t>NYCattaraugus</t>
  </si>
  <si>
    <t>Cayuga</t>
  </si>
  <si>
    <t>NYCayuga</t>
  </si>
  <si>
    <t>NYChautauqua</t>
  </si>
  <si>
    <t>Chemung</t>
  </si>
  <si>
    <t>NYChemung</t>
  </si>
  <si>
    <t>Chenango</t>
  </si>
  <si>
    <t>NYChenango</t>
  </si>
  <si>
    <t>NYClinton</t>
  </si>
  <si>
    <t>NYColumbia</t>
  </si>
  <si>
    <t>Cortland</t>
  </si>
  <si>
    <t>NYCortland</t>
  </si>
  <si>
    <t>NYDelaware</t>
  </si>
  <si>
    <t>Dutchess</t>
  </si>
  <si>
    <t>NYDutchess</t>
  </si>
  <si>
    <t>Erie</t>
  </si>
  <si>
    <t>NYErie</t>
  </si>
  <si>
    <t>NYEssex</t>
  </si>
  <si>
    <t>NYFranklin</t>
  </si>
  <si>
    <t>NYFulton</t>
  </si>
  <si>
    <t>NYGenesee</t>
  </si>
  <si>
    <t>NYGreene</t>
  </si>
  <si>
    <t>NYHamilton</t>
  </si>
  <si>
    <t>Herkimer</t>
  </si>
  <si>
    <t>NYHerkimer</t>
  </si>
  <si>
    <t>NYJefferson</t>
  </si>
  <si>
    <t>NYKings</t>
  </si>
  <si>
    <t>NYLewis</t>
  </si>
  <si>
    <t>NYLivingston</t>
  </si>
  <si>
    <t>NYMadison</t>
  </si>
  <si>
    <t>NYMonroe</t>
  </si>
  <si>
    <t>NYMontgomery</t>
  </si>
  <si>
    <t>NYNassau</t>
  </si>
  <si>
    <t>NYNew York</t>
  </si>
  <si>
    <t>Niagara</t>
  </si>
  <si>
    <t>NYNiagara</t>
  </si>
  <si>
    <t>NYOneida</t>
  </si>
  <si>
    <t>Onondaga</t>
  </si>
  <si>
    <t>NYOnondaga</t>
  </si>
  <si>
    <t>Ontario</t>
  </si>
  <si>
    <t>NYOntario</t>
  </si>
  <si>
    <t>NYOrange</t>
  </si>
  <si>
    <t>NYOrleans</t>
  </si>
  <si>
    <t>Oswego</t>
  </si>
  <si>
    <t>NYOswego</t>
  </si>
  <si>
    <t>NYOtsego</t>
  </si>
  <si>
    <t>NYPutnam</t>
  </si>
  <si>
    <t>Queens</t>
  </si>
  <si>
    <t>NYQueens</t>
  </si>
  <si>
    <t>Rensselaer</t>
  </si>
  <si>
    <t>NYRensselaer</t>
  </si>
  <si>
    <t>NYRichmond</t>
  </si>
  <si>
    <t>Rockland</t>
  </si>
  <si>
    <t>NYRockland</t>
  </si>
  <si>
    <t>Saratoga</t>
  </si>
  <si>
    <t>NYSaratoga</t>
  </si>
  <si>
    <t>Schenectady</t>
  </si>
  <si>
    <t>NYSchenectady</t>
  </si>
  <si>
    <t>Schoharie</t>
  </si>
  <si>
    <t>NYSchoharie</t>
  </si>
  <si>
    <t>NYSchuyler</t>
  </si>
  <si>
    <t>Seneca</t>
  </si>
  <si>
    <t>NYSeneca</t>
  </si>
  <si>
    <t>St. Lawrence</t>
  </si>
  <si>
    <t>NYSt. Lawrence</t>
  </si>
  <si>
    <t>NYSteuben</t>
  </si>
  <si>
    <t>NYSuffolk</t>
  </si>
  <si>
    <t>NYSullivan</t>
  </si>
  <si>
    <t>Tioga</t>
  </si>
  <si>
    <t>NYTioga</t>
  </si>
  <si>
    <t>Tompkins</t>
  </si>
  <si>
    <t>NYTompkins</t>
  </si>
  <si>
    <t>Ulster</t>
  </si>
  <si>
    <t>NYUlster</t>
  </si>
  <si>
    <t>NYWarren</t>
  </si>
  <si>
    <t>NYWashington</t>
  </si>
  <si>
    <t>NYWayne</t>
  </si>
  <si>
    <t>Westchester</t>
  </si>
  <si>
    <t>NYWestchester</t>
  </si>
  <si>
    <t>Wyoming</t>
  </si>
  <si>
    <t>NYWyoming</t>
  </si>
  <si>
    <t>Yates</t>
  </si>
  <si>
    <t>NYYates</t>
  </si>
  <si>
    <t>OHAdams</t>
  </si>
  <si>
    <t>OHAllen</t>
  </si>
  <si>
    <t>Ashland</t>
  </si>
  <si>
    <t>OHAshland</t>
  </si>
  <si>
    <t>Ashtabula</t>
  </si>
  <si>
    <t>OHAshtabula</t>
  </si>
  <si>
    <t>Athens</t>
  </si>
  <si>
    <t>OHAthens</t>
  </si>
  <si>
    <t>Auglaize</t>
  </si>
  <si>
    <t>OHAuglaize</t>
  </si>
  <si>
    <t>Belmont</t>
  </si>
  <si>
    <t>OHBelmont</t>
  </si>
  <si>
    <t>OHBrown</t>
  </si>
  <si>
    <t>OHButler</t>
  </si>
  <si>
    <t>OHCarroll</t>
  </si>
  <si>
    <t>OHChampaign</t>
  </si>
  <si>
    <t>OHClark</t>
  </si>
  <si>
    <t>Clermont</t>
  </si>
  <si>
    <t>OHClermont</t>
  </si>
  <si>
    <t>OHClinton</t>
  </si>
  <si>
    <t>Columbiana</t>
  </si>
  <si>
    <t>OHColumbiana</t>
  </si>
  <si>
    <t>Coshocton</t>
  </si>
  <si>
    <t>OHCoshocton</t>
  </si>
  <si>
    <t>OHCrawford</t>
  </si>
  <si>
    <t>Cuyahoga</t>
  </si>
  <si>
    <t>OHCuyahoga</t>
  </si>
  <si>
    <t>Darke</t>
  </si>
  <si>
    <t>OHDarke</t>
  </si>
  <si>
    <t>Defiance</t>
  </si>
  <si>
    <t>OHDefiance</t>
  </si>
  <si>
    <t>OHDelaware</t>
  </si>
  <si>
    <t>OHErie</t>
  </si>
  <si>
    <t>OHFairfield</t>
  </si>
  <si>
    <t>OHFayette</t>
  </si>
  <si>
    <t>OHFranklin</t>
  </si>
  <si>
    <t>OHFulton</t>
  </si>
  <si>
    <t>Gallia</t>
  </si>
  <si>
    <t>OHGallia</t>
  </si>
  <si>
    <t>Geauga</t>
  </si>
  <si>
    <t>OHGeauga</t>
  </si>
  <si>
    <t>OHGreene</t>
  </si>
  <si>
    <t>Guernsey</t>
  </si>
  <si>
    <t>OHGuernsey</t>
  </si>
  <si>
    <t>OHHamilton</t>
  </si>
  <si>
    <t>OHHancock</t>
  </si>
  <si>
    <t>OHHardin</t>
  </si>
  <si>
    <t>OHHarrison</t>
  </si>
  <si>
    <t>OHHenry</t>
  </si>
  <si>
    <t>Highland</t>
  </si>
  <si>
    <t>OHHighland</t>
  </si>
  <si>
    <t>Hocking</t>
  </si>
  <si>
    <t>OHHocking</t>
  </si>
  <si>
    <t>OHHolmes</t>
  </si>
  <si>
    <t>OHHuron</t>
  </si>
  <si>
    <t>OHJackson</t>
  </si>
  <si>
    <t>OHJefferson</t>
  </si>
  <si>
    <t>OHKnox</t>
  </si>
  <si>
    <t>OHLake</t>
  </si>
  <si>
    <t>OHLawrence</t>
  </si>
  <si>
    <t>Licking</t>
  </si>
  <si>
    <t>OHLicking</t>
  </si>
  <si>
    <t>OHLogan</t>
  </si>
  <si>
    <t>Lorain</t>
  </si>
  <si>
    <t>OHLorain</t>
  </si>
  <si>
    <t>OHLucas</t>
  </si>
  <si>
    <t>OHMadison</t>
  </si>
  <si>
    <t>Mahoning</t>
  </si>
  <si>
    <t>OHMahoning</t>
  </si>
  <si>
    <t>OHMarion</t>
  </si>
  <si>
    <t>Medina</t>
  </si>
  <si>
    <t>OHMedina</t>
  </si>
  <si>
    <t>Meigs</t>
  </si>
  <si>
    <t>OHMeigs</t>
  </si>
  <si>
    <t>OHMercer</t>
  </si>
  <si>
    <t>OHMiami</t>
  </si>
  <si>
    <t>OHMonroe</t>
  </si>
  <si>
    <t>OHMontgomery</t>
  </si>
  <si>
    <t>OHMorgan</t>
  </si>
  <si>
    <t>Morrow</t>
  </si>
  <si>
    <t>OHMorrow</t>
  </si>
  <si>
    <t>Muskingum</t>
  </si>
  <si>
    <t>OHMuskingum</t>
  </si>
  <si>
    <t>OHNoble</t>
  </si>
  <si>
    <t>OHOttawa</t>
  </si>
  <si>
    <t>OHPaulding</t>
  </si>
  <si>
    <t>OHPerry</t>
  </si>
  <si>
    <t>Pickaway</t>
  </si>
  <si>
    <t>OHPickaway</t>
  </si>
  <si>
    <t>OHPike</t>
  </si>
  <si>
    <t>Portage</t>
  </si>
  <si>
    <t>OHPortage</t>
  </si>
  <si>
    <t>Preble</t>
  </si>
  <si>
    <t>OHPreble</t>
  </si>
  <si>
    <t>OHPutnam</t>
  </si>
  <si>
    <t>OHRichland</t>
  </si>
  <si>
    <t>Ross</t>
  </si>
  <si>
    <t>OHRoss</t>
  </si>
  <si>
    <t>Sandusky</t>
  </si>
  <si>
    <t>OHSandusky</t>
  </si>
  <si>
    <t>Scioto</t>
  </si>
  <si>
    <t>OHScioto</t>
  </si>
  <si>
    <t>OHSeneca</t>
  </si>
  <si>
    <t>OHShelby</t>
  </si>
  <si>
    <t>OHStark</t>
  </si>
  <si>
    <t>OHSummit</t>
  </si>
  <si>
    <t>Trumbull</t>
  </si>
  <si>
    <t>OHTrumbull</t>
  </si>
  <si>
    <t>Tuscarawas</t>
  </si>
  <si>
    <t>OHTuscarawas</t>
  </si>
  <si>
    <t>OHUnion</t>
  </si>
  <si>
    <t>Van Wert</t>
  </si>
  <si>
    <t>OHVan Wert</t>
  </si>
  <si>
    <t>Vinton</t>
  </si>
  <si>
    <t>OHVinton</t>
  </si>
  <si>
    <t>OHWarren</t>
  </si>
  <si>
    <t>OHWashington</t>
  </si>
  <si>
    <t>OHWayne</t>
  </si>
  <si>
    <t>OHWilliams</t>
  </si>
  <si>
    <t>Wood</t>
  </si>
  <si>
    <t>OHWood</t>
  </si>
  <si>
    <t>Wyandot</t>
  </si>
  <si>
    <t>OHWyandot</t>
  </si>
  <si>
    <t>OKAdair</t>
  </si>
  <si>
    <t>Alfalfa</t>
  </si>
  <si>
    <t>OKAlfalfa</t>
  </si>
  <si>
    <t>Atoka</t>
  </si>
  <si>
    <t>OKAtoka</t>
  </si>
  <si>
    <t>OKBeaver</t>
  </si>
  <si>
    <t>Beckham</t>
  </si>
  <si>
    <t>OKBeckham</t>
  </si>
  <si>
    <t>OKBlaine</t>
  </si>
  <si>
    <t>OKBryan</t>
  </si>
  <si>
    <t>OKCaddo</t>
  </si>
  <si>
    <t>Canadian</t>
  </si>
  <si>
    <t>OKCanadian</t>
  </si>
  <si>
    <t>OKCarter</t>
  </si>
  <si>
    <t>OKCherokee</t>
  </si>
  <si>
    <t>OKChoctaw</t>
  </si>
  <si>
    <t>Cimarron</t>
  </si>
  <si>
    <t>OKCimarron</t>
  </si>
  <si>
    <t>OKCleveland</t>
  </si>
  <si>
    <t>Coal</t>
  </si>
  <si>
    <t>OKCoal</t>
  </si>
  <si>
    <t>OKComanche</t>
  </si>
  <si>
    <t>Cotton</t>
  </si>
  <si>
    <t>OKCotton</t>
  </si>
  <si>
    <t>Craig</t>
  </si>
  <si>
    <t>OKCraig</t>
  </si>
  <si>
    <t>OKCreek</t>
  </si>
  <si>
    <t>OKCuster</t>
  </si>
  <si>
    <t>OKDelaware</t>
  </si>
  <si>
    <t>Dewey</t>
  </si>
  <si>
    <t>OKDewey</t>
  </si>
  <si>
    <t>OKEllis</t>
  </si>
  <si>
    <t>OKGarfield</t>
  </si>
  <si>
    <t>Garvin</t>
  </si>
  <si>
    <t>OKGarvin</t>
  </si>
  <si>
    <t>OKGrady</t>
  </si>
  <si>
    <t>OKGrant</t>
  </si>
  <si>
    <t>Greer</t>
  </si>
  <si>
    <t>OKGreer</t>
  </si>
  <si>
    <t>Harmon</t>
  </si>
  <si>
    <t>OKHarmon</t>
  </si>
  <si>
    <t>OKHarper</t>
  </si>
  <si>
    <t>OKHaskell</t>
  </si>
  <si>
    <t>Hughes</t>
  </si>
  <si>
    <t>OKHughes</t>
  </si>
  <si>
    <t>OKJackson</t>
  </si>
  <si>
    <t>OKJefferson</t>
  </si>
  <si>
    <t>OKJohnston</t>
  </si>
  <si>
    <t>Kay</t>
  </si>
  <si>
    <t>OKKay</t>
  </si>
  <si>
    <t>Kingfisher</t>
  </si>
  <si>
    <t>OKKingfisher</t>
  </si>
  <si>
    <t>OKKiowa</t>
  </si>
  <si>
    <t>Latimer</t>
  </si>
  <si>
    <t>OKLatimer</t>
  </si>
  <si>
    <t>Le Flore</t>
  </si>
  <si>
    <t>OKLe Flore</t>
  </si>
  <si>
    <t>OKLincoln</t>
  </si>
  <si>
    <t>OKLogan</t>
  </si>
  <si>
    <t>Love</t>
  </si>
  <si>
    <t>OKLove</t>
  </si>
  <si>
    <t>Major</t>
  </si>
  <si>
    <t>OKMajor</t>
  </si>
  <si>
    <t>OKMarshall</t>
  </si>
  <si>
    <t>Mayes</t>
  </si>
  <si>
    <t>OKMayes</t>
  </si>
  <si>
    <t>McClain</t>
  </si>
  <si>
    <t>OKMcClain</t>
  </si>
  <si>
    <t>McCurtain</t>
  </si>
  <si>
    <t>OKMcCurtain</t>
  </si>
  <si>
    <t>OKMcIntosh</t>
  </si>
  <si>
    <t>OKMurray</t>
  </si>
  <si>
    <t>Muskogee</t>
  </si>
  <si>
    <t>OKMuskogee</t>
  </si>
  <si>
    <t>OKNoble</t>
  </si>
  <si>
    <t>Nowata</t>
  </si>
  <si>
    <t>OKNowata</t>
  </si>
  <si>
    <t>Okfuskee</t>
  </si>
  <si>
    <t>OKOkfuskee</t>
  </si>
  <si>
    <t>Oklahoma</t>
  </si>
  <si>
    <t>OKOklahoma</t>
  </si>
  <si>
    <t>Okmulgee</t>
  </si>
  <si>
    <t>OKOkmulgee</t>
  </si>
  <si>
    <t>OKOsage</t>
  </si>
  <si>
    <t>OKOttawa</t>
  </si>
  <si>
    <t>OKPawnee</t>
  </si>
  <si>
    <t>OKPayne</t>
  </si>
  <si>
    <t>Pittsburg</t>
  </si>
  <si>
    <t>OKPittsburg</t>
  </si>
  <si>
    <t>OKPontotoc</t>
  </si>
  <si>
    <t>OKPottawatomie</t>
  </si>
  <si>
    <t>Pushmataha</t>
  </si>
  <si>
    <t>OKPushmataha</t>
  </si>
  <si>
    <t>Roger Mills</t>
  </si>
  <si>
    <t>OKRoger Mills</t>
  </si>
  <si>
    <t>OKRogers</t>
  </si>
  <si>
    <t>OKSeminole</t>
  </si>
  <si>
    <t>Sequoyah</t>
  </si>
  <si>
    <t>OKSequoyah</t>
  </si>
  <si>
    <t>OKStephens</t>
  </si>
  <si>
    <t>OKTexas</t>
  </si>
  <si>
    <t>Tillman</t>
  </si>
  <si>
    <t>OKTillman</t>
  </si>
  <si>
    <t>Tulsa</t>
  </si>
  <si>
    <t>OKTulsa</t>
  </si>
  <si>
    <t>Wagoner</t>
  </si>
  <si>
    <t>OKWagoner</t>
  </si>
  <si>
    <t>OKWashington</t>
  </si>
  <si>
    <t>Washita</t>
  </si>
  <si>
    <t>OKWashita</t>
  </si>
  <si>
    <t>Woods</t>
  </si>
  <si>
    <t>OKWoods</t>
  </si>
  <si>
    <t>Woodward</t>
  </si>
  <si>
    <t>OKWoodward</t>
  </si>
  <si>
    <t>ORBaker</t>
  </si>
  <si>
    <t>ORBenton</t>
  </si>
  <si>
    <t>Clackamas</t>
  </si>
  <si>
    <t>ORClackamas</t>
  </si>
  <si>
    <t>Clatsop</t>
  </si>
  <si>
    <t>ORClatsop</t>
  </si>
  <si>
    <t>ORColumbia</t>
  </si>
  <si>
    <t>ORCoos</t>
  </si>
  <si>
    <t>Crook</t>
  </si>
  <si>
    <t>ORCrook</t>
  </si>
  <si>
    <t>ORCurry</t>
  </si>
  <si>
    <t>Deschutes</t>
  </si>
  <si>
    <t>ORDeschutes</t>
  </si>
  <si>
    <t>ORDouglas</t>
  </si>
  <si>
    <t>Gilliam</t>
  </si>
  <si>
    <t>ORGilliam</t>
  </si>
  <si>
    <t>ORGrant</t>
  </si>
  <si>
    <t>Harney</t>
  </si>
  <si>
    <t>ORHarney</t>
  </si>
  <si>
    <t>Hood River</t>
  </si>
  <si>
    <t>ORHood River</t>
  </si>
  <si>
    <t>ORJackson</t>
  </si>
  <si>
    <t>ORJefferson</t>
  </si>
  <si>
    <t>Josephine</t>
  </si>
  <si>
    <t>ORJosephine</t>
  </si>
  <si>
    <t>Klamath</t>
  </si>
  <si>
    <t>ORKlamath</t>
  </si>
  <si>
    <t>ORLake</t>
  </si>
  <si>
    <t>ORLane</t>
  </si>
  <si>
    <t>ORLincoln</t>
  </si>
  <si>
    <t>ORLinn</t>
  </si>
  <si>
    <t>Malheur</t>
  </si>
  <si>
    <t>ORMalheur</t>
  </si>
  <si>
    <t>ORMarion</t>
  </si>
  <si>
    <t>ORMorrow</t>
  </si>
  <si>
    <t>Multnomah</t>
  </si>
  <si>
    <t>ORMultnomah</t>
  </si>
  <si>
    <t>ORPolk</t>
  </si>
  <si>
    <t>ORSherman</t>
  </si>
  <si>
    <t>Tillamook</t>
  </si>
  <si>
    <t>ORTillamook</t>
  </si>
  <si>
    <t>Umatilla</t>
  </si>
  <si>
    <t>ORUmatilla</t>
  </si>
  <si>
    <t>ORUnion</t>
  </si>
  <si>
    <t>Wallowa</t>
  </si>
  <si>
    <t>ORWallowa</t>
  </si>
  <si>
    <t>Wasco</t>
  </si>
  <si>
    <t>ORWasco</t>
  </si>
  <si>
    <t>ORWashington</t>
  </si>
  <si>
    <t>ORWheeler</t>
  </si>
  <si>
    <t>Yamhill</t>
  </si>
  <si>
    <t>ORYamhill</t>
  </si>
  <si>
    <t>PAAdams</t>
  </si>
  <si>
    <t>Allegheny</t>
  </si>
  <si>
    <t>PAAllegheny</t>
  </si>
  <si>
    <t>Armstrong</t>
  </si>
  <si>
    <t>PAArmstrong</t>
  </si>
  <si>
    <t>PABeaver</t>
  </si>
  <si>
    <t>PABedford</t>
  </si>
  <si>
    <t>Berks</t>
  </si>
  <si>
    <t>PABerks</t>
  </si>
  <si>
    <t>PABlair</t>
  </si>
  <si>
    <t>PABradford</t>
  </si>
  <si>
    <t>Bucks</t>
  </si>
  <si>
    <t>PABucks</t>
  </si>
  <si>
    <t>PAButler</t>
  </si>
  <si>
    <t>Cambria</t>
  </si>
  <si>
    <t>PACambria</t>
  </si>
  <si>
    <t>PACameron</t>
  </si>
  <si>
    <t>PACarbon</t>
  </si>
  <si>
    <t>Centre</t>
  </si>
  <si>
    <t>PACentre</t>
  </si>
  <si>
    <t>PAChester</t>
  </si>
  <si>
    <t>Clarion</t>
  </si>
  <si>
    <t>PAClarion</t>
  </si>
  <si>
    <t>Clearfield</t>
  </si>
  <si>
    <t>PAClearfield</t>
  </si>
  <si>
    <t>PAClinton</t>
  </si>
  <si>
    <t>PAColumbia</t>
  </si>
  <si>
    <t>PACrawford</t>
  </si>
  <si>
    <t>PACumberland</t>
  </si>
  <si>
    <t>Dauphin</t>
  </si>
  <si>
    <t>PADauphin</t>
  </si>
  <si>
    <t>PADelaware</t>
  </si>
  <si>
    <t>PAElk</t>
  </si>
  <si>
    <t>PAErie</t>
  </si>
  <si>
    <t>PAFayette</t>
  </si>
  <si>
    <t>Forest</t>
  </si>
  <si>
    <t>PAForest</t>
  </si>
  <si>
    <t>PAFranklin</t>
  </si>
  <si>
    <t>PAFulton</t>
  </si>
  <si>
    <t>PAGreene</t>
  </si>
  <si>
    <t>PAHuntingdon</t>
  </si>
  <si>
    <t>Indiana</t>
  </si>
  <si>
    <t>PAIndiana</t>
  </si>
  <si>
    <t>PAJefferson</t>
  </si>
  <si>
    <t>Juniata</t>
  </si>
  <si>
    <t>PAJuniata</t>
  </si>
  <si>
    <t>Lackawanna</t>
  </si>
  <si>
    <t>PALackawanna</t>
  </si>
  <si>
    <t>PALancaster</t>
  </si>
  <si>
    <t>PALawrence</t>
  </si>
  <si>
    <t>Lebanon</t>
  </si>
  <si>
    <t>PALebanon</t>
  </si>
  <si>
    <t>PALehigh</t>
  </si>
  <si>
    <t>Luzerne</t>
  </si>
  <si>
    <t>PALuzerne</t>
  </si>
  <si>
    <t>Lycoming</t>
  </si>
  <si>
    <t>PALycoming</t>
  </si>
  <si>
    <t>McKean</t>
  </si>
  <si>
    <t>PAMcKean</t>
  </si>
  <si>
    <t>PAMercer</t>
  </si>
  <si>
    <t>PAMifflin</t>
  </si>
  <si>
    <t>PAMonroe</t>
  </si>
  <si>
    <t>PAMontgomery</t>
  </si>
  <si>
    <t>Montour</t>
  </si>
  <si>
    <t>PAMontour</t>
  </si>
  <si>
    <t>PANorthampton</t>
  </si>
  <si>
    <t>PANorthumberland</t>
  </si>
  <si>
    <t>PAPerry</t>
  </si>
  <si>
    <t>PAPhiladelphia</t>
  </si>
  <si>
    <t>PAPike</t>
  </si>
  <si>
    <t>PAPotter</t>
  </si>
  <si>
    <t>Schuylkill</t>
  </si>
  <si>
    <t>PASchuylkill</t>
  </si>
  <si>
    <t>Snyder</t>
  </si>
  <si>
    <t>PASnyder</t>
  </si>
  <si>
    <t>PASomerset</t>
  </si>
  <si>
    <t>PASullivan</t>
  </si>
  <si>
    <t>PASusquehanna</t>
  </si>
  <si>
    <t>PATioga</t>
  </si>
  <si>
    <t>PAUnion</t>
  </si>
  <si>
    <t>Venango</t>
  </si>
  <si>
    <t>PAVenango</t>
  </si>
  <si>
    <t>PAWarren</t>
  </si>
  <si>
    <t>PAWashington</t>
  </si>
  <si>
    <t>PAWayne</t>
  </si>
  <si>
    <t>PAWestmoreland</t>
  </si>
  <si>
    <t>PAWyoming</t>
  </si>
  <si>
    <t>PAYork</t>
  </si>
  <si>
    <t>RIBristol</t>
  </si>
  <si>
    <t>RIKent</t>
  </si>
  <si>
    <t>RINewport</t>
  </si>
  <si>
    <t>RIProvidence</t>
  </si>
  <si>
    <t>RIWashington</t>
  </si>
  <si>
    <t>Abbeville</t>
  </si>
  <si>
    <t>SCAbbeville</t>
  </si>
  <si>
    <t>Aiken</t>
  </si>
  <si>
    <t>SCAiken</t>
  </si>
  <si>
    <t>Allendale</t>
  </si>
  <si>
    <t>SCAllendale</t>
  </si>
  <si>
    <t>SCAnderson</t>
  </si>
  <si>
    <t>Bamberg</t>
  </si>
  <si>
    <t>SCBamberg</t>
  </si>
  <si>
    <t>Barnwell</t>
  </si>
  <si>
    <t>SCBarnwell</t>
  </si>
  <si>
    <t>SCBeaufort</t>
  </si>
  <si>
    <t>Berkeley</t>
  </si>
  <si>
    <t>SCBerkeley</t>
  </si>
  <si>
    <t>SCCalhoun</t>
  </si>
  <si>
    <t>SCCharleston</t>
  </si>
  <si>
    <t>SCCherokee</t>
  </si>
  <si>
    <t>SCChester</t>
  </si>
  <si>
    <t>SCChesterfield</t>
  </si>
  <si>
    <t>SCClarendon</t>
  </si>
  <si>
    <t>Colleton</t>
  </si>
  <si>
    <t>SCColleton</t>
  </si>
  <si>
    <t>Darlington</t>
  </si>
  <si>
    <t>SCDarlington</t>
  </si>
  <si>
    <t>Dillon</t>
  </si>
  <si>
    <t>SCDillon</t>
  </si>
  <si>
    <t>SCDorchester</t>
  </si>
  <si>
    <t>Edgefield</t>
  </si>
  <si>
    <t>SCEdgefield</t>
  </si>
  <si>
    <t>SCFairfield</t>
  </si>
  <si>
    <t>Florence</t>
  </si>
  <si>
    <t>SCFlorence</t>
  </si>
  <si>
    <t>SCGeorgetown</t>
  </si>
  <si>
    <t>Greenville</t>
  </si>
  <si>
    <t>SCGreenville</t>
  </si>
  <si>
    <t>SCGreenwood</t>
  </si>
  <si>
    <t>SCHampton</t>
  </si>
  <si>
    <t>Horry</t>
  </si>
  <si>
    <t>SCHorry</t>
  </si>
  <si>
    <t>SCJasper</t>
  </si>
  <si>
    <t>Kershaw</t>
  </si>
  <si>
    <t>SCKershaw</t>
  </si>
  <si>
    <t>SCLancaster</t>
  </si>
  <si>
    <t>SCLaurens</t>
  </si>
  <si>
    <t>SCLee</t>
  </si>
  <si>
    <t>Lexington</t>
  </si>
  <si>
    <t>SCLexington</t>
  </si>
  <si>
    <t>SCMarion</t>
  </si>
  <si>
    <t>Marlboro</t>
  </si>
  <si>
    <t>SCMarlboro</t>
  </si>
  <si>
    <t>McCormick</t>
  </si>
  <si>
    <t>SCMcCormick</t>
  </si>
  <si>
    <t>Newberry</t>
  </si>
  <si>
    <t>SCNewberry</t>
  </si>
  <si>
    <t>SCOconee</t>
  </si>
  <si>
    <t>Orangeburg</t>
  </si>
  <si>
    <t>SCOrangeburg</t>
  </si>
  <si>
    <t>SCPickens</t>
  </si>
  <si>
    <t>SCRichland</t>
  </si>
  <si>
    <t>Saluda</t>
  </si>
  <si>
    <t>SCSaluda</t>
  </si>
  <si>
    <t>Spartanburg</t>
  </si>
  <si>
    <t>SCSpartanburg</t>
  </si>
  <si>
    <t>SCSumter</t>
  </si>
  <si>
    <t>SCUnion</t>
  </si>
  <si>
    <t>SCWilliamsburg</t>
  </si>
  <si>
    <t>SCYork</t>
  </si>
  <si>
    <t>SDAurora</t>
  </si>
  <si>
    <t>Beadle</t>
  </si>
  <si>
    <t>SDBeadle</t>
  </si>
  <si>
    <t>Bennett</t>
  </si>
  <si>
    <t>SDBennett</t>
  </si>
  <si>
    <t>Bon Homme</t>
  </si>
  <si>
    <t>SDBon Homme</t>
  </si>
  <si>
    <t>Brookings</t>
  </si>
  <si>
    <t>SDBrookings</t>
  </si>
  <si>
    <t>SDBrown</t>
  </si>
  <si>
    <t>Brule</t>
  </si>
  <si>
    <t>SDBrule</t>
  </si>
  <si>
    <t>SDBuffalo</t>
  </si>
  <si>
    <t>SDButte</t>
  </si>
  <si>
    <t>SDCampbell</t>
  </si>
  <si>
    <t>Charles Mix</t>
  </si>
  <si>
    <t>SDCharles Mix</t>
  </si>
  <si>
    <t>SDClark</t>
  </si>
  <si>
    <t>SDClay</t>
  </si>
  <si>
    <t>Codington</t>
  </si>
  <si>
    <t>SDCodington</t>
  </si>
  <si>
    <t>Corson</t>
  </si>
  <si>
    <t>SDCorson</t>
  </si>
  <si>
    <t>SDCuster</t>
  </si>
  <si>
    <t>Davison</t>
  </si>
  <si>
    <t>SDDavison</t>
  </si>
  <si>
    <t>Day</t>
  </si>
  <si>
    <t>SDDay</t>
  </si>
  <si>
    <t>SDDeuel</t>
  </si>
  <si>
    <t>SDDewey</t>
  </si>
  <si>
    <t>SDDouglas</t>
  </si>
  <si>
    <t>Edmunds</t>
  </si>
  <si>
    <t>SDEdmunds</t>
  </si>
  <si>
    <t>Fall River</t>
  </si>
  <si>
    <t>SDFall River</t>
  </si>
  <si>
    <t>Faulk</t>
  </si>
  <si>
    <t>SDFaulk</t>
  </si>
  <si>
    <t>SDGrant</t>
  </si>
  <si>
    <t>Gregory</t>
  </si>
  <si>
    <t>SDGregory</t>
  </si>
  <si>
    <t>Haakon</t>
  </si>
  <si>
    <t>SDHaakon</t>
  </si>
  <si>
    <t>Hamlin</t>
  </si>
  <si>
    <t>SDHamlin</t>
  </si>
  <si>
    <t>SDHand</t>
  </si>
  <si>
    <t>SDHanson</t>
  </si>
  <si>
    <t>SDHarding</t>
  </si>
  <si>
    <t>SDHughes</t>
  </si>
  <si>
    <t>Hutchinson</t>
  </si>
  <si>
    <t>SDHutchinson</t>
  </si>
  <si>
    <t>SDHyde</t>
  </si>
  <si>
    <t>SDJackson</t>
  </si>
  <si>
    <t>Jerauld</t>
  </si>
  <si>
    <t>SDJerauld</t>
  </si>
  <si>
    <t>SDJones</t>
  </si>
  <si>
    <t>Kingsbury</t>
  </si>
  <si>
    <t>SDKingsbury</t>
  </si>
  <si>
    <t>SDLake</t>
  </si>
  <si>
    <t>SDLawrence</t>
  </si>
  <si>
    <t>SDLincoln</t>
  </si>
  <si>
    <t>Lyman</t>
  </si>
  <si>
    <t>SDLyman</t>
  </si>
  <si>
    <t>SDMarshall</t>
  </si>
  <si>
    <t>McCook</t>
  </si>
  <si>
    <t>SDMcCook</t>
  </si>
  <si>
    <t>SDMcPherson</t>
  </si>
  <si>
    <t>SDMeade</t>
  </si>
  <si>
    <t>Mellette</t>
  </si>
  <si>
    <t>SDMellette</t>
  </si>
  <si>
    <t>Miner</t>
  </si>
  <si>
    <t>SDMiner</t>
  </si>
  <si>
    <t>Minnehaha</t>
  </si>
  <si>
    <t>SDMinnehaha</t>
  </si>
  <si>
    <t>SDMoody</t>
  </si>
  <si>
    <t>Oglala Lakota</t>
  </si>
  <si>
    <t>SDOglala Lakota</t>
  </si>
  <si>
    <t>SDPennington</t>
  </si>
  <si>
    <t>SDPerkins</t>
  </si>
  <si>
    <t>SDPotter</t>
  </si>
  <si>
    <t>SDRoberts</t>
  </si>
  <si>
    <t>Sanborn</t>
  </si>
  <si>
    <t>SDSanborn</t>
  </si>
  <si>
    <t>Spink</t>
  </si>
  <si>
    <t>SDSpink</t>
  </si>
  <si>
    <t>SDStanley</t>
  </si>
  <si>
    <t>Sully</t>
  </si>
  <si>
    <t>SDSully</t>
  </si>
  <si>
    <t>SDTodd</t>
  </si>
  <si>
    <t>Tripp</t>
  </si>
  <si>
    <t>SDTripp</t>
  </si>
  <si>
    <t>SDTurner</t>
  </si>
  <si>
    <t>SDUnion</t>
  </si>
  <si>
    <t>Walworth</t>
  </si>
  <si>
    <t>SDWalworth</t>
  </si>
  <si>
    <t>Yankton</t>
  </si>
  <si>
    <t>SDYankton</t>
  </si>
  <si>
    <t>Ziebach</t>
  </si>
  <si>
    <t>SDZiebach</t>
  </si>
  <si>
    <t>TNAnderson</t>
  </si>
  <si>
    <t>TNBedford</t>
  </si>
  <si>
    <t>TNBenton</t>
  </si>
  <si>
    <t>Bledsoe</t>
  </si>
  <si>
    <t>TNBledsoe</t>
  </si>
  <si>
    <t>TNBlount</t>
  </si>
  <si>
    <t>TNBradley</t>
  </si>
  <si>
    <t>TNCampbell</t>
  </si>
  <si>
    <t>TNCannon</t>
  </si>
  <si>
    <t>TNCarroll</t>
  </si>
  <si>
    <t>TNCarter</t>
  </si>
  <si>
    <t>Cheatham</t>
  </si>
  <si>
    <t>TNCheatham</t>
  </si>
  <si>
    <t>TNChester</t>
  </si>
  <si>
    <t>TNClaiborne</t>
  </si>
  <si>
    <t>TNClay</t>
  </si>
  <si>
    <t>Cocke</t>
  </si>
  <si>
    <t>TNCocke</t>
  </si>
  <si>
    <t>TNCoffee</t>
  </si>
  <si>
    <t>Crockett</t>
  </si>
  <si>
    <t>TNCrockett</t>
  </si>
  <si>
    <t>TNCumberland</t>
  </si>
  <si>
    <t>TNDavidson</t>
  </si>
  <si>
    <t>TNDeKalb</t>
  </si>
  <si>
    <t>TNDecatur</t>
  </si>
  <si>
    <t>TNDickson</t>
  </si>
  <si>
    <t>TNDyer</t>
  </si>
  <si>
    <t>TNFayette</t>
  </si>
  <si>
    <t>Fentress</t>
  </si>
  <si>
    <t>TNFentress</t>
  </si>
  <si>
    <t>TNFranklin</t>
  </si>
  <si>
    <t>TNGibson</t>
  </si>
  <si>
    <t>Giles</t>
  </si>
  <si>
    <t>TNGiles</t>
  </si>
  <si>
    <t>Grainger</t>
  </si>
  <si>
    <t>TNGrainger</t>
  </si>
  <si>
    <t>TNGreene</t>
  </si>
  <si>
    <t>TNGrundy</t>
  </si>
  <si>
    <t>Hamblen</t>
  </si>
  <si>
    <t>TNHamblen</t>
  </si>
  <si>
    <t>TNHamilton</t>
  </si>
  <si>
    <t>TNHancock</t>
  </si>
  <si>
    <t>Hardeman</t>
  </si>
  <si>
    <t>TNHardeman</t>
  </si>
  <si>
    <t>TNHardin</t>
  </si>
  <si>
    <t>TNHawkins</t>
  </si>
  <si>
    <t>TNHaywood</t>
  </si>
  <si>
    <t>TNHenderson</t>
  </si>
  <si>
    <t>TNHenry</t>
  </si>
  <si>
    <t>TNHickman</t>
  </si>
  <si>
    <t>TNHouston</t>
  </si>
  <si>
    <t>TNHumphreys</t>
  </si>
  <si>
    <t>TNJackson</t>
  </si>
  <si>
    <t>TNJefferson</t>
  </si>
  <si>
    <t>TNJohnson</t>
  </si>
  <si>
    <t>TNKnox</t>
  </si>
  <si>
    <t>TNLake</t>
  </si>
  <si>
    <t>TNLauderdale</t>
  </si>
  <si>
    <t>TNLawrence</t>
  </si>
  <si>
    <t>TNLewis</t>
  </si>
  <si>
    <t>TNLincoln</t>
  </si>
  <si>
    <t>Loudon</t>
  </si>
  <si>
    <t>TNLoudon</t>
  </si>
  <si>
    <t>TNMacon</t>
  </si>
  <si>
    <t>TNMadison</t>
  </si>
  <si>
    <t>TNMarion</t>
  </si>
  <si>
    <t>TNMarshall</t>
  </si>
  <si>
    <t>Maury</t>
  </si>
  <si>
    <t>TNMaury</t>
  </si>
  <si>
    <t>McMinn</t>
  </si>
  <si>
    <t>TNMcMinn</t>
  </si>
  <si>
    <t>McNairy</t>
  </si>
  <si>
    <t>TNMcNairy</t>
  </si>
  <si>
    <t>TNMeigs</t>
  </si>
  <si>
    <t>TNMonroe</t>
  </si>
  <si>
    <t>TNMontgomery</t>
  </si>
  <si>
    <t>TNMoore</t>
  </si>
  <si>
    <t>TNMorgan</t>
  </si>
  <si>
    <t>Obion</t>
  </si>
  <si>
    <t>TNObion</t>
  </si>
  <si>
    <t>Overton</t>
  </si>
  <si>
    <t>TNOverton</t>
  </si>
  <si>
    <t>TNPerry</t>
  </si>
  <si>
    <t>Pickett</t>
  </si>
  <si>
    <t>TNPickett</t>
  </si>
  <si>
    <t>TNPolk</t>
  </si>
  <si>
    <t>TNPutnam</t>
  </si>
  <si>
    <t>Rhea</t>
  </si>
  <si>
    <t>TNRhea</t>
  </si>
  <si>
    <t>Roane</t>
  </si>
  <si>
    <t>TNRoane</t>
  </si>
  <si>
    <t>TNRobertson</t>
  </si>
  <si>
    <t>TNRutherford</t>
  </si>
  <si>
    <t>TNScott</t>
  </si>
  <si>
    <t>Sequatchie</t>
  </si>
  <si>
    <t>TNSequatchie</t>
  </si>
  <si>
    <t>TNSevier</t>
  </si>
  <si>
    <t>TNShelby</t>
  </si>
  <si>
    <t>TNSmith</t>
  </si>
  <si>
    <t>TNStewart</t>
  </si>
  <si>
    <t>TNSullivan</t>
  </si>
  <si>
    <t>TNSumner</t>
  </si>
  <si>
    <t>TNTipton</t>
  </si>
  <si>
    <t>Trousdale</t>
  </si>
  <si>
    <t>TNTrousdale</t>
  </si>
  <si>
    <t>Unicoi</t>
  </si>
  <si>
    <t>TNUnicoi</t>
  </si>
  <si>
    <t>TNUnion</t>
  </si>
  <si>
    <t>TNVan Buren</t>
  </si>
  <si>
    <t>TNWarren</t>
  </si>
  <si>
    <t>TNWashington</t>
  </si>
  <si>
    <t>TNWayne</t>
  </si>
  <si>
    <t>Weakley</t>
  </si>
  <si>
    <t>TNWeakley</t>
  </si>
  <si>
    <t>TNWhite</t>
  </si>
  <si>
    <t>TNWilliamson</t>
  </si>
  <si>
    <t>TNWilson</t>
  </si>
  <si>
    <t>TXAnderson</t>
  </si>
  <si>
    <t>TXAndrews</t>
  </si>
  <si>
    <t>Angelina</t>
  </si>
  <si>
    <t>TXAngelina</t>
  </si>
  <si>
    <t>Aransas</t>
  </si>
  <si>
    <t>TXAransas</t>
  </si>
  <si>
    <t>TXArcher</t>
  </si>
  <si>
    <t>TXArmstrong</t>
  </si>
  <si>
    <t>Atascosa</t>
  </si>
  <si>
    <t>TXAtascosa</t>
  </si>
  <si>
    <t>Austin</t>
  </si>
  <si>
    <t>TXAustin</t>
  </si>
  <si>
    <t>TXBailey</t>
  </si>
  <si>
    <t>Bandera</t>
  </si>
  <si>
    <t>TXBandera</t>
  </si>
  <si>
    <t>Bastrop</t>
  </si>
  <si>
    <t>TXBastrop</t>
  </si>
  <si>
    <t>Baylor</t>
  </si>
  <si>
    <t>TXBaylor</t>
  </si>
  <si>
    <t>Bee</t>
  </si>
  <si>
    <t>TXBee</t>
  </si>
  <si>
    <t>TXBell</t>
  </si>
  <si>
    <t>Bexar</t>
  </si>
  <si>
    <t>TXBexar</t>
  </si>
  <si>
    <t>Blanco</t>
  </si>
  <si>
    <t>TXBlanco</t>
  </si>
  <si>
    <t>TXBorden</t>
  </si>
  <si>
    <t>Bosque</t>
  </si>
  <si>
    <t>TXBosque</t>
  </si>
  <si>
    <t>Bowie</t>
  </si>
  <si>
    <t>TXBowie</t>
  </si>
  <si>
    <t>Brazoria</t>
  </si>
  <si>
    <t>TXBrazoria</t>
  </si>
  <si>
    <t>Brazos</t>
  </si>
  <si>
    <t>TXBrazos</t>
  </si>
  <si>
    <t>Brewster</t>
  </si>
  <si>
    <t>TXBrewster</t>
  </si>
  <si>
    <t>Briscoe</t>
  </si>
  <si>
    <t>TXBriscoe</t>
  </si>
  <si>
    <t>TXBrooks</t>
  </si>
  <si>
    <t>TXBrown</t>
  </si>
  <si>
    <t>Burleson</t>
  </si>
  <si>
    <t>TXBurleson</t>
  </si>
  <si>
    <t>Burnet</t>
  </si>
  <si>
    <t>TXBurnet</t>
  </si>
  <si>
    <t>TXCaldwell</t>
  </si>
  <si>
    <t>TXCalhoun</t>
  </si>
  <si>
    <t>Callahan</t>
  </si>
  <si>
    <t>TXCallahan</t>
  </si>
  <si>
    <t>TXCameron</t>
  </si>
  <si>
    <t>Camp</t>
  </si>
  <si>
    <t>TXCamp</t>
  </si>
  <si>
    <t>Carson</t>
  </si>
  <si>
    <t>TXCarson</t>
  </si>
  <si>
    <t>TXCass</t>
  </si>
  <si>
    <t>Castro</t>
  </si>
  <si>
    <t>TXCastro</t>
  </si>
  <si>
    <t>TXChambers</t>
  </si>
  <si>
    <t>TXCherokee</t>
  </si>
  <si>
    <t>Childress</t>
  </si>
  <si>
    <t>TXChildress</t>
  </si>
  <si>
    <t>TXClay</t>
  </si>
  <si>
    <t>Cochran</t>
  </si>
  <si>
    <t>TXCochran</t>
  </si>
  <si>
    <t>Coke</t>
  </si>
  <si>
    <t>TXCoke</t>
  </si>
  <si>
    <t>TXColeman</t>
  </si>
  <si>
    <t>TXCollin</t>
  </si>
  <si>
    <t>Collingsworth</t>
  </si>
  <si>
    <t>TXCollingsworth</t>
  </si>
  <si>
    <t>Colorado</t>
  </si>
  <si>
    <t>TXColorado</t>
  </si>
  <si>
    <t>Comal</t>
  </si>
  <si>
    <t>TXComal</t>
  </si>
  <si>
    <t>TXComanche</t>
  </si>
  <si>
    <t>Concho</t>
  </si>
  <si>
    <t>TXConcho</t>
  </si>
  <si>
    <t>Cooke</t>
  </si>
  <si>
    <t>TXCooke</t>
  </si>
  <si>
    <t>Coryell</t>
  </si>
  <si>
    <t>TXCoryell</t>
  </si>
  <si>
    <t>Cottle</t>
  </si>
  <si>
    <t>TXCottle</t>
  </si>
  <si>
    <t>Crane</t>
  </si>
  <si>
    <t>TXCrane</t>
  </si>
  <si>
    <t>TXCrockett</t>
  </si>
  <si>
    <t>TXCrosby</t>
  </si>
  <si>
    <t>Culberson</t>
  </si>
  <si>
    <t>TXCulberson</t>
  </si>
  <si>
    <t>Dallam</t>
  </si>
  <si>
    <t>TXDallam</t>
  </si>
  <si>
    <t>TXDallas</t>
  </si>
  <si>
    <t>TXDawson</t>
  </si>
  <si>
    <t>DeWitt</t>
  </si>
  <si>
    <t>TXDeWitt</t>
  </si>
  <si>
    <t>Deaf Smith</t>
  </si>
  <si>
    <t>TXDeaf Smith</t>
  </si>
  <si>
    <t>TXDelta</t>
  </si>
  <si>
    <t>TXDenton</t>
  </si>
  <si>
    <t>Dickens</t>
  </si>
  <si>
    <t>TXDickens</t>
  </si>
  <si>
    <t>Dimmit</t>
  </si>
  <si>
    <t>TXDimmit</t>
  </si>
  <si>
    <t>Donley</t>
  </si>
  <si>
    <t>TXDonley</t>
  </si>
  <si>
    <t>TXDuval</t>
  </si>
  <si>
    <t>Eastland</t>
  </si>
  <si>
    <t>TXEastland</t>
  </si>
  <si>
    <t>Ector</t>
  </si>
  <si>
    <t>TXEctor</t>
  </si>
  <si>
    <t>TXEdwards</t>
  </si>
  <si>
    <t>TXEl Paso</t>
  </si>
  <si>
    <t>TXEllis</t>
  </si>
  <si>
    <t>Erath</t>
  </si>
  <si>
    <t>TXErath</t>
  </si>
  <si>
    <t>Falls</t>
  </si>
  <si>
    <t>TXFalls</t>
  </si>
  <si>
    <t>TXFannin</t>
  </si>
  <si>
    <t>TXFayette</t>
  </si>
  <si>
    <t>Fisher</t>
  </si>
  <si>
    <t>TXFisher</t>
  </si>
  <si>
    <t>TXFloyd</t>
  </si>
  <si>
    <t>Foard</t>
  </si>
  <si>
    <t>TXFoard</t>
  </si>
  <si>
    <t>Fort Bend</t>
  </si>
  <si>
    <t>TXFort Bend</t>
  </si>
  <si>
    <t>TXFranklin</t>
  </si>
  <si>
    <t>Freestone</t>
  </si>
  <si>
    <t>TXFreestone</t>
  </si>
  <si>
    <t>Frio</t>
  </si>
  <si>
    <t>TXFrio</t>
  </si>
  <si>
    <t>Gaines</t>
  </si>
  <si>
    <t>TXGaines</t>
  </si>
  <si>
    <t>Galveston</t>
  </si>
  <si>
    <t>TXGalveston</t>
  </si>
  <si>
    <t>Garza</t>
  </si>
  <si>
    <t>TXGarza</t>
  </si>
  <si>
    <t>Gillespie</t>
  </si>
  <si>
    <t>TXGillespie</t>
  </si>
  <si>
    <t>Glasscock</t>
  </si>
  <si>
    <t>TXGlasscock</t>
  </si>
  <si>
    <t>Goliad</t>
  </si>
  <si>
    <t>TXGoliad</t>
  </si>
  <si>
    <t>Gonzales</t>
  </si>
  <si>
    <t>TXGonzales</t>
  </si>
  <si>
    <t>TXGray</t>
  </si>
  <si>
    <t>TXGrayson</t>
  </si>
  <si>
    <t>Gregg</t>
  </si>
  <si>
    <t>TXGregg</t>
  </si>
  <si>
    <t>Grimes</t>
  </si>
  <si>
    <t>TXGrimes</t>
  </si>
  <si>
    <t>TXGuadalupe</t>
  </si>
  <si>
    <t>TXHale</t>
  </si>
  <si>
    <t>TXHall</t>
  </si>
  <si>
    <t>TXHamilton</t>
  </si>
  <si>
    <t>Hansford</t>
  </si>
  <si>
    <t>TXHansford</t>
  </si>
  <si>
    <t>TXHardeman</t>
  </si>
  <si>
    <t>TXHardin</t>
  </si>
  <si>
    <t>TXHarris</t>
  </si>
  <si>
    <t>TXHarrison</t>
  </si>
  <si>
    <t>TXHartley</t>
  </si>
  <si>
    <t>TXHaskell</t>
  </si>
  <si>
    <t>TXHays</t>
  </si>
  <si>
    <t>Hemphill</t>
  </si>
  <si>
    <t>TXHemphill</t>
  </si>
  <si>
    <t>TXHenderson</t>
  </si>
  <si>
    <t>TXHidalgo</t>
  </si>
  <si>
    <t>TXHill</t>
  </si>
  <si>
    <t>Hockley</t>
  </si>
  <si>
    <t>TXHockley</t>
  </si>
  <si>
    <t>Hood</t>
  </si>
  <si>
    <t>TXHood</t>
  </si>
  <si>
    <t>TXHopkins</t>
  </si>
  <si>
    <t>TXHouston</t>
  </si>
  <si>
    <t>TXHoward</t>
  </si>
  <si>
    <t>Hudspeth</t>
  </si>
  <si>
    <t>TXHudspeth</t>
  </si>
  <si>
    <t>Hunt</t>
  </si>
  <si>
    <t>TXHunt</t>
  </si>
  <si>
    <t>TXHutchinson</t>
  </si>
  <si>
    <t>Irion</t>
  </si>
  <si>
    <t>TXIrion</t>
  </si>
  <si>
    <t>TXJack</t>
  </si>
  <si>
    <t>TXJackson</t>
  </si>
  <si>
    <t>TXJasper</t>
  </si>
  <si>
    <t>TXJeff Davis</t>
  </si>
  <si>
    <t>TXJefferson</t>
  </si>
  <si>
    <t>Jim Hogg</t>
  </si>
  <si>
    <t>TXJim Hogg</t>
  </si>
  <si>
    <t>Jim Wells</t>
  </si>
  <si>
    <t>TXJim Wells</t>
  </si>
  <si>
    <t>TXJohnson</t>
  </si>
  <si>
    <t>TXJones</t>
  </si>
  <si>
    <t>Karnes</t>
  </si>
  <si>
    <t>TXKarnes</t>
  </si>
  <si>
    <t>Kaufman</t>
  </si>
  <si>
    <t>TXKaufman</t>
  </si>
  <si>
    <t>TXKendall</t>
  </si>
  <si>
    <t>Kenedy</t>
  </si>
  <si>
    <t>TXKenedy</t>
  </si>
  <si>
    <t>TXKent</t>
  </si>
  <si>
    <t>Kerr</t>
  </si>
  <si>
    <t>TXKerr</t>
  </si>
  <si>
    <t>Kimble</t>
  </si>
  <si>
    <t>TXKimble</t>
  </si>
  <si>
    <t>TXKing</t>
  </si>
  <si>
    <t>Kinney</t>
  </si>
  <si>
    <t>TXKinney</t>
  </si>
  <si>
    <t>Kleberg</t>
  </si>
  <si>
    <t>TXKleberg</t>
  </si>
  <si>
    <t>TXKnox</t>
  </si>
  <si>
    <t>La Salle</t>
  </si>
  <si>
    <t>TXLa Salle</t>
  </si>
  <si>
    <t>TXLamar</t>
  </si>
  <si>
    <t>TXLamb</t>
  </si>
  <si>
    <t>Lampasas</t>
  </si>
  <si>
    <t>TXLampasas</t>
  </si>
  <si>
    <t>Lavaca</t>
  </si>
  <si>
    <t>TXLavaca</t>
  </si>
  <si>
    <t>TXLee</t>
  </si>
  <si>
    <t>TXLeon</t>
  </si>
  <si>
    <t>TXLiberty</t>
  </si>
  <si>
    <t>TXLimestone</t>
  </si>
  <si>
    <t>Lipscomb</t>
  </si>
  <si>
    <t>TXLipscomb</t>
  </si>
  <si>
    <t>Live Oak</t>
  </si>
  <si>
    <t>TXLive Oak</t>
  </si>
  <si>
    <t>Llano</t>
  </si>
  <si>
    <t>TXLlano</t>
  </si>
  <si>
    <t>Loving</t>
  </si>
  <si>
    <t>TXLoving</t>
  </si>
  <si>
    <t>Lubbock</t>
  </si>
  <si>
    <t>TXLubbock</t>
  </si>
  <si>
    <t>Lynn</t>
  </si>
  <si>
    <t>TXLynn</t>
  </si>
  <si>
    <t>TXMadison</t>
  </si>
  <si>
    <t>TXMarion</t>
  </si>
  <si>
    <t>TXMartin</t>
  </si>
  <si>
    <t>TXMason</t>
  </si>
  <si>
    <t>Matagorda</t>
  </si>
  <si>
    <t>TXMatagorda</t>
  </si>
  <si>
    <t>Maverick</t>
  </si>
  <si>
    <t>TXMaverick</t>
  </si>
  <si>
    <t>TXMcCulloch</t>
  </si>
  <si>
    <t>McLennan</t>
  </si>
  <si>
    <t>TXMcLennan</t>
  </si>
  <si>
    <t>McMullen</t>
  </si>
  <si>
    <t>TXMcMullen</t>
  </si>
  <si>
    <t>TXMedina</t>
  </si>
  <si>
    <t>TXMenard</t>
  </si>
  <si>
    <t>TXMidland</t>
  </si>
  <si>
    <t>Milam</t>
  </si>
  <si>
    <t>TXMilam</t>
  </si>
  <si>
    <t>TXMills</t>
  </si>
  <si>
    <t>TXMitchell</t>
  </si>
  <si>
    <t>TXMontague</t>
  </si>
  <si>
    <t>TXMontgomery</t>
  </si>
  <si>
    <t>TXMoore</t>
  </si>
  <si>
    <t>TXMorris</t>
  </si>
  <si>
    <t>Motley</t>
  </si>
  <si>
    <t>TXMotley</t>
  </si>
  <si>
    <t>Nacogdoches</t>
  </si>
  <si>
    <t>TXNacogdoches</t>
  </si>
  <si>
    <t>Navarro</t>
  </si>
  <si>
    <t>TXNavarro</t>
  </si>
  <si>
    <t>TXNewton</t>
  </si>
  <si>
    <t>Nolan</t>
  </si>
  <si>
    <t>TXNolan</t>
  </si>
  <si>
    <t>Nueces</t>
  </si>
  <si>
    <t>TXNueces</t>
  </si>
  <si>
    <t>Ochiltree</t>
  </si>
  <si>
    <t>TXOchiltree</t>
  </si>
  <si>
    <t>TXOldham</t>
  </si>
  <si>
    <t>TXOrange</t>
  </si>
  <si>
    <t>Palo Pinto</t>
  </si>
  <si>
    <t>TXPalo Pinto</t>
  </si>
  <si>
    <t>TXPanola</t>
  </si>
  <si>
    <t>TXParker</t>
  </si>
  <si>
    <t>Parmer</t>
  </si>
  <si>
    <t>TXParmer</t>
  </si>
  <si>
    <t>Pecos</t>
  </si>
  <si>
    <t>TXPecos</t>
  </si>
  <si>
    <t>TXPolk</t>
  </si>
  <si>
    <t>TXPotter</t>
  </si>
  <si>
    <t>Presidio</t>
  </si>
  <si>
    <t>TXPresidio</t>
  </si>
  <si>
    <t>Rains</t>
  </si>
  <si>
    <t>TXRains</t>
  </si>
  <si>
    <t>TXRandall</t>
  </si>
  <si>
    <t>Reagan</t>
  </si>
  <si>
    <t>TXReagan</t>
  </si>
  <si>
    <t>Real</t>
  </si>
  <si>
    <t>TXReal</t>
  </si>
  <si>
    <t>TXRed River</t>
  </si>
  <si>
    <t>Reeves</t>
  </si>
  <si>
    <t>TXReeves</t>
  </si>
  <si>
    <t>Refugio</t>
  </si>
  <si>
    <t>TXRefugio</t>
  </si>
  <si>
    <t>TXRoberts</t>
  </si>
  <si>
    <t>TXRobertson</t>
  </si>
  <si>
    <t>Rockwall</t>
  </si>
  <si>
    <t>TXRockwall</t>
  </si>
  <si>
    <t>Runnels</t>
  </si>
  <si>
    <t>TXRunnels</t>
  </si>
  <si>
    <t>Rusk</t>
  </si>
  <si>
    <t>TXRusk</t>
  </si>
  <si>
    <t>TXSabine</t>
  </si>
  <si>
    <t>San Augustine</t>
  </si>
  <si>
    <t>TXSan Augustine</t>
  </si>
  <si>
    <t>San Jacinto</t>
  </si>
  <si>
    <t>TXSan Jacinto</t>
  </si>
  <si>
    <t>San Patricio</t>
  </si>
  <si>
    <t>TXSan Patricio</t>
  </si>
  <si>
    <t>San Saba</t>
  </si>
  <si>
    <t>TXSan Saba</t>
  </si>
  <si>
    <t>Schleicher</t>
  </si>
  <si>
    <t>TXSchleicher</t>
  </si>
  <si>
    <t>Scurry</t>
  </si>
  <si>
    <t>TXScurry</t>
  </si>
  <si>
    <t>Shackelford</t>
  </si>
  <si>
    <t>TXShackelford</t>
  </si>
  <si>
    <t>TXShelby</t>
  </si>
  <si>
    <t>TXSherman</t>
  </si>
  <si>
    <t>TXSmith</t>
  </si>
  <si>
    <t>Somervell</t>
  </si>
  <si>
    <t>TXSomervell</t>
  </si>
  <si>
    <t>Starr</t>
  </si>
  <si>
    <t>TXStarr</t>
  </si>
  <si>
    <t>TXStephens</t>
  </si>
  <si>
    <t>Sterling</t>
  </si>
  <si>
    <t>TXSterling</t>
  </si>
  <si>
    <t>Stonewall</t>
  </si>
  <si>
    <t>TXStonewall</t>
  </si>
  <si>
    <t>Sutton</t>
  </si>
  <si>
    <t>TXSutton</t>
  </si>
  <si>
    <t>Swisher</t>
  </si>
  <si>
    <t>TXSwisher</t>
  </si>
  <si>
    <t>Tarrant</t>
  </si>
  <si>
    <t>TXTarrant</t>
  </si>
  <si>
    <t>TXTaylor</t>
  </si>
  <si>
    <t>TXTerrell</t>
  </si>
  <si>
    <t>Terry</t>
  </si>
  <si>
    <t>TXTerry</t>
  </si>
  <si>
    <t>Throckmorton</t>
  </si>
  <si>
    <t>TXThrockmorton</t>
  </si>
  <si>
    <t>TXTitus</t>
  </si>
  <si>
    <t>Tom Green</t>
  </si>
  <si>
    <t>TXTom Green</t>
  </si>
  <si>
    <t>Travis</t>
  </si>
  <si>
    <t>TXTravis</t>
  </si>
  <si>
    <t>TXTrinity</t>
  </si>
  <si>
    <t>Tyler</t>
  </si>
  <si>
    <t>TXTyler</t>
  </si>
  <si>
    <t>Upshur</t>
  </si>
  <si>
    <t>TXUpshur</t>
  </si>
  <si>
    <t>Upton</t>
  </si>
  <si>
    <t>TXUpton</t>
  </si>
  <si>
    <t>Uvalde</t>
  </si>
  <si>
    <t>TXUvalde</t>
  </si>
  <si>
    <t>Val Verde</t>
  </si>
  <si>
    <t>TXVal Verde</t>
  </si>
  <si>
    <t>Van Zandt</t>
  </si>
  <si>
    <t>TXVan Zandt</t>
  </si>
  <si>
    <t>Victoria</t>
  </si>
  <si>
    <t>TXVictoria</t>
  </si>
  <si>
    <t>TXWalker</t>
  </si>
  <si>
    <t>Waller</t>
  </si>
  <si>
    <t>TXWaller</t>
  </si>
  <si>
    <t>TXWard</t>
  </si>
  <si>
    <t>TXWashington</t>
  </si>
  <si>
    <t>TXWebb</t>
  </si>
  <si>
    <t>Wharton</t>
  </si>
  <si>
    <t>TXWharton</t>
  </si>
  <si>
    <t>TXWheeler</t>
  </si>
  <si>
    <t>TXWichita</t>
  </si>
  <si>
    <t>Wilbarger</t>
  </si>
  <si>
    <t>TXWilbarger</t>
  </si>
  <si>
    <t>Willacy</t>
  </si>
  <si>
    <t>TXWillacy</t>
  </si>
  <si>
    <t>TXWilliamson</t>
  </si>
  <si>
    <t>TXWilson</t>
  </si>
  <si>
    <t>Winkler</t>
  </si>
  <si>
    <t>TXWinkler</t>
  </si>
  <si>
    <t>TXWise</t>
  </si>
  <si>
    <t>TXWood</t>
  </si>
  <si>
    <t>Yoakum</t>
  </si>
  <si>
    <t>TXYoakum</t>
  </si>
  <si>
    <t>TXYoung</t>
  </si>
  <si>
    <t>Zapata</t>
  </si>
  <si>
    <t>TXZapata</t>
  </si>
  <si>
    <t>Zavala</t>
  </si>
  <si>
    <t>TXZavala</t>
  </si>
  <si>
    <t>UTBeaver</t>
  </si>
  <si>
    <t>Box Elder</t>
  </si>
  <si>
    <t>UTBox Elder</t>
  </si>
  <si>
    <t>Cache</t>
  </si>
  <si>
    <t>UTCache</t>
  </si>
  <si>
    <t>UTCarbon</t>
  </si>
  <si>
    <t>Daggett</t>
  </si>
  <si>
    <t>UTDaggett</t>
  </si>
  <si>
    <t>UTDavis</t>
  </si>
  <si>
    <t>Duchesne</t>
  </si>
  <si>
    <t>UTDuchesne</t>
  </si>
  <si>
    <t>Emery</t>
  </si>
  <si>
    <t>UTEmery</t>
  </si>
  <si>
    <t>UTGarfield</t>
  </si>
  <si>
    <t>UTGrand</t>
  </si>
  <si>
    <t>UTIron</t>
  </si>
  <si>
    <t>Juab</t>
  </si>
  <si>
    <t>UTJuab</t>
  </si>
  <si>
    <t>UTKane</t>
  </si>
  <si>
    <t>Millard</t>
  </si>
  <si>
    <t>UTMillard</t>
  </si>
  <si>
    <t>UTMorgan</t>
  </si>
  <si>
    <t>Piute</t>
  </si>
  <si>
    <t>UTPiute</t>
  </si>
  <si>
    <t>Rich</t>
  </si>
  <si>
    <t>UTRich</t>
  </si>
  <si>
    <t>Salt Lake</t>
  </si>
  <si>
    <t>UTSalt Lake</t>
  </si>
  <si>
    <t>UTSan Juan</t>
  </si>
  <si>
    <t>Sanpete</t>
  </si>
  <si>
    <t>UTSanpete</t>
  </si>
  <si>
    <t>UTSevier</t>
  </si>
  <si>
    <t>UTSummit</t>
  </si>
  <si>
    <t>Tooele</t>
  </si>
  <si>
    <t>UTTooele</t>
  </si>
  <si>
    <t>Uintah</t>
  </si>
  <si>
    <t>UTUintah</t>
  </si>
  <si>
    <t>Utah</t>
  </si>
  <si>
    <t>UTUtah</t>
  </si>
  <si>
    <t>Wasatch</t>
  </si>
  <si>
    <t>UTWasatch</t>
  </si>
  <si>
    <t>UTWashington</t>
  </si>
  <si>
    <t>UTWayne</t>
  </si>
  <si>
    <t>Weber</t>
  </si>
  <si>
    <t>UTWeber</t>
  </si>
  <si>
    <t>VAAccomack</t>
  </si>
  <si>
    <t>Albemarle</t>
  </si>
  <si>
    <t>VAAlbemarle</t>
  </si>
  <si>
    <t>Alexandria</t>
  </si>
  <si>
    <t>VAAlexandria</t>
  </si>
  <si>
    <t>VAAlleghany</t>
  </si>
  <si>
    <t>VAAmelia</t>
  </si>
  <si>
    <t>Amherst</t>
  </si>
  <si>
    <t>VAAmherst</t>
  </si>
  <si>
    <t>Appomattox</t>
  </si>
  <si>
    <t>VAAppomattox</t>
  </si>
  <si>
    <t>Arlington</t>
  </si>
  <si>
    <t>VAArlington</t>
  </si>
  <si>
    <t>VAAugusta</t>
  </si>
  <si>
    <t>VABath</t>
  </si>
  <si>
    <t>VABedford</t>
  </si>
  <si>
    <t>Bland</t>
  </si>
  <si>
    <t>VABland</t>
  </si>
  <si>
    <t>Botetourt</t>
  </si>
  <si>
    <t>VABotetourt</t>
  </si>
  <si>
    <t>VABristol</t>
  </si>
  <si>
    <t>VABrunswick</t>
  </si>
  <si>
    <t>VABuchanan</t>
  </si>
  <si>
    <t>Buckingham</t>
  </si>
  <si>
    <t>VABuckingham</t>
  </si>
  <si>
    <t>VABuena Vista</t>
  </si>
  <si>
    <t>VACampbell</t>
  </si>
  <si>
    <t>VACaroline</t>
  </si>
  <si>
    <t>VACarroll</t>
  </si>
  <si>
    <t>VACharles City</t>
  </si>
  <si>
    <t>VACharlotte</t>
  </si>
  <si>
    <t>Charlottesville</t>
  </si>
  <si>
    <t>VACharlottesville</t>
  </si>
  <si>
    <t>VAChesapeake</t>
  </si>
  <si>
    <t>VAChesterfield</t>
  </si>
  <si>
    <t>VAClarke</t>
  </si>
  <si>
    <t>Colonial Heights</t>
  </si>
  <si>
    <t>VAColonial Heights</t>
  </si>
  <si>
    <t>VACovington</t>
  </si>
  <si>
    <t>VACraig</t>
  </si>
  <si>
    <t>Culpeper</t>
  </si>
  <si>
    <t>VACulpeper</t>
  </si>
  <si>
    <t>VACumberland</t>
  </si>
  <si>
    <t>Danville</t>
  </si>
  <si>
    <t>VADanville</t>
  </si>
  <si>
    <t>VADickenson</t>
  </si>
  <si>
    <t>Dinwiddie</t>
  </si>
  <si>
    <t>VADinwiddie</t>
  </si>
  <si>
    <t>Emporia</t>
  </si>
  <si>
    <t>VAEmporia</t>
  </si>
  <si>
    <t>VAEssex</t>
  </si>
  <si>
    <t>Fairfax</t>
  </si>
  <si>
    <t>VAFairfax</t>
  </si>
  <si>
    <t>Falls Church</t>
  </si>
  <si>
    <t>VAFalls Church</t>
  </si>
  <si>
    <t>Fauquier</t>
  </si>
  <si>
    <t>VAFauquier</t>
  </si>
  <si>
    <t>VAFloyd</t>
  </si>
  <si>
    <t>Fluvanna</t>
  </si>
  <si>
    <t>VAFluvanna</t>
  </si>
  <si>
    <t>VAFranklin</t>
  </si>
  <si>
    <t>VAFrederick</t>
  </si>
  <si>
    <t>VAFredericksburg</t>
  </si>
  <si>
    <t>Galax</t>
  </si>
  <si>
    <t>VAGalax</t>
  </si>
  <si>
    <t>VAGiles</t>
  </si>
  <si>
    <t>VAGloucester</t>
  </si>
  <si>
    <t>Goochland</t>
  </si>
  <si>
    <t>VAGoochland</t>
  </si>
  <si>
    <t>VAGrayson</t>
  </si>
  <si>
    <t>VAGreene</t>
  </si>
  <si>
    <t>Greensville</t>
  </si>
  <si>
    <t>VAGreensville</t>
  </si>
  <si>
    <t>VAHalifax</t>
  </si>
  <si>
    <t>VAHampton</t>
  </si>
  <si>
    <t>Hanover</t>
  </si>
  <si>
    <t>VAHanover</t>
  </si>
  <si>
    <t>Harrisonburg</t>
  </si>
  <si>
    <t>VAHarrisonburg</t>
  </si>
  <si>
    <t>Henrico</t>
  </si>
  <si>
    <t>VAHenrico</t>
  </si>
  <si>
    <t>VAHenry</t>
  </si>
  <si>
    <t>VAHighland</t>
  </si>
  <si>
    <t>VAHopewell</t>
  </si>
  <si>
    <t>VAIsle of Wight</t>
  </si>
  <si>
    <t>James City</t>
  </si>
  <si>
    <t>VAJames City</t>
  </si>
  <si>
    <t>VAKing George</t>
  </si>
  <si>
    <t>King William</t>
  </si>
  <si>
    <t>VAKing William</t>
  </si>
  <si>
    <t>King and Queen</t>
  </si>
  <si>
    <t>VAKing and Queen</t>
  </si>
  <si>
    <t>VALancaster</t>
  </si>
  <si>
    <t>VALee</t>
  </si>
  <si>
    <t>VALexington</t>
  </si>
  <si>
    <t>Loudoun</t>
  </si>
  <si>
    <t>VALoudoun</t>
  </si>
  <si>
    <t>VALouisa</t>
  </si>
  <si>
    <t>Lunenburg</t>
  </si>
  <si>
    <t>VALunenburg</t>
  </si>
  <si>
    <t>Lynchburg</t>
  </si>
  <si>
    <t>VALynchburg</t>
  </si>
  <si>
    <t>VAMadison</t>
  </si>
  <si>
    <t>Manassas</t>
  </si>
  <si>
    <t>VAManassas</t>
  </si>
  <si>
    <t>Manassas Park</t>
  </si>
  <si>
    <t>VAManassas Park</t>
  </si>
  <si>
    <t>Martinsville</t>
  </si>
  <si>
    <t>VAMartinsville</t>
  </si>
  <si>
    <t>Mathews</t>
  </si>
  <si>
    <t>VAMathews</t>
  </si>
  <si>
    <t>VAMecklenburg</t>
  </si>
  <si>
    <t>VAMiddlesex</t>
  </si>
  <si>
    <t>VAMontgomery</t>
  </si>
  <si>
    <t>VANelson</t>
  </si>
  <si>
    <t>VANew Kent</t>
  </si>
  <si>
    <t>Newport News</t>
  </si>
  <si>
    <t>VANewport News</t>
  </si>
  <si>
    <t>VANorfolk</t>
  </si>
  <si>
    <t>VANorthampton</t>
  </si>
  <si>
    <t>VANorthumberland</t>
  </si>
  <si>
    <t>VANorton</t>
  </si>
  <si>
    <t>Nottoway</t>
  </si>
  <si>
    <t>VANottoway</t>
  </si>
  <si>
    <t>VAOrange</t>
  </si>
  <si>
    <t>VAPage</t>
  </si>
  <si>
    <t>VAPatrick</t>
  </si>
  <si>
    <t>VAPetersburg</t>
  </si>
  <si>
    <t>Pittsylvania</t>
  </si>
  <si>
    <t>VAPittsylvania</t>
  </si>
  <si>
    <t>Poquoson</t>
  </si>
  <si>
    <t>VAPoquoson</t>
  </si>
  <si>
    <t>VAPortsmouth</t>
  </si>
  <si>
    <t>Powhatan</t>
  </si>
  <si>
    <t>VAPowhatan</t>
  </si>
  <si>
    <t>Prince Edward</t>
  </si>
  <si>
    <t>VAPrince Edward</t>
  </si>
  <si>
    <t>VAPrince George</t>
  </si>
  <si>
    <t>Prince William</t>
  </si>
  <si>
    <t>VAPrince William</t>
  </si>
  <si>
    <t>VAPulaski</t>
  </si>
  <si>
    <t>Radford</t>
  </si>
  <si>
    <t>VARadford</t>
  </si>
  <si>
    <t>VARappahannock</t>
  </si>
  <si>
    <t>VARichmond</t>
  </si>
  <si>
    <t>Roanoke</t>
  </si>
  <si>
    <t>VARoanoke</t>
  </si>
  <si>
    <t>Rockbridge</t>
  </si>
  <si>
    <t>VARockbridge</t>
  </si>
  <si>
    <t>VARockingham</t>
  </si>
  <si>
    <t>VARussell</t>
  </si>
  <si>
    <t>VASalem</t>
  </si>
  <si>
    <t>VAScott</t>
  </si>
  <si>
    <t>Shenandoah</t>
  </si>
  <si>
    <t>VAShenandoah</t>
  </si>
  <si>
    <t>Smyth</t>
  </si>
  <si>
    <t>VASmyth</t>
  </si>
  <si>
    <t>VASouthampton</t>
  </si>
  <si>
    <t>Spotsylvania</t>
  </si>
  <si>
    <t>VASpotsylvania</t>
  </si>
  <si>
    <t>VAStafford</t>
  </si>
  <si>
    <t>Staunton</t>
  </si>
  <si>
    <t>VAStaunton</t>
  </si>
  <si>
    <t>VASuffolk</t>
  </si>
  <si>
    <t>VASurry</t>
  </si>
  <si>
    <t>VASussex</t>
  </si>
  <si>
    <t>VATazewell</t>
  </si>
  <si>
    <t>Virginia Beach</t>
  </si>
  <si>
    <t>VAVirginia Beach</t>
  </si>
  <si>
    <t>VAWarren</t>
  </si>
  <si>
    <t>VAWashington</t>
  </si>
  <si>
    <t>Waynesboro</t>
  </si>
  <si>
    <t>VAWaynesboro</t>
  </si>
  <si>
    <t>VAWestmoreland</t>
  </si>
  <si>
    <t>VAWilliamsburg</t>
  </si>
  <si>
    <t>Winchester</t>
  </si>
  <si>
    <t>VAWinchester</t>
  </si>
  <si>
    <t>VAWise</t>
  </si>
  <si>
    <t>Wythe</t>
  </si>
  <si>
    <t>VAWythe</t>
  </si>
  <si>
    <t>VAYork</t>
  </si>
  <si>
    <t>Addison</t>
  </si>
  <si>
    <t>VTAddison</t>
  </si>
  <si>
    <t>Bennington</t>
  </si>
  <si>
    <t>VTBennington</t>
  </si>
  <si>
    <t>Caledonia</t>
  </si>
  <si>
    <t>VTCaledonia</t>
  </si>
  <si>
    <t>Chittenden</t>
  </si>
  <si>
    <t>VTChittenden</t>
  </si>
  <si>
    <t>VTEssex</t>
  </si>
  <si>
    <t>VTFranklin</t>
  </si>
  <si>
    <t>Grand Isle</t>
  </si>
  <si>
    <t>VTGrand Isle</t>
  </si>
  <si>
    <t>Lamoille</t>
  </si>
  <si>
    <t>VTLamoille</t>
  </si>
  <si>
    <t>VTOrange</t>
  </si>
  <si>
    <t>VTOrleans</t>
  </si>
  <si>
    <t>Rutland</t>
  </si>
  <si>
    <t>VTRutland</t>
  </si>
  <si>
    <t>VTWashington</t>
  </si>
  <si>
    <t>Windham</t>
  </si>
  <si>
    <t>VTWindham</t>
  </si>
  <si>
    <t>Windsor</t>
  </si>
  <si>
    <t>VTWindsor</t>
  </si>
  <si>
    <t>WAAdams</t>
  </si>
  <si>
    <t>Asotin</t>
  </si>
  <si>
    <t>WAAsotin</t>
  </si>
  <si>
    <t>WABenton</t>
  </si>
  <si>
    <t>Chelan</t>
  </si>
  <si>
    <t>WAChelan</t>
  </si>
  <si>
    <t>Clallam</t>
  </si>
  <si>
    <t>WAClallam</t>
  </si>
  <si>
    <t>WAClark</t>
  </si>
  <si>
    <t>WAColumbia</t>
  </si>
  <si>
    <t>Cowlitz</t>
  </si>
  <si>
    <t>WACowlitz</t>
  </si>
  <si>
    <t>WADouglas</t>
  </si>
  <si>
    <t>Ferry</t>
  </si>
  <si>
    <t>WAFerry</t>
  </si>
  <si>
    <t>WAFranklin</t>
  </si>
  <si>
    <t>WAGarfield</t>
  </si>
  <si>
    <t>WAGrant</t>
  </si>
  <si>
    <t>Grays Harbor</t>
  </si>
  <si>
    <t>WAGrays Harbor</t>
  </si>
  <si>
    <t>WAIsland</t>
  </si>
  <si>
    <t>WAJefferson</t>
  </si>
  <si>
    <t>WAKing</t>
  </si>
  <si>
    <t>Kitsap</t>
  </si>
  <si>
    <t>WAKitsap</t>
  </si>
  <si>
    <t>Kittitas</t>
  </si>
  <si>
    <t>WAKittitas</t>
  </si>
  <si>
    <t>Klickitat</t>
  </si>
  <si>
    <t>WAKlickitat</t>
  </si>
  <si>
    <t>WALewis</t>
  </si>
  <si>
    <t>WALincoln</t>
  </si>
  <si>
    <t>WAMason</t>
  </si>
  <si>
    <t>Okanogan</t>
  </si>
  <si>
    <t>WAOkanogan</t>
  </si>
  <si>
    <t>Pacific</t>
  </si>
  <si>
    <t>WAPacific</t>
  </si>
  <si>
    <t>Pend Oreille</t>
  </si>
  <si>
    <t>WAPend Oreille</t>
  </si>
  <si>
    <t>WAPierce</t>
  </si>
  <si>
    <t>WASan Juan</t>
  </si>
  <si>
    <t>Skagit</t>
  </si>
  <si>
    <t>WASkagit</t>
  </si>
  <si>
    <t>Skamania</t>
  </si>
  <si>
    <t>WASkamania</t>
  </si>
  <si>
    <t>Snohomish</t>
  </si>
  <si>
    <t>WASnohomish</t>
  </si>
  <si>
    <t>Spokane</t>
  </si>
  <si>
    <t>WASpokane</t>
  </si>
  <si>
    <t>WAStevens</t>
  </si>
  <si>
    <t>WAThurston</t>
  </si>
  <si>
    <t>Wahkiakum</t>
  </si>
  <si>
    <t>WAWahkiakum</t>
  </si>
  <si>
    <t>Walla Walla</t>
  </si>
  <si>
    <t>WAWalla Walla</t>
  </si>
  <si>
    <t>Whatcom</t>
  </si>
  <si>
    <t>WAWhatcom</t>
  </si>
  <si>
    <t>Whitman</t>
  </si>
  <si>
    <t>WAWhitman</t>
  </si>
  <si>
    <t>Yakima</t>
  </si>
  <si>
    <t>WAYakima</t>
  </si>
  <si>
    <t>WIAdams</t>
  </si>
  <si>
    <t>WIAshland</t>
  </si>
  <si>
    <t>Barron</t>
  </si>
  <si>
    <t>WIBarron</t>
  </si>
  <si>
    <t>Bayfield</t>
  </si>
  <si>
    <t>WIBayfield</t>
  </si>
  <si>
    <t>WIBrown</t>
  </si>
  <si>
    <t>WIBuffalo</t>
  </si>
  <si>
    <t>Burnett</t>
  </si>
  <si>
    <t>WIBurnett</t>
  </si>
  <si>
    <t>Calumet</t>
  </si>
  <si>
    <t>WICalumet</t>
  </si>
  <si>
    <t>WIChippewa</t>
  </si>
  <si>
    <t>WIClark</t>
  </si>
  <si>
    <t>WIColumbia</t>
  </si>
  <si>
    <t>WICrawford</t>
  </si>
  <si>
    <t>Dane</t>
  </si>
  <si>
    <t>WIDane</t>
  </si>
  <si>
    <t>WIDodge</t>
  </si>
  <si>
    <t>Door</t>
  </si>
  <si>
    <t>WIDoor</t>
  </si>
  <si>
    <t>WIDouglas</t>
  </si>
  <si>
    <t>WIDunn</t>
  </si>
  <si>
    <t>Eau Claire</t>
  </si>
  <si>
    <t>WIEau Claire</t>
  </si>
  <si>
    <t>WIFlorence</t>
  </si>
  <si>
    <t>Fond du Lac</t>
  </si>
  <si>
    <t>WIFond du Lac</t>
  </si>
  <si>
    <t>WIForest</t>
  </si>
  <si>
    <t>WIGrant</t>
  </si>
  <si>
    <t>WIGreen</t>
  </si>
  <si>
    <t>Green Lake</t>
  </si>
  <si>
    <t>WIGreen Lake</t>
  </si>
  <si>
    <t>WIIowa</t>
  </si>
  <si>
    <t>WIIron</t>
  </si>
  <si>
    <t>WIJackson</t>
  </si>
  <si>
    <t>WIJefferson</t>
  </si>
  <si>
    <t>WIJuneau</t>
  </si>
  <si>
    <t>Kenosha</t>
  </si>
  <si>
    <t>WIKenosha</t>
  </si>
  <si>
    <t>Kewaunee</t>
  </si>
  <si>
    <t>WIKewaunee</t>
  </si>
  <si>
    <t>La Crosse</t>
  </si>
  <si>
    <t>WILa Crosse</t>
  </si>
  <si>
    <t>WILafayette</t>
  </si>
  <si>
    <t>Langlade</t>
  </si>
  <si>
    <t>WILanglade</t>
  </si>
  <si>
    <t>WILincoln</t>
  </si>
  <si>
    <t>Manitowoc</t>
  </si>
  <si>
    <t>WIManitowoc</t>
  </si>
  <si>
    <t>Marathon</t>
  </si>
  <si>
    <t>WIMarathon</t>
  </si>
  <si>
    <t>Marinette</t>
  </si>
  <si>
    <t>WIMarinette</t>
  </si>
  <si>
    <t>WIMarquette</t>
  </si>
  <si>
    <t>WIMenominee</t>
  </si>
  <si>
    <t>Milwaukee</t>
  </si>
  <si>
    <t>WIMilwaukee</t>
  </si>
  <si>
    <t>WIMonroe</t>
  </si>
  <si>
    <t>Oconto</t>
  </si>
  <si>
    <t>WIOconto</t>
  </si>
  <si>
    <t>WIOneida</t>
  </si>
  <si>
    <t>Outagamie</t>
  </si>
  <si>
    <t>WIOutagamie</t>
  </si>
  <si>
    <t>Ozaukee</t>
  </si>
  <si>
    <t>WIOzaukee</t>
  </si>
  <si>
    <t>Pepin</t>
  </si>
  <si>
    <t>WIPepin</t>
  </si>
  <si>
    <t>WIPierce</t>
  </si>
  <si>
    <t>WIPolk</t>
  </si>
  <si>
    <t>WIPortage</t>
  </si>
  <si>
    <t>WIPrice</t>
  </si>
  <si>
    <t>Racine</t>
  </si>
  <si>
    <t>WIRacine</t>
  </si>
  <si>
    <t>WIRichland</t>
  </si>
  <si>
    <t>WIRock</t>
  </si>
  <si>
    <t>WIRusk</t>
  </si>
  <si>
    <t>Sauk</t>
  </si>
  <si>
    <t>WISauk</t>
  </si>
  <si>
    <t>WISawyer</t>
  </si>
  <si>
    <t>Shawano</t>
  </si>
  <si>
    <t>WIShawano</t>
  </si>
  <si>
    <t>Sheboygan</t>
  </si>
  <si>
    <t>WISheboygan</t>
  </si>
  <si>
    <t>St. Croix</t>
  </si>
  <si>
    <t>WISt. Croix</t>
  </si>
  <si>
    <t>WITaylor</t>
  </si>
  <si>
    <t>Trempealeau</t>
  </si>
  <si>
    <t>WITrempealeau</t>
  </si>
  <si>
    <t>WIVernon</t>
  </si>
  <si>
    <t>Vilas</t>
  </si>
  <si>
    <t>WIVilas</t>
  </si>
  <si>
    <t>WIWalworth</t>
  </si>
  <si>
    <t>Washburn</t>
  </si>
  <si>
    <t>WIWashburn</t>
  </si>
  <si>
    <t>WIWashington</t>
  </si>
  <si>
    <t>Waukesha</t>
  </si>
  <si>
    <t>WIWaukesha</t>
  </si>
  <si>
    <t>Waupaca</t>
  </si>
  <si>
    <t>WIWaupaca</t>
  </si>
  <si>
    <t>Waushara</t>
  </si>
  <si>
    <t>WIWaushara</t>
  </si>
  <si>
    <t>WIWinnebago</t>
  </si>
  <si>
    <t>WIWood</t>
  </si>
  <si>
    <t>WVBarbour</t>
  </si>
  <si>
    <t>WVBerkeley</t>
  </si>
  <si>
    <t>WVBoone</t>
  </si>
  <si>
    <t>Braxton</t>
  </si>
  <si>
    <t>WVBraxton</t>
  </si>
  <si>
    <t>Brooke</t>
  </si>
  <si>
    <t>WVBrooke</t>
  </si>
  <si>
    <t>Cabell</t>
  </si>
  <si>
    <t>WVCabell</t>
  </si>
  <si>
    <t>WVCalhoun</t>
  </si>
  <si>
    <t>WVClay</t>
  </si>
  <si>
    <t>Doddridge</t>
  </si>
  <si>
    <t>WVDoddridge</t>
  </si>
  <si>
    <t>WVFayette</t>
  </si>
  <si>
    <t>WVGilmer</t>
  </si>
  <si>
    <t>WVGrant</t>
  </si>
  <si>
    <t>Greenbrier</t>
  </si>
  <si>
    <t>WVGreenbrier</t>
  </si>
  <si>
    <t>WVHampshire</t>
  </si>
  <si>
    <t>WVHancock</t>
  </si>
  <si>
    <t>Hardy</t>
  </si>
  <si>
    <t>WVHardy</t>
  </si>
  <si>
    <t>WVHarrison</t>
  </si>
  <si>
    <t>WVJackson</t>
  </si>
  <si>
    <t>WVJefferson</t>
  </si>
  <si>
    <t>Kanawha</t>
  </si>
  <si>
    <t>WVKanawha</t>
  </si>
  <si>
    <t>WVLewis</t>
  </si>
  <si>
    <t>WVLincoln</t>
  </si>
  <si>
    <t>WVLogan</t>
  </si>
  <si>
    <t>WVMarion</t>
  </si>
  <si>
    <t>WVMarshall</t>
  </si>
  <si>
    <t>WVMason</t>
  </si>
  <si>
    <t>WVMcDowell</t>
  </si>
  <si>
    <t>WVMercer</t>
  </si>
  <si>
    <t>WVMineral</t>
  </si>
  <si>
    <t>WVMingo</t>
  </si>
  <si>
    <t>Monongalia</t>
  </si>
  <si>
    <t>WVMonongalia</t>
  </si>
  <si>
    <t>WVMonroe</t>
  </si>
  <si>
    <t>WVMorgan</t>
  </si>
  <si>
    <t>WVNicholas</t>
  </si>
  <si>
    <t>WVOhio</t>
  </si>
  <si>
    <t>WVPendleton</t>
  </si>
  <si>
    <t>Pleasants</t>
  </si>
  <si>
    <t>WVPleasants</t>
  </si>
  <si>
    <t>WVPocahontas</t>
  </si>
  <si>
    <t>Preston</t>
  </si>
  <si>
    <t>WVPreston</t>
  </si>
  <si>
    <t>WVPutnam</t>
  </si>
  <si>
    <t>Raleigh</t>
  </si>
  <si>
    <t>WVRaleigh</t>
  </si>
  <si>
    <t>WVRandolph</t>
  </si>
  <si>
    <t>Ritchie</t>
  </si>
  <si>
    <t>WVRitchie</t>
  </si>
  <si>
    <t>WVRoane</t>
  </si>
  <si>
    <t>WVSummers</t>
  </si>
  <si>
    <t>WVTaylor</t>
  </si>
  <si>
    <t>WVTucker</t>
  </si>
  <si>
    <t>WVTyler</t>
  </si>
  <si>
    <t>WVUpshur</t>
  </si>
  <si>
    <t>WVWayne</t>
  </si>
  <si>
    <t>WVWebster</t>
  </si>
  <si>
    <t>Wetzel</t>
  </si>
  <si>
    <t>WVWetzel</t>
  </si>
  <si>
    <t>Wirt</t>
  </si>
  <si>
    <t>WVWirt</t>
  </si>
  <si>
    <t>WVWood</t>
  </si>
  <si>
    <t>WVWyoming</t>
  </si>
  <si>
    <t>WYAlbany</t>
  </si>
  <si>
    <t>WYBig Horn</t>
  </si>
  <si>
    <t>WYCampbell</t>
  </si>
  <si>
    <t>WYCarbon</t>
  </si>
  <si>
    <t>Converse</t>
  </si>
  <si>
    <t>WYConverse</t>
  </si>
  <si>
    <t>WYCrook</t>
  </si>
  <si>
    <t>WYFremont</t>
  </si>
  <si>
    <t>WYGoshen</t>
  </si>
  <si>
    <t>Hot Springs</t>
  </si>
  <si>
    <t>WYHot Springs</t>
  </si>
  <si>
    <t>WYJohnson</t>
  </si>
  <si>
    <t>Laramie</t>
  </si>
  <si>
    <t>WYLaramie</t>
  </si>
  <si>
    <t>WYLincoln</t>
  </si>
  <si>
    <t>Natrona</t>
  </si>
  <si>
    <t>WYNatrona</t>
  </si>
  <si>
    <t>Niobrara</t>
  </si>
  <si>
    <t>WYNiobrara</t>
  </si>
  <si>
    <t>WYPark</t>
  </si>
  <si>
    <t>WYPlatte</t>
  </si>
  <si>
    <t>WYSheridan</t>
  </si>
  <si>
    <t>Sublette</t>
  </si>
  <si>
    <t>WYSublette</t>
  </si>
  <si>
    <t>Sweetwater</t>
  </si>
  <si>
    <t>WYSweetwater</t>
  </si>
  <si>
    <t>WYTeton</t>
  </si>
  <si>
    <t>Uinta</t>
  </si>
  <si>
    <t>WYUinta</t>
  </si>
  <si>
    <t>Washakie</t>
  </si>
  <si>
    <t>WYWashakie</t>
  </si>
  <si>
    <t>Weston</t>
  </si>
  <si>
    <t>WYWeston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</si>
</sst>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90"/>
  <sheetViews>
    <sheetView tabSelected="1" topLeftCell="B1" zoomScale="220" zoomScaleNormal="220" workbookViewId="0">
      <pane ySplit="1" topLeftCell="A125" activePane="bottomLeft" state="frozen"/>
      <selection activeCell="E1" sqref="E1"/>
      <selection pane="bottomLeft" activeCell="B129" sqref="B129"/>
    </sheetView>
  </sheetViews>
  <sheetFormatPr defaultRowHeight="15" x14ac:dyDescent="0.25"/>
  <cols>
    <col min="1" max="1" width="23.42578125" bestFit="1" customWidth="1"/>
    <col min="2" max="2" width="255.7109375" bestFit="1" customWidth="1"/>
    <col min="3" max="3" width="64.85546875" bestFit="1" customWidth="1"/>
    <col min="4" max="4" width="27" bestFit="1" customWidth="1"/>
    <col min="5" max="5" width="151.28515625" bestFit="1" customWidth="1"/>
    <col min="6" max="6" width="9.28515625" bestFit="1" customWidth="1"/>
    <col min="7" max="7" width="5" bestFit="1" customWidth="1"/>
    <col min="8" max="8" width="9.28515625" bestFit="1" customWidth="1"/>
    <col min="9" max="9" width="18" bestFit="1" customWidth="1"/>
    <col min="10" max="10" width="22.42578125" bestFit="1" customWidth="1"/>
    <col min="11" max="11" width="17" bestFit="1" customWidth="1"/>
    <col min="12" max="12" width="15.7109375" bestFit="1" customWidth="1"/>
    <col min="13" max="13" width="18" bestFit="1" customWidth="1"/>
    <col min="14" max="14" width="41.42578125" bestFit="1" customWidth="1"/>
    <col min="15" max="15" width="12.5703125" bestFit="1" customWidth="1"/>
    <col min="16" max="16" width="14.42578125" bestFit="1" customWidth="1"/>
    <col min="17" max="17" width="16.28515625" bestFit="1" customWidth="1"/>
    <col min="18" max="18" width="67.28515625" bestFit="1" customWidth="1"/>
    <col min="19" max="19" width="16.7109375" bestFit="1" customWidth="1"/>
    <col min="20" max="20" width="24.28515625" bestFit="1" customWidth="1"/>
    <col min="21" max="21" width="32.85546875" bestFit="1" customWidth="1"/>
    <col min="22" max="22" width="32.140625" bestFit="1" customWidth="1"/>
    <col min="23" max="23" width="98.140625" bestFit="1" customWidth="1"/>
    <col min="24" max="24" width="22.28515625" bestFit="1" customWidth="1"/>
    <col min="25" max="25" width="60.140625" bestFit="1" customWidth="1"/>
    <col min="26" max="26" width="8" bestFit="1" customWidth="1"/>
    <col min="27" max="27" width="24.42578125" bestFit="1" customWidth="1"/>
    <col min="28" max="28" width="20" bestFit="1" customWidth="1"/>
    <col min="29" max="29" width="23.7109375" bestFit="1" customWidth="1"/>
    <col min="30" max="30" width="12.85546875" bestFit="1" customWidth="1"/>
    <col min="31" max="31" width="5.5703125" bestFit="1" customWidth="1"/>
    <col min="32" max="32" width="7.28515625" bestFit="1" customWidth="1"/>
    <col min="33" max="33" width="22.28515625" bestFit="1"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33</v>
      </c>
      <c r="B2" t="s">
        <v>34</v>
      </c>
      <c r="C2" t="s">
        <v>35</v>
      </c>
      <c r="D2" t="s">
        <v>36</v>
      </c>
      <c r="E2" t="s">
        <v>37</v>
      </c>
      <c r="F2">
        <v>1762</v>
      </c>
      <c r="G2">
        <v>744</v>
      </c>
      <c r="H2" t="s">
        <v>38</v>
      </c>
      <c r="I2" t="s">
        <v>39</v>
      </c>
      <c r="J2" t="s">
        <v>40</v>
      </c>
      <c r="K2" t="s">
        <v>38</v>
      </c>
      <c r="L2" t="s">
        <v>38</v>
      </c>
      <c r="M2" t="s">
        <v>38</v>
      </c>
      <c r="N2" t="s">
        <v>38</v>
      </c>
      <c r="O2" t="s">
        <v>41</v>
      </c>
      <c r="P2" t="s">
        <v>42</v>
      </c>
      <c r="Q2" t="s">
        <v>43</v>
      </c>
      <c r="R2" t="s">
        <v>44</v>
      </c>
      <c r="S2" t="s">
        <v>45</v>
      </c>
      <c r="T2" t="s">
        <v>38</v>
      </c>
      <c r="U2" t="s">
        <v>38</v>
      </c>
      <c r="V2" t="s">
        <v>46</v>
      </c>
      <c r="W2" t="s">
        <v>38</v>
      </c>
      <c r="X2" t="s">
        <v>38</v>
      </c>
      <c r="Y2" t="s">
        <v>47</v>
      </c>
      <c r="Z2" t="s">
        <v>42</v>
      </c>
      <c r="AA2" t="s">
        <v>38</v>
      </c>
      <c r="AB2" t="s">
        <v>38</v>
      </c>
      <c r="AC2" t="s">
        <v>45</v>
      </c>
      <c r="AD2" t="s">
        <v>48</v>
      </c>
      <c r="AG2" t="str">
        <f>IF(AD2="United States", IFERROR(INDEX(Sheet2!$C:$C, MATCH(AE2&amp;AF2, Sheet2!$E:$E, 0)) &amp; ", " &amp; INDEX(Sheet2!$D:$D, MATCH(AE2&amp;AF2, Sheet2!$E:$E, 0)), ""), "-")</f>
        <v/>
      </c>
    </row>
    <row r="3" spans="1:33" x14ac:dyDescent="0.25">
      <c r="A3" t="s">
        <v>33</v>
      </c>
      <c r="B3" t="s">
        <v>49</v>
      </c>
      <c r="C3" t="s">
        <v>35</v>
      </c>
      <c r="D3" t="s">
        <v>50</v>
      </c>
      <c r="E3" t="s">
        <v>51</v>
      </c>
      <c r="F3">
        <v>1775</v>
      </c>
      <c r="G3">
        <v>746</v>
      </c>
      <c r="H3" t="s">
        <v>38</v>
      </c>
      <c r="I3" t="s">
        <v>39</v>
      </c>
      <c r="J3" t="s">
        <v>40</v>
      </c>
      <c r="K3" t="s">
        <v>38</v>
      </c>
      <c r="L3" t="s">
        <v>38</v>
      </c>
      <c r="M3" t="s">
        <v>52</v>
      </c>
      <c r="N3" t="s">
        <v>53</v>
      </c>
      <c r="O3" t="s">
        <v>54</v>
      </c>
      <c r="P3" t="s">
        <v>42</v>
      </c>
      <c r="Q3" t="s">
        <v>43</v>
      </c>
      <c r="R3" t="s">
        <v>38</v>
      </c>
      <c r="S3" t="s">
        <v>38</v>
      </c>
      <c r="T3" t="s">
        <v>38</v>
      </c>
      <c r="U3" t="s">
        <v>38</v>
      </c>
      <c r="V3" t="s">
        <v>46</v>
      </c>
      <c r="W3" t="s">
        <v>38</v>
      </c>
      <c r="X3" t="s">
        <v>38</v>
      </c>
      <c r="Y3" t="s">
        <v>38</v>
      </c>
      <c r="Z3" t="s">
        <v>42</v>
      </c>
      <c r="AA3" t="s">
        <v>38</v>
      </c>
      <c r="AB3" t="s">
        <v>38</v>
      </c>
      <c r="AC3" t="s">
        <v>55</v>
      </c>
      <c r="AD3" t="s">
        <v>48</v>
      </c>
      <c r="AG3" t="str">
        <f>IF(AD3="United States", IFERROR(INDEX(Sheet2!$C:$C, MATCH(AE3&amp;AF3, Sheet2!$E:$E, 0)) &amp; ", " &amp; INDEX(Sheet2!$D:$D, MATCH(AE3&amp;AF3, Sheet2!$E:$E, 0)), ""), "-")</f>
        <v/>
      </c>
    </row>
    <row r="4" spans="1:33" x14ac:dyDescent="0.25">
      <c r="A4" t="s">
        <v>33</v>
      </c>
      <c r="B4" t="s">
        <v>56</v>
      </c>
      <c r="C4" t="s">
        <v>35</v>
      </c>
      <c r="D4" t="s">
        <v>52</v>
      </c>
      <c r="E4" t="s">
        <v>53</v>
      </c>
      <c r="F4">
        <v>1756</v>
      </c>
      <c r="G4">
        <v>743</v>
      </c>
      <c r="H4" t="s">
        <v>38</v>
      </c>
      <c r="I4" t="s">
        <v>39</v>
      </c>
      <c r="J4" t="s">
        <v>40</v>
      </c>
      <c r="K4" t="s">
        <v>38</v>
      </c>
      <c r="L4" t="s">
        <v>38</v>
      </c>
      <c r="M4" t="s">
        <v>38</v>
      </c>
      <c r="N4" t="s">
        <v>38</v>
      </c>
      <c r="O4" t="s">
        <v>57</v>
      </c>
      <c r="P4" t="s">
        <v>42</v>
      </c>
      <c r="Q4" t="s">
        <v>43</v>
      </c>
      <c r="R4" t="s">
        <v>38</v>
      </c>
      <c r="S4" t="s">
        <v>38</v>
      </c>
      <c r="T4" t="s">
        <v>38</v>
      </c>
      <c r="U4" t="s">
        <v>38</v>
      </c>
      <c r="V4" t="s">
        <v>46</v>
      </c>
      <c r="W4" t="s">
        <v>38</v>
      </c>
      <c r="X4" t="s">
        <v>38</v>
      </c>
      <c r="Y4" t="s">
        <v>58</v>
      </c>
      <c r="Z4" t="s">
        <v>42</v>
      </c>
      <c r="AA4" t="s">
        <v>59</v>
      </c>
      <c r="AB4" t="s">
        <v>38</v>
      </c>
      <c r="AC4" t="s">
        <v>60</v>
      </c>
      <c r="AD4" t="s">
        <v>48</v>
      </c>
      <c r="AG4" t="str">
        <f>IF(AD4="United States", IFERROR(INDEX(Sheet2!$C:$C, MATCH(AE4&amp;AF4, Sheet2!$E:$E, 0)) &amp; ", " &amp; INDEX(Sheet2!$D:$D, MATCH(AE4&amp;AF4, Sheet2!$E:$E, 0)), ""), "-")</f>
        <v/>
      </c>
    </row>
    <row r="5" spans="1:33" x14ac:dyDescent="0.25">
      <c r="A5" t="s">
        <v>33</v>
      </c>
      <c r="B5" t="s">
        <v>61</v>
      </c>
      <c r="C5" t="s">
        <v>35</v>
      </c>
      <c r="D5" t="s">
        <v>62</v>
      </c>
      <c r="E5" t="s">
        <v>53</v>
      </c>
      <c r="F5">
        <v>1751</v>
      </c>
      <c r="G5">
        <v>742</v>
      </c>
      <c r="H5" t="s">
        <v>38</v>
      </c>
      <c r="I5" t="s">
        <v>39</v>
      </c>
      <c r="J5" t="s">
        <v>40</v>
      </c>
      <c r="K5" t="s">
        <v>63</v>
      </c>
      <c r="L5" t="s">
        <v>64</v>
      </c>
      <c r="M5" t="s">
        <v>38</v>
      </c>
      <c r="N5" t="s">
        <v>38</v>
      </c>
      <c r="O5" t="s">
        <v>41</v>
      </c>
      <c r="P5" t="s">
        <v>42</v>
      </c>
      <c r="Q5" t="s">
        <v>43</v>
      </c>
      <c r="R5" t="s">
        <v>38</v>
      </c>
      <c r="S5" t="s">
        <v>38</v>
      </c>
      <c r="T5" t="s">
        <v>38</v>
      </c>
      <c r="U5" t="s">
        <v>38</v>
      </c>
      <c r="V5" t="s">
        <v>46</v>
      </c>
      <c r="W5" t="s">
        <v>38</v>
      </c>
      <c r="X5" t="s">
        <v>38</v>
      </c>
      <c r="Y5" t="s">
        <v>65</v>
      </c>
      <c r="Z5" t="s">
        <v>42</v>
      </c>
      <c r="AA5" t="s">
        <v>66</v>
      </c>
      <c r="AB5" t="s">
        <v>38</v>
      </c>
      <c r="AC5" t="s">
        <v>67</v>
      </c>
      <c r="AD5" t="s">
        <v>48</v>
      </c>
      <c r="AG5" t="str">
        <f>IF(AD5="United States", IFERROR(INDEX(Sheet2!$C:$C, MATCH(AE5&amp;AF5, Sheet2!$E:$E, 0)) &amp; ", " &amp; INDEX(Sheet2!$D:$D, MATCH(AE5&amp;AF5, Sheet2!$E:$E, 0)), ""), "-")</f>
        <v/>
      </c>
    </row>
    <row r="6" spans="1:33" x14ac:dyDescent="0.25">
      <c r="A6" t="s">
        <v>33</v>
      </c>
      <c r="B6" t="s">
        <v>68</v>
      </c>
      <c r="C6" t="s">
        <v>35</v>
      </c>
      <c r="D6" t="s">
        <v>63</v>
      </c>
      <c r="E6" t="s">
        <v>64</v>
      </c>
      <c r="F6">
        <v>1740</v>
      </c>
      <c r="G6">
        <v>741</v>
      </c>
      <c r="H6" t="s">
        <v>38</v>
      </c>
      <c r="I6" t="s">
        <v>39</v>
      </c>
      <c r="J6" t="s">
        <v>40</v>
      </c>
      <c r="K6" t="s">
        <v>38</v>
      </c>
      <c r="L6" t="s">
        <v>38</v>
      </c>
      <c r="M6" t="s">
        <v>38</v>
      </c>
      <c r="N6" t="s">
        <v>38</v>
      </c>
      <c r="O6" t="s">
        <v>41</v>
      </c>
      <c r="P6" t="s">
        <v>42</v>
      </c>
      <c r="Q6" t="s">
        <v>43</v>
      </c>
      <c r="R6" t="s">
        <v>38</v>
      </c>
      <c r="S6" t="s">
        <v>38</v>
      </c>
      <c r="T6" t="s">
        <v>38</v>
      </c>
      <c r="U6" t="s">
        <v>38</v>
      </c>
      <c r="V6" t="s">
        <v>46</v>
      </c>
      <c r="W6" t="s">
        <v>38</v>
      </c>
      <c r="X6" t="s">
        <v>38</v>
      </c>
      <c r="Y6" t="s">
        <v>65</v>
      </c>
      <c r="Z6" t="s">
        <v>42</v>
      </c>
      <c r="AA6" t="s">
        <v>69</v>
      </c>
      <c r="AB6" t="s">
        <v>38</v>
      </c>
      <c r="AC6" t="s">
        <v>70</v>
      </c>
      <c r="AD6" t="s">
        <v>48</v>
      </c>
      <c r="AG6" t="str">
        <f>IF(AD6="United States", IFERROR(INDEX(Sheet2!$C:$C, MATCH(AE6&amp;AF6, Sheet2!$E:$E, 0)) &amp; ", " &amp; INDEX(Sheet2!$D:$D, MATCH(AE6&amp;AF6, Sheet2!$E:$E, 0)), ""), "-")</f>
        <v/>
      </c>
    </row>
    <row r="7" spans="1:33" x14ac:dyDescent="0.25">
      <c r="A7" t="s">
        <v>33</v>
      </c>
      <c r="B7" t="s">
        <v>71</v>
      </c>
      <c r="C7" t="s">
        <v>35</v>
      </c>
      <c r="D7" t="s">
        <v>72</v>
      </c>
      <c r="E7" t="s">
        <v>73</v>
      </c>
      <c r="F7">
        <v>1767</v>
      </c>
      <c r="G7">
        <v>745</v>
      </c>
      <c r="H7" t="s">
        <v>38</v>
      </c>
      <c r="I7" t="s">
        <v>39</v>
      </c>
      <c r="J7" t="s">
        <v>40</v>
      </c>
      <c r="K7" t="s">
        <v>38</v>
      </c>
      <c r="L7" t="s">
        <v>38</v>
      </c>
      <c r="M7" t="s">
        <v>38</v>
      </c>
      <c r="N7" t="s">
        <v>38</v>
      </c>
      <c r="O7" t="s">
        <v>74</v>
      </c>
      <c r="P7" t="s">
        <v>42</v>
      </c>
      <c r="Q7" t="s">
        <v>43</v>
      </c>
      <c r="R7" t="s">
        <v>38</v>
      </c>
      <c r="S7" t="s">
        <v>38</v>
      </c>
      <c r="T7" t="s">
        <v>38</v>
      </c>
      <c r="U7" t="s">
        <v>38</v>
      </c>
      <c r="V7" t="s">
        <v>46</v>
      </c>
      <c r="W7" t="s">
        <v>38</v>
      </c>
      <c r="X7" t="s">
        <v>38</v>
      </c>
      <c r="Y7" t="s">
        <v>47</v>
      </c>
      <c r="Z7" t="s">
        <v>42</v>
      </c>
      <c r="AA7" t="s">
        <v>38</v>
      </c>
      <c r="AB7" t="s">
        <v>38</v>
      </c>
      <c r="AC7" t="s">
        <v>60</v>
      </c>
      <c r="AD7" t="s">
        <v>48</v>
      </c>
      <c r="AG7" t="str">
        <f>IF(AD7="United States", IFERROR(INDEX(Sheet2!$C:$C, MATCH(AE7&amp;AF7, Sheet2!$E:$E, 0)) &amp; ", " &amp; INDEX(Sheet2!$D:$D, MATCH(AE7&amp;AF7, Sheet2!$E:$E, 0)), ""), "-")</f>
        <v/>
      </c>
    </row>
    <row r="8" spans="1:33" x14ac:dyDescent="0.25">
      <c r="A8" t="s">
        <v>75</v>
      </c>
      <c r="B8" t="s">
        <v>76</v>
      </c>
      <c r="C8" t="s">
        <v>77</v>
      </c>
      <c r="D8" t="s">
        <v>78</v>
      </c>
      <c r="E8" t="s">
        <v>79</v>
      </c>
      <c r="F8">
        <v>1765</v>
      </c>
      <c r="G8">
        <v>2716</v>
      </c>
      <c r="I8" t="s">
        <v>80</v>
      </c>
      <c r="J8" t="s">
        <v>38</v>
      </c>
      <c r="O8" t="s">
        <v>41</v>
      </c>
      <c r="P8" t="s">
        <v>42</v>
      </c>
      <c r="Q8" t="s">
        <v>43</v>
      </c>
      <c r="V8" t="s">
        <v>81</v>
      </c>
      <c r="Y8" t="s">
        <v>38</v>
      </c>
      <c r="Z8" t="s">
        <v>42</v>
      </c>
      <c r="AA8" t="s">
        <v>38</v>
      </c>
      <c r="AB8" t="s">
        <v>38</v>
      </c>
      <c r="AC8" t="s">
        <v>38</v>
      </c>
      <c r="AD8" t="s">
        <v>48</v>
      </c>
      <c r="AG8" t="str">
        <f>IF(AD8="United States", IFERROR(INDEX(Sheet2!$C:$C, MATCH(AE8&amp;AF8, Sheet2!$E:$E, 0)) &amp; ", " &amp; INDEX(Sheet2!$D:$D, MATCH(AE8&amp;AF8, Sheet2!$E:$E, 0)), ""), "-")</f>
        <v/>
      </c>
    </row>
    <row r="9" spans="1:33" x14ac:dyDescent="0.25">
      <c r="A9" t="s">
        <v>82</v>
      </c>
      <c r="B9" t="s">
        <v>83</v>
      </c>
      <c r="C9" t="s">
        <v>84</v>
      </c>
      <c r="D9" t="s">
        <v>85</v>
      </c>
      <c r="E9" t="s">
        <v>38</v>
      </c>
      <c r="F9">
        <v>1763</v>
      </c>
      <c r="G9">
        <v>2254</v>
      </c>
      <c r="H9" t="s">
        <v>86</v>
      </c>
      <c r="I9" t="s">
        <v>87</v>
      </c>
      <c r="J9" t="s">
        <v>88</v>
      </c>
      <c r="K9" t="s">
        <v>38</v>
      </c>
      <c r="L9" t="s">
        <v>38</v>
      </c>
      <c r="M9" t="s">
        <v>38</v>
      </c>
      <c r="N9" t="s">
        <v>38</v>
      </c>
      <c r="O9" t="s">
        <v>57</v>
      </c>
      <c r="P9" t="s">
        <v>42</v>
      </c>
      <c r="Q9" t="s">
        <v>43</v>
      </c>
      <c r="R9" t="s">
        <v>89</v>
      </c>
      <c r="S9" t="s">
        <v>38</v>
      </c>
      <c r="T9" t="s">
        <v>89</v>
      </c>
      <c r="U9" t="s">
        <v>90</v>
      </c>
      <c r="V9" t="s">
        <v>91</v>
      </c>
      <c r="W9" t="s">
        <v>92</v>
      </c>
      <c r="X9" t="s">
        <v>93</v>
      </c>
      <c r="Y9" t="s">
        <v>94</v>
      </c>
      <c r="Z9" t="s">
        <v>42</v>
      </c>
      <c r="AA9" t="s">
        <v>38</v>
      </c>
      <c r="AB9" t="s">
        <v>38</v>
      </c>
      <c r="AC9" t="s">
        <v>85</v>
      </c>
      <c r="AD9" t="s">
        <v>48</v>
      </c>
      <c r="AG9" t="str">
        <f>IF(AD9="United States", IFERROR(INDEX(Sheet2!$C:$C, MATCH(AE9&amp;AF9, Sheet2!$E:$E, 0)) &amp; ", " &amp; INDEX(Sheet2!$D:$D, MATCH(AE9&amp;AF9, Sheet2!$E:$E, 0)), ""), "-")</f>
        <v/>
      </c>
    </row>
    <row r="10" spans="1:33" x14ac:dyDescent="0.25">
      <c r="A10" t="s">
        <v>82</v>
      </c>
      <c r="B10" t="s">
        <v>95</v>
      </c>
      <c r="C10" t="s">
        <v>84</v>
      </c>
      <c r="D10" t="s">
        <v>96</v>
      </c>
      <c r="E10" t="s">
        <v>38</v>
      </c>
      <c r="F10">
        <v>1769</v>
      </c>
      <c r="G10">
        <v>2255</v>
      </c>
      <c r="H10" t="s">
        <v>86</v>
      </c>
      <c r="I10" t="s">
        <v>87</v>
      </c>
      <c r="J10" t="s">
        <v>88</v>
      </c>
      <c r="K10" t="s">
        <v>38</v>
      </c>
      <c r="L10" t="s">
        <v>38</v>
      </c>
      <c r="M10" t="s">
        <v>38</v>
      </c>
      <c r="N10" t="s">
        <v>38</v>
      </c>
      <c r="O10" t="s">
        <v>74</v>
      </c>
      <c r="P10" t="s">
        <v>42</v>
      </c>
      <c r="Q10" t="s">
        <v>43</v>
      </c>
      <c r="R10" t="s">
        <v>89</v>
      </c>
      <c r="S10" t="s">
        <v>38</v>
      </c>
      <c r="T10" t="s">
        <v>89</v>
      </c>
      <c r="U10" t="s">
        <v>90</v>
      </c>
      <c r="V10" t="s">
        <v>91</v>
      </c>
      <c r="W10" t="s">
        <v>92</v>
      </c>
      <c r="X10" t="s">
        <v>93</v>
      </c>
      <c r="Y10" t="s">
        <v>94</v>
      </c>
      <c r="Z10" t="s">
        <v>42</v>
      </c>
      <c r="AA10" t="s">
        <v>38</v>
      </c>
      <c r="AB10" t="s">
        <v>38</v>
      </c>
      <c r="AC10" t="s">
        <v>38</v>
      </c>
      <c r="AD10" t="s">
        <v>48</v>
      </c>
      <c r="AG10" t="str">
        <f>IF(AD10="United States", IFERROR(INDEX(Sheet2!$C:$C, MATCH(AE10&amp;AF10, Sheet2!$E:$E, 0)) &amp; ", " &amp; INDEX(Sheet2!$D:$D, MATCH(AE10&amp;AF10, Sheet2!$E:$E, 0)), ""), "-")</f>
        <v/>
      </c>
    </row>
    <row r="11" spans="1:33" x14ac:dyDescent="0.25">
      <c r="A11" t="s">
        <v>82</v>
      </c>
      <c r="B11" t="s">
        <v>97</v>
      </c>
      <c r="C11" t="s">
        <v>84</v>
      </c>
      <c r="D11" t="s">
        <v>98</v>
      </c>
      <c r="E11" t="s">
        <v>38</v>
      </c>
      <c r="F11">
        <v>1765</v>
      </c>
      <c r="G11">
        <v>2256</v>
      </c>
      <c r="H11" t="s">
        <v>86</v>
      </c>
      <c r="I11" t="s">
        <v>87</v>
      </c>
      <c r="J11" t="s">
        <v>88</v>
      </c>
      <c r="K11" t="s">
        <v>38</v>
      </c>
      <c r="L11" t="s">
        <v>38</v>
      </c>
      <c r="M11" t="s">
        <v>38</v>
      </c>
      <c r="N11" t="s">
        <v>38</v>
      </c>
      <c r="O11" t="s">
        <v>57</v>
      </c>
      <c r="P11" t="s">
        <v>42</v>
      </c>
      <c r="Q11" t="s">
        <v>43</v>
      </c>
      <c r="R11" t="s">
        <v>89</v>
      </c>
      <c r="S11" t="s">
        <v>38</v>
      </c>
      <c r="T11" t="s">
        <v>89</v>
      </c>
      <c r="U11" t="s">
        <v>90</v>
      </c>
      <c r="V11" t="s">
        <v>91</v>
      </c>
      <c r="W11" t="s">
        <v>92</v>
      </c>
      <c r="X11" t="s">
        <v>93</v>
      </c>
      <c r="Y11" t="s">
        <v>99</v>
      </c>
      <c r="Z11" t="s">
        <v>42</v>
      </c>
      <c r="AA11" t="s">
        <v>38</v>
      </c>
      <c r="AB11" t="s">
        <v>38</v>
      </c>
      <c r="AC11" t="s">
        <v>38</v>
      </c>
      <c r="AD11" t="s">
        <v>48</v>
      </c>
      <c r="AG11" t="str">
        <f>IF(AD11="United States", IFERROR(INDEX(Sheet2!$C:$C, MATCH(AE11&amp;AF11, Sheet2!$E:$E, 0)) &amp; ", " &amp; INDEX(Sheet2!$D:$D, MATCH(AE11&amp;AF11, Sheet2!$E:$E, 0)), ""), "-")</f>
        <v/>
      </c>
    </row>
    <row r="12" spans="1:33" x14ac:dyDescent="0.25">
      <c r="A12" t="s">
        <v>82</v>
      </c>
      <c r="B12" t="s">
        <v>100</v>
      </c>
      <c r="C12" t="s">
        <v>84</v>
      </c>
      <c r="D12" t="s">
        <v>101</v>
      </c>
      <c r="E12" t="s">
        <v>38</v>
      </c>
      <c r="F12">
        <v>1747</v>
      </c>
      <c r="G12">
        <v>2258</v>
      </c>
      <c r="H12" t="s">
        <v>86</v>
      </c>
      <c r="I12" t="s">
        <v>87</v>
      </c>
      <c r="J12" t="s">
        <v>88</v>
      </c>
      <c r="K12" t="s">
        <v>38</v>
      </c>
      <c r="L12" t="s">
        <v>38</v>
      </c>
      <c r="M12" t="s">
        <v>38</v>
      </c>
      <c r="N12" t="s">
        <v>38</v>
      </c>
      <c r="O12" t="s">
        <v>41</v>
      </c>
      <c r="P12" t="s">
        <v>42</v>
      </c>
      <c r="Q12" t="s">
        <v>43</v>
      </c>
      <c r="R12" t="s">
        <v>89</v>
      </c>
      <c r="S12" t="s">
        <v>38</v>
      </c>
      <c r="T12" t="s">
        <v>89</v>
      </c>
      <c r="U12" t="s">
        <v>90</v>
      </c>
      <c r="V12" t="s">
        <v>91</v>
      </c>
      <c r="W12" t="s">
        <v>92</v>
      </c>
      <c r="X12" t="s">
        <v>93</v>
      </c>
      <c r="Y12" t="s">
        <v>102</v>
      </c>
      <c r="Z12" t="s">
        <v>42</v>
      </c>
      <c r="AA12" t="s">
        <v>38</v>
      </c>
      <c r="AB12" t="s">
        <v>38</v>
      </c>
      <c r="AC12" t="s">
        <v>38</v>
      </c>
      <c r="AD12" t="s">
        <v>48</v>
      </c>
      <c r="AG12" t="str">
        <f>IF(AD12="United States", IFERROR(INDEX(Sheet2!$C:$C, MATCH(AE12&amp;AF12, Sheet2!$E:$E, 0)) &amp; ", " &amp; INDEX(Sheet2!$D:$D, MATCH(AE12&amp;AF12, Sheet2!$E:$E, 0)), ""), "-")</f>
        <v/>
      </c>
    </row>
    <row r="13" spans="1:33" x14ac:dyDescent="0.25">
      <c r="A13" t="s">
        <v>82</v>
      </c>
      <c r="B13" t="s">
        <v>103</v>
      </c>
      <c r="C13" t="s">
        <v>84</v>
      </c>
      <c r="D13" t="s">
        <v>104</v>
      </c>
      <c r="E13" t="s">
        <v>38</v>
      </c>
      <c r="F13">
        <v>1758</v>
      </c>
      <c r="G13">
        <v>2259</v>
      </c>
      <c r="H13" t="s">
        <v>86</v>
      </c>
      <c r="I13" t="s">
        <v>87</v>
      </c>
      <c r="J13" t="s">
        <v>88</v>
      </c>
      <c r="K13" t="s">
        <v>38</v>
      </c>
      <c r="L13" t="s">
        <v>38</v>
      </c>
      <c r="M13" t="s">
        <v>38</v>
      </c>
      <c r="N13" t="s">
        <v>38</v>
      </c>
      <c r="O13" t="s">
        <v>41</v>
      </c>
      <c r="P13" t="s">
        <v>42</v>
      </c>
      <c r="Q13" t="s">
        <v>43</v>
      </c>
      <c r="R13" t="s">
        <v>89</v>
      </c>
      <c r="S13" t="s">
        <v>38</v>
      </c>
      <c r="T13" t="s">
        <v>89</v>
      </c>
      <c r="U13" t="s">
        <v>90</v>
      </c>
      <c r="V13" t="s">
        <v>91</v>
      </c>
      <c r="W13" t="s">
        <v>92</v>
      </c>
      <c r="X13" t="s">
        <v>93</v>
      </c>
      <c r="Y13" t="s">
        <v>38</v>
      </c>
      <c r="Z13" t="s">
        <v>42</v>
      </c>
      <c r="AA13" t="s">
        <v>38</v>
      </c>
      <c r="AB13" t="s">
        <v>38</v>
      </c>
      <c r="AC13" t="s">
        <v>104</v>
      </c>
      <c r="AD13" t="s">
        <v>48</v>
      </c>
      <c r="AG13" t="str">
        <f>IF(AD13="United States", IFERROR(INDEX(Sheet2!$C:$C, MATCH(AE13&amp;AF13, Sheet2!$E:$E, 0)) &amp; ", " &amp; INDEX(Sheet2!$D:$D, MATCH(AE13&amp;AF13, Sheet2!$E:$E, 0)), ""), "-")</f>
        <v/>
      </c>
    </row>
    <row r="14" spans="1:33" x14ac:dyDescent="0.25">
      <c r="A14" t="s">
        <v>82</v>
      </c>
      <c r="B14" t="s">
        <v>105</v>
      </c>
      <c r="C14" t="s">
        <v>84</v>
      </c>
      <c r="D14" t="s">
        <v>106</v>
      </c>
      <c r="E14" t="s">
        <v>38</v>
      </c>
      <c r="F14">
        <v>1748</v>
      </c>
      <c r="G14">
        <v>2257</v>
      </c>
      <c r="H14" t="s">
        <v>86</v>
      </c>
      <c r="I14" t="s">
        <v>87</v>
      </c>
      <c r="J14" t="s">
        <v>88</v>
      </c>
      <c r="K14" t="s">
        <v>38</v>
      </c>
      <c r="L14" t="s">
        <v>38</v>
      </c>
      <c r="M14" t="s">
        <v>38</v>
      </c>
      <c r="N14" t="s">
        <v>38</v>
      </c>
      <c r="O14" t="s">
        <v>41</v>
      </c>
      <c r="P14" t="s">
        <v>42</v>
      </c>
      <c r="Q14" t="s">
        <v>43</v>
      </c>
      <c r="R14" t="s">
        <v>89</v>
      </c>
      <c r="S14" t="s">
        <v>38</v>
      </c>
      <c r="T14" t="s">
        <v>89</v>
      </c>
      <c r="U14" t="s">
        <v>90</v>
      </c>
      <c r="V14" t="s">
        <v>91</v>
      </c>
      <c r="W14" t="s">
        <v>92</v>
      </c>
      <c r="X14" t="s">
        <v>93</v>
      </c>
      <c r="Y14" t="s">
        <v>99</v>
      </c>
      <c r="Z14" t="s">
        <v>42</v>
      </c>
      <c r="AA14" t="s">
        <v>38</v>
      </c>
      <c r="AB14" t="s">
        <v>38</v>
      </c>
      <c r="AC14" t="s">
        <v>38</v>
      </c>
      <c r="AD14" t="s">
        <v>48</v>
      </c>
      <c r="AG14" t="str">
        <f>IF(AD14="United States", IFERROR(INDEX(Sheet2!$C:$C, MATCH(AE14&amp;AF14, Sheet2!$E:$E, 0)) &amp; ", " &amp; INDEX(Sheet2!$D:$D, MATCH(AE14&amp;AF14, Sheet2!$E:$E, 0)), ""), "-")</f>
        <v/>
      </c>
    </row>
    <row r="15" spans="1:33" x14ac:dyDescent="0.25">
      <c r="A15" t="s">
        <v>107</v>
      </c>
      <c r="D15" t="s">
        <v>108</v>
      </c>
      <c r="E15" t="s">
        <v>30</v>
      </c>
      <c r="F15">
        <v>1759</v>
      </c>
      <c r="G15">
        <v>742</v>
      </c>
      <c r="H15">
        <v>35</v>
      </c>
      <c r="J15" t="s">
        <v>109</v>
      </c>
      <c r="O15" t="s">
        <v>41</v>
      </c>
      <c r="R15" t="s">
        <v>89</v>
      </c>
      <c r="T15" t="s">
        <v>89</v>
      </c>
      <c r="U15" t="s">
        <v>110</v>
      </c>
      <c r="V15" t="s">
        <v>111</v>
      </c>
      <c r="W15" t="s">
        <v>92</v>
      </c>
      <c r="X15" t="s">
        <v>93</v>
      </c>
      <c r="Y15" t="s">
        <v>38</v>
      </c>
      <c r="AA15" t="s">
        <v>38</v>
      </c>
      <c r="AB15" t="s">
        <v>38</v>
      </c>
      <c r="AC15" t="s">
        <v>38</v>
      </c>
      <c r="AD15" t="s">
        <v>48</v>
      </c>
      <c r="AG15" t="str">
        <f>IF(AD15="United States", IFERROR(INDEX(Sheet2!$C:$C, MATCH(AE15&amp;AF15, Sheet2!$E:$E, 0)) &amp; ", " &amp; INDEX(Sheet2!$D:$D, MATCH(AE15&amp;AF15, Sheet2!$E:$E, 0)), ""), "-")</f>
        <v/>
      </c>
    </row>
    <row r="16" spans="1:33" x14ac:dyDescent="0.25">
      <c r="A16" t="s">
        <v>107</v>
      </c>
      <c r="D16" t="s">
        <v>36</v>
      </c>
      <c r="E16" t="s">
        <v>112</v>
      </c>
      <c r="F16">
        <v>1743</v>
      </c>
      <c r="G16">
        <v>743</v>
      </c>
      <c r="H16">
        <v>35</v>
      </c>
      <c r="J16" t="s">
        <v>109</v>
      </c>
      <c r="O16" t="s">
        <v>41</v>
      </c>
      <c r="R16" t="s">
        <v>89</v>
      </c>
      <c r="T16" t="s">
        <v>89</v>
      </c>
      <c r="U16" t="s">
        <v>110</v>
      </c>
      <c r="V16" t="s">
        <v>111</v>
      </c>
      <c r="W16" t="s">
        <v>92</v>
      </c>
      <c r="X16" t="s">
        <v>93</v>
      </c>
      <c r="Y16" t="s">
        <v>38</v>
      </c>
      <c r="AA16" t="s">
        <v>38</v>
      </c>
      <c r="AB16" t="s">
        <v>38</v>
      </c>
      <c r="AC16" t="s">
        <v>38</v>
      </c>
      <c r="AD16" t="s">
        <v>48</v>
      </c>
      <c r="AG16" t="str">
        <f>IF(AD16="United States", IFERROR(INDEX(Sheet2!$C:$C, MATCH(AE16&amp;AF16, Sheet2!$E:$E, 0)) &amp; ", " &amp; INDEX(Sheet2!$D:$D, MATCH(AE16&amp;AF16, Sheet2!$E:$E, 0)), ""), "-")</f>
        <v/>
      </c>
    </row>
    <row r="17" spans="1:33" x14ac:dyDescent="0.25">
      <c r="A17" t="s">
        <v>107</v>
      </c>
      <c r="D17" t="s">
        <v>113</v>
      </c>
      <c r="E17" t="s">
        <v>30</v>
      </c>
      <c r="F17">
        <v>1758</v>
      </c>
      <c r="G17">
        <v>740</v>
      </c>
      <c r="H17">
        <v>35</v>
      </c>
      <c r="J17" t="s">
        <v>109</v>
      </c>
      <c r="O17" t="s">
        <v>41</v>
      </c>
      <c r="R17" t="s">
        <v>89</v>
      </c>
      <c r="T17" t="s">
        <v>89</v>
      </c>
      <c r="U17" t="s">
        <v>110</v>
      </c>
      <c r="V17" t="s">
        <v>111</v>
      </c>
      <c r="W17" t="s">
        <v>92</v>
      </c>
      <c r="X17" t="s">
        <v>93</v>
      </c>
      <c r="Y17" t="s">
        <v>38</v>
      </c>
      <c r="AA17" t="s">
        <v>38</v>
      </c>
      <c r="AB17" t="s">
        <v>38</v>
      </c>
      <c r="AC17" t="s">
        <v>38</v>
      </c>
      <c r="AD17" t="s">
        <v>48</v>
      </c>
      <c r="AG17" t="str">
        <f>IF(AD17="United States", IFERROR(INDEX(Sheet2!$C:$C, MATCH(AE17&amp;AF17, Sheet2!$E:$E, 0)) &amp; ", " &amp; INDEX(Sheet2!$D:$D, MATCH(AE17&amp;AF17, Sheet2!$E:$E, 0)), ""), "-")</f>
        <v/>
      </c>
    </row>
    <row r="18" spans="1:33" x14ac:dyDescent="0.25">
      <c r="A18" t="s">
        <v>107</v>
      </c>
      <c r="D18" t="s">
        <v>114</v>
      </c>
      <c r="E18" t="s">
        <v>30</v>
      </c>
      <c r="F18">
        <v>1762</v>
      </c>
      <c r="G18">
        <v>741</v>
      </c>
      <c r="H18">
        <v>35</v>
      </c>
      <c r="J18" t="s">
        <v>109</v>
      </c>
      <c r="O18" t="s">
        <v>57</v>
      </c>
      <c r="R18" t="s">
        <v>89</v>
      </c>
      <c r="T18" t="s">
        <v>89</v>
      </c>
      <c r="U18" t="s">
        <v>110</v>
      </c>
      <c r="V18" t="s">
        <v>111</v>
      </c>
      <c r="W18" t="s">
        <v>92</v>
      </c>
      <c r="X18" t="s">
        <v>93</v>
      </c>
      <c r="Y18" t="s">
        <v>38</v>
      </c>
      <c r="AA18" t="s">
        <v>38</v>
      </c>
      <c r="AB18" t="s">
        <v>38</v>
      </c>
      <c r="AC18" t="s">
        <v>38</v>
      </c>
      <c r="AD18" t="s">
        <v>48</v>
      </c>
      <c r="AG18" t="str">
        <f>IF(AD18="United States", IFERROR(INDEX(Sheet2!$C:$C, MATCH(AE18&amp;AF18, Sheet2!$E:$E, 0)) &amp; ", " &amp; INDEX(Sheet2!$D:$D, MATCH(AE18&amp;AF18, Sheet2!$E:$E, 0)), ""), "-")</f>
        <v/>
      </c>
    </row>
    <row r="19" spans="1:33" x14ac:dyDescent="0.25">
      <c r="A19" t="s">
        <v>107</v>
      </c>
      <c r="D19" t="s">
        <v>36</v>
      </c>
      <c r="E19" t="s">
        <v>115</v>
      </c>
      <c r="F19">
        <v>1759</v>
      </c>
      <c r="G19">
        <v>739</v>
      </c>
      <c r="H19">
        <v>35</v>
      </c>
      <c r="J19" t="s">
        <v>109</v>
      </c>
      <c r="O19" t="s">
        <v>41</v>
      </c>
      <c r="R19" t="s">
        <v>89</v>
      </c>
      <c r="T19" t="s">
        <v>89</v>
      </c>
      <c r="U19" t="s">
        <v>110</v>
      </c>
      <c r="V19" t="s">
        <v>111</v>
      </c>
      <c r="W19" t="s">
        <v>92</v>
      </c>
      <c r="X19" t="s">
        <v>93</v>
      </c>
      <c r="Y19" t="s">
        <v>38</v>
      </c>
      <c r="AA19" t="s">
        <v>38</v>
      </c>
      <c r="AB19" t="s">
        <v>38</v>
      </c>
      <c r="AC19" t="s">
        <v>38</v>
      </c>
      <c r="AD19" t="s">
        <v>48</v>
      </c>
      <c r="AG19" t="str">
        <f>IF(AD19="United States", IFERROR(INDEX(Sheet2!$C:$C, MATCH(AE19&amp;AF19, Sheet2!$E:$E, 0)) &amp; ", " &amp; INDEX(Sheet2!$D:$D, MATCH(AE19&amp;AF19, Sheet2!$E:$E, 0)), ""), "-")</f>
        <v/>
      </c>
    </row>
    <row r="20" spans="1:33" x14ac:dyDescent="0.25">
      <c r="A20" t="s">
        <v>116</v>
      </c>
      <c r="B20" t="s">
        <v>117</v>
      </c>
      <c r="C20" t="s">
        <v>118</v>
      </c>
      <c r="D20" t="s">
        <v>36</v>
      </c>
      <c r="E20" t="s">
        <v>112</v>
      </c>
      <c r="F20">
        <v>1743</v>
      </c>
      <c r="G20">
        <v>678</v>
      </c>
      <c r="H20" t="s">
        <v>38</v>
      </c>
      <c r="I20" t="s">
        <v>39</v>
      </c>
      <c r="J20" t="s">
        <v>109</v>
      </c>
      <c r="K20" t="s">
        <v>38</v>
      </c>
      <c r="L20" t="s">
        <v>38</v>
      </c>
      <c r="M20" t="s">
        <v>38</v>
      </c>
      <c r="N20" t="s">
        <v>38</v>
      </c>
      <c r="O20" t="s">
        <v>41</v>
      </c>
      <c r="P20" t="s">
        <v>42</v>
      </c>
      <c r="Q20" t="s">
        <v>43</v>
      </c>
      <c r="R20" t="s">
        <v>38</v>
      </c>
      <c r="S20" t="s">
        <v>38</v>
      </c>
      <c r="T20" t="s">
        <v>38</v>
      </c>
      <c r="U20" t="s">
        <v>38</v>
      </c>
      <c r="V20" t="s">
        <v>91</v>
      </c>
      <c r="W20" t="s">
        <v>38</v>
      </c>
      <c r="X20" t="s">
        <v>38</v>
      </c>
      <c r="Y20" t="s">
        <v>38</v>
      </c>
      <c r="Z20" t="s">
        <v>42</v>
      </c>
      <c r="AA20" t="s">
        <v>38</v>
      </c>
      <c r="AB20" t="s">
        <v>119</v>
      </c>
      <c r="AC20" t="s">
        <v>120</v>
      </c>
      <c r="AD20" t="s">
        <v>48</v>
      </c>
      <c r="AG20" t="str">
        <f>IF(AD20="United States", IFERROR(INDEX(Sheet2!$C:$C, MATCH(AE20&amp;AF20, Sheet2!$E:$E, 0)) &amp; ", " &amp; INDEX(Sheet2!$D:$D, MATCH(AE20&amp;AF20, Sheet2!$E:$E, 0)), ""), "-")</f>
        <v/>
      </c>
    </row>
    <row r="21" spans="1:33" x14ac:dyDescent="0.25">
      <c r="A21" t="s">
        <v>116</v>
      </c>
      <c r="B21" t="s">
        <v>121</v>
      </c>
      <c r="C21" t="s">
        <v>118</v>
      </c>
      <c r="D21" t="s">
        <v>108</v>
      </c>
      <c r="E21" t="s">
        <v>30</v>
      </c>
      <c r="F21">
        <v>1759</v>
      </c>
      <c r="G21">
        <v>677</v>
      </c>
      <c r="H21" t="s">
        <v>38</v>
      </c>
      <c r="I21" t="s">
        <v>39</v>
      </c>
      <c r="J21" t="s">
        <v>109</v>
      </c>
      <c r="K21" t="s">
        <v>38</v>
      </c>
      <c r="L21" t="s">
        <v>38</v>
      </c>
      <c r="M21" t="s">
        <v>38</v>
      </c>
      <c r="N21" t="s">
        <v>38</v>
      </c>
      <c r="O21" t="s">
        <v>41</v>
      </c>
      <c r="P21" t="s">
        <v>42</v>
      </c>
      <c r="Q21" t="s">
        <v>43</v>
      </c>
      <c r="R21" t="s">
        <v>38</v>
      </c>
      <c r="S21" t="s">
        <v>89</v>
      </c>
      <c r="T21" t="s">
        <v>38</v>
      </c>
      <c r="U21" t="s">
        <v>38</v>
      </c>
      <c r="V21" t="s">
        <v>91</v>
      </c>
      <c r="W21" t="s">
        <v>38</v>
      </c>
      <c r="X21" t="s">
        <v>38</v>
      </c>
      <c r="Y21" t="s">
        <v>38</v>
      </c>
      <c r="Z21" t="s">
        <v>42</v>
      </c>
      <c r="AA21" t="s">
        <v>38</v>
      </c>
      <c r="AB21" t="s">
        <v>38</v>
      </c>
      <c r="AC21" t="s">
        <v>89</v>
      </c>
      <c r="AD21" t="s">
        <v>48</v>
      </c>
      <c r="AG21" t="str">
        <f>IF(AD21="United States", IFERROR(INDEX(Sheet2!$C:$C, MATCH(AE21&amp;AF21, Sheet2!$E:$E, 0)) &amp; ", " &amp; INDEX(Sheet2!$D:$D, MATCH(AE21&amp;AF21, Sheet2!$E:$E, 0)), ""), "-")</f>
        <v/>
      </c>
    </row>
    <row r="22" spans="1:33" x14ac:dyDescent="0.25">
      <c r="A22" t="s">
        <v>116</v>
      </c>
      <c r="B22" t="s">
        <v>122</v>
      </c>
      <c r="C22" t="s">
        <v>118</v>
      </c>
      <c r="D22" t="s">
        <v>114</v>
      </c>
      <c r="E22" t="s">
        <v>30</v>
      </c>
      <c r="F22">
        <v>1762</v>
      </c>
      <c r="G22">
        <v>676</v>
      </c>
      <c r="H22" t="s">
        <v>38</v>
      </c>
      <c r="I22" t="s">
        <v>39</v>
      </c>
      <c r="J22" t="s">
        <v>109</v>
      </c>
      <c r="K22" t="s">
        <v>38</v>
      </c>
      <c r="L22" t="s">
        <v>38</v>
      </c>
      <c r="M22" t="s">
        <v>38</v>
      </c>
      <c r="N22" t="s">
        <v>38</v>
      </c>
      <c r="O22" t="s">
        <v>41</v>
      </c>
      <c r="P22" t="s">
        <v>123</v>
      </c>
      <c r="Q22" t="s">
        <v>124</v>
      </c>
      <c r="R22" t="s">
        <v>38</v>
      </c>
      <c r="S22" t="s">
        <v>38</v>
      </c>
      <c r="T22" t="s">
        <v>38</v>
      </c>
      <c r="U22" t="s">
        <v>38</v>
      </c>
      <c r="V22" t="s">
        <v>91</v>
      </c>
      <c r="W22" t="s">
        <v>38</v>
      </c>
      <c r="X22" t="s">
        <v>38</v>
      </c>
      <c r="Y22" t="s">
        <v>38</v>
      </c>
      <c r="Z22" t="s">
        <v>125</v>
      </c>
      <c r="AA22" t="s">
        <v>38</v>
      </c>
      <c r="AB22" t="s">
        <v>38</v>
      </c>
      <c r="AC22" t="s">
        <v>60</v>
      </c>
      <c r="AD22" t="s">
        <v>48</v>
      </c>
      <c r="AG22" t="str">
        <f>IF(AD22="United States", IFERROR(INDEX(Sheet2!$C:$C, MATCH(AE22&amp;AF22, Sheet2!$E:$E, 0)) &amp; ", " &amp; INDEX(Sheet2!$D:$D, MATCH(AE22&amp;AF22, Sheet2!$E:$E, 0)), ""), "-")</f>
        <v/>
      </c>
    </row>
    <row r="23" spans="1:33" x14ac:dyDescent="0.25">
      <c r="A23" t="s">
        <v>116</v>
      </c>
      <c r="B23" t="s">
        <v>126</v>
      </c>
      <c r="C23" t="s">
        <v>118</v>
      </c>
      <c r="D23" t="s">
        <v>113</v>
      </c>
      <c r="E23" t="s">
        <v>30</v>
      </c>
      <c r="F23">
        <v>1758</v>
      </c>
      <c r="G23">
        <v>675</v>
      </c>
      <c r="H23" t="s">
        <v>38</v>
      </c>
      <c r="I23" t="s">
        <v>39</v>
      </c>
      <c r="J23" t="s">
        <v>109</v>
      </c>
      <c r="K23" t="s">
        <v>38</v>
      </c>
      <c r="L23" t="s">
        <v>38</v>
      </c>
      <c r="M23" t="s">
        <v>38</v>
      </c>
      <c r="N23" t="s">
        <v>38</v>
      </c>
      <c r="O23" t="s">
        <v>41</v>
      </c>
      <c r="P23" t="s">
        <v>42</v>
      </c>
      <c r="Q23" t="s">
        <v>43</v>
      </c>
      <c r="R23" t="s">
        <v>38</v>
      </c>
      <c r="S23" t="s">
        <v>89</v>
      </c>
      <c r="T23" t="s">
        <v>38</v>
      </c>
      <c r="U23" t="s">
        <v>38</v>
      </c>
      <c r="V23" t="s">
        <v>91</v>
      </c>
      <c r="W23" t="s">
        <v>38</v>
      </c>
      <c r="X23" t="s">
        <v>38</v>
      </c>
      <c r="Y23" t="s">
        <v>38</v>
      </c>
      <c r="Z23" t="s">
        <v>42</v>
      </c>
      <c r="AA23" t="s">
        <v>38</v>
      </c>
      <c r="AB23" t="s">
        <v>38</v>
      </c>
      <c r="AC23" t="s">
        <v>89</v>
      </c>
      <c r="AD23" t="s">
        <v>48</v>
      </c>
      <c r="AG23" t="str">
        <f>IF(AD23="United States", IFERROR(INDEX(Sheet2!$C:$C, MATCH(AE23&amp;AF23, Sheet2!$E:$E, 0)) &amp; ", " &amp; INDEX(Sheet2!$D:$D, MATCH(AE23&amp;AF23, Sheet2!$E:$E, 0)), ""), "-")</f>
        <v/>
      </c>
    </row>
    <row r="24" spans="1:33" x14ac:dyDescent="0.25">
      <c r="A24" t="s">
        <v>116</v>
      </c>
      <c r="B24" t="s">
        <v>127</v>
      </c>
      <c r="C24" t="s">
        <v>118</v>
      </c>
      <c r="D24" t="s">
        <v>36</v>
      </c>
      <c r="E24" t="s">
        <v>115</v>
      </c>
      <c r="F24">
        <v>1759</v>
      </c>
      <c r="G24">
        <v>674</v>
      </c>
      <c r="H24" t="s">
        <v>38</v>
      </c>
      <c r="I24" t="s">
        <v>39</v>
      </c>
      <c r="J24" t="s">
        <v>109</v>
      </c>
      <c r="K24" t="s">
        <v>38</v>
      </c>
      <c r="L24" t="s">
        <v>38</v>
      </c>
      <c r="M24" t="s">
        <v>38</v>
      </c>
      <c r="N24" t="s">
        <v>38</v>
      </c>
      <c r="O24" t="s">
        <v>41</v>
      </c>
      <c r="P24" t="s">
        <v>42</v>
      </c>
      <c r="Q24" t="s">
        <v>43</v>
      </c>
      <c r="R24" t="s">
        <v>38</v>
      </c>
      <c r="S24" t="s">
        <v>38</v>
      </c>
      <c r="T24" t="s">
        <v>38</v>
      </c>
      <c r="U24" t="s">
        <v>38</v>
      </c>
      <c r="V24" t="s">
        <v>91</v>
      </c>
      <c r="W24" t="s">
        <v>38</v>
      </c>
      <c r="X24" t="s">
        <v>38</v>
      </c>
      <c r="Y24" t="s">
        <v>38</v>
      </c>
      <c r="Z24" t="s">
        <v>42</v>
      </c>
      <c r="AA24" t="s">
        <v>38</v>
      </c>
      <c r="AB24" t="s">
        <v>38</v>
      </c>
      <c r="AC24" t="s">
        <v>128</v>
      </c>
      <c r="AD24" t="s">
        <v>48</v>
      </c>
      <c r="AG24" t="str">
        <f>IF(AD24="United States", IFERROR(INDEX(Sheet2!$C:$C, MATCH(AE24&amp;AF24, Sheet2!$E:$E, 0)) &amp; ", " &amp; INDEX(Sheet2!$D:$D, MATCH(AE24&amp;AF24, Sheet2!$E:$E, 0)), ""), "-")</f>
        <v/>
      </c>
    </row>
    <row r="25" spans="1:33" x14ac:dyDescent="0.25">
      <c r="A25" t="s">
        <v>129</v>
      </c>
      <c r="B25" t="s">
        <v>130</v>
      </c>
      <c r="C25" t="s">
        <v>131</v>
      </c>
      <c r="D25" t="s">
        <v>132</v>
      </c>
      <c r="E25" t="s">
        <v>133</v>
      </c>
      <c r="F25" t="s">
        <v>38</v>
      </c>
      <c r="G25">
        <v>209</v>
      </c>
      <c r="H25" t="s">
        <v>134</v>
      </c>
      <c r="I25" t="s">
        <v>39</v>
      </c>
      <c r="J25" t="s">
        <v>135</v>
      </c>
      <c r="K25" t="s">
        <v>38</v>
      </c>
      <c r="L25" t="s">
        <v>38</v>
      </c>
      <c r="M25" t="s">
        <v>38</v>
      </c>
      <c r="N25" t="s">
        <v>38</v>
      </c>
      <c r="O25" t="s">
        <v>54</v>
      </c>
      <c r="P25" t="s">
        <v>42</v>
      </c>
      <c r="Q25" t="s">
        <v>43</v>
      </c>
      <c r="R25" t="s">
        <v>89</v>
      </c>
      <c r="S25" t="s">
        <v>38</v>
      </c>
      <c r="T25" t="s">
        <v>89</v>
      </c>
      <c r="U25" t="s">
        <v>136</v>
      </c>
      <c r="V25" t="s">
        <v>137</v>
      </c>
      <c r="W25" t="s">
        <v>92</v>
      </c>
      <c r="X25" t="s">
        <v>93</v>
      </c>
      <c r="Y25" t="s">
        <v>138</v>
      </c>
      <c r="Z25" t="s">
        <v>42</v>
      </c>
      <c r="AA25" t="s">
        <v>38</v>
      </c>
      <c r="AB25" t="s">
        <v>38</v>
      </c>
      <c r="AC25" t="s">
        <v>38</v>
      </c>
      <c r="AD25" t="s">
        <v>48</v>
      </c>
      <c r="AG25" t="str">
        <f>IF(AD25="United States", IFERROR(INDEX(Sheet2!$C:$C, MATCH(AE25&amp;AF25, Sheet2!$E:$E, 0)) &amp; ", " &amp; INDEX(Sheet2!$D:$D, MATCH(AE25&amp;AF25, Sheet2!$E:$E, 0)), ""), "-")</f>
        <v/>
      </c>
    </row>
    <row r="26" spans="1:33" x14ac:dyDescent="0.25">
      <c r="A26" t="s">
        <v>129</v>
      </c>
      <c r="B26" t="s">
        <v>139</v>
      </c>
      <c r="C26" t="s">
        <v>131</v>
      </c>
      <c r="D26" t="s">
        <v>140</v>
      </c>
      <c r="E26" t="s">
        <v>133</v>
      </c>
      <c r="F26">
        <v>1737</v>
      </c>
      <c r="G26">
        <v>208</v>
      </c>
      <c r="H26" t="s">
        <v>134</v>
      </c>
      <c r="I26" t="s">
        <v>39</v>
      </c>
      <c r="J26" t="s">
        <v>135</v>
      </c>
      <c r="K26" t="s">
        <v>38</v>
      </c>
      <c r="L26" t="s">
        <v>38</v>
      </c>
      <c r="M26" t="s">
        <v>141</v>
      </c>
      <c r="N26" t="s">
        <v>142</v>
      </c>
      <c r="O26" t="s">
        <v>57</v>
      </c>
      <c r="P26" t="s">
        <v>42</v>
      </c>
      <c r="Q26" t="s">
        <v>43</v>
      </c>
      <c r="R26" t="s">
        <v>89</v>
      </c>
      <c r="S26" t="s">
        <v>45</v>
      </c>
      <c r="T26" t="s">
        <v>89</v>
      </c>
      <c r="U26" t="s">
        <v>90</v>
      </c>
      <c r="V26" t="s">
        <v>137</v>
      </c>
      <c r="W26" t="s">
        <v>92</v>
      </c>
      <c r="X26" t="s">
        <v>93</v>
      </c>
      <c r="Y26" t="s">
        <v>138</v>
      </c>
      <c r="Z26" t="s">
        <v>42</v>
      </c>
      <c r="AA26" t="s">
        <v>143</v>
      </c>
      <c r="AB26" t="s">
        <v>38</v>
      </c>
      <c r="AC26" t="s">
        <v>45</v>
      </c>
      <c r="AD26" t="s">
        <v>48</v>
      </c>
      <c r="AG26" t="str">
        <f>IF(AD26="United States", IFERROR(INDEX(Sheet2!$C:$C, MATCH(AE26&amp;AF26, Sheet2!$E:$E, 0)) &amp; ", " &amp; INDEX(Sheet2!$D:$D, MATCH(AE26&amp;AF26, Sheet2!$E:$E, 0)), ""), "-")</f>
        <v/>
      </c>
    </row>
    <row r="27" spans="1:33" x14ac:dyDescent="0.25">
      <c r="A27" t="s">
        <v>129</v>
      </c>
      <c r="B27" t="s">
        <v>144</v>
      </c>
      <c r="C27" t="s">
        <v>131</v>
      </c>
      <c r="D27" t="s">
        <v>132</v>
      </c>
      <c r="E27" t="s">
        <v>133</v>
      </c>
      <c r="F27">
        <v>1734</v>
      </c>
      <c r="G27">
        <v>207</v>
      </c>
      <c r="H27" t="s">
        <v>134</v>
      </c>
      <c r="I27" t="s">
        <v>39</v>
      </c>
      <c r="J27" t="s">
        <v>135</v>
      </c>
      <c r="K27" t="s">
        <v>38</v>
      </c>
      <c r="L27" t="s">
        <v>38</v>
      </c>
      <c r="M27" t="s">
        <v>38</v>
      </c>
      <c r="N27" t="s">
        <v>38</v>
      </c>
      <c r="O27" t="s">
        <v>41</v>
      </c>
      <c r="P27" t="s">
        <v>42</v>
      </c>
      <c r="Q27" t="s">
        <v>43</v>
      </c>
      <c r="R27" t="s">
        <v>89</v>
      </c>
      <c r="S27" t="s">
        <v>45</v>
      </c>
      <c r="T27" t="s">
        <v>89</v>
      </c>
      <c r="U27" t="s">
        <v>136</v>
      </c>
      <c r="V27" t="s">
        <v>137</v>
      </c>
      <c r="W27" t="s">
        <v>92</v>
      </c>
      <c r="X27" t="s">
        <v>93</v>
      </c>
      <c r="Y27" t="s">
        <v>138</v>
      </c>
      <c r="Z27" t="s">
        <v>42</v>
      </c>
      <c r="AA27" t="s">
        <v>143</v>
      </c>
      <c r="AB27" t="s">
        <v>38</v>
      </c>
      <c r="AC27" t="s">
        <v>45</v>
      </c>
      <c r="AD27" t="s">
        <v>48</v>
      </c>
      <c r="AG27" t="str">
        <f>IF(AD27="United States", IFERROR(INDEX(Sheet2!$C:$C, MATCH(AE27&amp;AF27, Sheet2!$E:$E, 0)) &amp; ", " &amp; INDEX(Sheet2!$D:$D, MATCH(AE27&amp;AF27, Sheet2!$E:$E, 0)), ""), "-")</f>
        <v/>
      </c>
    </row>
    <row r="28" spans="1:33" x14ac:dyDescent="0.25">
      <c r="A28" t="s">
        <v>129</v>
      </c>
      <c r="B28" t="s">
        <v>145</v>
      </c>
      <c r="C28" t="s">
        <v>131</v>
      </c>
      <c r="D28" t="s">
        <v>36</v>
      </c>
      <c r="E28" t="s">
        <v>38</v>
      </c>
      <c r="F28">
        <v>1769</v>
      </c>
      <c r="G28">
        <v>239</v>
      </c>
      <c r="H28" t="s">
        <v>134</v>
      </c>
      <c r="I28" t="s">
        <v>39</v>
      </c>
      <c r="J28" t="s">
        <v>135</v>
      </c>
      <c r="K28" t="s">
        <v>38</v>
      </c>
      <c r="L28" t="s">
        <v>38</v>
      </c>
      <c r="M28" t="s">
        <v>38</v>
      </c>
      <c r="N28" t="s">
        <v>38</v>
      </c>
      <c r="O28" t="s">
        <v>54</v>
      </c>
      <c r="P28" t="s">
        <v>42</v>
      </c>
      <c r="Q28" t="s">
        <v>43</v>
      </c>
      <c r="R28" t="s">
        <v>89</v>
      </c>
      <c r="S28" t="s">
        <v>89</v>
      </c>
      <c r="T28" t="s">
        <v>89</v>
      </c>
      <c r="U28" t="s">
        <v>90</v>
      </c>
      <c r="V28" t="s">
        <v>137</v>
      </c>
      <c r="W28" t="s">
        <v>92</v>
      </c>
      <c r="X28" t="s">
        <v>93</v>
      </c>
      <c r="Y28" t="s">
        <v>146</v>
      </c>
      <c r="Z28" t="s">
        <v>42</v>
      </c>
      <c r="AA28" t="s">
        <v>89</v>
      </c>
      <c r="AB28" t="s">
        <v>147</v>
      </c>
      <c r="AC28" t="s">
        <v>148</v>
      </c>
      <c r="AD28" t="s">
        <v>48</v>
      </c>
      <c r="AG28" t="str">
        <f>IF(AD28="United States", IFERROR(INDEX(Sheet2!$C:$C, MATCH(AE28&amp;AF28, Sheet2!$E:$E, 0)) &amp; ", " &amp; INDEX(Sheet2!$D:$D, MATCH(AE28&amp;AF28, Sheet2!$E:$E, 0)), ""), "-")</f>
        <v/>
      </c>
    </row>
    <row r="29" spans="1:33" x14ac:dyDescent="0.25">
      <c r="A29" t="s">
        <v>129</v>
      </c>
      <c r="B29" t="s">
        <v>149</v>
      </c>
      <c r="C29" t="s">
        <v>131</v>
      </c>
      <c r="D29" t="s">
        <v>150</v>
      </c>
      <c r="E29" t="s">
        <v>151</v>
      </c>
      <c r="F29">
        <v>1753</v>
      </c>
      <c r="G29">
        <v>240</v>
      </c>
      <c r="H29" t="s">
        <v>152</v>
      </c>
      <c r="I29" t="s">
        <v>39</v>
      </c>
      <c r="J29" t="s">
        <v>135</v>
      </c>
      <c r="K29" t="s">
        <v>38</v>
      </c>
      <c r="L29" t="s">
        <v>38</v>
      </c>
      <c r="M29" t="s">
        <v>38</v>
      </c>
      <c r="N29" t="s">
        <v>38</v>
      </c>
      <c r="O29" t="s">
        <v>41</v>
      </c>
      <c r="P29" t="s">
        <v>42</v>
      </c>
      <c r="Q29" t="s">
        <v>43</v>
      </c>
      <c r="R29" t="s">
        <v>89</v>
      </c>
      <c r="S29" t="s">
        <v>153</v>
      </c>
      <c r="T29" t="s">
        <v>89</v>
      </c>
      <c r="U29" t="s">
        <v>90</v>
      </c>
      <c r="V29" t="s">
        <v>137</v>
      </c>
      <c r="W29" t="s">
        <v>92</v>
      </c>
      <c r="X29" t="s">
        <v>93</v>
      </c>
      <c r="Y29" t="s">
        <v>154</v>
      </c>
      <c r="Z29" t="s">
        <v>42</v>
      </c>
      <c r="AA29" t="s">
        <v>155</v>
      </c>
      <c r="AB29" t="s">
        <v>38</v>
      </c>
      <c r="AC29" t="s">
        <v>153</v>
      </c>
      <c r="AD29" t="s">
        <v>48</v>
      </c>
      <c r="AG29" t="str">
        <f>IF(AD29="United States", IFERROR(INDEX(Sheet2!$C:$C, MATCH(AE29&amp;AF29, Sheet2!$E:$E, 0)) &amp; ", " &amp; INDEX(Sheet2!$D:$D, MATCH(AE29&amp;AF29, Sheet2!$E:$E, 0)), ""), "-")</f>
        <v/>
      </c>
    </row>
    <row r="30" spans="1:33" x14ac:dyDescent="0.25">
      <c r="A30" t="s">
        <v>129</v>
      </c>
      <c r="B30" t="s">
        <v>156</v>
      </c>
      <c r="C30" t="s">
        <v>131</v>
      </c>
      <c r="D30" t="s">
        <v>157</v>
      </c>
      <c r="E30" t="s">
        <v>158</v>
      </c>
      <c r="F30">
        <v>1750</v>
      </c>
      <c r="G30">
        <v>236</v>
      </c>
      <c r="H30" t="s">
        <v>38</v>
      </c>
      <c r="I30" t="s">
        <v>39</v>
      </c>
      <c r="J30" t="s">
        <v>135</v>
      </c>
      <c r="K30" t="s">
        <v>38</v>
      </c>
      <c r="L30" t="s">
        <v>38</v>
      </c>
      <c r="M30" t="s">
        <v>38</v>
      </c>
      <c r="N30" t="s">
        <v>38</v>
      </c>
      <c r="O30" t="s">
        <v>74</v>
      </c>
      <c r="P30" t="s">
        <v>42</v>
      </c>
      <c r="Q30" t="s">
        <v>43</v>
      </c>
      <c r="R30" t="s">
        <v>159</v>
      </c>
      <c r="S30" t="s">
        <v>45</v>
      </c>
      <c r="T30" t="s">
        <v>38</v>
      </c>
      <c r="U30" t="s">
        <v>38</v>
      </c>
      <c r="V30" t="s">
        <v>137</v>
      </c>
      <c r="W30" t="s">
        <v>38</v>
      </c>
      <c r="X30" t="s">
        <v>38</v>
      </c>
      <c r="Y30" t="s">
        <v>160</v>
      </c>
      <c r="Z30" t="s">
        <v>42</v>
      </c>
      <c r="AA30" t="s">
        <v>38</v>
      </c>
      <c r="AB30" t="s">
        <v>38</v>
      </c>
      <c r="AC30" t="s">
        <v>45</v>
      </c>
      <c r="AD30" t="s">
        <v>48</v>
      </c>
      <c r="AG30" t="str">
        <f>IF(AD30="United States", IFERROR(INDEX(Sheet2!$C:$C, MATCH(AE30&amp;AF30, Sheet2!$E:$E, 0)) &amp; ", " &amp; INDEX(Sheet2!$D:$D, MATCH(AE30&amp;AF30, Sheet2!$E:$E, 0)), ""), "-")</f>
        <v/>
      </c>
    </row>
    <row r="31" spans="1:33" x14ac:dyDescent="0.25">
      <c r="A31" t="s">
        <v>129</v>
      </c>
      <c r="B31" t="s">
        <v>161</v>
      </c>
      <c r="C31" t="s">
        <v>131</v>
      </c>
      <c r="D31" t="s">
        <v>162</v>
      </c>
      <c r="E31" t="s">
        <v>163</v>
      </c>
      <c r="F31">
        <v>1771</v>
      </c>
      <c r="G31">
        <v>242</v>
      </c>
      <c r="H31" t="s">
        <v>152</v>
      </c>
      <c r="I31" t="s">
        <v>39</v>
      </c>
      <c r="J31" t="s">
        <v>135</v>
      </c>
      <c r="K31" t="s">
        <v>38</v>
      </c>
      <c r="L31" t="s">
        <v>38</v>
      </c>
      <c r="M31" t="s">
        <v>140</v>
      </c>
      <c r="N31" t="s">
        <v>164</v>
      </c>
      <c r="O31" t="s">
        <v>74</v>
      </c>
      <c r="P31" t="s">
        <v>125</v>
      </c>
      <c r="Q31" t="s">
        <v>124</v>
      </c>
      <c r="R31" t="s">
        <v>89</v>
      </c>
      <c r="S31" t="s">
        <v>165</v>
      </c>
      <c r="T31" t="s">
        <v>89</v>
      </c>
      <c r="U31" t="s">
        <v>90</v>
      </c>
      <c r="V31" t="s">
        <v>137</v>
      </c>
      <c r="W31" t="s">
        <v>92</v>
      </c>
      <c r="X31" t="s">
        <v>93</v>
      </c>
      <c r="Y31" t="s">
        <v>154</v>
      </c>
      <c r="Z31" t="s">
        <v>125</v>
      </c>
      <c r="AA31" t="s">
        <v>166</v>
      </c>
      <c r="AB31" t="s">
        <v>38</v>
      </c>
      <c r="AC31" t="s">
        <v>165</v>
      </c>
      <c r="AD31" t="s">
        <v>48</v>
      </c>
      <c r="AG31" t="str">
        <f>IF(AD31="United States", IFERROR(INDEX(Sheet2!$C:$C, MATCH(AE31&amp;AF31, Sheet2!$E:$E, 0)) &amp; ", " &amp; INDEX(Sheet2!$D:$D, MATCH(AE31&amp;AF31, Sheet2!$E:$E, 0)), ""), "-")</f>
        <v/>
      </c>
    </row>
    <row r="32" spans="1:33" x14ac:dyDescent="0.25">
      <c r="A32" t="s">
        <v>129</v>
      </c>
      <c r="B32" t="s">
        <v>167</v>
      </c>
      <c r="C32" t="s">
        <v>131</v>
      </c>
      <c r="D32" t="s">
        <v>132</v>
      </c>
      <c r="E32" t="s">
        <v>168</v>
      </c>
      <c r="F32">
        <v>1733</v>
      </c>
      <c r="G32">
        <v>210</v>
      </c>
      <c r="H32" t="s">
        <v>134</v>
      </c>
      <c r="I32" t="s">
        <v>39</v>
      </c>
      <c r="J32" t="s">
        <v>135</v>
      </c>
      <c r="K32" t="s">
        <v>38</v>
      </c>
      <c r="L32" t="s">
        <v>38</v>
      </c>
      <c r="M32" t="s">
        <v>38</v>
      </c>
      <c r="N32" t="s">
        <v>38</v>
      </c>
      <c r="O32" t="s">
        <v>41</v>
      </c>
      <c r="P32" t="s">
        <v>42</v>
      </c>
      <c r="Q32" t="s">
        <v>43</v>
      </c>
      <c r="R32" t="s">
        <v>89</v>
      </c>
      <c r="S32" t="s">
        <v>45</v>
      </c>
      <c r="T32" t="s">
        <v>89</v>
      </c>
      <c r="U32" t="s">
        <v>136</v>
      </c>
      <c r="V32" t="s">
        <v>137</v>
      </c>
      <c r="W32" t="s">
        <v>92</v>
      </c>
      <c r="X32" t="s">
        <v>93</v>
      </c>
      <c r="Y32" t="s">
        <v>138</v>
      </c>
      <c r="Z32" t="s">
        <v>42</v>
      </c>
      <c r="AA32" t="s">
        <v>169</v>
      </c>
      <c r="AB32" t="s">
        <v>38</v>
      </c>
      <c r="AC32" t="s">
        <v>45</v>
      </c>
      <c r="AD32" t="s">
        <v>48</v>
      </c>
      <c r="AG32" t="str">
        <f>IF(AD32="United States", IFERROR(INDEX(Sheet2!$C:$C, MATCH(AE32&amp;AF32, Sheet2!$E:$E, 0)) &amp; ", " &amp; INDEX(Sheet2!$D:$D, MATCH(AE32&amp;AF32, Sheet2!$E:$E, 0)), ""), "-")</f>
        <v/>
      </c>
    </row>
    <row r="33" spans="1:33" x14ac:dyDescent="0.25">
      <c r="A33" t="s">
        <v>129</v>
      </c>
      <c r="B33" t="s">
        <v>170</v>
      </c>
      <c r="C33" t="s">
        <v>171</v>
      </c>
      <c r="D33" t="s">
        <v>52</v>
      </c>
      <c r="E33" t="s">
        <v>172</v>
      </c>
      <c r="F33">
        <v>1770</v>
      </c>
      <c r="G33">
        <v>1946</v>
      </c>
      <c r="H33" t="s">
        <v>173</v>
      </c>
      <c r="I33" t="s">
        <v>80</v>
      </c>
      <c r="J33" t="s">
        <v>174</v>
      </c>
      <c r="K33" t="s">
        <v>38</v>
      </c>
      <c r="L33" t="s">
        <v>38</v>
      </c>
      <c r="M33" t="s">
        <v>38</v>
      </c>
      <c r="N33" t="s">
        <v>38</v>
      </c>
      <c r="O33" t="s">
        <v>74</v>
      </c>
      <c r="P33" t="s">
        <v>42</v>
      </c>
      <c r="Q33" t="s">
        <v>43</v>
      </c>
      <c r="R33" t="s">
        <v>89</v>
      </c>
      <c r="S33" t="s">
        <v>153</v>
      </c>
      <c r="T33" t="s">
        <v>89</v>
      </c>
      <c r="U33" t="s">
        <v>90</v>
      </c>
      <c r="V33" t="s">
        <v>91</v>
      </c>
      <c r="W33" t="s">
        <v>92</v>
      </c>
      <c r="X33" t="s">
        <v>93</v>
      </c>
      <c r="Y33" t="s">
        <v>175</v>
      </c>
      <c r="Z33" t="s">
        <v>42</v>
      </c>
      <c r="AA33" t="s">
        <v>155</v>
      </c>
      <c r="AB33" t="s">
        <v>38</v>
      </c>
      <c r="AC33" t="s">
        <v>153</v>
      </c>
      <c r="AD33" t="s">
        <v>48</v>
      </c>
      <c r="AG33" t="str">
        <f>IF(AD33="United States", IFERROR(INDEX(Sheet2!$C:$C, MATCH(AE33&amp;AF33, Sheet2!$E:$E, 0)) &amp; ", " &amp; INDEX(Sheet2!$D:$D, MATCH(AE33&amp;AF33, Sheet2!$E:$E, 0)), ""), "-")</f>
        <v/>
      </c>
    </row>
    <row r="34" spans="1:33" x14ac:dyDescent="0.25">
      <c r="A34" t="s">
        <v>129</v>
      </c>
      <c r="B34" t="s">
        <v>176</v>
      </c>
      <c r="C34" t="s">
        <v>171</v>
      </c>
      <c r="D34" t="s">
        <v>177</v>
      </c>
      <c r="E34" t="s">
        <v>178</v>
      </c>
      <c r="F34">
        <v>1773</v>
      </c>
      <c r="G34">
        <v>1947</v>
      </c>
      <c r="H34" t="s">
        <v>134</v>
      </c>
      <c r="I34" t="s">
        <v>80</v>
      </c>
      <c r="J34" t="s">
        <v>174</v>
      </c>
      <c r="K34" t="s">
        <v>38</v>
      </c>
      <c r="L34" t="s">
        <v>38</v>
      </c>
      <c r="M34" t="s">
        <v>38</v>
      </c>
      <c r="N34" t="s">
        <v>38</v>
      </c>
      <c r="O34" t="s">
        <v>54</v>
      </c>
      <c r="P34" t="s">
        <v>42</v>
      </c>
      <c r="Q34" t="s">
        <v>43</v>
      </c>
      <c r="R34" t="s">
        <v>89</v>
      </c>
      <c r="S34" t="s">
        <v>38</v>
      </c>
      <c r="T34" t="s">
        <v>89</v>
      </c>
      <c r="U34" t="s">
        <v>90</v>
      </c>
      <c r="V34" t="s">
        <v>91</v>
      </c>
      <c r="W34" t="s">
        <v>92</v>
      </c>
      <c r="X34" t="s">
        <v>93</v>
      </c>
      <c r="Y34" t="s">
        <v>179</v>
      </c>
      <c r="Z34" t="s">
        <v>42</v>
      </c>
      <c r="AA34" t="s">
        <v>38</v>
      </c>
      <c r="AB34" t="s">
        <v>38</v>
      </c>
      <c r="AC34" t="s">
        <v>180</v>
      </c>
      <c r="AD34" t="s">
        <v>48</v>
      </c>
      <c r="AG34" t="str">
        <f>IF(AD34="United States", IFERROR(INDEX(Sheet2!$C:$C, MATCH(AE34&amp;AF34, Sheet2!$E:$E, 0)) &amp; ", " &amp; INDEX(Sheet2!$D:$D, MATCH(AE34&amp;AF34, Sheet2!$E:$E, 0)), ""), "-")</f>
        <v/>
      </c>
    </row>
    <row r="35" spans="1:33" x14ac:dyDescent="0.25">
      <c r="A35" t="s">
        <v>129</v>
      </c>
      <c r="D35" t="s">
        <v>181</v>
      </c>
      <c r="E35" t="s">
        <v>182</v>
      </c>
      <c r="F35" t="s">
        <v>38</v>
      </c>
      <c r="G35">
        <v>250</v>
      </c>
      <c r="H35">
        <v>22</v>
      </c>
      <c r="J35" t="s">
        <v>135</v>
      </c>
      <c r="O35" t="s">
        <v>183</v>
      </c>
      <c r="R35" t="s">
        <v>89</v>
      </c>
      <c r="T35" t="s">
        <v>89</v>
      </c>
      <c r="U35" t="s">
        <v>90</v>
      </c>
      <c r="V35" t="s">
        <v>137</v>
      </c>
      <c r="W35" t="s">
        <v>92</v>
      </c>
      <c r="X35" t="s">
        <v>93</v>
      </c>
      <c r="Y35" t="s">
        <v>38</v>
      </c>
      <c r="AA35" t="s">
        <v>38</v>
      </c>
      <c r="AB35" t="s">
        <v>38</v>
      </c>
      <c r="AC35" t="s">
        <v>38</v>
      </c>
      <c r="AD35" t="s">
        <v>48</v>
      </c>
      <c r="AG35" t="str">
        <f>IF(AD35="United States", IFERROR(INDEX(Sheet2!$C:$C, MATCH(AE35&amp;AF35, Sheet2!$E:$E, 0)) &amp; ", " &amp; INDEX(Sheet2!$D:$D, MATCH(AE35&amp;AF35, Sheet2!$E:$E, 0)), ""), "-")</f>
        <v/>
      </c>
    </row>
    <row r="36" spans="1:33" x14ac:dyDescent="0.25">
      <c r="A36" t="s">
        <v>129</v>
      </c>
      <c r="D36" t="s">
        <v>184</v>
      </c>
      <c r="E36" t="s">
        <v>185</v>
      </c>
      <c r="F36">
        <v>1750</v>
      </c>
      <c r="G36">
        <v>263</v>
      </c>
      <c r="H36">
        <v>23</v>
      </c>
      <c r="J36" t="s">
        <v>135</v>
      </c>
      <c r="O36" t="s">
        <v>57</v>
      </c>
      <c r="R36" t="s">
        <v>89</v>
      </c>
      <c r="T36" t="s">
        <v>89</v>
      </c>
      <c r="U36" t="s">
        <v>90</v>
      </c>
      <c r="V36" t="s">
        <v>137</v>
      </c>
      <c r="W36" t="s">
        <v>92</v>
      </c>
      <c r="X36" t="s">
        <v>93</v>
      </c>
      <c r="Y36" t="s">
        <v>38</v>
      </c>
      <c r="AA36" t="s">
        <v>38</v>
      </c>
      <c r="AB36" t="s">
        <v>38</v>
      </c>
      <c r="AC36" t="s">
        <v>38</v>
      </c>
      <c r="AD36" t="s">
        <v>48</v>
      </c>
      <c r="AG36" t="str">
        <f>IF(AD36="United States", IFERROR(INDEX(Sheet2!$C:$C, MATCH(AE36&amp;AF36, Sheet2!$E:$E, 0)) &amp; ", " &amp; INDEX(Sheet2!$D:$D, MATCH(AE36&amp;AF36, Sheet2!$E:$E, 0)), ""), "-")</f>
        <v/>
      </c>
    </row>
    <row r="37" spans="1:33" x14ac:dyDescent="0.25">
      <c r="A37" t="s">
        <v>129</v>
      </c>
      <c r="D37" t="s">
        <v>186</v>
      </c>
      <c r="E37" t="s">
        <v>187</v>
      </c>
      <c r="F37">
        <v>1771</v>
      </c>
      <c r="G37">
        <v>264</v>
      </c>
      <c r="H37">
        <v>23</v>
      </c>
      <c r="J37" t="s">
        <v>135</v>
      </c>
      <c r="O37" t="s">
        <v>74</v>
      </c>
      <c r="R37" t="s">
        <v>89</v>
      </c>
      <c r="T37" t="s">
        <v>89</v>
      </c>
      <c r="U37" t="s">
        <v>90</v>
      </c>
      <c r="V37" t="s">
        <v>137</v>
      </c>
      <c r="W37" t="s">
        <v>92</v>
      </c>
      <c r="X37" t="s">
        <v>93</v>
      </c>
      <c r="Y37" t="s">
        <v>38</v>
      </c>
      <c r="AA37" t="s">
        <v>38</v>
      </c>
      <c r="AB37" t="s">
        <v>38</v>
      </c>
      <c r="AC37" t="s">
        <v>38</v>
      </c>
      <c r="AD37" t="s">
        <v>48</v>
      </c>
      <c r="AG37" t="str">
        <f>IF(AD37="United States", IFERROR(INDEX(Sheet2!$C:$C, MATCH(AE37&amp;AF37, Sheet2!$E:$E, 0)) &amp; ", " &amp; INDEX(Sheet2!$D:$D, MATCH(AE37&amp;AF37, Sheet2!$E:$E, 0)), ""), "-")</f>
        <v/>
      </c>
    </row>
    <row r="38" spans="1:33" x14ac:dyDescent="0.25">
      <c r="A38" t="s">
        <v>129</v>
      </c>
      <c r="B38" t="s">
        <v>188</v>
      </c>
      <c r="C38" t="s">
        <v>131</v>
      </c>
      <c r="D38" t="s">
        <v>140</v>
      </c>
      <c r="E38" t="s">
        <v>164</v>
      </c>
      <c r="F38">
        <v>1750</v>
      </c>
      <c r="G38">
        <v>241</v>
      </c>
      <c r="H38" t="s">
        <v>134</v>
      </c>
      <c r="I38" t="s">
        <v>39</v>
      </c>
      <c r="J38" t="s">
        <v>135</v>
      </c>
      <c r="K38" t="s">
        <v>38</v>
      </c>
      <c r="L38" t="s">
        <v>38</v>
      </c>
      <c r="M38" t="s">
        <v>38</v>
      </c>
      <c r="N38" t="s">
        <v>38</v>
      </c>
      <c r="O38" t="s">
        <v>57</v>
      </c>
      <c r="P38" t="s">
        <v>125</v>
      </c>
      <c r="Q38" t="s">
        <v>124</v>
      </c>
      <c r="R38" t="s">
        <v>89</v>
      </c>
      <c r="S38" t="s">
        <v>165</v>
      </c>
      <c r="T38" t="s">
        <v>89</v>
      </c>
      <c r="U38" t="s">
        <v>90</v>
      </c>
      <c r="V38" t="s">
        <v>137</v>
      </c>
      <c r="W38" t="s">
        <v>92</v>
      </c>
      <c r="X38" t="s">
        <v>93</v>
      </c>
      <c r="Y38" t="s">
        <v>154</v>
      </c>
      <c r="Z38" t="s">
        <v>125</v>
      </c>
      <c r="AA38" t="s">
        <v>166</v>
      </c>
      <c r="AB38" t="s">
        <v>38</v>
      </c>
      <c r="AC38" t="s">
        <v>165</v>
      </c>
      <c r="AD38" t="s">
        <v>48</v>
      </c>
      <c r="AG38" t="str">
        <f>IF(AD38="United States", IFERROR(INDEX(Sheet2!$C:$C, MATCH(AE38&amp;AF38, Sheet2!$E:$E, 0)) &amp; ", " &amp; INDEX(Sheet2!$D:$D, MATCH(AE38&amp;AF38, Sheet2!$E:$E, 0)), ""), "-")</f>
        <v/>
      </c>
    </row>
    <row r="39" spans="1:33" x14ac:dyDescent="0.25">
      <c r="A39" t="s">
        <v>129</v>
      </c>
      <c r="B39" t="s">
        <v>189</v>
      </c>
      <c r="C39" t="s">
        <v>131</v>
      </c>
      <c r="D39" t="s">
        <v>190</v>
      </c>
      <c r="E39" t="s">
        <v>191</v>
      </c>
      <c r="F39">
        <v>1759</v>
      </c>
      <c r="G39">
        <v>211</v>
      </c>
      <c r="H39" t="s">
        <v>134</v>
      </c>
      <c r="I39" t="s">
        <v>39</v>
      </c>
      <c r="J39" t="s">
        <v>135</v>
      </c>
      <c r="K39" t="s">
        <v>38</v>
      </c>
      <c r="L39" t="s">
        <v>38</v>
      </c>
      <c r="M39" t="s">
        <v>140</v>
      </c>
      <c r="N39" t="s">
        <v>133</v>
      </c>
      <c r="O39" t="s">
        <v>57</v>
      </c>
      <c r="P39" t="s">
        <v>125</v>
      </c>
      <c r="Q39" t="s">
        <v>124</v>
      </c>
      <c r="R39" t="s">
        <v>89</v>
      </c>
      <c r="S39" t="s">
        <v>38</v>
      </c>
      <c r="T39" t="s">
        <v>89</v>
      </c>
      <c r="U39" t="s">
        <v>90</v>
      </c>
      <c r="V39" t="s">
        <v>137</v>
      </c>
      <c r="W39" t="s">
        <v>92</v>
      </c>
      <c r="X39" t="s">
        <v>93</v>
      </c>
      <c r="Y39" t="s">
        <v>138</v>
      </c>
      <c r="Z39" t="s">
        <v>125</v>
      </c>
      <c r="AA39" t="s">
        <v>38</v>
      </c>
      <c r="AB39" t="s">
        <v>38</v>
      </c>
      <c r="AC39" t="s">
        <v>38</v>
      </c>
      <c r="AD39" t="s">
        <v>48</v>
      </c>
      <c r="AG39" t="str">
        <f>IF(AD39="United States", IFERROR(INDEX(Sheet2!$C:$C, MATCH(AE39&amp;AF39, Sheet2!$E:$E, 0)) &amp; ", " &amp; INDEX(Sheet2!$D:$D, MATCH(AE39&amp;AF39, Sheet2!$E:$E, 0)), ""), "-")</f>
        <v/>
      </c>
    </row>
    <row r="40" spans="1:33" x14ac:dyDescent="0.25">
      <c r="A40" t="s">
        <v>129</v>
      </c>
      <c r="B40" t="s">
        <v>192</v>
      </c>
      <c r="C40" t="s">
        <v>131</v>
      </c>
      <c r="D40" t="s">
        <v>193</v>
      </c>
      <c r="E40" t="s">
        <v>191</v>
      </c>
      <c r="F40">
        <v>1775</v>
      </c>
      <c r="G40">
        <v>212</v>
      </c>
      <c r="H40" t="s">
        <v>134</v>
      </c>
      <c r="I40" t="s">
        <v>39</v>
      </c>
      <c r="J40" t="s">
        <v>135</v>
      </c>
      <c r="K40" t="s">
        <v>38</v>
      </c>
      <c r="L40" t="s">
        <v>38</v>
      </c>
      <c r="M40" t="s">
        <v>38</v>
      </c>
      <c r="N40" t="s">
        <v>38</v>
      </c>
      <c r="O40" t="s">
        <v>54</v>
      </c>
      <c r="P40" t="s">
        <v>42</v>
      </c>
      <c r="Q40" t="s">
        <v>43</v>
      </c>
      <c r="R40" t="s">
        <v>89</v>
      </c>
      <c r="S40" t="s">
        <v>38</v>
      </c>
      <c r="T40" t="s">
        <v>89</v>
      </c>
      <c r="U40" t="s">
        <v>90</v>
      </c>
      <c r="V40" t="s">
        <v>137</v>
      </c>
      <c r="W40" t="s">
        <v>92</v>
      </c>
      <c r="X40" t="s">
        <v>93</v>
      </c>
      <c r="Y40" t="s">
        <v>138</v>
      </c>
      <c r="Z40" t="s">
        <v>42</v>
      </c>
      <c r="AA40" t="s">
        <v>38</v>
      </c>
      <c r="AB40" t="s">
        <v>38</v>
      </c>
      <c r="AC40" t="s">
        <v>38</v>
      </c>
      <c r="AD40" t="s">
        <v>48</v>
      </c>
      <c r="AG40" t="str">
        <f>IF(AD40="United States", IFERROR(INDEX(Sheet2!$C:$C, MATCH(AE40&amp;AF40, Sheet2!$E:$E, 0)) &amp; ", " &amp; INDEX(Sheet2!$D:$D, MATCH(AE40&amp;AF40, Sheet2!$E:$E, 0)), ""), "-")</f>
        <v/>
      </c>
    </row>
    <row r="41" spans="1:33" x14ac:dyDescent="0.25">
      <c r="A41" t="s">
        <v>129</v>
      </c>
      <c r="B41" t="s">
        <v>194</v>
      </c>
      <c r="C41" t="s">
        <v>131</v>
      </c>
      <c r="D41" t="s">
        <v>195</v>
      </c>
      <c r="E41" t="s">
        <v>196</v>
      </c>
      <c r="F41">
        <v>1750</v>
      </c>
      <c r="G41">
        <v>213</v>
      </c>
      <c r="H41" t="s">
        <v>134</v>
      </c>
      <c r="I41" t="s">
        <v>39</v>
      </c>
      <c r="J41" t="s">
        <v>135</v>
      </c>
      <c r="K41" t="s">
        <v>38</v>
      </c>
      <c r="L41" t="s">
        <v>38</v>
      </c>
      <c r="M41" t="s">
        <v>38</v>
      </c>
      <c r="N41" t="s">
        <v>38</v>
      </c>
      <c r="O41" t="s">
        <v>41</v>
      </c>
      <c r="P41" t="s">
        <v>42</v>
      </c>
      <c r="Q41" t="s">
        <v>43</v>
      </c>
      <c r="R41" t="s">
        <v>89</v>
      </c>
      <c r="S41" t="s">
        <v>45</v>
      </c>
      <c r="T41" t="s">
        <v>89</v>
      </c>
      <c r="U41" t="s">
        <v>90</v>
      </c>
      <c r="V41" t="s">
        <v>137</v>
      </c>
      <c r="W41" t="s">
        <v>92</v>
      </c>
      <c r="X41" t="s">
        <v>93</v>
      </c>
      <c r="Y41" t="s">
        <v>197</v>
      </c>
      <c r="Z41" t="s">
        <v>42</v>
      </c>
      <c r="AA41" t="s">
        <v>198</v>
      </c>
      <c r="AB41" t="s">
        <v>38</v>
      </c>
      <c r="AC41" t="s">
        <v>45</v>
      </c>
      <c r="AD41" t="s">
        <v>48</v>
      </c>
      <c r="AG41" t="str">
        <f>IF(AD41="United States", IFERROR(INDEX(Sheet2!$C:$C, MATCH(AE41&amp;AF41, Sheet2!$E:$E, 0)) &amp; ", " &amp; INDEX(Sheet2!$D:$D, MATCH(AE41&amp;AF41, Sheet2!$E:$E, 0)), ""), "-")</f>
        <v/>
      </c>
    </row>
    <row r="42" spans="1:33" x14ac:dyDescent="0.25">
      <c r="A42" t="s">
        <v>129</v>
      </c>
      <c r="B42" t="s">
        <v>199</v>
      </c>
      <c r="C42" t="s">
        <v>131</v>
      </c>
      <c r="D42" t="s">
        <v>200</v>
      </c>
      <c r="E42" t="s">
        <v>158</v>
      </c>
      <c r="F42">
        <v>1753</v>
      </c>
      <c r="G42">
        <v>235</v>
      </c>
      <c r="H42" t="s">
        <v>134</v>
      </c>
      <c r="I42" t="s">
        <v>39</v>
      </c>
      <c r="J42" t="s">
        <v>135</v>
      </c>
      <c r="K42" t="s">
        <v>38</v>
      </c>
      <c r="L42" t="s">
        <v>38</v>
      </c>
      <c r="M42" t="s">
        <v>38</v>
      </c>
      <c r="N42" t="s">
        <v>38</v>
      </c>
      <c r="O42" t="s">
        <v>41</v>
      </c>
      <c r="P42" t="s">
        <v>42</v>
      </c>
      <c r="Q42" t="s">
        <v>43</v>
      </c>
      <c r="R42" t="s">
        <v>89</v>
      </c>
      <c r="S42" t="s">
        <v>201</v>
      </c>
      <c r="T42" t="s">
        <v>89</v>
      </c>
      <c r="U42" t="s">
        <v>90</v>
      </c>
      <c r="V42" t="s">
        <v>137</v>
      </c>
      <c r="W42" t="s">
        <v>92</v>
      </c>
      <c r="X42" t="s">
        <v>93</v>
      </c>
      <c r="Y42" t="s">
        <v>160</v>
      </c>
      <c r="Z42" t="s">
        <v>42</v>
      </c>
      <c r="AA42" t="s">
        <v>202</v>
      </c>
      <c r="AB42" t="s">
        <v>38</v>
      </c>
      <c r="AC42" t="s">
        <v>201</v>
      </c>
      <c r="AD42" t="s">
        <v>48</v>
      </c>
      <c r="AG42" t="str">
        <f>IF(AD42="United States", IFERROR(INDEX(Sheet2!$C:$C, MATCH(AE42&amp;AF42, Sheet2!$E:$E, 0)) &amp; ", " &amp; INDEX(Sheet2!$D:$D, MATCH(AE42&amp;AF42, Sheet2!$E:$E, 0)), ""), "-")</f>
        <v/>
      </c>
    </row>
    <row r="43" spans="1:33" x14ac:dyDescent="0.25">
      <c r="A43" t="s">
        <v>129</v>
      </c>
      <c r="B43" t="s">
        <v>203</v>
      </c>
      <c r="C43" t="s">
        <v>131</v>
      </c>
      <c r="D43" t="s">
        <v>204</v>
      </c>
      <c r="E43" t="s">
        <v>205</v>
      </c>
      <c r="F43">
        <v>1761</v>
      </c>
      <c r="G43">
        <v>234</v>
      </c>
      <c r="H43" t="s">
        <v>38</v>
      </c>
      <c r="I43" t="s">
        <v>39</v>
      </c>
      <c r="J43" t="s">
        <v>135</v>
      </c>
      <c r="K43" t="s">
        <v>38</v>
      </c>
      <c r="L43" t="s">
        <v>38</v>
      </c>
      <c r="M43" t="s">
        <v>38</v>
      </c>
      <c r="N43" t="s">
        <v>38</v>
      </c>
      <c r="O43" t="s">
        <v>41</v>
      </c>
      <c r="P43" t="s">
        <v>42</v>
      </c>
      <c r="Q43" t="s">
        <v>43</v>
      </c>
      <c r="R43" t="s">
        <v>38</v>
      </c>
      <c r="S43" t="s">
        <v>38</v>
      </c>
      <c r="T43" t="s">
        <v>38</v>
      </c>
      <c r="U43" t="s">
        <v>38</v>
      </c>
      <c r="V43" t="s">
        <v>137</v>
      </c>
      <c r="W43" t="s">
        <v>38</v>
      </c>
      <c r="X43" t="s">
        <v>38</v>
      </c>
      <c r="Y43" t="s">
        <v>160</v>
      </c>
      <c r="Z43" t="s">
        <v>42</v>
      </c>
      <c r="AA43" t="s">
        <v>38</v>
      </c>
      <c r="AB43" t="s">
        <v>38</v>
      </c>
      <c r="AC43" t="s">
        <v>38</v>
      </c>
      <c r="AD43" t="s">
        <v>48</v>
      </c>
      <c r="AG43" t="str">
        <f>IF(AD43="United States", IFERROR(INDEX(Sheet2!$C:$C, MATCH(AE43&amp;AF43, Sheet2!$E:$E, 0)) &amp; ", " &amp; INDEX(Sheet2!$D:$D, MATCH(AE43&amp;AF43, Sheet2!$E:$E, 0)), ""), "-")</f>
        <v/>
      </c>
    </row>
    <row r="44" spans="1:33" x14ac:dyDescent="0.25">
      <c r="A44" t="s">
        <v>129</v>
      </c>
      <c r="B44" t="s">
        <v>206</v>
      </c>
      <c r="C44" t="s">
        <v>131</v>
      </c>
      <c r="D44" t="s">
        <v>207</v>
      </c>
      <c r="E44" t="s">
        <v>208</v>
      </c>
      <c r="F44">
        <v>1758</v>
      </c>
      <c r="G44">
        <v>233</v>
      </c>
      <c r="H44" t="s">
        <v>134</v>
      </c>
      <c r="I44" t="s">
        <v>39</v>
      </c>
      <c r="J44" t="s">
        <v>135</v>
      </c>
      <c r="K44" t="s">
        <v>38</v>
      </c>
      <c r="L44" t="s">
        <v>38</v>
      </c>
      <c r="M44" t="s">
        <v>38</v>
      </c>
      <c r="N44" t="s">
        <v>38</v>
      </c>
      <c r="O44" t="s">
        <v>74</v>
      </c>
      <c r="P44" t="s">
        <v>42</v>
      </c>
      <c r="Q44" t="s">
        <v>43</v>
      </c>
      <c r="R44" t="s">
        <v>89</v>
      </c>
      <c r="S44" t="s">
        <v>45</v>
      </c>
      <c r="T44" t="s">
        <v>89</v>
      </c>
      <c r="U44" t="s">
        <v>90</v>
      </c>
      <c r="V44" t="s">
        <v>137</v>
      </c>
      <c r="W44" t="s">
        <v>92</v>
      </c>
      <c r="X44" t="s">
        <v>93</v>
      </c>
      <c r="Y44" t="s">
        <v>160</v>
      </c>
      <c r="Z44" t="s">
        <v>42</v>
      </c>
      <c r="AA44" t="s">
        <v>169</v>
      </c>
      <c r="AB44" t="s">
        <v>38</v>
      </c>
      <c r="AC44" t="s">
        <v>45</v>
      </c>
      <c r="AD44" t="s">
        <v>48</v>
      </c>
      <c r="AG44" t="str">
        <f>IF(AD44="United States", IFERROR(INDEX(Sheet2!$C:$C, MATCH(AE44&amp;AF44, Sheet2!$E:$E, 0)) &amp; ", " &amp; INDEX(Sheet2!$D:$D, MATCH(AE44&amp;AF44, Sheet2!$E:$E, 0)), ""), "-")</f>
        <v/>
      </c>
    </row>
    <row r="45" spans="1:33" x14ac:dyDescent="0.25">
      <c r="A45" t="s">
        <v>129</v>
      </c>
      <c r="B45" t="s">
        <v>209</v>
      </c>
      <c r="C45" t="s">
        <v>131</v>
      </c>
      <c r="D45" t="s">
        <v>210</v>
      </c>
      <c r="E45" t="s">
        <v>208</v>
      </c>
      <c r="F45">
        <v>1769</v>
      </c>
      <c r="G45">
        <v>232</v>
      </c>
      <c r="H45" t="s">
        <v>134</v>
      </c>
      <c r="I45" t="s">
        <v>39</v>
      </c>
      <c r="J45" t="s">
        <v>135</v>
      </c>
      <c r="K45" t="s">
        <v>38</v>
      </c>
      <c r="L45" t="s">
        <v>38</v>
      </c>
      <c r="M45" t="s">
        <v>38</v>
      </c>
      <c r="N45" t="s">
        <v>38</v>
      </c>
      <c r="O45" t="s">
        <v>54</v>
      </c>
      <c r="P45" t="s">
        <v>125</v>
      </c>
      <c r="Q45" t="s">
        <v>124</v>
      </c>
      <c r="R45" t="s">
        <v>89</v>
      </c>
      <c r="S45" t="s">
        <v>38</v>
      </c>
      <c r="T45" t="s">
        <v>89</v>
      </c>
      <c r="U45" t="s">
        <v>90</v>
      </c>
      <c r="V45" t="s">
        <v>137</v>
      </c>
      <c r="W45" t="s">
        <v>92</v>
      </c>
      <c r="X45" t="s">
        <v>93</v>
      </c>
      <c r="Y45" t="s">
        <v>160</v>
      </c>
      <c r="Z45" t="s">
        <v>125</v>
      </c>
      <c r="AA45" t="s">
        <v>38</v>
      </c>
      <c r="AB45" t="s">
        <v>38</v>
      </c>
      <c r="AC45" t="s">
        <v>38</v>
      </c>
      <c r="AD45" t="s">
        <v>48</v>
      </c>
      <c r="AG45" t="str">
        <f>IF(AD45="United States", IFERROR(INDEX(Sheet2!$C:$C, MATCH(AE45&amp;AF45, Sheet2!$E:$E, 0)) &amp; ", " &amp; INDEX(Sheet2!$D:$D, MATCH(AE45&amp;AF45, Sheet2!$E:$E, 0)), ""), "-")</f>
        <v/>
      </c>
    </row>
    <row r="46" spans="1:33" x14ac:dyDescent="0.25">
      <c r="A46" t="s">
        <v>129</v>
      </c>
      <c r="B46" t="s">
        <v>211</v>
      </c>
      <c r="C46" t="s">
        <v>131</v>
      </c>
      <c r="D46" t="s">
        <v>210</v>
      </c>
      <c r="E46" t="s">
        <v>208</v>
      </c>
      <c r="F46">
        <v>1755</v>
      </c>
      <c r="G46">
        <v>231</v>
      </c>
      <c r="H46" t="s">
        <v>134</v>
      </c>
      <c r="I46" t="s">
        <v>39</v>
      </c>
      <c r="J46" t="s">
        <v>135</v>
      </c>
      <c r="K46" t="s">
        <v>38</v>
      </c>
      <c r="L46" t="s">
        <v>38</v>
      </c>
      <c r="M46" t="s">
        <v>38</v>
      </c>
      <c r="N46" t="s">
        <v>38</v>
      </c>
      <c r="O46" t="s">
        <v>41</v>
      </c>
      <c r="P46" t="s">
        <v>42</v>
      </c>
      <c r="Q46" t="s">
        <v>43</v>
      </c>
      <c r="R46" t="s">
        <v>89</v>
      </c>
      <c r="S46" t="s">
        <v>38</v>
      </c>
      <c r="T46" t="s">
        <v>89</v>
      </c>
      <c r="U46" t="s">
        <v>90</v>
      </c>
      <c r="V46" t="s">
        <v>137</v>
      </c>
      <c r="W46" t="s">
        <v>92</v>
      </c>
      <c r="X46" t="s">
        <v>93</v>
      </c>
      <c r="Y46" t="s">
        <v>160</v>
      </c>
      <c r="Z46" t="s">
        <v>42</v>
      </c>
      <c r="AA46" t="s">
        <v>38</v>
      </c>
      <c r="AB46" t="s">
        <v>38</v>
      </c>
      <c r="AC46" t="s">
        <v>155</v>
      </c>
      <c r="AD46" t="s">
        <v>48</v>
      </c>
      <c r="AG46" t="str">
        <f>IF(AD46="United States", IFERROR(INDEX(Sheet2!$C:$C, MATCH(AE46&amp;AF46, Sheet2!$E:$E, 0)) &amp; ", " &amp; INDEX(Sheet2!$D:$D, MATCH(AE46&amp;AF46, Sheet2!$E:$E, 0)), ""), "-")</f>
        <v/>
      </c>
    </row>
    <row r="47" spans="1:33" x14ac:dyDescent="0.25">
      <c r="A47" t="s">
        <v>129</v>
      </c>
      <c r="B47" t="s">
        <v>212</v>
      </c>
      <c r="C47" t="s">
        <v>131</v>
      </c>
      <c r="D47" t="s">
        <v>182</v>
      </c>
      <c r="E47" t="s">
        <v>38</v>
      </c>
      <c r="F47">
        <v>1748</v>
      </c>
      <c r="G47">
        <v>230</v>
      </c>
      <c r="H47" t="s">
        <v>134</v>
      </c>
      <c r="I47" t="s">
        <v>39</v>
      </c>
      <c r="J47" t="s">
        <v>135</v>
      </c>
      <c r="K47" t="s">
        <v>38</v>
      </c>
      <c r="L47" t="s">
        <v>38</v>
      </c>
      <c r="M47" t="s">
        <v>38</v>
      </c>
      <c r="N47" t="s">
        <v>38</v>
      </c>
      <c r="O47" t="s">
        <v>54</v>
      </c>
      <c r="P47" t="s">
        <v>42</v>
      </c>
      <c r="Q47" t="s">
        <v>43</v>
      </c>
      <c r="R47" t="s">
        <v>89</v>
      </c>
      <c r="S47" t="s">
        <v>201</v>
      </c>
      <c r="T47" t="s">
        <v>89</v>
      </c>
      <c r="U47" t="s">
        <v>90</v>
      </c>
      <c r="V47" t="s">
        <v>137</v>
      </c>
      <c r="W47" t="s">
        <v>92</v>
      </c>
      <c r="X47" t="s">
        <v>93</v>
      </c>
      <c r="Y47" t="s">
        <v>213</v>
      </c>
      <c r="Z47" t="s">
        <v>42</v>
      </c>
      <c r="AA47" t="s">
        <v>55</v>
      </c>
      <c r="AB47" t="s">
        <v>214</v>
      </c>
      <c r="AC47" t="s">
        <v>201</v>
      </c>
      <c r="AD47" t="s">
        <v>48</v>
      </c>
      <c r="AG47" t="str">
        <f>IF(AD47="United States", IFERROR(INDEX(Sheet2!$C:$C, MATCH(AE47&amp;AF47, Sheet2!$E:$E, 0)) &amp; ", " &amp; INDEX(Sheet2!$D:$D, MATCH(AE47&amp;AF47, Sheet2!$E:$E, 0)), ""), "-")</f>
        <v/>
      </c>
    </row>
    <row r="48" spans="1:33" x14ac:dyDescent="0.25">
      <c r="A48" t="s">
        <v>129</v>
      </c>
      <c r="B48" t="s">
        <v>215</v>
      </c>
      <c r="C48" t="s">
        <v>131</v>
      </c>
      <c r="D48" t="s">
        <v>207</v>
      </c>
      <c r="E48" t="s">
        <v>216</v>
      </c>
      <c r="F48">
        <v>1748</v>
      </c>
      <c r="G48">
        <v>229</v>
      </c>
      <c r="H48" t="s">
        <v>134</v>
      </c>
      <c r="I48" t="s">
        <v>39</v>
      </c>
      <c r="J48" t="s">
        <v>135</v>
      </c>
      <c r="K48" t="s">
        <v>38</v>
      </c>
      <c r="L48" t="s">
        <v>38</v>
      </c>
      <c r="M48" t="s">
        <v>38</v>
      </c>
      <c r="N48" t="s">
        <v>38</v>
      </c>
      <c r="O48" t="s">
        <v>74</v>
      </c>
      <c r="P48" t="s">
        <v>42</v>
      </c>
      <c r="Q48" t="s">
        <v>43</v>
      </c>
      <c r="R48" t="s">
        <v>89</v>
      </c>
      <c r="S48" t="s">
        <v>38</v>
      </c>
      <c r="T48" t="s">
        <v>89</v>
      </c>
      <c r="U48" t="s">
        <v>90</v>
      </c>
      <c r="V48" t="s">
        <v>137</v>
      </c>
      <c r="W48" t="s">
        <v>92</v>
      </c>
      <c r="X48" t="s">
        <v>93</v>
      </c>
      <c r="Y48" t="s">
        <v>217</v>
      </c>
      <c r="Z48" t="s">
        <v>42</v>
      </c>
      <c r="AA48" t="s">
        <v>218</v>
      </c>
      <c r="AB48" t="s">
        <v>59</v>
      </c>
      <c r="AC48" t="s">
        <v>60</v>
      </c>
      <c r="AD48" t="s">
        <v>48</v>
      </c>
      <c r="AG48" t="str">
        <f>IF(AD48="United States", IFERROR(INDEX(Sheet2!$C:$C, MATCH(AE48&amp;AF48, Sheet2!$E:$E, 0)) &amp; ", " &amp; INDEX(Sheet2!$D:$D, MATCH(AE48&amp;AF48, Sheet2!$E:$E, 0)), ""), "-")</f>
        <v/>
      </c>
    </row>
    <row r="49" spans="1:33" x14ac:dyDescent="0.25">
      <c r="A49" t="s">
        <v>129</v>
      </c>
      <c r="B49" t="s">
        <v>219</v>
      </c>
      <c r="C49" t="s">
        <v>131</v>
      </c>
      <c r="D49" t="s">
        <v>220</v>
      </c>
      <c r="E49" t="s">
        <v>216</v>
      </c>
      <c r="F49">
        <v>1757</v>
      </c>
      <c r="G49">
        <v>228</v>
      </c>
      <c r="H49" t="s">
        <v>134</v>
      </c>
      <c r="I49" t="s">
        <v>39</v>
      </c>
      <c r="J49" t="s">
        <v>135</v>
      </c>
      <c r="K49" t="s">
        <v>38</v>
      </c>
      <c r="L49" t="s">
        <v>38</v>
      </c>
      <c r="M49" t="s">
        <v>38</v>
      </c>
      <c r="N49" t="s">
        <v>38</v>
      </c>
      <c r="O49" t="s">
        <v>41</v>
      </c>
      <c r="P49" t="s">
        <v>125</v>
      </c>
      <c r="Q49" t="s">
        <v>124</v>
      </c>
      <c r="R49" t="s">
        <v>89</v>
      </c>
      <c r="S49" t="s">
        <v>38</v>
      </c>
      <c r="T49" t="s">
        <v>89</v>
      </c>
      <c r="U49" t="s">
        <v>90</v>
      </c>
      <c r="V49" t="s">
        <v>137</v>
      </c>
      <c r="W49" t="s">
        <v>92</v>
      </c>
      <c r="X49" t="s">
        <v>93</v>
      </c>
      <c r="Y49" t="s">
        <v>217</v>
      </c>
      <c r="Z49" t="s">
        <v>125</v>
      </c>
      <c r="AA49" t="s">
        <v>38</v>
      </c>
      <c r="AB49" t="s">
        <v>38</v>
      </c>
      <c r="AC49" t="s">
        <v>70</v>
      </c>
      <c r="AD49" t="s">
        <v>48</v>
      </c>
      <c r="AG49" t="str">
        <f>IF(AD49="United States", IFERROR(INDEX(Sheet2!$C:$C, MATCH(AE49&amp;AF49, Sheet2!$E:$E, 0)) &amp; ", " &amp; INDEX(Sheet2!$D:$D, MATCH(AE49&amp;AF49, Sheet2!$E:$E, 0)), ""), "-")</f>
        <v/>
      </c>
    </row>
    <row r="50" spans="1:33" x14ac:dyDescent="0.25">
      <c r="A50" t="s">
        <v>129</v>
      </c>
      <c r="B50" t="s">
        <v>221</v>
      </c>
      <c r="C50" t="s">
        <v>131</v>
      </c>
      <c r="D50" t="s">
        <v>222</v>
      </c>
      <c r="E50" t="s">
        <v>223</v>
      </c>
      <c r="F50">
        <v>1767</v>
      </c>
      <c r="G50">
        <v>227</v>
      </c>
      <c r="H50" t="s">
        <v>134</v>
      </c>
      <c r="I50" t="s">
        <v>39</v>
      </c>
      <c r="J50" t="s">
        <v>135</v>
      </c>
      <c r="K50" t="s">
        <v>38</v>
      </c>
      <c r="L50" t="s">
        <v>38</v>
      </c>
      <c r="M50" t="s">
        <v>38</v>
      </c>
      <c r="N50" t="s">
        <v>38</v>
      </c>
      <c r="O50" t="s">
        <v>74</v>
      </c>
      <c r="P50" t="s">
        <v>42</v>
      </c>
      <c r="Q50" t="s">
        <v>43</v>
      </c>
      <c r="R50" t="s">
        <v>89</v>
      </c>
      <c r="S50" t="s">
        <v>89</v>
      </c>
      <c r="T50" t="s">
        <v>89</v>
      </c>
      <c r="U50" t="s">
        <v>90</v>
      </c>
      <c r="V50" t="s">
        <v>137</v>
      </c>
      <c r="W50" t="s">
        <v>92</v>
      </c>
      <c r="X50" t="s">
        <v>93</v>
      </c>
      <c r="Y50" t="s">
        <v>224</v>
      </c>
      <c r="Z50" t="s">
        <v>42</v>
      </c>
      <c r="AA50" t="s">
        <v>38</v>
      </c>
      <c r="AB50" t="s">
        <v>38</v>
      </c>
      <c r="AC50" t="s">
        <v>89</v>
      </c>
      <c r="AD50" t="s">
        <v>48</v>
      </c>
      <c r="AG50" t="str">
        <f>IF(AD50="United States", IFERROR(INDEX(Sheet2!$C:$C, MATCH(AE50&amp;AF50, Sheet2!$E:$E, 0)) &amp; ", " &amp; INDEX(Sheet2!$D:$D, MATCH(AE50&amp;AF50, Sheet2!$E:$E, 0)), ""), "-")</f>
        <v/>
      </c>
    </row>
    <row r="51" spans="1:33" x14ac:dyDescent="0.25">
      <c r="A51" t="s">
        <v>129</v>
      </c>
      <c r="B51" t="s">
        <v>225</v>
      </c>
      <c r="C51" t="s">
        <v>131</v>
      </c>
      <c r="D51" t="s">
        <v>226</v>
      </c>
      <c r="E51" t="s">
        <v>227</v>
      </c>
      <c r="F51">
        <v>1768</v>
      </c>
      <c r="G51">
        <v>225</v>
      </c>
      <c r="H51" t="s">
        <v>134</v>
      </c>
      <c r="I51" t="s">
        <v>39</v>
      </c>
      <c r="J51" t="s">
        <v>135</v>
      </c>
      <c r="K51" t="s">
        <v>38</v>
      </c>
      <c r="L51" t="s">
        <v>38</v>
      </c>
      <c r="M51" t="s">
        <v>38</v>
      </c>
      <c r="N51" t="s">
        <v>38</v>
      </c>
      <c r="O51" t="s">
        <v>54</v>
      </c>
      <c r="P51" t="s">
        <v>42</v>
      </c>
      <c r="Q51" t="s">
        <v>43</v>
      </c>
      <c r="R51" t="s">
        <v>89</v>
      </c>
      <c r="S51" t="s">
        <v>38</v>
      </c>
      <c r="T51" t="s">
        <v>89</v>
      </c>
      <c r="U51" t="s">
        <v>90</v>
      </c>
      <c r="V51" t="s">
        <v>137</v>
      </c>
      <c r="W51" t="s">
        <v>92</v>
      </c>
      <c r="X51" t="s">
        <v>93</v>
      </c>
      <c r="Y51" t="s">
        <v>228</v>
      </c>
      <c r="Z51" t="s">
        <v>42</v>
      </c>
      <c r="AA51" t="s">
        <v>38</v>
      </c>
      <c r="AB51" t="s">
        <v>38</v>
      </c>
      <c r="AC51" t="s">
        <v>38</v>
      </c>
      <c r="AD51" t="s">
        <v>48</v>
      </c>
      <c r="AG51" t="str">
        <f>IF(AD51="United States", IFERROR(INDEX(Sheet2!$C:$C, MATCH(AE51&amp;AF51, Sheet2!$E:$E, 0)) &amp; ", " &amp; INDEX(Sheet2!$D:$D, MATCH(AE51&amp;AF51, Sheet2!$E:$E, 0)), ""), "-")</f>
        <v/>
      </c>
    </row>
    <row r="52" spans="1:33" x14ac:dyDescent="0.25">
      <c r="A52" t="s">
        <v>129</v>
      </c>
      <c r="B52" t="s">
        <v>229</v>
      </c>
      <c r="C52" t="s">
        <v>131</v>
      </c>
      <c r="D52" t="s">
        <v>230</v>
      </c>
      <c r="E52" t="s">
        <v>231</v>
      </c>
      <c r="F52">
        <v>1748</v>
      </c>
      <c r="G52">
        <v>224</v>
      </c>
      <c r="H52" t="s">
        <v>134</v>
      </c>
      <c r="I52" t="s">
        <v>39</v>
      </c>
      <c r="J52" t="s">
        <v>135</v>
      </c>
      <c r="K52" t="s">
        <v>38</v>
      </c>
      <c r="L52" t="s">
        <v>38</v>
      </c>
      <c r="M52" t="s">
        <v>38</v>
      </c>
      <c r="N52" t="s">
        <v>38</v>
      </c>
      <c r="O52" t="s">
        <v>41</v>
      </c>
      <c r="P52" t="s">
        <v>42</v>
      </c>
      <c r="Q52" t="s">
        <v>43</v>
      </c>
      <c r="R52" t="s">
        <v>89</v>
      </c>
      <c r="S52" t="s">
        <v>38</v>
      </c>
      <c r="T52" t="s">
        <v>89</v>
      </c>
      <c r="U52" t="s">
        <v>90</v>
      </c>
      <c r="V52" t="s">
        <v>137</v>
      </c>
      <c r="W52" t="s">
        <v>92</v>
      </c>
      <c r="X52" t="s">
        <v>93</v>
      </c>
      <c r="Y52" t="s">
        <v>232</v>
      </c>
      <c r="Z52" t="s">
        <v>42</v>
      </c>
      <c r="AA52" t="s">
        <v>38</v>
      </c>
      <c r="AB52" t="s">
        <v>38</v>
      </c>
      <c r="AC52" t="s">
        <v>233</v>
      </c>
      <c r="AD52" t="s">
        <v>48</v>
      </c>
      <c r="AG52" t="str">
        <f>IF(AD52="United States", IFERROR(INDEX(Sheet2!$C:$C, MATCH(AE52&amp;AF52, Sheet2!$E:$E, 0)) &amp; ", " &amp; INDEX(Sheet2!$D:$D, MATCH(AE52&amp;AF52, Sheet2!$E:$E, 0)), ""), "-")</f>
        <v/>
      </c>
    </row>
    <row r="53" spans="1:33" x14ac:dyDescent="0.25">
      <c r="A53" t="s">
        <v>129</v>
      </c>
      <c r="B53" t="s">
        <v>234</v>
      </c>
      <c r="C53" t="s">
        <v>131</v>
      </c>
      <c r="D53" t="s">
        <v>235</v>
      </c>
      <c r="E53" t="s">
        <v>236</v>
      </c>
      <c r="F53">
        <v>1766</v>
      </c>
      <c r="G53">
        <v>223</v>
      </c>
      <c r="H53" t="s">
        <v>134</v>
      </c>
      <c r="I53" t="s">
        <v>39</v>
      </c>
      <c r="J53" t="s">
        <v>135</v>
      </c>
      <c r="K53" t="s">
        <v>38</v>
      </c>
      <c r="L53" t="s">
        <v>38</v>
      </c>
      <c r="M53" t="s">
        <v>38</v>
      </c>
      <c r="N53" t="s">
        <v>38</v>
      </c>
      <c r="O53" t="s">
        <v>74</v>
      </c>
      <c r="P53" t="s">
        <v>42</v>
      </c>
      <c r="Q53" t="s">
        <v>43</v>
      </c>
      <c r="R53" t="s">
        <v>89</v>
      </c>
      <c r="S53" t="s">
        <v>45</v>
      </c>
      <c r="T53" t="s">
        <v>89</v>
      </c>
      <c r="U53" t="s">
        <v>90</v>
      </c>
      <c r="V53" t="s">
        <v>137</v>
      </c>
      <c r="W53" t="s">
        <v>92</v>
      </c>
      <c r="X53" t="s">
        <v>93</v>
      </c>
      <c r="Y53" t="s">
        <v>138</v>
      </c>
      <c r="Z53" t="s">
        <v>42</v>
      </c>
      <c r="AA53" t="s">
        <v>38</v>
      </c>
      <c r="AB53" t="s">
        <v>38</v>
      </c>
      <c r="AC53" t="s">
        <v>45</v>
      </c>
      <c r="AD53" t="s">
        <v>48</v>
      </c>
      <c r="AG53" t="str">
        <f>IF(AD53="United States", IFERROR(INDEX(Sheet2!$C:$C, MATCH(AE53&amp;AF53, Sheet2!$E:$E, 0)) &amp; ", " &amp; INDEX(Sheet2!$D:$D, MATCH(AE53&amp;AF53, Sheet2!$E:$E, 0)), ""), "-")</f>
        <v/>
      </c>
    </row>
    <row r="54" spans="1:33" x14ac:dyDescent="0.25">
      <c r="A54" t="s">
        <v>129</v>
      </c>
      <c r="B54" t="s">
        <v>237</v>
      </c>
      <c r="C54" t="s">
        <v>131</v>
      </c>
      <c r="D54" t="s">
        <v>238</v>
      </c>
      <c r="E54" t="s">
        <v>236</v>
      </c>
      <c r="F54">
        <v>1763</v>
      </c>
      <c r="G54">
        <v>222</v>
      </c>
      <c r="H54" t="s">
        <v>134</v>
      </c>
      <c r="I54" t="s">
        <v>39</v>
      </c>
      <c r="J54" t="s">
        <v>135</v>
      </c>
      <c r="K54" t="s">
        <v>38</v>
      </c>
      <c r="L54" t="s">
        <v>38</v>
      </c>
      <c r="M54" t="s">
        <v>38</v>
      </c>
      <c r="N54" t="s">
        <v>38</v>
      </c>
      <c r="O54" t="s">
        <v>57</v>
      </c>
      <c r="P54" t="s">
        <v>42</v>
      </c>
      <c r="Q54" t="s">
        <v>43</v>
      </c>
      <c r="R54" t="s">
        <v>89</v>
      </c>
      <c r="S54" t="s">
        <v>45</v>
      </c>
      <c r="T54" t="s">
        <v>89</v>
      </c>
      <c r="U54" t="s">
        <v>90</v>
      </c>
      <c r="V54" t="s">
        <v>137</v>
      </c>
      <c r="W54" t="s">
        <v>92</v>
      </c>
      <c r="X54" t="s">
        <v>93</v>
      </c>
      <c r="Y54" t="s">
        <v>138</v>
      </c>
      <c r="Z54" t="s">
        <v>42</v>
      </c>
      <c r="AA54" t="s">
        <v>38</v>
      </c>
      <c r="AB54" t="s">
        <v>38</v>
      </c>
      <c r="AC54" t="s">
        <v>45</v>
      </c>
      <c r="AD54" t="s">
        <v>48</v>
      </c>
      <c r="AG54" t="str">
        <f>IF(AD54="United States", IFERROR(INDEX(Sheet2!$C:$C, MATCH(AE54&amp;AF54, Sheet2!$E:$E, 0)) &amp; ", " &amp; INDEX(Sheet2!$D:$D, MATCH(AE54&amp;AF54, Sheet2!$E:$E, 0)), ""), "-")</f>
        <v/>
      </c>
    </row>
    <row r="55" spans="1:33" x14ac:dyDescent="0.25">
      <c r="A55" t="s">
        <v>129</v>
      </c>
      <c r="B55" t="s">
        <v>239</v>
      </c>
      <c r="C55" t="s">
        <v>131</v>
      </c>
      <c r="D55" t="s">
        <v>177</v>
      </c>
      <c r="E55" t="s">
        <v>236</v>
      </c>
      <c r="F55">
        <v>1755</v>
      </c>
      <c r="G55">
        <v>221</v>
      </c>
      <c r="H55" t="s">
        <v>134</v>
      </c>
      <c r="I55" t="s">
        <v>39</v>
      </c>
      <c r="J55" t="s">
        <v>135</v>
      </c>
      <c r="K55" t="s">
        <v>38</v>
      </c>
      <c r="L55" t="s">
        <v>38</v>
      </c>
      <c r="M55" t="s">
        <v>38</v>
      </c>
      <c r="N55" t="s">
        <v>38</v>
      </c>
      <c r="O55" t="s">
        <v>41</v>
      </c>
      <c r="P55" t="s">
        <v>42</v>
      </c>
      <c r="Q55" t="s">
        <v>43</v>
      </c>
      <c r="R55" t="s">
        <v>89</v>
      </c>
      <c r="S55" t="s">
        <v>45</v>
      </c>
      <c r="T55" t="s">
        <v>89</v>
      </c>
      <c r="U55" t="s">
        <v>90</v>
      </c>
      <c r="V55" t="s">
        <v>137</v>
      </c>
      <c r="W55" t="s">
        <v>92</v>
      </c>
      <c r="X55" t="s">
        <v>93</v>
      </c>
      <c r="Y55" t="s">
        <v>240</v>
      </c>
      <c r="Z55" t="s">
        <v>42</v>
      </c>
      <c r="AA55" t="s">
        <v>241</v>
      </c>
      <c r="AB55" t="s">
        <v>38</v>
      </c>
      <c r="AC55" t="s">
        <v>45</v>
      </c>
      <c r="AD55" t="s">
        <v>48</v>
      </c>
      <c r="AG55" t="str">
        <f>IF(AD55="United States", IFERROR(INDEX(Sheet2!$C:$C, MATCH(AE55&amp;AF55, Sheet2!$E:$E, 0)) &amp; ", " &amp; INDEX(Sheet2!$D:$D, MATCH(AE55&amp;AF55, Sheet2!$E:$E, 0)), ""), "-")</f>
        <v/>
      </c>
    </row>
    <row r="56" spans="1:33" x14ac:dyDescent="0.25">
      <c r="A56" t="s">
        <v>129</v>
      </c>
      <c r="B56" t="s">
        <v>242</v>
      </c>
      <c r="C56" t="s">
        <v>131</v>
      </c>
      <c r="D56" t="s">
        <v>132</v>
      </c>
      <c r="E56" t="s">
        <v>243</v>
      </c>
      <c r="F56">
        <v>1740</v>
      </c>
      <c r="G56">
        <v>220</v>
      </c>
      <c r="H56" t="s">
        <v>134</v>
      </c>
      <c r="I56" t="s">
        <v>39</v>
      </c>
      <c r="J56" t="s">
        <v>135</v>
      </c>
      <c r="K56" t="s">
        <v>38</v>
      </c>
      <c r="L56" t="s">
        <v>38</v>
      </c>
      <c r="M56" t="s">
        <v>38</v>
      </c>
      <c r="N56" t="s">
        <v>38</v>
      </c>
      <c r="O56" t="s">
        <v>41</v>
      </c>
      <c r="P56" t="s">
        <v>42</v>
      </c>
      <c r="Q56" t="s">
        <v>43</v>
      </c>
      <c r="R56" t="s">
        <v>89</v>
      </c>
      <c r="S56" t="s">
        <v>45</v>
      </c>
      <c r="T56" t="s">
        <v>89</v>
      </c>
      <c r="U56" t="s">
        <v>136</v>
      </c>
      <c r="V56" t="s">
        <v>137</v>
      </c>
      <c r="W56" t="s">
        <v>92</v>
      </c>
      <c r="X56" t="s">
        <v>93</v>
      </c>
      <c r="Y56" t="s">
        <v>138</v>
      </c>
      <c r="Z56" t="s">
        <v>42</v>
      </c>
      <c r="AA56" t="s">
        <v>169</v>
      </c>
      <c r="AB56" t="s">
        <v>38</v>
      </c>
      <c r="AC56" t="s">
        <v>45</v>
      </c>
      <c r="AD56" t="s">
        <v>48</v>
      </c>
      <c r="AG56" t="str">
        <f>IF(AD56="United States", IFERROR(INDEX(Sheet2!$C:$C, MATCH(AE56&amp;AF56, Sheet2!$E:$E, 0)) &amp; ", " &amp; INDEX(Sheet2!$D:$D, MATCH(AE56&amp;AF56, Sheet2!$E:$E, 0)), ""), "-")</f>
        <v/>
      </c>
    </row>
    <row r="57" spans="1:33" x14ac:dyDescent="0.25">
      <c r="A57" t="s">
        <v>129</v>
      </c>
      <c r="B57" t="s">
        <v>244</v>
      </c>
      <c r="C57" t="s">
        <v>131</v>
      </c>
      <c r="D57" t="s">
        <v>245</v>
      </c>
      <c r="E57" t="s">
        <v>246</v>
      </c>
      <c r="F57">
        <v>1762</v>
      </c>
      <c r="G57">
        <v>219</v>
      </c>
      <c r="H57" t="s">
        <v>134</v>
      </c>
      <c r="I57" t="s">
        <v>39</v>
      </c>
      <c r="J57" t="s">
        <v>135</v>
      </c>
      <c r="K57" t="s">
        <v>38</v>
      </c>
      <c r="L57" t="s">
        <v>38</v>
      </c>
      <c r="M57" t="s">
        <v>38</v>
      </c>
      <c r="N57" t="s">
        <v>38</v>
      </c>
      <c r="O57" t="s">
        <v>57</v>
      </c>
      <c r="P57" t="s">
        <v>42</v>
      </c>
      <c r="Q57" t="s">
        <v>43</v>
      </c>
      <c r="R57" t="s">
        <v>89</v>
      </c>
      <c r="S57" t="s">
        <v>45</v>
      </c>
      <c r="T57" t="s">
        <v>89</v>
      </c>
      <c r="U57" t="s">
        <v>90</v>
      </c>
      <c r="V57" t="s">
        <v>137</v>
      </c>
      <c r="W57" t="s">
        <v>92</v>
      </c>
      <c r="X57" t="s">
        <v>93</v>
      </c>
      <c r="Y57" t="s">
        <v>38</v>
      </c>
      <c r="Z57" t="s">
        <v>42</v>
      </c>
      <c r="AA57" t="s">
        <v>247</v>
      </c>
      <c r="AB57" t="s">
        <v>38</v>
      </c>
      <c r="AC57" t="s">
        <v>45</v>
      </c>
      <c r="AD57" t="s">
        <v>48</v>
      </c>
      <c r="AG57" t="str">
        <f>IF(AD57="United States", IFERROR(INDEX(Sheet2!$C:$C, MATCH(AE57&amp;AF57, Sheet2!$E:$E, 0)) &amp; ", " &amp; INDEX(Sheet2!$D:$D, MATCH(AE57&amp;AF57, Sheet2!$E:$E, 0)), ""), "-")</f>
        <v/>
      </c>
    </row>
    <row r="58" spans="1:33" x14ac:dyDescent="0.25">
      <c r="A58" t="s">
        <v>129</v>
      </c>
      <c r="B58" t="s">
        <v>248</v>
      </c>
      <c r="C58" t="s">
        <v>131</v>
      </c>
      <c r="D58" t="s">
        <v>193</v>
      </c>
      <c r="E58" t="s">
        <v>152</v>
      </c>
      <c r="F58">
        <v>1760</v>
      </c>
      <c r="G58">
        <v>238</v>
      </c>
      <c r="H58" t="s">
        <v>134</v>
      </c>
      <c r="I58" t="s">
        <v>39</v>
      </c>
      <c r="J58" t="s">
        <v>135</v>
      </c>
      <c r="K58" t="s">
        <v>38</v>
      </c>
      <c r="L58" t="s">
        <v>38</v>
      </c>
      <c r="M58" t="s">
        <v>38</v>
      </c>
      <c r="N58" t="s">
        <v>38</v>
      </c>
      <c r="O58" t="s">
        <v>41</v>
      </c>
      <c r="P58" t="s">
        <v>42</v>
      </c>
      <c r="Q58" t="s">
        <v>43</v>
      </c>
      <c r="R58" t="s">
        <v>89</v>
      </c>
      <c r="S58" t="s">
        <v>89</v>
      </c>
      <c r="T58" t="s">
        <v>89</v>
      </c>
      <c r="U58" t="s">
        <v>90</v>
      </c>
      <c r="V58" t="s">
        <v>137</v>
      </c>
      <c r="W58" t="s">
        <v>92</v>
      </c>
      <c r="X58" t="s">
        <v>93</v>
      </c>
      <c r="Y58" t="s">
        <v>197</v>
      </c>
      <c r="Z58" t="s">
        <v>42</v>
      </c>
      <c r="AA58" t="s">
        <v>89</v>
      </c>
      <c r="AB58" t="s">
        <v>38</v>
      </c>
      <c r="AC58" t="s">
        <v>249</v>
      </c>
      <c r="AD58" t="s">
        <v>48</v>
      </c>
      <c r="AG58" t="str">
        <f>IF(AD58="United States", IFERROR(INDEX(Sheet2!$C:$C, MATCH(AE58&amp;AF58, Sheet2!$E:$E, 0)) &amp; ", " &amp; INDEX(Sheet2!$D:$D, MATCH(AE58&amp;AF58, Sheet2!$E:$E, 0)), ""), "-")</f>
        <v/>
      </c>
    </row>
    <row r="59" spans="1:33" x14ac:dyDescent="0.25">
      <c r="A59" t="s">
        <v>129</v>
      </c>
      <c r="B59" t="s">
        <v>250</v>
      </c>
      <c r="C59" t="s">
        <v>131</v>
      </c>
      <c r="D59" t="s">
        <v>251</v>
      </c>
      <c r="E59" t="s">
        <v>191</v>
      </c>
      <c r="F59">
        <v>1605</v>
      </c>
      <c r="G59">
        <v>217</v>
      </c>
      <c r="H59" t="s">
        <v>38</v>
      </c>
      <c r="I59" t="s">
        <v>39</v>
      </c>
      <c r="J59" t="s">
        <v>135</v>
      </c>
      <c r="K59" t="s">
        <v>38</v>
      </c>
      <c r="L59" t="s">
        <v>38</v>
      </c>
      <c r="M59" t="s">
        <v>252</v>
      </c>
      <c r="N59" t="s">
        <v>191</v>
      </c>
      <c r="O59" t="s">
        <v>41</v>
      </c>
      <c r="P59" t="s">
        <v>42</v>
      </c>
      <c r="Q59" t="s">
        <v>43</v>
      </c>
      <c r="R59" t="s">
        <v>253</v>
      </c>
      <c r="S59" t="s">
        <v>89</v>
      </c>
      <c r="T59" t="s">
        <v>38</v>
      </c>
      <c r="U59" t="s">
        <v>38</v>
      </c>
      <c r="V59" t="s">
        <v>137</v>
      </c>
      <c r="W59" t="s">
        <v>38</v>
      </c>
      <c r="X59" t="s">
        <v>38</v>
      </c>
      <c r="Y59" t="s">
        <v>38</v>
      </c>
      <c r="Z59" t="s">
        <v>42</v>
      </c>
      <c r="AA59" t="s">
        <v>89</v>
      </c>
      <c r="AB59" t="s">
        <v>38</v>
      </c>
      <c r="AC59" t="s">
        <v>254</v>
      </c>
      <c r="AD59" t="s">
        <v>48</v>
      </c>
      <c r="AG59" t="str">
        <f>IF(AD59="United States", IFERROR(INDEX(Sheet2!$C:$C, MATCH(AE59&amp;AF59, Sheet2!$E:$E, 0)) &amp; ", " &amp; INDEX(Sheet2!$D:$D, MATCH(AE59&amp;AF59, Sheet2!$E:$E, 0)), ""), "-")</f>
        <v/>
      </c>
    </row>
    <row r="60" spans="1:33" x14ac:dyDescent="0.25">
      <c r="A60" t="s">
        <v>129</v>
      </c>
      <c r="B60" t="s">
        <v>255</v>
      </c>
      <c r="C60" t="s">
        <v>131</v>
      </c>
      <c r="D60" t="s">
        <v>252</v>
      </c>
      <c r="E60" t="s">
        <v>191</v>
      </c>
      <c r="F60">
        <v>1758</v>
      </c>
      <c r="G60">
        <v>216</v>
      </c>
      <c r="H60" t="s">
        <v>134</v>
      </c>
      <c r="I60" t="s">
        <v>39</v>
      </c>
      <c r="J60" t="s">
        <v>135</v>
      </c>
      <c r="K60" t="s">
        <v>38</v>
      </c>
      <c r="L60" t="s">
        <v>38</v>
      </c>
      <c r="M60" t="s">
        <v>256</v>
      </c>
      <c r="N60" t="s">
        <v>196</v>
      </c>
      <c r="O60" t="s">
        <v>57</v>
      </c>
      <c r="P60" t="s">
        <v>125</v>
      </c>
      <c r="Q60" t="s">
        <v>124</v>
      </c>
      <c r="R60" t="s">
        <v>89</v>
      </c>
      <c r="S60" t="s">
        <v>89</v>
      </c>
      <c r="T60" t="s">
        <v>89</v>
      </c>
      <c r="U60" t="s">
        <v>90</v>
      </c>
      <c r="V60" t="s">
        <v>137</v>
      </c>
      <c r="W60" t="s">
        <v>92</v>
      </c>
      <c r="X60" t="s">
        <v>93</v>
      </c>
      <c r="Y60" t="s">
        <v>138</v>
      </c>
      <c r="Z60" t="s">
        <v>125</v>
      </c>
      <c r="AA60" t="s">
        <v>89</v>
      </c>
      <c r="AB60" t="s">
        <v>38</v>
      </c>
      <c r="AC60" t="s">
        <v>254</v>
      </c>
      <c r="AD60" t="s">
        <v>48</v>
      </c>
      <c r="AG60" t="str">
        <f>IF(AD60="United States", IFERROR(INDEX(Sheet2!$C:$C, MATCH(AE60&amp;AF60, Sheet2!$E:$E, 0)) &amp; ", " &amp; INDEX(Sheet2!$D:$D, MATCH(AE60&amp;AF60, Sheet2!$E:$E, 0)), ""), "-")</f>
        <v/>
      </c>
    </row>
    <row r="61" spans="1:33" x14ac:dyDescent="0.25">
      <c r="A61" t="s">
        <v>129</v>
      </c>
      <c r="B61" t="s">
        <v>257</v>
      </c>
      <c r="C61" t="s">
        <v>131</v>
      </c>
      <c r="D61" t="s">
        <v>120</v>
      </c>
      <c r="E61" t="s">
        <v>191</v>
      </c>
      <c r="F61">
        <v>1751</v>
      </c>
      <c r="G61">
        <v>215</v>
      </c>
      <c r="H61" t="s">
        <v>134</v>
      </c>
      <c r="I61" t="s">
        <v>39</v>
      </c>
      <c r="J61" t="s">
        <v>135</v>
      </c>
      <c r="K61" t="s">
        <v>38</v>
      </c>
      <c r="L61" t="s">
        <v>38</v>
      </c>
      <c r="M61" t="s">
        <v>38</v>
      </c>
      <c r="N61" t="s">
        <v>38</v>
      </c>
      <c r="O61" t="s">
        <v>41</v>
      </c>
      <c r="P61" t="s">
        <v>42</v>
      </c>
      <c r="Q61" t="s">
        <v>43</v>
      </c>
      <c r="R61" t="s">
        <v>89</v>
      </c>
      <c r="S61" t="s">
        <v>45</v>
      </c>
      <c r="T61" t="s">
        <v>89</v>
      </c>
      <c r="U61" t="s">
        <v>90</v>
      </c>
      <c r="V61" t="s">
        <v>137</v>
      </c>
      <c r="W61" t="s">
        <v>92</v>
      </c>
      <c r="X61" t="s">
        <v>93</v>
      </c>
      <c r="Y61" t="s">
        <v>138</v>
      </c>
      <c r="Z61" t="s">
        <v>42</v>
      </c>
      <c r="AA61" t="s">
        <v>247</v>
      </c>
      <c r="AB61" t="s">
        <v>38</v>
      </c>
      <c r="AC61" t="s">
        <v>45</v>
      </c>
      <c r="AD61" t="s">
        <v>48</v>
      </c>
      <c r="AG61" t="str">
        <f>IF(AD61="United States", IFERROR(INDEX(Sheet2!$C:$C, MATCH(AE61&amp;AF61, Sheet2!$E:$E, 0)) &amp; ", " &amp; INDEX(Sheet2!$D:$D, MATCH(AE61&amp;AF61, Sheet2!$E:$E, 0)), ""), "-")</f>
        <v/>
      </c>
    </row>
    <row r="62" spans="1:33" x14ac:dyDescent="0.25">
      <c r="A62" t="s">
        <v>129</v>
      </c>
      <c r="B62" t="s">
        <v>258</v>
      </c>
      <c r="C62" t="s">
        <v>131</v>
      </c>
      <c r="D62" t="s">
        <v>256</v>
      </c>
      <c r="E62" t="s">
        <v>196</v>
      </c>
      <c r="F62">
        <v>1741</v>
      </c>
      <c r="G62">
        <v>214</v>
      </c>
      <c r="H62" t="s">
        <v>134</v>
      </c>
      <c r="I62" t="s">
        <v>39</v>
      </c>
      <c r="J62" t="s">
        <v>135</v>
      </c>
      <c r="K62" t="s">
        <v>38</v>
      </c>
      <c r="L62" t="s">
        <v>38</v>
      </c>
      <c r="M62" t="s">
        <v>38</v>
      </c>
      <c r="N62" t="s">
        <v>38</v>
      </c>
      <c r="O62" t="s">
        <v>57</v>
      </c>
      <c r="P62" t="s">
        <v>42</v>
      </c>
      <c r="Q62" t="s">
        <v>43</v>
      </c>
      <c r="R62" t="s">
        <v>89</v>
      </c>
      <c r="S62" t="s">
        <v>45</v>
      </c>
      <c r="T62" t="s">
        <v>89</v>
      </c>
      <c r="U62" t="s">
        <v>90</v>
      </c>
      <c r="V62" t="s">
        <v>137</v>
      </c>
      <c r="W62" t="s">
        <v>92</v>
      </c>
      <c r="X62" t="s">
        <v>93</v>
      </c>
      <c r="Y62" t="s">
        <v>197</v>
      </c>
      <c r="Z62" t="s">
        <v>42</v>
      </c>
      <c r="AA62" t="s">
        <v>169</v>
      </c>
      <c r="AB62" t="s">
        <v>38</v>
      </c>
      <c r="AC62" t="s">
        <v>45</v>
      </c>
      <c r="AD62" t="s">
        <v>48</v>
      </c>
      <c r="AG62" t="str">
        <f>IF(AD62="United States", IFERROR(INDEX(Sheet2!$C:$C, MATCH(AE62&amp;AF62, Sheet2!$E:$E, 0)) &amp; ", " &amp; INDEX(Sheet2!$D:$D, MATCH(AE62&amp;AF62, Sheet2!$E:$E, 0)), ""), "-")</f>
        <v/>
      </c>
    </row>
    <row r="63" spans="1:33" x14ac:dyDescent="0.25">
      <c r="A63" t="s">
        <v>129</v>
      </c>
      <c r="B63" t="s">
        <v>259</v>
      </c>
      <c r="C63" t="s">
        <v>131</v>
      </c>
      <c r="D63" t="s">
        <v>177</v>
      </c>
      <c r="E63" t="s">
        <v>260</v>
      </c>
      <c r="F63">
        <v>1758</v>
      </c>
      <c r="G63">
        <v>237</v>
      </c>
      <c r="H63" t="s">
        <v>134</v>
      </c>
      <c r="I63" t="s">
        <v>39</v>
      </c>
      <c r="J63" t="s">
        <v>135</v>
      </c>
      <c r="K63" t="s">
        <v>38</v>
      </c>
      <c r="L63" t="s">
        <v>38</v>
      </c>
      <c r="M63" t="s">
        <v>38</v>
      </c>
      <c r="N63" t="s">
        <v>38</v>
      </c>
      <c r="O63" t="s">
        <v>41</v>
      </c>
      <c r="P63" t="s">
        <v>42</v>
      </c>
      <c r="Q63" t="s">
        <v>43</v>
      </c>
      <c r="R63" t="s">
        <v>89</v>
      </c>
      <c r="S63" t="s">
        <v>38</v>
      </c>
      <c r="T63" t="s">
        <v>89</v>
      </c>
      <c r="U63" t="s">
        <v>90</v>
      </c>
      <c r="V63" t="s">
        <v>137</v>
      </c>
      <c r="W63" t="s">
        <v>92</v>
      </c>
      <c r="X63" t="s">
        <v>93</v>
      </c>
      <c r="Y63" t="s">
        <v>160</v>
      </c>
      <c r="Z63" t="s">
        <v>42</v>
      </c>
      <c r="AA63" t="s">
        <v>38</v>
      </c>
      <c r="AB63" t="s">
        <v>38</v>
      </c>
      <c r="AC63" t="s">
        <v>261</v>
      </c>
      <c r="AD63" t="s">
        <v>48</v>
      </c>
      <c r="AG63" t="str">
        <f>IF(AD63="United States", IFERROR(INDEX(Sheet2!$C:$C, MATCH(AE63&amp;AF63, Sheet2!$E:$E, 0)) &amp; ", " &amp; INDEX(Sheet2!$D:$D, MATCH(AE63&amp;AF63, Sheet2!$E:$E, 0)), ""), "-")</f>
        <v/>
      </c>
    </row>
    <row r="64" spans="1:33" x14ac:dyDescent="0.25">
      <c r="A64" t="s">
        <v>129</v>
      </c>
      <c r="B64" t="s">
        <v>262</v>
      </c>
      <c r="C64" t="s">
        <v>131</v>
      </c>
      <c r="D64" t="s">
        <v>263</v>
      </c>
      <c r="E64" t="s">
        <v>191</v>
      </c>
      <c r="F64">
        <v>1750</v>
      </c>
      <c r="G64">
        <v>218</v>
      </c>
      <c r="H64" t="s">
        <v>134</v>
      </c>
      <c r="I64" t="s">
        <v>39</v>
      </c>
      <c r="J64" t="s">
        <v>135</v>
      </c>
      <c r="K64" t="s">
        <v>38</v>
      </c>
      <c r="L64" t="s">
        <v>38</v>
      </c>
      <c r="M64" t="s">
        <v>38</v>
      </c>
      <c r="N64" t="s">
        <v>38</v>
      </c>
      <c r="O64" t="s">
        <v>57</v>
      </c>
      <c r="P64" t="s">
        <v>42</v>
      </c>
      <c r="Q64" t="s">
        <v>43</v>
      </c>
      <c r="R64" t="s">
        <v>89</v>
      </c>
      <c r="S64" t="s">
        <v>45</v>
      </c>
      <c r="T64" t="s">
        <v>89</v>
      </c>
      <c r="U64" t="s">
        <v>90</v>
      </c>
      <c r="V64" t="s">
        <v>137</v>
      </c>
      <c r="W64" t="s">
        <v>92</v>
      </c>
      <c r="X64" t="s">
        <v>93</v>
      </c>
      <c r="Y64" t="s">
        <v>38</v>
      </c>
      <c r="Z64" t="s">
        <v>42</v>
      </c>
      <c r="AA64" t="s">
        <v>247</v>
      </c>
      <c r="AB64" t="s">
        <v>38</v>
      </c>
      <c r="AC64" t="s">
        <v>45</v>
      </c>
      <c r="AD64" t="s">
        <v>48</v>
      </c>
      <c r="AG64" t="str">
        <f>IF(AD64="United States", IFERROR(INDEX(Sheet2!$C:$C, MATCH(AE64&amp;AF64, Sheet2!$E:$E, 0)) &amp; ", " &amp; INDEX(Sheet2!$D:$D, MATCH(AE64&amp;AF64, Sheet2!$E:$E, 0)), ""), "-")</f>
        <v/>
      </c>
    </row>
    <row r="65" spans="1:33" x14ac:dyDescent="0.25">
      <c r="A65" t="s">
        <v>129</v>
      </c>
      <c r="B65" t="s">
        <v>264</v>
      </c>
      <c r="C65" t="s">
        <v>131</v>
      </c>
      <c r="D65" t="s">
        <v>226</v>
      </c>
      <c r="E65" t="s">
        <v>223</v>
      </c>
      <c r="F65">
        <v>1764</v>
      </c>
      <c r="G65">
        <v>226</v>
      </c>
      <c r="H65" t="s">
        <v>134</v>
      </c>
      <c r="I65" t="s">
        <v>39</v>
      </c>
      <c r="J65" t="s">
        <v>135</v>
      </c>
      <c r="K65" t="s">
        <v>38</v>
      </c>
      <c r="L65" t="s">
        <v>38</v>
      </c>
      <c r="M65" t="s">
        <v>38</v>
      </c>
      <c r="N65" t="s">
        <v>38</v>
      </c>
      <c r="O65" t="s">
        <v>54</v>
      </c>
      <c r="P65" t="s">
        <v>42</v>
      </c>
      <c r="Q65" t="s">
        <v>43</v>
      </c>
      <c r="R65" t="s">
        <v>89</v>
      </c>
      <c r="S65" t="s">
        <v>38</v>
      </c>
      <c r="T65" t="s">
        <v>89</v>
      </c>
      <c r="U65" t="s">
        <v>90</v>
      </c>
      <c r="V65" t="s">
        <v>137</v>
      </c>
      <c r="W65" t="s">
        <v>92</v>
      </c>
      <c r="X65" t="s">
        <v>93</v>
      </c>
      <c r="Y65" t="s">
        <v>224</v>
      </c>
      <c r="Z65" t="s">
        <v>42</v>
      </c>
      <c r="AA65" t="s">
        <v>38</v>
      </c>
      <c r="AB65" t="s">
        <v>38</v>
      </c>
      <c r="AC65" t="s">
        <v>265</v>
      </c>
      <c r="AD65" t="s">
        <v>48</v>
      </c>
      <c r="AG65" t="str">
        <f>IF(AD65="United States", IFERROR(INDEX(Sheet2!$C:$C, MATCH(AE65&amp;AF65, Sheet2!$E:$E, 0)) &amp; ", " &amp; INDEX(Sheet2!$D:$D, MATCH(AE65&amp;AF65, Sheet2!$E:$E, 0)), ""), "-")</f>
        <v/>
      </c>
    </row>
    <row r="66" spans="1:33" x14ac:dyDescent="0.25">
      <c r="A66" t="s">
        <v>129</v>
      </c>
      <c r="B66" t="s">
        <v>266</v>
      </c>
      <c r="C66" t="s">
        <v>267</v>
      </c>
      <c r="D66" t="s">
        <v>113</v>
      </c>
      <c r="E66" t="s">
        <v>268</v>
      </c>
      <c r="F66">
        <v>1756</v>
      </c>
      <c r="G66">
        <v>803</v>
      </c>
      <c r="H66" t="s">
        <v>269</v>
      </c>
      <c r="I66" t="s">
        <v>39</v>
      </c>
      <c r="J66" t="s">
        <v>135</v>
      </c>
      <c r="K66" t="s">
        <v>38</v>
      </c>
      <c r="L66" t="s">
        <v>38</v>
      </c>
      <c r="M66" t="s">
        <v>38</v>
      </c>
      <c r="N66" t="s">
        <v>38</v>
      </c>
      <c r="O66" t="s">
        <v>41</v>
      </c>
      <c r="P66" t="s">
        <v>42</v>
      </c>
      <c r="Q66" t="s">
        <v>43</v>
      </c>
      <c r="R66" t="s">
        <v>89</v>
      </c>
      <c r="S66" t="s">
        <v>45</v>
      </c>
      <c r="T66" t="s">
        <v>89</v>
      </c>
      <c r="U66" t="s">
        <v>90</v>
      </c>
      <c r="V66" t="s">
        <v>270</v>
      </c>
      <c r="W66" t="s">
        <v>92</v>
      </c>
      <c r="X66" t="s">
        <v>93</v>
      </c>
      <c r="Y66" t="s">
        <v>271</v>
      </c>
      <c r="Z66" t="s">
        <v>42</v>
      </c>
      <c r="AA66" t="s">
        <v>272</v>
      </c>
      <c r="AB66" t="s">
        <v>38</v>
      </c>
      <c r="AC66" t="s">
        <v>45</v>
      </c>
      <c r="AD66" t="s">
        <v>48</v>
      </c>
      <c r="AG66" t="str">
        <f>IF(AD66="United States", IFERROR(INDEX(Sheet2!$C:$C, MATCH(AE66&amp;AF66, Sheet2!$E:$E, 0)) &amp; ", " &amp; INDEX(Sheet2!$D:$D, MATCH(AE66&amp;AF66, Sheet2!$E:$E, 0)), ""), "-")</f>
        <v/>
      </c>
    </row>
    <row r="67" spans="1:33" x14ac:dyDescent="0.25">
      <c r="A67" t="s">
        <v>129</v>
      </c>
      <c r="B67" t="s">
        <v>273</v>
      </c>
      <c r="C67" t="s">
        <v>274</v>
      </c>
      <c r="D67" t="s">
        <v>230</v>
      </c>
      <c r="E67" t="s">
        <v>275</v>
      </c>
      <c r="F67">
        <v>1763</v>
      </c>
      <c r="G67">
        <v>756</v>
      </c>
      <c r="H67" t="s">
        <v>134</v>
      </c>
      <c r="I67" t="s">
        <v>39</v>
      </c>
      <c r="J67" t="s">
        <v>276</v>
      </c>
      <c r="K67" t="s">
        <v>38</v>
      </c>
      <c r="L67" t="s">
        <v>38</v>
      </c>
      <c r="M67" t="s">
        <v>38</v>
      </c>
      <c r="N67" t="s">
        <v>38</v>
      </c>
      <c r="O67" t="s">
        <v>41</v>
      </c>
      <c r="P67" t="s">
        <v>42</v>
      </c>
      <c r="Q67" t="s">
        <v>43</v>
      </c>
      <c r="R67" t="s">
        <v>89</v>
      </c>
      <c r="S67" t="s">
        <v>45</v>
      </c>
      <c r="T67" t="s">
        <v>89</v>
      </c>
      <c r="U67" t="s">
        <v>90</v>
      </c>
      <c r="V67" t="s">
        <v>270</v>
      </c>
      <c r="W67" t="s">
        <v>92</v>
      </c>
      <c r="X67" t="s">
        <v>93</v>
      </c>
      <c r="Y67" t="s">
        <v>277</v>
      </c>
      <c r="Z67" t="s">
        <v>42</v>
      </c>
      <c r="AA67" t="s">
        <v>45</v>
      </c>
      <c r="AB67" t="s">
        <v>38</v>
      </c>
      <c r="AC67" t="s">
        <v>45</v>
      </c>
      <c r="AD67" t="s">
        <v>48</v>
      </c>
      <c r="AG67" t="str">
        <f>IF(AD67="United States", IFERROR(INDEX(Sheet2!$C:$C, MATCH(AE67&amp;AF67, Sheet2!$E:$E, 0)) &amp; ", " &amp; INDEX(Sheet2!$D:$D, MATCH(AE67&amp;AF67, Sheet2!$E:$E, 0)), ""), "-")</f>
        <v/>
      </c>
    </row>
    <row r="68" spans="1:33" x14ac:dyDescent="0.25">
      <c r="A68" t="s">
        <v>129</v>
      </c>
      <c r="B68" t="s">
        <v>278</v>
      </c>
      <c r="C68" t="s">
        <v>274</v>
      </c>
      <c r="D68" t="s">
        <v>222</v>
      </c>
      <c r="E68" t="s">
        <v>279</v>
      </c>
      <c r="F68">
        <v>1743</v>
      </c>
      <c r="G68">
        <v>757</v>
      </c>
      <c r="H68" t="s">
        <v>134</v>
      </c>
      <c r="I68" t="s">
        <v>39</v>
      </c>
      <c r="J68" t="s">
        <v>276</v>
      </c>
      <c r="K68" t="s">
        <v>38</v>
      </c>
      <c r="L68" t="s">
        <v>38</v>
      </c>
      <c r="M68" t="s">
        <v>38</v>
      </c>
      <c r="N68" t="s">
        <v>38</v>
      </c>
      <c r="O68" t="s">
        <v>57</v>
      </c>
      <c r="P68" t="s">
        <v>42</v>
      </c>
      <c r="Q68" t="s">
        <v>43</v>
      </c>
      <c r="R68" t="s">
        <v>89</v>
      </c>
      <c r="S68" t="s">
        <v>38</v>
      </c>
      <c r="T68" t="s">
        <v>89</v>
      </c>
      <c r="U68" t="s">
        <v>90</v>
      </c>
      <c r="V68" t="s">
        <v>270</v>
      </c>
      <c r="W68" t="s">
        <v>92</v>
      </c>
      <c r="X68" t="s">
        <v>93</v>
      </c>
      <c r="Y68" t="s">
        <v>280</v>
      </c>
      <c r="Z68" t="s">
        <v>42</v>
      </c>
      <c r="AA68" t="s">
        <v>38</v>
      </c>
      <c r="AB68" t="s">
        <v>38</v>
      </c>
      <c r="AC68" t="s">
        <v>38</v>
      </c>
      <c r="AD68" t="s">
        <v>48</v>
      </c>
      <c r="AG68" t="str">
        <f>IF(AD68="United States", IFERROR(INDEX(Sheet2!$C:$C, MATCH(AE68&amp;AF68, Sheet2!$E:$E, 0)) &amp; ", " &amp; INDEX(Sheet2!$D:$D, MATCH(AE68&amp;AF68, Sheet2!$E:$E, 0)), ""), "-")</f>
        <v/>
      </c>
    </row>
    <row r="69" spans="1:33" x14ac:dyDescent="0.25">
      <c r="A69" t="s">
        <v>129</v>
      </c>
      <c r="B69" t="s">
        <v>281</v>
      </c>
      <c r="C69" t="s">
        <v>274</v>
      </c>
      <c r="D69" t="s">
        <v>282</v>
      </c>
      <c r="E69" t="s">
        <v>275</v>
      </c>
      <c r="F69">
        <v>1769</v>
      </c>
      <c r="G69">
        <v>758</v>
      </c>
      <c r="H69" t="s">
        <v>38</v>
      </c>
      <c r="I69" t="s">
        <v>39</v>
      </c>
      <c r="J69" t="s">
        <v>276</v>
      </c>
      <c r="K69" t="s">
        <v>38</v>
      </c>
      <c r="L69" t="s">
        <v>38</v>
      </c>
      <c r="M69" t="s">
        <v>38</v>
      </c>
      <c r="N69" t="s">
        <v>38</v>
      </c>
      <c r="O69" t="s">
        <v>74</v>
      </c>
      <c r="P69" t="s">
        <v>42</v>
      </c>
      <c r="Q69" t="s">
        <v>43</v>
      </c>
      <c r="R69" t="s">
        <v>169</v>
      </c>
      <c r="S69" t="s">
        <v>45</v>
      </c>
      <c r="T69" t="s">
        <v>38</v>
      </c>
      <c r="U69" t="s">
        <v>38</v>
      </c>
      <c r="V69" t="s">
        <v>270</v>
      </c>
      <c r="W69" t="s">
        <v>38</v>
      </c>
      <c r="X69" t="s">
        <v>38</v>
      </c>
      <c r="Y69" t="s">
        <v>283</v>
      </c>
      <c r="Z69" t="s">
        <v>42</v>
      </c>
      <c r="AA69" t="s">
        <v>275</v>
      </c>
      <c r="AB69" t="s">
        <v>169</v>
      </c>
      <c r="AC69" t="s">
        <v>45</v>
      </c>
      <c r="AD69" t="s">
        <v>48</v>
      </c>
      <c r="AG69" t="str">
        <f>IF(AD69="United States", IFERROR(INDEX(Sheet2!$C:$C, MATCH(AE69&amp;AF69, Sheet2!$E:$E, 0)) &amp; ", " &amp; INDEX(Sheet2!$D:$D, MATCH(AE69&amp;AF69, Sheet2!$E:$E, 0)), ""), "-")</f>
        <v/>
      </c>
    </row>
    <row r="70" spans="1:33" x14ac:dyDescent="0.25">
      <c r="A70" t="s">
        <v>129</v>
      </c>
      <c r="B70" t="s">
        <v>284</v>
      </c>
      <c r="C70" t="s">
        <v>267</v>
      </c>
      <c r="D70" t="s">
        <v>285</v>
      </c>
      <c r="E70" t="s">
        <v>268</v>
      </c>
      <c r="F70">
        <v>1763</v>
      </c>
      <c r="G70">
        <v>804</v>
      </c>
      <c r="H70" t="s">
        <v>269</v>
      </c>
      <c r="I70" t="s">
        <v>39</v>
      </c>
      <c r="J70" t="s">
        <v>135</v>
      </c>
      <c r="K70" t="s">
        <v>38</v>
      </c>
      <c r="L70" t="s">
        <v>38</v>
      </c>
      <c r="M70" t="s">
        <v>38</v>
      </c>
      <c r="N70" t="s">
        <v>38</v>
      </c>
      <c r="O70" t="s">
        <v>57</v>
      </c>
      <c r="P70" t="s">
        <v>42</v>
      </c>
      <c r="Q70" t="s">
        <v>43</v>
      </c>
      <c r="R70" t="s">
        <v>89</v>
      </c>
      <c r="S70" t="s">
        <v>286</v>
      </c>
      <c r="T70" t="s">
        <v>89</v>
      </c>
      <c r="U70" t="s">
        <v>90</v>
      </c>
      <c r="V70" t="s">
        <v>270</v>
      </c>
      <c r="W70" t="s">
        <v>92</v>
      </c>
      <c r="X70" t="s">
        <v>93</v>
      </c>
      <c r="Y70" t="s">
        <v>271</v>
      </c>
      <c r="Z70" t="s">
        <v>42</v>
      </c>
      <c r="AA70" t="s">
        <v>38</v>
      </c>
      <c r="AB70" t="s">
        <v>38</v>
      </c>
      <c r="AC70" t="s">
        <v>286</v>
      </c>
      <c r="AD70" t="s">
        <v>48</v>
      </c>
      <c r="AG70" t="str">
        <f>IF(AD70="United States", IFERROR(INDEX(Sheet2!$C:$C, MATCH(AE70&amp;AF70, Sheet2!$E:$E, 0)) &amp; ", " &amp; INDEX(Sheet2!$D:$D, MATCH(AE70&amp;AF70, Sheet2!$E:$E, 0)), ""), "-")</f>
        <v/>
      </c>
    </row>
    <row r="71" spans="1:33" x14ac:dyDescent="0.25">
      <c r="A71" t="s">
        <v>129</v>
      </c>
      <c r="B71" t="s">
        <v>287</v>
      </c>
      <c r="C71" t="s">
        <v>274</v>
      </c>
      <c r="D71" t="s">
        <v>200</v>
      </c>
      <c r="E71" t="s">
        <v>288</v>
      </c>
      <c r="F71">
        <v>1760</v>
      </c>
      <c r="G71">
        <v>755</v>
      </c>
      <c r="H71" t="s">
        <v>134</v>
      </c>
      <c r="I71" t="s">
        <v>39</v>
      </c>
      <c r="J71" t="s">
        <v>276</v>
      </c>
      <c r="K71" t="s">
        <v>38</v>
      </c>
      <c r="L71" t="s">
        <v>38</v>
      </c>
      <c r="M71" t="s">
        <v>38</v>
      </c>
      <c r="N71" t="s">
        <v>38</v>
      </c>
      <c r="O71" t="s">
        <v>41</v>
      </c>
      <c r="P71" t="s">
        <v>42</v>
      </c>
      <c r="Q71" t="s">
        <v>43</v>
      </c>
      <c r="R71" t="s">
        <v>89</v>
      </c>
      <c r="S71" t="s">
        <v>38</v>
      </c>
      <c r="T71" t="s">
        <v>89</v>
      </c>
      <c r="U71" t="s">
        <v>90</v>
      </c>
      <c r="V71" t="s">
        <v>270</v>
      </c>
      <c r="W71" t="s">
        <v>92</v>
      </c>
      <c r="X71" t="s">
        <v>93</v>
      </c>
      <c r="Y71" t="s">
        <v>277</v>
      </c>
      <c r="Z71" t="s">
        <v>42</v>
      </c>
      <c r="AA71" t="s">
        <v>38</v>
      </c>
      <c r="AB71" t="s">
        <v>38</v>
      </c>
      <c r="AC71" t="s">
        <v>38</v>
      </c>
      <c r="AD71" t="s">
        <v>48</v>
      </c>
      <c r="AG71" t="str">
        <f>IF(AD71="United States", IFERROR(INDEX(Sheet2!$C:$C, MATCH(AE71&amp;AF71, Sheet2!$E:$E, 0)) &amp; ", " &amp; INDEX(Sheet2!$D:$D, MATCH(AE71&amp;AF71, Sheet2!$E:$E, 0)), ""), "-")</f>
        <v/>
      </c>
    </row>
    <row r="72" spans="1:33" x14ac:dyDescent="0.25">
      <c r="A72" t="s">
        <v>129</v>
      </c>
      <c r="B72" t="s">
        <v>289</v>
      </c>
      <c r="C72" t="s">
        <v>267</v>
      </c>
      <c r="D72" t="s">
        <v>193</v>
      </c>
      <c r="E72" t="s">
        <v>290</v>
      </c>
      <c r="F72">
        <v>1762</v>
      </c>
      <c r="G72">
        <v>802</v>
      </c>
      <c r="H72" t="s">
        <v>134</v>
      </c>
      <c r="I72" t="s">
        <v>39</v>
      </c>
      <c r="J72" t="s">
        <v>135</v>
      </c>
      <c r="K72" t="s">
        <v>38</v>
      </c>
      <c r="L72" t="s">
        <v>38</v>
      </c>
      <c r="M72" t="s">
        <v>38</v>
      </c>
      <c r="N72" t="s">
        <v>38</v>
      </c>
      <c r="O72" t="s">
        <v>41</v>
      </c>
      <c r="P72" t="s">
        <v>42</v>
      </c>
      <c r="Q72" t="s">
        <v>43</v>
      </c>
      <c r="R72" t="s">
        <v>89</v>
      </c>
      <c r="S72" t="s">
        <v>201</v>
      </c>
      <c r="T72" t="s">
        <v>89</v>
      </c>
      <c r="U72" t="s">
        <v>90</v>
      </c>
      <c r="V72" t="s">
        <v>270</v>
      </c>
      <c r="W72" t="s">
        <v>92</v>
      </c>
      <c r="X72" t="s">
        <v>93</v>
      </c>
      <c r="Y72" t="s">
        <v>291</v>
      </c>
      <c r="Z72" t="s">
        <v>42</v>
      </c>
      <c r="AA72" t="s">
        <v>201</v>
      </c>
      <c r="AB72" t="s">
        <v>38</v>
      </c>
      <c r="AC72" t="s">
        <v>292</v>
      </c>
      <c r="AD72" t="s">
        <v>48</v>
      </c>
      <c r="AG72" t="str">
        <f>IF(AD72="United States", IFERROR(INDEX(Sheet2!$C:$C, MATCH(AE72&amp;AF72, Sheet2!$E:$E, 0)) &amp; ", " &amp; INDEX(Sheet2!$D:$D, MATCH(AE72&amp;AF72, Sheet2!$E:$E, 0)), ""), "-")</f>
        <v/>
      </c>
    </row>
    <row r="73" spans="1:33" x14ac:dyDescent="0.25">
      <c r="A73" t="s">
        <v>129</v>
      </c>
      <c r="B73" t="s">
        <v>293</v>
      </c>
      <c r="C73" t="s">
        <v>274</v>
      </c>
      <c r="D73" t="s">
        <v>104</v>
      </c>
      <c r="E73" t="s">
        <v>231</v>
      </c>
      <c r="F73">
        <v>1758</v>
      </c>
      <c r="G73">
        <v>754</v>
      </c>
      <c r="H73" t="s">
        <v>38</v>
      </c>
      <c r="I73" t="s">
        <v>39</v>
      </c>
      <c r="J73" t="s">
        <v>276</v>
      </c>
      <c r="K73" t="s">
        <v>38</v>
      </c>
      <c r="L73" t="s">
        <v>38</v>
      </c>
      <c r="M73" t="s">
        <v>38</v>
      </c>
      <c r="N73" t="s">
        <v>38</v>
      </c>
      <c r="O73" t="s">
        <v>41</v>
      </c>
      <c r="P73" t="s">
        <v>42</v>
      </c>
      <c r="Q73" t="s">
        <v>43</v>
      </c>
      <c r="R73" t="s">
        <v>38</v>
      </c>
      <c r="S73" t="s">
        <v>38</v>
      </c>
      <c r="T73" t="s">
        <v>38</v>
      </c>
      <c r="U73" t="s">
        <v>38</v>
      </c>
      <c r="V73" t="s">
        <v>270</v>
      </c>
      <c r="W73" t="s">
        <v>38</v>
      </c>
      <c r="X73" t="s">
        <v>38</v>
      </c>
      <c r="Y73" t="s">
        <v>294</v>
      </c>
      <c r="Z73" t="s">
        <v>42</v>
      </c>
      <c r="AA73" t="s">
        <v>38</v>
      </c>
      <c r="AB73" t="s">
        <v>38</v>
      </c>
      <c r="AC73" t="s">
        <v>233</v>
      </c>
      <c r="AD73" t="s">
        <v>48</v>
      </c>
      <c r="AG73" t="str">
        <f>IF(AD73="United States", IFERROR(INDEX(Sheet2!$C:$C, MATCH(AE73&amp;AF73, Sheet2!$E:$E, 0)) &amp; ", " &amp; INDEX(Sheet2!$D:$D, MATCH(AE73&amp;AF73, Sheet2!$E:$E, 0)), ""), "-")</f>
        <v/>
      </c>
    </row>
    <row r="74" spans="1:33" x14ac:dyDescent="0.25">
      <c r="A74" t="s">
        <v>295</v>
      </c>
      <c r="B74" t="s">
        <v>296</v>
      </c>
      <c r="C74" t="s">
        <v>297</v>
      </c>
      <c r="D74" t="s">
        <v>222</v>
      </c>
      <c r="E74" t="s">
        <v>164</v>
      </c>
      <c r="F74">
        <v>1760</v>
      </c>
      <c r="G74">
        <v>432</v>
      </c>
      <c r="H74" t="s">
        <v>298</v>
      </c>
      <c r="I74" t="s">
        <v>39</v>
      </c>
      <c r="J74" t="s">
        <v>299</v>
      </c>
      <c r="K74" t="s">
        <v>38</v>
      </c>
      <c r="L74" t="s">
        <v>38</v>
      </c>
      <c r="M74" t="s">
        <v>222</v>
      </c>
      <c r="N74" t="s">
        <v>300</v>
      </c>
      <c r="O74" t="s">
        <v>74</v>
      </c>
      <c r="P74" t="s">
        <v>42</v>
      </c>
      <c r="Q74" t="s">
        <v>124</v>
      </c>
      <c r="R74" t="s">
        <v>89</v>
      </c>
      <c r="S74" t="s">
        <v>38</v>
      </c>
      <c r="T74" t="s">
        <v>89</v>
      </c>
      <c r="U74" t="s">
        <v>301</v>
      </c>
      <c r="V74" t="s">
        <v>137</v>
      </c>
      <c r="W74" t="s">
        <v>92</v>
      </c>
      <c r="X74" t="s">
        <v>302</v>
      </c>
      <c r="Y74" t="s">
        <v>303</v>
      </c>
      <c r="Z74" t="s">
        <v>42</v>
      </c>
      <c r="AA74" t="s">
        <v>38</v>
      </c>
      <c r="AB74" t="s">
        <v>38</v>
      </c>
      <c r="AC74" t="s">
        <v>304</v>
      </c>
      <c r="AD74" t="s">
        <v>48</v>
      </c>
      <c r="AG74" t="str">
        <f>IF(AD74="United States", IFERROR(INDEX(Sheet2!$C:$C, MATCH(AE74&amp;AF74, Sheet2!$E:$E, 0)) &amp; ", " &amp; INDEX(Sheet2!$D:$D, MATCH(AE74&amp;AF74, Sheet2!$E:$E, 0)), ""), "-")</f>
        <v/>
      </c>
    </row>
    <row r="75" spans="1:33" x14ac:dyDescent="0.25">
      <c r="A75" t="s">
        <v>295</v>
      </c>
      <c r="D75" t="s">
        <v>305</v>
      </c>
      <c r="E75" t="s">
        <v>185</v>
      </c>
      <c r="F75">
        <v>1743</v>
      </c>
      <c r="G75">
        <v>478</v>
      </c>
      <c r="H75">
        <v>27</v>
      </c>
      <c r="J75" t="s">
        <v>299</v>
      </c>
      <c r="O75" t="s">
        <v>57</v>
      </c>
      <c r="R75" t="s">
        <v>89</v>
      </c>
      <c r="T75" t="s">
        <v>89</v>
      </c>
      <c r="U75" t="s">
        <v>301</v>
      </c>
      <c r="V75" t="s">
        <v>137</v>
      </c>
      <c r="W75" t="s">
        <v>92</v>
      </c>
      <c r="X75" t="s">
        <v>302</v>
      </c>
      <c r="Y75" t="s">
        <v>38</v>
      </c>
      <c r="AA75" t="s">
        <v>38</v>
      </c>
      <c r="AB75" t="s">
        <v>38</v>
      </c>
      <c r="AC75" t="s">
        <v>38</v>
      </c>
      <c r="AD75" t="s">
        <v>48</v>
      </c>
      <c r="AG75" t="str">
        <f>IF(AD75="United States", IFERROR(INDEX(Sheet2!$C:$C, MATCH(AE75&amp;AF75, Sheet2!$E:$E, 0)) &amp; ", " &amp; INDEX(Sheet2!$D:$D, MATCH(AE75&amp;AF75, Sheet2!$E:$E, 0)), ""), "-")</f>
        <v/>
      </c>
    </row>
    <row r="76" spans="1:33" x14ac:dyDescent="0.25">
      <c r="A76" t="s">
        <v>295</v>
      </c>
      <c r="D76" t="s">
        <v>306</v>
      </c>
      <c r="E76" t="s">
        <v>185</v>
      </c>
      <c r="F76">
        <v>1760</v>
      </c>
      <c r="G76">
        <v>475</v>
      </c>
      <c r="H76">
        <v>27</v>
      </c>
      <c r="J76" t="s">
        <v>299</v>
      </c>
      <c r="O76" t="s">
        <v>57</v>
      </c>
      <c r="R76" t="s">
        <v>89</v>
      </c>
      <c r="T76" t="s">
        <v>89</v>
      </c>
      <c r="U76" t="s">
        <v>301</v>
      </c>
      <c r="V76" t="s">
        <v>137</v>
      </c>
      <c r="W76" t="s">
        <v>92</v>
      </c>
      <c r="X76" t="s">
        <v>302</v>
      </c>
      <c r="Y76" t="s">
        <v>38</v>
      </c>
      <c r="AA76" t="s">
        <v>38</v>
      </c>
      <c r="AB76" t="s">
        <v>38</v>
      </c>
      <c r="AC76" t="s">
        <v>38</v>
      </c>
      <c r="AD76" t="s">
        <v>48</v>
      </c>
      <c r="AG76" t="str">
        <f>IF(AD76="United States", IFERROR(INDEX(Sheet2!$C:$C, MATCH(AE76&amp;AF76, Sheet2!$E:$E, 0)) &amp; ", " &amp; INDEX(Sheet2!$D:$D, MATCH(AE76&amp;AF76, Sheet2!$E:$E, 0)), ""), "-")</f>
        <v/>
      </c>
    </row>
    <row r="77" spans="1:33" x14ac:dyDescent="0.25">
      <c r="A77" t="s">
        <v>295</v>
      </c>
      <c r="D77" t="s">
        <v>181</v>
      </c>
      <c r="E77" t="s">
        <v>72</v>
      </c>
      <c r="F77" t="s">
        <v>38</v>
      </c>
      <c r="G77">
        <v>473</v>
      </c>
      <c r="H77">
        <v>27</v>
      </c>
      <c r="J77" t="s">
        <v>299</v>
      </c>
      <c r="O77" t="s">
        <v>183</v>
      </c>
      <c r="R77" t="s">
        <v>89</v>
      </c>
      <c r="T77" t="s">
        <v>89</v>
      </c>
      <c r="U77" t="s">
        <v>301</v>
      </c>
      <c r="V77" t="s">
        <v>137</v>
      </c>
      <c r="W77" t="s">
        <v>92</v>
      </c>
      <c r="X77" t="s">
        <v>302</v>
      </c>
      <c r="Y77" t="s">
        <v>38</v>
      </c>
      <c r="AA77" t="s">
        <v>38</v>
      </c>
      <c r="AB77" t="s">
        <v>38</v>
      </c>
      <c r="AC77" t="s">
        <v>38</v>
      </c>
      <c r="AD77" t="s">
        <v>48</v>
      </c>
      <c r="AG77" t="str">
        <f>IF(AD77="United States", IFERROR(INDEX(Sheet2!$C:$C, MATCH(AE77&amp;AF77, Sheet2!$E:$E, 0)) &amp; ", " &amp; INDEX(Sheet2!$D:$D, MATCH(AE77&amp;AF77, Sheet2!$E:$E, 0)), ""), "-")</f>
        <v/>
      </c>
    </row>
    <row r="78" spans="1:33" x14ac:dyDescent="0.25">
      <c r="A78" t="s">
        <v>295</v>
      </c>
      <c r="D78" t="s">
        <v>181</v>
      </c>
      <c r="E78" t="s">
        <v>72</v>
      </c>
      <c r="F78" t="s">
        <v>38</v>
      </c>
      <c r="G78">
        <v>472</v>
      </c>
      <c r="H78">
        <v>27</v>
      </c>
      <c r="J78" t="s">
        <v>299</v>
      </c>
      <c r="O78" t="s">
        <v>183</v>
      </c>
      <c r="R78" t="s">
        <v>89</v>
      </c>
      <c r="T78" t="s">
        <v>89</v>
      </c>
      <c r="U78" t="s">
        <v>301</v>
      </c>
      <c r="V78" t="s">
        <v>137</v>
      </c>
      <c r="W78" t="s">
        <v>92</v>
      </c>
      <c r="X78" t="s">
        <v>302</v>
      </c>
      <c r="Y78" t="s">
        <v>38</v>
      </c>
      <c r="AA78" t="s">
        <v>38</v>
      </c>
      <c r="AB78" t="s">
        <v>38</v>
      </c>
      <c r="AC78" t="s">
        <v>38</v>
      </c>
      <c r="AD78" t="s">
        <v>48</v>
      </c>
      <c r="AG78" t="str">
        <f>IF(AD78="United States", IFERROR(INDEX(Sheet2!$C:$C, MATCH(AE78&amp;AF78, Sheet2!$E:$E, 0)) &amp; ", " &amp; INDEX(Sheet2!$D:$D, MATCH(AE78&amp;AF78, Sheet2!$E:$E, 0)), ""), "-")</f>
        <v/>
      </c>
    </row>
    <row r="79" spans="1:33" x14ac:dyDescent="0.25">
      <c r="A79" t="s">
        <v>295</v>
      </c>
      <c r="D79" t="s">
        <v>307</v>
      </c>
      <c r="E79" t="s">
        <v>185</v>
      </c>
      <c r="F79">
        <v>1760</v>
      </c>
      <c r="G79">
        <v>471</v>
      </c>
      <c r="H79">
        <v>27</v>
      </c>
      <c r="J79" t="s">
        <v>299</v>
      </c>
      <c r="O79" t="s">
        <v>57</v>
      </c>
      <c r="R79" t="s">
        <v>89</v>
      </c>
      <c r="T79" t="s">
        <v>89</v>
      </c>
      <c r="U79" t="s">
        <v>301</v>
      </c>
      <c r="V79" t="s">
        <v>137</v>
      </c>
      <c r="W79" t="s">
        <v>92</v>
      </c>
      <c r="X79" t="s">
        <v>302</v>
      </c>
      <c r="Y79" t="s">
        <v>38</v>
      </c>
      <c r="AA79" t="s">
        <v>38</v>
      </c>
      <c r="AB79" t="s">
        <v>38</v>
      </c>
      <c r="AC79" t="s">
        <v>38</v>
      </c>
      <c r="AD79" t="s">
        <v>48</v>
      </c>
      <c r="AG79" t="str">
        <f>IF(AD79="United States", IFERROR(INDEX(Sheet2!$C:$C, MATCH(AE79&amp;AF79, Sheet2!$E:$E, 0)) &amp; ", " &amp; INDEX(Sheet2!$D:$D, MATCH(AE79&amp;AF79, Sheet2!$E:$E, 0)), ""), "-")</f>
        <v/>
      </c>
    </row>
    <row r="80" spans="1:33" x14ac:dyDescent="0.25">
      <c r="A80" t="s">
        <v>295</v>
      </c>
      <c r="B80" t="s">
        <v>308</v>
      </c>
      <c r="C80" t="s">
        <v>297</v>
      </c>
      <c r="D80" t="s">
        <v>63</v>
      </c>
      <c r="E80" t="s">
        <v>38</v>
      </c>
      <c r="F80">
        <v>1743</v>
      </c>
      <c r="G80">
        <v>433</v>
      </c>
      <c r="H80" t="s">
        <v>298</v>
      </c>
      <c r="I80" t="s">
        <v>39</v>
      </c>
      <c r="J80" t="s">
        <v>299</v>
      </c>
      <c r="K80" t="s">
        <v>38</v>
      </c>
      <c r="L80" t="s">
        <v>38</v>
      </c>
      <c r="M80" t="s">
        <v>38</v>
      </c>
      <c r="N80" t="s">
        <v>38</v>
      </c>
      <c r="O80" t="s">
        <v>41</v>
      </c>
      <c r="P80" t="s">
        <v>42</v>
      </c>
      <c r="Q80" t="s">
        <v>43</v>
      </c>
      <c r="R80" t="s">
        <v>89</v>
      </c>
      <c r="S80" t="s">
        <v>153</v>
      </c>
      <c r="T80" t="s">
        <v>89</v>
      </c>
      <c r="U80" t="s">
        <v>301</v>
      </c>
      <c r="V80" t="s">
        <v>137</v>
      </c>
      <c r="W80" t="s">
        <v>92</v>
      </c>
      <c r="X80" t="s">
        <v>302</v>
      </c>
      <c r="Y80" t="s">
        <v>309</v>
      </c>
      <c r="Z80" t="s">
        <v>42</v>
      </c>
      <c r="AA80" t="s">
        <v>155</v>
      </c>
      <c r="AB80" t="s">
        <v>38</v>
      </c>
      <c r="AC80" t="s">
        <v>153</v>
      </c>
      <c r="AD80" t="s">
        <v>48</v>
      </c>
      <c r="AG80" t="str">
        <f>IF(AD80="United States", IFERROR(INDEX(Sheet2!$C:$C, MATCH(AE80&amp;AF80, Sheet2!$E:$E, 0)) &amp; ", " &amp; INDEX(Sheet2!$D:$D, MATCH(AE80&amp;AF80, Sheet2!$E:$E, 0)), ""), "-")</f>
        <v/>
      </c>
    </row>
    <row r="81" spans="1:33" x14ac:dyDescent="0.25">
      <c r="A81" t="s">
        <v>295</v>
      </c>
      <c r="B81" t="s">
        <v>310</v>
      </c>
      <c r="C81" t="s">
        <v>311</v>
      </c>
      <c r="D81" t="s">
        <v>113</v>
      </c>
      <c r="E81" t="s">
        <v>312</v>
      </c>
      <c r="F81">
        <v>1736</v>
      </c>
      <c r="G81">
        <v>1798</v>
      </c>
      <c r="H81" t="s">
        <v>313</v>
      </c>
      <c r="I81" t="s">
        <v>80</v>
      </c>
      <c r="J81" t="s">
        <v>38</v>
      </c>
      <c r="K81" t="s">
        <v>38</v>
      </c>
      <c r="L81" t="s">
        <v>38</v>
      </c>
      <c r="M81" t="s">
        <v>38</v>
      </c>
      <c r="N81" t="s">
        <v>38</v>
      </c>
      <c r="O81" t="s">
        <v>41</v>
      </c>
      <c r="P81" t="s">
        <v>42</v>
      </c>
      <c r="Q81" t="s">
        <v>43</v>
      </c>
      <c r="R81" t="s">
        <v>89</v>
      </c>
      <c r="S81" t="s">
        <v>38</v>
      </c>
      <c r="T81" t="s">
        <v>89</v>
      </c>
      <c r="U81" t="s">
        <v>301</v>
      </c>
      <c r="V81" t="s">
        <v>38</v>
      </c>
      <c r="W81" t="s">
        <v>92</v>
      </c>
      <c r="X81" t="s">
        <v>302</v>
      </c>
      <c r="Y81" t="s">
        <v>38</v>
      </c>
      <c r="Z81" t="s">
        <v>42</v>
      </c>
      <c r="AA81" t="s">
        <v>314</v>
      </c>
      <c r="AB81" t="s">
        <v>233</v>
      </c>
      <c r="AC81" t="s">
        <v>315</v>
      </c>
      <c r="AD81" t="s">
        <v>48</v>
      </c>
      <c r="AG81" t="str">
        <f>IF(AD81="United States", IFERROR(INDEX(Sheet2!$C:$C, MATCH(AE81&amp;AF81, Sheet2!$E:$E, 0)) &amp; ", " &amp; INDEX(Sheet2!$D:$D, MATCH(AE81&amp;AF81, Sheet2!$E:$E, 0)), ""), "-")</f>
        <v/>
      </c>
    </row>
    <row r="82" spans="1:33" x14ac:dyDescent="0.25">
      <c r="A82" t="s">
        <v>295</v>
      </c>
      <c r="B82" t="s">
        <v>316</v>
      </c>
      <c r="C82" t="s">
        <v>297</v>
      </c>
      <c r="D82" t="s">
        <v>220</v>
      </c>
      <c r="E82" t="s">
        <v>317</v>
      </c>
      <c r="F82">
        <v>1758</v>
      </c>
      <c r="G82">
        <v>435</v>
      </c>
      <c r="H82" t="s">
        <v>298</v>
      </c>
      <c r="I82" t="s">
        <v>39</v>
      </c>
      <c r="J82" t="s">
        <v>299</v>
      </c>
      <c r="K82" t="s">
        <v>38</v>
      </c>
      <c r="L82" t="s">
        <v>38</v>
      </c>
      <c r="M82" t="s">
        <v>38</v>
      </c>
      <c r="N82" t="s">
        <v>38</v>
      </c>
      <c r="O82" t="s">
        <v>41</v>
      </c>
      <c r="P82" t="s">
        <v>42</v>
      </c>
      <c r="Q82" t="s">
        <v>43</v>
      </c>
      <c r="R82" t="s">
        <v>89</v>
      </c>
      <c r="S82" t="s">
        <v>89</v>
      </c>
      <c r="T82" t="s">
        <v>89</v>
      </c>
      <c r="U82" t="s">
        <v>301</v>
      </c>
      <c r="V82" t="s">
        <v>137</v>
      </c>
      <c r="W82" t="s">
        <v>92</v>
      </c>
      <c r="X82" t="s">
        <v>302</v>
      </c>
      <c r="Y82" t="s">
        <v>318</v>
      </c>
      <c r="Z82" t="s">
        <v>42</v>
      </c>
      <c r="AA82" t="s">
        <v>38</v>
      </c>
      <c r="AB82" t="s">
        <v>38</v>
      </c>
      <c r="AC82" t="s">
        <v>89</v>
      </c>
      <c r="AD82" t="s">
        <v>48</v>
      </c>
      <c r="AG82" t="str">
        <f>IF(AD82="United States", IFERROR(INDEX(Sheet2!$C:$C, MATCH(AE82&amp;AF82, Sheet2!$E:$E, 0)) &amp; ", " &amp; INDEX(Sheet2!$D:$D, MATCH(AE82&amp;AF82, Sheet2!$E:$E, 0)), ""), "-")</f>
        <v/>
      </c>
    </row>
    <row r="83" spans="1:33" x14ac:dyDescent="0.25">
      <c r="A83" t="s">
        <v>295</v>
      </c>
      <c r="B83" t="s">
        <v>319</v>
      </c>
      <c r="C83" t="s">
        <v>297</v>
      </c>
      <c r="D83" t="s">
        <v>245</v>
      </c>
      <c r="E83" t="s">
        <v>164</v>
      </c>
      <c r="F83">
        <v>1743</v>
      </c>
      <c r="G83">
        <v>434</v>
      </c>
      <c r="H83" t="s">
        <v>298</v>
      </c>
      <c r="I83" t="s">
        <v>39</v>
      </c>
      <c r="J83" t="s">
        <v>299</v>
      </c>
      <c r="K83" t="s">
        <v>38</v>
      </c>
      <c r="L83" t="s">
        <v>38</v>
      </c>
      <c r="M83" t="s">
        <v>38</v>
      </c>
      <c r="N83" t="s">
        <v>38</v>
      </c>
      <c r="O83" t="s">
        <v>57</v>
      </c>
      <c r="P83" t="s">
        <v>42</v>
      </c>
      <c r="Q83" t="s">
        <v>43</v>
      </c>
      <c r="R83" t="s">
        <v>89</v>
      </c>
      <c r="S83" t="s">
        <v>38</v>
      </c>
      <c r="T83" t="s">
        <v>89</v>
      </c>
      <c r="U83" t="s">
        <v>301</v>
      </c>
      <c r="V83" t="s">
        <v>137</v>
      </c>
      <c r="W83" t="s">
        <v>92</v>
      </c>
      <c r="X83" t="s">
        <v>302</v>
      </c>
      <c r="Y83" t="s">
        <v>309</v>
      </c>
      <c r="Z83" t="s">
        <v>42</v>
      </c>
      <c r="AA83" t="s">
        <v>38</v>
      </c>
      <c r="AB83" t="s">
        <v>38</v>
      </c>
      <c r="AC83" t="s">
        <v>155</v>
      </c>
      <c r="AD83" t="s">
        <v>48</v>
      </c>
      <c r="AG83" t="str">
        <f>IF(AD83="United States", IFERROR(INDEX(Sheet2!$C:$C, MATCH(AE83&amp;AF83, Sheet2!$E:$E, 0)) &amp; ", " &amp; INDEX(Sheet2!$D:$D, MATCH(AE83&amp;AF83, Sheet2!$E:$E, 0)), ""), "-")</f>
        <v/>
      </c>
    </row>
    <row r="84" spans="1:33" x14ac:dyDescent="0.25">
      <c r="A84" t="s">
        <v>295</v>
      </c>
      <c r="B84" t="s">
        <v>320</v>
      </c>
      <c r="C84" t="s">
        <v>297</v>
      </c>
      <c r="D84" t="s">
        <v>200</v>
      </c>
      <c r="E84" t="s">
        <v>37</v>
      </c>
      <c r="F84">
        <v>1748</v>
      </c>
      <c r="G84">
        <v>416</v>
      </c>
      <c r="H84" t="s">
        <v>298</v>
      </c>
      <c r="I84" t="s">
        <v>39</v>
      </c>
      <c r="J84" t="s">
        <v>299</v>
      </c>
      <c r="K84" t="s">
        <v>210</v>
      </c>
      <c r="L84" t="s">
        <v>321</v>
      </c>
      <c r="M84" t="s">
        <v>38</v>
      </c>
      <c r="N84" t="s">
        <v>38</v>
      </c>
      <c r="O84" t="s">
        <v>41</v>
      </c>
      <c r="P84" t="s">
        <v>42</v>
      </c>
      <c r="Q84" t="s">
        <v>43</v>
      </c>
      <c r="R84" t="s">
        <v>89</v>
      </c>
      <c r="S84" t="s">
        <v>201</v>
      </c>
      <c r="T84" t="s">
        <v>89</v>
      </c>
      <c r="U84" t="s">
        <v>301</v>
      </c>
      <c r="V84" t="s">
        <v>137</v>
      </c>
      <c r="W84" t="s">
        <v>92</v>
      </c>
      <c r="X84" t="s">
        <v>302</v>
      </c>
      <c r="Y84" t="s">
        <v>322</v>
      </c>
      <c r="Z84" t="s">
        <v>42</v>
      </c>
      <c r="AA84" t="s">
        <v>201</v>
      </c>
      <c r="AB84" t="s">
        <v>38</v>
      </c>
      <c r="AC84" t="s">
        <v>89</v>
      </c>
      <c r="AD84" t="s">
        <v>48</v>
      </c>
      <c r="AG84" t="str">
        <f>IF(AD84="United States", IFERROR(INDEX(Sheet2!$C:$C, MATCH(AE84&amp;AF84, Sheet2!$E:$E, 0)) &amp; ", " &amp; INDEX(Sheet2!$D:$D, MATCH(AE84&amp;AF84, Sheet2!$E:$E, 0)), ""), "-")</f>
        <v/>
      </c>
    </row>
    <row r="85" spans="1:33" x14ac:dyDescent="0.25">
      <c r="A85" t="s">
        <v>295</v>
      </c>
      <c r="B85" t="s">
        <v>323</v>
      </c>
      <c r="C85" t="s">
        <v>297</v>
      </c>
      <c r="D85" t="s">
        <v>190</v>
      </c>
      <c r="E85" t="s">
        <v>37</v>
      </c>
      <c r="F85">
        <v>1756</v>
      </c>
      <c r="G85">
        <v>417</v>
      </c>
      <c r="H85" t="s">
        <v>298</v>
      </c>
      <c r="I85" t="s">
        <v>39</v>
      </c>
      <c r="J85" t="s">
        <v>299</v>
      </c>
      <c r="K85" t="s">
        <v>38</v>
      </c>
      <c r="L85" t="s">
        <v>38</v>
      </c>
      <c r="M85" t="s">
        <v>38</v>
      </c>
      <c r="N85" t="s">
        <v>38</v>
      </c>
      <c r="O85" t="s">
        <v>57</v>
      </c>
      <c r="P85" t="s">
        <v>42</v>
      </c>
      <c r="Q85" t="s">
        <v>43</v>
      </c>
      <c r="R85" t="s">
        <v>89</v>
      </c>
      <c r="S85" t="s">
        <v>38</v>
      </c>
      <c r="T85" t="s">
        <v>89</v>
      </c>
      <c r="U85" t="s">
        <v>301</v>
      </c>
      <c r="V85" t="s">
        <v>137</v>
      </c>
      <c r="W85" t="s">
        <v>92</v>
      </c>
      <c r="X85" t="s">
        <v>302</v>
      </c>
      <c r="Y85" t="s">
        <v>322</v>
      </c>
      <c r="Z85" t="s">
        <v>42</v>
      </c>
      <c r="AA85" t="s">
        <v>38</v>
      </c>
      <c r="AB85" t="s">
        <v>38</v>
      </c>
      <c r="AC85" t="s">
        <v>324</v>
      </c>
      <c r="AD85" t="s">
        <v>48</v>
      </c>
      <c r="AG85" t="str">
        <f>IF(AD85="United States", IFERROR(INDEX(Sheet2!$C:$C, MATCH(AE85&amp;AF85, Sheet2!$E:$E, 0)) &amp; ", " &amp; INDEX(Sheet2!$D:$D, MATCH(AE85&amp;AF85, Sheet2!$E:$E, 0)), ""), "-")</f>
        <v/>
      </c>
    </row>
    <row r="86" spans="1:33" x14ac:dyDescent="0.25">
      <c r="A86" t="s">
        <v>295</v>
      </c>
      <c r="B86" t="s">
        <v>325</v>
      </c>
      <c r="C86" t="s">
        <v>297</v>
      </c>
      <c r="D86" t="s">
        <v>226</v>
      </c>
      <c r="E86" t="s">
        <v>326</v>
      </c>
      <c r="F86">
        <v>1738</v>
      </c>
      <c r="G86">
        <v>418</v>
      </c>
      <c r="H86" t="s">
        <v>298</v>
      </c>
      <c r="I86" t="s">
        <v>39</v>
      </c>
      <c r="J86" t="s">
        <v>299</v>
      </c>
      <c r="K86" t="s">
        <v>38</v>
      </c>
      <c r="L86" t="s">
        <v>38</v>
      </c>
      <c r="M86" t="s">
        <v>38</v>
      </c>
      <c r="N86" t="s">
        <v>38</v>
      </c>
      <c r="O86" t="s">
        <v>41</v>
      </c>
      <c r="P86" t="s">
        <v>42</v>
      </c>
      <c r="Q86" t="s">
        <v>43</v>
      </c>
      <c r="R86" t="s">
        <v>89</v>
      </c>
      <c r="S86" t="s">
        <v>38</v>
      </c>
      <c r="T86" t="s">
        <v>89</v>
      </c>
      <c r="U86" t="s">
        <v>301</v>
      </c>
      <c r="V86" t="s">
        <v>137</v>
      </c>
      <c r="W86" t="s">
        <v>92</v>
      </c>
      <c r="X86" t="s">
        <v>302</v>
      </c>
      <c r="Y86" t="s">
        <v>327</v>
      </c>
      <c r="Z86" t="s">
        <v>42</v>
      </c>
      <c r="AA86" t="s">
        <v>38</v>
      </c>
      <c r="AB86" t="s">
        <v>38</v>
      </c>
      <c r="AC86" t="s">
        <v>166</v>
      </c>
      <c r="AD86" t="s">
        <v>48</v>
      </c>
      <c r="AG86" t="str">
        <f>IF(AD86="United States", IFERROR(INDEX(Sheet2!$C:$C, MATCH(AE86&amp;AF86, Sheet2!$E:$E, 0)) &amp; ", " &amp; INDEX(Sheet2!$D:$D, MATCH(AE86&amp;AF86, Sheet2!$E:$E, 0)), ""), "-")</f>
        <v/>
      </c>
    </row>
    <row r="87" spans="1:33" x14ac:dyDescent="0.25">
      <c r="A87" t="s">
        <v>295</v>
      </c>
      <c r="B87" t="s">
        <v>328</v>
      </c>
      <c r="C87" t="s">
        <v>311</v>
      </c>
      <c r="D87" t="s">
        <v>256</v>
      </c>
      <c r="E87" t="s">
        <v>38</v>
      </c>
      <c r="F87">
        <v>1776</v>
      </c>
      <c r="G87">
        <v>1799</v>
      </c>
      <c r="H87" t="s">
        <v>313</v>
      </c>
      <c r="I87" t="s">
        <v>80</v>
      </c>
      <c r="J87" t="s">
        <v>38</v>
      </c>
      <c r="K87" t="s">
        <v>38</v>
      </c>
      <c r="L87" t="s">
        <v>38</v>
      </c>
      <c r="M87" t="s">
        <v>38</v>
      </c>
      <c r="N87" t="s">
        <v>38</v>
      </c>
      <c r="O87" t="s">
        <v>54</v>
      </c>
      <c r="P87" t="s">
        <v>42</v>
      </c>
      <c r="Q87" t="s">
        <v>43</v>
      </c>
      <c r="R87" t="s">
        <v>89</v>
      </c>
      <c r="S87" t="s">
        <v>38</v>
      </c>
      <c r="T87" t="s">
        <v>89</v>
      </c>
      <c r="U87" t="s">
        <v>301</v>
      </c>
      <c r="V87" t="s">
        <v>38</v>
      </c>
      <c r="W87" t="s">
        <v>92</v>
      </c>
      <c r="X87" t="s">
        <v>302</v>
      </c>
      <c r="Y87" t="s">
        <v>38</v>
      </c>
      <c r="Z87" t="s">
        <v>42</v>
      </c>
      <c r="AA87" t="s">
        <v>38</v>
      </c>
      <c r="AB87" t="s">
        <v>38</v>
      </c>
      <c r="AC87" t="s">
        <v>38</v>
      </c>
      <c r="AD87" t="s">
        <v>48</v>
      </c>
      <c r="AG87" t="str">
        <f>IF(AD87="United States", IFERROR(INDEX(Sheet2!$C:$C, MATCH(AE87&amp;AF87, Sheet2!$E:$E, 0)) &amp; ", " &amp; INDEX(Sheet2!$D:$D, MATCH(AE87&amp;AF87, Sheet2!$E:$E, 0)), ""), "-")</f>
        <v/>
      </c>
    </row>
    <row r="88" spans="1:33" x14ac:dyDescent="0.25">
      <c r="A88" t="s">
        <v>295</v>
      </c>
      <c r="B88" t="s">
        <v>329</v>
      </c>
      <c r="C88" t="s">
        <v>297</v>
      </c>
      <c r="D88" t="s">
        <v>193</v>
      </c>
      <c r="E88" t="s">
        <v>330</v>
      </c>
      <c r="F88">
        <v>1745</v>
      </c>
      <c r="G88">
        <v>420</v>
      </c>
      <c r="H88" t="s">
        <v>298</v>
      </c>
      <c r="I88" t="s">
        <v>39</v>
      </c>
      <c r="J88" t="s">
        <v>299</v>
      </c>
      <c r="K88" t="s">
        <v>38</v>
      </c>
      <c r="L88" t="s">
        <v>38</v>
      </c>
      <c r="M88" t="s">
        <v>38</v>
      </c>
      <c r="N88" t="s">
        <v>38</v>
      </c>
      <c r="O88" t="s">
        <v>41</v>
      </c>
      <c r="P88" t="s">
        <v>42</v>
      </c>
      <c r="Q88" t="s">
        <v>43</v>
      </c>
      <c r="R88" t="s">
        <v>89</v>
      </c>
      <c r="S88" t="s">
        <v>89</v>
      </c>
      <c r="T88" t="s">
        <v>89</v>
      </c>
      <c r="U88" t="s">
        <v>301</v>
      </c>
      <c r="V88" t="s">
        <v>137</v>
      </c>
      <c r="W88" t="s">
        <v>92</v>
      </c>
      <c r="X88" t="s">
        <v>302</v>
      </c>
      <c r="Y88" t="s">
        <v>331</v>
      </c>
      <c r="Z88" t="s">
        <v>42</v>
      </c>
      <c r="AA88" t="s">
        <v>38</v>
      </c>
      <c r="AB88" t="s">
        <v>38</v>
      </c>
      <c r="AC88" t="s">
        <v>332</v>
      </c>
      <c r="AD88" t="s">
        <v>48</v>
      </c>
      <c r="AG88" t="str">
        <f>IF(AD88="United States", IFERROR(INDEX(Sheet2!$C:$C, MATCH(AE88&amp;AF88, Sheet2!$E:$E, 0)) &amp; ", " &amp; INDEX(Sheet2!$D:$D, MATCH(AE88&amp;AF88, Sheet2!$E:$E, 0)), ""), "-")</f>
        <v/>
      </c>
    </row>
    <row r="89" spans="1:33" x14ac:dyDescent="0.25">
      <c r="A89" t="s">
        <v>295</v>
      </c>
      <c r="B89" t="s">
        <v>333</v>
      </c>
      <c r="C89" t="s">
        <v>297</v>
      </c>
      <c r="D89" t="s">
        <v>334</v>
      </c>
      <c r="E89" t="s">
        <v>335</v>
      </c>
      <c r="F89">
        <v>1750</v>
      </c>
      <c r="G89">
        <v>429</v>
      </c>
      <c r="H89" t="s">
        <v>298</v>
      </c>
      <c r="I89" t="s">
        <v>39</v>
      </c>
      <c r="J89" t="s">
        <v>299</v>
      </c>
      <c r="K89" t="s">
        <v>38</v>
      </c>
      <c r="L89" t="s">
        <v>38</v>
      </c>
      <c r="M89" t="s">
        <v>38</v>
      </c>
      <c r="N89" t="s">
        <v>38</v>
      </c>
      <c r="O89" t="s">
        <v>41</v>
      </c>
      <c r="P89" t="s">
        <v>42</v>
      </c>
      <c r="Q89" t="s">
        <v>43</v>
      </c>
      <c r="R89" t="s">
        <v>89</v>
      </c>
      <c r="S89" t="s">
        <v>38</v>
      </c>
      <c r="T89" t="s">
        <v>89</v>
      </c>
      <c r="U89" t="s">
        <v>301</v>
      </c>
      <c r="V89" t="s">
        <v>137</v>
      </c>
      <c r="W89" t="s">
        <v>92</v>
      </c>
      <c r="X89" t="s">
        <v>302</v>
      </c>
      <c r="Y89" t="s">
        <v>336</v>
      </c>
      <c r="Z89" t="s">
        <v>42</v>
      </c>
      <c r="AA89" t="s">
        <v>38</v>
      </c>
      <c r="AB89" t="s">
        <v>38</v>
      </c>
      <c r="AC89" t="s">
        <v>38</v>
      </c>
      <c r="AD89" t="s">
        <v>48</v>
      </c>
      <c r="AG89" t="str">
        <f>IF(AD89="United States", IFERROR(INDEX(Sheet2!$C:$C, MATCH(AE89&amp;AF89, Sheet2!$E:$E, 0)) &amp; ", " &amp; INDEX(Sheet2!$D:$D, MATCH(AE89&amp;AF89, Sheet2!$E:$E, 0)), ""), "-")</f>
        <v/>
      </c>
    </row>
    <row r="90" spans="1:33" x14ac:dyDescent="0.25">
      <c r="A90" t="s">
        <v>295</v>
      </c>
      <c r="B90" t="s">
        <v>337</v>
      </c>
      <c r="C90" t="s">
        <v>297</v>
      </c>
      <c r="D90" t="s">
        <v>210</v>
      </c>
      <c r="E90" t="s">
        <v>338</v>
      </c>
      <c r="F90">
        <v>1754</v>
      </c>
      <c r="G90">
        <v>428</v>
      </c>
      <c r="H90" t="s">
        <v>298</v>
      </c>
      <c r="I90" t="s">
        <v>39</v>
      </c>
      <c r="J90" t="s">
        <v>299</v>
      </c>
      <c r="K90" t="s">
        <v>38</v>
      </c>
      <c r="L90" t="s">
        <v>38</v>
      </c>
      <c r="M90" t="s">
        <v>38</v>
      </c>
      <c r="N90" t="s">
        <v>38</v>
      </c>
      <c r="O90" t="s">
        <v>41</v>
      </c>
      <c r="P90" t="s">
        <v>42</v>
      </c>
      <c r="Q90" t="s">
        <v>43</v>
      </c>
      <c r="R90" t="s">
        <v>89</v>
      </c>
      <c r="S90" t="s">
        <v>38</v>
      </c>
      <c r="T90" t="s">
        <v>89</v>
      </c>
      <c r="U90" t="s">
        <v>301</v>
      </c>
      <c r="V90" t="s">
        <v>137</v>
      </c>
      <c r="W90" t="s">
        <v>92</v>
      </c>
      <c r="X90" t="s">
        <v>302</v>
      </c>
      <c r="Y90" t="s">
        <v>339</v>
      </c>
      <c r="Z90" t="s">
        <v>42</v>
      </c>
      <c r="AA90" t="s">
        <v>38</v>
      </c>
      <c r="AB90" t="s">
        <v>38</v>
      </c>
      <c r="AC90" t="s">
        <v>340</v>
      </c>
      <c r="AD90" t="s">
        <v>340</v>
      </c>
      <c r="AG90" t="str">
        <f>IF(AD90="United States", IFERROR(INDEX(Sheet2!$C:$C, MATCH(AE90&amp;AF90, Sheet2!$E:$E, 0)) &amp; ", " &amp; INDEX(Sheet2!$D:$D, MATCH(AE90&amp;AF90, Sheet2!$E:$E, 0)), ""), "52.5310214, -1.2649062")</f>
        <v>52.5310214, -1.2649062</v>
      </c>
    </row>
    <row r="91" spans="1:33" x14ac:dyDescent="0.25">
      <c r="A91" t="s">
        <v>295</v>
      </c>
      <c r="B91" t="s">
        <v>341</v>
      </c>
      <c r="C91" t="s">
        <v>297</v>
      </c>
      <c r="D91" t="s">
        <v>226</v>
      </c>
      <c r="E91" t="s">
        <v>300</v>
      </c>
      <c r="F91">
        <v>1778</v>
      </c>
      <c r="G91">
        <v>427</v>
      </c>
      <c r="H91" t="s">
        <v>298</v>
      </c>
      <c r="I91" t="s">
        <v>39</v>
      </c>
      <c r="J91" t="s">
        <v>299</v>
      </c>
      <c r="K91" t="s">
        <v>38</v>
      </c>
      <c r="L91" t="s">
        <v>38</v>
      </c>
      <c r="M91" t="s">
        <v>38</v>
      </c>
      <c r="N91" t="s">
        <v>38</v>
      </c>
      <c r="O91" t="s">
        <v>54</v>
      </c>
      <c r="P91" t="s">
        <v>42</v>
      </c>
      <c r="Q91" t="s">
        <v>43</v>
      </c>
      <c r="R91" t="s">
        <v>89</v>
      </c>
      <c r="S91" t="s">
        <v>38</v>
      </c>
      <c r="T91" t="s">
        <v>89</v>
      </c>
      <c r="U91" t="s">
        <v>301</v>
      </c>
      <c r="V91" t="s">
        <v>137</v>
      </c>
      <c r="W91" t="s">
        <v>92</v>
      </c>
      <c r="X91" t="s">
        <v>302</v>
      </c>
      <c r="Y91" t="s">
        <v>322</v>
      </c>
      <c r="Z91" t="s">
        <v>42</v>
      </c>
      <c r="AA91" t="s">
        <v>38</v>
      </c>
      <c r="AB91" t="s">
        <v>38</v>
      </c>
      <c r="AC91" t="s">
        <v>155</v>
      </c>
      <c r="AD91" t="s">
        <v>48</v>
      </c>
      <c r="AG91" t="str">
        <f>IF(AD91="United States", IFERROR(INDEX(Sheet2!$C:$C, MATCH(AE91&amp;AF91, Sheet2!$E:$E, 0)) &amp; ", " &amp; INDEX(Sheet2!$D:$D, MATCH(AE91&amp;AF91, Sheet2!$E:$E, 0)), ""), "-")</f>
        <v/>
      </c>
    </row>
    <row r="92" spans="1:33" x14ac:dyDescent="0.25">
      <c r="A92" t="s">
        <v>295</v>
      </c>
      <c r="B92" t="s">
        <v>342</v>
      </c>
      <c r="C92" t="s">
        <v>297</v>
      </c>
      <c r="D92" t="s">
        <v>343</v>
      </c>
      <c r="E92" t="s">
        <v>344</v>
      </c>
      <c r="F92">
        <v>1759</v>
      </c>
      <c r="G92">
        <v>431</v>
      </c>
      <c r="H92" t="s">
        <v>298</v>
      </c>
      <c r="I92" t="s">
        <v>39</v>
      </c>
      <c r="J92" t="s">
        <v>299</v>
      </c>
      <c r="K92" t="s">
        <v>38</v>
      </c>
      <c r="L92" t="s">
        <v>38</v>
      </c>
      <c r="M92" t="s">
        <v>38</v>
      </c>
      <c r="N92" t="s">
        <v>38</v>
      </c>
      <c r="O92" t="s">
        <v>41</v>
      </c>
      <c r="P92" t="s">
        <v>42</v>
      </c>
      <c r="Q92" t="s">
        <v>43</v>
      </c>
      <c r="R92" t="s">
        <v>89</v>
      </c>
      <c r="S92" t="s">
        <v>201</v>
      </c>
      <c r="T92" t="s">
        <v>89</v>
      </c>
      <c r="U92" t="s">
        <v>301</v>
      </c>
      <c r="V92" t="s">
        <v>137</v>
      </c>
      <c r="W92" t="s">
        <v>92</v>
      </c>
      <c r="X92" t="s">
        <v>302</v>
      </c>
      <c r="Y92" t="s">
        <v>303</v>
      </c>
      <c r="Z92" t="s">
        <v>42</v>
      </c>
      <c r="AA92" t="s">
        <v>345</v>
      </c>
      <c r="AB92" t="s">
        <v>38</v>
      </c>
      <c r="AC92" t="s">
        <v>201</v>
      </c>
      <c r="AD92" t="s">
        <v>48</v>
      </c>
      <c r="AG92" t="str">
        <f>IF(AD92="United States", IFERROR(INDEX(Sheet2!$C:$C, MATCH(AE92&amp;AF92, Sheet2!$E:$E, 0)) &amp; ", " &amp; INDEX(Sheet2!$D:$D, MATCH(AE92&amp;AF92, Sheet2!$E:$E, 0)), ""), "-")</f>
        <v/>
      </c>
    </row>
    <row r="93" spans="1:33" x14ac:dyDescent="0.25">
      <c r="A93" t="s">
        <v>295</v>
      </c>
      <c r="B93" t="s">
        <v>346</v>
      </c>
      <c r="C93" t="s">
        <v>297</v>
      </c>
      <c r="D93" t="s">
        <v>222</v>
      </c>
      <c r="E93" t="s">
        <v>300</v>
      </c>
      <c r="F93">
        <v>1749</v>
      </c>
      <c r="G93">
        <v>426</v>
      </c>
      <c r="H93" t="s">
        <v>298</v>
      </c>
      <c r="I93" t="s">
        <v>39</v>
      </c>
      <c r="J93" t="s">
        <v>299</v>
      </c>
      <c r="K93" t="s">
        <v>38</v>
      </c>
      <c r="L93" t="s">
        <v>38</v>
      </c>
      <c r="M93" t="s">
        <v>38</v>
      </c>
      <c r="N93" t="s">
        <v>38</v>
      </c>
      <c r="O93" t="s">
        <v>57</v>
      </c>
      <c r="P93" t="s">
        <v>42</v>
      </c>
      <c r="Q93" t="s">
        <v>43</v>
      </c>
      <c r="R93" t="s">
        <v>89</v>
      </c>
      <c r="S93" t="s">
        <v>38</v>
      </c>
      <c r="T93" t="s">
        <v>89</v>
      </c>
      <c r="U93" t="s">
        <v>301</v>
      </c>
      <c r="V93" t="s">
        <v>137</v>
      </c>
      <c r="W93" t="s">
        <v>92</v>
      </c>
      <c r="X93" t="s">
        <v>302</v>
      </c>
      <c r="Y93" t="s">
        <v>322</v>
      </c>
      <c r="Z93" t="s">
        <v>42</v>
      </c>
      <c r="AA93" t="s">
        <v>38</v>
      </c>
      <c r="AB93" t="s">
        <v>38</v>
      </c>
      <c r="AC93" t="s">
        <v>155</v>
      </c>
      <c r="AD93" t="s">
        <v>48</v>
      </c>
      <c r="AG93" t="str">
        <f>IF(AD93="United States", IFERROR(INDEX(Sheet2!$C:$C, MATCH(AE93&amp;AF93, Sheet2!$E:$E, 0)) &amp; ", " &amp; INDEX(Sheet2!$D:$D, MATCH(AE93&amp;AF93, Sheet2!$E:$E, 0)), ""), "-")</f>
        <v/>
      </c>
    </row>
    <row r="94" spans="1:33" x14ac:dyDescent="0.25">
      <c r="A94" t="s">
        <v>295</v>
      </c>
      <c r="B94" t="s">
        <v>347</v>
      </c>
      <c r="C94" t="s">
        <v>297</v>
      </c>
      <c r="D94" t="s">
        <v>348</v>
      </c>
      <c r="E94" t="s">
        <v>349</v>
      </c>
      <c r="F94">
        <v>1743</v>
      </c>
      <c r="G94">
        <v>425</v>
      </c>
      <c r="H94" t="s">
        <v>298</v>
      </c>
      <c r="I94" t="s">
        <v>39</v>
      </c>
      <c r="J94" t="s">
        <v>299</v>
      </c>
      <c r="K94" t="s">
        <v>38</v>
      </c>
      <c r="L94" t="s">
        <v>38</v>
      </c>
      <c r="M94" t="s">
        <v>38</v>
      </c>
      <c r="N94" t="s">
        <v>38</v>
      </c>
      <c r="O94" t="s">
        <v>57</v>
      </c>
      <c r="P94" t="s">
        <v>42</v>
      </c>
      <c r="Q94" t="s">
        <v>43</v>
      </c>
      <c r="R94" t="s">
        <v>89</v>
      </c>
      <c r="S94" t="s">
        <v>38</v>
      </c>
      <c r="T94" t="s">
        <v>89</v>
      </c>
      <c r="U94" t="s">
        <v>301</v>
      </c>
      <c r="V94" t="s">
        <v>137</v>
      </c>
      <c r="W94" t="s">
        <v>92</v>
      </c>
      <c r="X94" t="s">
        <v>302</v>
      </c>
      <c r="Y94" t="s">
        <v>350</v>
      </c>
      <c r="Z94" t="s">
        <v>42</v>
      </c>
      <c r="AA94" t="s">
        <v>38</v>
      </c>
      <c r="AB94" t="s">
        <v>38</v>
      </c>
      <c r="AC94" t="s">
        <v>155</v>
      </c>
      <c r="AD94" t="s">
        <v>48</v>
      </c>
      <c r="AG94" t="str">
        <f>IF(AD94="United States", IFERROR(INDEX(Sheet2!$C:$C, MATCH(AE94&amp;AF94, Sheet2!$E:$E, 0)) &amp; ", " &amp; INDEX(Sheet2!$D:$D, MATCH(AE94&amp;AF94, Sheet2!$E:$E, 0)), ""), "-")</f>
        <v/>
      </c>
    </row>
    <row r="95" spans="1:33" x14ac:dyDescent="0.25">
      <c r="A95" t="s">
        <v>295</v>
      </c>
      <c r="B95" t="s">
        <v>351</v>
      </c>
      <c r="C95" t="s">
        <v>297</v>
      </c>
      <c r="D95" t="s">
        <v>352</v>
      </c>
      <c r="E95" t="s">
        <v>353</v>
      </c>
      <c r="F95">
        <v>1749</v>
      </c>
      <c r="G95">
        <v>419</v>
      </c>
      <c r="H95" t="s">
        <v>298</v>
      </c>
      <c r="I95" t="s">
        <v>39</v>
      </c>
      <c r="J95" t="s">
        <v>299</v>
      </c>
      <c r="K95" t="s">
        <v>38</v>
      </c>
      <c r="L95" t="s">
        <v>38</v>
      </c>
      <c r="M95" t="s">
        <v>38</v>
      </c>
      <c r="N95" t="s">
        <v>38</v>
      </c>
      <c r="O95" t="s">
        <v>57</v>
      </c>
      <c r="P95" t="s">
        <v>42</v>
      </c>
      <c r="Q95" t="s">
        <v>43</v>
      </c>
      <c r="R95" t="s">
        <v>89</v>
      </c>
      <c r="S95" t="s">
        <v>89</v>
      </c>
      <c r="T95" t="s">
        <v>89</v>
      </c>
      <c r="U95" t="s">
        <v>301</v>
      </c>
      <c r="V95" t="s">
        <v>137</v>
      </c>
      <c r="W95" t="s">
        <v>92</v>
      </c>
      <c r="X95" t="s">
        <v>302</v>
      </c>
      <c r="Y95" t="s">
        <v>327</v>
      </c>
      <c r="Z95" t="s">
        <v>42</v>
      </c>
      <c r="AA95" t="s">
        <v>354</v>
      </c>
      <c r="AB95" t="s">
        <v>38</v>
      </c>
      <c r="AC95" t="s">
        <v>332</v>
      </c>
      <c r="AD95" t="s">
        <v>48</v>
      </c>
      <c r="AG95" t="str">
        <f>IF(AD95="United States", IFERROR(INDEX(Sheet2!$C:$C, MATCH(AE95&amp;AF95, Sheet2!$E:$E, 0)) &amp; ", " &amp; INDEX(Sheet2!$D:$D, MATCH(AE95&amp;AF95, Sheet2!$E:$E, 0)), ""), "-")</f>
        <v/>
      </c>
    </row>
    <row r="96" spans="1:33" x14ac:dyDescent="0.25">
      <c r="A96" t="s">
        <v>295</v>
      </c>
      <c r="B96" t="s">
        <v>355</v>
      </c>
      <c r="C96" t="s">
        <v>297</v>
      </c>
      <c r="D96" t="s">
        <v>72</v>
      </c>
      <c r="E96" t="s">
        <v>164</v>
      </c>
      <c r="F96">
        <v>1760</v>
      </c>
      <c r="G96">
        <v>430</v>
      </c>
      <c r="H96" t="s">
        <v>298</v>
      </c>
      <c r="I96" t="s">
        <v>39</v>
      </c>
      <c r="J96" t="s">
        <v>299</v>
      </c>
      <c r="K96" t="s">
        <v>334</v>
      </c>
      <c r="L96" t="s">
        <v>335</v>
      </c>
      <c r="M96" t="s">
        <v>38</v>
      </c>
      <c r="N96" t="s">
        <v>38</v>
      </c>
      <c r="O96" t="s">
        <v>74</v>
      </c>
      <c r="P96" t="s">
        <v>42</v>
      </c>
      <c r="Q96" t="s">
        <v>43</v>
      </c>
      <c r="R96" t="s">
        <v>89</v>
      </c>
      <c r="S96" t="s">
        <v>201</v>
      </c>
      <c r="T96" t="s">
        <v>89</v>
      </c>
      <c r="U96" t="s">
        <v>301</v>
      </c>
      <c r="V96" t="s">
        <v>137</v>
      </c>
      <c r="W96" t="s">
        <v>92</v>
      </c>
      <c r="X96" t="s">
        <v>302</v>
      </c>
      <c r="Y96" t="s">
        <v>336</v>
      </c>
      <c r="Z96" t="s">
        <v>42</v>
      </c>
      <c r="AA96" t="s">
        <v>38</v>
      </c>
      <c r="AB96" t="s">
        <v>38</v>
      </c>
      <c r="AC96" t="s">
        <v>201</v>
      </c>
      <c r="AD96" t="s">
        <v>48</v>
      </c>
      <c r="AG96" t="str">
        <f>IF(AD96="United States", IFERROR(INDEX(Sheet2!$C:$C, MATCH(AE96&amp;AF96, Sheet2!$E:$E, 0)) &amp; ", " &amp; INDEX(Sheet2!$D:$D, MATCH(AE96&amp;AF96, Sheet2!$E:$E, 0)), ""), "-")</f>
        <v/>
      </c>
    </row>
    <row r="97" spans="1:33" x14ac:dyDescent="0.25">
      <c r="A97" t="s">
        <v>295</v>
      </c>
      <c r="B97" t="s">
        <v>356</v>
      </c>
      <c r="C97" t="s">
        <v>297</v>
      </c>
      <c r="D97" t="s">
        <v>357</v>
      </c>
      <c r="E97" t="s">
        <v>349</v>
      </c>
      <c r="F97">
        <v>1743</v>
      </c>
      <c r="G97">
        <v>424</v>
      </c>
      <c r="H97" t="s">
        <v>298</v>
      </c>
      <c r="I97" t="s">
        <v>39</v>
      </c>
      <c r="J97" t="s">
        <v>299</v>
      </c>
      <c r="K97" t="s">
        <v>38</v>
      </c>
      <c r="L97" t="s">
        <v>38</v>
      </c>
      <c r="M97" t="s">
        <v>38</v>
      </c>
      <c r="N97" t="s">
        <v>38</v>
      </c>
      <c r="O97" t="s">
        <v>41</v>
      </c>
      <c r="P97" t="s">
        <v>42</v>
      </c>
      <c r="Q97" t="s">
        <v>43</v>
      </c>
      <c r="R97" t="s">
        <v>89</v>
      </c>
      <c r="S97" t="s">
        <v>38</v>
      </c>
      <c r="T97" t="s">
        <v>89</v>
      </c>
      <c r="U97" t="s">
        <v>301</v>
      </c>
      <c r="V97" t="s">
        <v>137</v>
      </c>
      <c r="W97" t="s">
        <v>92</v>
      </c>
      <c r="X97" t="s">
        <v>302</v>
      </c>
      <c r="Y97" t="s">
        <v>350</v>
      </c>
      <c r="Z97" t="s">
        <v>42</v>
      </c>
      <c r="AA97" t="s">
        <v>38</v>
      </c>
      <c r="AB97" t="s">
        <v>38</v>
      </c>
      <c r="AC97" t="s">
        <v>155</v>
      </c>
      <c r="AD97" t="s">
        <v>48</v>
      </c>
      <c r="AG97" t="str">
        <f>IF(AD97="United States", IFERROR(INDEX(Sheet2!$C:$C, MATCH(AE97&amp;AF97, Sheet2!$E:$E, 0)) &amp; ", " &amp; INDEX(Sheet2!$D:$D, MATCH(AE97&amp;AF97, Sheet2!$E:$E, 0)), ""), "-")</f>
        <v/>
      </c>
    </row>
    <row r="98" spans="1:33" x14ac:dyDescent="0.25">
      <c r="A98" t="s">
        <v>295</v>
      </c>
      <c r="B98" t="s">
        <v>358</v>
      </c>
      <c r="C98" t="s">
        <v>297</v>
      </c>
      <c r="D98" t="s">
        <v>359</v>
      </c>
      <c r="E98" t="s">
        <v>38</v>
      </c>
      <c r="F98">
        <v>1755</v>
      </c>
      <c r="G98">
        <v>423</v>
      </c>
      <c r="H98" t="s">
        <v>298</v>
      </c>
      <c r="I98" t="s">
        <v>39</v>
      </c>
      <c r="J98" t="s">
        <v>299</v>
      </c>
      <c r="K98" t="s">
        <v>38</v>
      </c>
      <c r="L98" t="s">
        <v>38</v>
      </c>
      <c r="M98" t="s">
        <v>38</v>
      </c>
      <c r="N98" t="s">
        <v>38</v>
      </c>
      <c r="O98" t="s">
        <v>57</v>
      </c>
      <c r="P98" t="s">
        <v>42</v>
      </c>
      <c r="Q98" t="s">
        <v>43</v>
      </c>
      <c r="R98" t="s">
        <v>89</v>
      </c>
      <c r="S98" t="s">
        <v>38</v>
      </c>
      <c r="T98" t="s">
        <v>89</v>
      </c>
      <c r="U98" t="s">
        <v>301</v>
      </c>
      <c r="V98" t="s">
        <v>137</v>
      </c>
      <c r="W98" t="s">
        <v>92</v>
      </c>
      <c r="X98" t="s">
        <v>302</v>
      </c>
      <c r="Y98" t="s">
        <v>350</v>
      </c>
      <c r="Z98" t="s">
        <v>42</v>
      </c>
      <c r="AA98" t="s">
        <v>38</v>
      </c>
      <c r="AB98" t="s">
        <v>38</v>
      </c>
      <c r="AC98" t="s">
        <v>155</v>
      </c>
      <c r="AD98" t="s">
        <v>48</v>
      </c>
      <c r="AG98" t="str">
        <f>IF(AD98="United States", IFERROR(INDEX(Sheet2!$C:$C, MATCH(AE98&amp;AF98, Sheet2!$E:$E, 0)) &amp; ", " &amp; INDEX(Sheet2!$D:$D, MATCH(AE98&amp;AF98, Sheet2!$E:$E, 0)), ""), "-")</f>
        <v/>
      </c>
    </row>
    <row r="99" spans="1:33" x14ac:dyDescent="0.25">
      <c r="A99" t="s">
        <v>295</v>
      </c>
      <c r="B99" t="s">
        <v>360</v>
      </c>
      <c r="C99" t="s">
        <v>297</v>
      </c>
      <c r="D99" t="s">
        <v>361</v>
      </c>
      <c r="E99" t="s">
        <v>275</v>
      </c>
      <c r="F99">
        <v>1758</v>
      </c>
      <c r="G99">
        <v>422</v>
      </c>
      <c r="H99" t="s">
        <v>298</v>
      </c>
      <c r="I99" t="s">
        <v>39</v>
      </c>
      <c r="J99" t="s">
        <v>299</v>
      </c>
      <c r="K99" t="s">
        <v>38</v>
      </c>
      <c r="L99" t="s">
        <v>38</v>
      </c>
      <c r="M99" t="s">
        <v>38</v>
      </c>
      <c r="N99" t="s">
        <v>38</v>
      </c>
      <c r="O99" t="s">
        <v>41</v>
      </c>
      <c r="P99" t="s">
        <v>42</v>
      </c>
      <c r="Q99" t="s">
        <v>43</v>
      </c>
      <c r="R99" t="s">
        <v>89</v>
      </c>
      <c r="S99" t="s">
        <v>38</v>
      </c>
      <c r="T99" t="s">
        <v>89</v>
      </c>
      <c r="U99" t="s">
        <v>301</v>
      </c>
      <c r="V99" t="s">
        <v>137</v>
      </c>
      <c r="W99" t="s">
        <v>92</v>
      </c>
      <c r="X99" t="s">
        <v>302</v>
      </c>
      <c r="Y99" t="s">
        <v>350</v>
      </c>
      <c r="Z99" t="s">
        <v>42</v>
      </c>
      <c r="AA99" t="s">
        <v>38</v>
      </c>
      <c r="AB99" t="s">
        <v>38</v>
      </c>
      <c r="AC99" t="s">
        <v>155</v>
      </c>
      <c r="AD99" t="s">
        <v>48</v>
      </c>
      <c r="AG99" t="str">
        <f>IF(AD99="United States", IFERROR(INDEX(Sheet2!$C:$C, MATCH(AE99&amp;AF99, Sheet2!$E:$E, 0)) &amp; ", " &amp; INDEX(Sheet2!$D:$D, MATCH(AE99&amp;AF99, Sheet2!$E:$E, 0)), ""), "-")</f>
        <v/>
      </c>
    </row>
    <row r="100" spans="1:33" x14ac:dyDescent="0.25">
      <c r="A100" t="s">
        <v>295</v>
      </c>
      <c r="B100" t="s">
        <v>362</v>
      </c>
      <c r="C100" t="s">
        <v>297</v>
      </c>
      <c r="D100" t="s">
        <v>210</v>
      </c>
      <c r="E100" t="s">
        <v>363</v>
      </c>
      <c r="F100">
        <v>1758</v>
      </c>
      <c r="G100">
        <v>421</v>
      </c>
      <c r="H100" t="s">
        <v>298</v>
      </c>
      <c r="I100" t="s">
        <v>39</v>
      </c>
      <c r="J100" t="s">
        <v>299</v>
      </c>
      <c r="K100" t="s">
        <v>38</v>
      </c>
      <c r="L100" t="s">
        <v>38</v>
      </c>
      <c r="M100" t="s">
        <v>38</v>
      </c>
      <c r="N100" t="s">
        <v>38</v>
      </c>
      <c r="O100" t="s">
        <v>41</v>
      </c>
      <c r="P100" t="s">
        <v>42</v>
      </c>
      <c r="Q100" t="s">
        <v>43</v>
      </c>
      <c r="R100" t="s">
        <v>89</v>
      </c>
      <c r="S100" t="s">
        <v>38</v>
      </c>
      <c r="T100" t="s">
        <v>89</v>
      </c>
      <c r="U100" t="s">
        <v>301</v>
      </c>
      <c r="V100" t="s">
        <v>137</v>
      </c>
      <c r="W100" t="s">
        <v>92</v>
      </c>
      <c r="X100" t="s">
        <v>302</v>
      </c>
      <c r="Y100" t="s">
        <v>364</v>
      </c>
      <c r="Z100" t="s">
        <v>42</v>
      </c>
      <c r="AA100" t="s">
        <v>38</v>
      </c>
      <c r="AB100" t="s">
        <v>38</v>
      </c>
      <c r="AC100" t="s">
        <v>365</v>
      </c>
      <c r="AD100" t="s">
        <v>48</v>
      </c>
      <c r="AG100" t="str">
        <f>IF(AD100="United States", IFERROR(INDEX(Sheet2!$C:$C, MATCH(AE100&amp;AF100, Sheet2!$E:$E, 0)) &amp; ", " &amp; INDEX(Sheet2!$D:$D, MATCH(AE100&amp;AF100, Sheet2!$E:$E, 0)), ""), "-")</f>
        <v/>
      </c>
    </row>
    <row r="101" spans="1:33" x14ac:dyDescent="0.25">
      <c r="A101" t="s">
        <v>366</v>
      </c>
      <c r="D101" t="s">
        <v>367</v>
      </c>
      <c r="E101" t="s">
        <v>38</v>
      </c>
      <c r="F101">
        <v>1776</v>
      </c>
      <c r="G101">
        <v>965</v>
      </c>
      <c r="H101">
        <v>41</v>
      </c>
      <c r="J101" t="s">
        <v>368</v>
      </c>
      <c r="O101" t="s">
        <v>54</v>
      </c>
      <c r="R101" t="s">
        <v>89</v>
      </c>
      <c r="T101" t="s">
        <v>89</v>
      </c>
      <c r="U101" t="s">
        <v>301</v>
      </c>
      <c r="V101" t="s">
        <v>369</v>
      </c>
      <c r="W101" t="s">
        <v>92</v>
      </c>
      <c r="X101" t="s">
        <v>302</v>
      </c>
      <c r="Y101" t="s">
        <v>38</v>
      </c>
      <c r="AA101" t="s">
        <v>38</v>
      </c>
      <c r="AB101" t="s">
        <v>38</v>
      </c>
      <c r="AC101" t="s">
        <v>38</v>
      </c>
      <c r="AD101" t="s">
        <v>48</v>
      </c>
      <c r="AG101" t="str">
        <f>IF(AD101="United States", IFERROR(INDEX(Sheet2!$C:$C, MATCH(AE101&amp;AF101, Sheet2!$E:$E, 0)) &amp; ", " &amp; INDEX(Sheet2!$D:$D, MATCH(AE101&amp;AF101, Sheet2!$E:$E, 0)), ""), "-")</f>
        <v/>
      </c>
    </row>
    <row r="102" spans="1:33" x14ac:dyDescent="0.25">
      <c r="A102" t="s">
        <v>366</v>
      </c>
      <c r="D102" t="s">
        <v>113</v>
      </c>
      <c r="E102" t="s">
        <v>370</v>
      </c>
      <c r="F102">
        <v>1757</v>
      </c>
      <c r="G102">
        <v>966</v>
      </c>
      <c r="H102">
        <v>41</v>
      </c>
      <c r="J102" t="s">
        <v>368</v>
      </c>
      <c r="O102" t="s">
        <v>41</v>
      </c>
      <c r="R102" t="s">
        <v>89</v>
      </c>
      <c r="T102" t="s">
        <v>89</v>
      </c>
      <c r="U102" t="s">
        <v>301</v>
      </c>
      <c r="V102" t="s">
        <v>369</v>
      </c>
      <c r="W102" t="s">
        <v>92</v>
      </c>
      <c r="X102" t="s">
        <v>302</v>
      </c>
      <c r="Y102" t="s">
        <v>38</v>
      </c>
      <c r="AA102" t="s">
        <v>38</v>
      </c>
      <c r="AB102" t="s">
        <v>38</v>
      </c>
      <c r="AC102" t="s">
        <v>38</v>
      </c>
      <c r="AD102" t="s">
        <v>48</v>
      </c>
      <c r="AG102" t="str">
        <f>IF(AD102="United States", IFERROR(INDEX(Sheet2!$C:$C, MATCH(AE102&amp;AF102, Sheet2!$E:$E, 0)) &amp; ", " &amp; INDEX(Sheet2!$D:$D, MATCH(AE102&amp;AF102, Sheet2!$E:$E, 0)), ""), "-")</f>
        <v/>
      </c>
    </row>
    <row r="103" spans="1:33" x14ac:dyDescent="0.25">
      <c r="A103" t="s">
        <v>371</v>
      </c>
      <c r="B103" t="s">
        <v>372</v>
      </c>
      <c r="C103" t="s">
        <v>373</v>
      </c>
      <c r="D103" t="s">
        <v>367</v>
      </c>
      <c r="E103" t="s">
        <v>38</v>
      </c>
      <c r="F103">
        <v>1776</v>
      </c>
      <c r="G103">
        <v>882</v>
      </c>
      <c r="H103" t="s">
        <v>38</v>
      </c>
      <c r="I103" t="s">
        <v>80</v>
      </c>
      <c r="J103" t="s">
        <v>38</v>
      </c>
      <c r="K103" t="s">
        <v>38</v>
      </c>
      <c r="L103" t="s">
        <v>38</v>
      </c>
      <c r="M103" t="s">
        <v>38</v>
      </c>
      <c r="N103" t="s">
        <v>38</v>
      </c>
      <c r="O103" t="s">
        <v>54</v>
      </c>
      <c r="P103" t="s">
        <v>42</v>
      </c>
      <c r="Q103" t="s">
        <v>43</v>
      </c>
      <c r="R103" t="s">
        <v>38</v>
      </c>
      <c r="S103" t="s">
        <v>38</v>
      </c>
      <c r="T103" t="s">
        <v>38</v>
      </c>
      <c r="U103" t="s">
        <v>38</v>
      </c>
      <c r="V103" t="s">
        <v>38</v>
      </c>
      <c r="W103" t="s">
        <v>38</v>
      </c>
      <c r="X103" t="s">
        <v>38</v>
      </c>
      <c r="Y103" t="s">
        <v>374</v>
      </c>
      <c r="Z103" t="s">
        <v>42</v>
      </c>
      <c r="AA103" t="s">
        <v>375</v>
      </c>
      <c r="AB103" t="s">
        <v>38</v>
      </c>
      <c r="AC103" t="s">
        <v>376</v>
      </c>
      <c r="AD103" t="s">
        <v>48</v>
      </c>
      <c r="AG103" t="str">
        <f>IF(AD103="United States", IFERROR(INDEX(Sheet2!$C:$C, MATCH(AE103&amp;AF103, Sheet2!$E:$E, 0)) &amp; ", " &amp; INDEX(Sheet2!$D:$D, MATCH(AE103&amp;AF103, Sheet2!$E:$E, 0)), ""), "-")</f>
        <v/>
      </c>
    </row>
    <row r="104" spans="1:33" x14ac:dyDescent="0.25">
      <c r="A104" t="s">
        <v>371</v>
      </c>
      <c r="B104" t="s">
        <v>377</v>
      </c>
      <c r="C104" t="s">
        <v>373</v>
      </c>
      <c r="D104" t="s">
        <v>113</v>
      </c>
      <c r="E104" t="s">
        <v>370</v>
      </c>
      <c r="F104">
        <v>1757</v>
      </c>
      <c r="G104">
        <v>883</v>
      </c>
      <c r="H104" t="s">
        <v>38</v>
      </c>
      <c r="I104" t="s">
        <v>80</v>
      </c>
      <c r="J104" t="s">
        <v>38</v>
      </c>
      <c r="K104" t="s">
        <v>38</v>
      </c>
      <c r="L104" t="s">
        <v>38</v>
      </c>
      <c r="M104" t="s">
        <v>38</v>
      </c>
      <c r="N104" t="s">
        <v>38</v>
      </c>
      <c r="O104" t="s">
        <v>41</v>
      </c>
      <c r="P104" t="s">
        <v>42</v>
      </c>
      <c r="Q104" t="s">
        <v>43</v>
      </c>
      <c r="R104" t="s">
        <v>38</v>
      </c>
      <c r="S104" t="s">
        <v>45</v>
      </c>
      <c r="T104" t="s">
        <v>38</v>
      </c>
      <c r="U104" t="s">
        <v>38</v>
      </c>
      <c r="V104" t="s">
        <v>38</v>
      </c>
      <c r="W104" t="s">
        <v>38</v>
      </c>
      <c r="X104" t="s">
        <v>38</v>
      </c>
      <c r="Y104" t="s">
        <v>38</v>
      </c>
      <c r="Z104" t="s">
        <v>42</v>
      </c>
      <c r="AA104" t="s">
        <v>38</v>
      </c>
      <c r="AB104" t="s">
        <v>38</v>
      </c>
      <c r="AC104" t="s">
        <v>45</v>
      </c>
      <c r="AD104" t="s">
        <v>48</v>
      </c>
      <c r="AG104" t="str">
        <f>IF(AD104="United States", IFERROR(INDEX(Sheet2!$C:$C, MATCH(AE104&amp;AF104, Sheet2!$E:$E, 0)) &amp; ", " &amp; INDEX(Sheet2!$D:$D, MATCH(AE104&amp;AF104, Sheet2!$E:$E, 0)), ""), "-")</f>
        <v/>
      </c>
    </row>
    <row r="105" spans="1:33" x14ac:dyDescent="0.25">
      <c r="A105" t="s">
        <v>371</v>
      </c>
      <c r="B105" t="s">
        <v>372</v>
      </c>
      <c r="C105" t="s">
        <v>373</v>
      </c>
      <c r="D105" t="s">
        <v>367</v>
      </c>
      <c r="E105" t="s">
        <v>38</v>
      </c>
      <c r="F105">
        <v>1776</v>
      </c>
      <c r="G105">
        <v>1158</v>
      </c>
      <c r="H105" t="s">
        <v>38</v>
      </c>
      <c r="I105" t="s">
        <v>80</v>
      </c>
      <c r="J105" t="s">
        <v>38</v>
      </c>
      <c r="K105" t="s">
        <v>38</v>
      </c>
      <c r="L105" t="s">
        <v>38</v>
      </c>
      <c r="M105" t="s">
        <v>38</v>
      </c>
      <c r="N105" t="s">
        <v>38</v>
      </c>
      <c r="O105" t="s">
        <v>54</v>
      </c>
      <c r="P105" t="s">
        <v>42</v>
      </c>
      <c r="Q105" t="s">
        <v>43</v>
      </c>
      <c r="R105" t="s">
        <v>38</v>
      </c>
      <c r="S105" t="s">
        <v>38</v>
      </c>
      <c r="T105" t="s">
        <v>38</v>
      </c>
      <c r="U105" t="s">
        <v>38</v>
      </c>
      <c r="V105" t="s">
        <v>38</v>
      </c>
      <c r="W105" t="s">
        <v>38</v>
      </c>
      <c r="X105" t="s">
        <v>38</v>
      </c>
      <c r="Y105" t="s">
        <v>374</v>
      </c>
      <c r="Z105" t="s">
        <v>42</v>
      </c>
      <c r="AA105" t="s">
        <v>375</v>
      </c>
      <c r="AB105" t="s">
        <v>38</v>
      </c>
      <c r="AC105" t="s">
        <v>376</v>
      </c>
      <c r="AD105" t="s">
        <v>48</v>
      </c>
      <c r="AG105" t="str">
        <f>IF(AD105="United States", IFERROR(INDEX(Sheet2!$C:$C, MATCH(AE105&amp;AF105, Sheet2!$E:$E, 0)) &amp; ", " &amp; INDEX(Sheet2!$D:$D, MATCH(AE105&amp;AF105, Sheet2!$E:$E, 0)), ""), "-")</f>
        <v/>
      </c>
    </row>
    <row r="106" spans="1:33" x14ac:dyDescent="0.25">
      <c r="A106" t="s">
        <v>371</v>
      </c>
      <c r="B106" t="s">
        <v>377</v>
      </c>
      <c r="C106" t="s">
        <v>373</v>
      </c>
      <c r="D106" t="s">
        <v>113</v>
      </c>
      <c r="E106" t="s">
        <v>370</v>
      </c>
      <c r="F106">
        <v>1757</v>
      </c>
      <c r="G106">
        <v>1159</v>
      </c>
      <c r="H106" t="s">
        <v>38</v>
      </c>
      <c r="I106" t="s">
        <v>80</v>
      </c>
      <c r="J106" t="s">
        <v>38</v>
      </c>
      <c r="K106" t="s">
        <v>38</v>
      </c>
      <c r="L106" t="s">
        <v>38</v>
      </c>
      <c r="M106" t="s">
        <v>38</v>
      </c>
      <c r="N106" t="s">
        <v>38</v>
      </c>
      <c r="O106" t="s">
        <v>41</v>
      </c>
      <c r="P106" t="s">
        <v>42</v>
      </c>
      <c r="Q106" t="s">
        <v>43</v>
      </c>
      <c r="R106" t="s">
        <v>38</v>
      </c>
      <c r="S106" t="s">
        <v>45</v>
      </c>
      <c r="T106" t="s">
        <v>38</v>
      </c>
      <c r="U106" t="s">
        <v>38</v>
      </c>
      <c r="V106" t="s">
        <v>38</v>
      </c>
      <c r="W106" t="s">
        <v>38</v>
      </c>
      <c r="X106" t="s">
        <v>38</v>
      </c>
      <c r="Y106" t="s">
        <v>38</v>
      </c>
      <c r="Z106" t="s">
        <v>42</v>
      </c>
      <c r="AA106" t="s">
        <v>38</v>
      </c>
      <c r="AB106" t="s">
        <v>38</v>
      </c>
      <c r="AC106" t="s">
        <v>45</v>
      </c>
      <c r="AD106" t="s">
        <v>48</v>
      </c>
      <c r="AG106" t="str">
        <f>IF(AD106="United States", IFERROR(INDEX(Sheet2!$C:$C, MATCH(AE106&amp;AF106, Sheet2!$E:$E, 0)) &amp; ", " &amp; INDEX(Sheet2!$D:$D, MATCH(AE106&amp;AF106, Sheet2!$E:$E, 0)), ""), "-")</f>
        <v/>
      </c>
    </row>
    <row r="107" spans="1:33" x14ac:dyDescent="0.25">
      <c r="A107" t="s">
        <v>378</v>
      </c>
      <c r="B107" t="s">
        <v>379</v>
      </c>
      <c r="C107" t="s">
        <v>380</v>
      </c>
      <c r="D107" t="s">
        <v>132</v>
      </c>
      <c r="E107" t="s">
        <v>191</v>
      </c>
      <c r="F107">
        <v>1771</v>
      </c>
      <c r="G107">
        <v>823</v>
      </c>
      <c r="H107" t="s">
        <v>381</v>
      </c>
      <c r="I107" t="s">
        <v>39</v>
      </c>
      <c r="J107" t="s">
        <v>382</v>
      </c>
      <c r="K107" t="s">
        <v>38</v>
      </c>
      <c r="L107" t="s">
        <v>38</v>
      </c>
      <c r="M107" t="s">
        <v>38</v>
      </c>
      <c r="N107" t="s">
        <v>38</v>
      </c>
      <c r="O107" t="s">
        <v>54</v>
      </c>
      <c r="P107" t="s">
        <v>42</v>
      </c>
      <c r="Q107" t="s">
        <v>43</v>
      </c>
      <c r="R107" t="s">
        <v>89</v>
      </c>
      <c r="S107" t="s">
        <v>38</v>
      </c>
      <c r="T107" t="s">
        <v>89</v>
      </c>
      <c r="U107" t="s">
        <v>383</v>
      </c>
      <c r="V107" t="s">
        <v>137</v>
      </c>
      <c r="W107" t="s">
        <v>92</v>
      </c>
      <c r="X107" t="s">
        <v>93</v>
      </c>
      <c r="Y107" t="s">
        <v>384</v>
      </c>
      <c r="Z107" t="s">
        <v>42</v>
      </c>
      <c r="AA107" t="s">
        <v>38</v>
      </c>
      <c r="AB107" t="s">
        <v>38</v>
      </c>
      <c r="AC107" t="s">
        <v>385</v>
      </c>
      <c r="AD107" t="s">
        <v>48</v>
      </c>
      <c r="AG107" t="str">
        <f>IF(AD107="United States", IFERROR(INDEX(Sheet2!$C:$C, MATCH(AE107&amp;AF107, Sheet2!$E:$E, 0)) &amp; ", " &amp; INDEX(Sheet2!$D:$D, MATCH(AE107&amp;AF107, Sheet2!$E:$E, 0)), ""), "-")</f>
        <v/>
      </c>
    </row>
    <row r="108" spans="1:33" x14ac:dyDescent="0.25">
      <c r="A108" t="s">
        <v>378</v>
      </c>
      <c r="B108" t="s">
        <v>386</v>
      </c>
      <c r="C108" t="s">
        <v>387</v>
      </c>
      <c r="D108" t="s">
        <v>388</v>
      </c>
      <c r="E108" t="s">
        <v>38</v>
      </c>
      <c r="F108">
        <v>1768</v>
      </c>
      <c r="G108">
        <v>1969</v>
      </c>
      <c r="H108" t="s">
        <v>38</v>
      </c>
      <c r="I108" t="s">
        <v>80</v>
      </c>
      <c r="J108" t="s">
        <v>38</v>
      </c>
      <c r="K108" t="s">
        <v>38</v>
      </c>
      <c r="L108" t="s">
        <v>38</v>
      </c>
      <c r="M108" t="s">
        <v>38</v>
      </c>
      <c r="N108" t="s">
        <v>38</v>
      </c>
      <c r="O108" t="s">
        <v>54</v>
      </c>
      <c r="P108" t="s">
        <v>42</v>
      </c>
      <c r="Q108" t="s">
        <v>43</v>
      </c>
      <c r="R108" t="s">
        <v>38</v>
      </c>
      <c r="S108" t="s">
        <v>38</v>
      </c>
      <c r="T108" t="s">
        <v>38</v>
      </c>
      <c r="U108" t="s">
        <v>38</v>
      </c>
      <c r="V108" t="s">
        <v>91</v>
      </c>
      <c r="W108" t="s">
        <v>38</v>
      </c>
      <c r="X108" t="s">
        <v>38</v>
      </c>
      <c r="Y108" t="s">
        <v>38</v>
      </c>
      <c r="Z108" t="s">
        <v>42</v>
      </c>
      <c r="AA108" t="s">
        <v>38</v>
      </c>
      <c r="AB108" t="s">
        <v>38</v>
      </c>
      <c r="AC108" t="s">
        <v>38</v>
      </c>
      <c r="AD108" t="s">
        <v>48</v>
      </c>
      <c r="AG108" t="str">
        <f>IF(AD108="United States", IFERROR(INDEX(Sheet2!$C:$C, MATCH(AE108&amp;AF108, Sheet2!$E:$E, 0)) &amp; ", " &amp; INDEX(Sheet2!$D:$D, MATCH(AE108&amp;AF108, Sheet2!$E:$E, 0)), ""), "-")</f>
        <v/>
      </c>
    </row>
    <row r="109" spans="1:33" x14ac:dyDescent="0.25">
      <c r="A109" t="s">
        <v>378</v>
      </c>
      <c r="B109" t="s">
        <v>389</v>
      </c>
      <c r="C109" t="s">
        <v>380</v>
      </c>
      <c r="D109" t="s">
        <v>390</v>
      </c>
      <c r="E109" t="s">
        <v>391</v>
      </c>
      <c r="F109">
        <v>1758</v>
      </c>
      <c r="G109">
        <v>774</v>
      </c>
      <c r="H109" t="s">
        <v>38</v>
      </c>
      <c r="I109" t="s">
        <v>39</v>
      </c>
      <c r="J109" t="s">
        <v>382</v>
      </c>
      <c r="K109" t="s">
        <v>38</v>
      </c>
      <c r="L109" t="s">
        <v>38</v>
      </c>
      <c r="M109" t="s">
        <v>38</v>
      </c>
      <c r="N109" t="s">
        <v>38</v>
      </c>
      <c r="O109" t="s">
        <v>41</v>
      </c>
      <c r="P109" t="s">
        <v>42</v>
      </c>
      <c r="Q109" t="s">
        <v>43</v>
      </c>
      <c r="R109" t="s">
        <v>38</v>
      </c>
      <c r="S109" t="s">
        <v>38</v>
      </c>
      <c r="T109" t="s">
        <v>38</v>
      </c>
      <c r="U109" t="s">
        <v>38</v>
      </c>
      <c r="V109" t="s">
        <v>137</v>
      </c>
      <c r="W109" t="s">
        <v>38</v>
      </c>
      <c r="X109" t="s">
        <v>38</v>
      </c>
      <c r="Y109" t="s">
        <v>392</v>
      </c>
      <c r="Z109" t="s">
        <v>42</v>
      </c>
      <c r="AA109" t="s">
        <v>38</v>
      </c>
      <c r="AB109" t="s">
        <v>38</v>
      </c>
      <c r="AC109" t="s">
        <v>38</v>
      </c>
      <c r="AD109" t="s">
        <v>48</v>
      </c>
      <c r="AG109" t="str">
        <f>IF(AD109="United States", IFERROR(INDEX(Sheet2!$C:$C, MATCH(AE109&amp;AF109, Sheet2!$E:$E, 0)) &amp; ", " &amp; INDEX(Sheet2!$D:$D, MATCH(AE109&amp;AF109, Sheet2!$E:$E, 0)), ""), "-")</f>
        <v/>
      </c>
    </row>
    <row r="110" spans="1:33" x14ac:dyDescent="0.25">
      <c r="A110" t="s">
        <v>378</v>
      </c>
      <c r="B110" t="s">
        <v>393</v>
      </c>
      <c r="C110" t="s">
        <v>387</v>
      </c>
      <c r="D110" t="s">
        <v>394</v>
      </c>
      <c r="E110" t="s">
        <v>38</v>
      </c>
      <c r="F110">
        <v>1771</v>
      </c>
      <c r="G110">
        <v>1970</v>
      </c>
      <c r="H110" t="s">
        <v>38</v>
      </c>
      <c r="I110" t="s">
        <v>80</v>
      </c>
      <c r="J110" t="s">
        <v>38</v>
      </c>
      <c r="K110" t="s">
        <v>38</v>
      </c>
      <c r="L110" t="s">
        <v>38</v>
      </c>
      <c r="M110" t="s">
        <v>38</v>
      </c>
      <c r="N110" t="s">
        <v>38</v>
      </c>
      <c r="O110" t="s">
        <v>54</v>
      </c>
      <c r="P110" t="s">
        <v>42</v>
      </c>
      <c r="Q110" t="s">
        <v>43</v>
      </c>
      <c r="R110" t="s">
        <v>38</v>
      </c>
      <c r="S110" t="s">
        <v>38</v>
      </c>
      <c r="T110" t="s">
        <v>38</v>
      </c>
      <c r="U110" t="s">
        <v>38</v>
      </c>
      <c r="V110" t="s">
        <v>91</v>
      </c>
      <c r="W110" t="s">
        <v>38</v>
      </c>
      <c r="X110" t="s">
        <v>38</v>
      </c>
      <c r="Y110" t="s">
        <v>395</v>
      </c>
      <c r="Z110" t="s">
        <v>42</v>
      </c>
      <c r="AA110" t="s">
        <v>38</v>
      </c>
      <c r="AB110" t="s">
        <v>38</v>
      </c>
      <c r="AC110" t="s">
        <v>38</v>
      </c>
      <c r="AD110" t="s">
        <v>48</v>
      </c>
      <c r="AG110" t="str">
        <f>IF(AD110="United States", IFERROR(INDEX(Sheet2!$C:$C, MATCH(AE110&amp;AF110, Sheet2!$E:$E, 0)) &amp; ", " &amp; INDEX(Sheet2!$D:$D, MATCH(AE110&amp;AF110, Sheet2!$E:$E, 0)), ""), "-")</f>
        <v/>
      </c>
    </row>
    <row r="111" spans="1:33" x14ac:dyDescent="0.25">
      <c r="A111" t="s">
        <v>378</v>
      </c>
      <c r="B111" t="s">
        <v>396</v>
      </c>
      <c r="C111" t="s">
        <v>387</v>
      </c>
      <c r="D111" t="s">
        <v>397</v>
      </c>
      <c r="E111" t="s">
        <v>38</v>
      </c>
      <c r="F111">
        <v>1758</v>
      </c>
      <c r="G111">
        <v>1971</v>
      </c>
      <c r="H111" t="s">
        <v>398</v>
      </c>
      <c r="I111" t="s">
        <v>80</v>
      </c>
      <c r="J111" t="s">
        <v>38</v>
      </c>
      <c r="K111" t="s">
        <v>38</v>
      </c>
      <c r="L111" t="s">
        <v>38</v>
      </c>
      <c r="M111" t="s">
        <v>38</v>
      </c>
      <c r="N111" t="s">
        <v>38</v>
      </c>
      <c r="O111" t="s">
        <v>57</v>
      </c>
      <c r="P111" t="s">
        <v>42</v>
      </c>
      <c r="Q111" t="s">
        <v>43</v>
      </c>
      <c r="R111" t="s">
        <v>89</v>
      </c>
      <c r="S111" t="s">
        <v>38</v>
      </c>
      <c r="T111" t="s">
        <v>89</v>
      </c>
      <c r="U111" t="s">
        <v>383</v>
      </c>
      <c r="V111" t="s">
        <v>91</v>
      </c>
      <c r="W111" t="s">
        <v>92</v>
      </c>
      <c r="X111" t="s">
        <v>93</v>
      </c>
      <c r="Y111" t="s">
        <v>399</v>
      </c>
      <c r="Z111" t="s">
        <v>42</v>
      </c>
      <c r="AA111" t="s">
        <v>38</v>
      </c>
      <c r="AB111" t="s">
        <v>38</v>
      </c>
      <c r="AC111" t="s">
        <v>38</v>
      </c>
      <c r="AD111" t="s">
        <v>48</v>
      </c>
      <c r="AG111" t="str">
        <f>IF(AD111="United States", IFERROR(INDEX(Sheet2!$C:$C, MATCH(AE111&amp;AF111, Sheet2!$E:$E, 0)) &amp; ", " &amp; INDEX(Sheet2!$D:$D, MATCH(AE111&amp;AF111, Sheet2!$E:$E, 0)), ""), "-")</f>
        <v/>
      </c>
    </row>
    <row r="112" spans="1:33" x14ac:dyDescent="0.25">
      <c r="A112" t="s">
        <v>378</v>
      </c>
      <c r="B112" t="s">
        <v>400</v>
      </c>
      <c r="C112" t="s">
        <v>380</v>
      </c>
      <c r="D112" t="s">
        <v>401</v>
      </c>
      <c r="E112" t="s">
        <v>402</v>
      </c>
      <c r="F112">
        <v>1756</v>
      </c>
      <c r="G112">
        <v>773</v>
      </c>
      <c r="H112" t="s">
        <v>38</v>
      </c>
      <c r="I112" t="s">
        <v>39</v>
      </c>
      <c r="J112" t="s">
        <v>382</v>
      </c>
      <c r="K112" t="s">
        <v>38</v>
      </c>
      <c r="L112" t="s">
        <v>38</v>
      </c>
      <c r="M112" t="s">
        <v>38</v>
      </c>
      <c r="N112" t="s">
        <v>38</v>
      </c>
      <c r="O112" t="s">
        <v>57</v>
      </c>
      <c r="P112" t="s">
        <v>42</v>
      </c>
      <c r="Q112" t="s">
        <v>43</v>
      </c>
      <c r="R112" t="s">
        <v>403</v>
      </c>
      <c r="S112" t="s">
        <v>201</v>
      </c>
      <c r="T112" t="s">
        <v>38</v>
      </c>
      <c r="U112" t="s">
        <v>38</v>
      </c>
      <c r="V112" t="s">
        <v>137</v>
      </c>
      <c r="W112" t="s">
        <v>38</v>
      </c>
      <c r="X112" t="s">
        <v>38</v>
      </c>
      <c r="Y112" t="s">
        <v>404</v>
      </c>
      <c r="Z112" t="s">
        <v>42</v>
      </c>
      <c r="AA112" t="s">
        <v>38</v>
      </c>
      <c r="AB112" t="s">
        <v>38</v>
      </c>
      <c r="AC112" t="s">
        <v>201</v>
      </c>
      <c r="AD112" t="s">
        <v>48</v>
      </c>
      <c r="AG112" t="str">
        <f>IF(AD112="United States", IFERROR(INDEX(Sheet2!$C:$C, MATCH(AE112&amp;AF112, Sheet2!$E:$E, 0)) &amp; ", " &amp; INDEX(Sheet2!$D:$D, MATCH(AE112&amp;AF112, Sheet2!$E:$E, 0)), ""), "-")</f>
        <v/>
      </c>
    </row>
    <row r="113" spans="1:33" x14ac:dyDescent="0.25">
      <c r="A113" t="s">
        <v>378</v>
      </c>
      <c r="B113" t="s">
        <v>405</v>
      </c>
      <c r="C113" t="s">
        <v>380</v>
      </c>
      <c r="D113" t="s">
        <v>406</v>
      </c>
      <c r="E113" t="s">
        <v>191</v>
      </c>
      <c r="F113">
        <v>1769</v>
      </c>
      <c r="G113">
        <v>822</v>
      </c>
      <c r="H113" t="s">
        <v>269</v>
      </c>
      <c r="I113" t="s">
        <v>39</v>
      </c>
      <c r="J113" t="s">
        <v>382</v>
      </c>
      <c r="K113" t="s">
        <v>38</v>
      </c>
      <c r="L113" t="s">
        <v>38</v>
      </c>
      <c r="M113" t="s">
        <v>38</v>
      </c>
      <c r="N113" t="s">
        <v>38</v>
      </c>
      <c r="O113" t="s">
        <v>54</v>
      </c>
      <c r="P113" t="s">
        <v>42</v>
      </c>
      <c r="Q113" t="s">
        <v>43</v>
      </c>
      <c r="R113" t="s">
        <v>89</v>
      </c>
      <c r="S113" t="s">
        <v>38</v>
      </c>
      <c r="T113" t="s">
        <v>89</v>
      </c>
      <c r="U113" t="s">
        <v>383</v>
      </c>
      <c r="V113" t="s">
        <v>137</v>
      </c>
      <c r="W113" t="s">
        <v>92</v>
      </c>
      <c r="X113" t="s">
        <v>93</v>
      </c>
      <c r="Y113" t="s">
        <v>384</v>
      </c>
      <c r="Z113" t="s">
        <v>42</v>
      </c>
      <c r="AA113" t="s">
        <v>38</v>
      </c>
      <c r="AB113" t="s">
        <v>38</v>
      </c>
      <c r="AC113" t="s">
        <v>38</v>
      </c>
      <c r="AD113" t="s">
        <v>48</v>
      </c>
      <c r="AG113" t="str">
        <f>IF(AD113="United States", IFERROR(INDEX(Sheet2!$C:$C, MATCH(AE113&amp;AF113, Sheet2!$E:$E, 0)) &amp; ", " &amp; INDEX(Sheet2!$D:$D, MATCH(AE113&amp;AF113, Sheet2!$E:$E, 0)), ""), "-")</f>
        <v/>
      </c>
    </row>
    <row r="114" spans="1:33" x14ac:dyDescent="0.25">
      <c r="A114" t="s">
        <v>378</v>
      </c>
      <c r="B114" t="s">
        <v>407</v>
      </c>
      <c r="C114" t="s">
        <v>380</v>
      </c>
      <c r="D114" t="s">
        <v>222</v>
      </c>
      <c r="E114" t="s">
        <v>38</v>
      </c>
      <c r="F114">
        <v>1757</v>
      </c>
      <c r="G114">
        <v>825</v>
      </c>
      <c r="H114" t="s">
        <v>269</v>
      </c>
      <c r="I114" t="s">
        <v>39</v>
      </c>
      <c r="J114" t="s">
        <v>382</v>
      </c>
      <c r="K114" t="s">
        <v>38</v>
      </c>
      <c r="L114" t="s">
        <v>38</v>
      </c>
      <c r="M114" t="s">
        <v>38</v>
      </c>
      <c r="N114" t="s">
        <v>38</v>
      </c>
      <c r="O114" t="s">
        <v>57</v>
      </c>
      <c r="P114" t="s">
        <v>42</v>
      </c>
      <c r="Q114" t="s">
        <v>43</v>
      </c>
      <c r="R114" t="s">
        <v>89</v>
      </c>
      <c r="S114" t="s">
        <v>38</v>
      </c>
      <c r="T114" t="s">
        <v>89</v>
      </c>
      <c r="U114" t="s">
        <v>383</v>
      </c>
      <c r="V114" t="s">
        <v>137</v>
      </c>
      <c r="W114" t="s">
        <v>92</v>
      </c>
      <c r="X114" t="s">
        <v>93</v>
      </c>
      <c r="Y114" t="s">
        <v>408</v>
      </c>
      <c r="Z114" t="s">
        <v>42</v>
      </c>
      <c r="AA114" t="s">
        <v>38</v>
      </c>
      <c r="AB114" t="s">
        <v>38</v>
      </c>
      <c r="AC114" t="s">
        <v>38</v>
      </c>
      <c r="AD114" t="s">
        <v>48</v>
      </c>
      <c r="AG114" t="str">
        <f>IF(AD114="United States", IFERROR(INDEX(Sheet2!$C:$C, MATCH(AE114&amp;AF114, Sheet2!$E:$E, 0)) &amp; ", " &amp; INDEX(Sheet2!$D:$D, MATCH(AE114&amp;AF114, Sheet2!$E:$E, 0)), ""), "-")</f>
        <v/>
      </c>
    </row>
    <row r="115" spans="1:33" x14ac:dyDescent="0.25">
      <c r="A115" t="s">
        <v>378</v>
      </c>
      <c r="B115" t="s">
        <v>409</v>
      </c>
      <c r="C115" t="s">
        <v>380</v>
      </c>
      <c r="D115" t="s">
        <v>50</v>
      </c>
      <c r="E115" t="s">
        <v>410</v>
      </c>
      <c r="F115">
        <v>1756</v>
      </c>
      <c r="G115">
        <v>776</v>
      </c>
      <c r="H115" t="s">
        <v>38</v>
      </c>
      <c r="I115" t="s">
        <v>39</v>
      </c>
      <c r="J115" t="s">
        <v>382</v>
      </c>
      <c r="K115" t="s">
        <v>38</v>
      </c>
      <c r="L115" t="s">
        <v>38</v>
      </c>
      <c r="M115" t="s">
        <v>38</v>
      </c>
      <c r="N115" t="s">
        <v>38</v>
      </c>
      <c r="O115" t="s">
        <v>57</v>
      </c>
      <c r="P115" t="s">
        <v>42</v>
      </c>
      <c r="Q115" t="s">
        <v>43</v>
      </c>
      <c r="R115" t="s">
        <v>38</v>
      </c>
      <c r="S115" t="s">
        <v>38</v>
      </c>
      <c r="T115" t="s">
        <v>38</v>
      </c>
      <c r="U115" t="s">
        <v>38</v>
      </c>
      <c r="V115" t="s">
        <v>137</v>
      </c>
      <c r="W115" t="s">
        <v>38</v>
      </c>
      <c r="X115" t="s">
        <v>38</v>
      </c>
      <c r="Y115" t="s">
        <v>38</v>
      </c>
      <c r="Z115" t="s">
        <v>42</v>
      </c>
      <c r="AA115" t="s">
        <v>38</v>
      </c>
      <c r="AB115" t="s">
        <v>38</v>
      </c>
      <c r="AC115" t="s">
        <v>38</v>
      </c>
      <c r="AD115" t="s">
        <v>48</v>
      </c>
      <c r="AG115" t="str">
        <f>IF(AD115="United States", IFERROR(INDEX(Sheet2!$C:$C, MATCH(AE115&amp;AF115, Sheet2!$E:$E, 0)) &amp; ", " &amp; INDEX(Sheet2!$D:$D, MATCH(AE115&amp;AF115, Sheet2!$E:$E, 0)), ""), "-")</f>
        <v/>
      </c>
    </row>
    <row r="116" spans="1:33" x14ac:dyDescent="0.25">
      <c r="A116" t="s">
        <v>378</v>
      </c>
      <c r="D116" t="s">
        <v>411</v>
      </c>
      <c r="E116" t="s">
        <v>412</v>
      </c>
      <c r="F116">
        <v>1769</v>
      </c>
      <c r="G116">
        <v>598</v>
      </c>
      <c r="H116">
        <v>30</v>
      </c>
      <c r="J116" t="s">
        <v>413</v>
      </c>
      <c r="O116" t="s">
        <v>54</v>
      </c>
      <c r="R116" t="s">
        <v>89</v>
      </c>
      <c r="T116" t="s">
        <v>89</v>
      </c>
      <c r="U116" t="s">
        <v>383</v>
      </c>
      <c r="V116" t="s">
        <v>137</v>
      </c>
      <c r="W116" t="s">
        <v>92</v>
      </c>
      <c r="X116" t="s">
        <v>93</v>
      </c>
      <c r="Y116" t="s">
        <v>38</v>
      </c>
      <c r="AA116" t="s">
        <v>38</v>
      </c>
      <c r="AB116" t="s">
        <v>38</v>
      </c>
      <c r="AC116" t="s">
        <v>38</v>
      </c>
      <c r="AD116" t="s">
        <v>48</v>
      </c>
      <c r="AG116" t="str">
        <f>IF(AD116="United States", IFERROR(INDEX(Sheet2!$C:$C, MATCH(AE116&amp;AF116, Sheet2!$E:$E, 0)) &amp; ", " &amp; INDEX(Sheet2!$D:$D, MATCH(AE116&amp;AF116, Sheet2!$E:$E, 0)), ""), "-")</f>
        <v/>
      </c>
    </row>
    <row r="117" spans="1:33" x14ac:dyDescent="0.25">
      <c r="A117" t="s">
        <v>378</v>
      </c>
      <c r="D117" t="s">
        <v>414</v>
      </c>
      <c r="E117" t="s">
        <v>185</v>
      </c>
      <c r="F117">
        <v>1734</v>
      </c>
      <c r="G117">
        <v>597</v>
      </c>
      <c r="H117">
        <v>30</v>
      </c>
      <c r="J117" t="s">
        <v>413</v>
      </c>
      <c r="O117" t="s">
        <v>57</v>
      </c>
      <c r="R117" t="s">
        <v>89</v>
      </c>
      <c r="T117" t="s">
        <v>89</v>
      </c>
      <c r="U117" t="s">
        <v>383</v>
      </c>
      <c r="V117" t="s">
        <v>137</v>
      </c>
      <c r="W117" t="s">
        <v>92</v>
      </c>
      <c r="X117" t="s">
        <v>93</v>
      </c>
      <c r="Y117" t="s">
        <v>38</v>
      </c>
      <c r="AA117" t="s">
        <v>38</v>
      </c>
      <c r="AB117" t="s">
        <v>38</v>
      </c>
      <c r="AC117" t="s">
        <v>38</v>
      </c>
      <c r="AD117" t="s">
        <v>48</v>
      </c>
      <c r="AG117" t="str">
        <f>IF(AD117="United States", IFERROR(INDEX(Sheet2!$C:$C, MATCH(AE117&amp;AF117, Sheet2!$E:$E, 0)) &amp; ", " &amp; INDEX(Sheet2!$D:$D, MATCH(AE117&amp;AF117, Sheet2!$E:$E, 0)), ""), "-")</f>
        <v/>
      </c>
    </row>
    <row r="118" spans="1:33" x14ac:dyDescent="0.25">
      <c r="A118" t="s">
        <v>378</v>
      </c>
      <c r="B118" t="s">
        <v>415</v>
      </c>
      <c r="C118" t="s">
        <v>380</v>
      </c>
      <c r="D118" t="s">
        <v>226</v>
      </c>
      <c r="E118" t="s">
        <v>338</v>
      </c>
      <c r="F118">
        <v>1743</v>
      </c>
      <c r="G118">
        <v>772</v>
      </c>
      <c r="H118" t="s">
        <v>38</v>
      </c>
      <c r="I118" t="s">
        <v>39</v>
      </c>
      <c r="J118" t="s">
        <v>382</v>
      </c>
      <c r="K118" t="s">
        <v>38</v>
      </c>
      <c r="L118" t="s">
        <v>38</v>
      </c>
      <c r="M118" t="s">
        <v>38</v>
      </c>
      <c r="N118" t="s">
        <v>38</v>
      </c>
      <c r="O118" t="s">
        <v>41</v>
      </c>
      <c r="P118" t="s">
        <v>42</v>
      </c>
      <c r="Q118" t="s">
        <v>43</v>
      </c>
      <c r="R118" t="s">
        <v>416</v>
      </c>
      <c r="S118" t="s">
        <v>417</v>
      </c>
      <c r="T118" t="s">
        <v>38</v>
      </c>
      <c r="U118" t="s">
        <v>38</v>
      </c>
      <c r="V118" t="s">
        <v>137</v>
      </c>
      <c r="W118" t="s">
        <v>38</v>
      </c>
      <c r="X118" t="s">
        <v>38</v>
      </c>
      <c r="Y118" t="s">
        <v>404</v>
      </c>
      <c r="Z118" t="s">
        <v>42</v>
      </c>
      <c r="AA118" t="s">
        <v>416</v>
      </c>
      <c r="AB118" t="s">
        <v>38</v>
      </c>
      <c r="AC118" t="s">
        <v>417</v>
      </c>
      <c r="AD118" t="s">
        <v>48</v>
      </c>
      <c r="AG118" t="str">
        <f>IF(AD118="United States", IFERROR(INDEX(Sheet2!$C:$C, MATCH(AE118&amp;AF118, Sheet2!$E:$E, 0)) &amp; ", " &amp; INDEX(Sheet2!$D:$D, MATCH(AE118&amp;AF118, Sheet2!$E:$E, 0)), ""), "-")</f>
        <v/>
      </c>
    </row>
    <row r="119" spans="1:33" x14ac:dyDescent="0.25">
      <c r="A119" t="s">
        <v>378</v>
      </c>
      <c r="B119" t="s">
        <v>418</v>
      </c>
      <c r="C119" t="s">
        <v>387</v>
      </c>
      <c r="D119" t="s">
        <v>101</v>
      </c>
      <c r="F119" t="s">
        <v>38</v>
      </c>
      <c r="G119">
        <v>2720</v>
      </c>
      <c r="I119" t="s">
        <v>80</v>
      </c>
      <c r="J119" t="s">
        <v>38</v>
      </c>
      <c r="O119" t="s">
        <v>41</v>
      </c>
      <c r="P119" t="s">
        <v>42</v>
      </c>
      <c r="Q119" t="s">
        <v>43</v>
      </c>
      <c r="V119" t="s">
        <v>91</v>
      </c>
      <c r="Y119" t="s">
        <v>399</v>
      </c>
      <c r="Z119" t="s">
        <v>42</v>
      </c>
      <c r="AA119" t="s">
        <v>38</v>
      </c>
      <c r="AB119" t="s">
        <v>38</v>
      </c>
      <c r="AC119" t="s">
        <v>38</v>
      </c>
      <c r="AD119" t="s">
        <v>48</v>
      </c>
      <c r="AG119" t="str">
        <f>IF(AD119="United States", IFERROR(INDEX(Sheet2!$C:$C, MATCH(AE119&amp;AF119, Sheet2!$E:$E, 0)) &amp; ", " &amp; INDEX(Sheet2!$D:$D, MATCH(AE119&amp;AF119, Sheet2!$E:$E, 0)), ""), "-")</f>
        <v/>
      </c>
    </row>
    <row r="120" spans="1:33" x14ac:dyDescent="0.25">
      <c r="A120" t="s">
        <v>378</v>
      </c>
      <c r="B120" t="s">
        <v>419</v>
      </c>
      <c r="C120" t="s">
        <v>387</v>
      </c>
      <c r="D120" t="s">
        <v>193</v>
      </c>
      <c r="F120" t="s">
        <v>38</v>
      </c>
      <c r="G120">
        <v>2719</v>
      </c>
      <c r="I120" t="s">
        <v>80</v>
      </c>
      <c r="J120" t="s">
        <v>38</v>
      </c>
      <c r="O120" t="s">
        <v>41</v>
      </c>
      <c r="P120" t="s">
        <v>42</v>
      </c>
      <c r="Q120" t="s">
        <v>43</v>
      </c>
      <c r="V120" t="s">
        <v>91</v>
      </c>
      <c r="Y120" t="s">
        <v>399</v>
      </c>
      <c r="Z120" t="s">
        <v>42</v>
      </c>
      <c r="AA120" t="s">
        <v>38</v>
      </c>
      <c r="AB120" t="s">
        <v>38</v>
      </c>
      <c r="AC120" t="s">
        <v>38</v>
      </c>
      <c r="AD120" t="s">
        <v>48</v>
      </c>
      <c r="AG120" t="str">
        <f>IF(AD120="United States", IFERROR(INDEX(Sheet2!$C:$C, MATCH(AE120&amp;AF120, Sheet2!$E:$E, 0)) &amp; ", " &amp; INDEX(Sheet2!$D:$D, MATCH(AE120&amp;AF120, Sheet2!$E:$E, 0)), ""), "-")</f>
        <v/>
      </c>
    </row>
    <row r="121" spans="1:33" x14ac:dyDescent="0.25">
      <c r="A121" t="s">
        <v>378</v>
      </c>
      <c r="B121" t="s">
        <v>420</v>
      </c>
      <c r="C121" t="s">
        <v>421</v>
      </c>
      <c r="D121" t="s">
        <v>361</v>
      </c>
      <c r="E121" t="s">
        <v>338</v>
      </c>
      <c r="F121">
        <v>1733</v>
      </c>
      <c r="G121">
        <v>2696</v>
      </c>
      <c r="I121" t="s">
        <v>39</v>
      </c>
      <c r="J121" t="s">
        <v>413</v>
      </c>
      <c r="O121" t="s">
        <v>41</v>
      </c>
      <c r="P121" t="s">
        <v>42</v>
      </c>
      <c r="Q121" t="s">
        <v>43</v>
      </c>
      <c r="V121" t="s">
        <v>137</v>
      </c>
      <c r="Y121" t="s">
        <v>422</v>
      </c>
      <c r="Z121" t="s">
        <v>42</v>
      </c>
      <c r="AA121" t="s">
        <v>314</v>
      </c>
      <c r="AB121" t="s">
        <v>38</v>
      </c>
      <c r="AC121" t="s">
        <v>233</v>
      </c>
      <c r="AD121" t="s">
        <v>48</v>
      </c>
      <c r="AG121" t="str">
        <f>IF(AD121="United States", IFERROR(INDEX(Sheet2!$C:$C, MATCH(AE121&amp;AF121, Sheet2!$E:$E, 0)) &amp; ", " &amp; INDEX(Sheet2!$D:$D, MATCH(AE121&amp;AF121, Sheet2!$E:$E, 0)), ""), "-")</f>
        <v/>
      </c>
    </row>
    <row r="122" spans="1:33" x14ac:dyDescent="0.25">
      <c r="A122" t="s">
        <v>378</v>
      </c>
      <c r="B122" t="s">
        <v>423</v>
      </c>
      <c r="C122" t="s">
        <v>380</v>
      </c>
      <c r="D122" t="s">
        <v>424</v>
      </c>
      <c r="E122" t="s">
        <v>410</v>
      </c>
      <c r="F122">
        <v>1781</v>
      </c>
      <c r="G122">
        <v>777</v>
      </c>
      <c r="H122" t="s">
        <v>38</v>
      </c>
      <c r="I122" t="s">
        <v>39</v>
      </c>
      <c r="J122" t="s">
        <v>382</v>
      </c>
      <c r="K122" t="s">
        <v>38</v>
      </c>
      <c r="L122" t="s">
        <v>38</v>
      </c>
      <c r="M122" t="s">
        <v>38</v>
      </c>
      <c r="N122" t="s">
        <v>38</v>
      </c>
      <c r="O122" t="s">
        <v>54</v>
      </c>
      <c r="P122" t="s">
        <v>42</v>
      </c>
      <c r="Q122" t="s">
        <v>43</v>
      </c>
      <c r="R122" t="s">
        <v>38</v>
      </c>
      <c r="S122" t="s">
        <v>38</v>
      </c>
      <c r="T122" t="s">
        <v>38</v>
      </c>
      <c r="U122" t="s">
        <v>38</v>
      </c>
      <c r="V122" t="s">
        <v>137</v>
      </c>
      <c r="W122" t="s">
        <v>38</v>
      </c>
      <c r="X122" t="s">
        <v>38</v>
      </c>
      <c r="Y122" t="s">
        <v>38</v>
      </c>
      <c r="Z122" t="s">
        <v>42</v>
      </c>
      <c r="AA122" t="s">
        <v>38</v>
      </c>
      <c r="AB122" t="s">
        <v>38</v>
      </c>
      <c r="AC122" t="s">
        <v>38</v>
      </c>
      <c r="AD122" t="s">
        <v>48</v>
      </c>
      <c r="AG122" t="str">
        <f>IF(AD122="United States", IFERROR(INDEX(Sheet2!$C:$C, MATCH(AE122&amp;AF122, Sheet2!$E:$E, 0)) &amp; ", " &amp; INDEX(Sheet2!$D:$D, MATCH(AE122&amp;AF122, Sheet2!$E:$E, 0)), ""), "-")</f>
        <v/>
      </c>
    </row>
    <row r="123" spans="1:33" x14ac:dyDescent="0.25">
      <c r="A123" t="s">
        <v>378</v>
      </c>
      <c r="D123" t="s">
        <v>425</v>
      </c>
      <c r="E123" t="s">
        <v>185</v>
      </c>
      <c r="F123">
        <v>1747</v>
      </c>
      <c r="G123">
        <v>602</v>
      </c>
      <c r="H123">
        <v>30</v>
      </c>
      <c r="J123" t="s">
        <v>413</v>
      </c>
      <c r="O123" t="s">
        <v>57</v>
      </c>
      <c r="R123" t="s">
        <v>89</v>
      </c>
      <c r="T123" t="s">
        <v>89</v>
      </c>
      <c r="U123" t="s">
        <v>383</v>
      </c>
      <c r="V123" t="s">
        <v>137</v>
      </c>
      <c r="W123" t="s">
        <v>92</v>
      </c>
      <c r="X123" t="s">
        <v>93</v>
      </c>
      <c r="Y123" t="s">
        <v>38</v>
      </c>
      <c r="AA123" t="s">
        <v>38</v>
      </c>
      <c r="AB123" t="s">
        <v>38</v>
      </c>
      <c r="AC123" t="s">
        <v>38</v>
      </c>
      <c r="AD123" t="s">
        <v>48</v>
      </c>
      <c r="AG123" t="str">
        <f>IF(AD123="United States", IFERROR(INDEX(Sheet2!$C:$C, MATCH(AE123&amp;AF123, Sheet2!$E:$E, 0)) &amp; ", " &amp; INDEX(Sheet2!$D:$D, MATCH(AE123&amp;AF123, Sheet2!$E:$E, 0)), ""), "-")</f>
        <v/>
      </c>
    </row>
    <row r="124" spans="1:33" x14ac:dyDescent="0.25">
      <c r="A124" t="s">
        <v>378</v>
      </c>
      <c r="B124" t="s">
        <v>426</v>
      </c>
      <c r="C124" t="s">
        <v>380</v>
      </c>
      <c r="D124" t="s">
        <v>334</v>
      </c>
      <c r="E124" t="s">
        <v>427</v>
      </c>
      <c r="F124">
        <v>1759</v>
      </c>
      <c r="G124">
        <v>824</v>
      </c>
      <c r="H124" t="s">
        <v>269</v>
      </c>
      <c r="I124" t="s">
        <v>39</v>
      </c>
      <c r="J124" t="s">
        <v>382</v>
      </c>
      <c r="K124" t="s">
        <v>38</v>
      </c>
      <c r="L124" t="s">
        <v>38</v>
      </c>
      <c r="M124" t="s">
        <v>38</v>
      </c>
      <c r="N124" t="s">
        <v>38</v>
      </c>
      <c r="O124" t="s">
        <v>41</v>
      </c>
      <c r="P124" t="s">
        <v>42</v>
      </c>
      <c r="Q124" t="s">
        <v>43</v>
      </c>
      <c r="R124" t="s">
        <v>89</v>
      </c>
      <c r="S124" t="s">
        <v>45</v>
      </c>
      <c r="T124" t="s">
        <v>89</v>
      </c>
      <c r="U124" t="s">
        <v>383</v>
      </c>
      <c r="V124" t="s">
        <v>137</v>
      </c>
      <c r="W124" t="s">
        <v>92</v>
      </c>
      <c r="X124" t="s">
        <v>93</v>
      </c>
      <c r="Y124" t="s">
        <v>384</v>
      </c>
      <c r="Z124" t="s">
        <v>42</v>
      </c>
      <c r="AA124" t="s">
        <v>428</v>
      </c>
      <c r="AB124" t="s">
        <v>38</v>
      </c>
      <c r="AC124" t="s">
        <v>45</v>
      </c>
      <c r="AD124" t="s">
        <v>48</v>
      </c>
      <c r="AG124" t="str">
        <f>IF(AD124="United States", IFERROR(INDEX(Sheet2!$C:$C, MATCH(AE124&amp;AF124, Sheet2!$E:$E, 0)) &amp; ", " &amp; INDEX(Sheet2!$D:$D, MATCH(AE124&amp;AF124, Sheet2!$E:$E, 0)), ""), "-")</f>
        <v/>
      </c>
    </row>
    <row r="125" spans="1:33" x14ac:dyDescent="0.25">
      <c r="A125" t="s">
        <v>378</v>
      </c>
      <c r="B125" t="s">
        <v>429</v>
      </c>
      <c r="C125" t="s">
        <v>380</v>
      </c>
      <c r="D125" t="s">
        <v>430</v>
      </c>
      <c r="E125" t="s">
        <v>410</v>
      </c>
      <c r="F125">
        <v>1756</v>
      </c>
      <c r="G125">
        <v>775</v>
      </c>
      <c r="H125" t="s">
        <v>38</v>
      </c>
      <c r="I125" t="s">
        <v>39</v>
      </c>
      <c r="J125" t="s">
        <v>382</v>
      </c>
      <c r="K125" t="s">
        <v>38</v>
      </c>
      <c r="L125" t="s">
        <v>38</v>
      </c>
      <c r="M125" t="s">
        <v>38</v>
      </c>
      <c r="N125" t="s">
        <v>38</v>
      </c>
      <c r="O125" t="s">
        <v>57</v>
      </c>
      <c r="P125" t="s">
        <v>42</v>
      </c>
      <c r="Q125" t="s">
        <v>43</v>
      </c>
      <c r="R125" t="s">
        <v>169</v>
      </c>
      <c r="S125" t="s">
        <v>45</v>
      </c>
      <c r="T125" t="s">
        <v>38</v>
      </c>
      <c r="U125" t="s">
        <v>38</v>
      </c>
      <c r="V125" t="s">
        <v>137</v>
      </c>
      <c r="W125" t="s">
        <v>38</v>
      </c>
      <c r="X125" t="s">
        <v>38</v>
      </c>
      <c r="Y125" t="s">
        <v>431</v>
      </c>
      <c r="Z125" t="s">
        <v>42</v>
      </c>
      <c r="AA125" t="s">
        <v>169</v>
      </c>
      <c r="AB125" t="s">
        <v>38</v>
      </c>
      <c r="AC125" t="s">
        <v>45</v>
      </c>
      <c r="AD125" t="s">
        <v>48</v>
      </c>
      <c r="AG125" t="str">
        <f>IF(AD125="United States", IFERROR(INDEX(Sheet2!$C:$C, MATCH(AE125&amp;AF125, Sheet2!$E:$E, 0)) &amp; ", " &amp; INDEX(Sheet2!$D:$D, MATCH(AE125&amp;AF125, Sheet2!$E:$E, 0)), ""), "-")</f>
        <v/>
      </c>
    </row>
    <row r="126" spans="1:33" x14ac:dyDescent="0.25">
      <c r="A126" t="s">
        <v>378</v>
      </c>
      <c r="B126" t="s">
        <v>432</v>
      </c>
      <c r="C126" t="s">
        <v>433</v>
      </c>
      <c r="D126" t="s">
        <v>434</v>
      </c>
      <c r="E126" t="s">
        <v>42</v>
      </c>
      <c r="F126" t="s">
        <v>38</v>
      </c>
      <c r="G126">
        <v>285</v>
      </c>
      <c r="H126" t="s">
        <v>435</v>
      </c>
      <c r="I126" t="s">
        <v>39</v>
      </c>
      <c r="J126" t="s">
        <v>436</v>
      </c>
      <c r="K126" t="s">
        <v>38</v>
      </c>
      <c r="L126" t="s">
        <v>38</v>
      </c>
      <c r="M126" t="s">
        <v>38</v>
      </c>
      <c r="N126" t="s">
        <v>38</v>
      </c>
      <c r="O126" t="s">
        <v>54</v>
      </c>
      <c r="P126" t="s">
        <v>42</v>
      </c>
      <c r="Q126" t="s">
        <v>43</v>
      </c>
      <c r="R126" t="s">
        <v>89</v>
      </c>
      <c r="S126" t="s">
        <v>38</v>
      </c>
      <c r="T126" t="s">
        <v>89</v>
      </c>
      <c r="U126" t="s">
        <v>383</v>
      </c>
      <c r="V126" t="s">
        <v>137</v>
      </c>
      <c r="W126" t="s">
        <v>92</v>
      </c>
      <c r="X126" t="s">
        <v>93</v>
      </c>
      <c r="Y126" t="s">
        <v>437</v>
      </c>
      <c r="Z126" t="s">
        <v>42</v>
      </c>
      <c r="AA126" t="s">
        <v>38</v>
      </c>
      <c r="AB126" t="s">
        <v>38</v>
      </c>
      <c r="AC126" t="s">
        <v>38</v>
      </c>
      <c r="AD126" t="s">
        <v>48</v>
      </c>
      <c r="AG126" t="str">
        <f>IF(AD126="United States", IFERROR(INDEX(Sheet2!$C:$C, MATCH(AE126&amp;AF126, Sheet2!$E:$E, 0)) &amp; ", " &amp; INDEX(Sheet2!$D:$D, MATCH(AE126&amp;AF126, Sheet2!$E:$E, 0)), ""), "-")</f>
        <v/>
      </c>
    </row>
    <row r="127" spans="1:33" x14ac:dyDescent="0.25">
      <c r="A127" t="s">
        <v>378</v>
      </c>
      <c r="B127" t="s">
        <v>438</v>
      </c>
      <c r="C127" t="s">
        <v>421</v>
      </c>
      <c r="D127" t="s">
        <v>119</v>
      </c>
      <c r="E127" t="s">
        <v>439</v>
      </c>
      <c r="F127">
        <v>1723</v>
      </c>
      <c r="G127">
        <v>544</v>
      </c>
      <c r="H127" t="s">
        <v>381</v>
      </c>
      <c r="I127" t="s">
        <v>39</v>
      </c>
      <c r="J127" t="s">
        <v>413</v>
      </c>
      <c r="K127" t="s">
        <v>38</v>
      </c>
      <c r="L127" t="s">
        <v>38</v>
      </c>
      <c r="M127" t="s">
        <v>38</v>
      </c>
      <c r="N127" t="s">
        <v>38</v>
      </c>
      <c r="O127" t="s">
        <v>41</v>
      </c>
      <c r="P127" t="s">
        <v>42</v>
      </c>
      <c r="Q127" t="s">
        <v>43</v>
      </c>
      <c r="R127" t="s">
        <v>89</v>
      </c>
      <c r="S127" t="s">
        <v>38</v>
      </c>
      <c r="T127" t="s">
        <v>89</v>
      </c>
      <c r="U127" t="s">
        <v>383</v>
      </c>
      <c r="V127" t="s">
        <v>137</v>
      </c>
      <c r="W127" t="s">
        <v>92</v>
      </c>
      <c r="X127" t="s">
        <v>93</v>
      </c>
      <c r="Y127" t="s">
        <v>422</v>
      </c>
      <c r="Z127" t="s">
        <v>42</v>
      </c>
      <c r="AA127" t="s">
        <v>38</v>
      </c>
      <c r="AB127" t="s">
        <v>38</v>
      </c>
      <c r="AC127" t="s">
        <v>440</v>
      </c>
      <c r="AD127" t="s">
        <v>48</v>
      </c>
      <c r="AG127" t="str">
        <f>IF(AD127="United States", IFERROR(INDEX(Sheet2!$C:$C, MATCH(AE127&amp;AF127, Sheet2!$E:$E, 0)) &amp; ", " &amp; INDEX(Sheet2!$D:$D, MATCH(AE127&amp;AF127, Sheet2!$E:$E, 0)), ""), "-")</f>
        <v/>
      </c>
    </row>
    <row r="128" spans="1:33" x14ac:dyDescent="0.25">
      <c r="A128" t="s">
        <v>378</v>
      </c>
      <c r="B128" t="s">
        <v>441</v>
      </c>
      <c r="C128" t="s">
        <v>421</v>
      </c>
      <c r="D128" t="s">
        <v>230</v>
      </c>
      <c r="E128" t="s">
        <v>442</v>
      </c>
      <c r="F128">
        <v>1747</v>
      </c>
      <c r="G128">
        <v>545</v>
      </c>
      <c r="H128" t="s">
        <v>381</v>
      </c>
      <c r="I128" t="s">
        <v>39</v>
      </c>
      <c r="J128" t="s">
        <v>413</v>
      </c>
      <c r="K128" t="s">
        <v>38</v>
      </c>
      <c r="L128" t="s">
        <v>38</v>
      </c>
      <c r="M128" t="s">
        <v>38</v>
      </c>
      <c r="N128" t="s">
        <v>38</v>
      </c>
      <c r="O128" t="s">
        <v>41</v>
      </c>
      <c r="P128" t="s">
        <v>42</v>
      </c>
      <c r="Q128" t="s">
        <v>43</v>
      </c>
      <c r="R128" t="s">
        <v>89</v>
      </c>
      <c r="S128" t="s">
        <v>153</v>
      </c>
      <c r="T128" t="s">
        <v>89</v>
      </c>
      <c r="U128" t="s">
        <v>383</v>
      </c>
      <c r="V128" t="s">
        <v>137</v>
      </c>
      <c r="W128" t="s">
        <v>92</v>
      </c>
      <c r="X128" t="s">
        <v>93</v>
      </c>
      <c r="Y128" t="s">
        <v>443</v>
      </c>
      <c r="Z128" t="s">
        <v>42</v>
      </c>
      <c r="AA128" t="s">
        <v>155</v>
      </c>
      <c r="AB128" t="s">
        <v>38</v>
      </c>
      <c r="AC128" t="s">
        <v>153</v>
      </c>
      <c r="AD128" t="s">
        <v>48</v>
      </c>
      <c r="AG128" t="str">
        <f>IF(AD128="United States", IFERROR(INDEX(Sheet2!$C:$C, MATCH(AE128&amp;AF128, Sheet2!$E:$E, 0)) &amp; ", " &amp; INDEX(Sheet2!$D:$D, MATCH(AE128&amp;AF128, Sheet2!$E:$E, 0)), ""), "-")</f>
        <v/>
      </c>
    </row>
    <row r="129" spans="1:33" x14ac:dyDescent="0.25">
      <c r="A129" t="s">
        <v>378</v>
      </c>
      <c r="B129" t="s">
        <v>444</v>
      </c>
      <c r="C129" t="s">
        <v>421</v>
      </c>
      <c r="D129" t="s">
        <v>445</v>
      </c>
      <c r="E129" t="s">
        <v>164</v>
      </c>
      <c r="F129">
        <v>1747</v>
      </c>
      <c r="G129">
        <v>546</v>
      </c>
      <c r="H129" t="s">
        <v>381</v>
      </c>
      <c r="I129" t="s">
        <v>39</v>
      </c>
      <c r="J129" t="s">
        <v>413</v>
      </c>
      <c r="K129" t="s">
        <v>38</v>
      </c>
      <c r="L129" t="s">
        <v>38</v>
      </c>
      <c r="M129" t="s">
        <v>38</v>
      </c>
      <c r="N129" t="s">
        <v>38</v>
      </c>
      <c r="O129" t="s">
        <v>57</v>
      </c>
      <c r="P129" t="s">
        <v>42</v>
      </c>
      <c r="Q129" t="s">
        <v>43</v>
      </c>
      <c r="R129" t="s">
        <v>89</v>
      </c>
      <c r="S129" t="s">
        <v>153</v>
      </c>
      <c r="T129" t="s">
        <v>89</v>
      </c>
      <c r="U129" t="s">
        <v>383</v>
      </c>
      <c r="V129" t="s">
        <v>137</v>
      </c>
      <c r="W129" t="s">
        <v>92</v>
      </c>
      <c r="X129" t="s">
        <v>93</v>
      </c>
      <c r="Y129" t="s">
        <v>443</v>
      </c>
      <c r="Z129" t="s">
        <v>42</v>
      </c>
      <c r="AA129" t="s">
        <v>155</v>
      </c>
      <c r="AB129" t="s">
        <v>38</v>
      </c>
      <c r="AC129" t="s">
        <v>153</v>
      </c>
      <c r="AD129" t="s">
        <v>48</v>
      </c>
      <c r="AG129" t="str">
        <f>IF(AD129="United States", IFERROR(INDEX(Sheet2!$C:$C, MATCH(AE129&amp;AF129, Sheet2!$E:$E, 0)) &amp; ", " &amp; INDEX(Sheet2!$D:$D, MATCH(AE129&amp;AF129, Sheet2!$E:$E, 0)), ""), "-")</f>
        <v/>
      </c>
    </row>
    <row r="130" spans="1:33" x14ac:dyDescent="0.25">
      <c r="A130" t="s">
        <v>378</v>
      </c>
      <c r="B130" t="s">
        <v>446</v>
      </c>
      <c r="C130" t="s">
        <v>421</v>
      </c>
      <c r="D130" t="s">
        <v>447</v>
      </c>
      <c r="E130" t="s">
        <v>448</v>
      </c>
      <c r="F130">
        <v>1758</v>
      </c>
      <c r="G130">
        <v>547</v>
      </c>
      <c r="H130" t="s">
        <v>38</v>
      </c>
      <c r="I130" t="s">
        <v>39</v>
      </c>
      <c r="J130" t="s">
        <v>413</v>
      </c>
      <c r="K130" t="s">
        <v>38</v>
      </c>
      <c r="L130" t="s">
        <v>38</v>
      </c>
      <c r="M130" t="s">
        <v>38</v>
      </c>
      <c r="N130" t="s">
        <v>38</v>
      </c>
      <c r="O130" t="s">
        <v>41</v>
      </c>
      <c r="P130" t="s">
        <v>42</v>
      </c>
      <c r="Q130" t="s">
        <v>43</v>
      </c>
      <c r="R130" t="s">
        <v>155</v>
      </c>
      <c r="S130" t="s">
        <v>153</v>
      </c>
      <c r="T130" t="s">
        <v>38</v>
      </c>
      <c r="U130" t="s">
        <v>38</v>
      </c>
      <c r="V130" t="s">
        <v>137</v>
      </c>
      <c r="W130" t="s">
        <v>38</v>
      </c>
      <c r="X130" t="s">
        <v>38</v>
      </c>
      <c r="Y130" t="s">
        <v>449</v>
      </c>
      <c r="Z130" t="s">
        <v>42</v>
      </c>
      <c r="AA130" t="s">
        <v>155</v>
      </c>
      <c r="AB130" t="s">
        <v>38</v>
      </c>
      <c r="AC130" t="s">
        <v>153</v>
      </c>
      <c r="AD130" t="s">
        <v>48</v>
      </c>
      <c r="AG130" t="str">
        <f>IF(AD130="United States", IFERROR(INDEX(Sheet2!$C:$C, MATCH(AE130&amp;AF130, Sheet2!$E:$E, 0)) &amp; ", " &amp; INDEX(Sheet2!$D:$D, MATCH(AE130&amp;AF130, Sheet2!$E:$E, 0)), ""), "-")</f>
        <v/>
      </c>
    </row>
    <row r="131" spans="1:33" x14ac:dyDescent="0.25">
      <c r="A131" t="s">
        <v>378</v>
      </c>
      <c r="B131" t="s">
        <v>450</v>
      </c>
      <c r="C131" t="s">
        <v>433</v>
      </c>
      <c r="D131" t="s">
        <v>451</v>
      </c>
      <c r="E131" t="s">
        <v>42</v>
      </c>
      <c r="F131">
        <v>1758</v>
      </c>
      <c r="G131">
        <v>284</v>
      </c>
      <c r="H131" t="s">
        <v>435</v>
      </c>
      <c r="I131" t="s">
        <v>39</v>
      </c>
      <c r="J131" t="s">
        <v>436</v>
      </c>
      <c r="K131" t="s">
        <v>38</v>
      </c>
      <c r="L131" t="s">
        <v>38</v>
      </c>
      <c r="M131" t="s">
        <v>38</v>
      </c>
      <c r="N131" t="s">
        <v>38</v>
      </c>
      <c r="O131" t="s">
        <v>57</v>
      </c>
      <c r="P131" t="s">
        <v>42</v>
      </c>
      <c r="Q131" t="s">
        <v>43</v>
      </c>
      <c r="R131" t="s">
        <v>89</v>
      </c>
      <c r="S131" t="s">
        <v>38</v>
      </c>
      <c r="T131" t="s">
        <v>89</v>
      </c>
      <c r="U131" t="s">
        <v>383</v>
      </c>
      <c r="V131" t="s">
        <v>137</v>
      </c>
      <c r="W131" t="s">
        <v>92</v>
      </c>
      <c r="X131" t="s">
        <v>93</v>
      </c>
      <c r="Y131" t="s">
        <v>437</v>
      </c>
      <c r="Z131" t="s">
        <v>42</v>
      </c>
      <c r="AA131" t="s">
        <v>452</v>
      </c>
      <c r="AB131" t="s">
        <v>38</v>
      </c>
      <c r="AC131" t="s">
        <v>155</v>
      </c>
      <c r="AD131" t="s">
        <v>48</v>
      </c>
      <c r="AG131" t="str">
        <f>IF(AD131="United States", IFERROR(INDEX(Sheet2!$C:$C, MATCH(AE131&amp;AF131, Sheet2!$E:$E, 0)) &amp; ", " &amp; INDEX(Sheet2!$D:$D, MATCH(AE131&amp;AF131, Sheet2!$E:$E, 0)), ""), "-")</f>
        <v/>
      </c>
    </row>
    <row r="132" spans="1:33" x14ac:dyDescent="0.25">
      <c r="A132" t="s">
        <v>378</v>
      </c>
      <c r="B132" t="s">
        <v>453</v>
      </c>
      <c r="C132" t="s">
        <v>433</v>
      </c>
      <c r="D132" t="s">
        <v>434</v>
      </c>
      <c r="E132" t="s">
        <v>42</v>
      </c>
      <c r="F132">
        <v>1733</v>
      </c>
      <c r="G132">
        <v>283</v>
      </c>
      <c r="H132" t="s">
        <v>435</v>
      </c>
      <c r="I132" t="s">
        <v>39</v>
      </c>
      <c r="J132" t="s">
        <v>436</v>
      </c>
      <c r="K132" t="s">
        <v>38</v>
      </c>
      <c r="L132" t="s">
        <v>38</v>
      </c>
      <c r="M132" t="s">
        <v>38</v>
      </c>
      <c r="N132" t="s">
        <v>38</v>
      </c>
      <c r="O132" t="s">
        <v>41</v>
      </c>
      <c r="P132" t="s">
        <v>42</v>
      </c>
      <c r="Q132" t="s">
        <v>43</v>
      </c>
      <c r="R132" t="s">
        <v>89</v>
      </c>
      <c r="S132" t="s">
        <v>38</v>
      </c>
      <c r="T132" t="s">
        <v>89</v>
      </c>
      <c r="U132" t="s">
        <v>383</v>
      </c>
      <c r="V132" t="s">
        <v>137</v>
      </c>
      <c r="W132" t="s">
        <v>92</v>
      </c>
      <c r="X132" t="s">
        <v>93</v>
      </c>
      <c r="Y132" t="s">
        <v>437</v>
      </c>
      <c r="Z132" t="s">
        <v>42</v>
      </c>
      <c r="AA132" t="s">
        <v>452</v>
      </c>
      <c r="AB132" t="s">
        <v>38</v>
      </c>
      <c r="AC132" t="s">
        <v>155</v>
      </c>
      <c r="AD132" t="s">
        <v>48</v>
      </c>
      <c r="AG132" t="str">
        <f>IF(AD132="United States", IFERROR(INDEX(Sheet2!$C:$C, MATCH(AE132&amp;AF132, Sheet2!$E:$E, 0)) &amp; ", " &amp; INDEX(Sheet2!$D:$D, MATCH(AE132&amp;AF132, Sheet2!$E:$E, 0)), ""), "-")</f>
        <v/>
      </c>
    </row>
    <row r="133" spans="1:33" x14ac:dyDescent="0.25">
      <c r="A133" t="s">
        <v>378</v>
      </c>
      <c r="B133" t="s">
        <v>454</v>
      </c>
      <c r="C133" t="s">
        <v>433</v>
      </c>
      <c r="D133" t="s">
        <v>455</v>
      </c>
      <c r="E133" t="s">
        <v>456</v>
      </c>
      <c r="F133">
        <v>1760</v>
      </c>
      <c r="G133">
        <v>282</v>
      </c>
      <c r="H133" t="s">
        <v>152</v>
      </c>
      <c r="I133" t="s">
        <v>39</v>
      </c>
      <c r="J133" t="s">
        <v>436</v>
      </c>
      <c r="K133" t="s">
        <v>38</v>
      </c>
      <c r="L133" t="s">
        <v>38</v>
      </c>
      <c r="M133" t="s">
        <v>38</v>
      </c>
      <c r="N133" t="s">
        <v>38</v>
      </c>
      <c r="O133" t="s">
        <v>57</v>
      </c>
      <c r="P133" t="s">
        <v>42</v>
      </c>
      <c r="Q133" t="s">
        <v>43</v>
      </c>
      <c r="R133" t="s">
        <v>89</v>
      </c>
      <c r="S133" t="s">
        <v>38</v>
      </c>
      <c r="T133" t="s">
        <v>89</v>
      </c>
      <c r="U133" t="s">
        <v>383</v>
      </c>
      <c r="V133" t="s">
        <v>137</v>
      </c>
      <c r="W133" t="s">
        <v>92</v>
      </c>
      <c r="X133" t="s">
        <v>93</v>
      </c>
      <c r="Y133" t="s">
        <v>437</v>
      </c>
      <c r="Z133" t="s">
        <v>42</v>
      </c>
      <c r="AA133" t="s">
        <v>38</v>
      </c>
      <c r="AB133" t="s">
        <v>38</v>
      </c>
      <c r="AC133" t="s">
        <v>38</v>
      </c>
      <c r="AD133" t="s">
        <v>48</v>
      </c>
      <c r="AG133" t="str">
        <f>IF(AD133="United States", IFERROR(INDEX(Sheet2!$C:$C, MATCH(AE133&amp;AF133, Sheet2!$E:$E, 0)) &amp; ", " &amp; INDEX(Sheet2!$D:$D, MATCH(AE133&amp;AF133, Sheet2!$E:$E, 0)), ""), "-")</f>
        <v/>
      </c>
    </row>
    <row r="134" spans="1:33" x14ac:dyDescent="0.25">
      <c r="A134" t="s">
        <v>378</v>
      </c>
      <c r="B134" t="s">
        <v>457</v>
      </c>
      <c r="C134" t="s">
        <v>433</v>
      </c>
      <c r="D134" t="s">
        <v>458</v>
      </c>
      <c r="E134" t="s">
        <v>456</v>
      </c>
      <c r="F134">
        <v>1755</v>
      </c>
      <c r="G134">
        <v>281</v>
      </c>
      <c r="H134" t="s">
        <v>152</v>
      </c>
      <c r="I134" t="s">
        <v>39</v>
      </c>
      <c r="J134" t="s">
        <v>436</v>
      </c>
      <c r="K134" t="s">
        <v>38</v>
      </c>
      <c r="L134" t="s">
        <v>38</v>
      </c>
      <c r="M134" t="s">
        <v>38</v>
      </c>
      <c r="N134" t="s">
        <v>38</v>
      </c>
      <c r="O134" t="s">
        <v>57</v>
      </c>
      <c r="P134" t="s">
        <v>42</v>
      </c>
      <c r="Q134" t="s">
        <v>43</v>
      </c>
      <c r="R134" t="s">
        <v>89</v>
      </c>
      <c r="S134" t="s">
        <v>38</v>
      </c>
      <c r="T134" t="s">
        <v>89</v>
      </c>
      <c r="U134" t="s">
        <v>383</v>
      </c>
      <c r="V134" t="s">
        <v>137</v>
      </c>
      <c r="W134" t="s">
        <v>92</v>
      </c>
      <c r="X134" t="s">
        <v>93</v>
      </c>
      <c r="Y134" t="s">
        <v>437</v>
      </c>
      <c r="Z134" t="s">
        <v>42</v>
      </c>
      <c r="AA134" t="s">
        <v>38</v>
      </c>
      <c r="AB134" t="s">
        <v>38</v>
      </c>
      <c r="AC134" t="s">
        <v>38</v>
      </c>
      <c r="AD134" t="s">
        <v>48</v>
      </c>
      <c r="AG134" t="str">
        <f>IF(AD134="United States", IFERROR(INDEX(Sheet2!$C:$C, MATCH(AE134&amp;AF134, Sheet2!$E:$E, 0)) &amp; ", " &amp; INDEX(Sheet2!$D:$D, MATCH(AE134&amp;AF134, Sheet2!$E:$E, 0)), ""), "-")</f>
        <v/>
      </c>
    </row>
    <row r="135" spans="1:33" x14ac:dyDescent="0.25">
      <c r="A135" t="s">
        <v>378</v>
      </c>
      <c r="B135" t="s">
        <v>459</v>
      </c>
      <c r="C135" t="s">
        <v>433</v>
      </c>
      <c r="D135" t="s">
        <v>114</v>
      </c>
      <c r="E135" t="s">
        <v>460</v>
      </c>
      <c r="F135">
        <v>1774</v>
      </c>
      <c r="G135">
        <v>280</v>
      </c>
      <c r="H135" t="s">
        <v>152</v>
      </c>
      <c r="I135" t="s">
        <v>39</v>
      </c>
      <c r="J135" t="s">
        <v>436</v>
      </c>
      <c r="K135" t="s">
        <v>38</v>
      </c>
      <c r="L135" t="s">
        <v>38</v>
      </c>
      <c r="M135" t="s">
        <v>38</v>
      </c>
      <c r="N135" t="s">
        <v>38</v>
      </c>
      <c r="O135" t="s">
        <v>54</v>
      </c>
      <c r="P135" t="s">
        <v>42</v>
      </c>
      <c r="Q135" t="s">
        <v>43</v>
      </c>
      <c r="R135" t="s">
        <v>89</v>
      </c>
      <c r="S135" t="s">
        <v>38</v>
      </c>
      <c r="T135" t="s">
        <v>89</v>
      </c>
      <c r="U135" t="s">
        <v>383</v>
      </c>
      <c r="V135" t="s">
        <v>137</v>
      </c>
      <c r="W135" t="s">
        <v>92</v>
      </c>
      <c r="X135" t="s">
        <v>93</v>
      </c>
      <c r="Y135" t="s">
        <v>461</v>
      </c>
      <c r="Z135" t="s">
        <v>42</v>
      </c>
      <c r="AA135" t="s">
        <v>38</v>
      </c>
      <c r="AB135" t="s">
        <v>38</v>
      </c>
      <c r="AC135" t="s">
        <v>166</v>
      </c>
      <c r="AD135" t="s">
        <v>48</v>
      </c>
      <c r="AG135" t="str">
        <f>IF(AD135="United States", IFERROR(INDEX(Sheet2!$C:$C, MATCH(AE135&amp;AF135, Sheet2!$E:$E, 0)) &amp; ", " &amp; INDEX(Sheet2!$D:$D, MATCH(AE135&amp;AF135, Sheet2!$E:$E, 0)), ""), "-")</f>
        <v/>
      </c>
    </row>
    <row r="136" spans="1:33" x14ac:dyDescent="0.25">
      <c r="A136" t="s">
        <v>378</v>
      </c>
      <c r="B136" t="s">
        <v>462</v>
      </c>
      <c r="C136" t="s">
        <v>433</v>
      </c>
      <c r="D136" t="s">
        <v>463</v>
      </c>
      <c r="E136" t="s">
        <v>460</v>
      </c>
      <c r="F136">
        <v>1742</v>
      </c>
      <c r="G136">
        <v>279</v>
      </c>
      <c r="H136" t="s">
        <v>152</v>
      </c>
      <c r="I136" t="s">
        <v>39</v>
      </c>
      <c r="J136" t="s">
        <v>436</v>
      </c>
      <c r="K136" t="s">
        <v>38</v>
      </c>
      <c r="L136" t="s">
        <v>38</v>
      </c>
      <c r="M136" t="s">
        <v>38</v>
      </c>
      <c r="N136" t="s">
        <v>38</v>
      </c>
      <c r="O136" t="s">
        <v>41</v>
      </c>
      <c r="P136" t="s">
        <v>42</v>
      </c>
      <c r="Q136" t="s">
        <v>43</v>
      </c>
      <c r="R136" t="s">
        <v>89</v>
      </c>
      <c r="S136" t="s">
        <v>38</v>
      </c>
      <c r="T136" t="s">
        <v>89</v>
      </c>
      <c r="U136" t="s">
        <v>383</v>
      </c>
      <c r="V136" t="s">
        <v>137</v>
      </c>
      <c r="W136" t="s">
        <v>92</v>
      </c>
      <c r="X136" t="s">
        <v>93</v>
      </c>
      <c r="Y136" t="s">
        <v>461</v>
      </c>
      <c r="Z136" t="s">
        <v>42</v>
      </c>
      <c r="AA136" t="s">
        <v>38</v>
      </c>
      <c r="AB136" t="s">
        <v>38</v>
      </c>
      <c r="AC136" t="s">
        <v>166</v>
      </c>
      <c r="AD136" t="s">
        <v>48</v>
      </c>
      <c r="AG136" t="str">
        <f>IF(AD136="United States", IFERROR(INDEX(Sheet2!$C:$C, MATCH(AE136&amp;AF136, Sheet2!$E:$E, 0)) &amp; ", " &amp; INDEX(Sheet2!$D:$D, MATCH(AE136&amp;AF136, Sheet2!$E:$E, 0)), ""), "-")</f>
        <v/>
      </c>
    </row>
    <row r="137" spans="1:33" x14ac:dyDescent="0.25">
      <c r="A137" t="s">
        <v>378</v>
      </c>
      <c r="B137" t="s">
        <v>464</v>
      </c>
      <c r="C137" t="s">
        <v>421</v>
      </c>
      <c r="D137" t="s">
        <v>132</v>
      </c>
      <c r="E137" t="s">
        <v>465</v>
      </c>
      <c r="F137">
        <v>1762</v>
      </c>
      <c r="G137">
        <v>548</v>
      </c>
      <c r="H137" t="s">
        <v>381</v>
      </c>
      <c r="I137" t="s">
        <v>39</v>
      </c>
      <c r="J137" t="s">
        <v>413</v>
      </c>
      <c r="K137" t="s">
        <v>38</v>
      </c>
      <c r="L137" t="s">
        <v>38</v>
      </c>
      <c r="M137" t="s">
        <v>38</v>
      </c>
      <c r="N137" t="s">
        <v>38</v>
      </c>
      <c r="O137" t="s">
        <v>41</v>
      </c>
      <c r="P137" t="s">
        <v>42</v>
      </c>
      <c r="Q137" t="s">
        <v>43</v>
      </c>
      <c r="R137" t="s">
        <v>89</v>
      </c>
      <c r="S137" t="s">
        <v>45</v>
      </c>
      <c r="T137" t="s">
        <v>89</v>
      </c>
      <c r="U137" t="s">
        <v>383</v>
      </c>
      <c r="V137" t="s">
        <v>137</v>
      </c>
      <c r="W137" t="s">
        <v>92</v>
      </c>
      <c r="X137" t="s">
        <v>93</v>
      </c>
      <c r="Y137" t="s">
        <v>466</v>
      </c>
      <c r="Z137" t="s">
        <v>42</v>
      </c>
      <c r="AA137" t="s">
        <v>169</v>
      </c>
      <c r="AB137" t="s">
        <v>38</v>
      </c>
      <c r="AC137" t="s">
        <v>45</v>
      </c>
      <c r="AD137" t="s">
        <v>48</v>
      </c>
      <c r="AG137" t="str">
        <f>IF(AD137="United States", IFERROR(INDEX(Sheet2!$C:$C, MATCH(AE137&amp;AF137, Sheet2!$E:$E, 0)) &amp; ", " &amp; INDEX(Sheet2!$D:$D, MATCH(AE137&amp;AF137, Sheet2!$E:$E, 0)), ""), "-")</f>
        <v/>
      </c>
    </row>
    <row r="138" spans="1:33" x14ac:dyDescent="0.25">
      <c r="A138" t="s">
        <v>378</v>
      </c>
      <c r="B138" t="s">
        <v>467</v>
      </c>
      <c r="C138" t="s">
        <v>421</v>
      </c>
      <c r="D138" t="s">
        <v>468</v>
      </c>
      <c r="E138" t="s">
        <v>469</v>
      </c>
      <c r="F138">
        <v>1737</v>
      </c>
      <c r="G138">
        <v>541</v>
      </c>
      <c r="H138" t="s">
        <v>381</v>
      </c>
      <c r="I138" t="s">
        <v>39</v>
      </c>
      <c r="J138" t="s">
        <v>413</v>
      </c>
      <c r="K138" t="s">
        <v>38</v>
      </c>
      <c r="L138" t="s">
        <v>38</v>
      </c>
      <c r="M138" t="s">
        <v>38</v>
      </c>
      <c r="N138" t="s">
        <v>38</v>
      </c>
      <c r="O138" t="s">
        <v>41</v>
      </c>
      <c r="P138" t="s">
        <v>42</v>
      </c>
      <c r="Q138" t="s">
        <v>43</v>
      </c>
      <c r="R138" t="s">
        <v>89</v>
      </c>
      <c r="S138" t="s">
        <v>38</v>
      </c>
      <c r="T138" t="s">
        <v>89</v>
      </c>
      <c r="U138" t="s">
        <v>383</v>
      </c>
      <c r="V138" t="s">
        <v>137</v>
      </c>
      <c r="W138" t="s">
        <v>92</v>
      </c>
      <c r="X138" t="s">
        <v>93</v>
      </c>
      <c r="Y138" t="s">
        <v>470</v>
      </c>
      <c r="Z138" t="s">
        <v>42</v>
      </c>
      <c r="AA138" t="s">
        <v>471</v>
      </c>
      <c r="AB138" t="s">
        <v>38</v>
      </c>
      <c r="AC138" t="s">
        <v>67</v>
      </c>
      <c r="AD138" t="s">
        <v>48</v>
      </c>
      <c r="AG138" t="str">
        <f>IF(AD138="United States", IFERROR(INDEX(Sheet2!$C:$C, MATCH(AE138&amp;AF138, Sheet2!$E:$E, 0)) &amp; ", " &amp; INDEX(Sheet2!$D:$D, MATCH(AE138&amp;AF138, Sheet2!$E:$E, 0)), ""), "-")</f>
        <v/>
      </c>
    </row>
    <row r="139" spans="1:33" x14ac:dyDescent="0.25">
      <c r="A139" t="s">
        <v>378</v>
      </c>
      <c r="B139" t="s">
        <v>472</v>
      </c>
      <c r="C139" t="s">
        <v>421</v>
      </c>
      <c r="D139" t="s">
        <v>473</v>
      </c>
      <c r="E139" t="s">
        <v>460</v>
      </c>
      <c r="F139">
        <v>1769</v>
      </c>
      <c r="G139">
        <v>540</v>
      </c>
      <c r="H139" t="s">
        <v>381</v>
      </c>
      <c r="I139" t="s">
        <v>39</v>
      </c>
      <c r="J139" t="s">
        <v>413</v>
      </c>
      <c r="K139" t="s">
        <v>38</v>
      </c>
      <c r="L139" t="s">
        <v>38</v>
      </c>
      <c r="M139" t="s">
        <v>38</v>
      </c>
      <c r="N139" t="s">
        <v>38</v>
      </c>
      <c r="O139" t="s">
        <v>54</v>
      </c>
      <c r="P139" t="s">
        <v>42</v>
      </c>
      <c r="Q139" t="s">
        <v>43</v>
      </c>
      <c r="R139" t="s">
        <v>89</v>
      </c>
      <c r="S139" t="s">
        <v>165</v>
      </c>
      <c r="T139" t="s">
        <v>89</v>
      </c>
      <c r="U139" t="s">
        <v>383</v>
      </c>
      <c r="V139" t="s">
        <v>137</v>
      </c>
      <c r="W139" t="s">
        <v>92</v>
      </c>
      <c r="X139" t="s">
        <v>93</v>
      </c>
      <c r="Y139" t="s">
        <v>443</v>
      </c>
      <c r="Z139" t="s">
        <v>42</v>
      </c>
      <c r="AA139" t="s">
        <v>166</v>
      </c>
      <c r="AB139" t="s">
        <v>38</v>
      </c>
      <c r="AC139" t="s">
        <v>165</v>
      </c>
      <c r="AD139" t="s">
        <v>48</v>
      </c>
      <c r="AG139" t="str">
        <f>IF(AD139="United States", IFERROR(INDEX(Sheet2!$C:$C, MATCH(AE139&amp;AF139, Sheet2!$E:$E, 0)) &amp; ", " &amp; INDEX(Sheet2!$D:$D, MATCH(AE139&amp;AF139, Sheet2!$E:$E, 0)), ""), "-")</f>
        <v/>
      </c>
    </row>
    <row r="140" spans="1:33" x14ac:dyDescent="0.25">
      <c r="A140" t="s">
        <v>378</v>
      </c>
      <c r="B140" t="s">
        <v>474</v>
      </c>
      <c r="C140" t="s">
        <v>421</v>
      </c>
      <c r="D140" t="s">
        <v>475</v>
      </c>
      <c r="E140" t="s">
        <v>164</v>
      </c>
      <c r="F140">
        <v>1734</v>
      </c>
      <c r="G140">
        <v>542</v>
      </c>
      <c r="H140" t="s">
        <v>381</v>
      </c>
      <c r="I140" t="s">
        <v>39</v>
      </c>
      <c r="J140" t="s">
        <v>413</v>
      </c>
      <c r="K140" t="s">
        <v>468</v>
      </c>
      <c r="L140" t="s">
        <v>469</v>
      </c>
      <c r="M140" t="s">
        <v>38</v>
      </c>
      <c r="N140" t="s">
        <v>38</v>
      </c>
      <c r="O140" t="s">
        <v>57</v>
      </c>
      <c r="P140" t="s">
        <v>42</v>
      </c>
      <c r="Q140" t="s">
        <v>43</v>
      </c>
      <c r="R140" t="s">
        <v>89</v>
      </c>
      <c r="S140" t="s">
        <v>38</v>
      </c>
      <c r="T140" t="s">
        <v>89</v>
      </c>
      <c r="U140" t="s">
        <v>383</v>
      </c>
      <c r="V140" t="s">
        <v>137</v>
      </c>
      <c r="W140" t="s">
        <v>92</v>
      </c>
      <c r="X140" t="s">
        <v>93</v>
      </c>
      <c r="Y140" t="s">
        <v>470</v>
      </c>
      <c r="Z140" t="s">
        <v>42</v>
      </c>
      <c r="AA140" t="s">
        <v>476</v>
      </c>
      <c r="AB140" t="s">
        <v>38</v>
      </c>
      <c r="AC140" t="s">
        <v>67</v>
      </c>
      <c r="AD140" t="s">
        <v>48</v>
      </c>
      <c r="AG140" t="str">
        <f>IF(AD140="United States", IFERROR(INDEX(Sheet2!$C:$C, MATCH(AE140&amp;AF140, Sheet2!$E:$E, 0)) &amp; ", " &amp; INDEX(Sheet2!$D:$D, MATCH(AE140&amp;AF140, Sheet2!$E:$E, 0)), ""), "-")</f>
        <v/>
      </c>
    </row>
    <row r="141" spans="1:33" x14ac:dyDescent="0.25">
      <c r="A141" t="s">
        <v>378</v>
      </c>
      <c r="B141" t="s">
        <v>477</v>
      </c>
      <c r="C141" t="s">
        <v>421</v>
      </c>
      <c r="D141" t="s">
        <v>210</v>
      </c>
      <c r="E141" t="s">
        <v>478</v>
      </c>
      <c r="F141">
        <v>1761</v>
      </c>
      <c r="G141">
        <v>539</v>
      </c>
      <c r="H141" t="s">
        <v>435</v>
      </c>
      <c r="I141" t="s">
        <v>39</v>
      </c>
      <c r="J141" t="s">
        <v>413</v>
      </c>
      <c r="K141" t="s">
        <v>38</v>
      </c>
      <c r="L141" t="s">
        <v>38</v>
      </c>
      <c r="M141" t="s">
        <v>38</v>
      </c>
      <c r="N141" t="s">
        <v>38</v>
      </c>
      <c r="O141" t="s">
        <v>41</v>
      </c>
      <c r="P141" t="s">
        <v>42</v>
      </c>
      <c r="Q141" t="s">
        <v>43</v>
      </c>
      <c r="R141" t="s">
        <v>89</v>
      </c>
      <c r="S141" t="s">
        <v>165</v>
      </c>
      <c r="T141" t="s">
        <v>89</v>
      </c>
      <c r="U141" t="s">
        <v>383</v>
      </c>
      <c r="V141" t="s">
        <v>137</v>
      </c>
      <c r="W141" t="s">
        <v>92</v>
      </c>
      <c r="X141" t="s">
        <v>93</v>
      </c>
      <c r="Y141" t="s">
        <v>479</v>
      </c>
      <c r="Z141" t="s">
        <v>42</v>
      </c>
      <c r="AA141" t="s">
        <v>166</v>
      </c>
      <c r="AB141" t="s">
        <v>38</v>
      </c>
      <c r="AC141" t="s">
        <v>165</v>
      </c>
      <c r="AD141" t="s">
        <v>48</v>
      </c>
      <c r="AG141" t="str">
        <f>IF(AD141="United States", IFERROR(INDEX(Sheet2!$C:$C, MATCH(AE141&amp;AF141, Sheet2!$E:$E, 0)) &amp; ", " &amp; INDEX(Sheet2!$D:$D, MATCH(AE141&amp;AF141, Sheet2!$E:$E, 0)), ""), "-")</f>
        <v/>
      </c>
    </row>
    <row r="142" spans="1:33" x14ac:dyDescent="0.25">
      <c r="A142" t="s">
        <v>378</v>
      </c>
      <c r="B142" t="s">
        <v>480</v>
      </c>
      <c r="C142" t="s">
        <v>421</v>
      </c>
      <c r="D142" t="s">
        <v>481</v>
      </c>
      <c r="E142" t="s">
        <v>482</v>
      </c>
      <c r="F142">
        <v>1769</v>
      </c>
      <c r="G142">
        <v>543</v>
      </c>
      <c r="H142" t="s">
        <v>381</v>
      </c>
      <c r="I142" t="s">
        <v>39</v>
      </c>
      <c r="J142" t="s">
        <v>413</v>
      </c>
      <c r="K142" t="s">
        <v>468</v>
      </c>
      <c r="L142" t="s">
        <v>469</v>
      </c>
      <c r="M142" t="s">
        <v>475</v>
      </c>
      <c r="N142" t="s">
        <v>164</v>
      </c>
      <c r="O142" t="s">
        <v>54</v>
      </c>
      <c r="P142" t="s">
        <v>42</v>
      </c>
      <c r="Q142" t="s">
        <v>43</v>
      </c>
      <c r="R142" t="s">
        <v>89</v>
      </c>
      <c r="S142" t="s">
        <v>38</v>
      </c>
      <c r="T142" t="s">
        <v>89</v>
      </c>
      <c r="U142" t="s">
        <v>383</v>
      </c>
      <c r="V142" t="s">
        <v>137</v>
      </c>
      <c r="W142" t="s">
        <v>92</v>
      </c>
      <c r="X142" t="s">
        <v>93</v>
      </c>
      <c r="Y142" t="s">
        <v>470</v>
      </c>
      <c r="Z142" t="s">
        <v>42</v>
      </c>
      <c r="AA142" t="s">
        <v>483</v>
      </c>
      <c r="AB142" t="s">
        <v>38</v>
      </c>
      <c r="AC142" t="s">
        <v>67</v>
      </c>
      <c r="AD142" t="s">
        <v>48</v>
      </c>
      <c r="AG142" t="str">
        <f>IF(AD142="United States", IFERROR(INDEX(Sheet2!$C:$C, MATCH(AE142&amp;AF142, Sheet2!$E:$E, 0)) &amp; ", " &amp; INDEX(Sheet2!$D:$D, MATCH(AE142&amp;AF142, Sheet2!$E:$E, 0)), ""), "-")</f>
        <v/>
      </c>
    </row>
    <row r="143" spans="1:33" x14ac:dyDescent="0.25">
      <c r="A143" t="s">
        <v>378</v>
      </c>
      <c r="B143" t="s">
        <v>484</v>
      </c>
      <c r="C143" t="s">
        <v>433</v>
      </c>
      <c r="D143" t="s">
        <v>210</v>
      </c>
      <c r="E143" t="s">
        <v>485</v>
      </c>
      <c r="F143">
        <v>1749</v>
      </c>
      <c r="G143">
        <v>289</v>
      </c>
      <c r="H143" t="s">
        <v>435</v>
      </c>
      <c r="I143" t="s">
        <v>39</v>
      </c>
      <c r="J143" t="s">
        <v>436</v>
      </c>
      <c r="K143" t="s">
        <v>38</v>
      </c>
      <c r="L143" t="s">
        <v>38</v>
      </c>
      <c r="M143" t="s">
        <v>38</v>
      </c>
      <c r="N143" t="s">
        <v>38</v>
      </c>
      <c r="O143" t="s">
        <v>41</v>
      </c>
      <c r="P143" t="s">
        <v>42</v>
      </c>
      <c r="Q143" t="s">
        <v>43</v>
      </c>
      <c r="R143" t="s">
        <v>89</v>
      </c>
      <c r="S143" t="s">
        <v>153</v>
      </c>
      <c r="T143" t="s">
        <v>89</v>
      </c>
      <c r="U143" t="s">
        <v>383</v>
      </c>
      <c r="V143" t="s">
        <v>137</v>
      </c>
      <c r="W143" t="s">
        <v>92</v>
      </c>
      <c r="X143" t="s">
        <v>93</v>
      </c>
      <c r="Y143" t="s">
        <v>486</v>
      </c>
      <c r="Z143" t="s">
        <v>42</v>
      </c>
      <c r="AA143" t="s">
        <v>487</v>
      </c>
      <c r="AB143" t="s">
        <v>38</v>
      </c>
      <c r="AC143" t="s">
        <v>153</v>
      </c>
      <c r="AD143" t="s">
        <v>48</v>
      </c>
      <c r="AG143" t="str">
        <f>IF(AD143="United States", IFERROR(INDEX(Sheet2!$C:$C, MATCH(AE143&amp;AF143, Sheet2!$E:$E, 0)) &amp; ", " &amp; INDEX(Sheet2!$D:$D, MATCH(AE143&amp;AF143, Sheet2!$E:$E, 0)), ""), "-")</f>
        <v/>
      </c>
    </row>
    <row r="144" spans="1:33" x14ac:dyDescent="0.25">
      <c r="A144" t="s">
        <v>378</v>
      </c>
      <c r="B144" t="s">
        <v>488</v>
      </c>
      <c r="C144" t="s">
        <v>421</v>
      </c>
      <c r="D144" t="s">
        <v>195</v>
      </c>
      <c r="E144" t="s">
        <v>489</v>
      </c>
      <c r="F144">
        <v>1764</v>
      </c>
      <c r="G144">
        <v>549</v>
      </c>
      <c r="H144" t="s">
        <v>381</v>
      </c>
      <c r="I144" t="s">
        <v>39</v>
      </c>
      <c r="J144" t="s">
        <v>413</v>
      </c>
      <c r="K144" t="s">
        <v>38</v>
      </c>
      <c r="L144" t="s">
        <v>38</v>
      </c>
      <c r="M144" t="s">
        <v>38</v>
      </c>
      <c r="N144" t="s">
        <v>38</v>
      </c>
      <c r="O144" t="s">
        <v>41</v>
      </c>
      <c r="P144" t="s">
        <v>42</v>
      </c>
      <c r="Q144" t="s">
        <v>43</v>
      </c>
      <c r="R144" t="s">
        <v>89</v>
      </c>
      <c r="S144" t="s">
        <v>165</v>
      </c>
      <c r="T144" t="s">
        <v>89</v>
      </c>
      <c r="U144" t="s">
        <v>383</v>
      </c>
      <c r="V144" t="s">
        <v>137</v>
      </c>
      <c r="W144" t="s">
        <v>92</v>
      </c>
      <c r="X144" t="s">
        <v>93</v>
      </c>
      <c r="Y144" t="s">
        <v>449</v>
      </c>
      <c r="Z144" t="s">
        <v>42</v>
      </c>
      <c r="AA144" t="s">
        <v>166</v>
      </c>
      <c r="AB144" t="s">
        <v>38</v>
      </c>
      <c r="AC144" t="s">
        <v>165</v>
      </c>
      <c r="AD144" t="s">
        <v>48</v>
      </c>
      <c r="AG144" t="str">
        <f>IF(AD144="United States", IFERROR(INDEX(Sheet2!$C:$C, MATCH(AE144&amp;AF144, Sheet2!$E:$E, 0)) &amp; ", " &amp; INDEX(Sheet2!$D:$D, MATCH(AE144&amp;AF144, Sheet2!$E:$E, 0)), ""), "-")</f>
        <v/>
      </c>
    </row>
    <row r="145" spans="1:33" x14ac:dyDescent="0.25">
      <c r="A145" t="s">
        <v>378</v>
      </c>
      <c r="B145" t="s">
        <v>490</v>
      </c>
      <c r="C145" t="s">
        <v>433</v>
      </c>
      <c r="D145" t="s">
        <v>491</v>
      </c>
      <c r="E145" t="s">
        <v>492</v>
      </c>
      <c r="F145">
        <v>1760</v>
      </c>
      <c r="G145">
        <v>288</v>
      </c>
      <c r="H145" t="s">
        <v>435</v>
      </c>
      <c r="I145" t="s">
        <v>39</v>
      </c>
      <c r="J145" t="s">
        <v>436</v>
      </c>
      <c r="K145" t="s">
        <v>38</v>
      </c>
      <c r="L145" t="s">
        <v>38</v>
      </c>
      <c r="M145" t="s">
        <v>38</v>
      </c>
      <c r="N145" t="s">
        <v>38</v>
      </c>
      <c r="O145" t="s">
        <v>41</v>
      </c>
      <c r="P145" t="s">
        <v>42</v>
      </c>
      <c r="Q145" t="s">
        <v>43</v>
      </c>
      <c r="R145" t="s">
        <v>89</v>
      </c>
      <c r="S145" t="s">
        <v>45</v>
      </c>
      <c r="T145" t="s">
        <v>89</v>
      </c>
      <c r="U145" t="s">
        <v>383</v>
      </c>
      <c r="V145" t="s">
        <v>137</v>
      </c>
      <c r="W145" t="s">
        <v>92</v>
      </c>
      <c r="X145" t="s">
        <v>93</v>
      </c>
      <c r="Y145" t="s">
        <v>493</v>
      </c>
      <c r="Z145" t="s">
        <v>42</v>
      </c>
      <c r="AA145" t="s">
        <v>38</v>
      </c>
      <c r="AB145" t="s">
        <v>38</v>
      </c>
      <c r="AC145" t="s">
        <v>45</v>
      </c>
      <c r="AD145" t="s">
        <v>48</v>
      </c>
      <c r="AG145" t="str">
        <f>IF(AD145="United States", IFERROR(INDEX(Sheet2!$C:$C, MATCH(AE145&amp;AF145, Sheet2!$E:$E, 0)) &amp; ", " &amp; INDEX(Sheet2!$D:$D, MATCH(AE145&amp;AF145, Sheet2!$E:$E, 0)), ""), "-")</f>
        <v/>
      </c>
    </row>
    <row r="146" spans="1:33" x14ac:dyDescent="0.25">
      <c r="A146" t="s">
        <v>378</v>
      </c>
      <c r="B146" t="s">
        <v>494</v>
      </c>
      <c r="C146" t="s">
        <v>433</v>
      </c>
      <c r="D146" t="s">
        <v>495</v>
      </c>
      <c r="E146" t="s">
        <v>496</v>
      </c>
      <c r="F146">
        <v>1768</v>
      </c>
      <c r="G146">
        <v>287</v>
      </c>
      <c r="H146" t="s">
        <v>435</v>
      </c>
      <c r="I146" t="s">
        <v>39</v>
      </c>
      <c r="J146" t="s">
        <v>436</v>
      </c>
      <c r="K146" t="s">
        <v>38</v>
      </c>
      <c r="L146" t="s">
        <v>38</v>
      </c>
      <c r="M146" t="s">
        <v>38</v>
      </c>
      <c r="N146" t="s">
        <v>38</v>
      </c>
      <c r="O146" t="s">
        <v>54</v>
      </c>
      <c r="P146" t="s">
        <v>42</v>
      </c>
      <c r="Q146" t="s">
        <v>43</v>
      </c>
      <c r="R146" t="s">
        <v>89</v>
      </c>
      <c r="S146" t="s">
        <v>38</v>
      </c>
      <c r="T146" t="s">
        <v>89</v>
      </c>
      <c r="U146" t="s">
        <v>383</v>
      </c>
      <c r="V146" t="s">
        <v>137</v>
      </c>
      <c r="W146" t="s">
        <v>92</v>
      </c>
      <c r="X146" t="s">
        <v>93</v>
      </c>
      <c r="Y146" t="s">
        <v>38</v>
      </c>
      <c r="Z146" t="s">
        <v>42</v>
      </c>
      <c r="AA146" t="s">
        <v>38</v>
      </c>
      <c r="AB146" t="s">
        <v>38</v>
      </c>
      <c r="AC146" t="s">
        <v>38</v>
      </c>
      <c r="AD146" t="s">
        <v>48</v>
      </c>
      <c r="AG146" t="str">
        <f>IF(AD146="United States", IFERROR(INDEX(Sheet2!$C:$C, MATCH(AE146&amp;AF146, Sheet2!$E:$E, 0)) &amp; ", " &amp; INDEX(Sheet2!$D:$D, MATCH(AE146&amp;AF146, Sheet2!$E:$E, 0)), ""), "-")</f>
        <v/>
      </c>
    </row>
    <row r="147" spans="1:33" x14ac:dyDescent="0.25">
      <c r="A147" t="s">
        <v>378</v>
      </c>
      <c r="B147" t="s">
        <v>497</v>
      </c>
      <c r="C147" t="s">
        <v>433</v>
      </c>
      <c r="D147" t="s">
        <v>220</v>
      </c>
      <c r="E147" t="s">
        <v>498</v>
      </c>
      <c r="F147">
        <v>1758</v>
      </c>
      <c r="G147">
        <v>286</v>
      </c>
      <c r="H147" t="s">
        <v>435</v>
      </c>
      <c r="I147" t="s">
        <v>39</v>
      </c>
      <c r="J147" t="s">
        <v>436</v>
      </c>
      <c r="K147" t="s">
        <v>38</v>
      </c>
      <c r="L147" t="s">
        <v>38</v>
      </c>
      <c r="M147" t="s">
        <v>38</v>
      </c>
      <c r="N147" t="s">
        <v>38</v>
      </c>
      <c r="O147" t="s">
        <v>41</v>
      </c>
      <c r="P147" t="s">
        <v>42</v>
      </c>
      <c r="Q147" t="s">
        <v>43</v>
      </c>
      <c r="R147" t="s">
        <v>89</v>
      </c>
      <c r="S147" t="s">
        <v>38</v>
      </c>
      <c r="T147" t="s">
        <v>89</v>
      </c>
      <c r="U147" t="s">
        <v>383</v>
      </c>
      <c r="V147" t="s">
        <v>137</v>
      </c>
      <c r="W147" t="s">
        <v>92</v>
      </c>
      <c r="X147" t="s">
        <v>93</v>
      </c>
      <c r="Y147" t="s">
        <v>499</v>
      </c>
      <c r="Z147" t="s">
        <v>42</v>
      </c>
      <c r="AA147" t="s">
        <v>38</v>
      </c>
      <c r="AB147" t="s">
        <v>38</v>
      </c>
      <c r="AC147" t="s">
        <v>155</v>
      </c>
      <c r="AD147" t="s">
        <v>48</v>
      </c>
      <c r="AG147" t="str">
        <f>IF(AD147="United States", IFERROR(INDEX(Sheet2!$C:$C, MATCH(AE147&amp;AF147, Sheet2!$E:$E, 0)) &amp; ", " &amp; INDEX(Sheet2!$D:$D, MATCH(AE147&amp;AF147, Sheet2!$E:$E, 0)), ""), "-")</f>
        <v/>
      </c>
    </row>
    <row r="148" spans="1:33" x14ac:dyDescent="0.25">
      <c r="A148" t="s">
        <v>500</v>
      </c>
      <c r="D148" t="s">
        <v>501</v>
      </c>
      <c r="E148" t="s">
        <v>38</v>
      </c>
      <c r="F148">
        <v>1768</v>
      </c>
      <c r="G148">
        <v>1905</v>
      </c>
      <c r="H148">
        <v>62</v>
      </c>
      <c r="O148" t="s">
        <v>54</v>
      </c>
      <c r="R148" t="s">
        <v>89</v>
      </c>
      <c r="T148" t="s">
        <v>89</v>
      </c>
      <c r="U148" t="s">
        <v>383</v>
      </c>
      <c r="V148" t="s">
        <v>111</v>
      </c>
      <c r="W148" t="s">
        <v>92</v>
      </c>
      <c r="X148" t="s">
        <v>93</v>
      </c>
      <c r="Y148" t="s">
        <v>38</v>
      </c>
      <c r="AA148" t="s">
        <v>38</v>
      </c>
      <c r="AB148" t="s">
        <v>38</v>
      </c>
      <c r="AC148" t="s">
        <v>38</v>
      </c>
      <c r="AD148" t="s">
        <v>48</v>
      </c>
      <c r="AG148" t="str">
        <f>IF(AD148="United States", IFERROR(INDEX(Sheet2!$C:$C, MATCH(AE148&amp;AF148, Sheet2!$E:$E, 0)) &amp; ", " &amp; INDEX(Sheet2!$D:$D, MATCH(AE148&amp;AF148, Sheet2!$E:$E, 0)), ""), "-")</f>
        <v/>
      </c>
    </row>
    <row r="149" spans="1:33" x14ac:dyDescent="0.25">
      <c r="A149" t="s">
        <v>502</v>
      </c>
      <c r="B149" t="s">
        <v>503</v>
      </c>
      <c r="C149" t="s">
        <v>504</v>
      </c>
      <c r="D149" t="s">
        <v>505</v>
      </c>
      <c r="E149" t="s">
        <v>38</v>
      </c>
      <c r="F149">
        <v>1763</v>
      </c>
      <c r="G149">
        <v>25</v>
      </c>
      <c r="H149" t="s">
        <v>506</v>
      </c>
      <c r="I149" t="s">
        <v>39</v>
      </c>
      <c r="J149" t="s">
        <v>507</v>
      </c>
      <c r="K149" t="s">
        <v>38</v>
      </c>
      <c r="L149" t="s">
        <v>38</v>
      </c>
      <c r="M149" t="s">
        <v>38</v>
      </c>
      <c r="N149" t="s">
        <v>38</v>
      </c>
      <c r="O149" t="s">
        <v>57</v>
      </c>
      <c r="P149" t="s">
        <v>42</v>
      </c>
      <c r="Q149" t="s">
        <v>43</v>
      </c>
      <c r="R149" t="s">
        <v>89</v>
      </c>
      <c r="S149" t="s">
        <v>38</v>
      </c>
      <c r="T149" t="s">
        <v>89</v>
      </c>
      <c r="U149" t="s">
        <v>508</v>
      </c>
      <c r="V149" t="s">
        <v>91</v>
      </c>
      <c r="W149" t="s">
        <v>92</v>
      </c>
      <c r="X149" t="s">
        <v>93</v>
      </c>
      <c r="Y149" t="s">
        <v>509</v>
      </c>
      <c r="Z149" t="s">
        <v>42</v>
      </c>
      <c r="AA149" t="s">
        <v>38</v>
      </c>
      <c r="AB149" t="s">
        <v>38</v>
      </c>
      <c r="AC149" t="s">
        <v>505</v>
      </c>
      <c r="AD149" t="s">
        <v>48</v>
      </c>
      <c r="AG149" t="str">
        <f>IF(AD149="United States", IFERROR(INDEX(Sheet2!$C:$C, MATCH(AE149&amp;AF149, Sheet2!$E:$E, 0)) &amp; ", " &amp; INDEX(Sheet2!$D:$D, MATCH(AE149&amp;AF149, Sheet2!$E:$E, 0)), ""), "-")</f>
        <v/>
      </c>
    </row>
    <row r="150" spans="1:33" x14ac:dyDescent="0.25">
      <c r="A150" t="s">
        <v>502</v>
      </c>
      <c r="B150" t="s">
        <v>510</v>
      </c>
      <c r="C150" t="s">
        <v>504</v>
      </c>
      <c r="D150" t="s">
        <v>463</v>
      </c>
      <c r="E150" t="s">
        <v>38</v>
      </c>
      <c r="F150">
        <v>1763</v>
      </c>
      <c r="G150">
        <v>24</v>
      </c>
      <c r="H150" t="s">
        <v>506</v>
      </c>
      <c r="I150" t="s">
        <v>39</v>
      </c>
      <c r="J150" t="s">
        <v>507</v>
      </c>
      <c r="K150" t="s">
        <v>38</v>
      </c>
      <c r="L150" t="s">
        <v>38</v>
      </c>
      <c r="M150" t="s">
        <v>38</v>
      </c>
      <c r="N150" t="s">
        <v>38</v>
      </c>
      <c r="O150" t="s">
        <v>41</v>
      </c>
      <c r="P150" t="s">
        <v>42</v>
      </c>
      <c r="Q150" t="s">
        <v>43</v>
      </c>
      <c r="R150" t="s">
        <v>89</v>
      </c>
      <c r="S150" t="s">
        <v>38</v>
      </c>
      <c r="T150" t="s">
        <v>89</v>
      </c>
      <c r="U150" t="s">
        <v>508</v>
      </c>
      <c r="V150" t="s">
        <v>91</v>
      </c>
      <c r="W150" t="s">
        <v>92</v>
      </c>
      <c r="X150" t="s">
        <v>93</v>
      </c>
      <c r="Y150" t="s">
        <v>511</v>
      </c>
      <c r="Z150" t="s">
        <v>42</v>
      </c>
      <c r="AA150" t="s">
        <v>38</v>
      </c>
      <c r="AB150" t="s">
        <v>38</v>
      </c>
      <c r="AC150" t="s">
        <v>38</v>
      </c>
      <c r="AD150" t="s">
        <v>48</v>
      </c>
      <c r="AG150" t="str">
        <f>IF(AD150="United States", IFERROR(INDEX(Sheet2!$C:$C, MATCH(AE150&amp;AF150, Sheet2!$E:$E, 0)) &amp; ", " &amp; INDEX(Sheet2!$D:$D, MATCH(AE150&amp;AF150, Sheet2!$E:$E, 0)), ""), "-")</f>
        <v/>
      </c>
    </row>
    <row r="151" spans="1:33" x14ac:dyDescent="0.25">
      <c r="A151" t="s">
        <v>502</v>
      </c>
      <c r="B151" t="s">
        <v>512</v>
      </c>
      <c r="C151" t="s">
        <v>504</v>
      </c>
      <c r="D151" t="s">
        <v>513</v>
      </c>
      <c r="E151" t="s">
        <v>514</v>
      </c>
      <c r="F151">
        <v>1773</v>
      </c>
      <c r="G151">
        <v>23</v>
      </c>
      <c r="H151" t="s">
        <v>506</v>
      </c>
      <c r="I151" t="s">
        <v>39</v>
      </c>
      <c r="J151" t="s">
        <v>507</v>
      </c>
      <c r="K151" t="s">
        <v>38</v>
      </c>
      <c r="L151" t="s">
        <v>38</v>
      </c>
      <c r="M151" t="s">
        <v>515</v>
      </c>
      <c r="N151" t="s">
        <v>485</v>
      </c>
      <c r="O151" t="s">
        <v>54</v>
      </c>
      <c r="P151" t="s">
        <v>42</v>
      </c>
      <c r="Q151" t="s">
        <v>43</v>
      </c>
      <c r="R151" t="s">
        <v>89</v>
      </c>
      <c r="S151" t="s">
        <v>38</v>
      </c>
      <c r="T151" t="s">
        <v>89</v>
      </c>
      <c r="U151" t="s">
        <v>508</v>
      </c>
      <c r="V151" t="s">
        <v>91</v>
      </c>
      <c r="W151" t="s">
        <v>92</v>
      </c>
      <c r="X151" t="s">
        <v>93</v>
      </c>
      <c r="Y151" t="s">
        <v>516</v>
      </c>
      <c r="Z151" t="s">
        <v>42</v>
      </c>
      <c r="AA151" t="s">
        <v>38</v>
      </c>
      <c r="AB151" t="s">
        <v>38</v>
      </c>
      <c r="AC151" t="s">
        <v>155</v>
      </c>
      <c r="AD151" t="s">
        <v>48</v>
      </c>
      <c r="AG151" t="str">
        <f>IF(AD151="United States", IFERROR(INDEX(Sheet2!$C:$C, MATCH(AE151&amp;AF151, Sheet2!$E:$E, 0)) &amp; ", " &amp; INDEX(Sheet2!$D:$D, MATCH(AE151&amp;AF151, Sheet2!$E:$E, 0)), ""), "-")</f>
        <v/>
      </c>
    </row>
    <row r="152" spans="1:33" x14ac:dyDescent="0.25">
      <c r="A152" t="s">
        <v>502</v>
      </c>
      <c r="B152" t="s">
        <v>517</v>
      </c>
      <c r="C152" t="s">
        <v>504</v>
      </c>
      <c r="D152" t="s">
        <v>518</v>
      </c>
      <c r="E152" t="s">
        <v>164</v>
      </c>
      <c r="F152">
        <v>1781</v>
      </c>
      <c r="G152">
        <v>20</v>
      </c>
      <c r="H152" t="s">
        <v>506</v>
      </c>
      <c r="I152" t="s">
        <v>39</v>
      </c>
      <c r="J152" t="s">
        <v>507</v>
      </c>
      <c r="K152" t="s">
        <v>106</v>
      </c>
      <c r="L152" t="s">
        <v>519</v>
      </c>
      <c r="M152" t="s">
        <v>38</v>
      </c>
      <c r="N152" t="s">
        <v>38</v>
      </c>
      <c r="O152" t="s">
        <v>54</v>
      </c>
      <c r="P152" t="s">
        <v>42</v>
      </c>
      <c r="Q152" t="s">
        <v>43</v>
      </c>
      <c r="R152" t="s">
        <v>89</v>
      </c>
      <c r="S152" t="s">
        <v>45</v>
      </c>
      <c r="T152" t="s">
        <v>89</v>
      </c>
      <c r="U152" t="s">
        <v>508</v>
      </c>
      <c r="V152" t="s">
        <v>91</v>
      </c>
      <c r="W152" t="s">
        <v>92</v>
      </c>
      <c r="X152" t="s">
        <v>93</v>
      </c>
      <c r="Y152" t="s">
        <v>520</v>
      </c>
      <c r="Z152" t="s">
        <v>42</v>
      </c>
      <c r="AA152" t="s">
        <v>38</v>
      </c>
      <c r="AB152" t="s">
        <v>38</v>
      </c>
      <c r="AC152" t="s">
        <v>45</v>
      </c>
      <c r="AD152" t="s">
        <v>48</v>
      </c>
      <c r="AG152" t="str">
        <f>IF(AD152="United States", IFERROR(INDEX(Sheet2!$C:$C, MATCH(AE152&amp;AF152, Sheet2!$E:$E, 0)) &amp; ", " &amp; INDEX(Sheet2!$D:$D, MATCH(AE152&amp;AF152, Sheet2!$E:$E, 0)), ""), "-")</f>
        <v/>
      </c>
    </row>
    <row r="153" spans="1:33" x14ac:dyDescent="0.25">
      <c r="A153" t="s">
        <v>502</v>
      </c>
      <c r="B153" t="s">
        <v>521</v>
      </c>
      <c r="C153" t="s">
        <v>504</v>
      </c>
      <c r="D153" t="s">
        <v>106</v>
      </c>
      <c r="E153" t="s">
        <v>519</v>
      </c>
      <c r="F153">
        <v>1758</v>
      </c>
      <c r="G153">
        <v>19</v>
      </c>
      <c r="H153" t="s">
        <v>506</v>
      </c>
      <c r="I153" t="s">
        <v>39</v>
      </c>
      <c r="J153" t="s">
        <v>507</v>
      </c>
      <c r="K153" t="s">
        <v>38</v>
      </c>
      <c r="L153" t="s">
        <v>38</v>
      </c>
      <c r="M153" t="s">
        <v>522</v>
      </c>
      <c r="N153" t="s">
        <v>523</v>
      </c>
      <c r="O153" t="s">
        <v>41</v>
      </c>
      <c r="P153" t="s">
        <v>42</v>
      </c>
      <c r="Q153" t="s">
        <v>43</v>
      </c>
      <c r="R153" t="s">
        <v>89</v>
      </c>
      <c r="S153" t="s">
        <v>45</v>
      </c>
      <c r="T153" t="s">
        <v>89</v>
      </c>
      <c r="U153" t="s">
        <v>508</v>
      </c>
      <c r="V153" t="s">
        <v>91</v>
      </c>
      <c r="W153" t="s">
        <v>92</v>
      </c>
      <c r="X153" t="s">
        <v>93</v>
      </c>
      <c r="Y153" t="s">
        <v>524</v>
      </c>
      <c r="Z153" t="s">
        <v>42</v>
      </c>
      <c r="AA153" t="s">
        <v>38</v>
      </c>
      <c r="AB153" t="s">
        <v>38</v>
      </c>
      <c r="AC153" t="s">
        <v>45</v>
      </c>
      <c r="AD153" t="s">
        <v>48</v>
      </c>
      <c r="AG153" t="str">
        <f>IF(AD153="United States", IFERROR(INDEX(Sheet2!$C:$C, MATCH(AE153&amp;AF153, Sheet2!$E:$E, 0)) &amp; ", " &amp; INDEX(Sheet2!$D:$D, MATCH(AE153&amp;AF153, Sheet2!$E:$E, 0)), ""), "-")</f>
        <v/>
      </c>
    </row>
    <row r="154" spans="1:33" x14ac:dyDescent="0.25">
      <c r="A154" t="s">
        <v>502</v>
      </c>
      <c r="D154" t="s">
        <v>525</v>
      </c>
      <c r="E154" t="s">
        <v>412</v>
      </c>
      <c r="F154">
        <v>1773</v>
      </c>
      <c r="G154">
        <v>26</v>
      </c>
      <c r="H154">
        <v>17</v>
      </c>
      <c r="J154" t="s">
        <v>507</v>
      </c>
      <c r="O154" t="s">
        <v>54</v>
      </c>
      <c r="R154" t="s">
        <v>89</v>
      </c>
      <c r="T154" t="s">
        <v>89</v>
      </c>
      <c r="U154" t="s">
        <v>508</v>
      </c>
      <c r="V154" t="s">
        <v>111</v>
      </c>
      <c r="W154" t="s">
        <v>92</v>
      </c>
      <c r="X154" t="s">
        <v>93</v>
      </c>
      <c r="Y154" t="s">
        <v>38</v>
      </c>
      <c r="AA154" t="s">
        <v>38</v>
      </c>
      <c r="AB154" t="s">
        <v>38</v>
      </c>
      <c r="AC154" t="s">
        <v>38</v>
      </c>
      <c r="AD154" t="s">
        <v>48</v>
      </c>
      <c r="AG154" t="str">
        <f>IF(AD154="United States", IFERROR(INDEX(Sheet2!$C:$C, MATCH(AE154&amp;AF154, Sheet2!$E:$E, 0)) &amp; ", " &amp; INDEX(Sheet2!$D:$D, MATCH(AE154&amp;AF154, Sheet2!$E:$E, 0)), ""), "-")</f>
        <v/>
      </c>
    </row>
    <row r="155" spans="1:33" x14ac:dyDescent="0.25">
      <c r="A155" t="s">
        <v>502</v>
      </c>
      <c r="B155" t="s">
        <v>526</v>
      </c>
      <c r="C155" t="s">
        <v>504</v>
      </c>
      <c r="D155" t="s">
        <v>222</v>
      </c>
      <c r="E155" t="s">
        <v>527</v>
      </c>
      <c r="F155">
        <v>1753</v>
      </c>
      <c r="G155">
        <v>22</v>
      </c>
      <c r="H155" t="s">
        <v>506</v>
      </c>
      <c r="I155" t="s">
        <v>39</v>
      </c>
      <c r="J155" t="s">
        <v>507</v>
      </c>
      <c r="K155" t="s">
        <v>38</v>
      </c>
      <c r="L155" t="s">
        <v>38</v>
      </c>
      <c r="M155" t="s">
        <v>515</v>
      </c>
      <c r="N155" t="s">
        <v>485</v>
      </c>
      <c r="O155" t="s">
        <v>74</v>
      </c>
      <c r="P155" t="s">
        <v>42</v>
      </c>
      <c r="Q155" t="s">
        <v>43</v>
      </c>
      <c r="R155" t="s">
        <v>89</v>
      </c>
      <c r="S155" t="s">
        <v>38</v>
      </c>
      <c r="T155" t="s">
        <v>89</v>
      </c>
      <c r="U155" t="s">
        <v>508</v>
      </c>
      <c r="V155" t="s">
        <v>91</v>
      </c>
      <c r="W155" t="s">
        <v>92</v>
      </c>
      <c r="X155" t="s">
        <v>93</v>
      </c>
      <c r="Y155" t="s">
        <v>516</v>
      </c>
      <c r="Z155" t="s">
        <v>42</v>
      </c>
      <c r="AA155" t="s">
        <v>38</v>
      </c>
      <c r="AB155" t="s">
        <v>38</v>
      </c>
      <c r="AC155" t="s">
        <v>155</v>
      </c>
      <c r="AD155" t="s">
        <v>48</v>
      </c>
      <c r="AG155" t="str">
        <f>IF(AD155="United States", IFERROR(INDEX(Sheet2!$C:$C, MATCH(AE155&amp;AF155, Sheet2!$E:$E, 0)) &amp; ", " &amp; INDEX(Sheet2!$D:$D, MATCH(AE155&amp;AF155, Sheet2!$E:$E, 0)), ""), "-")</f>
        <v/>
      </c>
    </row>
    <row r="156" spans="1:33" x14ac:dyDescent="0.25">
      <c r="A156" t="s">
        <v>502</v>
      </c>
      <c r="B156" t="s">
        <v>528</v>
      </c>
      <c r="C156" t="s">
        <v>504</v>
      </c>
      <c r="D156" t="s">
        <v>515</v>
      </c>
      <c r="E156" t="s">
        <v>485</v>
      </c>
      <c r="F156">
        <v>1761</v>
      </c>
      <c r="G156">
        <v>21</v>
      </c>
      <c r="H156" t="s">
        <v>506</v>
      </c>
      <c r="I156" t="s">
        <v>39</v>
      </c>
      <c r="J156" t="s">
        <v>507</v>
      </c>
      <c r="K156" t="s">
        <v>38</v>
      </c>
      <c r="L156" t="s">
        <v>38</v>
      </c>
      <c r="M156" t="s">
        <v>38</v>
      </c>
      <c r="N156" t="s">
        <v>38</v>
      </c>
      <c r="O156" t="s">
        <v>57</v>
      </c>
      <c r="P156" t="s">
        <v>42</v>
      </c>
      <c r="Q156" t="s">
        <v>43</v>
      </c>
      <c r="R156" t="s">
        <v>89</v>
      </c>
      <c r="S156" t="s">
        <v>38</v>
      </c>
      <c r="T156" t="s">
        <v>89</v>
      </c>
      <c r="U156" t="s">
        <v>508</v>
      </c>
      <c r="V156" t="s">
        <v>91</v>
      </c>
      <c r="W156" t="s">
        <v>92</v>
      </c>
      <c r="X156" t="s">
        <v>93</v>
      </c>
      <c r="Y156" t="s">
        <v>529</v>
      </c>
      <c r="Z156" t="s">
        <v>42</v>
      </c>
      <c r="AA156" t="s">
        <v>38</v>
      </c>
      <c r="AB156" t="s">
        <v>38</v>
      </c>
      <c r="AC156" t="s">
        <v>38</v>
      </c>
      <c r="AD156" t="s">
        <v>48</v>
      </c>
      <c r="AG156" t="str">
        <f>IF(AD156="United States", IFERROR(INDEX(Sheet2!$C:$C, MATCH(AE156&amp;AF156, Sheet2!$E:$E, 0)) &amp; ", " &amp; INDEX(Sheet2!$D:$D, MATCH(AE156&amp;AF156, Sheet2!$E:$E, 0)), ""), "-")</f>
        <v/>
      </c>
    </row>
    <row r="157" spans="1:33" x14ac:dyDescent="0.25">
      <c r="A157" t="s">
        <v>502</v>
      </c>
      <c r="D157" t="s">
        <v>530</v>
      </c>
      <c r="E157" t="s">
        <v>531</v>
      </c>
      <c r="F157">
        <v>1751</v>
      </c>
      <c r="G157">
        <v>20</v>
      </c>
      <c r="H157">
        <v>17</v>
      </c>
      <c r="J157" t="s">
        <v>507</v>
      </c>
      <c r="O157" t="s">
        <v>57</v>
      </c>
      <c r="R157" t="s">
        <v>89</v>
      </c>
      <c r="T157" t="s">
        <v>89</v>
      </c>
      <c r="U157" t="s">
        <v>508</v>
      </c>
      <c r="V157" t="s">
        <v>111</v>
      </c>
      <c r="W157" t="s">
        <v>92</v>
      </c>
      <c r="X157" t="s">
        <v>93</v>
      </c>
      <c r="Y157" t="s">
        <v>38</v>
      </c>
      <c r="AA157" t="s">
        <v>38</v>
      </c>
      <c r="AB157" t="s">
        <v>38</v>
      </c>
      <c r="AC157" t="s">
        <v>38</v>
      </c>
      <c r="AD157" t="s">
        <v>48</v>
      </c>
      <c r="AG157" t="str">
        <f>IF(AD157="United States", IFERROR(INDEX(Sheet2!$C:$C, MATCH(AE157&amp;AF157, Sheet2!$E:$E, 0)) &amp; ", " &amp; INDEX(Sheet2!$D:$D, MATCH(AE157&amp;AF157, Sheet2!$E:$E, 0)), ""), "-")</f>
        <v/>
      </c>
    </row>
    <row r="158" spans="1:33" x14ac:dyDescent="0.25">
      <c r="A158" t="s">
        <v>532</v>
      </c>
      <c r="B158" t="s">
        <v>533</v>
      </c>
      <c r="C158" t="s">
        <v>534</v>
      </c>
      <c r="D158" t="s">
        <v>535</v>
      </c>
      <c r="E158" t="s">
        <v>38</v>
      </c>
      <c r="F158">
        <v>1763</v>
      </c>
      <c r="G158">
        <v>2492</v>
      </c>
      <c r="H158" t="s">
        <v>536</v>
      </c>
      <c r="I158" t="s">
        <v>87</v>
      </c>
      <c r="J158" t="s">
        <v>38</v>
      </c>
      <c r="K158" t="s">
        <v>38</v>
      </c>
      <c r="L158" t="s">
        <v>38</v>
      </c>
      <c r="M158" t="s">
        <v>38</v>
      </c>
      <c r="N158" t="s">
        <v>38</v>
      </c>
      <c r="O158" t="s">
        <v>57</v>
      </c>
      <c r="P158" t="s">
        <v>42</v>
      </c>
      <c r="Q158" t="s">
        <v>43</v>
      </c>
      <c r="R158" t="s">
        <v>89</v>
      </c>
      <c r="S158" t="s">
        <v>153</v>
      </c>
      <c r="T158" t="s">
        <v>89</v>
      </c>
      <c r="U158" t="s">
        <v>38</v>
      </c>
      <c r="V158" t="s">
        <v>38</v>
      </c>
      <c r="W158" t="s">
        <v>92</v>
      </c>
      <c r="X158" t="s">
        <v>38</v>
      </c>
      <c r="Y158" t="s">
        <v>38</v>
      </c>
      <c r="Z158" t="s">
        <v>42</v>
      </c>
      <c r="AA158" t="s">
        <v>155</v>
      </c>
      <c r="AB158" t="s">
        <v>38</v>
      </c>
      <c r="AC158" t="s">
        <v>153</v>
      </c>
      <c r="AD158" t="s">
        <v>48</v>
      </c>
      <c r="AG158" t="str">
        <f>IF(AD158="United States", IFERROR(INDEX(Sheet2!$C:$C, MATCH(AE158&amp;AF158, Sheet2!$E:$E, 0)) &amp; ", " &amp; INDEX(Sheet2!$D:$D, MATCH(AE158&amp;AF158, Sheet2!$E:$E, 0)), ""), "-")</f>
        <v/>
      </c>
    </row>
    <row r="159" spans="1:33" x14ac:dyDescent="0.25">
      <c r="A159" t="s">
        <v>532</v>
      </c>
      <c r="B159" t="s">
        <v>537</v>
      </c>
      <c r="C159" t="s">
        <v>538</v>
      </c>
      <c r="D159" t="s">
        <v>352</v>
      </c>
      <c r="E159" t="s">
        <v>539</v>
      </c>
      <c r="F159">
        <v>1760</v>
      </c>
      <c r="G159">
        <v>8</v>
      </c>
      <c r="H159" t="s">
        <v>506</v>
      </c>
      <c r="I159" t="s">
        <v>39</v>
      </c>
      <c r="J159" t="s">
        <v>38</v>
      </c>
      <c r="K159" t="s">
        <v>38</v>
      </c>
      <c r="L159" t="s">
        <v>38</v>
      </c>
      <c r="M159" t="s">
        <v>38</v>
      </c>
      <c r="N159" t="s">
        <v>38</v>
      </c>
      <c r="O159" t="s">
        <v>57</v>
      </c>
      <c r="P159" t="s">
        <v>42</v>
      </c>
      <c r="Q159" t="s">
        <v>43</v>
      </c>
      <c r="R159" t="s">
        <v>89</v>
      </c>
      <c r="S159" t="s">
        <v>38</v>
      </c>
      <c r="T159" t="s">
        <v>89</v>
      </c>
      <c r="U159" t="s">
        <v>38</v>
      </c>
      <c r="V159" t="s">
        <v>91</v>
      </c>
      <c r="W159" t="s">
        <v>92</v>
      </c>
      <c r="X159" t="s">
        <v>38</v>
      </c>
      <c r="Y159" t="s">
        <v>540</v>
      </c>
      <c r="Z159" t="s">
        <v>42</v>
      </c>
      <c r="AA159" t="s">
        <v>38</v>
      </c>
      <c r="AB159" t="s">
        <v>38</v>
      </c>
      <c r="AC159" t="s">
        <v>38</v>
      </c>
      <c r="AD159" t="s">
        <v>48</v>
      </c>
      <c r="AG159" t="str">
        <f>IF(AD159="United States", IFERROR(INDEX(Sheet2!$C:$C, MATCH(AE159&amp;AF159, Sheet2!$E:$E, 0)) &amp; ", " &amp; INDEX(Sheet2!$D:$D, MATCH(AE159&amp;AF159, Sheet2!$E:$E, 0)), ""), "-")</f>
        <v/>
      </c>
    </row>
    <row r="160" spans="1:33" x14ac:dyDescent="0.25">
      <c r="A160" t="s">
        <v>532</v>
      </c>
      <c r="B160" t="s">
        <v>541</v>
      </c>
      <c r="C160" t="s">
        <v>538</v>
      </c>
      <c r="D160" t="s">
        <v>522</v>
      </c>
      <c r="E160" t="s">
        <v>523</v>
      </c>
      <c r="F160">
        <v>1761</v>
      </c>
      <c r="G160">
        <v>9</v>
      </c>
      <c r="H160" t="s">
        <v>506</v>
      </c>
      <c r="I160" t="s">
        <v>39</v>
      </c>
      <c r="J160" t="s">
        <v>38</v>
      </c>
      <c r="K160" t="s">
        <v>38</v>
      </c>
      <c r="L160" t="s">
        <v>38</v>
      </c>
      <c r="M160" t="s">
        <v>38</v>
      </c>
      <c r="N160" t="s">
        <v>38</v>
      </c>
      <c r="O160" t="s">
        <v>57</v>
      </c>
      <c r="P160" t="s">
        <v>42</v>
      </c>
      <c r="Q160" t="s">
        <v>43</v>
      </c>
      <c r="R160" t="s">
        <v>89</v>
      </c>
      <c r="S160" t="s">
        <v>45</v>
      </c>
      <c r="T160" t="s">
        <v>89</v>
      </c>
      <c r="U160" t="s">
        <v>38</v>
      </c>
      <c r="V160" t="s">
        <v>91</v>
      </c>
      <c r="W160" t="s">
        <v>92</v>
      </c>
      <c r="X160" t="s">
        <v>38</v>
      </c>
      <c r="Y160" t="s">
        <v>542</v>
      </c>
      <c r="Z160" t="s">
        <v>42</v>
      </c>
      <c r="AA160" t="s">
        <v>89</v>
      </c>
      <c r="AB160" t="s">
        <v>38</v>
      </c>
      <c r="AC160" t="s">
        <v>45</v>
      </c>
      <c r="AD160" t="s">
        <v>48</v>
      </c>
      <c r="AG160" t="str">
        <f>IF(AD160="United States", IFERROR(INDEX(Sheet2!$C:$C, MATCH(AE160&amp;AF160, Sheet2!$E:$E, 0)) &amp; ", " &amp; INDEX(Sheet2!$D:$D, MATCH(AE160&amp;AF160, Sheet2!$E:$E, 0)), ""), "-")</f>
        <v/>
      </c>
    </row>
    <row r="161" spans="1:33" x14ac:dyDescent="0.25">
      <c r="A161" t="s">
        <v>532</v>
      </c>
      <c r="B161" t="s">
        <v>543</v>
      </c>
      <c r="C161" t="s">
        <v>544</v>
      </c>
      <c r="D161" t="s">
        <v>545</v>
      </c>
      <c r="E161" t="s">
        <v>38</v>
      </c>
      <c r="F161">
        <v>1768</v>
      </c>
      <c r="G161">
        <v>1817</v>
      </c>
      <c r="H161" t="s">
        <v>313</v>
      </c>
      <c r="I161" t="s">
        <v>80</v>
      </c>
      <c r="J161" t="s">
        <v>38</v>
      </c>
      <c r="K161" t="s">
        <v>38</v>
      </c>
      <c r="L161" t="s">
        <v>38</v>
      </c>
      <c r="M161" t="s">
        <v>38</v>
      </c>
      <c r="N161" t="s">
        <v>38</v>
      </c>
      <c r="O161" t="s">
        <v>54</v>
      </c>
      <c r="P161" t="s">
        <v>42</v>
      </c>
      <c r="Q161" t="s">
        <v>43</v>
      </c>
      <c r="R161" t="s">
        <v>89</v>
      </c>
      <c r="S161" t="s">
        <v>153</v>
      </c>
      <c r="T161" t="s">
        <v>89</v>
      </c>
      <c r="U161" t="s">
        <v>38</v>
      </c>
      <c r="V161" t="s">
        <v>38</v>
      </c>
      <c r="W161" t="s">
        <v>92</v>
      </c>
      <c r="X161" t="s">
        <v>38</v>
      </c>
      <c r="Y161" t="s">
        <v>546</v>
      </c>
      <c r="Z161" t="s">
        <v>42</v>
      </c>
      <c r="AA161" t="s">
        <v>155</v>
      </c>
      <c r="AB161" t="s">
        <v>38</v>
      </c>
      <c r="AC161" t="s">
        <v>153</v>
      </c>
      <c r="AD161" t="s">
        <v>48</v>
      </c>
      <c r="AG161" t="str">
        <f>IF(AD161="United States", IFERROR(INDEX(Sheet2!$C:$C, MATCH(AE161&amp;AF161, Sheet2!$E:$E, 0)) &amp; ", " &amp; INDEX(Sheet2!$D:$D, MATCH(AE161&amp;AF161, Sheet2!$E:$E, 0)), ""), "-")</f>
        <v/>
      </c>
    </row>
    <row r="162" spans="1:33" x14ac:dyDescent="0.25">
      <c r="A162" t="s">
        <v>532</v>
      </c>
      <c r="B162" t="s">
        <v>547</v>
      </c>
      <c r="C162" t="s">
        <v>534</v>
      </c>
      <c r="D162" t="s">
        <v>210</v>
      </c>
      <c r="E162" t="s">
        <v>361</v>
      </c>
      <c r="F162">
        <v>1761</v>
      </c>
      <c r="G162">
        <v>2495</v>
      </c>
      <c r="H162" t="s">
        <v>506</v>
      </c>
      <c r="I162" t="s">
        <v>87</v>
      </c>
      <c r="J162" t="s">
        <v>38</v>
      </c>
      <c r="K162" t="s">
        <v>38</v>
      </c>
      <c r="L162" t="s">
        <v>38</v>
      </c>
      <c r="M162" t="s">
        <v>38</v>
      </c>
      <c r="N162" t="s">
        <v>38</v>
      </c>
      <c r="O162" t="s">
        <v>41</v>
      </c>
      <c r="P162" t="s">
        <v>42</v>
      </c>
      <c r="Q162" t="s">
        <v>43</v>
      </c>
      <c r="R162" t="s">
        <v>89</v>
      </c>
      <c r="S162" t="s">
        <v>153</v>
      </c>
      <c r="T162" t="s">
        <v>89</v>
      </c>
      <c r="U162" t="s">
        <v>38</v>
      </c>
      <c r="V162" t="s">
        <v>38</v>
      </c>
      <c r="W162" t="s">
        <v>92</v>
      </c>
      <c r="X162" t="s">
        <v>38</v>
      </c>
      <c r="Y162" t="s">
        <v>38</v>
      </c>
      <c r="Z162" t="s">
        <v>42</v>
      </c>
      <c r="AA162" t="s">
        <v>548</v>
      </c>
      <c r="AB162" t="s">
        <v>38</v>
      </c>
      <c r="AC162" t="s">
        <v>153</v>
      </c>
      <c r="AD162" t="s">
        <v>48</v>
      </c>
      <c r="AG162" t="str">
        <f>IF(AD162="United States", IFERROR(INDEX(Sheet2!$C:$C, MATCH(AE162&amp;AF162, Sheet2!$E:$E, 0)) &amp; ", " &amp; INDEX(Sheet2!$D:$D, MATCH(AE162&amp;AF162, Sheet2!$E:$E, 0)), ""), "-")</f>
        <v/>
      </c>
    </row>
    <row r="163" spans="1:33" x14ac:dyDescent="0.25">
      <c r="A163" t="s">
        <v>532</v>
      </c>
      <c r="B163" t="s">
        <v>549</v>
      </c>
      <c r="C163" t="s">
        <v>534</v>
      </c>
      <c r="D163" t="s">
        <v>550</v>
      </c>
      <c r="E163" t="s">
        <v>38</v>
      </c>
      <c r="F163">
        <v>1767</v>
      </c>
      <c r="G163">
        <v>2496</v>
      </c>
      <c r="H163" t="s">
        <v>536</v>
      </c>
      <c r="I163" t="s">
        <v>87</v>
      </c>
      <c r="J163" t="s">
        <v>38</v>
      </c>
      <c r="K163" t="s">
        <v>38</v>
      </c>
      <c r="L163" t="s">
        <v>38</v>
      </c>
      <c r="M163" t="s">
        <v>38</v>
      </c>
      <c r="N163" t="s">
        <v>38</v>
      </c>
      <c r="O163" t="s">
        <v>54</v>
      </c>
      <c r="P163" t="s">
        <v>42</v>
      </c>
      <c r="Q163" t="s">
        <v>43</v>
      </c>
      <c r="R163" t="s">
        <v>89</v>
      </c>
      <c r="S163" t="s">
        <v>153</v>
      </c>
      <c r="T163" t="s">
        <v>89</v>
      </c>
      <c r="U163" t="s">
        <v>38</v>
      </c>
      <c r="V163" t="s">
        <v>38</v>
      </c>
      <c r="W163" t="s">
        <v>92</v>
      </c>
      <c r="X163" t="s">
        <v>38</v>
      </c>
      <c r="Y163" t="s">
        <v>38</v>
      </c>
      <c r="Z163" t="s">
        <v>42</v>
      </c>
      <c r="AA163" t="s">
        <v>155</v>
      </c>
      <c r="AB163" t="s">
        <v>38</v>
      </c>
      <c r="AC163" t="s">
        <v>153</v>
      </c>
      <c r="AD163" t="s">
        <v>48</v>
      </c>
      <c r="AG163" t="str">
        <f>IF(AD163="United States", IFERROR(INDEX(Sheet2!$C:$C, MATCH(AE163&amp;AF163, Sheet2!$E:$E, 0)) &amp; ", " &amp; INDEX(Sheet2!$D:$D, MATCH(AE163&amp;AF163, Sheet2!$E:$E, 0)), ""), "-")</f>
        <v/>
      </c>
    </row>
    <row r="164" spans="1:33" x14ac:dyDescent="0.25">
      <c r="A164" t="s">
        <v>532</v>
      </c>
      <c r="B164" t="s">
        <v>551</v>
      </c>
      <c r="C164" t="s">
        <v>538</v>
      </c>
      <c r="D164" t="s">
        <v>552</v>
      </c>
      <c r="E164" t="s">
        <v>38</v>
      </c>
      <c r="F164">
        <v>1764</v>
      </c>
      <c r="G164">
        <v>18</v>
      </c>
      <c r="H164" t="s">
        <v>506</v>
      </c>
      <c r="I164" t="s">
        <v>39</v>
      </c>
      <c r="J164" t="s">
        <v>38</v>
      </c>
      <c r="K164" t="s">
        <v>38</v>
      </c>
      <c r="L164" t="s">
        <v>38</v>
      </c>
      <c r="M164" t="s">
        <v>38</v>
      </c>
      <c r="N164" t="s">
        <v>38</v>
      </c>
      <c r="O164" t="s">
        <v>41</v>
      </c>
      <c r="P164" t="s">
        <v>125</v>
      </c>
      <c r="Q164" t="s">
        <v>124</v>
      </c>
      <c r="R164" t="s">
        <v>89</v>
      </c>
      <c r="S164" t="s">
        <v>153</v>
      </c>
      <c r="T164" t="s">
        <v>89</v>
      </c>
      <c r="U164" t="s">
        <v>38</v>
      </c>
      <c r="V164" t="s">
        <v>91</v>
      </c>
      <c r="W164" t="s">
        <v>92</v>
      </c>
      <c r="X164" t="s">
        <v>38</v>
      </c>
      <c r="Y164" t="s">
        <v>553</v>
      </c>
      <c r="Z164" t="s">
        <v>125</v>
      </c>
      <c r="AA164" t="s">
        <v>554</v>
      </c>
      <c r="AB164" t="s">
        <v>155</v>
      </c>
      <c r="AC164" t="s">
        <v>153</v>
      </c>
      <c r="AD164" t="s">
        <v>48</v>
      </c>
      <c r="AG164" t="str">
        <f>IF(AD164="United States", IFERROR(INDEX(Sheet2!$C:$C, MATCH(AE164&amp;AF164, Sheet2!$E:$E, 0)) &amp; ", " &amp; INDEX(Sheet2!$D:$D, MATCH(AE164&amp;AF164, Sheet2!$E:$E, 0)), ""), "-")</f>
        <v/>
      </c>
    </row>
    <row r="165" spans="1:33" x14ac:dyDescent="0.25">
      <c r="A165" t="s">
        <v>532</v>
      </c>
      <c r="B165" t="s">
        <v>555</v>
      </c>
      <c r="C165" t="s">
        <v>538</v>
      </c>
      <c r="D165" t="s">
        <v>556</v>
      </c>
      <c r="E165" t="s">
        <v>557</v>
      </c>
      <c r="F165">
        <v>1769</v>
      </c>
      <c r="G165">
        <v>17</v>
      </c>
      <c r="H165" t="s">
        <v>506</v>
      </c>
      <c r="I165" t="s">
        <v>39</v>
      </c>
      <c r="J165" t="s">
        <v>38</v>
      </c>
      <c r="K165" t="s">
        <v>38</v>
      </c>
      <c r="L165" t="s">
        <v>38</v>
      </c>
      <c r="M165" t="s">
        <v>38</v>
      </c>
      <c r="N165" t="s">
        <v>38</v>
      </c>
      <c r="O165" t="s">
        <v>54</v>
      </c>
      <c r="P165" t="s">
        <v>42</v>
      </c>
      <c r="Q165" t="s">
        <v>43</v>
      </c>
      <c r="R165" t="s">
        <v>89</v>
      </c>
      <c r="S165" t="s">
        <v>153</v>
      </c>
      <c r="T165" t="s">
        <v>89</v>
      </c>
      <c r="U165" t="s">
        <v>38</v>
      </c>
      <c r="V165" t="s">
        <v>91</v>
      </c>
      <c r="W165" t="s">
        <v>92</v>
      </c>
      <c r="X165" t="s">
        <v>38</v>
      </c>
      <c r="Y165" t="s">
        <v>558</v>
      </c>
      <c r="Z165" t="s">
        <v>42</v>
      </c>
      <c r="AA165" t="s">
        <v>554</v>
      </c>
      <c r="AB165" t="s">
        <v>155</v>
      </c>
      <c r="AC165" t="s">
        <v>153</v>
      </c>
      <c r="AD165" t="s">
        <v>48</v>
      </c>
      <c r="AG165" t="str">
        <f>IF(AD165="United States", IFERROR(INDEX(Sheet2!$C:$C, MATCH(AE165&amp;AF165, Sheet2!$E:$E, 0)) &amp; ", " &amp; INDEX(Sheet2!$D:$D, MATCH(AE165&amp;AF165, Sheet2!$E:$E, 0)), ""), "-")</f>
        <v/>
      </c>
    </row>
    <row r="166" spans="1:33" x14ac:dyDescent="0.25">
      <c r="A166" t="s">
        <v>532</v>
      </c>
      <c r="B166" t="s">
        <v>559</v>
      </c>
      <c r="C166" t="s">
        <v>538</v>
      </c>
      <c r="D166" t="s">
        <v>193</v>
      </c>
      <c r="E166" t="s">
        <v>560</v>
      </c>
      <c r="F166">
        <v>1759</v>
      </c>
      <c r="G166">
        <v>12</v>
      </c>
      <c r="H166" t="s">
        <v>506</v>
      </c>
      <c r="I166" t="s">
        <v>39</v>
      </c>
      <c r="J166" t="s">
        <v>38</v>
      </c>
      <c r="K166" t="s">
        <v>38</v>
      </c>
      <c r="L166" t="s">
        <v>38</v>
      </c>
      <c r="M166" t="s">
        <v>38</v>
      </c>
      <c r="N166" t="s">
        <v>38</v>
      </c>
      <c r="O166" t="s">
        <v>41</v>
      </c>
      <c r="P166" t="s">
        <v>42</v>
      </c>
      <c r="Q166" t="s">
        <v>43</v>
      </c>
      <c r="R166" t="s">
        <v>89</v>
      </c>
      <c r="S166" t="s">
        <v>38</v>
      </c>
      <c r="T166" t="s">
        <v>89</v>
      </c>
      <c r="U166" t="s">
        <v>38</v>
      </c>
      <c r="V166" t="s">
        <v>91</v>
      </c>
      <c r="W166" t="s">
        <v>92</v>
      </c>
      <c r="X166" t="s">
        <v>38</v>
      </c>
      <c r="Y166" t="s">
        <v>561</v>
      </c>
      <c r="Z166" t="s">
        <v>42</v>
      </c>
      <c r="AA166" t="s">
        <v>38</v>
      </c>
      <c r="AB166" t="s">
        <v>38</v>
      </c>
      <c r="AC166" t="s">
        <v>562</v>
      </c>
      <c r="AD166" t="s">
        <v>48</v>
      </c>
      <c r="AG166" t="str">
        <f>IF(AD166="United States", IFERROR(INDEX(Sheet2!$C:$C, MATCH(AE166&amp;AF166, Sheet2!$E:$E, 0)) &amp; ", " &amp; INDEX(Sheet2!$D:$D, MATCH(AE166&amp;AF166, Sheet2!$E:$E, 0)), ""), "-")</f>
        <v/>
      </c>
    </row>
    <row r="167" spans="1:33" x14ac:dyDescent="0.25">
      <c r="A167" t="s">
        <v>532</v>
      </c>
      <c r="B167" t="s">
        <v>563</v>
      </c>
      <c r="C167" t="s">
        <v>538</v>
      </c>
      <c r="D167" t="s">
        <v>210</v>
      </c>
      <c r="E167" t="s">
        <v>564</v>
      </c>
      <c r="F167">
        <v>1744</v>
      </c>
      <c r="G167">
        <v>13</v>
      </c>
      <c r="H167" t="s">
        <v>506</v>
      </c>
      <c r="I167" t="s">
        <v>39</v>
      </c>
      <c r="J167" t="s">
        <v>38</v>
      </c>
      <c r="K167" t="s">
        <v>38</v>
      </c>
      <c r="L167" t="s">
        <v>38</v>
      </c>
      <c r="M167" t="s">
        <v>38</v>
      </c>
      <c r="N167" t="s">
        <v>38</v>
      </c>
      <c r="O167" t="s">
        <v>41</v>
      </c>
      <c r="P167" t="s">
        <v>42</v>
      </c>
      <c r="Q167" t="s">
        <v>43</v>
      </c>
      <c r="R167" t="s">
        <v>89</v>
      </c>
      <c r="S167" t="s">
        <v>417</v>
      </c>
      <c r="T167" t="s">
        <v>89</v>
      </c>
      <c r="U167" t="s">
        <v>38</v>
      </c>
      <c r="V167" t="s">
        <v>91</v>
      </c>
      <c r="W167" t="s">
        <v>92</v>
      </c>
      <c r="X167" t="s">
        <v>38</v>
      </c>
      <c r="Y167" t="s">
        <v>565</v>
      </c>
      <c r="Z167" t="s">
        <v>42</v>
      </c>
      <c r="AA167" t="s">
        <v>38</v>
      </c>
      <c r="AB167" t="s">
        <v>38</v>
      </c>
      <c r="AC167" t="s">
        <v>417</v>
      </c>
      <c r="AD167" t="s">
        <v>48</v>
      </c>
      <c r="AG167" t="str">
        <f>IF(AD167="United States", IFERROR(INDEX(Sheet2!$C:$C, MATCH(AE167&amp;AF167, Sheet2!$E:$E, 0)) &amp; ", " &amp; INDEX(Sheet2!$D:$D, MATCH(AE167&amp;AF167, Sheet2!$E:$E, 0)), ""), "-")</f>
        <v/>
      </c>
    </row>
    <row r="168" spans="1:33" x14ac:dyDescent="0.25">
      <c r="A168" t="s">
        <v>532</v>
      </c>
      <c r="B168" t="s">
        <v>566</v>
      </c>
      <c r="C168" t="s">
        <v>544</v>
      </c>
      <c r="D168" t="s">
        <v>132</v>
      </c>
      <c r="E168" t="s">
        <v>463</v>
      </c>
      <c r="F168">
        <v>1768</v>
      </c>
      <c r="G168">
        <v>1816</v>
      </c>
      <c r="H168" t="s">
        <v>313</v>
      </c>
      <c r="I168" t="s">
        <v>80</v>
      </c>
      <c r="J168" t="s">
        <v>38</v>
      </c>
      <c r="K168" t="s">
        <v>38</v>
      </c>
      <c r="L168" t="s">
        <v>38</v>
      </c>
      <c r="M168" t="s">
        <v>38</v>
      </c>
      <c r="N168" t="s">
        <v>38</v>
      </c>
      <c r="O168" t="s">
        <v>54</v>
      </c>
      <c r="P168" t="s">
        <v>42</v>
      </c>
      <c r="Q168" t="s">
        <v>43</v>
      </c>
      <c r="R168" t="s">
        <v>89</v>
      </c>
      <c r="S168" t="s">
        <v>38</v>
      </c>
      <c r="T168" t="s">
        <v>89</v>
      </c>
      <c r="U168" t="s">
        <v>38</v>
      </c>
      <c r="V168" t="s">
        <v>38</v>
      </c>
      <c r="W168" t="s">
        <v>92</v>
      </c>
      <c r="X168" t="s">
        <v>38</v>
      </c>
      <c r="Y168" t="s">
        <v>567</v>
      </c>
      <c r="Z168" t="s">
        <v>42</v>
      </c>
      <c r="AA168" t="s">
        <v>38</v>
      </c>
      <c r="AB168" t="s">
        <v>38</v>
      </c>
      <c r="AC168" t="s">
        <v>38</v>
      </c>
      <c r="AD168" t="s">
        <v>48</v>
      </c>
      <c r="AG168" t="str">
        <f>IF(AD168="United States", IFERROR(INDEX(Sheet2!$C:$C, MATCH(AE168&amp;AF168, Sheet2!$E:$E, 0)) &amp; ", " &amp; INDEX(Sheet2!$D:$D, MATCH(AE168&amp;AF168, Sheet2!$E:$E, 0)), ""), "-")</f>
        <v/>
      </c>
    </row>
    <row r="169" spans="1:33" x14ac:dyDescent="0.25">
      <c r="A169" t="s">
        <v>532</v>
      </c>
      <c r="B169" t="s">
        <v>568</v>
      </c>
      <c r="C169" t="s">
        <v>538</v>
      </c>
      <c r="D169" t="s">
        <v>569</v>
      </c>
      <c r="E169" t="s">
        <v>570</v>
      </c>
      <c r="F169">
        <v>1756</v>
      </c>
      <c r="G169">
        <v>14</v>
      </c>
      <c r="H169" t="s">
        <v>506</v>
      </c>
      <c r="I169" t="s">
        <v>39</v>
      </c>
      <c r="J169" t="s">
        <v>38</v>
      </c>
      <c r="K169" t="s">
        <v>38</v>
      </c>
      <c r="L169" t="s">
        <v>38</v>
      </c>
      <c r="M169" t="s">
        <v>38</v>
      </c>
      <c r="N169" t="s">
        <v>38</v>
      </c>
      <c r="O169" t="s">
        <v>41</v>
      </c>
      <c r="P169" t="s">
        <v>42</v>
      </c>
      <c r="Q169" t="s">
        <v>43</v>
      </c>
      <c r="R169" t="s">
        <v>89</v>
      </c>
      <c r="S169" t="s">
        <v>38</v>
      </c>
      <c r="T169" t="s">
        <v>89</v>
      </c>
      <c r="U169" t="s">
        <v>38</v>
      </c>
      <c r="V169" t="s">
        <v>91</v>
      </c>
      <c r="W169" t="s">
        <v>92</v>
      </c>
      <c r="X169" t="s">
        <v>38</v>
      </c>
      <c r="Y169" t="s">
        <v>571</v>
      </c>
      <c r="Z169" t="s">
        <v>42</v>
      </c>
      <c r="AA169" t="s">
        <v>38</v>
      </c>
      <c r="AB169" t="s">
        <v>38</v>
      </c>
      <c r="AC169" t="s">
        <v>38</v>
      </c>
      <c r="AD169" t="s">
        <v>48</v>
      </c>
      <c r="AG169" t="str">
        <f>IF(AD169="United States", IFERROR(INDEX(Sheet2!$C:$C, MATCH(AE169&amp;AF169, Sheet2!$E:$E, 0)) &amp; ", " &amp; INDEX(Sheet2!$D:$D, MATCH(AE169&amp;AF169, Sheet2!$E:$E, 0)), ""), "-")</f>
        <v/>
      </c>
    </row>
    <row r="170" spans="1:33" x14ac:dyDescent="0.25">
      <c r="A170" t="s">
        <v>532</v>
      </c>
      <c r="B170" t="s">
        <v>572</v>
      </c>
      <c r="C170" t="s">
        <v>538</v>
      </c>
      <c r="D170" t="s">
        <v>52</v>
      </c>
      <c r="E170" t="s">
        <v>42</v>
      </c>
      <c r="F170">
        <v>1759</v>
      </c>
      <c r="G170">
        <v>10</v>
      </c>
      <c r="H170" t="s">
        <v>506</v>
      </c>
      <c r="I170" t="s">
        <v>39</v>
      </c>
      <c r="J170" t="s">
        <v>38</v>
      </c>
      <c r="K170" t="s">
        <v>38</v>
      </c>
      <c r="L170" t="s">
        <v>38</v>
      </c>
      <c r="M170" t="s">
        <v>38</v>
      </c>
      <c r="N170" t="s">
        <v>38</v>
      </c>
      <c r="O170" t="s">
        <v>41</v>
      </c>
      <c r="P170" t="s">
        <v>125</v>
      </c>
      <c r="Q170" t="s">
        <v>124</v>
      </c>
      <c r="R170" t="s">
        <v>89</v>
      </c>
      <c r="S170" t="s">
        <v>38</v>
      </c>
      <c r="T170" t="s">
        <v>89</v>
      </c>
      <c r="U170" t="s">
        <v>38</v>
      </c>
      <c r="V170" t="s">
        <v>91</v>
      </c>
      <c r="W170" t="s">
        <v>92</v>
      </c>
      <c r="X170" t="s">
        <v>38</v>
      </c>
      <c r="Y170" t="s">
        <v>561</v>
      </c>
      <c r="Z170" t="s">
        <v>125</v>
      </c>
      <c r="AA170" t="s">
        <v>38</v>
      </c>
      <c r="AB170" t="s">
        <v>38</v>
      </c>
      <c r="AC170" t="s">
        <v>573</v>
      </c>
      <c r="AD170" t="s">
        <v>573</v>
      </c>
      <c r="AG170" t="str">
        <f>IF(AD170="United States", IFERROR(INDEX(Sheet2!$C:$C, MATCH(AE170&amp;AF170, Sheet2!$E:$E, 0)) &amp; ", " &amp; INDEX(Sheet2!$D:$D, MATCH(AE170&amp;AF170, Sheet2!$E:$E, 0)), ""), "-18.9249604, 46.4416422")</f>
        <v>-18.9249604, 46.4416422</v>
      </c>
    </row>
    <row r="171" spans="1:33" x14ac:dyDescent="0.25">
      <c r="A171" t="s">
        <v>532</v>
      </c>
      <c r="B171" t="s">
        <v>574</v>
      </c>
      <c r="C171" t="s">
        <v>538</v>
      </c>
      <c r="D171" t="s">
        <v>388</v>
      </c>
      <c r="E171" t="s">
        <v>575</v>
      </c>
      <c r="F171">
        <v>1763</v>
      </c>
      <c r="G171">
        <v>11</v>
      </c>
      <c r="H171" t="s">
        <v>506</v>
      </c>
      <c r="I171" t="s">
        <v>39</v>
      </c>
      <c r="J171" t="s">
        <v>38</v>
      </c>
      <c r="K171" t="s">
        <v>38</v>
      </c>
      <c r="L171" t="s">
        <v>38</v>
      </c>
      <c r="M171" t="s">
        <v>38</v>
      </c>
      <c r="N171" t="s">
        <v>38</v>
      </c>
      <c r="O171" t="s">
        <v>41</v>
      </c>
      <c r="P171" t="s">
        <v>42</v>
      </c>
      <c r="Q171" t="s">
        <v>43</v>
      </c>
      <c r="R171" t="s">
        <v>89</v>
      </c>
      <c r="S171" t="s">
        <v>45</v>
      </c>
      <c r="T171" t="s">
        <v>89</v>
      </c>
      <c r="U171" t="s">
        <v>38</v>
      </c>
      <c r="V171" t="s">
        <v>91</v>
      </c>
      <c r="W171" t="s">
        <v>92</v>
      </c>
      <c r="X171" t="s">
        <v>38</v>
      </c>
      <c r="Y171" t="s">
        <v>576</v>
      </c>
      <c r="Z171" t="s">
        <v>42</v>
      </c>
      <c r="AA171" t="s">
        <v>38</v>
      </c>
      <c r="AB171" t="s">
        <v>38</v>
      </c>
      <c r="AC171" t="s">
        <v>45</v>
      </c>
      <c r="AD171" t="s">
        <v>48</v>
      </c>
      <c r="AG171" t="str">
        <f>IF(AD171="United States", IFERROR(INDEX(Sheet2!$C:$C, MATCH(AE171&amp;AF171, Sheet2!$E:$E, 0)) &amp; ", " &amp; INDEX(Sheet2!$D:$D, MATCH(AE171&amp;AF171, Sheet2!$E:$E, 0)), ""), "-")</f>
        <v/>
      </c>
    </row>
    <row r="172" spans="1:33" x14ac:dyDescent="0.25">
      <c r="A172" t="s">
        <v>532</v>
      </c>
      <c r="B172" t="s">
        <v>577</v>
      </c>
      <c r="C172" t="s">
        <v>538</v>
      </c>
      <c r="D172" t="s">
        <v>578</v>
      </c>
      <c r="E172" t="s">
        <v>579</v>
      </c>
      <c r="F172" t="s">
        <v>38</v>
      </c>
      <c r="G172">
        <v>2684</v>
      </c>
      <c r="I172" t="s">
        <v>39</v>
      </c>
      <c r="J172" t="s">
        <v>38</v>
      </c>
      <c r="O172" t="s">
        <v>57</v>
      </c>
      <c r="P172" t="s">
        <v>42</v>
      </c>
      <c r="Q172" t="s">
        <v>43</v>
      </c>
      <c r="V172" t="s">
        <v>91</v>
      </c>
      <c r="Y172" t="s">
        <v>38</v>
      </c>
      <c r="Z172" t="s">
        <v>42</v>
      </c>
      <c r="AA172" t="s">
        <v>38</v>
      </c>
      <c r="AB172" t="s">
        <v>38</v>
      </c>
      <c r="AC172" t="s">
        <v>38</v>
      </c>
      <c r="AD172" t="s">
        <v>48</v>
      </c>
      <c r="AG172" t="str">
        <f>IF(AD172="United States", IFERROR(INDEX(Sheet2!$C:$C, MATCH(AE172&amp;AF172, Sheet2!$E:$E, 0)) &amp; ", " &amp; INDEX(Sheet2!$D:$D, MATCH(AE172&amp;AF172, Sheet2!$E:$E, 0)), ""), "-")</f>
        <v/>
      </c>
    </row>
    <row r="173" spans="1:33" x14ac:dyDescent="0.25">
      <c r="A173" t="s">
        <v>532</v>
      </c>
      <c r="B173" t="s">
        <v>580</v>
      </c>
      <c r="C173" t="s">
        <v>534</v>
      </c>
      <c r="D173" t="s">
        <v>518</v>
      </c>
      <c r="E173" t="s">
        <v>38</v>
      </c>
      <c r="F173">
        <v>1759</v>
      </c>
      <c r="G173">
        <v>2494</v>
      </c>
      <c r="H173" t="s">
        <v>38</v>
      </c>
      <c r="I173" t="s">
        <v>87</v>
      </c>
      <c r="J173" t="s">
        <v>38</v>
      </c>
      <c r="K173" t="s">
        <v>38</v>
      </c>
      <c r="L173" t="s">
        <v>38</v>
      </c>
      <c r="M173" t="s">
        <v>38</v>
      </c>
      <c r="N173" t="s">
        <v>38</v>
      </c>
      <c r="O173" t="s">
        <v>57</v>
      </c>
      <c r="P173" t="s">
        <v>42</v>
      </c>
      <c r="Q173" t="s">
        <v>43</v>
      </c>
      <c r="R173" t="s">
        <v>155</v>
      </c>
      <c r="S173" t="s">
        <v>153</v>
      </c>
      <c r="T173" t="s">
        <v>38</v>
      </c>
      <c r="U173" t="s">
        <v>38</v>
      </c>
      <c r="V173" t="s">
        <v>38</v>
      </c>
      <c r="W173" t="s">
        <v>38</v>
      </c>
      <c r="X173" t="s">
        <v>38</v>
      </c>
      <c r="Y173" t="s">
        <v>581</v>
      </c>
      <c r="Z173" t="s">
        <v>42</v>
      </c>
      <c r="AA173" t="s">
        <v>155</v>
      </c>
      <c r="AB173" t="s">
        <v>38</v>
      </c>
      <c r="AC173" t="s">
        <v>153</v>
      </c>
      <c r="AD173" t="s">
        <v>48</v>
      </c>
      <c r="AG173" t="str">
        <f>IF(AD173="United States", IFERROR(INDEX(Sheet2!$C:$C, MATCH(AE173&amp;AF173, Sheet2!$E:$E, 0)) &amp; ", " &amp; INDEX(Sheet2!$D:$D, MATCH(AE173&amp;AF173, Sheet2!$E:$E, 0)), ""), "-")</f>
        <v/>
      </c>
    </row>
    <row r="174" spans="1:33" x14ac:dyDescent="0.25">
      <c r="A174" t="s">
        <v>532</v>
      </c>
      <c r="B174" t="s">
        <v>582</v>
      </c>
      <c r="C174" t="s">
        <v>538</v>
      </c>
      <c r="D174" t="s">
        <v>583</v>
      </c>
      <c r="E174" t="s">
        <v>584</v>
      </c>
      <c r="F174">
        <v>1560</v>
      </c>
      <c r="G174">
        <v>16</v>
      </c>
      <c r="H174" t="s">
        <v>506</v>
      </c>
      <c r="I174" t="s">
        <v>39</v>
      </c>
      <c r="J174" t="s">
        <v>38</v>
      </c>
      <c r="K174" t="s">
        <v>38</v>
      </c>
      <c r="L174" t="s">
        <v>38</v>
      </c>
      <c r="M174" t="s">
        <v>38</v>
      </c>
      <c r="N174" t="s">
        <v>38</v>
      </c>
      <c r="O174" t="s">
        <v>41</v>
      </c>
      <c r="P174" t="s">
        <v>42</v>
      </c>
      <c r="Q174" t="s">
        <v>43</v>
      </c>
      <c r="R174" t="s">
        <v>89</v>
      </c>
      <c r="S174" t="s">
        <v>45</v>
      </c>
      <c r="T174" t="s">
        <v>89</v>
      </c>
      <c r="U174" t="s">
        <v>38</v>
      </c>
      <c r="V174" t="s">
        <v>91</v>
      </c>
      <c r="W174" t="s">
        <v>92</v>
      </c>
      <c r="X174" t="s">
        <v>38</v>
      </c>
      <c r="Y174" t="s">
        <v>585</v>
      </c>
      <c r="Z174" t="s">
        <v>42</v>
      </c>
      <c r="AA174" t="s">
        <v>38</v>
      </c>
      <c r="AB174" t="s">
        <v>38</v>
      </c>
      <c r="AC174" t="s">
        <v>45</v>
      </c>
      <c r="AD174" t="s">
        <v>48</v>
      </c>
      <c r="AG174" t="str">
        <f>IF(AD174="United States", IFERROR(INDEX(Sheet2!$C:$C, MATCH(AE174&amp;AF174, Sheet2!$E:$E, 0)) &amp; ", " &amp; INDEX(Sheet2!$D:$D, MATCH(AE174&amp;AF174, Sheet2!$E:$E, 0)), ""), "-")</f>
        <v/>
      </c>
    </row>
    <row r="175" spans="1:33" x14ac:dyDescent="0.25">
      <c r="A175" t="s">
        <v>532</v>
      </c>
      <c r="B175" t="s">
        <v>586</v>
      </c>
      <c r="C175" t="s">
        <v>538</v>
      </c>
      <c r="D175" t="s">
        <v>587</v>
      </c>
      <c r="E175" t="s">
        <v>38</v>
      </c>
      <c r="F175">
        <v>1771</v>
      </c>
      <c r="G175">
        <v>15</v>
      </c>
      <c r="H175" t="s">
        <v>506</v>
      </c>
      <c r="I175" t="s">
        <v>39</v>
      </c>
      <c r="J175" t="s">
        <v>38</v>
      </c>
      <c r="K175" t="s">
        <v>38</v>
      </c>
      <c r="L175" t="s">
        <v>38</v>
      </c>
      <c r="M175" t="s">
        <v>38</v>
      </c>
      <c r="N175" t="s">
        <v>38</v>
      </c>
      <c r="O175" t="s">
        <v>74</v>
      </c>
      <c r="P175" t="s">
        <v>42</v>
      </c>
      <c r="Q175" t="s">
        <v>43</v>
      </c>
      <c r="R175" t="s">
        <v>89</v>
      </c>
      <c r="S175" t="s">
        <v>38</v>
      </c>
      <c r="T175" t="s">
        <v>89</v>
      </c>
      <c r="U175" t="s">
        <v>38</v>
      </c>
      <c r="V175" t="s">
        <v>91</v>
      </c>
      <c r="W175" t="s">
        <v>92</v>
      </c>
      <c r="X175" t="s">
        <v>38</v>
      </c>
      <c r="Y175" t="s">
        <v>588</v>
      </c>
      <c r="Z175" t="s">
        <v>42</v>
      </c>
      <c r="AA175" t="s">
        <v>38</v>
      </c>
      <c r="AB175" t="s">
        <v>38</v>
      </c>
      <c r="AC175" t="s">
        <v>38</v>
      </c>
      <c r="AD175" t="s">
        <v>48</v>
      </c>
      <c r="AG175" t="str">
        <f>IF(AD175="United States", IFERROR(INDEX(Sheet2!$C:$C, MATCH(AE175&amp;AF175, Sheet2!$E:$E, 0)) &amp; ", " &amp; INDEX(Sheet2!$D:$D, MATCH(AE175&amp;AF175, Sheet2!$E:$E, 0)), ""), "-")</f>
        <v/>
      </c>
    </row>
    <row r="176" spans="1:33" x14ac:dyDescent="0.25">
      <c r="A176" t="s">
        <v>532</v>
      </c>
      <c r="B176" t="s">
        <v>589</v>
      </c>
      <c r="C176" t="s">
        <v>534</v>
      </c>
      <c r="D176" t="s">
        <v>36</v>
      </c>
      <c r="E176" t="s">
        <v>590</v>
      </c>
      <c r="F176">
        <v>1768</v>
      </c>
      <c r="G176">
        <v>2493</v>
      </c>
      <c r="H176" t="s">
        <v>506</v>
      </c>
      <c r="I176" t="s">
        <v>87</v>
      </c>
      <c r="J176" t="s">
        <v>38</v>
      </c>
      <c r="K176" t="s">
        <v>38</v>
      </c>
      <c r="L176" t="s">
        <v>38</v>
      </c>
      <c r="M176" t="s">
        <v>38</v>
      </c>
      <c r="N176" t="s">
        <v>38</v>
      </c>
      <c r="O176" t="s">
        <v>54</v>
      </c>
      <c r="P176" t="s">
        <v>42</v>
      </c>
      <c r="Q176" t="s">
        <v>43</v>
      </c>
      <c r="R176" t="s">
        <v>89</v>
      </c>
      <c r="S176" t="s">
        <v>153</v>
      </c>
      <c r="T176" t="s">
        <v>89</v>
      </c>
      <c r="U176" t="s">
        <v>38</v>
      </c>
      <c r="V176" t="s">
        <v>38</v>
      </c>
      <c r="W176" t="s">
        <v>92</v>
      </c>
      <c r="X176" t="s">
        <v>38</v>
      </c>
      <c r="Y176" t="s">
        <v>38</v>
      </c>
      <c r="Z176" t="s">
        <v>42</v>
      </c>
      <c r="AA176" t="s">
        <v>38</v>
      </c>
      <c r="AB176" t="s">
        <v>38</v>
      </c>
      <c r="AC176" t="s">
        <v>153</v>
      </c>
      <c r="AD176" t="s">
        <v>48</v>
      </c>
      <c r="AG176" t="str">
        <f>IF(AD176="United States", IFERROR(INDEX(Sheet2!$C:$C, MATCH(AE176&amp;AF176, Sheet2!$E:$E, 0)) &amp; ", " &amp; INDEX(Sheet2!$D:$D, MATCH(AE176&amp;AF176, Sheet2!$E:$E, 0)), ""), "-")</f>
        <v/>
      </c>
    </row>
    <row r="177" spans="1:33" x14ac:dyDescent="0.25">
      <c r="A177" t="s">
        <v>532</v>
      </c>
      <c r="B177" t="s">
        <v>591</v>
      </c>
      <c r="C177" t="s">
        <v>538</v>
      </c>
      <c r="D177" t="s">
        <v>495</v>
      </c>
      <c r="E177" t="s">
        <v>62</v>
      </c>
      <c r="F177">
        <v>1763</v>
      </c>
      <c r="G177">
        <v>6</v>
      </c>
      <c r="H177" t="s">
        <v>506</v>
      </c>
      <c r="I177" t="s">
        <v>39</v>
      </c>
      <c r="J177" t="s">
        <v>38</v>
      </c>
      <c r="K177" t="s">
        <v>38</v>
      </c>
      <c r="L177" t="s">
        <v>38</v>
      </c>
      <c r="M177" t="s">
        <v>38</v>
      </c>
      <c r="N177" t="s">
        <v>38</v>
      </c>
      <c r="O177" t="s">
        <v>57</v>
      </c>
      <c r="P177" t="s">
        <v>42</v>
      </c>
      <c r="Q177" t="s">
        <v>43</v>
      </c>
      <c r="R177" t="s">
        <v>89</v>
      </c>
      <c r="S177" t="s">
        <v>38</v>
      </c>
      <c r="T177" t="s">
        <v>89</v>
      </c>
      <c r="U177" t="s">
        <v>38</v>
      </c>
      <c r="V177" t="s">
        <v>91</v>
      </c>
      <c r="W177" t="s">
        <v>92</v>
      </c>
      <c r="X177" t="s">
        <v>38</v>
      </c>
      <c r="Y177" t="s">
        <v>592</v>
      </c>
      <c r="Z177" t="s">
        <v>42</v>
      </c>
      <c r="AA177" t="s">
        <v>38</v>
      </c>
      <c r="AB177" t="s">
        <v>38</v>
      </c>
      <c r="AC177" t="s">
        <v>593</v>
      </c>
      <c r="AD177" t="s">
        <v>48</v>
      </c>
      <c r="AG177" t="str">
        <f>IF(AD177="United States", IFERROR(INDEX(Sheet2!$C:$C, MATCH(AE177&amp;AF177, Sheet2!$E:$E, 0)) &amp; ", " &amp; INDEX(Sheet2!$D:$D, MATCH(AE177&amp;AF177, Sheet2!$E:$E, 0)), ""), "-")</f>
        <v/>
      </c>
    </row>
    <row r="178" spans="1:33" x14ac:dyDescent="0.25">
      <c r="A178" t="s">
        <v>532</v>
      </c>
      <c r="B178" t="s">
        <v>594</v>
      </c>
      <c r="C178" t="s">
        <v>595</v>
      </c>
      <c r="D178" t="s">
        <v>72</v>
      </c>
      <c r="E178" t="s">
        <v>38</v>
      </c>
      <c r="F178">
        <v>1764</v>
      </c>
      <c r="G178">
        <v>2025</v>
      </c>
      <c r="H178" t="s">
        <v>596</v>
      </c>
      <c r="I178" t="s">
        <v>80</v>
      </c>
      <c r="J178" t="s">
        <v>38</v>
      </c>
      <c r="K178" t="s">
        <v>38</v>
      </c>
      <c r="L178" t="s">
        <v>38</v>
      </c>
      <c r="M178" t="s">
        <v>38</v>
      </c>
      <c r="N178" t="s">
        <v>38</v>
      </c>
      <c r="O178" t="s">
        <v>57</v>
      </c>
      <c r="P178" t="s">
        <v>42</v>
      </c>
      <c r="Q178" t="s">
        <v>43</v>
      </c>
      <c r="R178" t="s">
        <v>89</v>
      </c>
      <c r="S178" t="s">
        <v>38</v>
      </c>
      <c r="T178" t="s">
        <v>89</v>
      </c>
      <c r="U178" t="s">
        <v>38</v>
      </c>
      <c r="V178" t="s">
        <v>597</v>
      </c>
      <c r="W178" t="s">
        <v>92</v>
      </c>
      <c r="X178" t="s">
        <v>38</v>
      </c>
      <c r="Y178" t="s">
        <v>598</v>
      </c>
      <c r="Z178" t="s">
        <v>42</v>
      </c>
      <c r="AA178" t="s">
        <v>38</v>
      </c>
      <c r="AB178" t="s">
        <v>38</v>
      </c>
      <c r="AC178" t="s">
        <v>597</v>
      </c>
      <c r="AD178" t="s">
        <v>48</v>
      </c>
      <c r="AG178" t="str">
        <f>IF(AD178="United States", IFERROR(INDEX(Sheet2!$C:$C, MATCH(AE178&amp;AF178, Sheet2!$E:$E, 0)) &amp; ", " &amp; INDEX(Sheet2!$D:$D, MATCH(AE178&amp;AF178, Sheet2!$E:$E, 0)), ""), "-")</f>
        <v/>
      </c>
    </row>
    <row r="179" spans="1:33" x14ac:dyDescent="0.25">
      <c r="A179" t="s">
        <v>532</v>
      </c>
      <c r="B179" t="s">
        <v>599</v>
      </c>
      <c r="C179" t="s">
        <v>595</v>
      </c>
      <c r="D179" t="s">
        <v>463</v>
      </c>
      <c r="E179" t="s">
        <v>38</v>
      </c>
      <c r="F179" t="s">
        <v>38</v>
      </c>
      <c r="G179">
        <v>2026</v>
      </c>
      <c r="H179" t="s">
        <v>313</v>
      </c>
      <c r="I179" t="s">
        <v>80</v>
      </c>
      <c r="J179" t="s">
        <v>38</v>
      </c>
      <c r="K179" t="s">
        <v>38</v>
      </c>
      <c r="L179" t="s">
        <v>38</v>
      </c>
      <c r="M179" t="s">
        <v>38</v>
      </c>
      <c r="N179" t="s">
        <v>38</v>
      </c>
      <c r="O179" t="s">
        <v>54</v>
      </c>
      <c r="P179" t="s">
        <v>42</v>
      </c>
      <c r="Q179" t="s">
        <v>43</v>
      </c>
      <c r="R179" t="s">
        <v>89</v>
      </c>
      <c r="S179" t="s">
        <v>38</v>
      </c>
      <c r="T179" t="s">
        <v>89</v>
      </c>
      <c r="U179" t="s">
        <v>38</v>
      </c>
      <c r="V179" t="s">
        <v>597</v>
      </c>
      <c r="W179" t="s">
        <v>92</v>
      </c>
      <c r="X179" t="s">
        <v>38</v>
      </c>
      <c r="Y179" t="s">
        <v>600</v>
      </c>
      <c r="Z179" t="s">
        <v>42</v>
      </c>
      <c r="AA179" t="s">
        <v>38</v>
      </c>
      <c r="AB179" t="s">
        <v>38</v>
      </c>
      <c r="AC179" t="s">
        <v>38</v>
      </c>
      <c r="AD179" t="s">
        <v>48</v>
      </c>
      <c r="AG179" t="str">
        <f>IF(AD179="United States", IFERROR(INDEX(Sheet2!$C:$C, MATCH(AE179&amp;AF179, Sheet2!$E:$E, 0)) &amp; ", " &amp; INDEX(Sheet2!$D:$D, MATCH(AE179&amp;AF179, Sheet2!$E:$E, 0)), ""), "-")</f>
        <v/>
      </c>
    </row>
    <row r="180" spans="1:33" x14ac:dyDescent="0.25">
      <c r="A180" t="s">
        <v>532</v>
      </c>
      <c r="B180" t="s">
        <v>601</v>
      </c>
      <c r="C180" t="s">
        <v>595</v>
      </c>
      <c r="D180" t="s">
        <v>245</v>
      </c>
      <c r="E180" t="s">
        <v>38</v>
      </c>
      <c r="F180">
        <v>1755</v>
      </c>
      <c r="G180">
        <v>2027</v>
      </c>
      <c r="H180" t="s">
        <v>596</v>
      </c>
      <c r="I180" t="s">
        <v>80</v>
      </c>
      <c r="J180" t="s">
        <v>38</v>
      </c>
      <c r="K180" t="s">
        <v>38</v>
      </c>
      <c r="L180" t="s">
        <v>38</v>
      </c>
      <c r="M180" t="s">
        <v>38</v>
      </c>
      <c r="N180" t="s">
        <v>38</v>
      </c>
      <c r="O180" t="s">
        <v>57</v>
      </c>
      <c r="P180" t="s">
        <v>42</v>
      </c>
      <c r="Q180" t="s">
        <v>43</v>
      </c>
      <c r="R180" t="s">
        <v>89</v>
      </c>
      <c r="S180" t="s">
        <v>153</v>
      </c>
      <c r="T180" t="s">
        <v>89</v>
      </c>
      <c r="U180" t="s">
        <v>38</v>
      </c>
      <c r="V180" t="s">
        <v>597</v>
      </c>
      <c r="W180" t="s">
        <v>92</v>
      </c>
      <c r="X180" t="s">
        <v>38</v>
      </c>
      <c r="Y180" t="s">
        <v>602</v>
      </c>
      <c r="Z180" t="s">
        <v>42</v>
      </c>
      <c r="AA180" t="s">
        <v>38</v>
      </c>
      <c r="AB180" t="s">
        <v>38</v>
      </c>
      <c r="AC180" t="s">
        <v>153</v>
      </c>
      <c r="AD180" t="s">
        <v>48</v>
      </c>
      <c r="AG180" t="str">
        <f>IF(AD180="United States", IFERROR(INDEX(Sheet2!$C:$C, MATCH(AE180&amp;AF180, Sheet2!$E:$E, 0)) &amp; ", " &amp; INDEX(Sheet2!$D:$D, MATCH(AE180&amp;AF180, Sheet2!$E:$E, 0)), ""), "-")</f>
        <v/>
      </c>
    </row>
    <row r="181" spans="1:33" x14ac:dyDescent="0.25">
      <c r="A181" t="s">
        <v>532</v>
      </c>
      <c r="B181" t="s">
        <v>603</v>
      </c>
      <c r="C181" t="s">
        <v>595</v>
      </c>
      <c r="D181" t="s">
        <v>604</v>
      </c>
      <c r="E181" t="s">
        <v>38</v>
      </c>
      <c r="F181">
        <v>1753</v>
      </c>
      <c r="G181">
        <v>2028</v>
      </c>
      <c r="H181" t="s">
        <v>596</v>
      </c>
      <c r="I181" t="s">
        <v>80</v>
      </c>
      <c r="J181" t="s">
        <v>38</v>
      </c>
      <c r="K181" t="s">
        <v>38</v>
      </c>
      <c r="L181" t="s">
        <v>38</v>
      </c>
      <c r="M181" t="s">
        <v>38</v>
      </c>
      <c r="N181" t="s">
        <v>38</v>
      </c>
      <c r="O181" t="s">
        <v>41</v>
      </c>
      <c r="P181" t="s">
        <v>42</v>
      </c>
      <c r="Q181" t="s">
        <v>43</v>
      </c>
      <c r="R181" t="s">
        <v>89</v>
      </c>
      <c r="S181" t="s">
        <v>38</v>
      </c>
      <c r="T181" t="s">
        <v>89</v>
      </c>
      <c r="U181" t="s">
        <v>38</v>
      </c>
      <c r="V181" t="s">
        <v>597</v>
      </c>
      <c r="W181" t="s">
        <v>92</v>
      </c>
      <c r="X181" t="s">
        <v>38</v>
      </c>
      <c r="Y181" t="s">
        <v>605</v>
      </c>
      <c r="Z181" t="s">
        <v>42</v>
      </c>
      <c r="AA181" t="s">
        <v>38</v>
      </c>
      <c r="AB181" t="s">
        <v>38</v>
      </c>
      <c r="AC181" t="s">
        <v>597</v>
      </c>
      <c r="AD181" t="s">
        <v>48</v>
      </c>
      <c r="AG181" t="str">
        <f>IF(AD181="United States", IFERROR(INDEX(Sheet2!$C:$C, MATCH(AE181&amp;AF181, Sheet2!$E:$E, 0)) &amp; ", " &amp; INDEX(Sheet2!$D:$D, MATCH(AE181&amp;AF181, Sheet2!$E:$E, 0)), ""), "-")</f>
        <v/>
      </c>
    </row>
    <row r="182" spans="1:33" x14ac:dyDescent="0.25">
      <c r="A182" t="s">
        <v>532</v>
      </c>
      <c r="B182" t="s">
        <v>606</v>
      </c>
      <c r="C182" t="s">
        <v>607</v>
      </c>
      <c r="D182" t="s">
        <v>608</v>
      </c>
      <c r="E182" t="s">
        <v>609</v>
      </c>
      <c r="F182">
        <v>1756</v>
      </c>
      <c r="G182">
        <v>1142</v>
      </c>
      <c r="H182" t="s">
        <v>610</v>
      </c>
      <c r="I182" t="s">
        <v>80</v>
      </c>
      <c r="J182" t="s">
        <v>611</v>
      </c>
      <c r="K182" t="s">
        <v>38</v>
      </c>
      <c r="L182" t="s">
        <v>38</v>
      </c>
      <c r="M182" t="s">
        <v>38</v>
      </c>
      <c r="N182" t="s">
        <v>38</v>
      </c>
      <c r="O182" t="s">
        <v>41</v>
      </c>
      <c r="P182" t="s">
        <v>42</v>
      </c>
      <c r="Q182" t="s">
        <v>43</v>
      </c>
      <c r="R182" t="s">
        <v>89</v>
      </c>
      <c r="S182" t="s">
        <v>38</v>
      </c>
      <c r="T182" t="s">
        <v>89</v>
      </c>
      <c r="U182" t="s">
        <v>38</v>
      </c>
      <c r="V182" t="s">
        <v>46</v>
      </c>
      <c r="W182" t="s">
        <v>92</v>
      </c>
      <c r="X182" t="s">
        <v>38</v>
      </c>
      <c r="Y182" t="s">
        <v>612</v>
      </c>
      <c r="Z182" t="s">
        <v>42</v>
      </c>
      <c r="AA182" t="s">
        <v>613</v>
      </c>
      <c r="AB182" t="s">
        <v>38</v>
      </c>
      <c r="AC182" t="s">
        <v>70</v>
      </c>
      <c r="AD182" t="s">
        <v>48</v>
      </c>
      <c r="AG182" t="str">
        <f>IF(AD182="United States", IFERROR(INDEX(Sheet2!$C:$C, MATCH(AE182&amp;AF182, Sheet2!$E:$E, 0)) &amp; ", " &amp; INDEX(Sheet2!$D:$D, MATCH(AE182&amp;AF182, Sheet2!$E:$E, 0)), ""), "-")</f>
        <v/>
      </c>
    </row>
    <row r="183" spans="1:33" x14ac:dyDescent="0.25">
      <c r="A183" t="s">
        <v>532</v>
      </c>
      <c r="B183" t="s">
        <v>614</v>
      </c>
      <c r="C183" t="s">
        <v>538</v>
      </c>
      <c r="D183" t="s">
        <v>615</v>
      </c>
      <c r="E183" t="s">
        <v>616</v>
      </c>
      <c r="F183">
        <v>1713</v>
      </c>
      <c r="G183">
        <v>7</v>
      </c>
      <c r="H183" t="s">
        <v>506</v>
      </c>
      <c r="I183" t="s">
        <v>39</v>
      </c>
      <c r="J183" t="s">
        <v>38</v>
      </c>
      <c r="K183" t="s">
        <v>38</v>
      </c>
      <c r="L183" t="s">
        <v>38</v>
      </c>
      <c r="M183" t="s">
        <v>38</v>
      </c>
      <c r="N183" t="s">
        <v>38</v>
      </c>
      <c r="O183" t="s">
        <v>41</v>
      </c>
      <c r="P183" t="s">
        <v>42</v>
      </c>
      <c r="Q183" t="s">
        <v>43</v>
      </c>
      <c r="R183" t="s">
        <v>89</v>
      </c>
      <c r="S183" t="s">
        <v>38</v>
      </c>
      <c r="T183" t="s">
        <v>89</v>
      </c>
      <c r="U183" t="s">
        <v>38</v>
      </c>
      <c r="V183" t="s">
        <v>91</v>
      </c>
      <c r="W183" t="s">
        <v>92</v>
      </c>
      <c r="X183" t="s">
        <v>38</v>
      </c>
      <c r="Y183" t="s">
        <v>588</v>
      </c>
      <c r="Z183" t="s">
        <v>42</v>
      </c>
      <c r="AA183" t="s">
        <v>38</v>
      </c>
      <c r="AB183" t="s">
        <v>38</v>
      </c>
      <c r="AC183" t="s">
        <v>617</v>
      </c>
      <c r="AD183" t="s">
        <v>48</v>
      </c>
      <c r="AG183" t="str">
        <f>IF(AD183="United States", IFERROR(INDEX(Sheet2!$C:$C, MATCH(AE183&amp;AF183, Sheet2!$E:$E, 0)) &amp; ", " &amp; INDEX(Sheet2!$D:$D, MATCH(AE183&amp;AF183, Sheet2!$E:$E, 0)), ""), "-")</f>
        <v/>
      </c>
    </row>
    <row r="184" spans="1:33" x14ac:dyDescent="0.25">
      <c r="A184" t="s">
        <v>532</v>
      </c>
      <c r="B184" t="s">
        <v>618</v>
      </c>
      <c r="C184" t="s">
        <v>607</v>
      </c>
      <c r="D184" t="s">
        <v>114</v>
      </c>
      <c r="E184" t="s">
        <v>129</v>
      </c>
      <c r="F184">
        <v>1780</v>
      </c>
      <c r="G184">
        <v>1141</v>
      </c>
      <c r="H184" t="s">
        <v>610</v>
      </c>
      <c r="I184" t="s">
        <v>80</v>
      </c>
      <c r="J184" t="s">
        <v>611</v>
      </c>
      <c r="K184" t="s">
        <v>38</v>
      </c>
      <c r="L184" t="s">
        <v>38</v>
      </c>
      <c r="M184" t="s">
        <v>38</v>
      </c>
      <c r="N184" t="s">
        <v>38</v>
      </c>
      <c r="O184" t="s">
        <v>74</v>
      </c>
      <c r="P184" t="s">
        <v>42</v>
      </c>
      <c r="Q184" t="s">
        <v>43</v>
      </c>
      <c r="R184" t="s">
        <v>89</v>
      </c>
      <c r="S184" t="s">
        <v>38</v>
      </c>
      <c r="T184" t="s">
        <v>89</v>
      </c>
      <c r="U184" t="s">
        <v>38</v>
      </c>
      <c r="V184" t="s">
        <v>46</v>
      </c>
      <c r="W184" t="s">
        <v>92</v>
      </c>
      <c r="X184" t="s">
        <v>38</v>
      </c>
      <c r="Y184" t="s">
        <v>612</v>
      </c>
      <c r="Z184" t="s">
        <v>42</v>
      </c>
      <c r="AA184" t="s">
        <v>38</v>
      </c>
      <c r="AB184" t="s">
        <v>38</v>
      </c>
      <c r="AC184" t="s">
        <v>38</v>
      </c>
      <c r="AD184" t="s">
        <v>48</v>
      </c>
      <c r="AG184" t="str">
        <f>IF(AD184="United States", IFERROR(INDEX(Sheet2!$C:$C, MATCH(AE184&amp;AF184, Sheet2!$E:$E, 0)) &amp; ", " &amp; INDEX(Sheet2!$D:$D, MATCH(AE184&amp;AF184, Sheet2!$E:$E, 0)), ""), "-")</f>
        <v/>
      </c>
    </row>
    <row r="185" spans="1:33" x14ac:dyDescent="0.25">
      <c r="A185" t="s">
        <v>532</v>
      </c>
      <c r="B185" t="s">
        <v>619</v>
      </c>
      <c r="C185" t="s">
        <v>607</v>
      </c>
      <c r="D185" t="s">
        <v>406</v>
      </c>
      <c r="E185" t="s">
        <v>38</v>
      </c>
      <c r="F185">
        <v>1778</v>
      </c>
      <c r="G185">
        <v>1140</v>
      </c>
      <c r="H185" t="s">
        <v>610</v>
      </c>
      <c r="I185" t="s">
        <v>80</v>
      </c>
      <c r="J185" t="s">
        <v>611</v>
      </c>
      <c r="K185" t="s">
        <v>38</v>
      </c>
      <c r="L185" t="s">
        <v>38</v>
      </c>
      <c r="M185" t="s">
        <v>38</v>
      </c>
      <c r="N185" t="s">
        <v>38</v>
      </c>
      <c r="O185" t="s">
        <v>54</v>
      </c>
      <c r="P185" t="s">
        <v>42</v>
      </c>
      <c r="Q185" t="s">
        <v>43</v>
      </c>
      <c r="R185" t="s">
        <v>89</v>
      </c>
      <c r="S185" t="s">
        <v>38</v>
      </c>
      <c r="T185" t="s">
        <v>89</v>
      </c>
      <c r="U185" t="s">
        <v>38</v>
      </c>
      <c r="V185" t="s">
        <v>46</v>
      </c>
      <c r="W185" t="s">
        <v>92</v>
      </c>
      <c r="X185" t="s">
        <v>38</v>
      </c>
      <c r="Y185" t="s">
        <v>612</v>
      </c>
      <c r="Z185" t="s">
        <v>42</v>
      </c>
      <c r="AA185" t="s">
        <v>38</v>
      </c>
      <c r="AB185" t="s">
        <v>38</v>
      </c>
      <c r="AC185" t="s">
        <v>38</v>
      </c>
      <c r="AD185" t="s">
        <v>48</v>
      </c>
      <c r="AG185" t="str">
        <f>IF(AD185="United States", IFERROR(INDEX(Sheet2!$C:$C, MATCH(AE185&amp;AF185, Sheet2!$E:$E, 0)) &amp; ", " &amp; INDEX(Sheet2!$D:$D, MATCH(AE185&amp;AF185, Sheet2!$E:$E, 0)), ""), "-")</f>
        <v/>
      </c>
    </row>
    <row r="186" spans="1:33" x14ac:dyDescent="0.25">
      <c r="A186" t="s">
        <v>532</v>
      </c>
      <c r="B186" t="s">
        <v>620</v>
      </c>
      <c r="C186" t="s">
        <v>607</v>
      </c>
      <c r="D186" t="s">
        <v>621</v>
      </c>
      <c r="E186" t="s">
        <v>38</v>
      </c>
      <c r="F186">
        <v>1774</v>
      </c>
      <c r="G186">
        <v>1139</v>
      </c>
      <c r="H186" t="s">
        <v>610</v>
      </c>
      <c r="I186" t="s">
        <v>80</v>
      </c>
      <c r="J186" t="s">
        <v>611</v>
      </c>
      <c r="K186" t="s">
        <v>38</v>
      </c>
      <c r="L186" t="s">
        <v>38</v>
      </c>
      <c r="M186" t="s">
        <v>38</v>
      </c>
      <c r="N186" t="s">
        <v>38</v>
      </c>
      <c r="O186" t="s">
        <v>54</v>
      </c>
      <c r="P186" t="s">
        <v>42</v>
      </c>
      <c r="Q186" t="s">
        <v>43</v>
      </c>
      <c r="R186" t="s">
        <v>89</v>
      </c>
      <c r="S186" t="s">
        <v>38</v>
      </c>
      <c r="T186" t="s">
        <v>89</v>
      </c>
      <c r="U186" t="s">
        <v>38</v>
      </c>
      <c r="V186" t="s">
        <v>46</v>
      </c>
      <c r="W186" t="s">
        <v>92</v>
      </c>
      <c r="X186" t="s">
        <v>38</v>
      </c>
      <c r="Y186" t="s">
        <v>612</v>
      </c>
      <c r="Z186" t="s">
        <v>42</v>
      </c>
      <c r="AA186" t="s">
        <v>38</v>
      </c>
      <c r="AB186" t="s">
        <v>38</v>
      </c>
      <c r="AC186" t="s">
        <v>38</v>
      </c>
      <c r="AD186" t="s">
        <v>48</v>
      </c>
      <c r="AG186" t="str">
        <f>IF(AD186="United States", IFERROR(INDEX(Sheet2!$C:$C, MATCH(AE186&amp;AF186, Sheet2!$E:$E, 0)) &amp; ", " &amp; INDEX(Sheet2!$D:$D, MATCH(AE186&amp;AF186, Sheet2!$E:$E, 0)), ""), "-")</f>
        <v/>
      </c>
    </row>
    <row r="187" spans="1:33" x14ac:dyDescent="0.25">
      <c r="A187" t="s">
        <v>532</v>
      </c>
      <c r="B187" t="s">
        <v>622</v>
      </c>
      <c r="C187" t="s">
        <v>607</v>
      </c>
      <c r="D187" t="s">
        <v>623</v>
      </c>
      <c r="E187" t="s">
        <v>624</v>
      </c>
      <c r="F187">
        <v>1755</v>
      </c>
      <c r="G187">
        <v>1138</v>
      </c>
      <c r="H187" t="s">
        <v>610</v>
      </c>
      <c r="I187" t="s">
        <v>80</v>
      </c>
      <c r="J187" t="s">
        <v>611</v>
      </c>
      <c r="K187" t="s">
        <v>38</v>
      </c>
      <c r="L187" t="s">
        <v>38</v>
      </c>
      <c r="M187" t="s">
        <v>38</v>
      </c>
      <c r="N187" t="s">
        <v>38</v>
      </c>
      <c r="O187" t="s">
        <v>57</v>
      </c>
      <c r="P187" t="s">
        <v>42</v>
      </c>
      <c r="Q187" t="s">
        <v>43</v>
      </c>
      <c r="R187" t="s">
        <v>89</v>
      </c>
      <c r="S187" t="s">
        <v>38</v>
      </c>
      <c r="T187" t="s">
        <v>89</v>
      </c>
      <c r="U187" t="s">
        <v>38</v>
      </c>
      <c r="V187" t="s">
        <v>46</v>
      </c>
      <c r="W187" t="s">
        <v>92</v>
      </c>
      <c r="X187" t="s">
        <v>38</v>
      </c>
      <c r="Y187" t="s">
        <v>612</v>
      </c>
      <c r="Z187" t="s">
        <v>42</v>
      </c>
      <c r="AA187" t="s">
        <v>38</v>
      </c>
      <c r="AB187" t="s">
        <v>38</v>
      </c>
      <c r="AC187" t="s">
        <v>60</v>
      </c>
      <c r="AD187" t="s">
        <v>48</v>
      </c>
      <c r="AG187" t="str">
        <f>IF(AD187="United States", IFERROR(INDEX(Sheet2!$C:$C, MATCH(AE187&amp;AF187, Sheet2!$E:$E, 0)) &amp; ", " &amp; INDEX(Sheet2!$D:$D, MATCH(AE187&amp;AF187, Sheet2!$E:$E, 0)), ""), "-")</f>
        <v/>
      </c>
    </row>
    <row r="188" spans="1:33" x14ac:dyDescent="0.25">
      <c r="A188" t="s">
        <v>532</v>
      </c>
      <c r="B188" t="s">
        <v>625</v>
      </c>
      <c r="C188" t="s">
        <v>607</v>
      </c>
      <c r="D188" t="s">
        <v>626</v>
      </c>
      <c r="E188" t="s">
        <v>624</v>
      </c>
      <c r="F188">
        <v>1747</v>
      </c>
      <c r="G188">
        <v>1137</v>
      </c>
      <c r="H188" t="s">
        <v>610</v>
      </c>
      <c r="I188" t="s">
        <v>80</v>
      </c>
      <c r="J188" t="s">
        <v>611</v>
      </c>
      <c r="K188" t="s">
        <v>38</v>
      </c>
      <c r="L188" t="s">
        <v>38</v>
      </c>
      <c r="M188" t="s">
        <v>38</v>
      </c>
      <c r="N188" t="s">
        <v>38</v>
      </c>
      <c r="O188" t="s">
        <v>41</v>
      </c>
      <c r="P188" t="s">
        <v>42</v>
      </c>
      <c r="Q188" t="s">
        <v>43</v>
      </c>
      <c r="R188" t="s">
        <v>89</v>
      </c>
      <c r="S188" t="s">
        <v>38</v>
      </c>
      <c r="T188" t="s">
        <v>89</v>
      </c>
      <c r="U188" t="s">
        <v>38</v>
      </c>
      <c r="V188" t="s">
        <v>46</v>
      </c>
      <c r="W188" t="s">
        <v>92</v>
      </c>
      <c r="X188" t="s">
        <v>38</v>
      </c>
      <c r="Y188" t="s">
        <v>612</v>
      </c>
      <c r="Z188" t="s">
        <v>42</v>
      </c>
      <c r="AA188" t="s">
        <v>627</v>
      </c>
      <c r="AB188" t="s">
        <v>38</v>
      </c>
      <c r="AC188" t="s">
        <v>70</v>
      </c>
      <c r="AD188" t="s">
        <v>48</v>
      </c>
      <c r="AG188" t="str">
        <f>IF(AD188="United States", IFERROR(INDEX(Sheet2!$C:$C, MATCH(AE188&amp;AF188, Sheet2!$E:$E, 0)) &amp; ", " &amp; INDEX(Sheet2!$D:$D, MATCH(AE188&amp;AF188, Sheet2!$E:$E, 0)), ""), "-")</f>
        <v/>
      </c>
    </row>
    <row r="189" spans="1:33" x14ac:dyDescent="0.25">
      <c r="A189" t="s">
        <v>532</v>
      </c>
      <c r="B189" t="s">
        <v>628</v>
      </c>
      <c r="C189" t="s">
        <v>607</v>
      </c>
      <c r="D189" t="s">
        <v>200</v>
      </c>
      <c r="E189" t="s">
        <v>629</v>
      </c>
      <c r="F189">
        <v>1759</v>
      </c>
      <c r="G189">
        <v>1136</v>
      </c>
      <c r="H189" t="s">
        <v>610</v>
      </c>
      <c r="I189" t="s">
        <v>80</v>
      </c>
      <c r="J189" t="s">
        <v>611</v>
      </c>
      <c r="K189" t="s">
        <v>38</v>
      </c>
      <c r="L189" t="s">
        <v>38</v>
      </c>
      <c r="M189" t="s">
        <v>38</v>
      </c>
      <c r="N189" t="s">
        <v>38</v>
      </c>
      <c r="O189" t="s">
        <v>41</v>
      </c>
      <c r="P189" t="s">
        <v>42</v>
      </c>
      <c r="Q189" t="s">
        <v>43</v>
      </c>
      <c r="R189" t="s">
        <v>89</v>
      </c>
      <c r="S189" t="s">
        <v>38</v>
      </c>
      <c r="T189" t="s">
        <v>89</v>
      </c>
      <c r="U189" t="s">
        <v>38</v>
      </c>
      <c r="V189" t="s">
        <v>46</v>
      </c>
      <c r="W189" t="s">
        <v>92</v>
      </c>
      <c r="X189" t="s">
        <v>38</v>
      </c>
      <c r="Y189" t="s">
        <v>612</v>
      </c>
      <c r="Z189" t="s">
        <v>42</v>
      </c>
      <c r="AA189" t="s">
        <v>630</v>
      </c>
      <c r="AB189" t="s">
        <v>38</v>
      </c>
      <c r="AC189" t="s">
        <v>70</v>
      </c>
      <c r="AD189" t="s">
        <v>48</v>
      </c>
      <c r="AG189" t="str">
        <f>IF(AD189="United States", IFERROR(INDEX(Sheet2!$C:$C, MATCH(AE189&amp;AF189, Sheet2!$E:$E, 0)) &amp; ", " &amp; INDEX(Sheet2!$D:$D, MATCH(AE189&amp;AF189, Sheet2!$E:$E, 0)), ""), "-")</f>
        <v/>
      </c>
    </row>
    <row r="190" spans="1:33" x14ac:dyDescent="0.25">
      <c r="A190" t="s">
        <v>532</v>
      </c>
      <c r="B190" t="s">
        <v>631</v>
      </c>
      <c r="C190" t="s">
        <v>632</v>
      </c>
      <c r="D190" t="s">
        <v>226</v>
      </c>
      <c r="E190" t="s">
        <v>633</v>
      </c>
      <c r="F190">
        <v>1757</v>
      </c>
      <c r="G190">
        <v>838</v>
      </c>
      <c r="H190" t="s">
        <v>634</v>
      </c>
      <c r="I190" t="s">
        <v>39</v>
      </c>
      <c r="J190" t="s">
        <v>191</v>
      </c>
      <c r="K190" t="s">
        <v>210</v>
      </c>
      <c r="L190" t="s">
        <v>635</v>
      </c>
      <c r="M190" t="s">
        <v>38</v>
      </c>
      <c r="N190" t="s">
        <v>38</v>
      </c>
      <c r="O190" t="s">
        <v>41</v>
      </c>
      <c r="P190" t="s">
        <v>42</v>
      </c>
      <c r="Q190" t="s">
        <v>43</v>
      </c>
      <c r="R190" t="s">
        <v>89</v>
      </c>
      <c r="S190" t="s">
        <v>38</v>
      </c>
      <c r="T190" t="s">
        <v>89</v>
      </c>
      <c r="U190" t="s">
        <v>38</v>
      </c>
      <c r="V190" t="s">
        <v>46</v>
      </c>
      <c r="W190" t="s">
        <v>92</v>
      </c>
      <c r="X190" t="s">
        <v>38</v>
      </c>
      <c r="Y190" t="s">
        <v>636</v>
      </c>
      <c r="Z190" t="s">
        <v>42</v>
      </c>
      <c r="AA190" t="s">
        <v>38</v>
      </c>
      <c r="AB190" t="s">
        <v>38</v>
      </c>
      <c r="AC190" t="s">
        <v>637</v>
      </c>
      <c r="AD190" t="s">
        <v>48</v>
      </c>
      <c r="AG190" t="str">
        <f>IF(AD190="United States", IFERROR(INDEX(Sheet2!$C:$C, MATCH(AE190&amp;AF190, Sheet2!$E:$E, 0)) &amp; ", " &amp; INDEX(Sheet2!$D:$D, MATCH(AE190&amp;AF190, Sheet2!$E:$E, 0)), ""), "-")</f>
        <v/>
      </c>
    </row>
    <row r="191" spans="1:33" x14ac:dyDescent="0.25">
      <c r="A191" t="s">
        <v>532</v>
      </c>
      <c r="B191" t="s">
        <v>625</v>
      </c>
      <c r="C191" t="s">
        <v>607</v>
      </c>
      <c r="D191" t="s">
        <v>626</v>
      </c>
      <c r="E191" t="s">
        <v>624</v>
      </c>
      <c r="F191">
        <v>1747</v>
      </c>
      <c r="G191">
        <v>861</v>
      </c>
      <c r="H191" t="s">
        <v>610</v>
      </c>
      <c r="I191" t="s">
        <v>80</v>
      </c>
      <c r="J191" t="s">
        <v>611</v>
      </c>
      <c r="K191" t="s">
        <v>38</v>
      </c>
      <c r="L191" t="s">
        <v>38</v>
      </c>
      <c r="M191" t="s">
        <v>38</v>
      </c>
      <c r="N191" t="s">
        <v>38</v>
      </c>
      <c r="O191" t="s">
        <v>41</v>
      </c>
      <c r="P191" t="s">
        <v>42</v>
      </c>
      <c r="Q191" t="s">
        <v>43</v>
      </c>
      <c r="R191" t="s">
        <v>89</v>
      </c>
      <c r="S191" t="s">
        <v>38</v>
      </c>
      <c r="T191" t="s">
        <v>89</v>
      </c>
      <c r="U191" t="s">
        <v>38</v>
      </c>
      <c r="V191" t="s">
        <v>46</v>
      </c>
      <c r="W191" t="s">
        <v>92</v>
      </c>
      <c r="X191" t="s">
        <v>38</v>
      </c>
      <c r="Y191" t="s">
        <v>612</v>
      </c>
      <c r="Z191" t="s">
        <v>42</v>
      </c>
      <c r="AA191" t="s">
        <v>627</v>
      </c>
      <c r="AB191" t="s">
        <v>38</v>
      </c>
      <c r="AC191" t="s">
        <v>70</v>
      </c>
      <c r="AD191" t="s">
        <v>48</v>
      </c>
      <c r="AG191" t="str">
        <f>IF(AD191="United States", IFERROR(INDEX(Sheet2!$C:$C, MATCH(AE191&amp;AF191, Sheet2!$E:$E, 0)) &amp; ", " &amp; INDEX(Sheet2!$D:$D, MATCH(AE191&amp;AF191, Sheet2!$E:$E, 0)), ""), "-")</f>
        <v/>
      </c>
    </row>
    <row r="192" spans="1:33" x14ac:dyDescent="0.25">
      <c r="A192" t="s">
        <v>532</v>
      </c>
      <c r="B192" t="s">
        <v>622</v>
      </c>
      <c r="C192" t="s">
        <v>607</v>
      </c>
      <c r="D192" t="s">
        <v>623</v>
      </c>
      <c r="E192" t="s">
        <v>624</v>
      </c>
      <c r="F192">
        <v>1755</v>
      </c>
      <c r="G192">
        <v>862</v>
      </c>
      <c r="H192" t="s">
        <v>610</v>
      </c>
      <c r="I192" t="s">
        <v>80</v>
      </c>
      <c r="J192" t="s">
        <v>611</v>
      </c>
      <c r="K192" t="s">
        <v>38</v>
      </c>
      <c r="L192" t="s">
        <v>38</v>
      </c>
      <c r="M192" t="s">
        <v>38</v>
      </c>
      <c r="N192" t="s">
        <v>38</v>
      </c>
      <c r="O192" t="s">
        <v>57</v>
      </c>
      <c r="P192" t="s">
        <v>42</v>
      </c>
      <c r="Q192" t="s">
        <v>43</v>
      </c>
      <c r="R192" t="s">
        <v>89</v>
      </c>
      <c r="S192" t="s">
        <v>38</v>
      </c>
      <c r="T192" t="s">
        <v>89</v>
      </c>
      <c r="U192" t="s">
        <v>38</v>
      </c>
      <c r="V192" t="s">
        <v>46</v>
      </c>
      <c r="W192" t="s">
        <v>92</v>
      </c>
      <c r="X192" t="s">
        <v>38</v>
      </c>
      <c r="Y192" t="s">
        <v>612</v>
      </c>
      <c r="Z192" t="s">
        <v>42</v>
      </c>
      <c r="AA192" t="s">
        <v>38</v>
      </c>
      <c r="AB192" t="s">
        <v>38</v>
      </c>
      <c r="AC192" t="s">
        <v>60</v>
      </c>
      <c r="AD192" t="s">
        <v>48</v>
      </c>
      <c r="AG192" t="str">
        <f>IF(AD192="United States", IFERROR(INDEX(Sheet2!$C:$C, MATCH(AE192&amp;AF192, Sheet2!$E:$E, 0)) &amp; ", " &amp; INDEX(Sheet2!$D:$D, MATCH(AE192&amp;AF192, Sheet2!$E:$E, 0)), ""), "-")</f>
        <v/>
      </c>
    </row>
    <row r="193" spans="1:33" x14ac:dyDescent="0.25">
      <c r="A193" t="s">
        <v>532</v>
      </c>
      <c r="B193" t="s">
        <v>620</v>
      </c>
      <c r="C193" t="s">
        <v>607</v>
      </c>
      <c r="D193" t="s">
        <v>621</v>
      </c>
      <c r="E193" t="s">
        <v>38</v>
      </c>
      <c r="F193">
        <v>1774</v>
      </c>
      <c r="G193">
        <v>863</v>
      </c>
      <c r="H193" t="s">
        <v>610</v>
      </c>
      <c r="I193" t="s">
        <v>80</v>
      </c>
      <c r="J193" t="s">
        <v>611</v>
      </c>
      <c r="K193" t="s">
        <v>38</v>
      </c>
      <c r="L193" t="s">
        <v>38</v>
      </c>
      <c r="M193" t="s">
        <v>38</v>
      </c>
      <c r="N193" t="s">
        <v>38</v>
      </c>
      <c r="O193" t="s">
        <v>54</v>
      </c>
      <c r="P193" t="s">
        <v>42</v>
      </c>
      <c r="Q193" t="s">
        <v>43</v>
      </c>
      <c r="R193" t="s">
        <v>89</v>
      </c>
      <c r="S193" t="s">
        <v>38</v>
      </c>
      <c r="T193" t="s">
        <v>89</v>
      </c>
      <c r="U193" t="s">
        <v>38</v>
      </c>
      <c r="V193" t="s">
        <v>46</v>
      </c>
      <c r="W193" t="s">
        <v>92</v>
      </c>
      <c r="X193" t="s">
        <v>38</v>
      </c>
      <c r="Y193" t="s">
        <v>612</v>
      </c>
      <c r="Z193" t="s">
        <v>42</v>
      </c>
      <c r="AA193" t="s">
        <v>38</v>
      </c>
      <c r="AB193" t="s">
        <v>38</v>
      </c>
      <c r="AC193" t="s">
        <v>38</v>
      </c>
      <c r="AD193" t="s">
        <v>48</v>
      </c>
      <c r="AG193" t="str">
        <f>IF(AD193="United States", IFERROR(INDEX(Sheet2!$C:$C, MATCH(AE193&amp;AF193, Sheet2!$E:$E, 0)) &amp; ", " &amp; INDEX(Sheet2!$D:$D, MATCH(AE193&amp;AF193, Sheet2!$E:$E, 0)), ""), "-")</f>
        <v/>
      </c>
    </row>
    <row r="194" spans="1:33" x14ac:dyDescent="0.25">
      <c r="A194" t="s">
        <v>532</v>
      </c>
      <c r="B194" t="s">
        <v>619</v>
      </c>
      <c r="C194" t="s">
        <v>607</v>
      </c>
      <c r="D194" t="s">
        <v>406</v>
      </c>
      <c r="E194" t="s">
        <v>38</v>
      </c>
      <c r="F194">
        <v>1778</v>
      </c>
      <c r="G194">
        <v>864</v>
      </c>
      <c r="H194" t="s">
        <v>610</v>
      </c>
      <c r="I194" t="s">
        <v>80</v>
      </c>
      <c r="J194" t="s">
        <v>611</v>
      </c>
      <c r="K194" t="s">
        <v>38</v>
      </c>
      <c r="L194" t="s">
        <v>38</v>
      </c>
      <c r="M194" t="s">
        <v>38</v>
      </c>
      <c r="N194" t="s">
        <v>38</v>
      </c>
      <c r="O194" t="s">
        <v>54</v>
      </c>
      <c r="P194" t="s">
        <v>42</v>
      </c>
      <c r="Q194" t="s">
        <v>43</v>
      </c>
      <c r="R194" t="s">
        <v>89</v>
      </c>
      <c r="S194" t="s">
        <v>38</v>
      </c>
      <c r="T194" t="s">
        <v>89</v>
      </c>
      <c r="U194" t="s">
        <v>38</v>
      </c>
      <c r="V194" t="s">
        <v>46</v>
      </c>
      <c r="W194" t="s">
        <v>92</v>
      </c>
      <c r="X194" t="s">
        <v>38</v>
      </c>
      <c r="Y194" t="s">
        <v>612</v>
      </c>
      <c r="Z194" t="s">
        <v>42</v>
      </c>
      <c r="AA194" t="s">
        <v>38</v>
      </c>
      <c r="AB194" t="s">
        <v>38</v>
      </c>
      <c r="AC194" t="s">
        <v>38</v>
      </c>
      <c r="AD194" t="s">
        <v>48</v>
      </c>
      <c r="AG194" t="str">
        <f>IF(AD194="United States", IFERROR(INDEX(Sheet2!$C:$C, MATCH(AE194&amp;AF194, Sheet2!$E:$E, 0)) &amp; ", " &amp; INDEX(Sheet2!$D:$D, MATCH(AE194&amp;AF194, Sheet2!$E:$E, 0)), ""), "-")</f>
        <v/>
      </c>
    </row>
    <row r="195" spans="1:33" x14ac:dyDescent="0.25">
      <c r="A195" t="s">
        <v>532</v>
      </c>
      <c r="B195" t="s">
        <v>618</v>
      </c>
      <c r="C195" t="s">
        <v>607</v>
      </c>
      <c r="D195" t="s">
        <v>114</v>
      </c>
      <c r="E195" t="s">
        <v>129</v>
      </c>
      <c r="F195">
        <v>1780</v>
      </c>
      <c r="G195">
        <v>865</v>
      </c>
      <c r="H195" t="s">
        <v>610</v>
      </c>
      <c r="I195" t="s">
        <v>80</v>
      </c>
      <c r="J195" t="s">
        <v>611</v>
      </c>
      <c r="K195" t="s">
        <v>38</v>
      </c>
      <c r="L195" t="s">
        <v>38</v>
      </c>
      <c r="M195" t="s">
        <v>38</v>
      </c>
      <c r="N195" t="s">
        <v>38</v>
      </c>
      <c r="O195" t="s">
        <v>74</v>
      </c>
      <c r="P195" t="s">
        <v>42</v>
      </c>
      <c r="Q195" t="s">
        <v>43</v>
      </c>
      <c r="R195" t="s">
        <v>89</v>
      </c>
      <c r="S195" t="s">
        <v>38</v>
      </c>
      <c r="T195" t="s">
        <v>89</v>
      </c>
      <c r="U195" t="s">
        <v>38</v>
      </c>
      <c r="V195" t="s">
        <v>46</v>
      </c>
      <c r="W195" t="s">
        <v>92</v>
      </c>
      <c r="X195" t="s">
        <v>38</v>
      </c>
      <c r="Y195" t="s">
        <v>612</v>
      </c>
      <c r="Z195" t="s">
        <v>42</v>
      </c>
      <c r="AA195" t="s">
        <v>38</v>
      </c>
      <c r="AB195" t="s">
        <v>38</v>
      </c>
      <c r="AC195" t="s">
        <v>38</v>
      </c>
      <c r="AD195" t="s">
        <v>48</v>
      </c>
      <c r="AG195" t="str">
        <f>IF(AD195="United States", IFERROR(INDEX(Sheet2!$C:$C, MATCH(AE195&amp;AF195, Sheet2!$E:$E, 0)) &amp; ", " &amp; INDEX(Sheet2!$D:$D, MATCH(AE195&amp;AF195, Sheet2!$E:$E, 0)), ""), "-")</f>
        <v/>
      </c>
    </row>
    <row r="196" spans="1:33" x14ac:dyDescent="0.25">
      <c r="A196" t="s">
        <v>532</v>
      </c>
      <c r="B196" t="s">
        <v>606</v>
      </c>
      <c r="C196" t="s">
        <v>607</v>
      </c>
      <c r="D196" t="s">
        <v>608</v>
      </c>
      <c r="E196" t="s">
        <v>609</v>
      </c>
      <c r="F196">
        <v>1756</v>
      </c>
      <c r="G196">
        <v>866</v>
      </c>
      <c r="H196" t="s">
        <v>610</v>
      </c>
      <c r="I196" t="s">
        <v>80</v>
      </c>
      <c r="J196" t="s">
        <v>611</v>
      </c>
      <c r="K196" t="s">
        <v>38</v>
      </c>
      <c r="L196" t="s">
        <v>38</v>
      </c>
      <c r="M196" t="s">
        <v>38</v>
      </c>
      <c r="N196" t="s">
        <v>38</v>
      </c>
      <c r="O196" t="s">
        <v>41</v>
      </c>
      <c r="P196" t="s">
        <v>42</v>
      </c>
      <c r="Q196" t="s">
        <v>43</v>
      </c>
      <c r="R196" t="s">
        <v>89</v>
      </c>
      <c r="S196" t="s">
        <v>38</v>
      </c>
      <c r="T196" t="s">
        <v>89</v>
      </c>
      <c r="U196" t="s">
        <v>38</v>
      </c>
      <c r="V196" t="s">
        <v>46</v>
      </c>
      <c r="W196" t="s">
        <v>92</v>
      </c>
      <c r="X196" t="s">
        <v>38</v>
      </c>
      <c r="Y196" t="s">
        <v>612</v>
      </c>
      <c r="Z196" t="s">
        <v>42</v>
      </c>
      <c r="AA196" t="s">
        <v>613</v>
      </c>
      <c r="AB196" t="s">
        <v>38</v>
      </c>
      <c r="AC196" t="s">
        <v>70</v>
      </c>
      <c r="AD196" t="s">
        <v>48</v>
      </c>
      <c r="AG196" t="str">
        <f>IF(AD196="United States", IFERROR(INDEX(Sheet2!$C:$C, MATCH(AE196&amp;AF196, Sheet2!$E:$E, 0)) &amp; ", " &amp; INDEX(Sheet2!$D:$D, MATCH(AE196&amp;AF196, Sheet2!$E:$E, 0)), ""), "-")</f>
        <v/>
      </c>
    </row>
    <row r="197" spans="1:33" x14ac:dyDescent="0.25">
      <c r="A197" t="s">
        <v>532</v>
      </c>
      <c r="B197" t="s">
        <v>638</v>
      </c>
      <c r="C197" t="s">
        <v>538</v>
      </c>
      <c r="D197" t="s">
        <v>639</v>
      </c>
      <c r="E197" t="s">
        <v>268</v>
      </c>
      <c r="F197">
        <v>1748</v>
      </c>
      <c r="G197">
        <v>5</v>
      </c>
      <c r="H197" t="s">
        <v>506</v>
      </c>
      <c r="I197" t="s">
        <v>39</v>
      </c>
      <c r="J197" t="s">
        <v>38</v>
      </c>
      <c r="K197" t="s">
        <v>38</v>
      </c>
      <c r="L197" t="s">
        <v>38</v>
      </c>
      <c r="M197" t="s">
        <v>38</v>
      </c>
      <c r="N197" t="s">
        <v>38</v>
      </c>
      <c r="O197" t="s">
        <v>41</v>
      </c>
      <c r="P197" t="s">
        <v>42</v>
      </c>
      <c r="Q197" t="s">
        <v>43</v>
      </c>
      <c r="R197" t="s">
        <v>89</v>
      </c>
      <c r="S197" t="s">
        <v>38</v>
      </c>
      <c r="T197" t="s">
        <v>89</v>
      </c>
      <c r="U197" t="s">
        <v>38</v>
      </c>
      <c r="V197" t="s">
        <v>91</v>
      </c>
      <c r="W197" t="s">
        <v>92</v>
      </c>
      <c r="X197" t="s">
        <v>38</v>
      </c>
      <c r="Y197" t="s">
        <v>558</v>
      </c>
      <c r="Z197" t="s">
        <v>42</v>
      </c>
      <c r="AA197" t="s">
        <v>640</v>
      </c>
      <c r="AB197" t="s">
        <v>38</v>
      </c>
      <c r="AC197" t="s">
        <v>641</v>
      </c>
      <c r="AD197" t="s">
        <v>48</v>
      </c>
      <c r="AG197" t="str">
        <f>IF(AD197="United States", IFERROR(INDEX(Sheet2!$C:$C, MATCH(AE197&amp;AF197, Sheet2!$E:$E, 0)) &amp; ", " &amp; INDEX(Sheet2!$D:$D, MATCH(AE197&amp;AF197, Sheet2!$E:$E, 0)), ""), "-")</f>
        <v/>
      </c>
    </row>
    <row r="198" spans="1:33" x14ac:dyDescent="0.25">
      <c r="A198" t="s">
        <v>532</v>
      </c>
      <c r="B198" t="s">
        <v>628</v>
      </c>
      <c r="C198" t="s">
        <v>607</v>
      </c>
      <c r="D198" t="s">
        <v>200</v>
      </c>
      <c r="E198" t="s">
        <v>629</v>
      </c>
      <c r="F198">
        <v>1759</v>
      </c>
      <c r="G198">
        <v>860</v>
      </c>
      <c r="H198" t="s">
        <v>610</v>
      </c>
      <c r="I198" t="s">
        <v>80</v>
      </c>
      <c r="J198" t="s">
        <v>611</v>
      </c>
      <c r="K198" t="s">
        <v>38</v>
      </c>
      <c r="L198" t="s">
        <v>38</v>
      </c>
      <c r="M198" t="s">
        <v>38</v>
      </c>
      <c r="N198" t="s">
        <v>38</v>
      </c>
      <c r="O198" t="s">
        <v>41</v>
      </c>
      <c r="P198" t="s">
        <v>42</v>
      </c>
      <c r="Q198" t="s">
        <v>43</v>
      </c>
      <c r="R198" t="s">
        <v>89</v>
      </c>
      <c r="S198" t="s">
        <v>38</v>
      </c>
      <c r="T198" t="s">
        <v>89</v>
      </c>
      <c r="U198" t="s">
        <v>38</v>
      </c>
      <c r="V198" t="s">
        <v>46</v>
      </c>
      <c r="W198" t="s">
        <v>92</v>
      </c>
      <c r="X198" t="s">
        <v>38</v>
      </c>
      <c r="Y198" t="s">
        <v>612</v>
      </c>
      <c r="Z198" t="s">
        <v>42</v>
      </c>
      <c r="AA198" t="s">
        <v>630</v>
      </c>
      <c r="AB198" t="s">
        <v>38</v>
      </c>
      <c r="AC198" t="s">
        <v>70</v>
      </c>
      <c r="AD198" t="s">
        <v>48</v>
      </c>
      <c r="AG198" t="str">
        <f>IF(AD198="United States", IFERROR(INDEX(Sheet2!$C:$C, MATCH(AE198&amp;AF198, Sheet2!$E:$E, 0)) &amp; ", " &amp; INDEX(Sheet2!$D:$D, MATCH(AE198&amp;AF198, Sheet2!$E:$E, 0)), ""), "-")</f>
        <v/>
      </c>
    </row>
    <row r="199" spans="1:33" x14ac:dyDescent="0.25">
      <c r="A199" t="s">
        <v>642</v>
      </c>
      <c r="D199" t="s">
        <v>334</v>
      </c>
      <c r="E199" t="s">
        <v>643</v>
      </c>
      <c r="F199">
        <v>1760</v>
      </c>
      <c r="G199">
        <v>565</v>
      </c>
      <c r="H199">
        <v>29</v>
      </c>
      <c r="J199" t="s">
        <v>644</v>
      </c>
      <c r="O199" t="s">
        <v>41</v>
      </c>
      <c r="R199" t="s">
        <v>89</v>
      </c>
      <c r="T199" t="s">
        <v>89</v>
      </c>
      <c r="V199" t="s">
        <v>137</v>
      </c>
      <c r="W199" t="s">
        <v>92</v>
      </c>
      <c r="Y199" t="s">
        <v>38</v>
      </c>
      <c r="AA199" t="s">
        <v>38</v>
      </c>
      <c r="AB199" t="s">
        <v>38</v>
      </c>
      <c r="AC199" t="s">
        <v>38</v>
      </c>
      <c r="AD199" t="s">
        <v>48</v>
      </c>
      <c r="AG199" t="str">
        <f>IF(AD199="United States", IFERROR(INDEX(Sheet2!$C:$C, MATCH(AE199&amp;AF199, Sheet2!$E:$E, 0)) &amp; ", " &amp; INDEX(Sheet2!$D:$D, MATCH(AE199&amp;AF199, Sheet2!$E:$E, 0)), ""), "-")</f>
        <v/>
      </c>
    </row>
    <row r="200" spans="1:33" x14ac:dyDescent="0.25">
      <c r="A200" t="s">
        <v>642</v>
      </c>
      <c r="D200" t="s">
        <v>645</v>
      </c>
      <c r="E200" t="s">
        <v>185</v>
      </c>
      <c r="F200">
        <v>1763</v>
      </c>
      <c r="G200">
        <v>575</v>
      </c>
      <c r="H200">
        <v>29</v>
      </c>
      <c r="J200" t="s">
        <v>644</v>
      </c>
      <c r="O200" t="s">
        <v>57</v>
      </c>
      <c r="R200" t="s">
        <v>89</v>
      </c>
      <c r="T200" t="s">
        <v>89</v>
      </c>
      <c r="V200" t="s">
        <v>137</v>
      </c>
      <c r="W200" t="s">
        <v>92</v>
      </c>
      <c r="Y200" t="s">
        <v>38</v>
      </c>
      <c r="AA200" t="s">
        <v>38</v>
      </c>
      <c r="AB200" t="s">
        <v>38</v>
      </c>
      <c r="AC200" t="s">
        <v>38</v>
      </c>
      <c r="AD200" t="s">
        <v>48</v>
      </c>
      <c r="AG200" t="str">
        <f>IF(AD200="United States", IFERROR(INDEX(Sheet2!$C:$C, MATCH(AE200&amp;AF200, Sheet2!$E:$E, 0)) &amp; ", " &amp; INDEX(Sheet2!$D:$D, MATCH(AE200&amp;AF200, Sheet2!$E:$E, 0)), ""), "-")</f>
        <v/>
      </c>
    </row>
    <row r="201" spans="1:33" x14ac:dyDescent="0.25">
      <c r="A201" t="s">
        <v>642</v>
      </c>
      <c r="D201" t="s">
        <v>621</v>
      </c>
      <c r="E201" t="s">
        <v>646</v>
      </c>
      <c r="F201">
        <v>1753</v>
      </c>
      <c r="G201">
        <v>574</v>
      </c>
      <c r="H201">
        <v>29</v>
      </c>
      <c r="J201" t="s">
        <v>644</v>
      </c>
      <c r="O201" t="s">
        <v>41</v>
      </c>
      <c r="R201" t="s">
        <v>89</v>
      </c>
      <c r="T201" t="s">
        <v>89</v>
      </c>
      <c r="V201" t="s">
        <v>137</v>
      </c>
      <c r="W201" t="s">
        <v>92</v>
      </c>
      <c r="Y201" t="s">
        <v>38</v>
      </c>
      <c r="AA201" t="s">
        <v>38</v>
      </c>
      <c r="AB201" t="s">
        <v>38</v>
      </c>
      <c r="AC201" t="s">
        <v>38</v>
      </c>
      <c r="AD201" t="s">
        <v>48</v>
      </c>
      <c r="AG201" t="str">
        <f>IF(AD201="United States", IFERROR(INDEX(Sheet2!$C:$C, MATCH(AE201&amp;AF201, Sheet2!$E:$E, 0)) &amp; ", " &amp; INDEX(Sheet2!$D:$D, MATCH(AE201&amp;AF201, Sheet2!$E:$E, 0)), ""), "-")</f>
        <v/>
      </c>
    </row>
    <row r="202" spans="1:33" x14ac:dyDescent="0.25">
      <c r="A202" t="s">
        <v>642</v>
      </c>
      <c r="D202" t="s">
        <v>647</v>
      </c>
      <c r="E202" t="s">
        <v>648</v>
      </c>
      <c r="F202">
        <v>1755</v>
      </c>
      <c r="G202">
        <v>573</v>
      </c>
      <c r="H202">
        <v>29</v>
      </c>
      <c r="J202" t="s">
        <v>644</v>
      </c>
      <c r="O202" t="s">
        <v>41</v>
      </c>
      <c r="R202" t="s">
        <v>89</v>
      </c>
      <c r="T202" t="s">
        <v>89</v>
      </c>
      <c r="V202" t="s">
        <v>137</v>
      </c>
      <c r="W202" t="s">
        <v>92</v>
      </c>
      <c r="Y202" t="s">
        <v>38</v>
      </c>
      <c r="AA202" t="s">
        <v>38</v>
      </c>
      <c r="AB202" t="s">
        <v>38</v>
      </c>
      <c r="AC202" t="s">
        <v>38</v>
      </c>
      <c r="AD202" t="s">
        <v>48</v>
      </c>
      <c r="AG202" t="str">
        <f>IF(AD202="United States", IFERROR(INDEX(Sheet2!$C:$C, MATCH(AE202&amp;AF202, Sheet2!$E:$E, 0)) &amp; ", " &amp; INDEX(Sheet2!$D:$D, MATCH(AE202&amp;AF202, Sheet2!$E:$E, 0)), ""), "-")</f>
        <v/>
      </c>
    </row>
    <row r="203" spans="1:33" x14ac:dyDescent="0.25">
      <c r="A203" t="s">
        <v>642</v>
      </c>
      <c r="D203" t="s">
        <v>181</v>
      </c>
      <c r="E203" t="s">
        <v>649</v>
      </c>
      <c r="F203" t="s">
        <v>38</v>
      </c>
      <c r="G203">
        <v>564</v>
      </c>
      <c r="H203">
        <v>29</v>
      </c>
      <c r="J203" t="s">
        <v>644</v>
      </c>
      <c r="O203" t="s">
        <v>183</v>
      </c>
      <c r="R203" t="s">
        <v>89</v>
      </c>
      <c r="T203" t="s">
        <v>89</v>
      </c>
      <c r="V203" t="s">
        <v>137</v>
      </c>
      <c r="W203" t="s">
        <v>92</v>
      </c>
      <c r="Y203" t="s">
        <v>38</v>
      </c>
      <c r="AA203" t="s">
        <v>38</v>
      </c>
      <c r="AB203" t="s">
        <v>38</v>
      </c>
      <c r="AC203" t="s">
        <v>38</v>
      </c>
      <c r="AD203" t="s">
        <v>48</v>
      </c>
      <c r="AG203" t="str">
        <f>IF(AD203="United States", IFERROR(INDEX(Sheet2!$C:$C, MATCH(AE203&amp;AF203, Sheet2!$E:$E, 0)) &amp; ", " &amp; INDEX(Sheet2!$D:$D, MATCH(AE203&amp;AF203, Sheet2!$E:$E, 0)), ""), "-")</f>
        <v/>
      </c>
    </row>
    <row r="204" spans="1:33" x14ac:dyDescent="0.25">
      <c r="A204" t="s">
        <v>642</v>
      </c>
      <c r="D204" t="s">
        <v>650</v>
      </c>
      <c r="E204" t="s">
        <v>649</v>
      </c>
      <c r="F204">
        <v>1753</v>
      </c>
      <c r="G204">
        <v>563</v>
      </c>
      <c r="H204">
        <v>29</v>
      </c>
      <c r="J204" t="s">
        <v>644</v>
      </c>
      <c r="O204" t="s">
        <v>57</v>
      </c>
      <c r="R204" t="s">
        <v>89</v>
      </c>
      <c r="T204" t="s">
        <v>89</v>
      </c>
      <c r="V204" t="s">
        <v>137</v>
      </c>
      <c r="W204" t="s">
        <v>92</v>
      </c>
      <c r="Y204" t="s">
        <v>38</v>
      </c>
      <c r="AA204" t="s">
        <v>38</v>
      </c>
      <c r="AB204" t="s">
        <v>38</v>
      </c>
      <c r="AC204" t="s">
        <v>38</v>
      </c>
      <c r="AD204" t="s">
        <v>48</v>
      </c>
      <c r="AG204" t="str">
        <f>IF(AD204="United States", IFERROR(INDEX(Sheet2!$C:$C, MATCH(AE204&amp;AF204, Sheet2!$E:$E, 0)) &amp; ", " &amp; INDEX(Sheet2!$D:$D, MATCH(AE204&amp;AF204, Sheet2!$E:$E, 0)), ""), "-")</f>
        <v/>
      </c>
    </row>
    <row r="205" spans="1:33" x14ac:dyDescent="0.25">
      <c r="A205" t="s">
        <v>642</v>
      </c>
      <c r="D205" t="s">
        <v>62</v>
      </c>
      <c r="E205" t="s">
        <v>651</v>
      </c>
      <c r="F205">
        <v>1762</v>
      </c>
      <c r="G205">
        <v>567</v>
      </c>
      <c r="H205">
        <v>29</v>
      </c>
      <c r="J205" t="s">
        <v>644</v>
      </c>
      <c r="O205" t="s">
        <v>41</v>
      </c>
      <c r="R205" t="s">
        <v>89</v>
      </c>
      <c r="T205" t="s">
        <v>89</v>
      </c>
      <c r="V205" t="s">
        <v>137</v>
      </c>
      <c r="W205" t="s">
        <v>92</v>
      </c>
      <c r="Y205" t="s">
        <v>38</v>
      </c>
      <c r="AA205" t="s">
        <v>38</v>
      </c>
      <c r="AB205" t="s">
        <v>38</v>
      </c>
      <c r="AC205" t="s">
        <v>38</v>
      </c>
      <c r="AD205" t="s">
        <v>48</v>
      </c>
      <c r="AG205" t="str">
        <f>IF(AD205="United States", IFERROR(INDEX(Sheet2!$C:$C, MATCH(AE205&amp;AF205, Sheet2!$E:$E, 0)) &amp; ", " &amp; INDEX(Sheet2!$D:$D, MATCH(AE205&amp;AF205, Sheet2!$E:$E, 0)), ""), "-")</f>
        <v/>
      </c>
    </row>
    <row r="206" spans="1:33" x14ac:dyDescent="0.25">
      <c r="A206" t="s">
        <v>642</v>
      </c>
      <c r="D206" t="s">
        <v>101</v>
      </c>
      <c r="E206" t="s">
        <v>590</v>
      </c>
      <c r="F206">
        <v>1757</v>
      </c>
      <c r="G206">
        <v>561</v>
      </c>
      <c r="H206">
        <v>29</v>
      </c>
      <c r="J206" t="s">
        <v>644</v>
      </c>
      <c r="O206" t="s">
        <v>41</v>
      </c>
      <c r="R206" t="s">
        <v>89</v>
      </c>
      <c r="T206" t="s">
        <v>89</v>
      </c>
      <c r="V206" t="s">
        <v>137</v>
      </c>
      <c r="W206" t="s">
        <v>92</v>
      </c>
      <c r="Y206" t="s">
        <v>38</v>
      </c>
      <c r="AA206" t="s">
        <v>38</v>
      </c>
      <c r="AB206" t="s">
        <v>38</v>
      </c>
      <c r="AC206" t="s">
        <v>38</v>
      </c>
      <c r="AD206" t="s">
        <v>48</v>
      </c>
      <c r="AG206" t="str">
        <f>IF(AD206="United States", IFERROR(INDEX(Sheet2!$C:$C, MATCH(AE206&amp;AF206, Sheet2!$E:$E, 0)) &amp; ", " &amp; INDEX(Sheet2!$D:$D, MATCH(AE206&amp;AF206, Sheet2!$E:$E, 0)), ""), "-")</f>
        <v/>
      </c>
    </row>
    <row r="207" spans="1:33" x14ac:dyDescent="0.25">
      <c r="A207" t="s">
        <v>642</v>
      </c>
      <c r="D207" t="s">
        <v>652</v>
      </c>
      <c r="E207" t="s">
        <v>653</v>
      </c>
      <c r="F207">
        <v>1765</v>
      </c>
      <c r="G207">
        <v>566</v>
      </c>
      <c r="H207">
        <v>29</v>
      </c>
      <c r="J207" t="s">
        <v>644</v>
      </c>
      <c r="O207" t="s">
        <v>41</v>
      </c>
      <c r="R207" t="s">
        <v>89</v>
      </c>
      <c r="T207" t="s">
        <v>89</v>
      </c>
      <c r="V207" t="s">
        <v>137</v>
      </c>
      <c r="W207" t="s">
        <v>92</v>
      </c>
      <c r="Y207" t="s">
        <v>38</v>
      </c>
      <c r="AA207" t="s">
        <v>38</v>
      </c>
      <c r="AB207" t="s">
        <v>38</v>
      </c>
      <c r="AC207" t="s">
        <v>38</v>
      </c>
      <c r="AD207" t="s">
        <v>48</v>
      </c>
      <c r="AG207" t="str">
        <f>IF(AD207="United States", IFERROR(INDEX(Sheet2!$C:$C, MATCH(AE207&amp;AF207, Sheet2!$E:$E, 0)) &amp; ", " &amp; INDEX(Sheet2!$D:$D, MATCH(AE207&amp;AF207, Sheet2!$E:$E, 0)), ""), "-")</f>
        <v/>
      </c>
    </row>
    <row r="208" spans="1:33" x14ac:dyDescent="0.25">
      <c r="A208" t="s">
        <v>642</v>
      </c>
      <c r="D208" t="s">
        <v>220</v>
      </c>
      <c r="E208" t="s">
        <v>654</v>
      </c>
      <c r="F208">
        <v>1730</v>
      </c>
      <c r="G208">
        <v>568</v>
      </c>
      <c r="H208">
        <v>29</v>
      </c>
      <c r="J208" t="s">
        <v>644</v>
      </c>
      <c r="O208" t="s">
        <v>41</v>
      </c>
      <c r="R208" t="s">
        <v>89</v>
      </c>
      <c r="T208" t="s">
        <v>89</v>
      </c>
      <c r="V208" t="s">
        <v>137</v>
      </c>
      <c r="W208" t="s">
        <v>92</v>
      </c>
      <c r="Y208" t="s">
        <v>38</v>
      </c>
      <c r="AA208" t="s">
        <v>38</v>
      </c>
      <c r="AB208" t="s">
        <v>38</v>
      </c>
      <c r="AC208" t="s">
        <v>38</v>
      </c>
      <c r="AD208" t="s">
        <v>48</v>
      </c>
      <c r="AG208" t="str">
        <f>IF(AD208="United States", IFERROR(INDEX(Sheet2!$C:$C, MATCH(AE208&amp;AF208, Sheet2!$E:$E, 0)) &amp; ", " &amp; INDEX(Sheet2!$D:$D, MATCH(AE208&amp;AF208, Sheet2!$E:$E, 0)), ""), "-")</f>
        <v/>
      </c>
    </row>
    <row r="209" spans="1:33" x14ac:dyDescent="0.25">
      <c r="A209" t="s">
        <v>642</v>
      </c>
      <c r="D209" t="s">
        <v>655</v>
      </c>
      <c r="E209" t="s">
        <v>185</v>
      </c>
      <c r="F209">
        <v>1743</v>
      </c>
      <c r="G209">
        <v>569</v>
      </c>
      <c r="H209">
        <v>29</v>
      </c>
      <c r="J209" t="s">
        <v>644</v>
      </c>
      <c r="O209" t="s">
        <v>57</v>
      </c>
      <c r="R209" t="s">
        <v>89</v>
      </c>
      <c r="T209" t="s">
        <v>89</v>
      </c>
      <c r="V209" t="s">
        <v>137</v>
      </c>
      <c r="W209" t="s">
        <v>92</v>
      </c>
      <c r="Y209" t="s">
        <v>38</v>
      </c>
      <c r="AA209" t="s">
        <v>38</v>
      </c>
      <c r="AB209" t="s">
        <v>38</v>
      </c>
      <c r="AC209" t="s">
        <v>38</v>
      </c>
      <c r="AD209" t="s">
        <v>48</v>
      </c>
      <c r="AG209" t="str">
        <f>IF(AD209="United States", IFERROR(INDEX(Sheet2!$C:$C, MATCH(AE209&amp;AF209, Sheet2!$E:$E, 0)) &amp; ", " &amp; INDEX(Sheet2!$D:$D, MATCH(AE209&amp;AF209, Sheet2!$E:$E, 0)), ""), "-")</f>
        <v/>
      </c>
    </row>
    <row r="210" spans="1:33" x14ac:dyDescent="0.25">
      <c r="A210" t="s">
        <v>642</v>
      </c>
      <c r="D210" t="s">
        <v>656</v>
      </c>
      <c r="E210" t="s">
        <v>412</v>
      </c>
      <c r="F210">
        <v>1772</v>
      </c>
      <c r="G210">
        <v>570</v>
      </c>
      <c r="H210">
        <v>29</v>
      </c>
      <c r="J210" t="s">
        <v>644</v>
      </c>
      <c r="O210" t="s">
        <v>54</v>
      </c>
      <c r="R210" t="s">
        <v>89</v>
      </c>
      <c r="T210" t="s">
        <v>89</v>
      </c>
      <c r="V210" t="s">
        <v>137</v>
      </c>
      <c r="W210" t="s">
        <v>92</v>
      </c>
      <c r="Y210" t="s">
        <v>38</v>
      </c>
      <c r="AA210" t="s">
        <v>38</v>
      </c>
      <c r="AB210" t="s">
        <v>38</v>
      </c>
      <c r="AC210" t="s">
        <v>38</v>
      </c>
      <c r="AD210" t="s">
        <v>48</v>
      </c>
      <c r="AG210" t="str">
        <f>IF(AD210="United States", IFERROR(INDEX(Sheet2!$C:$C, MATCH(AE210&amp;AF210, Sheet2!$E:$E, 0)) &amp; ", " &amp; INDEX(Sheet2!$D:$D, MATCH(AE210&amp;AF210, Sheet2!$E:$E, 0)), ""), "-")</f>
        <v/>
      </c>
    </row>
    <row r="211" spans="1:33" x14ac:dyDescent="0.25">
      <c r="A211" t="s">
        <v>642</v>
      </c>
      <c r="D211" t="s">
        <v>657</v>
      </c>
      <c r="E211" t="s">
        <v>187</v>
      </c>
      <c r="F211">
        <v>1763</v>
      </c>
      <c r="G211">
        <v>571</v>
      </c>
      <c r="H211">
        <v>29</v>
      </c>
      <c r="J211" t="s">
        <v>644</v>
      </c>
      <c r="O211" t="s">
        <v>57</v>
      </c>
      <c r="R211" t="s">
        <v>89</v>
      </c>
      <c r="T211" t="s">
        <v>89</v>
      </c>
      <c r="V211" t="s">
        <v>137</v>
      </c>
      <c r="W211" t="s">
        <v>92</v>
      </c>
      <c r="Y211" t="s">
        <v>38</v>
      </c>
      <c r="AA211" t="s">
        <v>38</v>
      </c>
      <c r="AB211" t="s">
        <v>38</v>
      </c>
      <c r="AC211" t="s">
        <v>38</v>
      </c>
      <c r="AD211" t="s">
        <v>48</v>
      </c>
      <c r="AG211" t="str">
        <f>IF(AD211="United States", IFERROR(INDEX(Sheet2!$C:$C, MATCH(AE211&amp;AF211, Sheet2!$E:$E, 0)) &amp; ", " &amp; INDEX(Sheet2!$D:$D, MATCH(AE211&amp;AF211, Sheet2!$E:$E, 0)), ""), "-")</f>
        <v/>
      </c>
    </row>
    <row r="212" spans="1:33" x14ac:dyDescent="0.25">
      <c r="A212" t="s">
        <v>642</v>
      </c>
      <c r="D212" t="s">
        <v>181</v>
      </c>
      <c r="E212" t="s">
        <v>654</v>
      </c>
      <c r="F212" t="s">
        <v>38</v>
      </c>
      <c r="G212">
        <v>572</v>
      </c>
      <c r="H212">
        <v>29</v>
      </c>
      <c r="J212" t="s">
        <v>644</v>
      </c>
      <c r="O212" t="s">
        <v>183</v>
      </c>
      <c r="R212" t="s">
        <v>89</v>
      </c>
      <c r="T212" t="s">
        <v>89</v>
      </c>
      <c r="V212" t="s">
        <v>137</v>
      </c>
      <c r="W212" t="s">
        <v>92</v>
      </c>
      <c r="Y212" t="s">
        <v>38</v>
      </c>
      <c r="AA212" t="s">
        <v>38</v>
      </c>
      <c r="AB212" t="s">
        <v>38</v>
      </c>
      <c r="AC212" t="s">
        <v>38</v>
      </c>
      <c r="AD212" t="s">
        <v>48</v>
      </c>
      <c r="AG212" t="str">
        <f>IF(AD212="United States", IFERROR(INDEX(Sheet2!$C:$C, MATCH(AE212&amp;AF212, Sheet2!$E:$E, 0)) &amp; ", " &amp; INDEX(Sheet2!$D:$D, MATCH(AE212&amp;AF212, Sheet2!$E:$E, 0)), ""), "-")</f>
        <v/>
      </c>
    </row>
    <row r="213" spans="1:33" x14ac:dyDescent="0.25">
      <c r="A213" t="s">
        <v>642</v>
      </c>
      <c r="D213" t="s">
        <v>658</v>
      </c>
      <c r="E213" t="s">
        <v>659</v>
      </c>
      <c r="F213">
        <v>1738</v>
      </c>
      <c r="G213">
        <v>562</v>
      </c>
      <c r="H213">
        <v>29</v>
      </c>
      <c r="J213" t="s">
        <v>644</v>
      </c>
      <c r="O213" t="s">
        <v>41</v>
      </c>
      <c r="R213" t="s">
        <v>89</v>
      </c>
      <c r="T213" t="s">
        <v>89</v>
      </c>
      <c r="V213" t="s">
        <v>137</v>
      </c>
      <c r="W213" t="s">
        <v>92</v>
      </c>
      <c r="Y213" t="s">
        <v>38</v>
      </c>
      <c r="AA213" t="s">
        <v>38</v>
      </c>
      <c r="AB213" t="s">
        <v>38</v>
      </c>
      <c r="AC213" t="s">
        <v>38</v>
      </c>
      <c r="AD213" t="s">
        <v>48</v>
      </c>
      <c r="AG213" t="str">
        <f>IF(AD213="United States", IFERROR(INDEX(Sheet2!$C:$C, MATCH(AE213&amp;AF213, Sheet2!$E:$E, 0)) &amp; ", " &amp; INDEX(Sheet2!$D:$D, MATCH(AE213&amp;AF213, Sheet2!$E:$E, 0)), ""), "-")</f>
        <v/>
      </c>
    </row>
    <row r="214" spans="1:33" x14ac:dyDescent="0.25">
      <c r="A214" t="s">
        <v>660</v>
      </c>
      <c r="B214" t="s">
        <v>661</v>
      </c>
      <c r="C214" t="s">
        <v>662</v>
      </c>
      <c r="D214" t="s">
        <v>114</v>
      </c>
      <c r="E214" t="s">
        <v>38</v>
      </c>
      <c r="F214">
        <v>1772</v>
      </c>
      <c r="G214">
        <v>1156</v>
      </c>
      <c r="H214" t="s">
        <v>38</v>
      </c>
      <c r="I214" t="s">
        <v>80</v>
      </c>
      <c r="J214" t="s">
        <v>38</v>
      </c>
      <c r="K214" t="s">
        <v>38</v>
      </c>
      <c r="L214" t="s">
        <v>38</v>
      </c>
      <c r="M214" t="s">
        <v>38</v>
      </c>
      <c r="N214" t="s">
        <v>38</v>
      </c>
      <c r="O214" t="s">
        <v>74</v>
      </c>
      <c r="P214" t="s">
        <v>42</v>
      </c>
      <c r="Q214" t="s">
        <v>43</v>
      </c>
      <c r="R214" t="s">
        <v>38</v>
      </c>
      <c r="S214" t="s">
        <v>38</v>
      </c>
      <c r="T214" t="s">
        <v>38</v>
      </c>
      <c r="U214" t="s">
        <v>38</v>
      </c>
      <c r="V214" t="s">
        <v>38</v>
      </c>
      <c r="W214" t="s">
        <v>38</v>
      </c>
      <c r="X214" t="s">
        <v>38</v>
      </c>
      <c r="Y214" t="s">
        <v>663</v>
      </c>
      <c r="Z214" t="s">
        <v>42</v>
      </c>
      <c r="AA214" t="s">
        <v>38</v>
      </c>
      <c r="AB214" t="s">
        <v>38</v>
      </c>
      <c r="AC214" t="s">
        <v>38</v>
      </c>
      <c r="AD214" t="s">
        <v>48</v>
      </c>
      <c r="AG214" t="str">
        <f>IF(AD214="United States", IFERROR(INDEX(Sheet2!$C:$C, MATCH(AE214&amp;AF214, Sheet2!$E:$E, 0)) &amp; ", " &amp; INDEX(Sheet2!$D:$D, MATCH(AE214&amp;AF214, Sheet2!$E:$E, 0)), ""), "-")</f>
        <v/>
      </c>
    </row>
    <row r="215" spans="1:33" x14ac:dyDescent="0.25">
      <c r="A215" t="s">
        <v>660</v>
      </c>
      <c r="B215" t="s">
        <v>664</v>
      </c>
      <c r="C215" t="s">
        <v>662</v>
      </c>
      <c r="D215" t="s">
        <v>665</v>
      </c>
      <c r="E215" t="s">
        <v>38</v>
      </c>
      <c r="F215">
        <v>1733</v>
      </c>
      <c r="G215">
        <v>1155</v>
      </c>
      <c r="H215" t="s">
        <v>38</v>
      </c>
      <c r="I215" t="s">
        <v>80</v>
      </c>
      <c r="J215" t="s">
        <v>38</v>
      </c>
      <c r="K215" t="s">
        <v>38</v>
      </c>
      <c r="L215" t="s">
        <v>38</v>
      </c>
      <c r="M215" t="s">
        <v>38</v>
      </c>
      <c r="N215" t="s">
        <v>38</v>
      </c>
      <c r="O215" t="s">
        <v>41</v>
      </c>
      <c r="P215" t="s">
        <v>42</v>
      </c>
      <c r="Q215" t="s">
        <v>43</v>
      </c>
      <c r="R215" t="s">
        <v>666</v>
      </c>
      <c r="S215" t="s">
        <v>201</v>
      </c>
      <c r="T215" t="s">
        <v>38</v>
      </c>
      <c r="U215" t="s">
        <v>38</v>
      </c>
      <c r="V215" t="s">
        <v>38</v>
      </c>
      <c r="W215" t="s">
        <v>38</v>
      </c>
      <c r="X215" t="s">
        <v>38</v>
      </c>
      <c r="Y215" t="s">
        <v>667</v>
      </c>
      <c r="Z215" t="s">
        <v>42</v>
      </c>
      <c r="AA215" t="s">
        <v>666</v>
      </c>
      <c r="AB215" t="s">
        <v>38</v>
      </c>
      <c r="AC215" t="s">
        <v>201</v>
      </c>
      <c r="AD215" t="s">
        <v>48</v>
      </c>
      <c r="AG215" t="str">
        <f>IF(AD215="United States", IFERROR(INDEX(Sheet2!$C:$C, MATCH(AE215&amp;AF215, Sheet2!$E:$E, 0)) &amp; ", " &amp; INDEX(Sheet2!$D:$D, MATCH(AE215&amp;AF215, Sheet2!$E:$E, 0)), ""), "-")</f>
        <v/>
      </c>
    </row>
    <row r="216" spans="1:33" x14ac:dyDescent="0.25">
      <c r="A216" t="s">
        <v>660</v>
      </c>
      <c r="B216" t="s">
        <v>668</v>
      </c>
      <c r="C216" t="s">
        <v>669</v>
      </c>
      <c r="D216" t="s">
        <v>101</v>
      </c>
      <c r="E216" t="s">
        <v>590</v>
      </c>
      <c r="F216">
        <v>1757</v>
      </c>
      <c r="G216">
        <v>508</v>
      </c>
      <c r="H216" t="s">
        <v>38</v>
      </c>
      <c r="I216" t="s">
        <v>39</v>
      </c>
      <c r="J216" t="s">
        <v>670</v>
      </c>
      <c r="K216" t="s">
        <v>38</v>
      </c>
      <c r="L216" t="s">
        <v>38</v>
      </c>
      <c r="M216" t="s">
        <v>38</v>
      </c>
      <c r="N216" t="s">
        <v>38</v>
      </c>
      <c r="O216" t="s">
        <v>41</v>
      </c>
      <c r="P216" t="s">
        <v>42</v>
      </c>
      <c r="Q216" t="s">
        <v>43</v>
      </c>
      <c r="R216" t="s">
        <v>38</v>
      </c>
      <c r="S216" t="s">
        <v>38</v>
      </c>
      <c r="T216" t="s">
        <v>38</v>
      </c>
      <c r="U216" t="s">
        <v>38</v>
      </c>
      <c r="V216" t="s">
        <v>137</v>
      </c>
      <c r="W216" t="s">
        <v>38</v>
      </c>
      <c r="X216" t="s">
        <v>38</v>
      </c>
      <c r="Y216" t="s">
        <v>671</v>
      </c>
      <c r="Z216" t="s">
        <v>42</v>
      </c>
      <c r="AA216" t="s">
        <v>672</v>
      </c>
      <c r="AB216" t="s">
        <v>38</v>
      </c>
      <c r="AC216" t="s">
        <v>673</v>
      </c>
      <c r="AD216" t="s">
        <v>672</v>
      </c>
      <c r="AG216" t="str">
        <f>IF(AD216="United States", IFERROR(INDEX(Sheet2!$C:$C, MATCH(AE216&amp;AF216, Sheet2!$E:$E, 0)) &amp; ", " &amp; INDEX(Sheet2!$D:$D, MATCH(AE216&amp;AF216, Sheet2!$E:$E, 0)), ""), "18.1850507, -77.3947693")</f>
        <v>18.1850507, -77.3947693</v>
      </c>
    </row>
    <row r="217" spans="1:33" x14ac:dyDescent="0.25">
      <c r="A217" t="s">
        <v>660</v>
      </c>
      <c r="B217" t="s">
        <v>674</v>
      </c>
      <c r="C217" t="s">
        <v>669</v>
      </c>
      <c r="D217" t="s">
        <v>52</v>
      </c>
      <c r="E217" t="s">
        <v>675</v>
      </c>
      <c r="F217">
        <v>1763</v>
      </c>
      <c r="G217">
        <v>517</v>
      </c>
      <c r="H217" t="s">
        <v>38</v>
      </c>
      <c r="I217" t="s">
        <v>39</v>
      </c>
      <c r="J217" t="s">
        <v>670</v>
      </c>
      <c r="K217" t="s">
        <v>220</v>
      </c>
      <c r="L217" t="s">
        <v>654</v>
      </c>
      <c r="M217" t="s">
        <v>676</v>
      </c>
      <c r="N217" t="s">
        <v>164</v>
      </c>
      <c r="O217" t="s">
        <v>74</v>
      </c>
      <c r="P217" t="s">
        <v>42</v>
      </c>
      <c r="Q217" t="s">
        <v>43</v>
      </c>
      <c r="R217" t="s">
        <v>677</v>
      </c>
      <c r="S217" t="s">
        <v>201</v>
      </c>
      <c r="T217" t="s">
        <v>38</v>
      </c>
      <c r="U217" t="s">
        <v>38</v>
      </c>
      <c r="V217" t="s">
        <v>137</v>
      </c>
      <c r="W217" t="s">
        <v>38</v>
      </c>
      <c r="X217" t="s">
        <v>38</v>
      </c>
      <c r="Y217" t="s">
        <v>678</v>
      </c>
      <c r="Z217" t="s">
        <v>42</v>
      </c>
      <c r="AA217" t="s">
        <v>677</v>
      </c>
      <c r="AB217" t="s">
        <v>38</v>
      </c>
      <c r="AC217" t="s">
        <v>201</v>
      </c>
      <c r="AD217" t="s">
        <v>48</v>
      </c>
      <c r="AG217" t="str">
        <f>IF(AD217="United States", IFERROR(INDEX(Sheet2!$C:$C, MATCH(AE217&amp;AF217, Sheet2!$E:$E, 0)) &amp; ", " &amp; INDEX(Sheet2!$D:$D, MATCH(AE217&amp;AF217, Sheet2!$E:$E, 0)), ""), "-")</f>
        <v/>
      </c>
    </row>
    <row r="218" spans="1:33" x14ac:dyDescent="0.25">
      <c r="A218" t="s">
        <v>660</v>
      </c>
      <c r="B218" t="s">
        <v>679</v>
      </c>
      <c r="C218" t="s">
        <v>669</v>
      </c>
      <c r="D218" t="s">
        <v>334</v>
      </c>
      <c r="E218" t="s">
        <v>643</v>
      </c>
      <c r="F218">
        <v>1760</v>
      </c>
      <c r="G218">
        <v>511</v>
      </c>
      <c r="H218" t="s">
        <v>38</v>
      </c>
      <c r="I218" t="s">
        <v>39</v>
      </c>
      <c r="J218" t="s">
        <v>670</v>
      </c>
      <c r="K218" t="s">
        <v>38</v>
      </c>
      <c r="L218" t="s">
        <v>38</v>
      </c>
      <c r="M218" t="s">
        <v>38</v>
      </c>
      <c r="N218" t="s">
        <v>38</v>
      </c>
      <c r="O218" t="s">
        <v>41</v>
      </c>
      <c r="P218" t="s">
        <v>42</v>
      </c>
      <c r="Q218" t="s">
        <v>43</v>
      </c>
      <c r="R218" t="s">
        <v>265</v>
      </c>
      <c r="S218" t="s">
        <v>201</v>
      </c>
      <c r="T218" t="s">
        <v>38</v>
      </c>
      <c r="U218" t="s">
        <v>38</v>
      </c>
      <c r="V218" t="s">
        <v>137</v>
      </c>
      <c r="W218" t="s">
        <v>38</v>
      </c>
      <c r="X218" t="s">
        <v>38</v>
      </c>
      <c r="Y218" t="s">
        <v>680</v>
      </c>
      <c r="Z218" t="s">
        <v>42</v>
      </c>
      <c r="AA218" t="s">
        <v>265</v>
      </c>
      <c r="AB218" t="s">
        <v>38</v>
      </c>
      <c r="AC218" t="s">
        <v>201</v>
      </c>
      <c r="AD218" t="s">
        <v>48</v>
      </c>
      <c r="AG218" t="str">
        <f>IF(AD218="United States", IFERROR(INDEX(Sheet2!$C:$C, MATCH(AE218&amp;AF218, Sheet2!$E:$E, 0)) &amp; ", " &amp; INDEX(Sheet2!$D:$D, MATCH(AE218&amp;AF218, Sheet2!$E:$E, 0)), ""), "-")</f>
        <v/>
      </c>
    </row>
    <row r="219" spans="1:33" x14ac:dyDescent="0.25">
      <c r="A219" t="s">
        <v>660</v>
      </c>
      <c r="B219" t="s">
        <v>681</v>
      </c>
      <c r="C219" t="s">
        <v>669</v>
      </c>
      <c r="D219" t="s">
        <v>650</v>
      </c>
      <c r="E219" t="s">
        <v>649</v>
      </c>
      <c r="F219">
        <v>1753</v>
      </c>
      <c r="G219">
        <v>510</v>
      </c>
      <c r="H219" t="s">
        <v>38</v>
      </c>
      <c r="I219" t="s">
        <v>39</v>
      </c>
      <c r="J219" t="s">
        <v>670</v>
      </c>
      <c r="K219" t="s">
        <v>38</v>
      </c>
      <c r="L219" t="s">
        <v>38</v>
      </c>
      <c r="M219" t="s">
        <v>38</v>
      </c>
      <c r="N219" t="s">
        <v>38</v>
      </c>
      <c r="O219" t="s">
        <v>74</v>
      </c>
      <c r="P219" t="s">
        <v>42</v>
      </c>
      <c r="Q219" t="s">
        <v>43</v>
      </c>
      <c r="R219" t="s">
        <v>682</v>
      </c>
      <c r="S219" t="s">
        <v>45</v>
      </c>
      <c r="T219" t="s">
        <v>38</v>
      </c>
      <c r="U219" t="s">
        <v>38</v>
      </c>
      <c r="V219" t="s">
        <v>137</v>
      </c>
      <c r="W219" t="s">
        <v>38</v>
      </c>
      <c r="X219" t="s">
        <v>38</v>
      </c>
      <c r="Y219" t="s">
        <v>683</v>
      </c>
      <c r="Z219" t="s">
        <v>42</v>
      </c>
      <c r="AA219" t="s">
        <v>682</v>
      </c>
      <c r="AB219" t="s">
        <v>38</v>
      </c>
      <c r="AC219" t="s">
        <v>45</v>
      </c>
      <c r="AD219" t="s">
        <v>48</v>
      </c>
      <c r="AG219" t="str">
        <f>IF(AD219="United States", IFERROR(INDEX(Sheet2!$C:$C, MATCH(AE219&amp;AF219, Sheet2!$E:$E, 0)) &amp; ", " &amp; INDEX(Sheet2!$D:$D, MATCH(AE219&amp;AF219, Sheet2!$E:$E, 0)), ""), "-")</f>
        <v/>
      </c>
    </row>
    <row r="220" spans="1:33" x14ac:dyDescent="0.25">
      <c r="A220" t="s">
        <v>660</v>
      </c>
      <c r="B220" t="s">
        <v>684</v>
      </c>
      <c r="C220" t="s">
        <v>669</v>
      </c>
      <c r="D220" t="s">
        <v>685</v>
      </c>
      <c r="E220" t="s">
        <v>659</v>
      </c>
      <c r="F220">
        <v>1738</v>
      </c>
      <c r="G220">
        <v>509</v>
      </c>
      <c r="H220" t="s">
        <v>38</v>
      </c>
      <c r="I220" t="s">
        <v>39</v>
      </c>
      <c r="J220" t="s">
        <v>670</v>
      </c>
      <c r="K220" t="s">
        <v>38</v>
      </c>
      <c r="L220" t="s">
        <v>38</v>
      </c>
      <c r="M220" t="s">
        <v>38</v>
      </c>
      <c r="N220" t="s">
        <v>38</v>
      </c>
      <c r="O220" t="s">
        <v>41</v>
      </c>
      <c r="P220" t="s">
        <v>42</v>
      </c>
      <c r="Q220" t="s">
        <v>43</v>
      </c>
      <c r="R220" t="s">
        <v>686</v>
      </c>
      <c r="S220" t="s">
        <v>201</v>
      </c>
      <c r="T220" t="s">
        <v>38</v>
      </c>
      <c r="U220" t="s">
        <v>38</v>
      </c>
      <c r="V220" t="s">
        <v>137</v>
      </c>
      <c r="W220" t="s">
        <v>38</v>
      </c>
      <c r="X220" t="s">
        <v>38</v>
      </c>
      <c r="Y220" t="s">
        <v>683</v>
      </c>
      <c r="Z220" t="s">
        <v>42</v>
      </c>
      <c r="AA220" t="s">
        <v>686</v>
      </c>
      <c r="AB220" t="s">
        <v>38</v>
      </c>
      <c r="AC220" t="s">
        <v>201</v>
      </c>
      <c r="AD220" t="s">
        <v>48</v>
      </c>
      <c r="AG220" t="str">
        <f>IF(AD220="United States", IFERROR(INDEX(Sheet2!$C:$C, MATCH(AE220&amp;AF220, Sheet2!$E:$E, 0)) &amp; ", " &amp; INDEX(Sheet2!$D:$D, MATCH(AE220&amp;AF220, Sheet2!$E:$E, 0)), ""), "-")</f>
        <v/>
      </c>
    </row>
    <row r="221" spans="1:33" x14ac:dyDescent="0.25">
      <c r="A221" t="s">
        <v>660</v>
      </c>
      <c r="B221" t="s">
        <v>687</v>
      </c>
      <c r="C221" t="s">
        <v>669</v>
      </c>
      <c r="D221" t="s">
        <v>62</v>
      </c>
      <c r="E221" t="s">
        <v>651</v>
      </c>
      <c r="F221">
        <v>1762</v>
      </c>
      <c r="G221">
        <v>513</v>
      </c>
      <c r="H221" t="s">
        <v>38</v>
      </c>
      <c r="I221" t="s">
        <v>39</v>
      </c>
      <c r="J221" t="s">
        <v>670</v>
      </c>
      <c r="K221" t="s">
        <v>38</v>
      </c>
      <c r="L221" t="s">
        <v>38</v>
      </c>
      <c r="M221" t="s">
        <v>38</v>
      </c>
      <c r="N221" t="s">
        <v>38</v>
      </c>
      <c r="O221" t="s">
        <v>41</v>
      </c>
      <c r="P221" t="s">
        <v>42</v>
      </c>
      <c r="Q221" t="s">
        <v>43</v>
      </c>
      <c r="R221" t="s">
        <v>38</v>
      </c>
      <c r="S221" t="s">
        <v>165</v>
      </c>
      <c r="T221" t="s">
        <v>38</v>
      </c>
      <c r="U221" t="s">
        <v>38</v>
      </c>
      <c r="V221" t="s">
        <v>137</v>
      </c>
      <c r="W221" t="s">
        <v>38</v>
      </c>
      <c r="X221" t="s">
        <v>38</v>
      </c>
      <c r="Y221" t="s">
        <v>688</v>
      </c>
      <c r="Z221" t="s">
        <v>42</v>
      </c>
      <c r="AA221" t="s">
        <v>38</v>
      </c>
      <c r="AB221" t="s">
        <v>38</v>
      </c>
      <c r="AC221" t="s">
        <v>166</v>
      </c>
      <c r="AD221" t="s">
        <v>48</v>
      </c>
      <c r="AG221" t="str">
        <f>IF(AD221="United States", IFERROR(INDEX(Sheet2!$C:$C, MATCH(AE221&amp;AF221, Sheet2!$E:$E, 0)) &amp; ", " &amp; INDEX(Sheet2!$D:$D, MATCH(AE221&amp;AF221, Sheet2!$E:$E, 0)), ""), "-")</f>
        <v/>
      </c>
    </row>
    <row r="222" spans="1:33" x14ac:dyDescent="0.25">
      <c r="A222" t="s">
        <v>660</v>
      </c>
      <c r="B222" t="s">
        <v>689</v>
      </c>
      <c r="C222" t="s">
        <v>669</v>
      </c>
      <c r="D222" t="s">
        <v>676</v>
      </c>
      <c r="E222" t="s">
        <v>164</v>
      </c>
      <c r="F222">
        <v>1743</v>
      </c>
      <c r="G222">
        <v>515</v>
      </c>
      <c r="H222" t="s">
        <v>38</v>
      </c>
      <c r="I222" t="s">
        <v>39</v>
      </c>
      <c r="J222" t="s">
        <v>670</v>
      </c>
      <c r="K222" t="s">
        <v>38</v>
      </c>
      <c r="L222" t="s">
        <v>38</v>
      </c>
      <c r="M222" t="s">
        <v>38</v>
      </c>
      <c r="N222" t="s">
        <v>38</v>
      </c>
      <c r="O222" t="s">
        <v>57</v>
      </c>
      <c r="P222" t="s">
        <v>42</v>
      </c>
      <c r="Q222" t="s">
        <v>43</v>
      </c>
      <c r="R222" t="s">
        <v>677</v>
      </c>
      <c r="S222" t="s">
        <v>201</v>
      </c>
      <c r="T222" t="s">
        <v>38</v>
      </c>
      <c r="U222" t="s">
        <v>38</v>
      </c>
      <c r="V222" t="s">
        <v>137</v>
      </c>
      <c r="W222" t="s">
        <v>38</v>
      </c>
      <c r="X222" t="s">
        <v>38</v>
      </c>
      <c r="Y222" t="s">
        <v>678</v>
      </c>
      <c r="Z222" t="s">
        <v>42</v>
      </c>
      <c r="AA222" t="s">
        <v>677</v>
      </c>
      <c r="AB222" t="s">
        <v>38</v>
      </c>
      <c r="AC222" t="s">
        <v>201</v>
      </c>
      <c r="AD222" t="s">
        <v>48</v>
      </c>
      <c r="AG222" t="str">
        <f>IF(AD222="United States", IFERROR(INDEX(Sheet2!$C:$C, MATCH(AE222&amp;AF222, Sheet2!$E:$E, 0)) &amp; ", " &amp; INDEX(Sheet2!$D:$D, MATCH(AE222&amp;AF222, Sheet2!$E:$E, 0)), ""), "-")</f>
        <v/>
      </c>
    </row>
    <row r="223" spans="1:33" x14ac:dyDescent="0.25">
      <c r="A223" t="s">
        <v>660</v>
      </c>
      <c r="B223" t="s">
        <v>690</v>
      </c>
      <c r="C223" t="s">
        <v>669</v>
      </c>
      <c r="D223" t="s">
        <v>691</v>
      </c>
      <c r="E223" t="s">
        <v>482</v>
      </c>
      <c r="F223">
        <v>1772</v>
      </c>
      <c r="G223">
        <v>516</v>
      </c>
      <c r="H223" t="s">
        <v>38</v>
      </c>
      <c r="I223" t="s">
        <v>39</v>
      </c>
      <c r="J223" t="s">
        <v>670</v>
      </c>
      <c r="K223" t="s">
        <v>220</v>
      </c>
      <c r="L223" t="s">
        <v>654</v>
      </c>
      <c r="M223" t="s">
        <v>676</v>
      </c>
      <c r="N223" t="s">
        <v>164</v>
      </c>
      <c r="O223" t="s">
        <v>54</v>
      </c>
      <c r="P223" t="s">
        <v>42</v>
      </c>
      <c r="Q223" t="s">
        <v>43</v>
      </c>
      <c r="R223" t="s">
        <v>677</v>
      </c>
      <c r="S223" t="s">
        <v>201</v>
      </c>
      <c r="T223" t="s">
        <v>38</v>
      </c>
      <c r="U223" t="s">
        <v>38</v>
      </c>
      <c r="V223" t="s">
        <v>137</v>
      </c>
      <c r="W223" t="s">
        <v>38</v>
      </c>
      <c r="X223" t="s">
        <v>38</v>
      </c>
      <c r="Y223" t="s">
        <v>678</v>
      </c>
      <c r="Z223" t="s">
        <v>42</v>
      </c>
      <c r="AA223" t="s">
        <v>677</v>
      </c>
      <c r="AB223" t="s">
        <v>38</v>
      </c>
      <c r="AC223" t="s">
        <v>201</v>
      </c>
      <c r="AD223" t="s">
        <v>48</v>
      </c>
      <c r="AG223" t="str">
        <f>IF(AD223="United States", IFERROR(INDEX(Sheet2!$C:$C, MATCH(AE223&amp;AF223, Sheet2!$E:$E, 0)) &amp; ", " &amp; INDEX(Sheet2!$D:$D, MATCH(AE223&amp;AF223, Sheet2!$E:$E, 0)), ""), "-")</f>
        <v/>
      </c>
    </row>
    <row r="224" spans="1:33" x14ac:dyDescent="0.25">
      <c r="A224" t="s">
        <v>660</v>
      </c>
      <c r="B224" t="s">
        <v>692</v>
      </c>
      <c r="C224" t="s">
        <v>669</v>
      </c>
      <c r="D224" t="s">
        <v>652</v>
      </c>
      <c r="E224" t="s">
        <v>653</v>
      </c>
      <c r="F224">
        <v>1765</v>
      </c>
      <c r="G224">
        <v>512</v>
      </c>
      <c r="H224" t="s">
        <v>38</v>
      </c>
      <c r="I224" t="s">
        <v>39</v>
      </c>
      <c r="J224" t="s">
        <v>670</v>
      </c>
      <c r="K224" t="s">
        <v>38</v>
      </c>
      <c r="L224" t="s">
        <v>38</v>
      </c>
      <c r="M224" t="s">
        <v>38</v>
      </c>
      <c r="N224" t="s">
        <v>38</v>
      </c>
      <c r="O224" t="s">
        <v>41</v>
      </c>
      <c r="P224" t="s">
        <v>42</v>
      </c>
      <c r="Q224" t="s">
        <v>43</v>
      </c>
      <c r="R224" t="s">
        <v>693</v>
      </c>
      <c r="S224" t="s">
        <v>165</v>
      </c>
      <c r="T224" t="s">
        <v>38</v>
      </c>
      <c r="U224" t="s">
        <v>38</v>
      </c>
      <c r="V224" t="s">
        <v>137</v>
      </c>
      <c r="W224" t="s">
        <v>38</v>
      </c>
      <c r="X224" t="s">
        <v>38</v>
      </c>
      <c r="Y224" t="s">
        <v>694</v>
      </c>
      <c r="Z224" t="s">
        <v>42</v>
      </c>
      <c r="AA224" t="s">
        <v>38</v>
      </c>
      <c r="AB224" t="s">
        <v>38</v>
      </c>
      <c r="AC224" t="s">
        <v>165</v>
      </c>
      <c r="AD224" t="s">
        <v>48</v>
      </c>
      <c r="AG224" t="str">
        <f>IF(AD224="United States", IFERROR(INDEX(Sheet2!$C:$C, MATCH(AE224&amp;AF224, Sheet2!$E:$E, 0)) &amp; ", " &amp; INDEX(Sheet2!$D:$D, MATCH(AE224&amp;AF224, Sheet2!$E:$E, 0)), ""), "-")</f>
        <v/>
      </c>
    </row>
    <row r="225" spans="1:33" x14ac:dyDescent="0.25">
      <c r="A225" t="s">
        <v>660</v>
      </c>
      <c r="B225" t="s">
        <v>661</v>
      </c>
      <c r="C225" t="s">
        <v>662</v>
      </c>
      <c r="D225" t="s">
        <v>114</v>
      </c>
      <c r="E225" t="s">
        <v>38</v>
      </c>
      <c r="F225">
        <v>1772</v>
      </c>
      <c r="G225">
        <v>880</v>
      </c>
      <c r="H225" t="s">
        <v>38</v>
      </c>
      <c r="I225" t="s">
        <v>80</v>
      </c>
      <c r="J225" t="s">
        <v>38</v>
      </c>
      <c r="K225" t="s">
        <v>38</v>
      </c>
      <c r="L225" t="s">
        <v>38</v>
      </c>
      <c r="M225" t="s">
        <v>38</v>
      </c>
      <c r="N225" t="s">
        <v>38</v>
      </c>
      <c r="O225" t="s">
        <v>74</v>
      </c>
      <c r="P225" t="s">
        <v>42</v>
      </c>
      <c r="Q225" t="s">
        <v>43</v>
      </c>
      <c r="R225" t="s">
        <v>38</v>
      </c>
      <c r="S225" t="s">
        <v>38</v>
      </c>
      <c r="T225" t="s">
        <v>38</v>
      </c>
      <c r="U225" t="s">
        <v>38</v>
      </c>
      <c r="V225" t="s">
        <v>38</v>
      </c>
      <c r="W225" t="s">
        <v>38</v>
      </c>
      <c r="X225" t="s">
        <v>38</v>
      </c>
      <c r="Y225" t="s">
        <v>663</v>
      </c>
      <c r="Z225" t="s">
        <v>42</v>
      </c>
      <c r="AA225" t="s">
        <v>38</v>
      </c>
      <c r="AB225" t="s">
        <v>38</v>
      </c>
      <c r="AC225" t="s">
        <v>38</v>
      </c>
      <c r="AD225" t="s">
        <v>48</v>
      </c>
      <c r="AG225" t="str">
        <f>IF(AD225="United States", IFERROR(INDEX(Sheet2!$C:$C, MATCH(AE225&amp;AF225, Sheet2!$E:$E, 0)) &amp; ", " &amp; INDEX(Sheet2!$D:$D, MATCH(AE225&amp;AF225, Sheet2!$E:$E, 0)), ""), "-")</f>
        <v/>
      </c>
    </row>
    <row r="226" spans="1:33" x14ac:dyDescent="0.25">
      <c r="A226" t="s">
        <v>660</v>
      </c>
      <c r="B226" t="s">
        <v>695</v>
      </c>
      <c r="C226" t="s">
        <v>669</v>
      </c>
      <c r="D226" t="s">
        <v>621</v>
      </c>
      <c r="E226" t="s">
        <v>646</v>
      </c>
      <c r="F226">
        <v>1753</v>
      </c>
      <c r="G226">
        <v>519</v>
      </c>
      <c r="H226" t="s">
        <v>38</v>
      </c>
      <c r="I226" t="s">
        <v>39</v>
      </c>
      <c r="J226" t="s">
        <v>670</v>
      </c>
      <c r="K226" t="s">
        <v>38</v>
      </c>
      <c r="L226" t="s">
        <v>38</v>
      </c>
      <c r="M226" t="s">
        <v>38</v>
      </c>
      <c r="N226" t="s">
        <v>38</v>
      </c>
      <c r="O226" t="s">
        <v>41</v>
      </c>
      <c r="P226" t="s">
        <v>42</v>
      </c>
      <c r="Q226" t="s">
        <v>43</v>
      </c>
      <c r="R226" t="s">
        <v>38</v>
      </c>
      <c r="S226" t="s">
        <v>153</v>
      </c>
      <c r="T226" t="s">
        <v>38</v>
      </c>
      <c r="U226" t="s">
        <v>38</v>
      </c>
      <c r="V226" t="s">
        <v>137</v>
      </c>
      <c r="W226" t="s">
        <v>38</v>
      </c>
      <c r="X226" t="s">
        <v>38</v>
      </c>
      <c r="Y226" t="s">
        <v>696</v>
      </c>
      <c r="Z226" t="s">
        <v>42</v>
      </c>
      <c r="AA226" t="s">
        <v>155</v>
      </c>
      <c r="AB226" t="s">
        <v>38</v>
      </c>
      <c r="AC226" t="s">
        <v>153</v>
      </c>
      <c r="AD226" t="s">
        <v>48</v>
      </c>
      <c r="AG226" t="str">
        <f>IF(AD226="United States", IFERROR(INDEX(Sheet2!$C:$C, MATCH(AE226&amp;AF226, Sheet2!$E:$E, 0)) &amp; ", " &amp; INDEX(Sheet2!$D:$D, MATCH(AE226&amp;AF226, Sheet2!$E:$E, 0)), ""), "-")</f>
        <v/>
      </c>
    </row>
    <row r="227" spans="1:33" x14ac:dyDescent="0.25">
      <c r="A227" t="s">
        <v>660</v>
      </c>
      <c r="B227" t="s">
        <v>697</v>
      </c>
      <c r="C227" t="s">
        <v>669</v>
      </c>
      <c r="D227" t="s">
        <v>352</v>
      </c>
      <c r="E227" t="s">
        <v>164</v>
      </c>
      <c r="F227">
        <v>1763</v>
      </c>
      <c r="G227">
        <v>520</v>
      </c>
      <c r="H227" t="s">
        <v>38</v>
      </c>
      <c r="I227" t="s">
        <v>39</v>
      </c>
      <c r="J227" t="s">
        <v>670</v>
      </c>
      <c r="K227" t="s">
        <v>38</v>
      </c>
      <c r="L227" t="s">
        <v>38</v>
      </c>
      <c r="M227" t="s">
        <v>38</v>
      </c>
      <c r="N227" t="s">
        <v>38</v>
      </c>
      <c r="O227" t="s">
        <v>57</v>
      </c>
      <c r="P227" t="s">
        <v>42</v>
      </c>
      <c r="Q227" t="s">
        <v>43</v>
      </c>
      <c r="R227" t="s">
        <v>155</v>
      </c>
      <c r="S227" t="s">
        <v>153</v>
      </c>
      <c r="T227" t="s">
        <v>38</v>
      </c>
      <c r="U227" t="s">
        <v>38</v>
      </c>
      <c r="V227" t="s">
        <v>137</v>
      </c>
      <c r="W227" t="s">
        <v>38</v>
      </c>
      <c r="X227" t="s">
        <v>38</v>
      </c>
      <c r="Y227" t="s">
        <v>696</v>
      </c>
      <c r="Z227" t="s">
        <v>42</v>
      </c>
      <c r="AA227" t="s">
        <v>155</v>
      </c>
      <c r="AB227" t="s">
        <v>38</v>
      </c>
      <c r="AC227" t="s">
        <v>153</v>
      </c>
      <c r="AD227" t="s">
        <v>48</v>
      </c>
      <c r="AG227" t="str">
        <f>IF(AD227="United States", IFERROR(INDEX(Sheet2!$C:$C, MATCH(AE227&amp;AF227, Sheet2!$E:$E, 0)) &amp; ", " &amp; INDEX(Sheet2!$D:$D, MATCH(AE227&amp;AF227, Sheet2!$E:$E, 0)), ""), "-")</f>
        <v/>
      </c>
    </row>
    <row r="228" spans="1:33" x14ac:dyDescent="0.25">
      <c r="A228" t="s">
        <v>660</v>
      </c>
      <c r="B228" t="s">
        <v>664</v>
      </c>
      <c r="C228" t="s">
        <v>662</v>
      </c>
      <c r="D228" t="s">
        <v>665</v>
      </c>
      <c r="E228" t="s">
        <v>38</v>
      </c>
      <c r="F228">
        <v>1733</v>
      </c>
      <c r="G228">
        <v>879</v>
      </c>
      <c r="H228" t="s">
        <v>38</v>
      </c>
      <c r="I228" t="s">
        <v>80</v>
      </c>
      <c r="J228" t="s">
        <v>38</v>
      </c>
      <c r="K228" t="s">
        <v>38</v>
      </c>
      <c r="L228" t="s">
        <v>38</v>
      </c>
      <c r="M228" t="s">
        <v>38</v>
      </c>
      <c r="N228" t="s">
        <v>38</v>
      </c>
      <c r="O228" t="s">
        <v>41</v>
      </c>
      <c r="P228" t="s">
        <v>42</v>
      </c>
      <c r="Q228" t="s">
        <v>43</v>
      </c>
      <c r="R228" t="s">
        <v>666</v>
      </c>
      <c r="S228" t="s">
        <v>201</v>
      </c>
      <c r="T228" t="s">
        <v>38</v>
      </c>
      <c r="U228" t="s">
        <v>38</v>
      </c>
      <c r="V228" t="s">
        <v>38</v>
      </c>
      <c r="W228" t="s">
        <v>38</v>
      </c>
      <c r="X228" t="s">
        <v>38</v>
      </c>
      <c r="Y228" t="s">
        <v>667</v>
      </c>
      <c r="Z228" t="s">
        <v>42</v>
      </c>
      <c r="AA228" t="s">
        <v>666</v>
      </c>
      <c r="AB228" t="s">
        <v>38</v>
      </c>
      <c r="AC228" t="s">
        <v>201</v>
      </c>
      <c r="AD228" t="s">
        <v>48</v>
      </c>
      <c r="AG228" t="str">
        <f>IF(AD228="United States", IFERROR(INDEX(Sheet2!$C:$C, MATCH(AE228&amp;AF228, Sheet2!$E:$E, 0)) &amp; ", " &amp; INDEX(Sheet2!$D:$D, MATCH(AE228&amp;AF228, Sheet2!$E:$E, 0)), ""), "-")</f>
        <v/>
      </c>
    </row>
    <row r="229" spans="1:33" x14ac:dyDescent="0.25">
      <c r="A229" t="s">
        <v>660</v>
      </c>
      <c r="B229" t="s">
        <v>698</v>
      </c>
      <c r="C229" t="s">
        <v>669</v>
      </c>
      <c r="D229" t="s">
        <v>220</v>
      </c>
      <c r="E229" t="s">
        <v>654</v>
      </c>
      <c r="F229">
        <v>1730</v>
      </c>
      <c r="G229">
        <v>514</v>
      </c>
      <c r="H229" t="s">
        <v>38</v>
      </c>
      <c r="I229" t="s">
        <v>39</v>
      </c>
      <c r="J229" t="s">
        <v>670</v>
      </c>
      <c r="K229" t="s">
        <v>38</v>
      </c>
      <c r="L229" t="s">
        <v>38</v>
      </c>
      <c r="M229" t="s">
        <v>38</v>
      </c>
      <c r="N229" t="s">
        <v>38</v>
      </c>
      <c r="O229" t="s">
        <v>41</v>
      </c>
      <c r="P229" t="s">
        <v>42</v>
      </c>
      <c r="Q229" t="s">
        <v>43</v>
      </c>
      <c r="R229" t="s">
        <v>699</v>
      </c>
      <c r="S229" t="s">
        <v>201</v>
      </c>
      <c r="T229" t="s">
        <v>38</v>
      </c>
      <c r="U229" t="s">
        <v>38</v>
      </c>
      <c r="V229" t="s">
        <v>137</v>
      </c>
      <c r="W229" t="s">
        <v>38</v>
      </c>
      <c r="X229" t="s">
        <v>38</v>
      </c>
      <c r="Y229" t="s">
        <v>678</v>
      </c>
      <c r="Z229" t="s">
        <v>42</v>
      </c>
      <c r="AA229" t="s">
        <v>38</v>
      </c>
      <c r="AB229" t="s">
        <v>38</v>
      </c>
      <c r="AC229" t="s">
        <v>201</v>
      </c>
      <c r="AD229" t="s">
        <v>48</v>
      </c>
      <c r="AG229" t="str">
        <f>IF(AD229="United States", IFERROR(INDEX(Sheet2!$C:$C, MATCH(AE229&amp;AF229, Sheet2!$E:$E, 0)) &amp; ", " &amp; INDEX(Sheet2!$D:$D, MATCH(AE229&amp;AF229, Sheet2!$E:$E, 0)), ""), "-")</f>
        <v/>
      </c>
    </row>
    <row r="230" spans="1:33" x14ac:dyDescent="0.25">
      <c r="A230" t="s">
        <v>660</v>
      </c>
      <c r="B230" t="s">
        <v>700</v>
      </c>
      <c r="C230" t="s">
        <v>669</v>
      </c>
      <c r="D230" t="s">
        <v>106</v>
      </c>
      <c r="E230" t="s">
        <v>701</v>
      </c>
      <c r="F230">
        <v>1755</v>
      </c>
      <c r="G230">
        <v>518</v>
      </c>
      <c r="H230" t="s">
        <v>38</v>
      </c>
      <c r="I230" t="s">
        <v>39</v>
      </c>
      <c r="J230" t="s">
        <v>670</v>
      </c>
      <c r="K230" t="s">
        <v>38</v>
      </c>
      <c r="L230" t="s">
        <v>38</v>
      </c>
      <c r="M230" t="s">
        <v>38</v>
      </c>
      <c r="N230" t="s">
        <v>38</v>
      </c>
      <c r="O230" t="s">
        <v>41</v>
      </c>
      <c r="P230" t="s">
        <v>42</v>
      </c>
      <c r="Q230" t="s">
        <v>43</v>
      </c>
      <c r="R230" t="s">
        <v>702</v>
      </c>
      <c r="S230" t="s">
        <v>201</v>
      </c>
      <c r="T230" t="s">
        <v>38</v>
      </c>
      <c r="U230" t="s">
        <v>38</v>
      </c>
      <c r="V230" t="s">
        <v>137</v>
      </c>
      <c r="W230" t="s">
        <v>38</v>
      </c>
      <c r="X230" t="s">
        <v>38</v>
      </c>
      <c r="Y230" t="s">
        <v>678</v>
      </c>
      <c r="Z230" t="s">
        <v>42</v>
      </c>
      <c r="AA230" t="s">
        <v>38</v>
      </c>
      <c r="AB230" t="s">
        <v>38</v>
      </c>
      <c r="AC230" t="s">
        <v>201</v>
      </c>
      <c r="AD230" t="s">
        <v>48</v>
      </c>
      <c r="AG230" t="str">
        <f>IF(AD230="United States", IFERROR(INDEX(Sheet2!$C:$C, MATCH(AE230&amp;AF230, Sheet2!$E:$E, 0)) &amp; ", " &amp; INDEX(Sheet2!$D:$D, MATCH(AE230&amp;AF230, Sheet2!$E:$E, 0)), ""), "-")</f>
        <v/>
      </c>
    </row>
    <row r="231" spans="1:33" x14ac:dyDescent="0.25">
      <c r="A231" t="s">
        <v>703</v>
      </c>
      <c r="D231" t="s">
        <v>665</v>
      </c>
      <c r="E231" t="s">
        <v>38</v>
      </c>
      <c r="F231">
        <v>1733</v>
      </c>
      <c r="G231">
        <v>960</v>
      </c>
      <c r="H231">
        <v>41</v>
      </c>
      <c r="J231" t="s">
        <v>704</v>
      </c>
      <c r="O231" t="s">
        <v>41</v>
      </c>
      <c r="R231" t="s">
        <v>89</v>
      </c>
      <c r="T231" t="s">
        <v>89</v>
      </c>
      <c r="V231" t="s">
        <v>705</v>
      </c>
      <c r="W231" t="s">
        <v>92</v>
      </c>
      <c r="Y231" t="s">
        <v>38</v>
      </c>
      <c r="AA231" t="s">
        <v>38</v>
      </c>
      <c r="AB231" t="s">
        <v>38</v>
      </c>
      <c r="AC231" t="s">
        <v>38</v>
      </c>
      <c r="AD231" t="s">
        <v>48</v>
      </c>
      <c r="AG231" t="str">
        <f>IF(AD231="United States", IFERROR(INDEX(Sheet2!$C:$C, MATCH(AE231&amp;AF231, Sheet2!$E:$E, 0)) &amp; ", " &amp; INDEX(Sheet2!$D:$D, MATCH(AE231&amp;AF231, Sheet2!$E:$E, 0)), ""), "-")</f>
        <v/>
      </c>
    </row>
    <row r="232" spans="1:33" x14ac:dyDescent="0.25">
      <c r="A232" t="s">
        <v>703</v>
      </c>
      <c r="D232" t="s">
        <v>114</v>
      </c>
      <c r="E232" t="s">
        <v>38</v>
      </c>
      <c r="F232">
        <v>1772</v>
      </c>
      <c r="G232">
        <v>961</v>
      </c>
      <c r="H232">
        <v>41</v>
      </c>
      <c r="J232" t="s">
        <v>704</v>
      </c>
      <c r="O232" t="s">
        <v>74</v>
      </c>
      <c r="R232" t="s">
        <v>89</v>
      </c>
      <c r="T232" t="s">
        <v>89</v>
      </c>
      <c r="V232" t="s">
        <v>705</v>
      </c>
      <c r="W232" t="s">
        <v>92</v>
      </c>
      <c r="Y232" t="s">
        <v>38</v>
      </c>
      <c r="AA232" t="s">
        <v>38</v>
      </c>
      <c r="AB232" t="s">
        <v>38</v>
      </c>
      <c r="AC232" t="s">
        <v>38</v>
      </c>
      <c r="AD232" t="s">
        <v>48</v>
      </c>
      <c r="AG232" t="str">
        <f>IF(AD232="United States", IFERROR(INDEX(Sheet2!$C:$C, MATCH(AE232&amp;AF232, Sheet2!$E:$E, 0)) &amp; ", " &amp; INDEX(Sheet2!$D:$D, MATCH(AE232&amp;AF232, Sheet2!$E:$E, 0)), ""), "-")</f>
        <v/>
      </c>
    </row>
    <row r="233" spans="1:33" x14ac:dyDescent="0.25">
      <c r="A233" t="s">
        <v>706</v>
      </c>
      <c r="B233" t="s">
        <v>707</v>
      </c>
      <c r="C233" t="s">
        <v>708</v>
      </c>
      <c r="D233" t="s">
        <v>709</v>
      </c>
      <c r="E233" t="s">
        <v>710</v>
      </c>
      <c r="F233">
        <v>1758</v>
      </c>
      <c r="G233">
        <v>523</v>
      </c>
      <c r="H233" t="s">
        <v>38</v>
      </c>
      <c r="I233" t="s">
        <v>39</v>
      </c>
      <c r="J233" t="s">
        <v>711</v>
      </c>
      <c r="K233" t="s">
        <v>38</v>
      </c>
      <c r="L233" t="s">
        <v>38</v>
      </c>
      <c r="M233" t="s">
        <v>38</v>
      </c>
      <c r="N233" t="s">
        <v>38</v>
      </c>
      <c r="O233" t="s">
        <v>74</v>
      </c>
      <c r="P233" t="s">
        <v>42</v>
      </c>
      <c r="Q233" t="s">
        <v>43</v>
      </c>
      <c r="R233" t="s">
        <v>38</v>
      </c>
      <c r="S233" t="s">
        <v>38</v>
      </c>
      <c r="T233" t="s">
        <v>38</v>
      </c>
      <c r="U233" t="s">
        <v>38</v>
      </c>
      <c r="V233" t="s">
        <v>137</v>
      </c>
      <c r="W233" t="s">
        <v>38</v>
      </c>
      <c r="X233" t="s">
        <v>38</v>
      </c>
      <c r="Y233" t="s">
        <v>712</v>
      </c>
      <c r="Z233" t="s">
        <v>42</v>
      </c>
      <c r="AA233" t="s">
        <v>713</v>
      </c>
      <c r="AB233" t="s">
        <v>38</v>
      </c>
      <c r="AC233" t="s">
        <v>714</v>
      </c>
      <c r="AD233" t="s">
        <v>48</v>
      </c>
      <c r="AG233" t="str">
        <f>IF(AD233="United States", IFERROR(INDEX(Sheet2!$C:$C, MATCH(AE233&amp;AF233, Sheet2!$E:$E, 0)) &amp; ", " &amp; INDEX(Sheet2!$D:$D, MATCH(AE233&amp;AF233, Sheet2!$E:$E, 0)), ""), "-")</f>
        <v/>
      </c>
    </row>
    <row r="234" spans="1:33" x14ac:dyDescent="0.25">
      <c r="A234" t="s">
        <v>706</v>
      </c>
      <c r="B234" t="s">
        <v>715</v>
      </c>
      <c r="C234" t="s">
        <v>708</v>
      </c>
      <c r="D234" t="s">
        <v>50</v>
      </c>
      <c r="E234" t="s">
        <v>710</v>
      </c>
      <c r="F234">
        <v>1777</v>
      </c>
      <c r="G234">
        <v>524</v>
      </c>
      <c r="H234" t="s">
        <v>381</v>
      </c>
      <c r="I234" t="s">
        <v>39</v>
      </c>
      <c r="J234" t="s">
        <v>711</v>
      </c>
      <c r="K234" t="s">
        <v>38</v>
      </c>
      <c r="L234" t="s">
        <v>38</v>
      </c>
      <c r="M234" t="s">
        <v>38</v>
      </c>
      <c r="N234" t="s">
        <v>38</v>
      </c>
      <c r="O234" t="s">
        <v>74</v>
      </c>
      <c r="P234" t="s">
        <v>42</v>
      </c>
      <c r="Q234" t="s">
        <v>43</v>
      </c>
      <c r="R234" t="s">
        <v>89</v>
      </c>
      <c r="S234" t="s">
        <v>38</v>
      </c>
      <c r="T234" t="s">
        <v>89</v>
      </c>
      <c r="U234" t="s">
        <v>301</v>
      </c>
      <c r="V234" t="s">
        <v>137</v>
      </c>
      <c r="W234" t="s">
        <v>92</v>
      </c>
      <c r="X234" t="s">
        <v>302</v>
      </c>
      <c r="Y234" t="s">
        <v>712</v>
      </c>
      <c r="Z234" t="s">
        <v>42</v>
      </c>
      <c r="AA234" t="s">
        <v>38</v>
      </c>
      <c r="AB234" t="s">
        <v>38</v>
      </c>
      <c r="AC234" t="s">
        <v>714</v>
      </c>
      <c r="AD234" t="s">
        <v>48</v>
      </c>
      <c r="AG234" t="str">
        <f>IF(AD234="United States", IFERROR(INDEX(Sheet2!$C:$C, MATCH(AE234&amp;AF234, Sheet2!$E:$E, 0)) &amp; ", " &amp; INDEX(Sheet2!$D:$D, MATCH(AE234&amp;AF234, Sheet2!$E:$E, 0)), ""), "-")</f>
        <v/>
      </c>
    </row>
    <row r="235" spans="1:33" x14ac:dyDescent="0.25">
      <c r="A235" t="s">
        <v>706</v>
      </c>
      <c r="B235" t="s">
        <v>716</v>
      </c>
      <c r="C235" t="s">
        <v>708</v>
      </c>
      <c r="D235" t="s">
        <v>204</v>
      </c>
      <c r="E235" t="s">
        <v>717</v>
      </c>
      <c r="F235">
        <v>1749</v>
      </c>
      <c r="G235">
        <v>521</v>
      </c>
      <c r="H235" t="s">
        <v>38</v>
      </c>
      <c r="I235" t="s">
        <v>39</v>
      </c>
      <c r="J235" t="s">
        <v>711</v>
      </c>
      <c r="K235" t="s">
        <v>38</v>
      </c>
      <c r="L235" t="s">
        <v>38</v>
      </c>
      <c r="M235" t="s">
        <v>38</v>
      </c>
      <c r="N235" t="s">
        <v>38</v>
      </c>
      <c r="O235" t="s">
        <v>41</v>
      </c>
      <c r="P235" t="s">
        <v>42</v>
      </c>
      <c r="Q235" t="s">
        <v>43</v>
      </c>
      <c r="R235" t="s">
        <v>717</v>
      </c>
      <c r="S235" t="s">
        <v>165</v>
      </c>
      <c r="T235" t="s">
        <v>38</v>
      </c>
      <c r="U235" t="s">
        <v>38</v>
      </c>
      <c r="V235" t="s">
        <v>137</v>
      </c>
      <c r="W235" t="s">
        <v>38</v>
      </c>
      <c r="X235" t="s">
        <v>38</v>
      </c>
      <c r="Y235" t="s">
        <v>712</v>
      </c>
      <c r="Z235" t="s">
        <v>42</v>
      </c>
      <c r="AA235" t="s">
        <v>165</v>
      </c>
      <c r="AB235" t="s">
        <v>38</v>
      </c>
      <c r="AC235" t="s">
        <v>166</v>
      </c>
      <c r="AD235" t="s">
        <v>48</v>
      </c>
      <c r="AG235" t="str">
        <f>IF(AD235="United States", IFERROR(INDEX(Sheet2!$C:$C, MATCH(AE235&amp;AF235, Sheet2!$E:$E, 0)) &amp; ", " &amp; INDEX(Sheet2!$D:$D, MATCH(AE235&amp;AF235, Sheet2!$E:$E, 0)), ""), "-")</f>
        <v/>
      </c>
    </row>
    <row r="236" spans="1:33" x14ac:dyDescent="0.25">
      <c r="A236" t="s">
        <v>706</v>
      </c>
      <c r="B236" t="s">
        <v>718</v>
      </c>
      <c r="C236" t="s">
        <v>708</v>
      </c>
      <c r="D236" t="s">
        <v>463</v>
      </c>
      <c r="E236" t="s">
        <v>719</v>
      </c>
      <c r="F236">
        <v>1748</v>
      </c>
      <c r="G236">
        <v>522</v>
      </c>
      <c r="H236" t="s">
        <v>381</v>
      </c>
      <c r="I236" t="s">
        <v>39</v>
      </c>
      <c r="J236" t="s">
        <v>711</v>
      </c>
      <c r="K236" t="s">
        <v>38</v>
      </c>
      <c r="L236" t="s">
        <v>38</v>
      </c>
      <c r="M236" t="s">
        <v>38</v>
      </c>
      <c r="N236" t="s">
        <v>38</v>
      </c>
      <c r="O236" t="s">
        <v>54</v>
      </c>
      <c r="P236" t="s">
        <v>42</v>
      </c>
      <c r="Q236" t="s">
        <v>43</v>
      </c>
      <c r="R236" t="s">
        <v>89</v>
      </c>
      <c r="S236" t="s">
        <v>38</v>
      </c>
      <c r="T236" t="s">
        <v>89</v>
      </c>
      <c r="U236" t="s">
        <v>301</v>
      </c>
      <c r="V236" t="s">
        <v>137</v>
      </c>
      <c r="W236" t="s">
        <v>92</v>
      </c>
      <c r="X236" t="s">
        <v>302</v>
      </c>
      <c r="Y236" t="s">
        <v>712</v>
      </c>
      <c r="Z236" t="s">
        <v>42</v>
      </c>
      <c r="AA236" t="s">
        <v>38</v>
      </c>
      <c r="AB236" t="s">
        <v>38</v>
      </c>
      <c r="AC236" t="s">
        <v>714</v>
      </c>
      <c r="AD236" t="s">
        <v>48</v>
      </c>
      <c r="AG236" t="str">
        <f>IF(AD236="United States", IFERROR(INDEX(Sheet2!$C:$C, MATCH(AE236&amp;AF236, Sheet2!$E:$E, 0)) &amp; ", " &amp; INDEX(Sheet2!$D:$D, MATCH(AE236&amp;AF236, Sheet2!$E:$E, 0)), ""), "-")</f>
        <v/>
      </c>
    </row>
    <row r="237" spans="1:33" x14ac:dyDescent="0.25">
      <c r="A237" t="s">
        <v>706</v>
      </c>
      <c r="D237" t="s">
        <v>720</v>
      </c>
      <c r="E237" t="s">
        <v>721</v>
      </c>
      <c r="F237">
        <v>1749</v>
      </c>
      <c r="G237">
        <v>576</v>
      </c>
      <c r="H237">
        <v>29</v>
      </c>
      <c r="J237" t="s">
        <v>711</v>
      </c>
      <c r="O237" t="s">
        <v>41</v>
      </c>
      <c r="R237" t="s">
        <v>89</v>
      </c>
      <c r="T237" t="s">
        <v>89</v>
      </c>
      <c r="U237" t="s">
        <v>301</v>
      </c>
      <c r="V237" t="s">
        <v>137</v>
      </c>
      <c r="W237" t="s">
        <v>92</v>
      </c>
      <c r="X237" t="s">
        <v>302</v>
      </c>
      <c r="Y237" t="s">
        <v>38</v>
      </c>
      <c r="AA237" t="s">
        <v>38</v>
      </c>
      <c r="AB237" t="s">
        <v>38</v>
      </c>
      <c r="AC237" t="s">
        <v>38</v>
      </c>
      <c r="AD237" t="s">
        <v>48</v>
      </c>
      <c r="AG237" t="str">
        <f>IF(AD237="United States", IFERROR(INDEX(Sheet2!$C:$C, MATCH(AE237&amp;AF237, Sheet2!$E:$E, 0)) &amp; ", " &amp; INDEX(Sheet2!$D:$D, MATCH(AE237&amp;AF237, Sheet2!$E:$E, 0)), ""), "-")</f>
        <v/>
      </c>
    </row>
    <row r="238" spans="1:33" x14ac:dyDescent="0.25">
      <c r="A238" t="s">
        <v>722</v>
      </c>
      <c r="B238" t="s">
        <v>723</v>
      </c>
      <c r="C238" t="s">
        <v>724</v>
      </c>
      <c r="D238" t="s">
        <v>210</v>
      </c>
      <c r="E238" t="s">
        <v>725</v>
      </c>
      <c r="F238">
        <v>1761</v>
      </c>
      <c r="G238">
        <v>1916</v>
      </c>
      <c r="H238" t="s">
        <v>173</v>
      </c>
      <c r="I238" t="s">
        <v>80</v>
      </c>
      <c r="J238" t="s">
        <v>38</v>
      </c>
      <c r="K238" t="s">
        <v>38</v>
      </c>
      <c r="L238" t="s">
        <v>38</v>
      </c>
      <c r="M238" t="s">
        <v>38</v>
      </c>
      <c r="N238" t="s">
        <v>38</v>
      </c>
      <c r="O238" t="s">
        <v>41</v>
      </c>
      <c r="P238" t="s">
        <v>42</v>
      </c>
      <c r="Q238" t="s">
        <v>43</v>
      </c>
      <c r="R238" t="s">
        <v>89</v>
      </c>
      <c r="S238" t="s">
        <v>153</v>
      </c>
      <c r="T238" t="s">
        <v>89</v>
      </c>
      <c r="U238" t="s">
        <v>301</v>
      </c>
      <c r="V238" t="s">
        <v>38</v>
      </c>
      <c r="W238" t="s">
        <v>92</v>
      </c>
      <c r="X238" t="s">
        <v>302</v>
      </c>
      <c r="Y238" t="s">
        <v>726</v>
      </c>
      <c r="Z238" t="s">
        <v>42</v>
      </c>
      <c r="AA238" t="s">
        <v>593</v>
      </c>
      <c r="AB238" t="s">
        <v>38</v>
      </c>
      <c r="AC238" t="s">
        <v>153</v>
      </c>
      <c r="AD238" t="s">
        <v>48</v>
      </c>
      <c r="AG238" t="str">
        <f>IF(AD238="United States", IFERROR(INDEX(Sheet2!$C:$C, MATCH(AE238&amp;AF238, Sheet2!$E:$E, 0)) &amp; ", " &amp; INDEX(Sheet2!$D:$D, MATCH(AE238&amp;AF238, Sheet2!$E:$E, 0)), ""), "-")</f>
        <v/>
      </c>
    </row>
    <row r="239" spans="1:33" x14ac:dyDescent="0.25">
      <c r="A239" t="s">
        <v>722</v>
      </c>
      <c r="B239" t="s">
        <v>727</v>
      </c>
      <c r="C239" t="s">
        <v>724</v>
      </c>
      <c r="D239" t="s">
        <v>204</v>
      </c>
      <c r="E239" t="s">
        <v>728</v>
      </c>
      <c r="F239">
        <v>1765</v>
      </c>
      <c r="G239">
        <v>1917</v>
      </c>
      <c r="H239" t="s">
        <v>38</v>
      </c>
      <c r="I239" t="s">
        <v>80</v>
      </c>
      <c r="J239" t="s">
        <v>38</v>
      </c>
      <c r="K239" t="s">
        <v>38</v>
      </c>
      <c r="L239" t="s">
        <v>38</v>
      </c>
      <c r="M239" t="s">
        <v>38</v>
      </c>
      <c r="N239" t="s">
        <v>38</v>
      </c>
      <c r="O239" t="s">
        <v>41</v>
      </c>
      <c r="P239" t="s">
        <v>42</v>
      </c>
      <c r="Q239" t="s">
        <v>43</v>
      </c>
      <c r="R239" t="s">
        <v>38</v>
      </c>
      <c r="S239" t="s">
        <v>38</v>
      </c>
      <c r="T239" t="s">
        <v>38</v>
      </c>
      <c r="U239" t="s">
        <v>38</v>
      </c>
      <c r="V239" t="s">
        <v>38</v>
      </c>
      <c r="W239" t="s">
        <v>38</v>
      </c>
      <c r="X239" t="s">
        <v>38</v>
      </c>
      <c r="Y239" t="s">
        <v>729</v>
      </c>
      <c r="Z239" t="s">
        <v>42</v>
      </c>
      <c r="AA239" t="s">
        <v>38</v>
      </c>
      <c r="AB239" t="s">
        <v>38</v>
      </c>
      <c r="AC239" t="s">
        <v>730</v>
      </c>
      <c r="AD239" t="s">
        <v>48</v>
      </c>
      <c r="AG239" t="str">
        <f>IF(AD239="United States", IFERROR(INDEX(Sheet2!$C:$C, MATCH(AE239&amp;AF239, Sheet2!$E:$E, 0)) &amp; ", " &amp; INDEX(Sheet2!$D:$D, MATCH(AE239&amp;AF239, Sheet2!$E:$E, 0)), ""), "-")</f>
        <v/>
      </c>
    </row>
    <row r="240" spans="1:33" x14ac:dyDescent="0.25">
      <c r="A240" t="s">
        <v>722</v>
      </c>
      <c r="B240" t="s">
        <v>731</v>
      </c>
      <c r="C240" t="s">
        <v>724</v>
      </c>
      <c r="D240" t="s">
        <v>732</v>
      </c>
      <c r="E240" t="s">
        <v>733</v>
      </c>
      <c r="F240">
        <v>1777</v>
      </c>
      <c r="G240">
        <v>2715</v>
      </c>
      <c r="I240" t="s">
        <v>80</v>
      </c>
      <c r="J240" t="s">
        <v>38</v>
      </c>
      <c r="O240" t="s">
        <v>54</v>
      </c>
      <c r="P240" t="s">
        <v>42</v>
      </c>
      <c r="Q240" t="s">
        <v>43</v>
      </c>
      <c r="V240" t="s">
        <v>734</v>
      </c>
      <c r="Y240" t="s">
        <v>38</v>
      </c>
      <c r="Z240" t="s">
        <v>42</v>
      </c>
      <c r="AA240" t="s">
        <v>38</v>
      </c>
      <c r="AB240" t="s">
        <v>38</v>
      </c>
      <c r="AC240" t="s">
        <v>38</v>
      </c>
      <c r="AD240" t="s">
        <v>48</v>
      </c>
      <c r="AG240" t="str">
        <f>IF(AD240="United States", IFERROR(INDEX(Sheet2!$C:$C, MATCH(AE240&amp;AF240, Sheet2!$E:$E, 0)) &amp; ", " &amp; INDEX(Sheet2!$D:$D, MATCH(AE240&amp;AF240, Sheet2!$E:$E, 0)), ""), "-")</f>
        <v/>
      </c>
    </row>
    <row r="241" spans="1:33" x14ac:dyDescent="0.25">
      <c r="A241" t="s">
        <v>140</v>
      </c>
      <c r="B241" t="s">
        <v>735</v>
      </c>
      <c r="C241" t="s">
        <v>736</v>
      </c>
      <c r="D241" t="s">
        <v>737</v>
      </c>
      <c r="E241" t="s">
        <v>38</v>
      </c>
      <c r="F241">
        <v>1768</v>
      </c>
      <c r="G241">
        <v>2301</v>
      </c>
      <c r="H241" t="s">
        <v>738</v>
      </c>
      <c r="I241" t="s">
        <v>87</v>
      </c>
      <c r="J241" t="s">
        <v>739</v>
      </c>
      <c r="K241" t="s">
        <v>38</v>
      </c>
      <c r="L241" t="s">
        <v>38</v>
      </c>
      <c r="M241" t="s">
        <v>38</v>
      </c>
      <c r="N241" t="s">
        <v>38</v>
      </c>
      <c r="O241" t="s">
        <v>54</v>
      </c>
      <c r="P241" t="s">
        <v>42</v>
      </c>
      <c r="Q241" t="s">
        <v>43</v>
      </c>
      <c r="R241" t="s">
        <v>89</v>
      </c>
      <c r="S241" t="s">
        <v>38</v>
      </c>
      <c r="T241" t="s">
        <v>89</v>
      </c>
      <c r="U241" t="s">
        <v>301</v>
      </c>
      <c r="V241" t="s">
        <v>740</v>
      </c>
      <c r="W241" t="s">
        <v>92</v>
      </c>
      <c r="X241" t="s">
        <v>302</v>
      </c>
      <c r="Y241" t="s">
        <v>741</v>
      </c>
      <c r="Z241" t="s">
        <v>42</v>
      </c>
      <c r="AA241" t="s">
        <v>38</v>
      </c>
      <c r="AB241" t="s">
        <v>38</v>
      </c>
      <c r="AC241" t="s">
        <v>38</v>
      </c>
      <c r="AD241" t="s">
        <v>48</v>
      </c>
      <c r="AG241" t="str">
        <f>IF(AD241="United States", IFERROR(INDEX(Sheet2!$C:$C, MATCH(AE241&amp;AF241, Sheet2!$E:$E, 0)) &amp; ", " &amp; INDEX(Sheet2!$D:$D, MATCH(AE241&amp;AF241, Sheet2!$E:$E, 0)), ""), "-")</f>
        <v/>
      </c>
    </row>
    <row r="242" spans="1:33" x14ac:dyDescent="0.25">
      <c r="A242" t="s">
        <v>140</v>
      </c>
      <c r="B242" t="s">
        <v>742</v>
      </c>
      <c r="C242" t="s">
        <v>736</v>
      </c>
      <c r="D242" t="s">
        <v>743</v>
      </c>
      <c r="E242" t="s">
        <v>38</v>
      </c>
      <c r="F242">
        <v>1782</v>
      </c>
      <c r="G242">
        <v>2299</v>
      </c>
      <c r="H242" t="s">
        <v>738</v>
      </c>
      <c r="I242" t="s">
        <v>87</v>
      </c>
      <c r="J242" t="s">
        <v>739</v>
      </c>
      <c r="K242" t="s">
        <v>38</v>
      </c>
      <c r="L242" t="s">
        <v>38</v>
      </c>
      <c r="M242" t="s">
        <v>38</v>
      </c>
      <c r="N242" t="s">
        <v>38</v>
      </c>
      <c r="O242" t="s">
        <v>74</v>
      </c>
      <c r="P242" t="s">
        <v>42</v>
      </c>
      <c r="Q242" t="s">
        <v>43</v>
      </c>
      <c r="R242" t="s">
        <v>89</v>
      </c>
      <c r="S242" t="s">
        <v>38</v>
      </c>
      <c r="T242" t="s">
        <v>89</v>
      </c>
      <c r="U242" t="s">
        <v>301</v>
      </c>
      <c r="V242" t="s">
        <v>740</v>
      </c>
      <c r="W242" t="s">
        <v>92</v>
      </c>
      <c r="X242" t="s">
        <v>302</v>
      </c>
      <c r="Y242" t="s">
        <v>744</v>
      </c>
      <c r="Z242" t="s">
        <v>42</v>
      </c>
      <c r="AA242" t="s">
        <v>38</v>
      </c>
      <c r="AB242" t="s">
        <v>38</v>
      </c>
      <c r="AC242" t="s">
        <v>38</v>
      </c>
      <c r="AD242" t="s">
        <v>48</v>
      </c>
      <c r="AG242" t="str">
        <f>IF(AD242="United States", IFERROR(INDEX(Sheet2!$C:$C, MATCH(AE242&amp;AF242, Sheet2!$E:$E, 0)) &amp; ", " &amp; INDEX(Sheet2!$D:$D, MATCH(AE242&amp;AF242, Sheet2!$E:$E, 0)), ""), "-")</f>
        <v/>
      </c>
    </row>
    <row r="243" spans="1:33" x14ac:dyDescent="0.25">
      <c r="A243" t="s">
        <v>140</v>
      </c>
      <c r="B243" t="s">
        <v>745</v>
      </c>
      <c r="C243" t="s">
        <v>736</v>
      </c>
      <c r="D243" t="s">
        <v>210</v>
      </c>
      <c r="E243" t="s">
        <v>746</v>
      </c>
      <c r="F243">
        <v>1753</v>
      </c>
      <c r="G243">
        <v>2311</v>
      </c>
      <c r="H243" t="s">
        <v>738</v>
      </c>
      <c r="I243" t="s">
        <v>87</v>
      </c>
      <c r="J243" t="s">
        <v>739</v>
      </c>
      <c r="K243" t="s">
        <v>38</v>
      </c>
      <c r="L243" t="s">
        <v>38</v>
      </c>
      <c r="M243" t="s">
        <v>38</v>
      </c>
      <c r="N243" t="s">
        <v>38</v>
      </c>
      <c r="O243" t="s">
        <v>41</v>
      </c>
      <c r="P243" t="s">
        <v>125</v>
      </c>
      <c r="Q243" t="s">
        <v>124</v>
      </c>
      <c r="R243" t="s">
        <v>89</v>
      </c>
      <c r="S243" t="s">
        <v>89</v>
      </c>
      <c r="T243" t="s">
        <v>89</v>
      </c>
      <c r="U243" t="s">
        <v>301</v>
      </c>
      <c r="V243" t="s">
        <v>740</v>
      </c>
      <c r="W243" t="s">
        <v>92</v>
      </c>
      <c r="X243" t="s">
        <v>302</v>
      </c>
      <c r="Y243" t="s">
        <v>38</v>
      </c>
      <c r="Z243" t="s">
        <v>125</v>
      </c>
      <c r="AA243" t="s">
        <v>38</v>
      </c>
      <c r="AB243" t="s">
        <v>38</v>
      </c>
      <c r="AC243" t="s">
        <v>89</v>
      </c>
      <c r="AD243" t="s">
        <v>48</v>
      </c>
      <c r="AG243" t="str">
        <f>IF(AD243="United States", IFERROR(INDEX(Sheet2!$C:$C, MATCH(AE243&amp;AF243, Sheet2!$E:$E, 0)) &amp; ", " &amp; INDEX(Sheet2!$D:$D, MATCH(AE243&amp;AF243, Sheet2!$E:$E, 0)), ""), "-")</f>
        <v/>
      </c>
    </row>
    <row r="244" spans="1:33" x14ac:dyDescent="0.25">
      <c r="A244" t="s">
        <v>140</v>
      </c>
      <c r="B244" t="s">
        <v>747</v>
      </c>
      <c r="C244" t="s">
        <v>736</v>
      </c>
      <c r="D244" t="s">
        <v>748</v>
      </c>
      <c r="F244" t="s">
        <v>38</v>
      </c>
      <c r="G244">
        <v>2735</v>
      </c>
      <c r="I244" t="s">
        <v>87</v>
      </c>
      <c r="J244" t="s">
        <v>739</v>
      </c>
      <c r="O244" t="s">
        <v>41</v>
      </c>
      <c r="P244" t="s">
        <v>42</v>
      </c>
      <c r="Q244" t="s">
        <v>43</v>
      </c>
      <c r="V244" t="s">
        <v>740</v>
      </c>
      <c r="Y244" t="s">
        <v>38</v>
      </c>
      <c r="Z244" t="s">
        <v>42</v>
      </c>
      <c r="AA244" t="s">
        <v>38</v>
      </c>
      <c r="AB244" t="s">
        <v>38</v>
      </c>
      <c r="AC244" t="s">
        <v>38</v>
      </c>
      <c r="AD244" t="s">
        <v>48</v>
      </c>
      <c r="AG244" t="str">
        <f>IF(AD244="United States", IFERROR(INDEX(Sheet2!$C:$C, MATCH(AE244&amp;AF244, Sheet2!$E:$E, 0)) &amp; ", " &amp; INDEX(Sheet2!$D:$D, MATCH(AE244&amp;AF244, Sheet2!$E:$E, 0)), ""), "-")</f>
        <v/>
      </c>
    </row>
    <row r="245" spans="1:33" x14ac:dyDescent="0.25">
      <c r="A245" t="s">
        <v>140</v>
      </c>
      <c r="B245" t="s">
        <v>749</v>
      </c>
      <c r="C245" t="s">
        <v>736</v>
      </c>
      <c r="D245" t="s">
        <v>750</v>
      </c>
      <c r="E245" t="s">
        <v>38</v>
      </c>
      <c r="F245">
        <v>1736</v>
      </c>
      <c r="G245">
        <v>2310</v>
      </c>
      <c r="H245" t="s">
        <v>738</v>
      </c>
      <c r="I245" t="s">
        <v>87</v>
      </c>
      <c r="J245" t="s">
        <v>739</v>
      </c>
      <c r="K245" t="s">
        <v>38</v>
      </c>
      <c r="L245" t="s">
        <v>38</v>
      </c>
      <c r="M245" t="s">
        <v>38</v>
      </c>
      <c r="N245" t="s">
        <v>38</v>
      </c>
      <c r="O245" t="s">
        <v>57</v>
      </c>
      <c r="P245" t="s">
        <v>42</v>
      </c>
      <c r="Q245" t="s">
        <v>43</v>
      </c>
      <c r="R245" t="s">
        <v>89</v>
      </c>
      <c r="S245" t="s">
        <v>38</v>
      </c>
      <c r="T245" t="s">
        <v>89</v>
      </c>
      <c r="U245" t="s">
        <v>301</v>
      </c>
      <c r="V245" t="s">
        <v>740</v>
      </c>
      <c r="W245" t="s">
        <v>92</v>
      </c>
      <c r="X245" t="s">
        <v>302</v>
      </c>
      <c r="Y245" t="s">
        <v>751</v>
      </c>
      <c r="Z245" t="s">
        <v>42</v>
      </c>
      <c r="AA245" t="s">
        <v>38</v>
      </c>
      <c r="AB245" t="s">
        <v>38</v>
      </c>
      <c r="AC245" t="s">
        <v>38</v>
      </c>
      <c r="AD245" t="s">
        <v>48</v>
      </c>
      <c r="AG245" t="str">
        <f>IF(AD245="United States", IFERROR(INDEX(Sheet2!$C:$C, MATCH(AE245&amp;AF245, Sheet2!$E:$E, 0)) &amp; ", " &amp; INDEX(Sheet2!$D:$D, MATCH(AE245&amp;AF245, Sheet2!$E:$E, 0)), ""), "-")</f>
        <v/>
      </c>
    </row>
    <row r="246" spans="1:33" x14ac:dyDescent="0.25">
      <c r="A246" t="s">
        <v>140</v>
      </c>
      <c r="B246" t="s">
        <v>752</v>
      </c>
      <c r="C246" t="s">
        <v>736</v>
      </c>
      <c r="D246" t="s">
        <v>753</v>
      </c>
      <c r="E246" t="s">
        <v>38</v>
      </c>
      <c r="F246">
        <v>1742</v>
      </c>
      <c r="G246">
        <v>2309</v>
      </c>
      <c r="H246" t="s">
        <v>38</v>
      </c>
      <c r="I246" t="s">
        <v>87</v>
      </c>
      <c r="J246" t="s">
        <v>739</v>
      </c>
      <c r="K246" t="s">
        <v>38</v>
      </c>
      <c r="L246" t="s">
        <v>38</v>
      </c>
      <c r="M246" t="s">
        <v>38</v>
      </c>
      <c r="N246" t="s">
        <v>38</v>
      </c>
      <c r="O246" t="s">
        <v>41</v>
      </c>
      <c r="P246" t="s">
        <v>42</v>
      </c>
      <c r="Q246" t="s">
        <v>43</v>
      </c>
      <c r="R246" t="s">
        <v>38</v>
      </c>
      <c r="S246" t="s">
        <v>38</v>
      </c>
      <c r="T246" t="s">
        <v>38</v>
      </c>
      <c r="U246" t="s">
        <v>38</v>
      </c>
      <c r="V246" t="s">
        <v>740</v>
      </c>
      <c r="W246" t="s">
        <v>38</v>
      </c>
      <c r="X246" t="s">
        <v>38</v>
      </c>
      <c r="Y246" t="s">
        <v>751</v>
      </c>
      <c r="Z246" t="s">
        <v>42</v>
      </c>
      <c r="AA246" t="s">
        <v>38</v>
      </c>
      <c r="AB246" t="s">
        <v>38</v>
      </c>
      <c r="AC246" t="s">
        <v>754</v>
      </c>
      <c r="AD246" t="s">
        <v>48</v>
      </c>
      <c r="AG246" t="str">
        <f>IF(AD246="United States", IFERROR(INDEX(Sheet2!$C:$C, MATCH(AE246&amp;AF246, Sheet2!$E:$E, 0)) &amp; ", " &amp; INDEX(Sheet2!$D:$D, MATCH(AE246&amp;AF246, Sheet2!$E:$E, 0)), ""), "-")</f>
        <v/>
      </c>
    </row>
    <row r="247" spans="1:33" x14ac:dyDescent="0.25">
      <c r="A247" t="s">
        <v>140</v>
      </c>
      <c r="B247" t="s">
        <v>755</v>
      </c>
      <c r="C247" t="s">
        <v>736</v>
      </c>
      <c r="D247" t="s">
        <v>210</v>
      </c>
      <c r="E247" t="s">
        <v>191</v>
      </c>
      <c r="F247">
        <v>1761</v>
      </c>
      <c r="G247">
        <v>2308</v>
      </c>
      <c r="H247" t="s">
        <v>738</v>
      </c>
      <c r="I247" t="s">
        <v>87</v>
      </c>
      <c r="J247" t="s">
        <v>739</v>
      </c>
      <c r="K247" t="s">
        <v>38</v>
      </c>
      <c r="L247" t="s">
        <v>38</v>
      </c>
      <c r="M247" t="s">
        <v>38</v>
      </c>
      <c r="N247" t="s">
        <v>38</v>
      </c>
      <c r="O247" t="s">
        <v>41</v>
      </c>
      <c r="P247" t="s">
        <v>42</v>
      </c>
      <c r="Q247" t="s">
        <v>43</v>
      </c>
      <c r="R247" t="s">
        <v>89</v>
      </c>
      <c r="S247" t="s">
        <v>153</v>
      </c>
      <c r="T247" t="s">
        <v>89</v>
      </c>
      <c r="U247" t="s">
        <v>301</v>
      </c>
      <c r="V247" t="s">
        <v>740</v>
      </c>
      <c r="W247" t="s">
        <v>92</v>
      </c>
      <c r="X247" t="s">
        <v>302</v>
      </c>
      <c r="Y247" t="s">
        <v>756</v>
      </c>
      <c r="Z247" t="s">
        <v>42</v>
      </c>
      <c r="AA247" t="s">
        <v>155</v>
      </c>
      <c r="AB247" t="s">
        <v>38</v>
      </c>
      <c r="AC247" t="s">
        <v>153</v>
      </c>
      <c r="AD247" t="s">
        <v>48</v>
      </c>
      <c r="AG247" t="str">
        <f>IF(AD247="United States", IFERROR(INDEX(Sheet2!$C:$C, MATCH(AE247&amp;AF247, Sheet2!$E:$E, 0)) &amp; ", " &amp; INDEX(Sheet2!$D:$D, MATCH(AE247&amp;AF247, Sheet2!$E:$E, 0)), ""), "-")</f>
        <v/>
      </c>
    </row>
    <row r="248" spans="1:33" x14ac:dyDescent="0.25">
      <c r="A248" t="s">
        <v>140</v>
      </c>
      <c r="B248" t="s">
        <v>757</v>
      </c>
      <c r="C248" t="s">
        <v>736</v>
      </c>
      <c r="D248" t="s">
        <v>210</v>
      </c>
      <c r="E248" t="s">
        <v>758</v>
      </c>
      <c r="F248">
        <v>1735</v>
      </c>
      <c r="G248">
        <v>2307</v>
      </c>
      <c r="H248" t="s">
        <v>738</v>
      </c>
      <c r="I248" t="s">
        <v>87</v>
      </c>
      <c r="J248" t="s">
        <v>739</v>
      </c>
      <c r="K248" t="s">
        <v>38</v>
      </c>
      <c r="L248" t="s">
        <v>38</v>
      </c>
      <c r="M248" t="s">
        <v>38</v>
      </c>
      <c r="N248" t="s">
        <v>38</v>
      </c>
      <c r="O248" t="s">
        <v>41</v>
      </c>
      <c r="P248" t="s">
        <v>42</v>
      </c>
      <c r="Q248" t="s">
        <v>43</v>
      </c>
      <c r="R248" t="s">
        <v>89</v>
      </c>
      <c r="S248" t="s">
        <v>89</v>
      </c>
      <c r="T248" t="s">
        <v>89</v>
      </c>
      <c r="U248" t="s">
        <v>301</v>
      </c>
      <c r="V248" t="s">
        <v>740</v>
      </c>
      <c r="W248" t="s">
        <v>92</v>
      </c>
      <c r="X248" t="s">
        <v>302</v>
      </c>
      <c r="Y248" t="s">
        <v>759</v>
      </c>
      <c r="Z248" t="s">
        <v>42</v>
      </c>
      <c r="AA248" t="s">
        <v>38</v>
      </c>
      <c r="AB248" t="s">
        <v>38</v>
      </c>
      <c r="AC248" t="s">
        <v>38</v>
      </c>
      <c r="AD248" t="s">
        <v>48</v>
      </c>
      <c r="AG248" t="str">
        <f>IF(AD248="United States", IFERROR(INDEX(Sheet2!$C:$C, MATCH(AE248&amp;AF248, Sheet2!$E:$E, 0)) &amp; ", " &amp; INDEX(Sheet2!$D:$D, MATCH(AE248&amp;AF248, Sheet2!$E:$E, 0)), ""), "-")</f>
        <v/>
      </c>
    </row>
    <row r="249" spans="1:33" x14ac:dyDescent="0.25">
      <c r="A249" t="s">
        <v>140</v>
      </c>
      <c r="B249" t="s">
        <v>760</v>
      </c>
      <c r="C249" t="s">
        <v>736</v>
      </c>
      <c r="D249" t="s">
        <v>106</v>
      </c>
      <c r="E249" t="s">
        <v>38</v>
      </c>
      <c r="F249">
        <v>1778</v>
      </c>
      <c r="G249">
        <v>2298</v>
      </c>
      <c r="H249" t="s">
        <v>738</v>
      </c>
      <c r="I249" t="s">
        <v>87</v>
      </c>
      <c r="J249" t="s">
        <v>739</v>
      </c>
      <c r="K249" t="s">
        <v>38</v>
      </c>
      <c r="L249" t="s">
        <v>38</v>
      </c>
      <c r="M249" t="s">
        <v>38</v>
      </c>
      <c r="N249" t="s">
        <v>38</v>
      </c>
      <c r="O249" t="s">
        <v>74</v>
      </c>
      <c r="P249" t="s">
        <v>42</v>
      </c>
      <c r="Q249" t="s">
        <v>43</v>
      </c>
      <c r="R249" t="s">
        <v>89</v>
      </c>
      <c r="S249" t="s">
        <v>38</v>
      </c>
      <c r="T249" t="s">
        <v>89</v>
      </c>
      <c r="U249" t="s">
        <v>301</v>
      </c>
      <c r="V249" t="s">
        <v>740</v>
      </c>
      <c r="W249" t="s">
        <v>92</v>
      </c>
      <c r="X249" t="s">
        <v>302</v>
      </c>
      <c r="Y249" t="s">
        <v>744</v>
      </c>
      <c r="Z249" t="s">
        <v>42</v>
      </c>
      <c r="AA249" t="s">
        <v>38</v>
      </c>
      <c r="AB249" t="s">
        <v>38</v>
      </c>
      <c r="AC249" t="s">
        <v>38</v>
      </c>
      <c r="AD249" t="s">
        <v>48</v>
      </c>
      <c r="AG249" t="str">
        <f>IF(AD249="United States", IFERROR(INDEX(Sheet2!$C:$C, MATCH(AE249&amp;AF249, Sheet2!$E:$E, 0)) &amp; ", " &amp; INDEX(Sheet2!$D:$D, MATCH(AE249&amp;AF249, Sheet2!$E:$E, 0)), ""), "-")</f>
        <v/>
      </c>
    </row>
    <row r="250" spans="1:33" x14ac:dyDescent="0.25">
      <c r="A250" t="s">
        <v>140</v>
      </c>
      <c r="B250" t="s">
        <v>761</v>
      </c>
      <c r="C250" t="s">
        <v>736</v>
      </c>
      <c r="D250" t="s">
        <v>762</v>
      </c>
      <c r="E250" t="s">
        <v>763</v>
      </c>
      <c r="F250">
        <v>1757</v>
      </c>
      <c r="G250">
        <v>2292</v>
      </c>
      <c r="H250" t="s">
        <v>738</v>
      </c>
      <c r="I250" t="s">
        <v>87</v>
      </c>
      <c r="J250" t="s">
        <v>739</v>
      </c>
      <c r="K250" t="s">
        <v>38</v>
      </c>
      <c r="L250" t="s">
        <v>38</v>
      </c>
      <c r="M250" t="s">
        <v>38</v>
      </c>
      <c r="N250" t="s">
        <v>38</v>
      </c>
      <c r="O250" t="s">
        <v>57</v>
      </c>
      <c r="P250" t="s">
        <v>42</v>
      </c>
      <c r="Q250" t="s">
        <v>43</v>
      </c>
      <c r="R250" t="s">
        <v>89</v>
      </c>
      <c r="S250" t="s">
        <v>38</v>
      </c>
      <c r="T250" t="s">
        <v>89</v>
      </c>
      <c r="U250" t="s">
        <v>301</v>
      </c>
      <c r="V250" t="s">
        <v>740</v>
      </c>
      <c r="W250" t="s">
        <v>92</v>
      </c>
      <c r="X250" t="s">
        <v>302</v>
      </c>
      <c r="Y250" t="s">
        <v>764</v>
      </c>
      <c r="Z250" t="s">
        <v>42</v>
      </c>
      <c r="AA250" t="s">
        <v>38</v>
      </c>
      <c r="AB250" t="s">
        <v>38</v>
      </c>
      <c r="AC250" t="s">
        <v>38</v>
      </c>
      <c r="AD250" t="s">
        <v>48</v>
      </c>
      <c r="AG250" t="str">
        <f>IF(AD250="United States", IFERROR(INDEX(Sheet2!$C:$C, MATCH(AE250&amp;AF250, Sheet2!$E:$E, 0)) &amp; ", " &amp; INDEX(Sheet2!$D:$D, MATCH(AE250&amp;AF250, Sheet2!$E:$E, 0)), ""), "-")</f>
        <v/>
      </c>
    </row>
    <row r="251" spans="1:33" x14ac:dyDescent="0.25">
      <c r="A251" t="s">
        <v>140</v>
      </c>
      <c r="B251" t="s">
        <v>765</v>
      </c>
      <c r="C251" t="s">
        <v>736</v>
      </c>
      <c r="D251" t="s">
        <v>210</v>
      </c>
      <c r="F251" t="s">
        <v>38</v>
      </c>
      <c r="G251">
        <v>2734</v>
      </c>
      <c r="I251" t="s">
        <v>87</v>
      </c>
      <c r="J251" t="s">
        <v>739</v>
      </c>
      <c r="O251" t="s">
        <v>41</v>
      </c>
      <c r="P251" t="s">
        <v>42</v>
      </c>
      <c r="Q251" t="s">
        <v>43</v>
      </c>
      <c r="V251" t="s">
        <v>740</v>
      </c>
      <c r="Y251" t="s">
        <v>38</v>
      </c>
      <c r="Z251" t="s">
        <v>42</v>
      </c>
      <c r="AA251" t="s">
        <v>38</v>
      </c>
      <c r="AB251" t="s">
        <v>38</v>
      </c>
      <c r="AC251" t="s">
        <v>38</v>
      </c>
      <c r="AD251" t="s">
        <v>48</v>
      </c>
      <c r="AG251" t="str">
        <f>IF(AD251="United States", IFERROR(INDEX(Sheet2!$C:$C, MATCH(AE251&amp;AF251, Sheet2!$E:$E, 0)) &amp; ", " &amp; INDEX(Sheet2!$D:$D, MATCH(AE251&amp;AF251, Sheet2!$E:$E, 0)), ""), "-")</f>
        <v/>
      </c>
    </row>
    <row r="252" spans="1:33" x14ac:dyDescent="0.25">
      <c r="A252" t="s">
        <v>140</v>
      </c>
      <c r="B252" t="s">
        <v>766</v>
      </c>
      <c r="C252" t="s">
        <v>736</v>
      </c>
      <c r="D252" t="s">
        <v>767</v>
      </c>
      <c r="E252" t="s">
        <v>38</v>
      </c>
      <c r="F252">
        <v>1738</v>
      </c>
      <c r="G252">
        <v>2303</v>
      </c>
      <c r="H252" t="s">
        <v>738</v>
      </c>
      <c r="I252" t="s">
        <v>87</v>
      </c>
      <c r="J252" t="s">
        <v>739</v>
      </c>
      <c r="K252" t="s">
        <v>38</v>
      </c>
      <c r="L252" t="s">
        <v>38</v>
      </c>
      <c r="M252" t="s">
        <v>38</v>
      </c>
      <c r="N252" t="s">
        <v>38</v>
      </c>
      <c r="O252" t="s">
        <v>41</v>
      </c>
      <c r="P252" t="s">
        <v>42</v>
      </c>
      <c r="Q252" t="s">
        <v>43</v>
      </c>
      <c r="R252" t="s">
        <v>89</v>
      </c>
      <c r="S252" t="s">
        <v>45</v>
      </c>
      <c r="T252" t="s">
        <v>89</v>
      </c>
      <c r="U252" t="s">
        <v>301</v>
      </c>
      <c r="V252" t="s">
        <v>740</v>
      </c>
      <c r="W252" t="s">
        <v>92</v>
      </c>
      <c r="X252" t="s">
        <v>302</v>
      </c>
      <c r="Y252" t="s">
        <v>768</v>
      </c>
      <c r="Z252" t="s">
        <v>42</v>
      </c>
      <c r="AA252" t="s">
        <v>767</v>
      </c>
      <c r="AB252" t="s">
        <v>38</v>
      </c>
      <c r="AC252" t="s">
        <v>45</v>
      </c>
      <c r="AD252" t="s">
        <v>48</v>
      </c>
      <c r="AG252" t="str">
        <f>IF(AD252="United States", IFERROR(INDEX(Sheet2!$C:$C, MATCH(AE252&amp;AF252, Sheet2!$E:$E, 0)) &amp; ", " &amp; INDEX(Sheet2!$D:$D, MATCH(AE252&amp;AF252, Sheet2!$E:$E, 0)), ""), "-")</f>
        <v/>
      </c>
    </row>
    <row r="253" spans="1:33" x14ac:dyDescent="0.25">
      <c r="A253" t="s">
        <v>140</v>
      </c>
      <c r="B253" t="s">
        <v>769</v>
      </c>
      <c r="C253" t="s">
        <v>736</v>
      </c>
      <c r="D253" t="s">
        <v>113</v>
      </c>
      <c r="E253" t="s">
        <v>38</v>
      </c>
      <c r="F253">
        <v>1764</v>
      </c>
      <c r="G253">
        <v>2302</v>
      </c>
      <c r="H253" t="s">
        <v>738</v>
      </c>
      <c r="I253" t="s">
        <v>87</v>
      </c>
      <c r="J253" t="s">
        <v>739</v>
      </c>
      <c r="K253" t="s">
        <v>38</v>
      </c>
      <c r="L253" t="s">
        <v>38</v>
      </c>
      <c r="M253" t="s">
        <v>38</v>
      </c>
      <c r="N253" t="s">
        <v>38</v>
      </c>
      <c r="O253" t="s">
        <v>41</v>
      </c>
      <c r="P253" t="s">
        <v>42</v>
      </c>
      <c r="Q253" t="s">
        <v>43</v>
      </c>
      <c r="R253" t="s">
        <v>89</v>
      </c>
      <c r="S253" t="s">
        <v>153</v>
      </c>
      <c r="T253" t="s">
        <v>89</v>
      </c>
      <c r="U253" t="s">
        <v>301</v>
      </c>
      <c r="V253" t="s">
        <v>740</v>
      </c>
      <c r="W253" t="s">
        <v>92</v>
      </c>
      <c r="X253" t="s">
        <v>302</v>
      </c>
      <c r="Y253" t="s">
        <v>770</v>
      </c>
      <c r="Z253" t="s">
        <v>42</v>
      </c>
      <c r="AA253" t="s">
        <v>155</v>
      </c>
      <c r="AB253" t="s">
        <v>38</v>
      </c>
      <c r="AC253" t="s">
        <v>153</v>
      </c>
      <c r="AD253" t="s">
        <v>48</v>
      </c>
      <c r="AG253" t="str">
        <f>IF(AD253="United States", IFERROR(INDEX(Sheet2!$C:$C, MATCH(AE253&amp;AF253, Sheet2!$E:$E, 0)) &amp; ", " &amp; INDEX(Sheet2!$D:$D, MATCH(AE253&amp;AF253, Sheet2!$E:$E, 0)), ""), "-")</f>
        <v/>
      </c>
    </row>
    <row r="254" spans="1:33" x14ac:dyDescent="0.25">
      <c r="A254" t="s">
        <v>140</v>
      </c>
      <c r="B254" t="s">
        <v>771</v>
      </c>
      <c r="C254" t="s">
        <v>736</v>
      </c>
      <c r="D254" t="s">
        <v>772</v>
      </c>
      <c r="E254" t="s">
        <v>38</v>
      </c>
      <c r="F254">
        <v>1775</v>
      </c>
      <c r="G254">
        <v>2293</v>
      </c>
      <c r="H254" t="s">
        <v>738</v>
      </c>
      <c r="I254" t="s">
        <v>87</v>
      </c>
      <c r="J254" t="s">
        <v>739</v>
      </c>
      <c r="K254" t="s">
        <v>38</v>
      </c>
      <c r="L254" t="s">
        <v>38</v>
      </c>
      <c r="M254" t="s">
        <v>38</v>
      </c>
      <c r="N254" t="s">
        <v>38</v>
      </c>
      <c r="O254" t="s">
        <v>54</v>
      </c>
      <c r="P254" t="s">
        <v>42</v>
      </c>
      <c r="Q254" t="s">
        <v>43</v>
      </c>
      <c r="R254" t="s">
        <v>89</v>
      </c>
      <c r="S254" t="s">
        <v>38</v>
      </c>
      <c r="T254" t="s">
        <v>89</v>
      </c>
      <c r="U254" t="s">
        <v>301</v>
      </c>
      <c r="V254" t="s">
        <v>740</v>
      </c>
      <c r="W254" t="s">
        <v>92</v>
      </c>
      <c r="X254" t="s">
        <v>302</v>
      </c>
      <c r="Y254" t="s">
        <v>764</v>
      </c>
      <c r="Z254" t="s">
        <v>42</v>
      </c>
      <c r="AA254" t="s">
        <v>38</v>
      </c>
      <c r="AB254" t="s">
        <v>38</v>
      </c>
      <c r="AC254" t="s">
        <v>38</v>
      </c>
      <c r="AD254" t="s">
        <v>48</v>
      </c>
      <c r="AG254" t="str">
        <f>IF(AD254="United States", IFERROR(INDEX(Sheet2!$C:$C, MATCH(AE254&amp;AF254, Sheet2!$E:$E, 0)) &amp; ", " &amp; INDEX(Sheet2!$D:$D, MATCH(AE254&amp;AF254, Sheet2!$E:$E, 0)), ""), "-")</f>
        <v/>
      </c>
    </row>
    <row r="255" spans="1:33" x14ac:dyDescent="0.25">
      <c r="A255" t="s">
        <v>140</v>
      </c>
      <c r="B255" t="s">
        <v>773</v>
      </c>
      <c r="C255" t="s">
        <v>736</v>
      </c>
      <c r="D255" t="s">
        <v>445</v>
      </c>
      <c r="E255" t="s">
        <v>774</v>
      </c>
      <c r="F255">
        <v>1753</v>
      </c>
      <c r="G255">
        <v>2304</v>
      </c>
      <c r="H255" t="s">
        <v>738</v>
      </c>
      <c r="I255" t="s">
        <v>87</v>
      </c>
      <c r="J255" t="s">
        <v>739</v>
      </c>
      <c r="K255" t="s">
        <v>38</v>
      </c>
      <c r="L255" t="s">
        <v>38</v>
      </c>
      <c r="M255" t="s">
        <v>38</v>
      </c>
      <c r="N255" t="s">
        <v>38</v>
      </c>
      <c r="O255" t="s">
        <v>41</v>
      </c>
      <c r="P255" t="s">
        <v>42</v>
      </c>
      <c r="Q255" t="s">
        <v>43</v>
      </c>
      <c r="R255" t="s">
        <v>89</v>
      </c>
      <c r="S255" t="s">
        <v>89</v>
      </c>
      <c r="T255" t="s">
        <v>89</v>
      </c>
      <c r="U255" t="s">
        <v>301</v>
      </c>
      <c r="V255" t="s">
        <v>740</v>
      </c>
      <c r="W255" t="s">
        <v>92</v>
      </c>
      <c r="X255" t="s">
        <v>302</v>
      </c>
      <c r="Y255" t="s">
        <v>759</v>
      </c>
      <c r="Z255" t="s">
        <v>42</v>
      </c>
      <c r="AA255" t="s">
        <v>38</v>
      </c>
      <c r="AB255" t="s">
        <v>38</v>
      </c>
      <c r="AC255" t="s">
        <v>89</v>
      </c>
      <c r="AD255" t="s">
        <v>48</v>
      </c>
      <c r="AG255" t="str">
        <f>IF(AD255="United States", IFERROR(INDEX(Sheet2!$C:$C, MATCH(AE255&amp;AF255, Sheet2!$E:$E, 0)) &amp; ", " &amp; INDEX(Sheet2!$D:$D, MATCH(AE255&amp;AF255, Sheet2!$E:$E, 0)), ""), "-")</f>
        <v/>
      </c>
    </row>
    <row r="256" spans="1:33" x14ac:dyDescent="0.25">
      <c r="A256" t="s">
        <v>140</v>
      </c>
      <c r="B256" t="s">
        <v>775</v>
      </c>
      <c r="C256" t="s">
        <v>736</v>
      </c>
      <c r="D256" t="s">
        <v>776</v>
      </c>
      <c r="E256" t="s">
        <v>38</v>
      </c>
      <c r="F256">
        <v>1775</v>
      </c>
      <c r="G256">
        <v>2305</v>
      </c>
      <c r="H256" t="s">
        <v>738</v>
      </c>
      <c r="I256" t="s">
        <v>87</v>
      </c>
      <c r="J256" t="s">
        <v>739</v>
      </c>
      <c r="K256" t="s">
        <v>38</v>
      </c>
      <c r="L256" t="s">
        <v>38</v>
      </c>
      <c r="M256" t="s">
        <v>38</v>
      </c>
      <c r="N256" t="s">
        <v>38</v>
      </c>
      <c r="O256" t="s">
        <v>74</v>
      </c>
      <c r="P256" t="s">
        <v>42</v>
      </c>
      <c r="Q256" t="s">
        <v>43</v>
      </c>
      <c r="R256" t="s">
        <v>89</v>
      </c>
      <c r="S256" t="s">
        <v>38</v>
      </c>
      <c r="T256" t="s">
        <v>89</v>
      </c>
      <c r="U256" t="s">
        <v>301</v>
      </c>
      <c r="V256" t="s">
        <v>740</v>
      </c>
      <c r="W256" t="s">
        <v>92</v>
      </c>
      <c r="X256" t="s">
        <v>302</v>
      </c>
      <c r="Y256" t="s">
        <v>759</v>
      </c>
      <c r="Z256" t="s">
        <v>42</v>
      </c>
      <c r="AA256" t="s">
        <v>38</v>
      </c>
      <c r="AB256" t="s">
        <v>38</v>
      </c>
      <c r="AC256" t="s">
        <v>38</v>
      </c>
      <c r="AD256" t="s">
        <v>48</v>
      </c>
      <c r="AG256" t="str">
        <f>IF(AD256="United States", IFERROR(INDEX(Sheet2!$C:$C, MATCH(AE256&amp;AF256, Sheet2!$E:$E, 0)) &amp; ", " &amp; INDEX(Sheet2!$D:$D, MATCH(AE256&amp;AF256, Sheet2!$E:$E, 0)), ""), "-")</f>
        <v/>
      </c>
    </row>
    <row r="257" spans="1:33" x14ac:dyDescent="0.25">
      <c r="A257" t="s">
        <v>140</v>
      </c>
      <c r="B257" t="s">
        <v>777</v>
      </c>
      <c r="C257" t="s">
        <v>736</v>
      </c>
      <c r="D257" t="s">
        <v>210</v>
      </c>
      <c r="E257" t="s">
        <v>38</v>
      </c>
      <c r="F257">
        <v>1781</v>
      </c>
      <c r="G257">
        <v>2306</v>
      </c>
      <c r="H257" t="s">
        <v>738</v>
      </c>
      <c r="I257" t="s">
        <v>87</v>
      </c>
      <c r="J257" t="s">
        <v>739</v>
      </c>
      <c r="K257" t="s">
        <v>38</v>
      </c>
      <c r="L257" t="s">
        <v>38</v>
      </c>
      <c r="M257" t="s">
        <v>38</v>
      </c>
      <c r="N257" t="s">
        <v>38</v>
      </c>
      <c r="O257" t="s">
        <v>74</v>
      </c>
      <c r="P257" t="s">
        <v>42</v>
      </c>
      <c r="Q257" t="s">
        <v>43</v>
      </c>
      <c r="R257" t="s">
        <v>89</v>
      </c>
      <c r="S257" t="s">
        <v>38</v>
      </c>
      <c r="T257" t="s">
        <v>89</v>
      </c>
      <c r="U257" t="s">
        <v>301</v>
      </c>
      <c r="V257" t="s">
        <v>740</v>
      </c>
      <c r="W257" t="s">
        <v>92</v>
      </c>
      <c r="X257" t="s">
        <v>302</v>
      </c>
      <c r="Y257" t="s">
        <v>759</v>
      </c>
      <c r="Z257" t="s">
        <v>42</v>
      </c>
      <c r="AA257" t="s">
        <v>38</v>
      </c>
      <c r="AB257" t="s">
        <v>38</v>
      </c>
      <c r="AC257" t="s">
        <v>38</v>
      </c>
      <c r="AD257" t="s">
        <v>48</v>
      </c>
      <c r="AG257" t="str">
        <f>IF(AD257="United States", IFERROR(INDEX(Sheet2!$C:$C, MATCH(AE257&amp;AF257, Sheet2!$E:$E, 0)) &amp; ", " &amp; INDEX(Sheet2!$D:$D, MATCH(AE257&amp;AF257, Sheet2!$E:$E, 0)), ""), "-")</f>
        <v/>
      </c>
    </row>
    <row r="258" spans="1:33" x14ac:dyDescent="0.25">
      <c r="A258" t="s">
        <v>140</v>
      </c>
      <c r="B258" t="s">
        <v>778</v>
      </c>
      <c r="C258" t="s">
        <v>736</v>
      </c>
      <c r="D258" t="s">
        <v>779</v>
      </c>
      <c r="E258" t="s">
        <v>38</v>
      </c>
      <c r="F258">
        <v>1748</v>
      </c>
      <c r="G258">
        <v>2297</v>
      </c>
      <c r="H258" t="s">
        <v>738</v>
      </c>
      <c r="I258" t="s">
        <v>87</v>
      </c>
      <c r="J258" t="s">
        <v>739</v>
      </c>
      <c r="K258" t="s">
        <v>38</v>
      </c>
      <c r="L258" t="s">
        <v>38</v>
      </c>
      <c r="M258" t="s">
        <v>38</v>
      </c>
      <c r="N258" t="s">
        <v>38</v>
      </c>
      <c r="O258" t="s">
        <v>57</v>
      </c>
      <c r="P258" t="s">
        <v>42</v>
      </c>
      <c r="Q258" t="s">
        <v>43</v>
      </c>
      <c r="R258" t="s">
        <v>89</v>
      </c>
      <c r="S258" t="s">
        <v>45</v>
      </c>
      <c r="T258" t="s">
        <v>89</v>
      </c>
      <c r="U258" t="s">
        <v>301</v>
      </c>
      <c r="V258" t="s">
        <v>740</v>
      </c>
      <c r="W258" t="s">
        <v>92</v>
      </c>
      <c r="X258" t="s">
        <v>302</v>
      </c>
      <c r="Y258" t="s">
        <v>744</v>
      </c>
      <c r="Z258" t="s">
        <v>42</v>
      </c>
      <c r="AA258" t="s">
        <v>780</v>
      </c>
      <c r="AB258" t="s">
        <v>38</v>
      </c>
      <c r="AC258" t="s">
        <v>45</v>
      </c>
      <c r="AD258" t="s">
        <v>48</v>
      </c>
      <c r="AG258" t="str">
        <f>IF(AD258="United States", IFERROR(INDEX(Sheet2!$C:$C, MATCH(AE258&amp;AF258, Sheet2!$E:$E, 0)) &amp; ", " &amp; INDEX(Sheet2!$D:$D, MATCH(AE258&amp;AF258, Sheet2!$E:$E, 0)), ""), "-")</f>
        <v/>
      </c>
    </row>
    <row r="259" spans="1:33" x14ac:dyDescent="0.25">
      <c r="A259" t="s">
        <v>140</v>
      </c>
      <c r="B259" t="s">
        <v>781</v>
      </c>
      <c r="C259" t="s">
        <v>736</v>
      </c>
      <c r="D259" t="s">
        <v>42</v>
      </c>
      <c r="E259" t="s">
        <v>343</v>
      </c>
      <c r="F259">
        <v>1748</v>
      </c>
      <c r="G259">
        <v>2300</v>
      </c>
      <c r="H259" t="s">
        <v>738</v>
      </c>
      <c r="I259" t="s">
        <v>87</v>
      </c>
      <c r="J259" t="s">
        <v>739</v>
      </c>
      <c r="K259" t="s">
        <v>38</v>
      </c>
      <c r="L259" t="s">
        <v>38</v>
      </c>
      <c r="M259" t="s">
        <v>38</v>
      </c>
      <c r="N259" t="s">
        <v>38</v>
      </c>
      <c r="O259" t="s">
        <v>41</v>
      </c>
      <c r="P259" t="s">
        <v>42</v>
      </c>
      <c r="Q259" t="s">
        <v>43</v>
      </c>
      <c r="R259" t="s">
        <v>89</v>
      </c>
      <c r="S259" t="s">
        <v>45</v>
      </c>
      <c r="T259" t="s">
        <v>89</v>
      </c>
      <c r="U259" t="s">
        <v>301</v>
      </c>
      <c r="V259" t="s">
        <v>740</v>
      </c>
      <c r="W259" t="s">
        <v>92</v>
      </c>
      <c r="X259" t="s">
        <v>302</v>
      </c>
      <c r="Y259" t="s">
        <v>744</v>
      </c>
      <c r="Z259" t="s">
        <v>42</v>
      </c>
      <c r="AA259" t="s">
        <v>780</v>
      </c>
      <c r="AB259" t="s">
        <v>38</v>
      </c>
      <c r="AC259" t="s">
        <v>45</v>
      </c>
      <c r="AD259" t="s">
        <v>48</v>
      </c>
      <c r="AG259" t="str">
        <f>IF(AD259="United States", IFERROR(INDEX(Sheet2!$C:$C, MATCH(AE259&amp;AF259, Sheet2!$E:$E, 0)) &amp; ", " &amp; INDEX(Sheet2!$D:$D, MATCH(AE259&amp;AF259, Sheet2!$E:$E, 0)), ""), "-")</f>
        <v/>
      </c>
    </row>
    <row r="260" spans="1:33" x14ac:dyDescent="0.25">
      <c r="A260" t="s">
        <v>140</v>
      </c>
      <c r="B260" t="s">
        <v>782</v>
      </c>
      <c r="C260" t="s">
        <v>736</v>
      </c>
      <c r="D260" t="s">
        <v>783</v>
      </c>
      <c r="E260" t="s">
        <v>38</v>
      </c>
      <c r="F260">
        <v>1758</v>
      </c>
      <c r="G260">
        <v>2295</v>
      </c>
      <c r="H260" t="s">
        <v>738</v>
      </c>
      <c r="I260" t="s">
        <v>87</v>
      </c>
      <c r="J260" t="s">
        <v>739</v>
      </c>
      <c r="K260" t="s">
        <v>38</v>
      </c>
      <c r="L260" t="s">
        <v>38</v>
      </c>
      <c r="M260" t="s">
        <v>38</v>
      </c>
      <c r="N260" t="s">
        <v>38</v>
      </c>
      <c r="O260" t="s">
        <v>57</v>
      </c>
      <c r="P260" t="s">
        <v>42</v>
      </c>
      <c r="Q260" t="s">
        <v>43</v>
      </c>
      <c r="R260" t="s">
        <v>89</v>
      </c>
      <c r="S260" t="s">
        <v>38</v>
      </c>
      <c r="T260" t="s">
        <v>89</v>
      </c>
      <c r="U260" t="s">
        <v>301</v>
      </c>
      <c r="V260" t="s">
        <v>740</v>
      </c>
      <c r="W260" t="s">
        <v>92</v>
      </c>
      <c r="X260" t="s">
        <v>302</v>
      </c>
      <c r="Y260" t="s">
        <v>784</v>
      </c>
      <c r="Z260" t="s">
        <v>42</v>
      </c>
      <c r="AA260" t="s">
        <v>38</v>
      </c>
      <c r="AB260" t="s">
        <v>38</v>
      </c>
      <c r="AC260" t="s">
        <v>38</v>
      </c>
      <c r="AD260" t="s">
        <v>48</v>
      </c>
      <c r="AG260" t="str">
        <f>IF(AD260="United States", IFERROR(INDEX(Sheet2!$C:$C, MATCH(AE260&amp;AF260, Sheet2!$E:$E, 0)) &amp; ", " &amp; INDEX(Sheet2!$D:$D, MATCH(AE260&amp;AF260, Sheet2!$E:$E, 0)), ""), "-")</f>
        <v/>
      </c>
    </row>
    <row r="261" spans="1:33" x14ac:dyDescent="0.25">
      <c r="A261" t="s">
        <v>140</v>
      </c>
      <c r="B261" t="s">
        <v>785</v>
      </c>
      <c r="C261" t="s">
        <v>736</v>
      </c>
      <c r="D261" t="s">
        <v>361</v>
      </c>
      <c r="E261" t="s">
        <v>38</v>
      </c>
      <c r="F261">
        <v>1761</v>
      </c>
      <c r="G261">
        <v>2294</v>
      </c>
      <c r="H261" t="s">
        <v>738</v>
      </c>
      <c r="I261" t="s">
        <v>87</v>
      </c>
      <c r="J261" t="s">
        <v>739</v>
      </c>
      <c r="K261" t="s">
        <v>38</v>
      </c>
      <c r="L261" t="s">
        <v>38</v>
      </c>
      <c r="M261" t="s">
        <v>38</v>
      </c>
      <c r="N261" t="s">
        <v>38</v>
      </c>
      <c r="O261" t="s">
        <v>41</v>
      </c>
      <c r="P261" t="s">
        <v>42</v>
      </c>
      <c r="Q261" t="s">
        <v>43</v>
      </c>
      <c r="R261" t="s">
        <v>89</v>
      </c>
      <c r="S261" t="s">
        <v>45</v>
      </c>
      <c r="T261" t="s">
        <v>89</v>
      </c>
      <c r="U261" t="s">
        <v>301</v>
      </c>
      <c r="V261" t="s">
        <v>740</v>
      </c>
      <c r="W261" t="s">
        <v>92</v>
      </c>
      <c r="X261" t="s">
        <v>302</v>
      </c>
      <c r="Y261" t="s">
        <v>764</v>
      </c>
      <c r="Z261" t="s">
        <v>42</v>
      </c>
      <c r="AA261" t="s">
        <v>38</v>
      </c>
      <c r="AB261" t="s">
        <v>38</v>
      </c>
      <c r="AC261" t="s">
        <v>45</v>
      </c>
      <c r="AD261" t="s">
        <v>48</v>
      </c>
      <c r="AG261" t="str">
        <f>IF(AD261="United States", IFERROR(INDEX(Sheet2!$C:$C, MATCH(AE261&amp;AF261, Sheet2!$E:$E, 0)) &amp; ", " &amp; INDEX(Sheet2!$D:$D, MATCH(AE261&amp;AF261, Sheet2!$E:$E, 0)), ""), "-")</f>
        <v/>
      </c>
    </row>
    <row r="262" spans="1:33" x14ac:dyDescent="0.25">
      <c r="A262" t="s">
        <v>140</v>
      </c>
      <c r="B262" t="s">
        <v>786</v>
      </c>
      <c r="C262" t="s">
        <v>736</v>
      </c>
      <c r="D262" t="s">
        <v>787</v>
      </c>
      <c r="E262" t="s">
        <v>788</v>
      </c>
      <c r="F262">
        <v>1763</v>
      </c>
      <c r="G262">
        <v>2296</v>
      </c>
      <c r="H262" t="s">
        <v>738</v>
      </c>
      <c r="I262" t="s">
        <v>87</v>
      </c>
      <c r="J262" t="s">
        <v>739</v>
      </c>
      <c r="K262" t="s">
        <v>38</v>
      </c>
      <c r="L262" t="s">
        <v>38</v>
      </c>
      <c r="M262" t="s">
        <v>38</v>
      </c>
      <c r="N262" t="s">
        <v>38</v>
      </c>
      <c r="O262" t="s">
        <v>41</v>
      </c>
      <c r="P262" t="s">
        <v>42</v>
      </c>
      <c r="Q262" t="s">
        <v>43</v>
      </c>
      <c r="R262" t="s">
        <v>89</v>
      </c>
      <c r="S262" t="s">
        <v>153</v>
      </c>
      <c r="T262" t="s">
        <v>89</v>
      </c>
      <c r="U262" t="s">
        <v>301</v>
      </c>
      <c r="V262" t="s">
        <v>740</v>
      </c>
      <c r="W262" t="s">
        <v>92</v>
      </c>
      <c r="X262" t="s">
        <v>302</v>
      </c>
      <c r="Y262" t="s">
        <v>789</v>
      </c>
      <c r="Z262" t="s">
        <v>42</v>
      </c>
      <c r="AA262" t="s">
        <v>155</v>
      </c>
      <c r="AB262" t="s">
        <v>38</v>
      </c>
      <c r="AC262" t="s">
        <v>153</v>
      </c>
      <c r="AD262" t="s">
        <v>48</v>
      </c>
      <c r="AG262" t="str">
        <f>IF(AD262="United States", IFERROR(INDEX(Sheet2!$C:$C, MATCH(AE262&amp;AF262, Sheet2!$E:$E, 0)) &amp; ", " &amp; INDEX(Sheet2!$D:$D, MATCH(AE262&amp;AF262, Sheet2!$E:$E, 0)), ""), "-")</f>
        <v/>
      </c>
    </row>
    <row r="263" spans="1:33" x14ac:dyDescent="0.25">
      <c r="A263" t="s">
        <v>790</v>
      </c>
      <c r="B263" t="s">
        <v>791</v>
      </c>
      <c r="C263" t="s">
        <v>792</v>
      </c>
      <c r="D263" t="s">
        <v>352</v>
      </c>
      <c r="E263" t="s">
        <v>793</v>
      </c>
      <c r="F263">
        <v>1782</v>
      </c>
      <c r="G263">
        <v>331</v>
      </c>
      <c r="H263" t="s">
        <v>38</v>
      </c>
      <c r="I263" t="s">
        <v>39</v>
      </c>
      <c r="J263" t="s">
        <v>794</v>
      </c>
      <c r="K263" t="s">
        <v>38</v>
      </c>
      <c r="L263" t="s">
        <v>38</v>
      </c>
      <c r="M263" t="s">
        <v>38</v>
      </c>
      <c r="N263" t="s">
        <v>38</v>
      </c>
      <c r="O263" t="s">
        <v>54</v>
      </c>
      <c r="P263" t="s">
        <v>42</v>
      </c>
      <c r="Q263" t="s">
        <v>43</v>
      </c>
      <c r="R263" t="s">
        <v>38</v>
      </c>
      <c r="S263" t="s">
        <v>38</v>
      </c>
      <c r="T263" t="s">
        <v>38</v>
      </c>
      <c r="U263" t="s">
        <v>38</v>
      </c>
      <c r="V263" t="s">
        <v>137</v>
      </c>
      <c r="W263" t="s">
        <v>38</v>
      </c>
      <c r="X263" t="s">
        <v>38</v>
      </c>
      <c r="Y263" t="s">
        <v>795</v>
      </c>
      <c r="Z263" t="s">
        <v>42</v>
      </c>
      <c r="AA263" t="s">
        <v>38</v>
      </c>
      <c r="AB263" t="s">
        <v>38</v>
      </c>
      <c r="AC263" t="s">
        <v>38</v>
      </c>
      <c r="AD263" t="s">
        <v>48</v>
      </c>
      <c r="AG263" t="str">
        <f>IF(AD263="United States", IFERROR(INDEX(Sheet2!$C:$C, MATCH(AE263&amp;AF263, Sheet2!$E:$E, 0)) &amp; ", " &amp; INDEX(Sheet2!$D:$D, MATCH(AE263&amp;AF263, Sheet2!$E:$E, 0)), ""), "-")</f>
        <v/>
      </c>
    </row>
    <row r="264" spans="1:33" x14ac:dyDescent="0.25">
      <c r="A264" t="s">
        <v>790</v>
      </c>
      <c r="B264" t="s">
        <v>796</v>
      </c>
      <c r="C264" t="s">
        <v>792</v>
      </c>
      <c r="D264" t="s">
        <v>797</v>
      </c>
      <c r="E264" t="s">
        <v>798</v>
      </c>
      <c r="F264">
        <v>1772</v>
      </c>
      <c r="G264">
        <v>326</v>
      </c>
      <c r="H264" t="s">
        <v>38</v>
      </c>
      <c r="I264" t="s">
        <v>39</v>
      </c>
      <c r="J264" t="s">
        <v>794</v>
      </c>
      <c r="K264" t="s">
        <v>38</v>
      </c>
      <c r="L264" t="s">
        <v>38</v>
      </c>
      <c r="M264" t="s">
        <v>38</v>
      </c>
      <c r="N264" t="s">
        <v>38</v>
      </c>
      <c r="O264" t="s">
        <v>54</v>
      </c>
      <c r="P264" t="s">
        <v>42</v>
      </c>
      <c r="Q264" t="s">
        <v>43</v>
      </c>
      <c r="R264" t="s">
        <v>38</v>
      </c>
      <c r="S264" t="s">
        <v>38</v>
      </c>
      <c r="T264" t="s">
        <v>38</v>
      </c>
      <c r="U264" t="s">
        <v>38</v>
      </c>
      <c r="V264" t="s">
        <v>137</v>
      </c>
      <c r="W264" t="s">
        <v>38</v>
      </c>
      <c r="X264" t="s">
        <v>38</v>
      </c>
      <c r="Y264" t="s">
        <v>795</v>
      </c>
      <c r="Z264" t="s">
        <v>42</v>
      </c>
      <c r="AA264" t="s">
        <v>38</v>
      </c>
      <c r="AB264" t="s">
        <v>38</v>
      </c>
      <c r="AC264" t="s">
        <v>38</v>
      </c>
      <c r="AD264" t="s">
        <v>48</v>
      </c>
      <c r="AG264" t="str">
        <f>IF(AD264="United States", IFERROR(INDEX(Sheet2!$C:$C, MATCH(AE264&amp;AF264, Sheet2!$E:$E, 0)) &amp; ", " &amp; INDEX(Sheet2!$D:$D, MATCH(AE264&amp;AF264, Sheet2!$E:$E, 0)), ""), "-")</f>
        <v/>
      </c>
    </row>
    <row r="265" spans="1:33" x14ac:dyDescent="0.25">
      <c r="A265" t="s">
        <v>790</v>
      </c>
      <c r="B265" t="s">
        <v>799</v>
      </c>
      <c r="C265" t="s">
        <v>792</v>
      </c>
      <c r="D265" t="s">
        <v>114</v>
      </c>
      <c r="E265" t="s">
        <v>798</v>
      </c>
      <c r="F265">
        <v>1779</v>
      </c>
      <c r="G265">
        <v>327</v>
      </c>
      <c r="H265" t="s">
        <v>38</v>
      </c>
      <c r="I265" t="s">
        <v>39</v>
      </c>
      <c r="J265" t="s">
        <v>794</v>
      </c>
      <c r="K265" t="s">
        <v>38</v>
      </c>
      <c r="L265" t="s">
        <v>38</v>
      </c>
      <c r="M265" t="s">
        <v>38</v>
      </c>
      <c r="N265" t="s">
        <v>38</v>
      </c>
      <c r="O265" t="s">
        <v>54</v>
      </c>
      <c r="P265" t="s">
        <v>42</v>
      </c>
      <c r="Q265" t="s">
        <v>43</v>
      </c>
      <c r="R265" t="s">
        <v>38</v>
      </c>
      <c r="S265" t="s">
        <v>38</v>
      </c>
      <c r="T265" t="s">
        <v>38</v>
      </c>
      <c r="U265" t="s">
        <v>38</v>
      </c>
      <c r="V265" t="s">
        <v>137</v>
      </c>
      <c r="W265" t="s">
        <v>38</v>
      </c>
      <c r="X265" t="s">
        <v>38</v>
      </c>
      <c r="Y265" t="s">
        <v>795</v>
      </c>
      <c r="Z265" t="s">
        <v>42</v>
      </c>
      <c r="AA265" t="s">
        <v>38</v>
      </c>
      <c r="AB265" t="s">
        <v>38</v>
      </c>
      <c r="AC265" t="s">
        <v>38</v>
      </c>
      <c r="AD265" t="s">
        <v>48</v>
      </c>
      <c r="AG265" t="str">
        <f>IF(AD265="United States", IFERROR(INDEX(Sheet2!$C:$C, MATCH(AE265&amp;AF265, Sheet2!$E:$E, 0)) &amp; ", " &amp; INDEX(Sheet2!$D:$D, MATCH(AE265&amp;AF265, Sheet2!$E:$E, 0)), ""), "-")</f>
        <v/>
      </c>
    </row>
    <row r="266" spans="1:33" x14ac:dyDescent="0.25">
      <c r="A266" t="s">
        <v>790</v>
      </c>
      <c r="B266" t="s">
        <v>800</v>
      </c>
      <c r="C266" t="s">
        <v>792</v>
      </c>
      <c r="D266" t="s">
        <v>36</v>
      </c>
      <c r="E266" t="s">
        <v>798</v>
      </c>
      <c r="F266">
        <v>1782</v>
      </c>
      <c r="G266">
        <v>328</v>
      </c>
      <c r="H266" t="s">
        <v>38</v>
      </c>
      <c r="I266" t="s">
        <v>39</v>
      </c>
      <c r="J266" t="s">
        <v>794</v>
      </c>
      <c r="K266" t="s">
        <v>38</v>
      </c>
      <c r="L266" t="s">
        <v>38</v>
      </c>
      <c r="M266" t="s">
        <v>38</v>
      </c>
      <c r="N266" t="s">
        <v>38</v>
      </c>
      <c r="O266" t="s">
        <v>54</v>
      </c>
      <c r="P266" t="s">
        <v>42</v>
      </c>
      <c r="Q266" t="s">
        <v>43</v>
      </c>
      <c r="R266" t="s">
        <v>38</v>
      </c>
      <c r="S266" t="s">
        <v>38</v>
      </c>
      <c r="T266" t="s">
        <v>38</v>
      </c>
      <c r="U266" t="s">
        <v>38</v>
      </c>
      <c r="V266" t="s">
        <v>137</v>
      </c>
      <c r="W266" t="s">
        <v>38</v>
      </c>
      <c r="X266" t="s">
        <v>38</v>
      </c>
      <c r="Y266" t="s">
        <v>795</v>
      </c>
      <c r="Z266" t="s">
        <v>42</v>
      </c>
      <c r="AA266" t="s">
        <v>38</v>
      </c>
      <c r="AB266" t="s">
        <v>38</v>
      </c>
      <c r="AC266" t="s">
        <v>38</v>
      </c>
      <c r="AD266" t="s">
        <v>48</v>
      </c>
      <c r="AG266" t="str">
        <f>IF(AD266="United States", IFERROR(INDEX(Sheet2!$C:$C, MATCH(AE266&amp;AF266, Sheet2!$E:$E, 0)) &amp; ", " &amp; INDEX(Sheet2!$D:$D, MATCH(AE266&amp;AF266, Sheet2!$E:$E, 0)), ""), "-")</f>
        <v/>
      </c>
    </row>
    <row r="267" spans="1:33" x14ac:dyDescent="0.25">
      <c r="A267" t="s">
        <v>790</v>
      </c>
      <c r="B267" t="s">
        <v>801</v>
      </c>
      <c r="C267" t="s">
        <v>792</v>
      </c>
      <c r="D267" t="s">
        <v>230</v>
      </c>
      <c r="E267" t="s">
        <v>793</v>
      </c>
      <c r="F267">
        <v>1757</v>
      </c>
      <c r="G267">
        <v>329</v>
      </c>
      <c r="H267" t="s">
        <v>38</v>
      </c>
      <c r="I267" t="s">
        <v>39</v>
      </c>
      <c r="J267" t="s">
        <v>794</v>
      </c>
      <c r="K267" t="s">
        <v>38</v>
      </c>
      <c r="L267" t="s">
        <v>38</v>
      </c>
      <c r="M267" t="s">
        <v>38</v>
      </c>
      <c r="N267" t="s">
        <v>38</v>
      </c>
      <c r="O267" t="s">
        <v>41</v>
      </c>
      <c r="P267" t="s">
        <v>42</v>
      </c>
      <c r="Q267" t="s">
        <v>43</v>
      </c>
      <c r="R267" t="s">
        <v>793</v>
      </c>
      <c r="S267" t="s">
        <v>286</v>
      </c>
      <c r="T267" t="s">
        <v>38</v>
      </c>
      <c r="U267" t="s">
        <v>38</v>
      </c>
      <c r="V267" t="s">
        <v>137</v>
      </c>
      <c r="W267" t="s">
        <v>38</v>
      </c>
      <c r="X267" t="s">
        <v>38</v>
      </c>
      <c r="Y267" t="s">
        <v>795</v>
      </c>
      <c r="Z267" t="s">
        <v>42</v>
      </c>
      <c r="AA267" t="s">
        <v>38</v>
      </c>
      <c r="AB267" t="s">
        <v>38</v>
      </c>
      <c r="AC267" t="s">
        <v>286</v>
      </c>
      <c r="AD267" t="s">
        <v>48</v>
      </c>
      <c r="AG267" t="str">
        <f>IF(AD267="United States", IFERROR(INDEX(Sheet2!$C:$C, MATCH(AE267&amp;AF267, Sheet2!$E:$E, 0)) &amp; ", " &amp; INDEX(Sheet2!$D:$D, MATCH(AE267&amp;AF267, Sheet2!$E:$E, 0)), ""), "-")</f>
        <v/>
      </c>
    </row>
    <row r="268" spans="1:33" x14ac:dyDescent="0.25">
      <c r="A268" t="s">
        <v>790</v>
      </c>
      <c r="B268" t="s">
        <v>802</v>
      </c>
      <c r="C268" t="s">
        <v>792</v>
      </c>
      <c r="D268" t="s">
        <v>803</v>
      </c>
      <c r="E268" t="s">
        <v>804</v>
      </c>
      <c r="F268">
        <v>1762</v>
      </c>
      <c r="G268">
        <v>330</v>
      </c>
      <c r="H268" t="s">
        <v>38</v>
      </c>
      <c r="I268" t="s">
        <v>39</v>
      </c>
      <c r="J268" t="s">
        <v>794</v>
      </c>
      <c r="K268" t="s">
        <v>38</v>
      </c>
      <c r="L268" t="s">
        <v>38</v>
      </c>
      <c r="M268" t="s">
        <v>38</v>
      </c>
      <c r="N268" t="s">
        <v>38</v>
      </c>
      <c r="O268" t="s">
        <v>57</v>
      </c>
      <c r="P268" t="s">
        <v>42</v>
      </c>
      <c r="Q268" t="s">
        <v>43</v>
      </c>
      <c r="R268" t="s">
        <v>805</v>
      </c>
      <c r="S268" t="s">
        <v>286</v>
      </c>
      <c r="T268" t="s">
        <v>38</v>
      </c>
      <c r="U268" t="s">
        <v>38</v>
      </c>
      <c r="V268" t="s">
        <v>137</v>
      </c>
      <c r="W268" t="s">
        <v>38</v>
      </c>
      <c r="X268" t="s">
        <v>38</v>
      </c>
      <c r="Y268" t="s">
        <v>795</v>
      </c>
      <c r="Z268" t="s">
        <v>42</v>
      </c>
      <c r="AA268" t="s">
        <v>38</v>
      </c>
      <c r="AB268" t="s">
        <v>38</v>
      </c>
      <c r="AC268" t="s">
        <v>286</v>
      </c>
      <c r="AD268" t="s">
        <v>48</v>
      </c>
      <c r="AG268" t="str">
        <f>IF(AD268="United States", IFERROR(INDEX(Sheet2!$C:$C, MATCH(AE268&amp;AF268, Sheet2!$E:$E, 0)) &amp; ", " &amp; INDEX(Sheet2!$D:$D, MATCH(AE268&amp;AF268, Sheet2!$E:$E, 0)), ""), "-")</f>
        <v/>
      </c>
    </row>
    <row r="269" spans="1:33" x14ac:dyDescent="0.25">
      <c r="A269" t="s">
        <v>790</v>
      </c>
      <c r="B269" t="s">
        <v>806</v>
      </c>
      <c r="C269" t="s">
        <v>792</v>
      </c>
      <c r="D269" t="s">
        <v>807</v>
      </c>
      <c r="E269" t="s">
        <v>808</v>
      </c>
      <c r="F269">
        <v>1765</v>
      </c>
      <c r="G269">
        <v>353</v>
      </c>
      <c r="H269" t="s">
        <v>38</v>
      </c>
      <c r="I269" t="s">
        <v>39</v>
      </c>
      <c r="J269" t="s">
        <v>794</v>
      </c>
      <c r="K269" t="s">
        <v>38</v>
      </c>
      <c r="L269" t="s">
        <v>38</v>
      </c>
      <c r="M269" t="s">
        <v>38</v>
      </c>
      <c r="N269" t="s">
        <v>38</v>
      </c>
      <c r="O269" t="s">
        <v>41</v>
      </c>
      <c r="P269" t="s">
        <v>42</v>
      </c>
      <c r="Q269" t="s">
        <v>43</v>
      </c>
      <c r="R269" t="s">
        <v>38</v>
      </c>
      <c r="S269" t="s">
        <v>38</v>
      </c>
      <c r="T269" t="s">
        <v>38</v>
      </c>
      <c r="U269" t="s">
        <v>38</v>
      </c>
      <c r="V269" t="s">
        <v>137</v>
      </c>
      <c r="W269" t="s">
        <v>38</v>
      </c>
      <c r="X269" t="s">
        <v>38</v>
      </c>
      <c r="Y269" t="s">
        <v>809</v>
      </c>
      <c r="Z269" t="s">
        <v>42</v>
      </c>
      <c r="AA269" t="s">
        <v>38</v>
      </c>
      <c r="AB269" t="s">
        <v>38</v>
      </c>
      <c r="AC269" t="s">
        <v>38</v>
      </c>
      <c r="AD269" t="s">
        <v>48</v>
      </c>
      <c r="AG269" t="str">
        <f>IF(AD269="United States", IFERROR(INDEX(Sheet2!$C:$C, MATCH(AE269&amp;AF269, Sheet2!$E:$E, 0)) &amp; ", " &amp; INDEX(Sheet2!$D:$D, MATCH(AE269&amp;AF269, Sheet2!$E:$E, 0)), ""), "-")</f>
        <v/>
      </c>
    </row>
    <row r="270" spans="1:33" x14ac:dyDescent="0.25">
      <c r="A270" t="s">
        <v>790</v>
      </c>
      <c r="B270" t="s">
        <v>810</v>
      </c>
      <c r="C270" t="s">
        <v>792</v>
      </c>
      <c r="D270" t="s">
        <v>150</v>
      </c>
      <c r="E270" t="s">
        <v>811</v>
      </c>
      <c r="F270">
        <v>1752</v>
      </c>
      <c r="G270">
        <v>354</v>
      </c>
      <c r="H270" t="s">
        <v>38</v>
      </c>
      <c r="I270" t="s">
        <v>39</v>
      </c>
      <c r="J270" t="s">
        <v>794</v>
      </c>
      <c r="K270" t="s">
        <v>38</v>
      </c>
      <c r="L270" t="s">
        <v>38</v>
      </c>
      <c r="M270" t="s">
        <v>38</v>
      </c>
      <c r="N270" t="s">
        <v>38</v>
      </c>
      <c r="O270" t="s">
        <v>41</v>
      </c>
      <c r="P270" t="s">
        <v>42</v>
      </c>
      <c r="Q270" t="s">
        <v>124</v>
      </c>
      <c r="R270" t="s">
        <v>812</v>
      </c>
      <c r="S270" t="s">
        <v>153</v>
      </c>
      <c r="T270" t="s">
        <v>38</v>
      </c>
      <c r="U270" t="s">
        <v>38</v>
      </c>
      <c r="V270" t="s">
        <v>137</v>
      </c>
      <c r="W270" t="s">
        <v>38</v>
      </c>
      <c r="X270" t="s">
        <v>38</v>
      </c>
      <c r="Y270" t="s">
        <v>813</v>
      </c>
      <c r="Z270" t="s">
        <v>42</v>
      </c>
      <c r="AA270" t="s">
        <v>38</v>
      </c>
      <c r="AB270" t="s">
        <v>38</v>
      </c>
      <c r="AC270" t="s">
        <v>153</v>
      </c>
      <c r="AD270" t="s">
        <v>48</v>
      </c>
      <c r="AG270" t="str">
        <f>IF(AD270="United States", IFERROR(INDEX(Sheet2!$C:$C, MATCH(AE270&amp;AF270, Sheet2!$E:$E, 0)) &amp; ", " &amp; INDEX(Sheet2!$D:$D, MATCH(AE270&amp;AF270, Sheet2!$E:$E, 0)), ""), "-")</f>
        <v/>
      </c>
    </row>
    <row r="271" spans="1:33" x14ac:dyDescent="0.25">
      <c r="A271" t="s">
        <v>790</v>
      </c>
      <c r="B271" t="s">
        <v>814</v>
      </c>
      <c r="C271" t="s">
        <v>792</v>
      </c>
      <c r="D271" t="s">
        <v>803</v>
      </c>
      <c r="E271" t="s">
        <v>164</v>
      </c>
      <c r="F271">
        <v>1752</v>
      </c>
      <c r="G271">
        <v>355</v>
      </c>
      <c r="H271" t="s">
        <v>38</v>
      </c>
      <c r="I271" t="s">
        <v>39</v>
      </c>
      <c r="J271" t="s">
        <v>794</v>
      </c>
      <c r="K271" t="s">
        <v>38</v>
      </c>
      <c r="L271" t="s">
        <v>38</v>
      </c>
      <c r="M271" t="s">
        <v>38</v>
      </c>
      <c r="N271" t="s">
        <v>38</v>
      </c>
      <c r="O271" t="s">
        <v>57</v>
      </c>
      <c r="P271" t="s">
        <v>42</v>
      </c>
      <c r="Q271" t="s">
        <v>43</v>
      </c>
      <c r="R271" t="s">
        <v>38</v>
      </c>
      <c r="S271" t="s">
        <v>38</v>
      </c>
      <c r="T271" t="s">
        <v>38</v>
      </c>
      <c r="U271" t="s">
        <v>38</v>
      </c>
      <c r="V271" t="s">
        <v>137</v>
      </c>
      <c r="W271" t="s">
        <v>38</v>
      </c>
      <c r="X271" t="s">
        <v>38</v>
      </c>
      <c r="Y271" t="s">
        <v>813</v>
      </c>
      <c r="Z271" t="s">
        <v>42</v>
      </c>
      <c r="AA271" t="s">
        <v>38</v>
      </c>
      <c r="AB271" t="s">
        <v>38</v>
      </c>
      <c r="AC271" t="s">
        <v>38</v>
      </c>
      <c r="AD271" t="s">
        <v>48</v>
      </c>
      <c r="AG271" t="str">
        <f>IF(AD271="United States", IFERROR(INDEX(Sheet2!$C:$C, MATCH(AE271&amp;AF271, Sheet2!$E:$E, 0)) &amp; ", " &amp; INDEX(Sheet2!$D:$D, MATCH(AE271&amp;AF271, Sheet2!$E:$E, 0)), ""), "-")</f>
        <v/>
      </c>
    </row>
    <row r="272" spans="1:33" x14ac:dyDescent="0.25">
      <c r="A272" t="s">
        <v>790</v>
      </c>
      <c r="B272" t="s">
        <v>815</v>
      </c>
      <c r="C272" t="s">
        <v>792</v>
      </c>
      <c r="D272" t="s">
        <v>62</v>
      </c>
      <c r="E272" t="s">
        <v>816</v>
      </c>
      <c r="F272">
        <v>1763</v>
      </c>
      <c r="G272">
        <v>356</v>
      </c>
      <c r="H272" t="s">
        <v>38</v>
      </c>
      <c r="I272" t="s">
        <v>39</v>
      </c>
      <c r="J272" t="s">
        <v>794</v>
      </c>
      <c r="K272" t="s">
        <v>38</v>
      </c>
      <c r="L272" t="s">
        <v>38</v>
      </c>
      <c r="M272" t="s">
        <v>38</v>
      </c>
      <c r="N272" t="s">
        <v>38</v>
      </c>
      <c r="O272" t="s">
        <v>41</v>
      </c>
      <c r="P272" t="s">
        <v>42</v>
      </c>
      <c r="Q272" t="s">
        <v>43</v>
      </c>
      <c r="R272" t="s">
        <v>38</v>
      </c>
      <c r="S272" t="s">
        <v>38</v>
      </c>
      <c r="T272" t="s">
        <v>38</v>
      </c>
      <c r="U272" t="s">
        <v>38</v>
      </c>
      <c r="V272" t="s">
        <v>137</v>
      </c>
      <c r="W272" t="s">
        <v>38</v>
      </c>
      <c r="X272" t="s">
        <v>38</v>
      </c>
      <c r="Y272" t="s">
        <v>813</v>
      </c>
      <c r="Z272" t="s">
        <v>42</v>
      </c>
      <c r="AA272" t="s">
        <v>38</v>
      </c>
      <c r="AB272" t="s">
        <v>38</v>
      </c>
      <c r="AC272" t="s">
        <v>38</v>
      </c>
      <c r="AD272" t="s">
        <v>48</v>
      </c>
      <c r="AG272" t="str">
        <f>IF(AD272="United States", IFERROR(INDEX(Sheet2!$C:$C, MATCH(AE272&amp;AF272, Sheet2!$E:$E, 0)) &amp; ", " &amp; INDEX(Sheet2!$D:$D, MATCH(AE272&amp;AF272, Sheet2!$E:$E, 0)), ""), "-")</f>
        <v/>
      </c>
    </row>
    <row r="273" spans="1:33" x14ac:dyDescent="0.25">
      <c r="A273" t="s">
        <v>790</v>
      </c>
      <c r="B273" t="s">
        <v>817</v>
      </c>
      <c r="C273" t="s">
        <v>792</v>
      </c>
      <c r="D273" t="s">
        <v>210</v>
      </c>
      <c r="E273" t="s">
        <v>818</v>
      </c>
      <c r="F273">
        <v>1768</v>
      </c>
      <c r="G273">
        <v>359</v>
      </c>
      <c r="H273" t="s">
        <v>38</v>
      </c>
      <c r="I273" t="s">
        <v>39</v>
      </c>
      <c r="J273" t="s">
        <v>794</v>
      </c>
      <c r="K273" t="s">
        <v>200</v>
      </c>
      <c r="L273" t="s">
        <v>818</v>
      </c>
      <c r="M273" t="s">
        <v>96</v>
      </c>
      <c r="N273" t="s">
        <v>164</v>
      </c>
      <c r="O273" t="s">
        <v>54</v>
      </c>
      <c r="P273" t="s">
        <v>42</v>
      </c>
      <c r="Q273" t="s">
        <v>43</v>
      </c>
      <c r="R273" t="s">
        <v>38</v>
      </c>
      <c r="S273" t="s">
        <v>38</v>
      </c>
      <c r="T273" t="s">
        <v>38</v>
      </c>
      <c r="U273" t="s">
        <v>38</v>
      </c>
      <c r="V273" t="s">
        <v>137</v>
      </c>
      <c r="W273" t="s">
        <v>38</v>
      </c>
      <c r="X273" t="s">
        <v>38</v>
      </c>
      <c r="Y273" t="s">
        <v>819</v>
      </c>
      <c r="Z273" t="s">
        <v>42</v>
      </c>
      <c r="AA273" t="s">
        <v>38</v>
      </c>
      <c r="AB273" t="s">
        <v>38</v>
      </c>
      <c r="AC273" t="s">
        <v>38</v>
      </c>
      <c r="AD273" t="s">
        <v>48</v>
      </c>
      <c r="AG273" t="str">
        <f>IF(AD273="United States", IFERROR(INDEX(Sheet2!$C:$C, MATCH(AE273&amp;AF273, Sheet2!$E:$E, 0)) &amp; ", " &amp; INDEX(Sheet2!$D:$D, MATCH(AE273&amp;AF273, Sheet2!$E:$E, 0)), ""), "-")</f>
        <v/>
      </c>
    </row>
    <row r="274" spans="1:33" x14ac:dyDescent="0.25">
      <c r="A274" t="s">
        <v>790</v>
      </c>
      <c r="B274" t="s">
        <v>820</v>
      </c>
      <c r="C274" t="s">
        <v>792</v>
      </c>
      <c r="D274" t="s">
        <v>96</v>
      </c>
      <c r="E274" t="s">
        <v>164</v>
      </c>
      <c r="F274">
        <v>1753</v>
      </c>
      <c r="G274">
        <v>358</v>
      </c>
      <c r="H274" t="s">
        <v>38</v>
      </c>
      <c r="I274" t="s">
        <v>39</v>
      </c>
      <c r="J274" t="s">
        <v>794</v>
      </c>
      <c r="K274" t="s">
        <v>38</v>
      </c>
      <c r="L274" t="s">
        <v>38</v>
      </c>
      <c r="M274" t="s">
        <v>38</v>
      </c>
      <c r="N274" t="s">
        <v>38</v>
      </c>
      <c r="O274" t="s">
        <v>57</v>
      </c>
      <c r="P274" t="s">
        <v>42</v>
      </c>
      <c r="Q274" t="s">
        <v>43</v>
      </c>
      <c r="R274" t="s">
        <v>38</v>
      </c>
      <c r="S274" t="s">
        <v>38</v>
      </c>
      <c r="T274" t="s">
        <v>38</v>
      </c>
      <c r="U274" t="s">
        <v>38</v>
      </c>
      <c r="V274" t="s">
        <v>137</v>
      </c>
      <c r="W274" t="s">
        <v>38</v>
      </c>
      <c r="X274" t="s">
        <v>38</v>
      </c>
      <c r="Y274" t="s">
        <v>821</v>
      </c>
      <c r="Z274" t="s">
        <v>42</v>
      </c>
      <c r="AA274" t="s">
        <v>38</v>
      </c>
      <c r="AB274" t="s">
        <v>38</v>
      </c>
      <c r="AC274" t="s">
        <v>38</v>
      </c>
      <c r="AD274" t="s">
        <v>48</v>
      </c>
      <c r="AG274" t="str">
        <f>IF(AD274="United States", IFERROR(INDEX(Sheet2!$C:$C, MATCH(AE274&amp;AF274, Sheet2!$E:$E, 0)) &amp; ", " &amp; INDEX(Sheet2!$D:$D, MATCH(AE274&amp;AF274, Sheet2!$E:$E, 0)), ""), "-")</f>
        <v/>
      </c>
    </row>
    <row r="275" spans="1:33" x14ac:dyDescent="0.25">
      <c r="A275" t="s">
        <v>790</v>
      </c>
      <c r="B275" t="s">
        <v>822</v>
      </c>
      <c r="C275" t="s">
        <v>792</v>
      </c>
      <c r="D275" t="s">
        <v>200</v>
      </c>
      <c r="E275" t="s">
        <v>818</v>
      </c>
      <c r="F275">
        <v>1750</v>
      </c>
      <c r="G275">
        <v>357</v>
      </c>
      <c r="H275" t="s">
        <v>38</v>
      </c>
      <c r="I275" t="s">
        <v>39</v>
      </c>
      <c r="J275" t="s">
        <v>794</v>
      </c>
      <c r="K275" t="s">
        <v>38</v>
      </c>
      <c r="L275" t="s">
        <v>38</v>
      </c>
      <c r="M275" t="s">
        <v>38</v>
      </c>
      <c r="N275" t="s">
        <v>38</v>
      </c>
      <c r="O275" t="s">
        <v>41</v>
      </c>
      <c r="P275" t="s">
        <v>42</v>
      </c>
      <c r="Q275" t="s">
        <v>43</v>
      </c>
      <c r="R275" t="s">
        <v>38</v>
      </c>
      <c r="S275" t="s">
        <v>38</v>
      </c>
      <c r="T275" t="s">
        <v>38</v>
      </c>
      <c r="U275" t="s">
        <v>38</v>
      </c>
      <c r="V275" t="s">
        <v>137</v>
      </c>
      <c r="W275" t="s">
        <v>38</v>
      </c>
      <c r="X275" t="s">
        <v>38</v>
      </c>
      <c r="Y275" t="s">
        <v>819</v>
      </c>
      <c r="Z275" t="s">
        <v>42</v>
      </c>
      <c r="AA275" t="s">
        <v>38</v>
      </c>
      <c r="AB275" t="s">
        <v>38</v>
      </c>
      <c r="AC275" t="s">
        <v>38</v>
      </c>
      <c r="AD275" t="s">
        <v>48</v>
      </c>
      <c r="AG275" t="str">
        <f>IF(AD275="United States", IFERROR(INDEX(Sheet2!$C:$C, MATCH(AE275&amp;AF275, Sheet2!$E:$E, 0)) &amp; ", " &amp; INDEX(Sheet2!$D:$D, MATCH(AE275&amp;AF275, Sheet2!$E:$E, 0)), ""), "-")</f>
        <v/>
      </c>
    </row>
    <row r="276" spans="1:33" x14ac:dyDescent="0.25">
      <c r="A276" t="s">
        <v>790</v>
      </c>
      <c r="B276" t="s">
        <v>823</v>
      </c>
      <c r="C276" t="s">
        <v>792</v>
      </c>
      <c r="D276" t="s">
        <v>824</v>
      </c>
      <c r="E276" t="s">
        <v>728</v>
      </c>
      <c r="F276">
        <v>1757</v>
      </c>
      <c r="G276">
        <v>352</v>
      </c>
      <c r="H276" t="s">
        <v>38</v>
      </c>
      <c r="I276" t="s">
        <v>39</v>
      </c>
      <c r="J276" t="s">
        <v>794</v>
      </c>
      <c r="K276" t="s">
        <v>38</v>
      </c>
      <c r="L276" t="s">
        <v>38</v>
      </c>
      <c r="M276" t="s">
        <v>38</v>
      </c>
      <c r="N276" t="s">
        <v>38</v>
      </c>
      <c r="O276" t="s">
        <v>41</v>
      </c>
      <c r="P276" t="s">
        <v>42</v>
      </c>
      <c r="Q276" t="s">
        <v>43</v>
      </c>
      <c r="R276" t="s">
        <v>825</v>
      </c>
      <c r="S276" t="s">
        <v>45</v>
      </c>
      <c r="T276" t="s">
        <v>38</v>
      </c>
      <c r="U276" t="s">
        <v>38</v>
      </c>
      <c r="V276" t="s">
        <v>137</v>
      </c>
      <c r="W276" t="s">
        <v>38</v>
      </c>
      <c r="X276" t="s">
        <v>38</v>
      </c>
      <c r="Y276" t="s">
        <v>809</v>
      </c>
      <c r="Z276" t="s">
        <v>42</v>
      </c>
      <c r="AA276" t="s">
        <v>825</v>
      </c>
      <c r="AB276" t="s">
        <v>38</v>
      </c>
      <c r="AC276" t="s">
        <v>45</v>
      </c>
      <c r="AD276" t="s">
        <v>48</v>
      </c>
      <c r="AG276" t="str">
        <f>IF(AD276="United States", IFERROR(INDEX(Sheet2!$C:$C, MATCH(AE276&amp;AF276, Sheet2!$E:$E, 0)) &amp; ", " &amp; INDEX(Sheet2!$D:$D, MATCH(AE276&amp;AF276, Sheet2!$E:$E, 0)), ""), "-")</f>
        <v/>
      </c>
    </row>
    <row r="277" spans="1:33" x14ac:dyDescent="0.25">
      <c r="A277" t="s">
        <v>790</v>
      </c>
      <c r="B277" t="s">
        <v>826</v>
      </c>
      <c r="C277" t="s">
        <v>792</v>
      </c>
      <c r="D277" t="s">
        <v>195</v>
      </c>
      <c r="E277" t="s">
        <v>651</v>
      </c>
      <c r="F277">
        <v>1736</v>
      </c>
      <c r="G277">
        <v>332</v>
      </c>
      <c r="H277" t="s">
        <v>38</v>
      </c>
      <c r="I277" t="s">
        <v>39</v>
      </c>
      <c r="J277" t="s">
        <v>794</v>
      </c>
      <c r="K277" t="s">
        <v>38</v>
      </c>
      <c r="L277" t="s">
        <v>38</v>
      </c>
      <c r="M277" t="s">
        <v>38</v>
      </c>
      <c r="N277" t="s">
        <v>38</v>
      </c>
      <c r="O277" t="s">
        <v>41</v>
      </c>
      <c r="P277" t="s">
        <v>42</v>
      </c>
      <c r="Q277" t="s">
        <v>43</v>
      </c>
      <c r="R277" t="s">
        <v>241</v>
      </c>
      <c r="S277" t="s">
        <v>45</v>
      </c>
      <c r="T277" t="s">
        <v>38</v>
      </c>
      <c r="U277" t="s">
        <v>38</v>
      </c>
      <c r="V277" t="s">
        <v>137</v>
      </c>
      <c r="W277" t="s">
        <v>38</v>
      </c>
      <c r="X277" t="s">
        <v>38</v>
      </c>
      <c r="Y277" t="s">
        <v>827</v>
      </c>
      <c r="Z277" t="s">
        <v>42</v>
      </c>
      <c r="AA277" t="s">
        <v>241</v>
      </c>
      <c r="AB277" t="s">
        <v>38</v>
      </c>
      <c r="AC277" t="s">
        <v>45</v>
      </c>
      <c r="AD277" t="s">
        <v>48</v>
      </c>
      <c r="AG277" t="str">
        <f>IF(AD277="United States", IFERROR(INDEX(Sheet2!$C:$C, MATCH(AE277&amp;AF277, Sheet2!$E:$E, 0)) &amp; ", " &amp; INDEX(Sheet2!$D:$D, MATCH(AE277&amp;AF277, Sheet2!$E:$E, 0)), ""), "-")</f>
        <v/>
      </c>
    </row>
    <row r="278" spans="1:33" x14ac:dyDescent="0.25">
      <c r="A278" t="s">
        <v>790</v>
      </c>
      <c r="B278" t="s">
        <v>828</v>
      </c>
      <c r="C278" t="s">
        <v>792</v>
      </c>
      <c r="D278" t="s">
        <v>807</v>
      </c>
      <c r="E278" t="s">
        <v>808</v>
      </c>
      <c r="F278">
        <v>1765</v>
      </c>
      <c r="G278">
        <v>342</v>
      </c>
      <c r="H278" t="s">
        <v>38</v>
      </c>
      <c r="I278" t="s">
        <v>39</v>
      </c>
      <c r="J278" t="s">
        <v>794</v>
      </c>
      <c r="K278" t="s">
        <v>38</v>
      </c>
      <c r="L278" t="s">
        <v>38</v>
      </c>
      <c r="M278" t="s">
        <v>38</v>
      </c>
      <c r="N278" t="s">
        <v>38</v>
      </c>
      <c r="O278" t="s">
        <v>41</v>
      </c>
      <c r="P278" t="s">
        <v>42</v>
      </c>
      <c r="Q278" t="s">
        <v>43</v>
      </c>
      <c r="R278" t="s">
        <v>38</v>
      </c>
      <c r="S278" t="s">
        <v>38</v>
      </c>
      <c r="T278" t="s">
        <v>38</v>
      </c>
      <c r="U278" t="s">
        <v>38</v>
      </c>
      <c r="V278" t="s">
        <v>137</v>
      </c>
      <c r="W278" t="s">
        <v>38</v>
      </c>
      <c r="X278" t="s">
        <v>38</v>
      </c>
      <c r="Y278" t="s">
        <v>809</v>
      </c>
      <c r="Z278" t="s">
        <v>42</v>
      </c>
      <c r="AA278" t="s">
        <v>829</v>
      </c>
      <c r="AB278" t="s">
        <v>38</v>
      </c>
      <c r="AC278" t="s">
        <v>673</v>
      </c>
      <c r="AD278" t="s">
        <v>48</v>
      </c>
      <c r="AG278" t="str">
        <f>IF(AD278="United States", IFERROR(INDEX(Sheet2!$C:$C, MATCH(AE278&amp;AF278, Sheet2!$E:$E, 0)) &amp; ", " &amp; INDEX(Sheet2!$D:$D, MATCH(AE278&amp;AF278, Sheet2!$E:$E, 0)), ""), "-")</f>
        <v/>
      </c>
    </row>
    <row r="279" spans="1:33" x14ac:dyDescent="0.25">
      <c r="A279" t="s">
        <v>790</v>
      </c>
      <c r="B279" t="s">
        <v>830</v>
      </c>
      <c r="C279" t="s">
        <v>792</v>
      </c>
      <c r="D279" t="s">
        <v>210</v>
      </c>
      <c r="E279" t="s">
        <v>831</v>
      </c>
      <c r="F279">
        <v>1757</v>
      </c>
      <c r="G279">
        <v>350</v>
      </c>
      <c r="H279" t="s">
        <v>38</v>
      </c>
      <c r="I279" t="s">
        <v>39</v>
      </c>
      <c r="J279" t="s">
        <v>794</v>
      </c>
      <c r="K279" t="s">
        <v>38</v>
      </c>
      <c r="L279" t="s">
        <v>38</v>
      </c>
      <c r="M279" t="s">
        <v>38</v>
      </c>
      <c r="N279" t="s">
        <v>38</v>
      </c>
      <c r="O279" t="s">
        <v>41</v>
      </c>
      <c r="P279" t="s">
        <v>42</v>
      </c>
      <c r="Q279" t="s">
        <v>43</v>
      </c>
      <c r="R279" t="s">
        <v>38</v>
      </c>
      <c r="S279" t="s">
        <v>38</v>
      </c>
      <c r="T279" t="s">
        <v>38</v>
      </c>
      <c r="U279" t="s">
        <v>38</v>
      </c>
      <c r="V279" t="s">
        <v>137</v>
      </c>
      <c r="W279" t="s">
        <v>38</v>
      </c>
      <c r="X279" t="s">
        <v>38</v>
      </c>
      <c r="Y279" t="s">
        <v>832</v>
      </c>
      <c r="Z279" t="s">
        <v>42</v>
      </c>
      <c r="AA279" t="s">
        <v>38</v>
      </c>
      <c r="AB279" t="s">
        <v>38</v>
      </c>
      <c r="AC279" t="s">
        <v>672</v>
      </c>
      <c r="AD279" t="s">
        <v>672</v>
      </c>
      <c r="AG279" t="str">
        <f>IF(AD279="United States", IFERROR(INDEX(Sheet2!$C:$C, MATCH(AE279&amp;AF279, Sheet2!$E:$E, 0)) &amp; ", " &amp; INDEX(Sheet2!$D:$D, MATCH(AE279&amp;AF279, Sheet2!$E:$E, 0)), ""), "18.1850507, -77.3947693")</f>
        <v>18.1850507, -77.3947693</v>
      </c>
    </row>
    <row r="280" spans="1:33" x14ac:dyDescent="0.25">
      <c r="A280" t="s">
        <v>790</v>
      </c>
      <c r="B280" t="s">
        <v>833</v>
      </c>
      <c r="C280" t="s">
        <v>792</v>
      </c>
      <c r="D280" t="s">
        <v>834</v>
      </c>
      <c r="E280" t="s">
        <v>798</v>
      </c>
      <c r="F280">
        <v>1750</v>
      </c>
      <c r="G280">
        <v>325</v>
      </c>
      <c r="H280" t="s">
        <v>38</v>
      </c>
      <c r="I280" t="s">
        <v>39</v>
      </c>
      <c r="J280" t="s">
        <v>794</v>
      </c>
      <c r="K280" t="s">
        <v>38</v>
      </c>
      <c r="L280" t="s">
        <v>38</v>
      </c>
      <c r="M280" t="s">
        <v>835</v>
      </c>
      <c r="N280" t="s">
        <v>164</v>
      </c>
      <c r="O280" t="s">
        <v>57</v>
      </c>
      <c r="P280" t="s">
        <v>42</v>
      </c>
      <c r="Q280" t="s">
        <v>43</v>
      </c>
      <c r="R280" t="s">
        <v>38</v>
      </c>
      <c r="S280" t="s">
        <v>38</v>
      </c>
      <c r="T280" t="s">
        <v>38</v>
      </c>
      <c r="U280" t="s">
        <v>38</v>
      </c>
      <c r="V280" t="s">
        <v>137</v>
      </c>
      <c r="W280" t="s">
        <v>38</v>
      </c>
      <c r="X280" t="s">
        <v>38</v>
      </c>
      <c r="Y280" t="s">
        <v>795</v>
      </c>
      <c r="Z280" t="s">
        <v>42</v>
      </c>
      <c r="AA280" t="s">
        <v>38</v>
      </c>
      <c r="AB280" t="s">
        <v>38</v>
      </c>
      <c r="AC280" t="s">
        <v>38</v>
      </c>
      <c r="AD280" t="s">
        <v>48</v>
      </c>
      <c r="AG280" t="str">
        <f>IF(AD280="United States", IFERROR(INDEX(Sheet2!$C:$C, MATCH(AE280&amp;AF280, Sheet2!$E:$E, 0)) &amp; ", " &amp; INDEX(Sheet2!$D:$D, MATCH(AE280&amp;AF280, Sheet2!$E:$E, 0)), ""), "-")</f>
        <v/>
      </c>
    </row>
    <row r="281" spans="1:33" x14ac:dyDescent="0.25">
      <c r="A281" t="s">
        <v>790</v>
      </c>
      <c r="B281" t="s">
        <v>836</v>
      </c>
      <c r="C281" t="s">
        <v>792</v>
      </c>
      <c r="D281" t="s">
        <v>837</v>
      </c>
      <c r="E281" t="s">
        <v>651</v>
      </c>
      <c r="F281">
        <v>1770</v>
      </c>
      <c r="G281">
        <v>335</v>
      </c>
      <c r="H281" t="s">
        <v>38</v>
      </c>
      <c r="I281" t="s">
        <v>39</v>
      </c>
      <c r="J281" t="s">
        <v>794</v>
      </c>
      <c r="K281" t="s">
        <v>38</v>
      </c>
      <c r="L281" t="s">
        <v>38</v>
      </c>
      <c r="M281" t="s">
        <v>38</v>
      </c>
      <c r="N281" t="s">
        <v>38</v>
      </c>
      <c r="O281" t="s">
        <v>54</v>
      </c>
      <c r="P281" t="s">
        <v>125</v>
      </c>
      <c r="Q281" t="s">
        <v>124</v>
      </c>
      <c r="R281" t="s">
        <v>241</v>
      </c>
      <c r="S281" t="s">
        <v>45</v>
      </c>
      <c r="T281" t="s">
        <v>38</v>
      </c>
      <c r="U281" t="s">
        <v>38</v>
      </c>
      <c r="V281" t="s">
        <v>137</v>
      </c>
      <c r="W281" t="s">
        <v>38</v>
      </c>
      <c r="X281" t="s">
        <v>38</v>
      </c>
      <c r="Y281" t="s">
        <v>827</v>
      </c>
      <c r="Z281" t="s">
        <v>125</v>
      </c>
      <c r="AA281" t="s">
        <v>241</v>
      </c>
      <c r="AB281" t="s">
        <v>38</v>
      </c>
      <c r="AC281" t="s">
        <v>45</v>
      </c>
      <c r="AD281" t="s">
        <v>48</v>
      </c>
      <c r="AG281" t="str">
        <f>IF(AD281="United States", IFERROR(INDEX(Sheet2!$C:$C, MATCH(AE281&amp;AF281, Sheet2!$E:$E, 0)) &amp; ", " &amp; INDEX(Sheet2!$D:$D, MATCH(AE281&amp;AF281, Sheet2!$E:$E, 0)), ""), "-")</f>
        <v/>
      </c>
    </row>
    <row r="282" spans="1:33" x14ac:dyDescent="0.25">
      <c r="A282" t="s">
        <v>790</v>
      </c>
      <c r="B282" t="s">
        <v>838</v>
      </c>
      <c r="C282" t="s">
        <v>792</v>
      </c>
      <c r="D282" t="s">
        <v>177</v>
      </c>
      <c r="E282" t="s">
        <v>651</v>
      </c>
      <c r="F282">
        <v>1771</v>
      </c>
      <c r="G282">
        <v>336</v>
      </c>
      <c r="H282" t="s">
        <v>38</v>
      </c>
      <c r="I282" t="s">
        <v>39</v>
      </c>
      <c r="J282" t="s">
        <v>794</v>
      </c>
      <c r="K282" t="s">
        <v>38</v>
      </c>
      <c r="L282" t="s">
        <v>38</v>
      </c>
      <c r="M282" t="s">
        <v>38</v>
      </c>
      <c r="N282" t="s">
        <v>38</v>
      </c>
      <c r="O282" t="s">
        <v>54</v>
      </c>
      <c r="P282" t="s">
        <v>125</v>
      </c>
      <c r="Q282" t="s">
        <v>124</v>
      </c>
      <c r="R282" t="s">
        <v>241</v>
      </c>
      <c r="S282" t="s">
        <v>45</v>
      </c>
      <c r="T282" t="s">
        <v>38</v>
      </c>
      <c r="U282" t="s">
        <v>38</v>
      </c>
      <c r="V282" t="s">
        <v>137</v>
      </c>
      <c r="W282" t="s">
        <v>38</v>
      </c>
      <c r="X282" t="s">
        <v>38</v>
      </c>
      <c r="Y282" t="s">
        <v>827</v>
      </c>
      <c r="Z282" t="s">
        <v>125</v>
      </c>
      <c r="AA282" t="s">
        <v>241</v>
      </c>
      <c r="AB282" t="s">
        <v>38</v>
      </c>
      <c r="AC282" t="s">
        <v>45</v>
      </c>
      <c r="AD282" t="s">
        <v>48</v>
      </c>
      <c r="AG282" t="str">
        <f>IF(AD282="United States", IFERROR(INDEX(Sheet2!$C:$C, MATCH(AE282&amp;AF282, Sheet2!$E:$E, 0)) &amp; ", " &amp; INDEX(Sheet2!$D:$D, MATCH(AE282&amp;AF282, Sheet2!$E:$E, 0)), ""), "-")</f>
        <v/>
      </c>
    </row>
    <row r="283" spans="1:33" x14ac:dyDescent="0.25">
      <c r="A283" t="s">
        <v>790</v>
      </c>
      <c r="B283" t="s">
        <v>839</v>
      </c>
      <c r="C283" t="s">
        <v>792</v>
      </c>
      <c r="D283" t="s">
        <v>840</v>
      </c>
      <c r="E283" t="s">
        <v>651</v>
      </c>
      <c r="F283">
        <v>1773</v>
      </c>
      <c r="G283">
        <v>337</v>
      </c>
      <c r="H283" t="s">
        <v>38</v>
      </c>
      <c r="I283" t="s">
        <v>39</v>
      </c>
      <c r="J283" t="s">
        <v>794</v>
      </c>
      <c r="K283" t="s">
        <v>38</v>
      </c>
      <c r="L283" t="s">
        <v>38</v>
      </c>
      <c r="M283" t="s">
        <v>38</v>
      </c>
      <c r="N283" t="s">
        <v>38</v>
      </c>
      <c r="O283" t="s">
        <v>74</v>
      </c>
      <c r="P283" t="s">
        <v>125</v>
      </c>
      <c r="Q283" t="s">
        <v>124</v>
      </c>
      <c r="R283" t="s">
        <v>241</v>
      </c>
      <c r="S283" t="s">
        <v>45</v>
      </c>
      <c r="T283" t="s">
        <v>38</v>
      </c>
      <c r="U283" t="s">
        <v>38</v>
      </c>
      <c r="V283" t="s">
        <v>137</v>
      </c>
      <c r="W283" t="s">
        <v>38</v>
      </c>
      <c r="X283" t="s">
        <v>38</v>
      </c>
      <c r="Y283" t="s">
        <v>827</v>
      </c>
      <c r="Z283" t="s">
        <v>125</v>
      </c>
      <c r="AA283" t="s">
        <v>241</v>
      </c>
      <c r="AB283" t="s">
        <v>38</v>
      </c>
      <c r="AC283" t="s">
        <v>45</v>
      </c>
      <c r="AD283" t="s">
        <v>48</v>
      </c>
      <c r="AG283" t="str">
        <f>IF(AD283="United States", IFERROR(INDEX(Sheet2!$C:$C, MATCH(AE283&amp;AF283, Sheet2!$E:$E, 0)) &amp; ", " &amp; INDEX(Sheet2!$D:$D, MATCH(AE283&amp;AF283, Sheet2!$E:$E, 0)), ""), "-")</f>
        <v/>
      </c>
    </row>
    <row r="284" spans="1:33" x14ac:dyDescent="0.25">
      <c r="A284" t="s">
        <v>790</v>
      </c>
      <c r="B284" t="s">
        <v>841</v>
      </c>
      <c r="C284" t="s">
        <v>792</v>
      </c>
      <c r="D284" t="s">
        <v>50</v>
      </c>
      <c r="E284" t="s">
        <v>651</v>
      </c>
      <c r="F284">
        <v>1779</v>
      </c>
      <c r="G284">
        <v>338</v>
      </c>
      <c r="H284" t="s">
        <v>38</v>
      </c>
      <c r="I284" t="s">
        <v>39</v>
      </c>
      <c r="J284" t="s">
        <v>794</v>
      </c>
      <c r="K284" t="s">
        <v>38</v>
      </c>
      <c r="L284" t="s">
        <v>38</v>
      </c>
      <c r="M284" t="s">
        <v>38</v>
      </c>
      <c r="N284" t="s">
        <v>38</v>
      </c>
      <c r="O284" t="s">
        <v>74</v>
      </c>
      <c r="P284" t="s">
        <v>125</v>
      </c>
      <c r="Q284" t="s">
        <v>124</v>
      </c>
      <c r="R284" t="s">
        <v>241</v>
      </c>
      <c r="S284" t="s">
        <v>45</v>
      </c>
      <c r="T284" t="s">
        <v>38</v>
      </c>
      <c r="U284" t="s">
        <v>38</v>
      </c>
      <c r="V284" t="s">
        <v>137</v>
      </c>
      <c r="W284" t="s">
        <v>38</v>
      </c>
      <c r="X284" t="s">
        <v>38</v>
      </c>
      <c r="Y284" t="s">
        <v>827</v>
      </c>
      <c r="Z284" t="s">
        <v>125</v>
      </c>
      <c r="AA284" t="s">
        <v>241</v>
      </c>
      <c r="AB284" t="s">
        <v>38</v>
      </c>
      <c r="AC284" t="s">
        <v>45</v>
      </c>
      <c r="AD284" t="s">
        <v>48</v>
      </c>
      <c r="AG284" t="str">
        <f>IF(AD284="United States", IFERROR(INDEX(Sheet2!$C:$C, MATCH(AE284&amp;AF284, Sheet2!$E:$E, 0)) &amp; ", " &amp; INDEX(Sheet2!$D:$D, MATCH(AE284&amp;AF284, Sheet2!$E:$E, 0)), ""), "-")</f>
        <v/>
      </c>
    </row>
    <row r="285" spans="1:33" x14ac:dyDescent="0.25">
      <c r="A285" t="s">
        <v>790</v>
      </c>
      <c r="B285" t="s">
        <v>842</v>
      </c>
      <c r="C285" t="s">
        <v>792</v>
      </c>
      <c r="D285" t="s">
        <v>334</v>
      </c>
      <c r="E285" t="s">
        <v>843</v>
      </c>
      <c r="F285">
        <v>1753</v>
      </c>
      <c r="G285">
        <v>339</v>
      </c>
      <c r="H285" t="s">
        <v>38</v>
      </c>
      <c r="I285" t="s">
        <v>39</v>
      </c>
      <c r="J285" t="s">
        <v>794</v>
      </c>
      <c r="K285" t="s">
        <v>38</v>
      </c>
      <c r="L285" t="s">
        <v>38</v>
      </c>
      <c r="M285" t="s">
        <v>38</v>
      </c>
      <c r="N285" t="s">
        <v>38</v>
      </c>
      <c r="O285" t="s">
        <v>41</v>
      </c>
      <c r="P285" t="s">
        <v>42</v>
      </c>
      <c r="Q285" t="s">
        <v>43</v>
      </c>
      <c r="R285" t="s">
        <v>38</v>
      </c>
      <c r="S285" t="s">
        <v>38</v>
      </c>
      <c r="T285" t="s">
        <v>38</v>
      </c>
      <c r="U285" t="s">
        <v>38</v>
      </c>
      <c r="V285" t="s">
        <v>137</v>
      </c>
      <c r="W285" t="s">
        <v>38</v>
      </c>
      <c r="X285" t="s">
        <v>38</v>
      </c>
      <c r="Y285" t="s">
        <v>844</v>
      </c>
      <c r="Z285" t="s">
        <v>42</v>
      </c>
      <c r="AA285" t="s">
        <v>845</v>
      </c>
      <c r="AB285" t="s">
        <v>846</v>
      </c>
      <c r="AC285" t="s">
        <v>562</v>
      </c>
      <c r="AD285" t="s">
        <v>48</v>
      </c>
      <c r="AG285" t="str">
        <f>IF(AD285="United States", IFERROR(INDEX(Sheet2!$C:$C, MATCH(AE285&amp;AF285, Sheet2!$E:$E, 0)) &amp; ", " &amp; INDEX(Sheet2!$D:$D, MATCH(AE285&amp;AF285, Sheet2!$E:$E, 0)), ""), "-")</f>
        <v/>
      </c>
    </row>
    <row r="286" spans="1:33" x14ac:dyDescent="0.25">
      <c r="A286" t="s">
        <v>790</v>
      </c>
      <c r="B286" t="s">
        <v>847</v>
      </c>
      <c r="C286" t="s">
        <v>792</v>
      </c>
      <c r="D286" t="s">
        <v>101</v>
      </c>
      <c r="E286" t="s">
        <v>848</v>
      </c>
      <c r="F286">
        <v>1756</v>
      </c>
      <c r="G286">
        <v>340</v>
      </c>
      <c r="H286" t="s">
        <v>38</v>
      </c>
      <c r="I286" t="s">
        <v>39</v>
      </c>
      <c r="J286" t="s">
        <v>794</v>
      </c>
      <c r="K286" t="s">
        <v>38</v>
      </c>
      <c r="L286" t="s">
        <v>38</v>
      </c>
      <c r="M286" t="s">
        <v>38</v>
      </c>
      <c r="N286" t="s">
        <v>38</v>
      </c>
      <c r="O286" t="s">
        <v>41</v>
      </c>
      <c r="P286" t="s">
        <v>125</v>
      </c>
      <c r="Q286" t="s">
        <v>124</v>
      </c>
      <c r="R286" t="s">
        <v>38</v>
      </c>
      <c r="S286" t="s">
        <v>38</v>
      </c>
      <c r="T286" t="s">
        <v>38</v>
      </c>
      <c r="U286" t="s">
        <v>38</v>
      </c>
      <c r="V286" t="s">
        <v>137</v>
      </c>
      <c r="W286" t="s">
        <v>38</v>
      </c>
      <c r="X286" t="s">
        <v>38</v>
      </c>
      <c r="Y286" t="s">
        <v>849</v>
      </c>
      <c r="Z286" t="s">
        <v>125</v>
      </c>
      <c r="AA286" t="s">
        <v>38</v>
      </c>
      <c r="AB286" t="s">
        <v>38</v>
      </c>
      <c r="AC286" t="s">
        <v>850</v>
      </c>
      <c r="AD286" t="s">
        <v>48</v>
      </c>
      <c r="AG286" t="str">
        <f>IF(AD286="United States", IFERROR(INDEX(Sheet2!$C:$C, MATCH(AE286&amp;AF286, Sheet2!$E:$E, 0)) &amp; ", " &amp; INDEX(Sheet2!$D:$D, MATCH(AE286&amp;AF286, Sheet2!$E:$E, 0)), ""), "-")</f>
        <v/>
      </c>
    </row>
    <row r="287" spans="1:33" x14ac:dyDescent="0.25">
      <c r="A287" t="s">
        <v>790</v>
      </c>
      <c r="B287" t="s">
        <v>851</v>
      </c>
      <c r="C287" t="s">
        <v>792</v>
      </c>
      <c r="D287" t="s">
        <v>245</v>
      </c>
      <c r="E287" t="s">
        <v>852</v>
      </c>
      <c r="F287">
        <v>1762</v>
      </c>
      <c r="G287">
        <v>351</v>
      </c>
      <c r="H287" t="s">
        <v>38</v>
      </c>
      <c r="I287" t="s">
        <v>39</v>
      </c>
      <c r="J287" t="s">
        <v>794</v>
      </c>
      <c r="K287" t="s">
        <v>38</v>
      </c>
      <c r="L287" t="s">
        <v>38</v>
      </c>
      <c r="M287" t="s">
        <v>162</v>
      </c>
      <c r="N287" t="s">
        <v>38</v>
      </c>
      <c r="O287" t="s">
        <v>57</v>
      </c>
      <c r="P287" t="s">
        <v>42</v>
      </c>
      <c r="Q287" t="s">
        <v>43</v>
      </c>
      <c r="R287" t="s">
        <v>38</v>
      </c>
      <c r="S287" t="s">
        <v>38</v>
      </c>
      <c r="T287" t="s">
        <v>38</v>
      </c>
      <c r="U287" t="s">
        <v>38</v>
      </c>
      <c r="V287" t="s">
        <v>137</v>
      </c>
      <c r="W287" t="s">
        <v>38</v>
      </c>
      <c r="X287" t="s">
        <v>38</v>
      </c>
      <c r="Y287" t="s">
        <v>832</v>
      </c>
      <c r="Z287" t="s">
        <v>42</v>
      </c>
      <c r="AA287" t="s">
        <v>233</v>
      </c>
      <c r="AB287" t="s">
        <v>38</v>
      </c>
      <c r="AC287" t="s">
        <v>556</v>
      </c>
      <c r="AD287" t="s">
        <v>48</v>
      </c>
      <c r="AG287" t="str">
        <f>IF(AD287="United States", IFERROR(INDEX(Sheet2!$C:$C, MATCH(AE287&amp;AF287, Sheet2!$E:$E, 0)) &amp; ", " &amp; INDEX(Sheet2!$D:$D, MATCH(AE287&amp;AF287, Sheet2!$E:$E, 0)), ""), "-")</f>
        <v/>
      </c>
    </row>
    <row r="288" spans="1:33" x14ac:dyDescent="0.25">
      <c r="A288" t="s">
        <v>790</v>
      </c>
      <c r="B288" t="s">
        <v>853</v>
      </c>
      <c r="C288" t="s">
        <v>792</v>
      </c>
      <c r="D288" t="s">
        <v>854</v>
      </c>
      <c r="E288" t="s">
        <v>728</v>
      </c>
      <c r="F288">
        <v>1760</v>
      </c>
      <c r="G288">
        <v>341</v>
      </c>
      <c r="H288" t="s">
        <v>38</v>
      </c>
      <c r="I288" t="s">
        <v>39</v>
      </c>
      <c r="J288" t="s">
        <v>794</v>
      </c>
      <c r="K288" t="s">
        <v>38</v>
      </c>
      <c r="L288" t="s">
        <v>38</v>
      </c>
      <c r="M288" t="s">
        <v>38</v>
      </c>
      <c r="N288" t="s">
        <v>38</v>
      </c>
      <c r="O288" t="s">
        <v>41</v>
      </c>
      <c r="P288" t="s">
        <v>42</v>
      </c>
      <c r="Q288" t="s">
        <v>43</v>
      </c>
      <c r="R288" t="s">
        <v>855</v>
      </c>
      <c r="S288" t="s">
        <v>45</v>
      </c>
      <c r="T288" t="s">
        <v>38</v>
      </c>
      <c r="U288" t="s">
        <v>38</v>
      </c>
      <c r="V288" t="s">
        <v>137</v>
      </c>
      <c r="W288" t="s">
        <v>38</v>
      </c>
      <c r="X288" t="s">
        <v>38</v>
      </c>
      <c r="Y288" t="s">
        <v>827</v>
      </c>
      <c r="Z288" t="s">
        <v>42</v>
      </c>
      <c r="AA288" t="s">
        <v>856</v>
      </c>
      <c r="AB288" t="s">
        <v>855</v>
      </c>
      <c r="AC288" t="s">
        <v>45</v>
      </c>
      <c r="AD288" t="s">
        <v>48</v>
      </c>
      <c r="AG288" t="str">
        <f>IF(AD288="United States", IFERROR(INDEX(Sheet2!$C:$C, MATCH(AE288&amp;AF288, Sheet2!$E:$E, 0)) &amp; ", " &amp; INDEX(Sheet2!$D:$D, MATCH(AE288&amp;AF288, Sheet2!$E:$E, 0)), ""), "-")</f>
        <v/>
      </c>
    </row>
    <row r="289" spans="1:33" x14ac:dyDescent="0.25">
      <c r="A289" t="s">
        <v>790</v>
      </c>
      <c r="B289" t="s">
        <v>857</v>
      </c>
      <c r="C289" t="s">
        <v>792</v>
      </c>
      <c r="D289" t="s">
        <v>858</v>
      </c>
      <c r="E289" t="s">
        <v>859</v>
      </c>
      <c r="F289">
        <v>1758</v>
      </c>
      <c r="G289">
        <v>343</v>
      </c>
      <c r="H289" t="s">
        <v>38</v>
      </c>
      <c r="I289" t="s">
        <v>39</v>
      </c>
      <c r="J289" t="s">
        <v>794</v>
      </c>
      <c r="K289" t="s">
        <v>38</v>
      </c>
      <c r="L289" t="s">
        <v>38</v>
      </c>
      <c r="M289" t="s">
        <v>38</v>
      </c>
      <c r="N289" t="s">
        <v>38</v>
      </c>
      <c r="O289" t="s">
        <v>57</v>
      </c>
      <c r="P289" t="s">
        <v>125</v>
      </c>
      <c r="Q289" t="s">
        <v>124</v>
      </c>
      <c r="R289" t="s">
        <v>241</v>
      </c>
      <c r="S289" t="s">
        <v>45</v>
      </c>
      <c r="T289" t="s">
        <v>38</v>
      </c>
      <c r="U289" t="s">
        <v>38</v>
      </c>
      <c r="V289" t="s">
        <v>137</v>
      </c>
      <c r="W289" t="s">
        <v>38</v>
      </c>
      <c r="X289" t="s">
        <v>38</v>
      </c>
      <c r="Y289" t="s">
        <v>860</v>
      </c>
      <c r="Z289" t="s">
        <v>125</v>
      </c>
      <c r="AA289" t="s">
        <v>861</v>
      </c>
      <c r="AB289" t="s">
        <v>241</v>
      </c>
      <c r="AC289" t="s">
        <v>45</v>
      </c>
      <c r="AD289" t="s">
        <v>48</v>
      </c>
      <c r="AG289" t="str">
        <f>IF(AD289="United States", IFERROR(INDEX(Sheet2!$C:$C, MATCH(AE289&amp;AF289, Sheet2!$E:$E, 0)) &amp; ", " &amp; INDEX(Sheet2!$D:$D, MATCH(AE289&amp;AF289, Sheet2!$E:$E, 0)), ""), "-")</f>
        <v/>
      </c>
    </row>
    <row r="290" spans="1:33" x14ac:dyDescent="0.25">
      <c r="A290" t="s">
        <v>790</v>
      </c>
      <c r="B290" t="s">
        <v>862</v>
      </c>
      <c r="C290" t="s">
        <v>792</v>
      </c>
      <c r="D290" t="s">
        <v>803</v>
      </c>
      <c r="E290" t="s">
        <v>728</v>
      </c>
      <c r="F290">
        <v>1782</v>
      </c>
      <c r="G290">
        <v>344</v>
      </c>
      <c r="H290" t="s">
        <v>38</v>
      </c>
      <c r="I290" t="s">
        <v>39</v>
      </c>
      <c r="J290" t="s">
        <v>794</v>
      </c>
      <c r="K290" t="s">
        <v>38</v>
      </c>
      <c r="L290" t="s">
        <v>38</v>
      </c>
      <c r="M290" t="s">
        <v>38</v>
      </c>
      <c r="N290" t="s">
        <v>38</v>
      </c>
      <c r="O290" t="s">
        <v>54</v>
      </c>
      <c r="P290" t="s">
        <v>42</v>
      </c>
      <c r="Q290" t="s">
        <v>43</v>
      </c>
      <c r="R290" t="s">
        <v>38</v>
      </c>
      <c r="S290" t="s">
        <v>38</v>
      </c>
      <c r="T290" t="s">
        <v>38</v>
      </c>
      <c r="U290" t="s">
        <v>38</v>
      </c>
      <c r="V290" t="s">
        <v>137</v>
      </c>
      <c r="W290" t="s">
        <v>38</v>
      </c>
      <c r="X290" t="s">
        <v>38</v>
      </c>
      <c r="Y290" t="s">
        <v>860</v>
      </c>
      <c r="Z290" t="s">
        <v>42</v>
      </c>
      <c r="AA290" t="s">
        <v>38</v>
      </c>
      <c r="AB290" t="s">
        <v>38</v>
      </c>
      <c r="AC290" t="s">
        <v>38</v>
      </c>
      <c r="AD290" t="s">
        <v>48</v>
      </c>
      <c r="AG290" t="str">
        <f>IF(AD290="United States", IFERROR(INDEX(Sheet2!$C:$C, MATCH(AE290&amp;AF290, Sheet2!$E:$E, 0)) &amp; ", " &amp; INDEX(Sheet2!$D:$D, MATCH(AE290&amp;AF290, Sheet2!$E:$E, 0)), ""), "-")</f>
        <v/>
      </c>
    </row>
    <row r="291" spans="1:33" x14ac:dyDescent="0.25">
      <c r="A291" t="s">
        <v>790</v>
      </c>
      <c r="B291" t="s">
        <v>863</v>
      </c>
      <c r="C291" t="s">
        <v>792</v>
      </c>
      <c r="D291" t="s">
        <v>36</v>
      </c>
      <c r="E291" t="s">
        <v>275</v>
      </c>
      <c r="F291">
        <v>1750</v>
      </c>
      <c r="G291">
        <v>345</v>
      </c>
      <c r="H291" t="s">
        <v>38</v>
      </c>
      <c r="I291" t="s">
        <v>39</v>
      </c>
      <c r="J291" t="s">
        <v>794</v>
      </c>
      <c r="K291" t="s">
        <v>38</v>
      </c>
      <c r="L291" t="s">
        <v>38</v>
      </c>
      <c r="M291" t="s">
        <v>38</v>
      </c>
      <c r="N291" t="s">
        <v>38</v>
      </c>
      <c r="O291" t="s">
        <v>41</v>
      </c>
      <c r="P291" t="s">
        <v>125</v>
      </c>
      <c r="Q291" t="s">
        <v>124</v>
      </c>
      <c r="R291" t="s">
        <v>864</v>
      </c>
      <c r="S291" t="s">
        <v>45</v>
      </c>
      <c r="T291" t="s">
        <v>38</v>
      </c>
      <c r="U291" t="s">
        <v>38</v>
      </c>
      <c r="V291" t="s">
        <v>137</v>
      </c>
      <c r="W291" t="s">
        <v>38</v>
      </c>
      <c r="X291" t="s">
        <v>38</v>
      </c>
      <c r="Y291" t="s">
        <v>832</v>
      </c>
      <c r="Z291" t="s">
        <v>125</v>
      </c>
      <c r="AA291" t="s">
        <v>865</v>
      </c>
      <c r="AB291" t="s">
        <v>864</v>
      </c>
      <c r="AC291" t="s">
        <v>45</v>
      </c>
      <c r="AD291" t="s">
        <v>48</v>
      </c>
      <c r="AG291" t="str">
        <f>IF(AD291="United States", IFERROR(INDEX(Sheet2!$C:$C, MATCH(AE291&amp;AF291, Sheet2!$E:$E, 0)) &amp; ", " &amp; INDEX(Sheet2!$D:$D, MATCH(AE291&amp;AF291, Sheet2!$E:$E, 0)), ""), "-")</f>
        <v/>
      </c>
    </row>
    <row r="292" spans="1:33" x14ac:dyDescent="0.25">
      <c r="A292" t="s">
        <v>790</v>
      </c>
      <c r="B292" t="s">
        <v>866</v>
      </c>
      <c r="C292" t="s">
        <v>792</v>
      </c>
      <c r="D292" t="s">
        <v>867</v>
      </c>
      <c r="E292" t="s">
        <v>868</v>
      </c>
      <c r="F292">
        <v>1752</v>
      </c>
      <c r="G292">
        <v>346</v>
      </c>
      <c r="H292" t="s">
        <v>38</v>
      </c>
      <c r="I292" t="s">
        <v>39</v>
      </c>
      <c r="J292" t="s">
        <v>794</v>
      </c>
      <c r="K292" t="s">
        <v>38</v>
      </c>
      <c r="L292" t="s">
        <v>38</v>
      </c>
      <c r="M292" t="s">
        <v>38</v>
      </c>
      <c r="N292" t="s">
        <v>38</v>
      </c>
      <c r="O292" t="s">
        <v>41</v>
      </c>
      <c r="P292" t="s">
        <v>125</v>
      </c>
      <c r="Q292" t="s">
        <v>124</v>
      </c>
      <c r="R292" t="s">
        <v>869</v>
      </c>
      <c r="S292" t="s">
        <v>45</v>
      </c>
      <c r="T292" t="s">
        <v>38</v>
      </c>
      <c r="U292" t="s">
        <v>38</v>
      </c>
      <c r="V292" t="s">
        <v>137</v>
      </c>
      <c r="W292" t="s">
        <v>38</v>
      </c>
      <c r="X292" t="s">
        <v>38</v>
      </c>
      <c r="Y292" t="s">
        <v>832</v>
      </c>
      <c r="Z292" t="s">
        <v>125</v>
      </c>
      <c r="AA292" t="s">
        <v>869</v>
      </c>
      <c r="AB292" t="s">
        <v>38</v>
      </c>
      <c r="AC292" t="s">
        <v>45</v>
      </c>
      <c r="AD292" t="s">
        <v>48</v>
      </c>
      <c r="AG292" t="str">
        <f>IF(AD292="United States", IFERROR(INDEX(Sheet2!$C:$C, MATCH(AE292&amp;AF292, Sheet2!$E:$E, 0)) &amp; ", " &amp; INDEX(Sheet2!$D:$D, MATCH(AE292&amp;AF292, Sheet2!$E:$E, 0)), ""), "-")</f>
        <v/>
      </c>
    </row>
    <row r="293" spans="1:33" x14ac:dyDescent="0.25">
      <c r="A293" t="s">
        <v>790</v>
      </c>
      <c r="B293" t="s">
        <v>870</v>
      </c>
      <c r="C293" t="s">
        <v>792</v>
      </c>
      <c r="D293" t="s">
        <v>101</v>
      </c>
      <c r="E293" t="s">
        <v>489</v>
      </c>
      <c r="F293">
        <v>1752</v>
      </c>
      <c r="G293">
        <v>347</v>
      </c>
      <c r="H293" t="s">
        <v>38</v>
      </c>
      <c r="I293" t="s">
        <v>39</v>
      </c>
      <c r="J293" t="s">
        <v>794</v>
      </c>
      <c r="K293" t="s">
        <v>867</v>
      </c>
      <c r="L293" t="s">
        <v>868</v>
      </c>
      <c r="M293" t="s">
        <v>38</v>
      </c>
      <c r="N293" t="s">
        <v>38</v>
      </c>
      <c r="O293" t="s">
        <v>41</v>
      </c>
      <c r="P293" t="s">
        <v>42</v>
      </c>
      <c r="Q293" t="s">
        <v>43</v>
      </c>
      <c r="R293" t="s">
        <v>871</v>
      </c>
      <c r="S293" t="s">
        <v>153</v>
      </c>
      <c r="T293" t="s">
        <v>38</v>
      </c>
      <c r="U293" t="s">
        <v>38</v>
      </c>
      <c r="V293" t="s">
        <v>137</v>
      </c>
      <c r="W293" t="s">
        <v>38</v>
      </c>
      <c r="X293" t="s">
        <v>38</v>
      </c>
      <c r="Y293" t="s">
        <v>832</v>
      </c>
      <c r="Z293" t="s">
        <v>42</v>
      </c>
      <c r="AA293" t="s">
        <v>155</v>
      </c>
      <c r="AB293" t="s">
        <v>38</v>
      </c>
      <c r="AC293" t="s">
        <v>153</v>
      </c>
      <c r="AD293" t="s">
        <v>48</v>
      </c>
      <c r="AG293" t="str">
        <f>IF(AD293="United States", IFERROR(INDEX(Sheet2!$C:$C, MATCH(AE293&amp;AF293, Sheet2!$E:$E, 0)) &amp; ", " &amp; INDEX(Sheet2!$D:$D, MATCH(AE293&amp;AF293, Sheet2!$E:$E, 0)), ""), "-")</f>
        <v/>
      </c>
    </row>
    <row r="294" spans="1:33" x14ac:dyDescent="0.25">
      <c r="A294" t="s">
        <v>790</v>
      </c>
      <c r="B294" t="s">
        <v>872</v>
      </c>
      <c r="C294" t="s">
        <v>792</v>
      </c>
      <c r="D294" t="s">
        <v>352</v>
      </c>
      <c r="E294" t="s">
        <v>344</v>
      </c>
      <c r="F294">
        <v>1763</v>
      </c>
      <c r="G294">
        <v>348</v>
      </c>
      <c r="H294" t="s">
        <v>38</v>
      </c>
      <c r="I294" t="s">
        <v>39</v>
      </c>
      <c r="J294" t="s">
        <v>794</v>
      </c>
      <c r="K294" t="s">
        <v>38</v>
      </c>
      <c r="L294" t="s">
        <v>38</v>
      </c>
      <c r="M294" t="s">
        <v>38</v>
      </c>
      <c r="N294" t="s">
        <v>38</v>
      </c>
      <c r="O294" t="s">
        <v>74</v>
      </c>
      <c r="P294" t="s">
        <v>42</v>
      </c>
      <c r="Q294" t="s">
        <v>43</v>
      </c>
      <c r="R294" t="s">
        <v>873</v>
      </c>
      <c r="S294" t="s">
        <v>201</v>
      </c>
      <c r="T294" t="s">
        <v>38</v>
      </c>
      <c r="U294" t="s">
        <v>38</v>
      </c>
      <c r="V294" t="s">
        <v>137</v>
      </c>
      <c r="W294" t="s">
        <v>38</v>
      </c>
      <c r="X294" t="s">
        <v>38</v>
      </c>
      <c r="Y294" t="s">
        <v>832</v>
      </c>
      <c r="Z294" t="s">
        <v>42</v>
      </c>
      <c r="AA294" t="s">
        <v>155</v>
      </c>
      <c r="AB294" t="s">
        <v>265</v>
      </c>
      <c r="AC294" t="s">
        <v>201</v>
      </c>
      <c r="AD294" t="s">
        <v>48</v>
      </c>
      <c r="AG294" t="str">
        <f>IF(AD294="United States", IFERROR(INDEX(Sheet2!$C:$C, MATCH(AE294&amp;AF294, Sheet2!$E:$E, 0)) &amp; ", " &amp; INDEX(Sheet2!$D:$D, MATCH(AE294&amp;AF294, Sheet2!$E:$E, 0)), ""), "-")</f>
        <v/>
      </c>
    </row>
    <row r="295" spans="1:33" x14ac:dyDescent="0.25">
      <c r="A295" t="s">
        <v>790</v>
      </c>
      <c r="B295" t="s">
        <v>874</v>
      </c>
      <c r="C295" t="s">
        <v>792</v>
      </c>
      <c r="D295" t="s">
        <v>162</v>
      </c>
      <c r="E295" t="s">
        <v>38</v>
      </c>
      <c r="F295">
        <v>1758</v>
      </c>
      <c r="G295">
        <v>349</v>
      </c>
      <c r="H295" t="s">
        <v>38</v>
      </c>
      <c r="I295" t="s">
        <v>39</v>
      </c>
      <c r="J295" t="s">
        <v>794</v>
      </c>
      <c r="K295" t="s">
        <v>38</v>
      </c>
      <c r="L295" t="s">
        <v>38</v>
      </c>
      <c r="M295" t="s">
        <v>38</v>
      </c>
      <c r="N295" t="s">
        <v>38</v>
      </c>
      <c r="O295" t="s">
        <v>57</v>
      </c>
      <c r="P295" t="s">
        <v>42</v>
      </c>
      <c r="Q295" t="s">
        <v>43</v>
      </c>
      <c r="R295" t="s">
        <v>875</v>
      </c>
      <c r="S295" t="s">
        <v>45</v>
      </c>
      <c r="T295" t="s">
        <v>38</v>
      </c>
      <c r="U295" t="s">
        <v>38</v>
      </c>
      <c r="V295" t="s">
        <v>137</v>
      </c>
      <c r="W295" t="s">
        <v>38</v>
      </c>
      <c r="X295" t="s">
        <v>38</v>
      </c>
      <c r="Y295" t="s">
        <v>832</v>
      </c>
      <c r="Z295" t="s">
        <v>42</v>
      </c>
      <c r="AA295" t="s">
        <v>162</v>
      </c>
      <c r="AB295" t="s">
        <v>45</v>
      </c>
      <c r="AC295" t="s">
        <v>169</v>
      </c>
      <c r="AD295" t="s">
        <v>48</v>
      </c>
      <c r="AG295" t="str">
        <f>IF(AD295="United States", IFERROR(INDEX(Sheet2!$C:$C, MATCH(AE295&amp;AF295, Sheet2!$E:$E, 0)) &amp; ", " &amp; INDEX(Sheet2!$D:$D, MATCH(AE295&amp;AF295, Sheet2!$E:$E, 0)), ""), "-")</f>
        <v/>
      </c>
    </row>
    <row r="296" spans="1:33" x14ac:dyDescent="0.25">
      <c r="A296" t="s">
        <v>790</v>
      </c>
      <c r="B296" t="s">
        <v>876</v>
      </c>
      <c r="C296" t="s">
        <v>792</v>
      </c>
      <c r="D296" t="s">
        <v>226</v>
      </c>
      <c r="E296" t="s">
        <v>798</v>
      </c>
      <c r="F296">
        <v>1755</v>
      </c>
      <c r="G296">
        <v>324</v>
      </c>
      <c r="H296" t="s">
        <v>38</v>
      </c>
      <c r="I296" t="s">
        <v>39</v>
      </c>
      <c r="J296" t="s">
        <v>794</v>
      </c>
      <c r="K296" t="s">
        <v>38</v>
      </c>
      <c r="L296" t="s">
        <v>38</v>
      </c>
      <c r="M296" t="s">
        <v>38</v>
      </c>
      <c r="N296" t="s">
        <v>38</v>
      </c>
      <c r="O296" t="s">
        <v>41</v>
      </c>
      <c r="P296" t="s">
        <v>42</v>
      </c>
      <c r="Q296" t="s">
        <v>43</v>
      </c>
      <c r="R296" t="s">
        <v>38</v>
      </c>
      <c r="S296" t="s">
        <v>38</v>
      </c>
      <c r="T296" t="s">
        <v>38</v>
      </c>
      <c r="U296" t="s">
        <v>38</v>
      </c>
      <c r="V296" t="s">
        <v>137</v>
      </c>
      <c r="W296" t="s">
        <v>38</v>
      </c>
      <c r="X296" t="s">
        <v>38</v>
      </c>
      <c r="Y296" t="s">
        <v>795</v>
      </c>
      <c r="Z296" t="s">
        <v>42</v>
      </c>
      <c r="AA296" t="s">
        <v>38</v>
      </c>
      <c r="AB296" t="s">
        <v>38</v>
      </c>
      <c r="AC296" t="s">
        <v>155</v>
      </c>
      <c r="AD296" t="s">
        <v>48</v>
      </c>
      <c r="AG296" t="str">
        <f>IF(AD296="United States", IFERROR(INDEX(Sheet2!$C:$C, MATCH(AE296&amp;AF296, Sheet2!$E:$E, 0)) &amp; ", " &amp; INDEX(Sheet2!$D:$D, MATCH(AE296&amp;AF296, Sheet2!$E:$E, 0)), ""), "-")</f>
        <v/>
      </c>
    </row>
    <row r="297" spans="1:33" x14ac:dyDescent="0.25">
      <c r="A297" t="s">
        <v>790</v>
      </c>
      <c r="B297" t="s">
        <v>877</v>
      </c>
      <c r="C297" t="s">
        <v>792</v>
      </c>
      <c r="D297" t="s">
        <v>210</v>
      </c>
      <c r="E297" t="s">
        <v>260</v>
      </c>
      <c r="F297">
        <v>1755</v>
      </c>
      <c r="G297">
        <v>360</v>
      </c>
      <c r="H297" t="s">
        <v>38</v>
      </c>
      <c r="I297" t="s">
        <v>39</v>
      </c>
      <c r="J297" t="s">
        <v>794</v>
      </c>
      <c r="K297" t="s">
        <v>38</v>
      </c>
      <c r="L297" t="s">
        <v>38</v>
      </c>
      <c r="M297" t="s">
        <v>38</v>
      </c>
      <c r="N297" t="s">
        <v>38</v>
      </c>
      <c r="O297" t="s">
        <v>41</v>
      </c>
      <c r="P297" t="s">
        <v>42</v>
      </c>
      <c r="Q297" t="s">
        <v>43</v>
      </c>
      <c r="R297" t="s">
        <v>878</v>
      </c>
      <c r="S297" t="s">
        <v>45</v>
      </c>
      <c r="T297" t="s">
        <v>38</v>
      </c>
      <c r="U297" t="s">
        <v>38</v>
      </c>
      <c r="V297" t="s">
        <v>137</v>
      </c>
      <c r="W297" t="s">
        <v>38</v>
      </c>
      <c r="X297" t="s">
        <v>38</v>
      </c>
      <c r="Y297" t="s">
        <v>879</v>
      </c>
      <c r="Z297" t="s">
        <v>42</v>
      </c>
      <c r="AA297" t="s">
        <v>878</v>
      </c>
      <c r="AB297" t="s">
        <v>38</v>
      </c>
      <c r="AC297" t="s">
        <v>45</v>
      </c>
      <c r="AD297" t="s">
        <v>48</v>
      </c>
      <c r="AG297" t="str">
        <f>IF(AD297="United States", IFERROR(INDEX(Sheet2!$C:$C, MATCH(AE297&amp;AF297, Sheet2!$E:$E, 0)) &amp; ", " &amp; INDEX(Sheet2!$D:$D, MATCH(AE297&amp;AF297, Sheet2!$E:$E, 0)), ""), "-")</f>
        <v/>
      </c>
    </row>
    <row r="298" spans="1:33" x14ac:dyDescent="0.25">
      <c r="A298" t="s">
        <v>790</v>
      </c>
      <c r="B298" t="s">
        <v>880</v>
      </c>
      <c r="C298" t="s">
        <v>792</v>
      </c>
      <c r="D298" t="s">
        <v>881</v>
      </c>
      <c r="E298" t="s">
        <v>651</v>
      </c>
      <c r="F298">
        <v>1768</v>
      </c>
      <c r="G298">
        <v>334</v>
      </c>
      <c r="H298" t="s">
        <v>38</v>
      </c>
      <c r="I298" t="s">
        <v>39</v>
      </c>
      <c r="J298" t="s">
        <v>794</v>
      </c>
      <c r="K298" t="s">
        <v>38</v>
      </c>
      <c r="L298" t="s">
        <v>38</v>
      </c>
      <c r="M298" t="s">
        <v>38</v>
      </c>
      <c r="N298" t="s">
        <v>38</v>
      </c>
      <c r="O298" t="s">
        <v>54</v>
      </c>
      <c r="P298" t="s">
        <v>125</v>
      </c>
      <c r="Q298" t="s">
        <v>124</v>
      </c>
      <c r="R298" t="s">
        <v>241</v>
      </c>
      <c r="S298" t="s">
        <v>45</v>
      </c>
      <c r="T298" t="s">
        <v>38</v>
      </c>
      <c r="U298" t="s">
        <v>38</v>
      </c>
      <c r="V298" t="s">
        <v>137</v>
      </c>
      <c r="W298" t="s">
        <v>38</v>
      </c>
      <c r="X298" t="s">
        <v>38</v>
      </c>
      <c r="Y298" t="s">
        <v>827</v>
      </c>
      <c r="Z298" t="s">
        <v>125</v>
      </c>
      <c r="AA298" t="s">
        <v>241</v>
      </c>
      <c r="AB298" t="s">
        <v>38</v>
      </c>
      <c r="AC298" t="s">
        <v>45</v>
      </c>
      <c r="AD298" t="s">
        <v>48</v>
      </c>
      <c r="AG298" t="str">
        <f>IF(AD298="United States", IFERROR(INDEX(Sheet2!$C:$C, MATCH(AE298&amp;AF298, Sheet2!$E:$E, 0)) &amp; ", " &amp; INDEX(Sheet2!$D:$D, MATCH(AE298&amp;AF298, Sheet2!$E:$E, 0)), ""), "-")</f>
        <v/>
      </c>
    </row>
    <row r="299" spans="1:33" x14ac:dyDescent="0.25">
      <c r="A299" t="s">
        <v>790</v>
      </c>
      <c r="B299" t="s">
        <v>882</v>
      </c>
      <c r="C299" t="s">
        <v>792</v>
      </c>
      <c r="D299" t="s">
        <v>98</v>
      </c>
      <c r="E299" t="s">
        <v>275</v>
      </c>
      <c r="F299">
        <v>1769</v>
      </c>
      <c r="G299">
        <v>362</v>
      </c>
      <c r="H299" t="s">
        <v>38</v>
      </c>
      <c r="I299" t="s">
        <v>39</v>
      </c>
      <c r="J299" t="s">
        <v>794</v>
      </c>
      <c r="K299" t="s">
        <v>38</v>
      </c>
      <c r="L299" t="s">
        <v>38</v>
      </c>
      <c r="M299" t="s">
        <v>38</v>
      </c>
      <c r="N299" t="s">
        <v>38</v>
      </c>
      <c r="O299" t="s">
        <v>74</v>
      </c>
      <c r="P299" t="s">
        <v>42</v>
      </c>
      <c r="Q299" t="s">
        <v>43</v>
      </c>
      <c r="R299" t="s">
        <v>38</v>
      </c>
      <c r="S299" t="s">
        <v>38</v>
      </c>
      <c r="T299" t="s">
        <v>38</v>
      </c>
      <c r="U299" t="s">
        <v>38</v>
      </c>
      <c r="V299" t="s">
        <v>137</v>
      </c>
      <c r="W299" t="s">
        <v>38</v>
      </c>
      <c r="X299" t="s">
        <v>38</v>
      </c>
      <c r="Y299" t="s">
        <v>883</v>
      </c>
      <c r="Z299" t="s">
        <v>42</v>
      </c>
      <c r="AA299" t="s">
        <v>38</v>
      </c>
      <c r="AB299" t="s">
        <v>38</v>
      </c>
      <c r="AC299" t="s">
        <v>38</v>
      </c>
      <c r="AD299" t="s">
        <v>48</v>
      </c>
      <c r="AG299" t="str">
        <f>IF(AD299="United States", IFERROR(INDEX(Sheet2!$C:$C, MATCH(AE299&amp;AF299, Sheet2!$E:$E, 0)) &amp; ", " &amp; INDEX(Sheet2!$D:$D, MATCH(AE299&amp;AF299, Sheet2!$E:$E, 0)), ""), "-")</f>
        <v/>
      </c>
    </row>
    <row r="300" spans="1:33" x14ac:dyDescent="0.25">
      <c r="A300" t="s">
        <v>790</v>
      </c>
      <c r="B300" t="s">
        <v>884</v>
      </c>
      <c r="C300" t="s">
        <v>792</v>
      </c>
      <c r="D300" t="s">
        <v>885</v>
      </c>
      <c r="E300" t="s">
        <v>651</v>
      </c>
      <c r="F300">
        <v>1742</v>
      </c>
      <c r="G300">
        <v>333</v>
      </c>
      <c r="H300" t="s">
        <v>38</v>
      </c>
      <c r="I300" t="s">
        <v>39</v>
      </c>
      <c r="J300" t="s">
        <v>794</v>
      </c>
      <c r="K300" t="s">
        <v>38</v>
      </c>
      <c r="L300" t="s">
        <v>38</v>
      </c>
      <c r="M300" t="s">
        <v>38</v>
      </c>
      <c r="N300" t="s">
        <v>38</v>
      </c>
      <c r="O300" t="s">
        <v>57</v>
      </c>
      <c r="P300" t="s">
        <v>125</v>
      </c>
      <c r="Q300" t="s">
        <v>124</v>
      </c>
      <c r="R300" t="s">
        <v>241</v>
      </c>
      <c r="S300" t="s">
        <v>45</v>
      </c>
      <c r="T300" t="s">
        <v>38</v>
      </c>
      <c r="U300" t="s">
        <v>38</v>
      </c>
      <c r="V300" t="s">
        <v>137</v>
      </c>
      <c r="W300" t="s">
        <v>38</v>
      </c>
      <c r="X300" t="s">
        <v>38</v>
      </c>
      <c r="Y300" t="s">
        <v>827</v>
      </c>
      <c r="Z300" t="s">
        <v>125</v>
      </c>
      <c r="AA300" t="s">
        <v>241</v>
      </c>
      <c r="AB300" t="s">
        <v>38</v>
      </c>
      <c r="AC300" t="s">
        <v>45</v>
      </c>
      <c r="AD300" t="s">
        <v>48</v>
      </c>
      <c r="AG300" t="str">
        <f>IF(AD300="United States", IFERROR(INDEX(Sheet2!$C:$C, MATCH(AE300&amp;AF300, Sheet2!$E:$E, 0)) &amp; ", " &amp; INDEX(Sheet2!$D:$D, MATCH(AE300&amp;AF300, Sheet2!$E:$E, 0)), ""), "-")</f>
        <v/>
      </c>
    </row>
    <row r="301" spans="1:33" x14ac:dyDescent="0.25">
      <c r="A301" t="s">
        <v>790</v>
      </c>
      <c r="B301" t="s">
        <v>886</v>
      </c>
      <c r="C301" t="s">
        <v>792</v>
      </c>
      <c r="D301" t="s">
        <v>887</v>
      </c>
      <c r="E301" t="s">
        <v>888</v>
      </c>
      <c r="F301">
        <v>1764</v>
      </c>
      <c r="G301">
        <v>2690</v>
      </c>
      <c r="I301" t="s">
        <v>39</v>
      </c>
      <c r="J301" t="s">
        <v>794</v>
      </c>
      <c r="O301" t="s">
        <v>41</v>
      </c>
      <c r="P301" t="s">
        <v>125</v>
      </c>
      <c r="Q301" t="s">
        <v>124</v>
      </c>
      <c r="V301" t="s">
        <v>137</v>
      </c>
      <c r="Y301" t="s">
        <v>889</v>
      </c>
      <c r="Z301" t="s">
        <v>125</v>
      </c>
      <c r="AA301" t="s">
        <v>38</v>
      </c>
      <c r="AB301" t="s">
        <v>38</v>
      </c>
      <c r="AC301" t="s">
        <v>155</v>
      </c>
      <c r="AD301" t="s">
        <v>48</v>
      </c>
      <c r="AG301" t="str">
        <f>IF(AD301="United States", IFERROR(INDEX(Sheet2!$C:$C, MATCH(AE301&amp;AF301, Sheet2!$E:$E, 0)) &amp; ", " &amp; INDEX(Sheet2!$D:$D, MATCH(AE301&amp;AF301, Sheet2!$E:$E, 0)), ""), "-")</f>
        <v/>
      </c>
    </row>
    <row r="302" spans="1:33" x14ac:dyDescent="0.25">
      <c r="A302" t="s">
        <v>790</v>
      </c>
      <c r="B302" t="s">
        <v>890</v>
      </c>
      <c r="C302" t="s">
        <v>792</v>
      </c>
      <c r="D302" t="s">
        <v>195</v>
      </c>
      <c r="F302" t="s">
        <v>38</v>
      </c>
      <c r="G302">
        <v>2691</v>
      </c>
      <c r="I302" t="s">
        <v>39</v>
      </c>
      <c r="J302" t="s">
        <v>794</v>
      </c>
      <c r="O302" t="s">
        <v>41</v>
      </c>
      <c r="P302" t="s">
        <v>42</v>
      </c>
      <c r="Q302" t="s">
        <v>43</v>
      </c>
      <c r="V302" t="s">
        <v>137</v>
      </c>
      <c r="Y302" t="s">
        <v>809</v>
      </c>
      <c r="Z302" t="s">
        <v>42</v>
      </c>
      <c r="AA302" t="s">
        <v>38</v>
      </c>
      <c r="AB302" t="s">
        <v>38</v>
      </c>
      <c r="AC302" t="s">
        <v>672</v>
      </c>
      <c r="AD302" t="s">
        <v>672</v>
      </c>
      <c r="AG302" t="str">
        <f>IF(AD302="United States", IFERROR(INDEX(Sheet2!$C:$C, MATCH(AE302&amp;AF302, Sheet2!$E:$E, 0)) &amp; ", " &amp; INDEX(Sheet2!$D:$D, MATCH(AE302&amp;AF302, Sheet2!$E:$E, 0)), ""), "18.1850507, -77.3947693")</f>
        <v>18.1850507, -77.3947693</v>
      </c>
    </row>
    <row r="303" spans="1:33" x14ac:dyDescent="0.25">
      <c r="A303" t="s">
        <v>790</v>
      </c>
      <c r="B303" t="s">
        <v>891</v>
      </c>
      <c r="C303" t="s">
        <v>792</v>
      </c>
      <c r="D303" t="s">
        <v>114</v>
      </c>
      <c r="E303" t="s">
        <v>96</v>
      </c>
      <c r="F303">
        <v>1754</v>
      </c>
      <c r="G303">
        <v>361</v>
      </c>
      <c r="H303" t="s">
        <v>38</v>
      </c>
      <c r="I303" t="s">
        <v>39</v>
      </c>
      <c r="J303" t="s">
        <v>794</v>
      </c>
      <c r="K303" t="s">
        <v>38</v>
      </c>
      <c r="L303" t="s">
        <v>38</v>
      </c>
      <c r="M303" t="s">
        <v>38</v>
      </c>
      <c r="N303" t="s">
        <v>38</v>
      </c>
      <c r="O303" t="s">
        <v>57</v>
      </c>
      <c r="P303" t="s">
        <v>42</v>
      </c>
      <c r="Q303" t="s">
        <v>43</v>
      </c>
      <c r="R303" t="s">
        <v>38</v>
      </c>
      <c r="S303" t="s">
        <v>89</v>
      </c>
      <c r="T303" t="s">
        <v>38</v>
      </c>
      <c r="U303" t="s">
        <v>38</v>
      </c>
      <c r="V303" t="s">
        <v>137</v>
      </c>
      <c r="W303" t="s">
        <v>38</v>
      </c>
      <c r="X303" t="s">
        <v>38</v>
      </c>
      <c r="Y303" t="s">
        <v>892</v>
      </c>
      <c r="Z303" t="s">
        <v>42</v>
      </c>
      <c r="AA303" t="s">
        <v>38</v>
      </c>
      <c r="AB303" t="s">
        <v>38</v>
      </c>
      <c r="AC303" t="s">
        <v>89</v>
      </c>
      <c r="AD303" t="s">
        <v>48</v>
      </c>
      <c r="AG303" t="str">
        <f>IF(AD303="United States", IFERROR(INDEX(Sheet2!$C:$C, MATCH(AE303&amp;AF303, Sheet2!$E:$E, 0)) &amp; ", " &amp; INDEX(Sheet2!$D:$D, MATCH(AE303&amp;AF303, Sheet2!$E:$E, 0)), ""), "-")</f>
        <v/>
      </c>
    </row>
    <row r="304" spans="1:33" x14ac:dyDescent="0.25">
      <c r="A304" t="s">
        <v>893</v>
      </c>
      <c r="D304" t="s">
        <v>803</v>
      </c>
      <c r="E304" t="s">
        <v>728</v>
      </c>
      <c r="F304">
        <v>1782</v>
      </c>
      <c r="G304">
        <v>376</v>
      </c>
      <c r="H304">
        <v>25</v>
      </c>
      <c r="J304" t="s">
        <v>794</v>
      </c>
      <c r="O304" t="s">
        <v>74</v>
      </c>
      <c r="R304" t="s">
        <v>89</v>
      </c>
      <c r="T304" t="s">
        <v>89</v>
      </c>
      <c r="U304">
        <v>1783</v>
      </c>
      <c r="V304" t="s">
        <v>137</v>
      </c>
      <c r="W304" t="s">
        <v>92</v>
      </c>
      <c r="Y304" t="s">
        <v>38</v>
      </c>
      <c r="AA304" t="s">
        <v>38</v>
      </c>
      <c r="AB304" t="s">
        <v>38</v>
      </c>
      <c r="AC304" t="s">
        <v>38</v>
      </c>
      <c r="AD304" t="s">
        <v>48</v>
      </c>
      <c r="AG304" t="str">
        <f>IF(AD304="United States", IFERROR(INDEX(Sheet2!$C:$C, MATCH(AE304&amp;AF304, Sheet2!$E:$E, 0)) &amp; ", " &amp; INDEX(Sheet2!$D:$D, MATCH(AE304&amp;AF304, Sheet2!$E:$E, 0)), ""), "-")</f>
        <v/>
      </c>
    </row>
    <row r="305" spans="1:33" x14ac:dyDescent="0.25">
      <c r="A305" t="s">
        <v>893</v>
      </c>
      <c r="D305" t="s">
        <v>858</v>
      </c>
      <c r="E305" t="s">
        <v>859</v>
      </c>
      <c r="F305">
        <v>1758</v>
      </c>
      <c r="G305">
        <v>375</v>
      </c>
      <c r="H305">
        <v>25</v>
      </c>
      <c r="J305" t="s">
        <v>794</v>
      </c>
      <c r="O305" t="s">
        <v>57</v>
      </c>
      <c r="R305" t="s">
        <v>89</v>
      </c>
      <c r="T305" t="s">
        <v>89</v>
      </c>
      <c r="U305">
        <v>1783</v>
      </c>
      <c r="V305" t="s">
        <v>137</v>
      </c>
      <c r="W305" t="s">
        <v>92</v>
      </c>
      <c r="Y305" t="s">
        <v>38</v>
      </c>
      <c r="AA305" t="s">
        <v>38</v>
      </c>
      <c r="AB305" t="s">
        <v>38</v>
      </c>
      <c r="AC305" t="s">
        <v>38</v>
      </c>
      <c r="AD305" t="s">
        <v>48</v>
      </c>
      <c r="AG305" t="str">
        <f>IF(AD305="United States", IFERROR(INDEX(Sheet2!$C:$C, MATCH(AE305&amp;AF305, Sheet2!$E:$E, 0)) &amp; ", " &amp; INDEX(Sheet2!$D:$D, MATCH(AE305&amp;AF305, Sheet2!$E:$E, 0)), ""), "-")</f>
        <v/>
      </c>
    </row>
    <row r="306" spans="1:33" x14ac:dyDescent="0.25">
      <c r="A306" t="s">
        <v>893</v>
      </c>
      <c r="D306" t="s">
        <v>807</v>
      </c>
      <c r="E306" t="s">
        <v>808</v>
      </c>
      <c r="F306">
        <v>1765</v>
      </c>
      <c r="G306">
        <v>374</v>
      </c>
      <c r="H306">
        <v>25</v>
      </c>
      <c r="J306" t="s">
        <v>794</v>
      </c>
      <c r="O306" t="s">
        <v>41</v>
      </c>
      <c r="R306" t="s">
        <v>89</v>
      </c>
      <c r="T306" t="s">
        <v>89</v>
      </c>
      <c r="U306">
        <v>1783</v>
      </c>
      <c r="V306" t="s">
        <v>137</v>
      </c>
      <c r="W306" t="s">
        <v>92</v>
      </c>
      <c r="Y306" t="s">
        <v>38</v>
      </c>
      <c r="AA306" t="s">
        <v>38</v>
      </c>
      <c r="AB306" t="s">
        <v>38</v>
      </c>
      <c r="AC306" t="s">
        <v>38</v>
      </c>
      <c r="AD306" t="s">
        <v>48</v>
      </c>
      <c r="AG306" t="str">
        <f>IF(AD306="United States", IFERROR(INDEX(Sheet2!$C:$C, MATCH(AE306&amp;AF306, Sheet2!$E:$E, 0)) &amp; ", " &amp; INDEX(Sheet2!$D:$D, MATCH(AE306&amp;AF306, Sheet2!$E:$E, 0)), ""), "-")</f>
        <v/>
      </c>
    </row>
    <row r="307" spans="1:33" x14ac:dyDescent="0.25">
      <c r="A307" t="s">
        <v>893</v>
      </c>
      <c r="D307" t="s">
        <v>352</v>
      </c>
      <c r="E307" t="s">
        <v>344</v>
      </c>
      <c r="F307">
        <v>1755</v>
      </c>
      <c r="G307">
        <v>380</v>
      </c>
      <c r="H307">
        <v>25</v>
      </c>
      <c r="J307" t="s">
        <v>794</v>
      </c>
      <c r="O307" t="s">
        <v>57</v>
      </c>
      <c r="R307" t="s">
        <v>89</v>
      </c>
      <c r="T307" t="s">
        <v>89</v>
      </c>
      <c r="U307">
        <v>1783</v>
      </c>
      <c r="V307" t="s">
        <v>137</v>
      </c>
      <c r="W307" t="s">
        <v>92</v>
      </c>
      <c r="Y307" t="s">
        <v>38</v>
      </c>
      <c r="AA307" t="s">
        <v>38</v>
      </c>
      <c r="AB307" t="s">
        <v>38</v>
      </c>
      <c r="AC307" t="s">
        <v>38</v>
      </c>
      <c r="AD307" t="s">
        <v>48</v>
      </c>
      <c r="AG307" t="str">
        <f>IF(AD307="United States", IFERROR(INDEX(Sheet2!$C:$C, MATCH(AE307&amp;AF307, Sheet2!$E:$E, 0)) &amp; ", " &amp; INDEX(Sheet2!$D:$D, MATCH(AE307&amp;AF307, Sheet2!$E:$E, 0)), ""), "-")</f>
        <v/>
      </c>
    </row>
    <row r="308" spans="1:33" x14ac:dyDescent="0.25">
      <c r="A308" t="s">
        <v>893</v>
      </c>
      <c r="D308" t="s">
        <v>803</v>
      </c>
      <c r="E308" t="s">
        <v>804</v>
      </c>
      <c r="F308">
        <v>1762</v>
      </c>
      <c r="G308">
        <v>360</v>
      </c>
      <c r="H308">
        <v>25</v>
      </c>
      <c r="J308" t="s">
        <v>794</v>
      </c>
      <c r="O308" t="s">
        <v>57</v>
      </c>
      <c r="R308" t="s">
        <v>89</v>
      </c>
      <c r="T308" t="s">
        <v>89</v>
      </c>
      <c r="U308">
        <v>1783</v>
      </c>
      <c r="V308" t="s">
        <v>137</v>
      </c>
      <c r="W308" t="s">
        <v>92</v>
      </c>
      <c r="Y308" t="s">
        <v>38</v>
      </c>
      <c r="AA308" t="s">
        <v>38</v>
      </c>
      <c r="AB308" t="s">
        <v>38</v>
      </c>
      <c r="AC308" t="s">
        <v>38</v>
      </c>
      <c r="AD308" t="s">
        <v>48</v>
      </c>
      <c r="AG308" t="str">
        <f>IF(AD308="United States", IFERROR(INDEX(Sheet2!$C:$C, MATCH(AE308&amp;AF308, Sheet2!$E:$E, 0)) &amp; ", " &amp; INDEX(Sheet2!$D:$D, MATCH(AE308&amp;AF308, Sheet2!$E:$E, 0)), ""), "-")</f>
        <v/>
      </c>
    </row>
    <row r="309" spans="1:33" x14ac:dyDescent="0.25">
      <c r="A309" t="s">
        <v>893</v>
      </c>
      <c r="D309" t="s">
        <v>894</v>
      </c>
      <c r="E309" t="s">
        <v>868</v>
      </c>
      <c r="F309">
        <v>1752</v>
      </c>
      <c r="G309">
        <v>378</v>
      </c>
      <c r="H309">
        <v>25</v>
      </c>
      <c r="J309" t="s">
        <v>794</v>
      </c>
      <c r="O309" t="s">
        <v>41</v>
      </c>
      <c r="R309" t="s">
        <v>89</v>
      </c>
      <c r="T309" t="s">
        <v>89</v>
      </c>
      <c r="U309">
        <v>1783</v>
      </c>
      <c r="V309" t="s">
        <v>137</v>
      </c>
      <c r="W309" t="s">
        <v>92</v>
      </c>
      <c r="Y309" t="s">
        <v>38</v>
      </c>
      <c r="AA309" t="s">
        <v>38</v>
      </c>
      <c r="AB309" t="s">
        <v>38</v>
      </c>
      <c r="AC309" t="s">
        <v>38</v>
      </c>
      <c r="AD309" t="s">
        <v>48</v>
      </c>
      <c r="AG309" t="str">
        <f>IF(AD309="United States", IFERROR(INDEX(Sheet2!$C:$C, MATCH(AE309&amp;AF309, Sheet2!$E:$E, 0)) &amp; ", " &amp; INDEX(Sheet2!$D:$D, MATCH(AE309&amp;AF309, Sheet2!$E:$E, 0)), ""), "-")</f>
        <v/>
      </c>
    </row>
    <row r="310" spans="1:33" x14ac:dyDescent="0.25">
      <c r="A310" t="s">
        <v>893</v>
      </c>
      <c r="D310" t="s">
        <v>210</v>
      </c>
      <c r="E310" t="s">
        <v>831</v>
      </c>
      <c r="F310">
        <v>1757</v>
      </c>
      <c r="G310">
        <v>382</v>
      </c>
      <c r="H310">
        <v>25</v>
      </c>
      <c r="J310" t="s">
        <v>794</v>
      </c>
      <c r="O310" t="s">
        <v>41</v>
      </c>
      <c r="R310" t="s">
        <v>89</v>
      </c>
      <c r="T310" t="s">
        <v>89</v>
      </c>
      <c r="U310">
        <v>1783</v>
      </c>
      <c r="V310" t="s">
        <v>137</v>
      </c>
      <c r="W310" t="s">
        <v>92</v>
      </c>
      <c r="Y310" t="s">
        <v>38</v>
      </c>
      <c r="AA310" t="s">
        <v>38</v>
      </c>
      <c r="AB310" t="s">
        <v>38</v>
      </c>
      <c r="AC310" t="s">
        <v>38</v>
      </c>
      <c r="AD310" t="s">
        <v>48</v>
      </c>
      <c r="AG310" t="str">
        <f>IF(AD310="United States", IFERROR(INDEX(Sheet2!$C:$C, MATCH(AE310&amp;AF310, Sheet2!$E:$E, 0)) &amp; ", " &amp; INDEX(Sheet2!$D:$D, MATCH(AE310&amp;AF310, Sheet2!$E:$E, 0)), ""), "-")</f>
        <v/>
      </c>
    </row>
    <row r="311" spans="1:33" x14ac:dyDescent="0.25">
      <c r="A311" t="s">
        <v>893</v>
      </c>
      <c r="D311" t="s">
        <v>824</v>
      </c>
      <c r="E311" t="s">
        <v>728</v>
      </c>
      <c r="F311">
        <v>1757</v>
      </c>
      <c r="G311">
        <v>384</v>
      </c>
      <c r="H311">
        <v>25</v>
      </c>
      <c r="J311" t="s">
        <v>794</v>
      </c>
      <c r="O311" t="s">
        <v>41</v>
      </c>
      <c r="R311" t="s">
        <v>89</v>
      </c>
      <c r="T311" t="s">
        <v>89</v>
      </c>
      <c r="U311">
        <v>1783</v>
      </c>
      <c r="V311" t="s">
        <v>137</v>
      </c>
      <c r="W311" t="s">
        <v>92</v>
      </c>
      <c r="Y311" t="s">
        <v>38</v>
      </c>
      <c r="AA311" t="s">
        <v>38</v>
      </c>
      <c r="AB311" t="s">
        <v>38</v>
      </c>
      <c r="AC311" t="s">
        <v>38</v>
      </c>
      <c r="AD311" t="s">
        <v>48</v>
      </c>
      <c r="AG311" t="str">
        <f>IF(AD311="United States", IFERROR(INDEX(Sheet2!$C:$C, MATCH(AE311&amp;AF311, Sheet2!$E:$E, 0)) &amp; ", " &amp; INDEX(Sheet2!$D:$D, MATCH(AE311&amp;AF311, Sheet2!$E:$E, 0)), ""), "-")</f>
        <v/>
      </c>
    </row>
    <row r="312" spans="1:33" x14ac:dyDescent="0.25">
      <c r="A312" t="s">
        <v>893</v>
      </c>
      <c r="D312" t="s">
        <v>101</v>
      </c>
      <c r="E312" t="s">
        <v>489</v>
      </c>
      <c r="F312">
        <v>1752</v>
      </c>
      <c r="G312">
        <v>379</v>
      </c>
      <c r="H312">
        <v>25</v>
      </c>
      <c r="J312" t="s">
        <v>794</v>
      </c>
      <c r="O312" t="s">
        <v>41</v>
      </c>
      <c r="R312" t="s">
        <v>89</v>
      </c>
      <c r="T312" t="s">
        <v>89</v>
      </c>
      <c r="U312">
        <v>1783</v>
      </c>
      <c r="V312" t="s">
        <v>137</v>
      </c>
      <c r="W312" t="s">
        <v>92</v>
      </c>
      <c r="Y312" t="s">
        <v>38</v>
      </c>
      <c r="AA312" t="s">
        <v>38</v>
      </c>
      <c r="AB312" t="s">
        <v>38</v>
      </c>
      <c r="AC312" t="s">
        <v>38</v>
      </c>
      <c r="AD312" t="s">
        <v>48</v>
      </c>
      <c r="AG312" t="str">
        <f>IF(AD312="United States", IFERROR(INDEX(Sheet2!$C:$C, MATCH(AE312&amp;AF312, Sheet2!$E:$E, 0)) &amp; ", " &amp; INDEX(Sheet2!$D:$D, MATCH(AE312&amp;AF312, Sheet2!$E:$E, 0)), ""), "-")</f>
        <v/>
      </c>
    </row>
    <row r="313" spans="1:33" x14ac:dyDescent="0.25">
      <c r="A313" t="s">
        <v>893</v>
      </c>
      <c r="D313" t="s">
        <v>807</v>
      </c>
      <c r="E313" t="s">
        <v>808</v>
      </c>
      <c r="F313">
        <v>1765</v>
      </c>
      <c r="G313">
        <v>385</v>
      </c>
      <c r="H313">
        <v>25</v>
      </c>
      <c r="J313" t="s">
        <v>794</v>
      </c>
      <c r="O313" t="s">
        <v>41</v>
      </c>
      <c r="R313" t="s">
        <v>89</v>
      </c>
      <c r="T313" t="s">
        <v>89</v>
      </c>
      <c r="U313">
        <v>1783</v>
      </c>
      <c r="V313" t="s">
        <v>137</v>
      </c>
      <c r="W313" t="s">
        <v>92</v>
      </c>
      <c r="Y313" t="s">
        <v>38</v>
      </c>
      <c r="AA313" t="s">
        <v>38</v>
      </c>
      <c r="AB313" t="s">
        <v>38</v>
      </c>
      <c r="AC313" t="s">
        <v>38</v>
      </c>
      <c r="AD313" t="s">
        <v>48</v>
      </c>
      <c r="AG313" t="str">
        <f>IF(AD313="United States", IFERROR(INDEX(Sheet2!$C:$C, MATCH(AE313&amp;AF313, Sheet2!$E:$E, 0)) &amp; ", " &amp; INDEX(Sheet2!$D:$D, MATCH(AE313&amp;AF313, Sheet2!$E:$E, 0)), ""), "-")</f>
        <v/>
      </c>
    </row>
    <row r="314" spans="1:33" x14ac:dyDescent="0.25">
      <c r="A314" t="s">
        <v>893</v>
      </c>
      <c r="D314" t="s">
        <v>150</v>
      </c>
      <c r="E314" t="s">
        <v>811</v>
      </c>
      <c r="F314">
        <v>1752</v>
      </c>
      <c r="G314">
        <v>387</v>
      </c>
      <c r="H314">
        <v>25</v>
      </c>
      <c r="J314" t="s">
        <v>794</v>
      </c>
      <c r="O314" t="s">
        <v>41</v>
      </c>
      <c r="R314" t="s">
        <v>89</v>
      </c>
      <c r="T314" t="s">
        <v>89</v>
      </c>
      <c r="U314">
        <v>1783</v>
      </c>
      <c r="V314" t="s">
        <v>137</v>
      </c>
      <c r="W314" t="s">
        <v>92</v>
      </c>
      <c r="Y314" t="s">
        <v>38</v>
      </c>
      <c r="AA314" t="s">
        <v>38</v>
      </c>
      <c r="AB314" t="s">
        <v>38</v>
      </c>
      <c r="AC314" t="s">
        <v>38</v>
      </c>
      <c r="AD314" t="s">
        <v>48</v>
      </c>
      <c r="AG314" t="str">
        <f>IF(AD314="United States", IFERROR(INDEX(Sheet2!$C:$C, MATCH(AE314&amp;AF314, Sheet2!$E:$E, 0)) &amp; ", " &amp; INDEX(Sheet2!$D:$D, MATCH(AE314&amp;AF314, Sheet2!$E:$E, 0)), ""), "-")</f>
        <v/>
      </c>
    </row>
    <row r="315" spans="1:33" x14ac:dyDescent="0.25">
      <c r="A315" t="s">
        <v>893</v>
      </c>
      <c r="D315" t="s">
        <v>895</v>
      </c>
      <c r="E315" t="s">
        <v>185</v>
      </c>
      <c r="F315">
        <v>1752</v>
      </c>
      <c r="G315">
        <v>388</v>
      </c>
      <c r="H315">
        <v>25</v>
      </c>
      <c r="J315" t="s">
        <v>794</v>
      </c>
      <c r="O315" t="s">
        <v>57</v>
      </c>
      <c r="R315" t="s">
        <v>89</v>
      </c>
      <c r="T315" t="s">
        <v>89</v>
      </c>
      <c r="U315">
        <v>1783</v>
      </c>
      <c r="V315" t="s">
        <v>137</v>
      </c>
      <c r="W315" t="s">
        <v>92</v>
      </c>
      <c r="Y315" t="s">
        <v>38</v>
      </c>
      <c r="AA315" t="s">
        <v>38</v>
      </c>
      <c r="AB315" t="s">
        <v>38</v>
      </c>
      <c r="AC315" t="s">
        <v>38</v>
      </c>
      <c r="AD315" t="s">
        <v>48</v>
      </c>
      <c r="AG315" t="str">
        <f>IF(AD315="United States", IFERROR(INDEX(Sheet2!$C:$C, MATCH(AE315&amp;AF315, Sheet2!$E:$E, 0)) &amp; ", " &amp; INDEX(Sheet2!$D:$D, MATCH(AE315&amp;AF315, Sheet2!$E:$E, 0)), ""), "-")</f>
        <v/>
      </c>
    </row>
    <row r="316" spans="1:33" x14ac:dyDescent="0.25">
      <c r="A316" t="s">
        <v>893</v>
      </c>
      <c r="D316" t="s">
        <v>36</v>
      </c>
      <c r="E316" t="s">
        <v>275</v>
      </c>
      <c r="F316">
        <v>1750</v>
      </c>
      <c r="G316">
        <v>377</v>
      </c>
      <c r="H316">
        <v>25</v>
      </c>
      <c r="J316" t="s">
        <v>794</v>
      </c>
      <c r="O316" t="s">
        <v>41</v>
      </c>
      <c r="R316" t="s">
        <v>89</v>
      </c>
      <c r="T316" t="s">
        <v>89</v>
      </c>
      <c r="U316">
        <v>1783</v>
      </c>
      <c r="V316" t="s">
        <v>137</v>
      </c>
      <c r="W316" t="s">
        <v>92</v>
      </c>
      <c r="Y316" t="s">
        <v>38</v>
      </c>
      <c r="AA316" t="s">
        <v>38</v>
      </c>
      <c r="AB316" t="s">
        <v>38</v>
      </c>
      <c r="AC316" t="s">
        <v>38</v>
      </c>
      <c r="AD316" t="s">
        <v>48</v>
      </c>
      <c r="AG316" t="str">
        <f>IF(AD316="United States", IFERROR(INDEX(Sheet2!$C:$C, MATCH(AE316&amp;AF316, Sheet2!$E:$E, 0)) &amp; ", " &amp; INDEX(Sheet2!$D:$D, MATCH(AE316&amp;AF316, Sheet2!$E:$E, 0)), ""), "-")</f>
        <v/>
      </c>
    </row>
    <row r="317" spans="1:33" x14ac:dyDescent="0.25">
      <c r="A317" t="s">
        <v>893</v>
      </c>
      <c r="D317" t="s">
        <v>352</v>
      </c>
      <c r="E317" t="s">
        <v>793</v>
      </c>
      <c r="F317">
        <v>1782</v>
      </c>
      <c r="G317">
        <v>361</v>
      </c>
      <c r="H317">
        <v>25</v>
      </c>
      <c r="J317" t="s">
        <v>794</v>
      </c>
      <c r="O317" t="s">
        <v>74</v>
      </c>
      <c r="R317" t="s">
        <v>89</v>
      </c>
      <c r="T317" t="s">
        <v>89</v>
      </c>
      <c r="U317">
        <v>1783</v>
      </c>
      <c r="V317" t="s">
        <v>137</v>
      </c>
      <c r="W317" t="s">
        <v>92</v>
      </c>
      <c r="Y317" t="s">
        <v>38</v>
      </c>
      <c r="AA317" t="s">
        <v>38</v>
      </c>
      <c r="AB317" t="s">
        <v>38</v>
      </c>
      <c r="AC317" t="s">
        <v>38</v>
      </c>
      <c r="AD317" t="s">
        <v>48</v>
      </c>
      <c r="AG317" t="str">
        <f>IF(AD317="United States", IFERROR(INDEX(Sheet2!$C:$C, MATCH(AE317&amp;AF317, Sheet2!$E:$E, 0)) &amp; ", " &amp; INDEX(Sheet2!$D:$D, MATCH(AE317&amp;AF317, Sheet2!$E:$E, 0)), ""), "-")</f>
        <v/>
      </c>
    </row>
    <row r="318" spans="1:33" x14ac:dyDescent="0.25">
      <c r="A318" t="s">
        <v>893</v>
      </c>
      <c r="D318" t="s">
        <v>885</v>
      </c>
      <c r="E318" t="s">
        <v>651</v>
      </c>
      <c r="F318">
        <v>1742</v>
      </c>
      <c r="G318">
        <v>363</v>
      </c>
      <c r="H318">
        <v>25</v>
      </c>
      <c r="J318" t="s">
        <v>794</v>
      </c>
      <c r="O318" t="s">
        <v>57</v>
      </c>
      <c r="R318" t="s">
        <v>89</v>
      </c>
      <c r="T318" t="s">
        <v>89</v>
      </c>
      <c r="U318">
        <v>1783</v>
      </c>
      <c r="V318" t="s">
        <v>137</v>
      </c>
      <c r="W318" t="s">
        <v>92</v>
      </c>
      <c r="Y318" t="s">
        <v>38</v>
      </c>
      <c r="AA318" t="s">
        <v>38</v>
      </c>
      <c r="AB318" t="s">
        <v>38</v>
      </c>
      <c r="AC318" t="s">
        <v>38</v>
      </c>
      <c r="AD318" t="s">
        <v>48</v>
      </c>
      <c r="AG318" t="str">
        <f>IF(AD318="United States", IFERROR(INDEX(Sheet2!$C:$C, MATCH(AE318&amp;AF318, Sheet2!$E:$E, 0)) &amp; ", " &amp; INDEX(Sheet2!$D:$D, MATCH(AE318&amp;AF318, Sheet2!$E:$E, 0)), ""), "-")</f>
        <v/>
      </c>
    </row>
    <row r="319" spans="1:33" x14ac:dyDescent="0.25">
      <c r="A319" t="s">
        <v>893</v>
      </c>
      <c r="D319" t="s">
        <v>896</v>
      </c>
      <c r="E319" t="s">
        <v>185</v>
      </c>
      <c r="F319">
        <v>1753</v>
      </c>
      <c r="G319">
        <v>391</v>
      </c>
      <c r="H319">
        <v>25</v>
      </c>
      <c r="J319" t="s">
        <v>794</v>
      </c>
      <c r="O319" t="s">
        <v>57</v>
      </c>
      <c r="R319" t="s">
        <v>89</v>
      </c>
      <c r="T319" t="s">
        <v>89</v>
      </c>
      <c r="U319">
        <v>1783</v>
      </c>
      <c r="V319" t="s">
        <v>137</v>
      </c>
      <c r="W319" t="s">
        <v>92</v>
      </c>
      <c r="Y319" t="s">
        <v>38</v>
      </c>
      <c r="AA319" t="s">
        <v>38</v>
      </c>
      <c r="AB319" t="s">
        <v>38</v>
      </c>
      <c r="AC319" t="s">
        <v>38</v>
      </c>
      <c r="AD319" t="s">
        <v>48</v>
      </c>
      <c r="AG319" t="str">
        <f>IF(AD319="United States", IFERROR(INDEX(Sheet2!$C:$C, MATCH(AE319&amp;AF319, Sheet2!$E:$E, 0)) &amp; ", " &amp; INDEX(Sheet2!$D:$D, MATCH(AE319&amp;AF319, Sheet2!$E:$E, 0)), ""), "-")</f>
        <v/>
      </c>
    </row>
    <row r="320" spans="1:33" x14ac:dyDescent="0.25">
      <c r="A320" t="s">
        <v>893</v>
      </c>
      <c r="D320" t="s">
        <v>897</v>
      </c>
      <c r="E320" t="s">
        <v>187</v>
      </c>
      <c r="F320">
        <v>1767</v>
      </c>
      <c r="G320">
        <v>392</v>
      </c>
      <c r="H320">
        <v>25</v>
      </c>
      <c r="J320" t="s">
        <v>794</v>
      </c>
      <c r="O320" t="s">
        <v>57</v>
      </c>
      <c r="R320" t="s">
        <v>89</v>
      </c>
      <c r="T320" t="s">
        <v>89</v>
      </c>
      <c r="U320">
        <v>1783</v>
      </c>
      <c r="V320" t="s">
        <v>137</v>
      </c>
      <c r="W320" t="s">
        <v>92</v>
      </c>
      <c r="Y320" t="s">
        <v>38</v>
      </c>
      <c r="AA320" t="s">
        <v>38</v>
      </c>
      <c r="AB320" t="s">
        <v>38</v>
      </c>
      <c r="AC320" t="s">
        <v>38</v>
      </c>
      <c r="AD320" t="s">
        <v>48</v>
      </c>
      <c r="AG320" t="str">
        <f>IF(AD320="United States", IFERROR(INDEX(Sheet2!$C:$C, MATCH(AE320&amp;AF320, Sheet2!$E:$E, 0)) &amp; ", " &amp; INDEX(Sheet2!$D:$D, MATCH(AE320&amp;AF320, Sheet2!$E:$E, 0)), ""), "-")</f>
        <v/>
      </c>
    </row>
    <row r="321" spans="1:33" x14ac:dyDescent="0.25">
      <c r="A321" t="s">
        <v>893</v>
      </c>
      <c r="D321" t="s">
        <v>898</v>
      </c>
      <c r="E321" t="s">
        <v>412</v>
      </c>
      <c r="F321">
        <v>1768</v>
      </c>
      <c r="G321">
        <v>393</v>
      </c>
      <c r="H321">
        <v>25</v>
      </c>
      <c r="J321" t="s">
        <v>794</v>
      </c>
      <c r="O321" t="s">
        <v>54</v>
      </c>
      <c r="R321" t="s">
        <v>89</v>
      </c>
      <c r="T321" t="s">
        <v>89</v>
      </c>
      <c r="U321">
        <v>1783</v>
      </c>
      <c r="V321" t="s">
        <v>137</v>
      </c>
      <c r="W321" t="s">
        <v>92</v>
      </c>
      <c r="Y321" t="s">
        <v>38</v>
      </c>
      <c r="AA321" t="s">
        <v>38</v>
      </c>
      <c r="AB321" t="s">
        <v>38</v>
      </c>
      <c r="AC321" t="s">
        <v>38</v>
      </c>
      <c r="AD321" t="s">
        <v>48</v>
      </c>
      <c r="AG321" t="str">
        <f>IF(AD321="United States", IFERROR(INDEX(Sheet2!$C:$C, MATCH(AE321&amp;AF321, Sheet2!$E:$E, 0)) &amp; ", " &amp; INDEX(Sheet2!$D:$D, MATCH(AE321&amp;AF321, Sheet2!$E:$E, 0)), ""), "-")</f>
        <v/>
      </c>
    </row>
    <row r="322" spans="1:33" x14ac:dyDescent="0.25">
      <c r="A322" t="s">
        <v>893</v>
      </c>
      <c r="D322" t="s">
        <v>210</v>
      </c>
      <c r="E322" t="s">
        <v>260</v>
      </c>
      <c r="F322">
        <v>1755</v>
      </c>
      <c r="G322">
        <v>394</v>
      </c>
      <c r="H322">
        <v>25</v>
      </c>
      <c r="J322" t="s">
        <v>794</v>
      </c>
      <c r="O322" t="s">
        <v>41</v>
      </c>
      <c r="R322" t="s">
        <v>89</v>
      </c>
      <c r="T322" t="s">
        <v>89</v>
      </c>
      <c r="U322">
        <v>1783</v>
      </c>
      <c r="V322" t="s">
        <v>137</v>
      </c>
      <c r="W322" t="s">
        <v>92</v>
      </c>
      <c r="Y322" t="s">
        <v>38</v>
      </c>
      <c r="AA322" t="s">
        <v>38</v>
      </c>
      <c r="AB322" t="s">
        <v>38</v>
      </c>
      <c r="AC322" t="s">
        <v>38</v>
      </c>
      <c r="AD322" t="s">
        <v>48</v>
      </c>
      <c r="AG322" t="str">
        <f>IF(AD322="United States", IFERROR(INDEX(Sheet2!$C:$C, MATCH(AE322&amp;AF322, Sheet2!$E:$E, 0)) &amp; ", " &amp; INDEX(Sheet2!$D:$D, MATCH(AE322&amp;AF322, Sheet2!$E:$E, 0)), ""), "-")</f>
        <v/>
      </c>
    </row>
    <row r="323" spans="1:33" x14ac:dyDescent="0.25">
      <c r="A323" t="s">
        <v>893</v>
      </c>
      <c r="D323" t="s">
        <v>114</v>
      </c>
      <c r="E323" t="s">
        <v>96</v>
      </c>
      <c r="F323">
        <v>1754</v>
      </c>
      <c r="G323">
        <v>395</v>
      </c>
      <c r="H323">
        <v>26</v>
      </c>
      <c r="J323" t="s">
        <v>794</v>
      </c>
      <c r="O323" t="s">
        <v>57</v>
      </c>
      <c r="R323" t="s">
        <v>89</v>
      </c>
      <c r="T323" t="s">
        <v>89</v>
      </c>
      <c r="U323">
        <v>1783</v>
      </c>
      <c r="V323" t="s">
        <v>137</v>
      </c>
      <c r="W323" t="s">
        <v>92</v>
      </c>
      <c r="Y323" t="s">
        <v>38</v>
      </c>
      <c r="AA323" t="s">
        <v>38</v>
      </c>
      <c r="AB323" t="s">
        <v>38</v>
      </c>
      <c r="AC323" t="s">
        <v>38</v>
      </c>
      <c r="AD323" t="s">
        <v>48</v>
      </c>
      <c r="AG323" t="str">
        <f>IF(AD323="United States", IFERROR(INDEX(Sheet2!$C:$C, MATCH(AE323&amp;AF323, Sheet2!$E:$E, 0)) &amp; ", " &amp; INDEX(Sheet2!$D:$D, MATCH(AE323&amp;AF323, Sheet2!$E:$E, 0)), ""), "-")</f>
        <v/>
      </c>
    </row>
    <row r="324" spans="1:33" x14ac:dyDescent="0.25">
      <c r="A324" t="s">
        <v>893</v>
      </c>
      <c r="D324" t="s">
        <v>98</v>
      </c>
      <c r="E324" t="s">
        <v>275</v>
      </c>
      <c r="F324">
        <v>1769</v>
      </c>
      <c r="G324">
        <v>396</v>
      </c>
      <c r="H324">
        <v>26</v>
      </c>
      <c r="J324" t="s">
        <v>794</v>
      </c>
      <c r="O324" t="s">
        <v>74</v>
      </c>
      <c r="R324" t="s">
        <v>89</v>
      </c>
      <c r="T324" t="s">
        <v>89</v>
      </c>
      <c r="U324">
        <v>1783</v>
      </c>
      <c r="V324" t="s">
        <v>137</v>
      </c>
      <c r="W324" t="s">
        <v>92</v>
      </c>
      <c r="Y324" t="s">
        <v>38</v>
      </c>
      <c r="AA324" t="s">
        <v>38</v>
      </c>
      <c r="AB324" t="s">
        <v>38</v>
      </c>
      <c r="AC324" t="s">
        <v>38</v>
      </c>
      <c r="AD324" t="s">
        <v>48</v>
      </c>
      <c r="AG324" t="str">
        <f>IF(AD324="United States", IFERROR(INDEX(Sheet2!$C:$C, MATCH(AE324&amp;AF324, Sheet2!$E:$E, 0)) &amp; ", " &amp; INDEX(Sheet2!$D:$D, MATCH(AE324&amp;AF324, Sheet2!$E:$E, 0)), ""), "-")</f>
        <v/>
      </c>
    </row>
    <row r="325" spans="1:33" x14ac:dyDescent="0.25">
      <c r="A325" t="s">
        <v>893</v>
      </c>
      <c r="D325" t="s">
        <v>887</v>
      </c>
      <c r="E325" t="s">
        <v>888</v>
      </c>
      <c r="F325">
        <v>1764</v>
      </c>
      <c r="G325">
        <v>371</v>
      </c>
      <c r="H325">
        <v>25</v>
      </c>
      <c r="J325" t="s">
        <v>794</v>
      </c>
      <c r="O325" t="s">
        <v>41</v>
      </c>
      <c r="R325" t="s">
        <v>89</v>
      </c>
      <c r="T325" t="s">
        <v>89</v>
      </c>
      <c r="U325">
        <v>1783</v>
      </c>
      <c r="V325" t="s">
        <v>137</v>
      </c>
      <c r="W325" t="s">
        <v>92</v>
      </c>
      <c r="Y325" t="s">
        <v>38</v>
      </c>
      <c r="AA325" t="s">
        <v>38</v>
      </c>
      <c r="AB325" t="s">
        <v>38</v>
      </c>
      <c r="AC325" t="s">
        <v>38</v>
      </c>
      <c r="AD325" t="s">
        <v>48</v>
      </c>
      <c r="AG325" t="str">
        <f>IF(AD325="United States", IFERROR(INDEX(Sheet2!$C:$C, MATCH(AE325&amp;AF325, Sheet2!$E:$E, 0)) &amp; ", " &amp; INDEX(Sheet2!$D:$D, MATCH(AE325&amp;AF325, Sheet2!$E:$E, 0)), ""), "-")</f>
        <v/>
      </c>
    </row>
    <row r="326" spans="1:33" x14ac:dyDescent="0.25">
      <c r="A326" t="s">
        <v>893</v>
      </c>
      <c r="B326" t="s">
        <v>899</v>
      </c>
      <c r="C326" t="s">
        <v>900</v>
      </c>
      <c r="D326" t="s">
        <v>901</v>
      </c>
      <c r="E326" t="s">
        <v>38</v>
      </c>
      <c r="F326">
        <v>1753</v>
      </c>
      <c r="G326">
        <v>1153</v>
      </c>
      <c r="H326" t="s">
        <v>610</v>
      </c>
      <c r="I326" t="s">
        <v>80</v>
      </c>
      <c r="J326" t="s">
        <v>38</v>
      </c>
      <c r="K326" t="s">
        <v>38</v>
      </c>
      <c r="L326" t="s">
        <v>38</v>
      </c>
      <c r="M326" t="s">
        <v>38</v>
      </c>
      <c r="N326" t="s">
        <v>38</v>
      </c>
      <c r="O326" t="s">
        <v>57</v>
      </c>
      <c r="P326" t="s">
        <v>42</v>
      </c>
      <c r="Q326" t="s">
        <v>43</v>
      </c>
      <c r="R326" t="s">
        <v>89</v>
      </c>
      <c r="S326" t="s">
        <v>38</v>
      </c>
      <c r="T326" t="s">
        <v>89</v>
      </c>
      <c r="U326" t="s">
        <v>301</v>
      </c>
      <c r="V326" t="s">
        <v>38</v>
      </c>
      <c r="W326" t="s">
        <v>92</v>
      </c>
      <c r="X326" t="s">
        <v>38</v>
      </c>
      <c r="Y326" t="s">
        <v>902</v>
      </c>
      <c r="Z326" t="s">
        <v>42</v>
      </c>
      <c r="AA326" t="s">
        <v>38</v>
      </c>
      <c r="AB326" t="s">
        <v>38</v>
      </c>
      <c r="AC326" t="s">
        <v>705</v>
      </c>
      <c r="AD326" t="s">
        <v>48</v>
      </c>
      <c r="AG326" t="str">
        <f>IF(AD326="United States", IFERROR(INDEX(Sheet2!$C:$C, MATCH(AE326&amp;AF326, Sheet2!$E:$E, 0)) &amp; ", " &amp; INDEX(Sheet2!$D:$D, MATCH(AE326&amp;AF326, Sheet2!$E:$E, 0)), ""), "-")</f>
        <v/>
      </c>
    </row>
    <row r="327" spans="1:33" x14ac:dyDescent="0.25">
      <c r="A327" t="s">
        <v>893</v>
      </c>
      <c r="D327" t="s">
        <v>101</v>
      </c>
      <c r="E327" t="s">
        <v>848</v>
      </c>
      <c r="F327">
        <v>1756</v>
      </c>
      <c r="G327">
        <v>370</v>
      </c>
      <c r="H327">
        <v>25</v>
      </c>
      <c r="J327" t="s">
        <v>794</v>
      </c>
      <c r="O327" t="s">
        <v>41</v>
      </c>
      <c r="R327" t="s">
        <v>89</v>
      </c>
      <c r="T327" t="s">
        <v>89</v>
      </c>
      <c r="U327">
        <v>1783</v>
      </c>
      <c r="V327" t="s">
        <v>137</v>
      </c>
      <c r="W327" t="s">
        <v>92</v>
      </c>
      <c r="Y327" t="s">
        <v>38</v>
      </c>
      <c r="AA327" t="s">
        <v>38</v>
      </c>
      <c r="AB327" t="s">
        <v>38</v>
      </c>
      <c r="AC327" t="s">
        <v>38</v>
      </c>
      <c r="AD327" t="s">
        <v>48</v>
      </c>
      <c r="AG327" t="str">
        <f>IF(AD327="United States", IFERROR(INDEX(Sheet2!$C:$C, MATCH(AE327&amp;AF327, Sheet2!$E:$E, 0)) &amp; ", " &amp; INDEX(Sheet2!$D:$D, MATCH(AE327&amp;AF327, Sheet2!$E:$E, 0)), ""), "-")</f>
        <v/>
      </c>
    </row>
    <row r="328" spans="1:33" x14ac:dyDescent="0.25">
      <c r="A328" t="s">
        <v>893</v>
      </c>
      <c r="D328" t="s">
        <v>334</v>
      </c>
      <c r="E328" t="s">
        <v>843</v>
      </c>
      <c r="F328">
        <v>1753</v>
      </c>
      <c r="G328">
        <v>369</v>
      </c>
      <c r="H328">
        <v>25</v>
      </c>
      <c r="J328" t="s">
        <v>794</v>
      </c>
      <c r="O328" t="s">
        <v>41</v>
      </c>
      <c r="R328" t="s">
        <v>89</v>
      </c>
      <c r="T328" t="s">
        <v>89</v>
      </c>
      <c r="U328">
        <v>1783</v>
      </c>
      <c r="V328" t="s">
        <v>137</v>
      </c>
      <c r="W328" t="s">
        <v>92</v>
      </c>
      <c r="Y328" t="s">
        <v>38</v>
      </c>
      <c r="AA328" t="s">
        <v>38</v>
      </c>
      <c r="AB328" t="s">
        <v>38</v>
      </c>
      <c r="AC328" t="s">
        <v>38</v>
      </c>
      <c r="AD328" t="s">
        <v>48</v>
      </c>
      <c r="AG328" t="str">
        <f>IF(AD328="United States", IFERROR(INDEX(Sheet2!$C:$C, MATCH(AE328&amp;AF328, Sheet2!$E:$E, 0)) &amp; ", " &amp; INDEX(Sheet2!$D:$D, MATCH(AE328&amp;AF328, Sheet2!$E:$E, 0)), ""), "-")</f>
        <v/>
      </c>
    </row>
    <row r="329" spans="1:33" x14ac:dyDescent="0.25">
      <c r="A329" t="s">
        <v>893</v>
      </c>
      <c r="D329" t="s">
        <v>840</v>
      </c>
      <c r="E329" t="s">
        <v>651</v>
      </c>
      <c r="F329">
        <v>1773</v>
      </c>
      <c r="G329">
        <v>367</v>
      </c>
      <c r="H329">
        <v>25</v>
      </c>
      <c r="J329" t="s">
        <v>794</v>
      </c>
      <c r="O329" t="s">
        <v>74</v>
      </c>
      <c r="R329" t="s">
        <v>89</v>
      </c>
      <c r="T329" t="s">
        <v>89</v>
      </c>
      <c r="U329">
        <v>1783</v>
      </c>
      <c r="V329" t="s">
        <v>137</v>
      </c>
      <c r="W329" t="s">
        <v>92</v>
      </c>
      <c r="Y329" t="s">
        <v>38</v>
      </c>
      <c r="AA329" t="s">
        <v>38</v>
      </c>
      <c r="AB329" t="s">
        <v>38</v>
      </c>
      <c r="AC329" t="s">
        <v>38</v>
      </c>
      <c r="AD329" t="s">
        <v>48</v>
      </c>
      <c r="AG329" t="str">
        <f>IF(AD329="United States", IFERROR(INDEX(Sheet2!$C:$C, MATCH(AE329&amp;AF329, Sheet2!$E:$E, 0)) &amp; ", " &amp; INDEX(Sheet2!$D:$D, MATCH(AE329&amp;AF329, Sheet2!$E:$E, 0)), ""), "-")</f>
        <v/>
      </c>
    </row>
    <row r="330" spans="1:33" x14ac:dyDescent="0.25">
      <c r="A330" t="s">
        <v>893</v>
      </c>
      <c r="D330" t="s">
        <v>837</v>
      </c>
      <c r="E330" t="s">
        <v>651</v>
      </c>
      <c r="F330">
        <v>1770</v>
      </c>
      <c r="G330">
        <v>365</v>
      </c>
      <c r="H330">
        <v>25</v>
      </c>
      <c r="J330" t="s">
        <v>794</v>
      </c>
      <c r="O330" t="s">
        <v>54</v>
      </c>
      <c r="R330" t="s">
        <v>89</v>
      </c>
      <c r="T330" t="s">
        <v>89</v>
      </c>
      <c r="U330">
        <v>1783</v>
      </c>
      <c r="V330" t="s">
        <v>137</v>
      </c>
      <c r="W330" t="s">
        <v>92</v>
      </c>
      <c r="Y330" t="s">
        <v>38</v>
      </c>
      <c r="AA330" t="s">
        <v>38</v>
      </c>
      <c r="AB330" t="s">
        <v>38</v>
      </c>
      <c r="AC330" t="s">
        <v>38</v>
      </c>
      <c r="AD330" t="s">
        <v>48</v>
      </c>
      <c r="AG330" t="str">
        <f>IF(AD330="United States", IFERROR(INDEX(Sheet2!$C:$C, MATCH(AE330&amp;AF330, Sheet2!$E:$E, 0)) &amp; ", " &amp; INDEX(Sheet2!$D:$D, MATCH(AE330&amp;AF330, Sheet2!$E:$E, 0)), ""), "-")</f>
        <v/>
      </c>
    </row>
    <row r="331" spans="1:33" x14ac:dyDescent="0.25">
      <c r="A331" t="s">
        <v>893</v>
      </c>
      <c r="D331" t="s">
        <v>881</v>
      </c>
      <c r="E331" t="s">
        <v>651</v>
      </c>
      <c r="F331">
        <v>1768</v>
      </c>
      <c r="G331">
        <v>364</v>
      </c>
      <c r="H331">
        <v>25</v>
      </c>
      <c r="J331" t="s">
        <v>794</v>
      </c>
      <c r="O331" t="s">
        <v>54</v>
      </c>
      <c r="R331" t="s">
        <v>89</v>
      </c>
      <c r="T331" t="s">
        <v>89</v>
      </c>
      <c r="U331">
        <v>1783</v>
      </c>
      <c r="V331" t="s">
        <v>137</v>
      </c>
      <c r="W331" t="s">
        <v>92</v>
      </c>
      <c r="Y331" t="s">
        <v>38</v>
      </c>
      <c r="AA331" t="s">
        <v>38</v>
      </c>
      <c r="AB331" t="s">
        <v>38</v>
      </c>
      <c r="AC331" t="s">
        <v>38</v>
      </c>
      <c r="AD331" t="s">
        <v>48</v>
      </c>
      <c r="AG331" t="str">
        <f>IF(AD331="United States", IFERROR(INDEX(Sheet2!$C:$C, MATCH(AE331&amp;AF331, Sheet2!$E:$E, 0)) &amp; ", " &amp; INDEX(Sheet2!$D:$D, MATCH(AE331&amp;AF331, Sheet2!$E:$E, 0)), ""), "-")</f>
        <v/>
      </c>
    </row>
    <row r="332" spans="1:33" x14ac:dyDescent="0.25">
      <c r="A332" t="s">
        <v>893</v>
      </c>
      <c r="D332" t="s">
        <v>200</v>
      </c>
      <c r="E332" t="s">
        <v>818</v>
      </c>
      <c r="F332">
        <v>1750</v>
      </c>
      <c r="G332">
        <v>390</v>
      </c>
      <c r="H332">
        <v>25</v>
      </c>
      <c r="J332" t="s">
        <v>794</v>
      </c>
      <c r="O332" t="s">
        <v>41</v>
      </c>
      <c r="R332" t="s">
        <v>89</v>
      </c>
      <c r="T332" t="s">
        <v>89</v>
      </c>
      <c r="U332">
        <v>1783</v>
      </c>
      <c r="V332" t="s">
        <v>137</v>
      </c>
      <c r="W332" t="s">
        <v>92</v>
      </c>
      <c r="Y332" t="s">
        <v>38</v>
      </c>
      <c r="AA332" t="s">
        <v>38</v>
      </c>
      <c r="AB332" t="s">
        <v>38</v>
      </c>
      <c r="AC332" t="s">
        <v>38</v>
      </c>
      <c r="AD332" t="s">
        <v>48</v>
      </c>
      <c r="AG332" t="str">
        <f>IF(AD332="United States", IFERROR(INDEX(Sheet2!$C:$C, MATCH(AE332&amp;AF332, Sheet2!$E:$E, 0)) &amp; ", " &amp; INDEX(Sheet2!$D:$D, MATCH(AE332&amp;AF332, Sheet2!$E:$E, 0)), ""), "-")</f>
        <v/>
      </c>
    </row>
    <row r="333" spans="1:33" x14ac:dyDescent="0.25">
      <c r="A333" t="s">
        <v>893</v>
      </c>
      <c r="D333" t="s">
        <v>62</v>
      </c>
      <c r="E333" t="s">
        <v>816</v>
      </c>
      <c r="F333">
        <v>1763</v>
      </c>
      <c r="G333">
        <v>389</v>
      </c>
      <c r="H333">
        <v>25</v>
      </c>
      <c r="J333" t="s">
        <v>794</v>
      </c>
      <c r="O333" t="s">
        <v>41</v>
      </c>
      <c r="R333" t="s">
        <v>89</v>
      </c>
      <c r="T333" t="s">
        <v>89</v>
      </c>
      <c r="U333">
        <v>1783</v>
      </c>
      <c r="V333" t="s">
        <v>137</v>
      </c>
      <c r="W333" t="s">
        <v>92</v>
      </c>
      <c r="Y333" t="s">
        <v>38</v>
      </c>
      <c r="AA333" t="s">
        <v>38</v>
      </c>
      <c r="AB333" t="s">
        <v>38</v>
      </c>
      <c r="AC333" t="s">
        <v>38</v>
      </c>
      <c r="AD333" t="s">
        <v>48</v>
      </c>
      <c r="AG333" t="str">
        <f>IF(AD333="United States", IFERROR(INDEX(Sheet2!$C:$C, MATCH(AE333&amp;AF333, Sheet2!$E:$E, 0)) &amp; ", " &amp; INDEX(Sheet2!$D:$D, MATCH(AE333&amp;AF333, Sheet2!$E:$E, 0)), ""), "-")</f>
        <v/>
      </c>
    </row>
    <row r="334" spans="1:33" x14ac:dyDescent="0.25">
      <c r="A334" t="s">
        <v>893</v>
      </c>
      <c r="D334" t="s">
        <v>195</v>
      </c>
      <c r="E334" t="s">
        <v>651</v>
      </c>
      <c r="F334">
        <v>1736</v>
      </c>
      <c r="G334">
        <v>362</v>
      </c>
      <c r="H334">
        <v>25</v>
      </c>
      <c r="J334" t="s">
        <v>794</v>
      </c>
      <c r="O334" t="s">
        <v>41</v>
      </c>
      <c r="R334" t="s">
        <v>89</v>
      </c>
      <c r="T334" t="s">
        <v>89</v>
      </c>
      <c r="U334">
        <v>1783</v>
      </c>
      <c r="V334" t="s">
        <v>137</v>
      </c>
      <c r="W334" t="s">
        <v>92</v>
      </c>
      <c r="Y334" t="s">
        <v>38</v>
      </c>
      <c r="AA334" t="s">
        <v>38</v>
      </c>
      <c r="AB334" t="s">
        <v>38</v>
      </c>
      <c r="AC334" t="s">
        <v>38</v>
      </c>
      <c r="AD334" t="s">
        <v>48</v>
      </c>
      <c r="AG334" t="str">
        <f>IF(AD334="United States", IFERROR(INDEX(Sheet2!$C:$C, MATCH(AE334&amp;AF334, Sheet2!$E:$E, 0)) &amp; ", " &amp; INDEX(Sheet2!$D:$D, MATCH(AE334&amp;AF334, Sheet2!$E:$E, 0)), ""), "-")</f>
        <v/>
      </c>
    </row>
    <row r="335" spans="1:33" x14ac:dyDescent="0.25">
      <c r="A335" t="s">
        <v>893</v>
      </c>
      <c r="D335" t="s">
        <v>50</v>
      </c>
      <c r="E335" t="s">
        <v>651</v>
      </c>
      <c r="F335">
        <v>1779</v>
      </c>
      <c r="G335">
        <v>368</v>
      </c>
      <c r="H335">
        <v>25</v>
      </c>
      <c r="J335" t="s">
        <v>794</v>
      </c>
      <c r="O335" t="s">
        <v>74</v>
      </c>
      <c r="R335" t="s">
        <v>89</v>
      </c>
      <c r="T335" t="s">
        <v>89</v>
      </c>
      <c r="U335">
        <v>1783</v>
      </c>
      <c r="V335" t="s">
        <v>137</v>
      </c>
      <c r="W335" t="s">
        <v>92</v>
      </c>
      <c r="Y335" t="s">
        <v>38</v>
      </c>
      <c r="AA335" t="s">
        <v>38</v>
      </c>
      <c r="AB335" t="s">
        <v>38</v>
      </c>
      <c r="AC335" t="s">
        <v>38</v>
      </c>
      <c r="AD335" t="s">
        <v>48</v>
      </c>
      <c r="AG335" t="str">
        <f>IF(AD335="United States", IFERROR(INDEX(Sheet2!$C:$C, MATCH(AE335&amp;AF335, Sheet2!$E:$E, 0)) &amp; ", " &amp; INDEX(Sheet2!$D:$D, MATCH(AE335&amp;AF335, Sheet2!$E:$E, 0)), ""), "-")</f>
        <v/>
      </c>
    </row>
    <row r="336" spans="1:33" x14ac:dyDescent="0.25">
      <c r="A336" t="s">
        <v>893</v>
      </c>
      <c r="B336" t="s">
        <v>903</v>
      </c>
      <c r="C336" t="s">
        <v>900</v>
      </c>
      <c r="D336" t="s">
        <v>904</v>
      </c>
      <c r="E336" t="s">
        <v>905</v>
      </c>
      <c r="F336">
        <v>1753</v>
      </c>
      <c r="G336">
        <v>1152</v>
      </c>
      <c r="H336" t="s">
        <v>610</v>
      </c>
      <c r="I336" t="s">
        <v>80</v>
      </c>
      <c r="J336" t="s">
        <v>38</v>
      </c>
      <c r="K336" t="s">
        <v>38</v>
      </c>
      <c r="L336" t="s">
        <v>38</v>
      </c>
      <c r="M336" t="s">
        <v>38</v>
      </c>
      <c r="N336" t="s">
        <v>38</v>
      </c>
      <c r="O336" t="s">
        <v>57</v>
      </c>
      <c r="P336" t="s">
        <v>42</v>
      </c>
      <c r="Q336" t="s">
        <v>43</v>
      </c>
      <c r="R336" t="s">
        <v>89</v>
      </c>
      <c r="S336" t="s">
        <v>153</v>
      </c>
      <c r="T336" t="s">
        <v>89</v>
      </c>
      <c r="U336" t="s">
        <v>301</v>
      </c>
      <c r="V336" t="s">
        <v>38</v>
      </c>
      <c r="W336" t="s">
        <v>92</v>
      </c>
      <c r="X336" t="s">
        <v>38</v>
      </c>
      <c r="Y336" t="s">
        <v>906</v>
      </c>
      <c r="Z336" t="s">
        <v>42</v>
      </c>
      <c r="AA336" t="s">
        <v>155</v>
      </c>
      <c r="AB336" t="s">
        <v>38</v>
      </c>
      <c r="AC336" t="s">
        <v>153</v>
      </c>
      <c r="AD336" t="s">
        <v>48</v>
      </c>
      <c r="AG336" t="str">
        <f>IF(AD336="United States", IFERROR(INDEX(Sheet2!$C:$C, MATCH(AE336&amp;AF336, Sheet2!$E:$E, 0)) &amp; ", " &amp; INDEX(Sheet2!$D:$D, MATCH(AE336&amp;AF336, Sheet2!$E:$E, 0)), ""), "-")</f>
        <v/>
      </c>
    </row>
    <row r="337" spans="1:33" x14ac:dyDescent="0.25">
      <c r="A337" t="s">
        <v>893</v>
      </c>
      <c r="D337" t="s">
        <v>36</v>
      </c>
      <c r="E337" t="s">
        <v>279</v>
      </c>
      <c r="F337">
        <v>1764</v>
      </c>
      <c r="G337">
        <v>372</v>
      </c>
      <c r="H337">
        <v>25</v>
      </c>
      <c r="J337" t="s">
        <v>794</v>
      </c>
      <c r="O337" t="s">
        <v>41</v>
      </c>
      <c r="R337" t="s">
        <v>89</v>
      </c>
      <c r="T337" t="s">
        <v>89</v>
      </c>
      <c r="U337">
        <v>1783</v>
      </c>
      <c r="V337" t="s">
        <v>137</v>
      </c>
      <c r="W337" t="s">
        <v>92</v>
      </c>
      <c r="Y337" t="s">
        <v>38</v>
      </c>
      <c r="AA337" t="s">
        <v>38</v>
      </c>
      <c r="AB337" t="s">
        <v>38</v>
      </c>
      <c r="AC337" t="s">
        <v>38</v>
      </c>
      <c r="AD337" t="s">
        <v>48</v>
      </c>
      <c r="AG337" t="str">
        <f>IF(AD337="United States", IFERROR(INDEX(Sheet2!$C:$C, MATCH(AE337&amp;AF337, Sheet2!$E:$E, 0)) &amp; ", " &amp; INDEX(Sheet2!$D:$D, MATCH(AE337&amp;AF337, Sheet2!$E:$E, 0)), ""), "-")</f>
        <v/>
      </c>
    </row>
    <row r="338" spans="1:33" x14ac:dyDescent="0.25">
      <c r="A338" t="s">
        <v>893</v>
      </c>
      <c r="B338" t="s">
        <v>907</v>
      </c>
      <c r="C338" t="s">
        <v>900</v>
      </c>
      <c r="D338" t="s">
        <v>691</v>
      </c>
      <c r="E338" t="s">
        <v>908</v>
      </c>
      <c r="F338">
        <v>1743</v>
      </c>
      <c r="G338">
        <v>871</v>
      </c>
      <c r="H338" t="s">
        <v>610</v>
      </c>
      <c r="I338" t="s">
        <v>80</v>
      </c>
      <c r="J338" t="s">
        <v>38</v>
      </c>
      <c r="K338" t="s">
        <v>38</v>
      </c>
      <c r="L338" t="s">
        <v>38</v>
      </c>
      <c r="M338" t="s">
        <v>38</v>
      </c>
      <c r="N338" t="s">
        <v>38</v>
      </c>
      <c r="O338" t="s">
        <v>41</v>
      </c>
      <c r="P338" t="s">
        <v>42</v>
      </c>
      <c r="Q338" t="s">
        <v>43</v>
      </c>
      <c r="R338" t="s">
        <v>89</v>
      </c>
      <c r="S338" t="s">
        <v>201</v>
      </c>
      <c r="T338" t="s">
        <v>89</v>
      </c>
      <c r="U338" t="s">
        <v>301</v>
      </c>
      <c r="V338" t="s">
        <v>38</v>
      </c>
      <c r="W338" t="s">
        <v>92</v>
      </c>
      <c r="X338" t="s">
        <v>38</v>
      </c>
      <c r="Y338" t="s">
        <v>909</v>
      </c>
      <c r="Z338" t="s">
        <v>42</v>
      </c>
      <c r="AA338" t="s">
        <v>354</v>
      </c>
      <c r="AB338" t="s">
        <v>38</v>
      </c>
      <c r="AC338" t="s">
        <v>201</v>
      </c>
      <c r="AD338" t="s">
        <v>48</v>
      </c>
      <c r="AG338" t="str">
        <f>IF(AD338="United States", IFERROR(INDEX(Sheet2!$C:$C, MATCH(AE338&amp;AF338, Sheet2!$E:$E, 0)) &amp; ", " &amp; INDEX(Sheet2!$D:$D, MATCH(AE338&amp;AF338, Sheet2!$E:$E, 0)), ""), "-")</f>
        <v/>
      </c>
    </row>
    <row r="339" spans="1:33" x14ac:dyDescent="0.25">
      <c r="A339" t="s">
        <v>893</v>
      </c>
      <c r="B339" t="s">
        <v>910</v>
      </c>
      <c r="C339" t="s">
        <v>900</v>
      </c>
      <c r="D339" t="s">
        <v>911</v>
      </c>
      <c r="E339" t="s">
        <v>908</v>
      </c>
      <c r="F339">
        <v>1743</v>
      </c>
      <c r="G339">
        <v>872</v>
      </c>
      <c r="H339" t="s">
        <v>610</v>
      </c>
      <c r="I339" t="s">
        <v>80</v>
      </c>
      <c r="J339" t="s">
        <v>38</v>
      </c>
      <c r="K339" t="s">
        <v>38</v>
      </c>
      <c r="L339" t="s">
        <v>38</v>
      </c>
      <c r="M339" t="s">
        <v>38</v>
      </c>
      <c r="N339" t="s">
        <v>38</v>
      </c>
      <c r="O339" t="s">
        <v>57</v>
      </c>
      <c r="P339" t="s">
        <v>42</v>
      </c>
      <c r="Q339" t="s">
        <v>43</v>
      </c>
      <c r="R339" t="s">
        <v>89</v>
      </c>
      <c r="S339" t="s">
        <v>201</v>
      </c>
      <c r="T339" t="s">
        <v>89</v>
      </c>
      <c r="U339" t="s">
        <v>301</v>
      </c>
      <c r="V339" t="s">
        <v>38</v>
      </c>
      <c r="W339" t="s">
        <v>92</v>
      </c>
      <c r="X339" t="s">
        <v>38</v>
      </c>
      <c r="Y339" t="s">
        <v>909</v>
      </c>
      <c r="Z339" t="s">
        <v>42</v>
      </c>
      <c r="AA339" t="s">
        <v>354</v>
      </c>
      <c r="AB339" t="s">
        <v>38</v>
      </c>
      <c r="AC339" t="s">
        <v>201</v>
      </c>
      <c r="AD339" t="s">
        <v>48</v>
      </c>
      <c r="AG339" t="str">
        <f>IF(AD339="United States", IFERROR(INDEX(Sheet2!$C:$C, MATCH(AE339&amp;AF339, Sheet2!$E:$E, 0)) &amp; ", " &amp; INDEX(Sheet2!$D:$D, MATCH(AE339&amp;AF339, Sheet2!$E:$E, 0)), ""), "-")</f>
        <v/>
      </c>
    </row>
    <row r="340" spans="1:33" x14ac:dyDescent="0.25">
      <c r="A340" t="s">
        <v>893</v>
      </c>
      <c r="B340" t="s">
        <v>912</v>
      </c>
      <c r="C340" t="s">
        <v>900</v>
      </c>
      <c r="D340" t="s">
        <v>245</v>
      </c>
      <c r="E340" t="s">
        <v>913</v>
      </c>
      <c r="F340">
        <v>1756</v>
      </c>
      <c r="G340">
        <v>873</v>
      </c>
      <c r="H340" t="s">
        <v>914</v>
      </c>
      <c r="I340" t="s">
        <v>80</v>
      </c>
      <c r="J340" t="s">
        <v>38</v>
      </c>
      <c r="K340" t="s">
        <v>38</v>
      </c>
      <c r="L340" t="s">
        <v>38</v>
      </c>
      <c r="M340" t="s">
        <v>38</v>
      </c>
      <c r="N340" t="s">
        <v>38</v>
      </c>
      <c r="O340" t="s">
        <v>74</v>
      </c>
      <c r="P340" t="s">
        <v>42</v>
      </c>
      <c r="Q340" t="s">
        <v>43</v>
      </c>
      <c r="R340" t="s">
        <v>89</v>
      </c>
      <c r="S340" t="s">
        <v>38</v>
      </c>
      <c r="T340" t="s">
        <v>89</v>
      </c>
      <c r="U340" t="s">
        <v>301</v>
      </c>
      <c r="V340" t="s">
        <v>38</v>
      </c>
      <c r="W340" t="s">
        <v>92</v>
      </c>
      <c r="X340" t="s">
        <v>38</v>
      </c>
      <c r="Y340" t="s">
        <v>915</v>
      </c>
      <c r="Z340" t="s">
        <v>42</v>
      </c>
      <c r="AA340" t="s">
        <v>38</v>
      </c>
      <c r="AB340" t="s">
        <v>38</v>
      </c>
      <c r="AC340" t="s">
        <v>38</v>
      </c>
      <c r="AD340" t="s">
        <v>48</v>
      </c>
      <c r="AG340" t="str">
        <f>IF(AD340="United States", IFERROR(INDEX(Sheet2!$C:$C, MATCH(AE340&amp;AF340, Sheet2!$E:$E, 0)) &amp; ", " &amp; INDEX(Sheet2!$D:$D, MATCH(AE340&amp;AF340, Sheet2!$E:$E, 0)), ""), "-")</f>
        <v/>
      </c>
    </row>
    <row r="341" spans="1:33" x14ac:dyDescent="0.25">
      <c r="A341" t="s">
        <v>893</v>
      </c>
      <c r="B341" t="s">
        <v>916</v>
      </c>
      <c r="C341" t="s">
        <v>900</v>
      </c>
      <c r="D341" t="s">
        <v>917</v>
      </c>
      <c r="E341" t="s">
        <v>905</v>
      </c>
      <c r="F341">
        <v>1733</v>
      </c>
      <c r="G341">
        <v>874</v>
      </c>
      <c r="H341" t="s">
        <v>610</v>
      </c>
      <c r="I341" t="s">
        <v>80</v>
      </c>
      <c r="J341" t="s">
        <v>38</v>
      </c>
      <c r="K341" t="s">
        <v>38</v>
      </c>
      <c r="L341" t="s">
        <v>38</v>
      </c>
      <c r="M341" t="s">
        <v>38</v>
      </c>
      <c r="N341" t="s">
        <v>38</v>
      </c>
      <c r="O341" t="s">
        <v>41</v>
      </c>
      <c r="P341" t="s">
        <v>42</v>
      </c>
      <c r="Q341" t="s">
        <v>43</v>
      </c>
      <c r="R341" t="s">
        <v>89</v>
      </c>
      <c r="S341" t="s">
        <v>153</v>
      </c>
      <c r="T341" t="s">
        <v>89</v>
      </c>
      <c r="U341" t="s">
        <v>301</v>
      </c>
      <c r="V341" t="s">
        <v>38</v>
      </c>
      <c r="W341" t="s">
        <v>92</v>
      </c>
      <c r="X341" t="s">
        <v>38</v>
      </c>
      <c r="Y341" t="s">
        <v>906</v>
      </c>
      <c r="Z341" t="s">
        <v>42</v>
      </c>
      <c r="AA341" t="s">
        <v>155</v>
      </c>
      <c r="AB341" t="s">
        <v>38</v>
      </c>
      <c r="AC341" t="s">
        <v>153</v>
      </c>
      <c r="AD341" t="s">
        <v>48</v>
      </c>
      <c r="AG341" t="str">
        <f>IF(AD341="United States", IFERROR(INDEX(Sheet2!$C:$C, MATCH(AE341&amp;AF341, Sheet2!$E:$E, 0)) &amp; ", " &amp; INDEX(Sheet2!$D:$D, MATCH(AE341&amp;AF341, Sheet2!$E:$E, 0)), ""), "-")</f>
        <v/>
      </c>
    </row>
    <row r="342" spans="1:33" x14ac:dyDescent="0.25">
      <c r="A342" t="s">
        <v>893</v>
      </c>
      <c r="B342" t="s">
        <v>918</v>
      </c>
      <c r="C342" t="s">
        <v>900</v>
      </c>
      <c r="D342" t="s">
        <v>177</v>
      </c>
      <c r="E342" t="s">
        <v>905</v>
      </c>
      <c r="F342">
        <v>1733</v>
      </c>
      <c r="G342">
        <v>875</v>
      </c>
      <c r="H342" t="s">
        <v>914</v>
      </c>
      <c r="I342" t="s">
        <v>80</v>
      </c>
      <c r="J342" t="s">
        <v>38</v>
      </c>
      <c r="K342" t="s">
        <v>38</v>
      </c>
      <c r="L342" t="s">
        <v>38</v>
      </c>
      <c r="M342" t="s">
        <v>38</v>
      </c>
      <c r="N342" t="s">
        <v>38</v>
      </c>
      <c r="O342" t="s">
        <v>41</v>
      </c>
      <c r="P342" t="s">
        <v>42</v>
      </c>
      <c r="Q342" t="s">
        <v>43</v>
      </c>
      <c r="R342" t="s">
        <v>89</v>
      </c>
      <c r="S342" t="s">
        <v>153</v>
      </c>
      <c r="T342" t="s">
        <v>89</v>
      </c>
      <c r="U342" t="s">
        <v>301</v>
      </c>
      <c r="V342" t="s">
        <v>38</v>
      </c>
      <c r="W342" t="s">
        <v>92</v>
      </c>
      <c r="X342" t="s">
        <v>38</v>
      </c>
      <c r="Y342" t="s">
        <v>906</v>
      </c>
      <c r="Z342" t="s">
        <v>42</v>
      </c>
      <c r="AA342" t="s">
        <v>155</v>
      </c>
      <c r="AB342" t="s">
        <v>38</v>
      </c>
      <c r="AC342" t="s">
        <v>153</v>
      </c>
      <c r="AD342" t="s">
        <v>48</v>
      </c>
      <c r="AG342" t="str">
        <f>IF(AD342="United States", IFERROR(INDEX(Sheet2!$C:$C, MATCH(AE342&amp;AF342, Sheet2!$E:$E, 0)) &amp; ", " &amp; INDEX(Sheet2!$D:$D, MATCH(AE342&amp;AF342, Sheet2!$E:$E, 0)), ""), "-")</f>
        <v/>
      </c>
    </row>
    <row r="343" spans="1:33" x14ac:dyDescent="0.25">
      <c r="A343" t="s">
        <v>893</v>
      </c>
      <c r="B343" t="s">
        <v>903</v>
      </c>
      <c r="C343" t="s">
        <v>900</v>
      </c>
      <c r="D343" t="s">
        <v>904</v>
      </c>
      <c r="E343" t="s">
        <v>905</v>
      </c>
      <c r="F343">
        <v>1753</v>
      </c>
      <c r="G343">
        <v>876</v>
      </c>
      <c r="H343" t="s">
        <v>610</v>
      </c>
      <c r="I343" t="s">
        <v>80</v>
      </c>
      <c r="J343" t="s">
        <v>38</v>
      </c>
      <c r="K343" t="s">
        <v>38</v>
      </c>
      <c r="L343" t="s">
        <v>38</v>
      </c>
      <c r="M343" t="s">
        <v>38</v>
      </c>
      <c r="N343" t="s">
        <v>38</v>
      </c>
      <c r="O343" t="s">
        <v>57</v>
      </c>
      <c r="P343" t="s">
        <v>42</v>
      </c>
      <c r="Q343" t="s">
        <v>43</v>
      </c>
      <c r="R343" t="s">
        <v>89</v>
      </c>
      <c r="S343" t="s">
        <v>153</v>
      </c>
      <c r="T343" t="s">
        <v>89</v>
      </c>
      <c r="U343" t="s">
        <v>301</v>
      </c>
      <c r="V343" t="s">
        <v>38</v>
      </c>
      <c r="W343" t="s">
        <v>92</v>
      </c>
      <c r="X343" t="s">
        <v>38</v>
      </c>
      <c r="Y343" t="s">
        <v>906</v>
      </c>
      <c r="Z343" t="s">
        <v>42</v>
      </c>
      <c r="AA343" t="s">
        <v>155</v>
      </c>
      <c r="AB343" t="s">
        <v>38</v>
      </c>
      <c r="AC343" t="s">
        <v>153</v>
      </c>
      <c r="AD343" t="s">
        <v>48</v>
      </c>
      <c r="AG343" t="str">
        <f>IF(AD343="United States", IFERROR(INDEX(Sheet2!$C:$C, MATCH(AE343&amp;AF343, Sheet2!$E:$E, 0)) &amp; ", " &amp; INDEX(Sheet2!$D:$D, MATCH(AE343&amp;AF343, Sheet2!$E:$E, 0)), ""), "-")</f>
        <v/>
      </c>
    </row>
    <row r="344" spans="1:33" x14ac:dyDescent="0.25">
      <c r="A344" t="s">
        <v>893</v>
      </c>
      <c r="B344" t="s">
        <v>899</v>
      </c>
      <c r="C344" t="s">
        <v>900</v>
      </c>
      <c r="D344" t="s">
        <v>901</v>
      </c>
      <c r="E344" t="s">
        <v>38</v>
      </c>
      <c r="F344">
        <v>1753</v>
      </c>
      <c r="G344">
        <v>877</v>
      </c>
      <c r="H344" t="s">
        <v>610</v>
      </c>
      <c r="I344" t="s">
        <v>80</v>
      </c>
      <c r="J344" t="s">
        <v>38</v>
      </c>
      <c r="K344" t="s">
        <v>38</v>
      </c>
      <c r="L344" t="s">
        <v>38</v>
      </c>
      <c r="M344" t="s">
        <v>38</v>
      </c>
      <c r="N344" t="s">
        <v>38</v>
      </c>
      <c r="O344" t="s">
        <v>57</v>
      </c>
      <c r="P344" t="s">
        <v>42</v>
      </c>
      <c r="Q344" t="s">
        <v>43</v>
      </c>
      <c r="R344" t="s">
        <v>89</v>
      </c>
      <c r="S344" t="s">
        <v>38</v>
      </c>
      <c r="T344" t="s">
        <v>89</v>
      </c>
      <c r="U344" t="s">
        <v>301</v>
      </c>
      <c r="V344" t="s">
        <v>38</v>
      </c>
      <c r="W344" t="s">
        <v>92</v>
      </c>
      <c r="X344" t="s">
        <v>38</v>
      </c>
      <c r="Y344" t="s">
        <v>902</v>
      </c>
      <c r="Z344" t="s">
        <v>42</v>
      </c>
      <c r="AA344" t="s">
        <v>38</v>
      </c>
      <c r="AB344" t="s">
        <v>38</v>
      </c>
      <c r="AC344" t="s">
        <v>705</v>
      </c>
      <c r="AD344" t="s">
        <v>48</v>
      </c>
      <c r="AG344" t="str">
        <f>IF(AD344="United States", IFERROR(INDEX(Sheet2!$C:$C, MATCH(AE344&amp;AF344, Sheet2!$E:$E, 0)) &amp; ", " &amp; INDEX(Sheet2!$D:$D, MATCH(AE344&amp;AF344, Sheet2!$E:$E, 0)), ""), "-")</f>
        <v/>
      </c>
    </row>
    <row r="345" spans="1:33" x14ac:dyDescent="0.25">
      <c r="A345" t="s">
        <v>893</v>
      </c>
      <c r="D345" t="s">
        <v>919</v>
      </c>
      <c r="E345" t="s">
        <v>728</v>
      </c>
      <c r="F345">
        <v>1760</v>
      </c>
      <c r="G345">
        <v>373</v>
      </c>
      <c r="H345">
        <v>25</v>
      </c>
      <c r="J345" t="s">
        <v>794</v>
      </c>
      <c r="O345" t="s">
        <v>41</v>
      </c>
      <c r="R345" t="s">
        <v>89</v>
      </c>
      <c r="T345" t="s">
        <v>89</v>
      </c>
      <c r="U345">
        <v>1783</v>
      </c>
      <c r="V345" t="s">
        <v>137</v>
      </c>
      <c r="W345" t="s">
        <v>92</v>
      </c>
      <c r="Y345" t="s">
        <v>38</v>
      </c>
      <c r="AA345" t="s">
        <v>38</v>
      </c>
      <c r="AB345" t="s">
        <v>38</v>
      </c>
      <c r="AC345" t="s">
        <v>38</v>
      </c>
      <c r="AD345" t="s">
        <v>48</v>
      </c>
      <c r="AG345" t="str">
        <f>IF(AD345="United States", IFERROR(INDEX(Sheet2!$C:$C, MATCH(AE345&amp;AF345, Sheet2!$E:$E, 0)) &amp; ", " &amp; INDEX(Sheet2!$D:$D, MATCH(AE345&amp;AF345, Sheet2!$E:$E, 0)), ""), "-")</f>
        <v/>
      </c>
    </row>
    <row r="346" spans="1:33" x14ac:dyDescent="0.25">
      <c r="A346" t="s">
        <v>893</v>
      </c>
      <c r="D346" t="s">
        <v>226</v>
      </c>
      <c r="E346" t="s">
        <v>920</v>
      </c>
      <c r="F346">
        <v>1755</v>
      </c>
      <c r="G346">
        <v>354</v>
      </c>
      <c r="H346">
        <v>25</v>
      </c>
      <c r="J346" t="s">
        <v>794</v>
      </c>
      <c r="O346" t="s">
        <v>41</v>
      </c>
      <c r="R346" t="s">
        <v>89</v>
      </c>
      <c r="T346" t="s">
        <v>89</v>
      </c>
      <c r="U346">
        <v>1783</v>
      </c>
      <c r="V346" t="s">
        <v>137</v>
      </c>
      <c r="W346" t="s">
        <v>92</v>
      </c>
      <c r="Y346" t="s">
        <v>38</v>
      </c>
      <c r="AA346" t="s">
        <v>38</v>
      </c>
      <c r="AB346" t="s">
        <v>38</v>
      </c>
      <c r="AC346" t="s">
        <v>38</v>
      </c>
      <c r="AD346" t="s">
        <v>48</v>
      </c>
      <c r="AG346" t="str">
        <f>IF(AD346="United States", IFERROR(INDEX(Sheet2!$C:$C, MATCH(AE346&amp;AF346, Sheet2!$E:$E, 0)) &amp; ", " &amp; INDEX(Sheet2!$D:$D, MATCH(AE346&amp;AF346, Sheet2!$E:$E, 0)), ""), "-")</f>
        <v/>
      </c>
    </row>
    <row r="347" spans="1:33" x14ac:dyDescent="0.25">
      <c r="A347" t="s">
        <v>893</v>
      </c>
      <c r="D347" t="s">
        <v>834</v>
      </c>
      <c r="E347" t="s">
        <v>920</v>
      </c>
      <c r="F347">
        <v>1750</v>
      </c>
      <c r="G347">
        <v>355</v>
      </c>
      <c r="H347">
        <v>25</v>
      </c>
      <c r="J347" t="s">
        <v>794</v>
      </c>
      <c r="O347" t="s">
        <v>57</v>
      </c>
      <c r="R347" t="s">
        <v>89</v>
      </c>
      <c r="T347" t="s">
        <v>89</v>
      </c>
      <c r="U347">
        <v>1783</v>
      </c>
      <c r="V347" t="s">
        <v>137</v>
      </c>
      <c r="W347" t="s">
        <v>92</v>
      </c>
      <c r="Y347" t="s">
        <v>38</v>
      </c>
      <c r="AA347" t="s">
        <v>38</v>
      </c>
      <c r="AB347" t="s">
        <v>38</v>
      </c>
      <c r="AC347" t="s">
        <v>38</v>
      </c>
      <c r="AD347" t="s">
        <v>48</v>
      </c>
      <c r="AG347" t="str">
        <f>IF(AD347="United States", IFERROR(INDEX(Sheet2!$C:$C, MATCH(AE347&amp;AF347, Sheet2!$E:$E, 0)) &amp; ", " &amp; INDEX(Sheet2!$D:$D, MATCH(AE347&amp;AF347, Sheet2!$E:$E, 0)), ""), "-")</f>
        <v/>
      </c>
    </row>
    <row r="348" spans="1:33" x14ac:dyDescent="0.25">
      <c r="A348" t="s">
        <v>893</v>
      </c>
      <c r="D348" t="s">
        <v>797</v>
      </c>
      <c r="E348" t="s">
        <v>920</v>
      </c>
      <c r="F348">
        <v>1772</v>
      </c>
      <c r="G348">
        <v>356</v>
      </c>
      <c r="H348">
        <v>25</v>
      </c>
      <c r="J348" t="s">
        <v>794</v>
      </c>
      <c r="O348" t="s">
        <v>74</v>
      </c>
      <c r="R348" t="s">
        <v>89</v>
      </c>
      <c r="T348" t="s">
        <v>89</v>
      </c>
      <c r="U348">
        <v>1783</v>
      </c>
      <c r="V348" t="s">
        <v>137</v>
      </c>
      <c r="W348" t="s">
        <v>92</v>
      </c>
      <c r="Y348" t="s">
        <v>38</v>
      </c>
      <c r="AA348" t="s">
        <v>38</v>
      </c>
      <c r="AB348" t="s">
        <v>38</v>
      </c>
      <c r="AC348" t="s">
        <v>38</v>
      </c>
      <c r="AD348" t="s">
        <v>48</v>
      </c>
      <c r="AG348" t="str">
        <f>IF(AD348="United States", IFERROR(INDEX(Sheet2!$C:$C, MATCH(AE348&amp;AF348, Sheet2!$E:$E, 0)) &amp; ", " &amp; INDEX(Sheet2!$D:$D, MATCH(AE348&amp;AF348, Sheet2!$E:$E, 0)), ""), "-")</f>
        <v/>
      </c>
    </row>
    <row r="349" spans="1:33" x14ac:dyDescent="0.25">
      <c r="A349" t="s">
        <v>893</v>
      </c>
      <c r="D349" t="s">
        <v>114</v>
      </c>
      <c r="E349" t="s">
        <v>920</v>
      </c>
      <c r="F349">
        <v>1779</v>
      </c>
      <c r="G349">
        <v>357</v>
      </c>
      <c r="H349">
        <v>25</v>
      </c>
      <c r="J349" t="s">
        <v>794</v>
      </c>
      <c r="O349" t="s">
        <v>74</v>
      </c>
      <c r="R349" t="s">
        <v>89</v>
      </c>
      <c r="T349" t="s">
        <v>89</v>
      </c>
      <c r="U349">
        <v>1783</v>
      </c>
      <c r="V349" t="s">
        <v>137</v>
      </c>
      <c r="W349" t="s">
        <v>92</v>
      </c>
      <c r="Y349" t="s">
        <v>38</v>
      </c>
      <c r="AA349" t="s">
        <v>38</v>
      </c>
      <c r="AB349" t="s">
        <v>38</v>
      </c>
      <c r="AC349" t="s">
        <v>38</v>
      </c>
      <c r="AD349" t="s">
        <v>48</v>
      </c>
      <c r="AG349" t="str">
        <f>IF(AD349="United States", IFERROR(INDEX(Sheet2!$C:$C, MATCH(AE349&amp;AF349, Sheet2!$E:$E, 0)) &amp; ", " &amp; INDEX(Sheet2!$D:$D, MATCH(AE349&amp;AF349, Sheet2!$E:$E, 0)), ""), "-")</f>
        <v/>
      </c>
    </row>
    <row r="350" spans="1:33" x14ac:dyDescent="0.25">
      <c r="A350" t="s">
        <v>893</v>
      </c>
      <c r="B350" t="s">
        <v>910</v>
      </c>
      <c r="C350" t="s">
        <v>900</v>
      </c>
      <c r="D350" t="s">
        <v>911</v>
      </c>
      <c r="E350" t="s">
        <v>908</v>
      </c>
      <c r="F350">
        <v>1743</v>
      </c>
      <c r="G350">
        <v>1148</v>
      </c>
      <c r="H350" t="s">
        <v>610</v>
      </c>
      <c r="I350" t="s">
        <v>80</v>
      </c>
      <c r="J350" t="s">
        <v>38</v>
      </c>
      <c r="K350" t="s">
        <v>38</v>
      </c>
      <c r="L350" t="s">
        <v>38</v>
      </c>
      <c r="M350" t="s">
        <v>38</v>
      </c>
      <c r="N350" t="s">
        <v>38</v>
      </c>
      <c r="O350" t="s">
        <v>57</v>
      </c>
      <c r="P350" t="s">
        <v>42</v>
      </c>
      <c r="Q350" t="s">
        <v>43</v>
      </c>
      <c r="R350" t="s">
        <v>89</v>
      </c>
      <c r="S350" t="s">
        <v>201</v>
      </c>
      <c r="T350" t="s">
        <v>89</v>
      </c>
      <c r="U350" t="s">
        <v>301</v>
      </c>
      <c r="V350" t="s">
        <v>38</v>
      </c>
      <c r="W350" t="s">
        <v>92</v>
      </c>
      <c r="X350" t="s">
        <v>38</v>
      </c>
      <c r="Y350" t="s">
        <v>909</v>
      </c>
      <c r="Z350" t="s">
        <v>42</v>
      </c>
      <c r="AA350" t="s">
        <v>354</v>
      </c>
      <c r="AB350" t="s">
        <v>38</v>
      </c>
      <c r="AC350" t="s">
        <v>201</v>
      </c>
      <c r="AD350" t="s">
        <v>48</v>
      </c>
      <c r="AG350" t="str">
        <f>IF(AD350="United States", IFERROR(INDEX(Sheet2!$C:$C, MATCH(AE350&amp;AF350, Sheet2!$E:$E, 0)) &amp; ", " &amp; INDEX(Sheet2!$D:$D, MATCH(AE350&amp;AF350, Sheet2!$E:$E, 0)), ""), "-")</f>
        <v/>
      </c>
    </row>
    <row r="351" spans="1:33" x14ac:dyDescent="0.25">
      <c r="A351" t="s">
        <v>893</v>
      </c>
      <c r="D351" t="s">
        <v>230</v>
      </c>
      <c r="E351" t="s">
        <v>793</v>
      </c>
      <c r="F351">
        <v>1757</v>
      </c>
      <c r="G351">
        <v>359</v>
      </c>
      <c r="H351">
        <v>25</v>
      </c>
      <c r="J351" t="s">
        <v>794</v>
      </c>
      <c r="O351" t="s">
        <v>41</v>
      </c>
      <c r="R351" t="s">
        <v>89</v>
      </c>
      <c r="T351" t="s">
        <v>89</v>
      </c>
      <c r="U351">
        <v>1783</v>
      </c>
      <c r="V351" t="s">
        <v>137</v>
      </c>
      <c r="W351" t="s">
        <v>92</v>
      </c>
      <c r="Y351" t="s">
        <v>38</v>
      </c>
      <c r="AA351" t="s">
        <v>38</v>
      </c>
      <c r="AB351" t="s">
        <v>38</v>
      </c>
      <c r="AC351" t="s">
        <v>38</v>
      </c>
      <c r="AD351" t="s">
        <v>48</v>
      </c>
      <c r="AG351" t="str">
        <f>IF(AD351="United States", IFERROR(INDEX(Sheet2!$C:$C, MATCH(AE351&amp;AF351, Sheet2!$E:$E, 0)) &amp; ", " &amp; INDEX(Sheet2!$D:$D, MATCH(AE351&amp;AF351, Sheet2!$E:$E, 0)), ""), "-")</f>
        <v/>
      </c>
    </row>
    <row r="352" spans="1:33" x14ac:dyDescent="0.25">
      <c r="A352" t="s">
        <v>893</v>
      </c>
      <c r="D352" t="s">
        <v>36</v>
      </c>
      <c r="E352" t="s">
        <v>920</v>
      </c>
      <c r="F352">
        <v>1782</v>
      </c>
      <c r="G352">
        <v>358</v>
      </c>
      <c r="H352">
        <v>25</v>
      </c>
      <c r="J352" t="s">
        <v>794</v>
      </c>
      <c r="O352" t="s">
        <v>54</v>
      </c>
      <c r="R352" t="s">
        <v>89</v>
      </c>
      <c r="T352" t="s">
        <v>89</v>
      </c>
      <c r="U352">
        <v>1783</v>
      </c>
      <c r="V352" t="s">
        <v>137</v>
      </c>
      <c r="W352" t="s">
        <v>92</v>
      </c>
      <c r="Y352" t="s">
        <v>38</v>
      </c>
      <c r="AA352" t="s">
        <v>38</v>
      </c>
      <c r="AB352" t="s">
        <v>38</v>
      </c>
      <c r="AC352" t="s">
        <v>38</v>
      </c>
      <c r="AD352" t="s">
        <v>48</v>
      </c>
      <c r="AG352" t="str">
        <f>IF(AD352="United States", IFERROR(INDEX(Sheet2!$C:$C, MATCH(AE352&amp;AF352, Sheet2!$E:$E, 0)) &amp; ", " &amp; INDEX(Sheet2!$D:$D, MATCH(AE352&amp;AF352, Sheet2!$E:$E, 0)), ""), "-")</f>
        <v/>
      </c>
    </row>
    <row r="353" spans="1:33" x14ac:dyDescent="0.25">
      <c r="A353" t="s">
        <v>893</v>
      </c>
      <c r="B353" t="s">
        <v>907</v>
      </c>
      <c r="C353" t="s">
        <v>900</v>
      </c>
      <c r="D353" t="s">
        <v>691</v>
      </c>
      <c r="E353" t="s">
        <v>908</v>
      </c>
      <c r="F353">
        <v>1743</v>
      </c>
      <c r="G353">
        <v>1147</v>
      </c>
      <c r="H353" t="s">
        <v>610</v>
      </c>
      <c r="I353" t="s">
        <v>80</v>
      </c>
      <c r="J353" t="s">
        <v>38</v>
      </c>
      <c r="K353" t="s">
        <v>38</v>
      </c>
      <c r="L353" t="s">
        <v>38</v>
      </c>
      <c r="M353" t="s">
        <v>38</v>
      </c>
      <c r="N353" t="s">
        <v>38</v>
      </c>
      <c r="O353" t="s">
        <v>41</v>
      </c>
      <c r="P353" t="s">
        <v>42</v>
      </c>
      <c r="Q353" t="s">
        <v>43</v>
      </c>
      <c r="R353" t="s">
        <v>89</v>
      </c>
      <c r="S353" t="s">
        <v>201</v>
      </c>
      <c r="T353" t="s">
        <v>89</v>
      </c>
      <c r="U353" t="s">
        <v>301</v>
      </c>
      <c r="V353" t="s">
        <v>38</v>
      </c>
      <c r="W353" t="s">
        <v>92</v>
      </c>
      <c r="X353" t="s">
        <v>38</v>
      </c>
      <c r="Y353" t="s">
        <v>909</v>
      </c>
      <c r="Z353" t="s">
        <v>42</v>
      </c>
      <c r="AA353" t="s">
        <v>354</v>
      </c>
      <c r="AB353" t="s">
        <v>38</v>
      </c>
      <c r="AC353" t="s">
        <v>201</v>
      </c>
      <c r="AD353" t="s">
        <v>48</v>
      </c>
      <c r="AG353" t="str">
        <f>IF(AD353="United States", IFERROR(INDEX(Sheet2!$C:$C, MATCH(AE353&amp;AF353, Sheet2!$E:$E, 0)) &amp; ", " &amp; INDEX(Sheet2!$D:$D, MATCH(AE353&amp;AF353, Sheet2!$E:$E, 0)), ""), "-")</f>
        <v/>
      </c>
    </row>
    <row r="354" spans="1:33" x14ac:dyDescent="0.25">
      <c r="A354" t="s">
        <v>893</v>
      </c>
      <c r="B354" t="s">
        <v>918</v>
      </c>
      <c r="C354" t="s">
        <v>900</v>
      </c>
      <c r="D354" t="s">
        <v>177</v>
      </c>
      <c r="E354" t="s">
        <v>905</v>
      </c>
      <c r="F354">
        <v>1733</v>
      </c>
      <c r="G354">
        <v>1151</v>
      </c>
      <c r="H354" t="s">
        <v>914</v>
      </c>
      <c r="I354" t="s">
        <v>80</v>
      </c>
      <c r="J354" t="s">
        <v>38</v>
      </c>
      <c r="K354" t="s">
        <v>38</v>
      </c>
      <c r="L354" t="s">
        <v>38</v>
      </c>
      <c r="M354" t="s">
        <v>38</v>
      </c>
      <c r="N354" t="s">
        <v>38</v>
      </c>
      <c r="O354" t="s">
        <v>41</v>
      </c>
      <c r="P354" t="s">
        <v>42</v>
      </c>
      <c r="Q354" t="s">
        <v>43</v>
      </c>
      <c r="R354" t="s">
        <v>89</v>
      </c>
      <c r="S354" t="s">
        <v>153</v>
      </c>
      <c r="T354" t="s">
        <v>89</v>
      </c>
      <c r="U354" t="s">
        <v>301</v>
      </c>
      <c r="V354" t="s">
        <v>38</v>
      </c>
      <c r="W354" t="s">
        <v>92</v>
      </c>
      <c r="X354" t="s">
        <v>38</v>
      </c>
      <c r="Y354" t="s">
        <v>906</v>
      </c>
      <c r="Z354" t="s">
        <v>42</v>
      </c>
      <c r="AA354" t="s">
        <v>155</v>
      </c>
      <c r="AB354" t="s">
        <v>38</v>
      </c>
      <c r="AC354" t="s">
        <v>153</v>
      </c>
      <c r="AD354" t="s">
        <v>48</v>
      </c>
      <c r="AG354" t="str">
        <f>IF(AD354="United States", IFERROR(INDEX(Sheet2!$C:$C, MATCH(AE354&amp;AF354, Sheet2!$E:$E, 0)) &amp; ", " &amp; INDEX(Sheet2!$D:$D, MATCH(AE354&amp;AF354, Sheet2!$E:$E, 0)), ""), "-")</f>
        <v/>
      </c>
    </row>
    <row r="355" spans="1:33" x14ac:dyDescent="0.25">
      <c r="A355" t="s">
        <v>893</v>
      </c>
      <c r="B355" t="s">
        <v>916</v>
      </c>
      <c r="C355" t="s">
        <v>900</v>
      </c>
      <c r="D355" t="s">
        <v>917</v>
      </c>
      <c r="E355" t="s">
        <v>905</v>
      </c>
      <c r="F355">
        <v>1733</v>
      </c>
      <c r="G355">
        <v>1150</v>
      </c>
      <c r="H355" t="s">
        <v>610</v>
      </c>
      <c r="I355" t="s">
        <v>80</v>
      </c>
      <c r="J355" t="s">
        <v>38</v>
      </c>
      <c r="K355" t="s">
        <v>38</v>
      </c>
      <c r="L355" t="s">
        <v>38</v>
      </c>
      <c r="M355" t="s">
        <v>38</v>
      </c>
      <c r="N355" t="s">
        <v>38</v>
      </c>
      <c r="O355" t="s">
        <v>41</v>
      </c>
      <c r="P355" t="s">
        <v>42</v>
      </c>
      <c r="Q355" t="s">
        <v>43</v>
      </c>
      <c r="R355" t="s">
        <v>89</v>
      </c>
      <c r="S355" t="s">
        <v>153</v>
      </c>
      <c r="T355" t="s">
        <v>89</v>
      </c>
      <c r="U355" t="s">
        <v>301</v>
      </c>
      <c r="V355" t="s">
        <v>38</v>
      </c>
      <c r="W355" t="s">
        <v>92</v>
      </c>
      <c r="X355" t="s">
        <v>38</v>
      </c>
      <c r="Y355" t="s">
        <v>906</v>
      </c>
      <c r="Z355" t="s">
        <v>42</v>
      </c>
      <c r="AA355" t="s">
        <v>155</v>
      </c>
      <c r="AB355" t="s">
        <v>38</v>
      </c>
      <c r="AC355" t="s">
        <v>153</v>
      </c>
      <c r="AD355" t="s">
        <v>48</v>
      </c>
      <c r="AG355" t="str">
        <f>IF(AD355="United States", IFERROR(INDEX(Sheet2!$C:$C, MATCH(AE355&amp;AF355, Sheet2!$E:$E, 0)) &amp; ", " &amp; INDEX(Sheet2!$D:$D, MATCH(AE355&amp;AF355, Sheet2!$E:$E, 0)), ""), "-")</f>
        <v/>
      </c>
    </row>
    <row r="356" spans="1:33" x14ac:dyDescent="0.25">
      <c r="A356" t="s">
        <v>893</v>
      </c>
      <c r="B356" t="s">
        <v>912</v>
      </c>
      <c r="C356" t="s">
        <v>900</v>
      </c>
      <c r="D356" t="s">
        <v>245</v>
      </c>
      <c r="E356" t="s">
        <v>913</v>
      </c>
      <c r="F356">
        <v>1756</v>
      </c>
      <c r="G356">
        <v>1149</v>
      </c>
      <c r="H356" t="s">
        <v>914</v>
      </c>
      <c r="I356" t="s">
        <v>80</v>
      </c>
      <c r="J356" t="s">
        <v>38</v>
      </c>
      <c r="K356" t="s">
        <v>38</v>
      </c>
      <c r="L356" t="s">
        <v>38</v>
      </c>
      <c r="M356" t="s">
        <v>38</v>
      </c>
      <c r="N356" t="s">
        <v>38</v>
      </c>
      <c r="O356" t="s">
        <v>74</v>
      </c>
      <c r="P356" t="s">
        <v>42</v>
      </c>
      <c r="Q356" t="s">
        <v>43</v>
      </c>
      <c r="R356" t="s">
        <v>89</v>
      </c>
      <c r="S356" t="s">
        <v>38</v>
      </c>
      <c r="T356" t="s">
        <v>89</v>
      </c>
      <c r="U356" t="s">
        <v>301</v>
      </c>
      <c r="V356" t="s">
        <v>38</v>
      </c>
      <c r="W356" t="s">
        <v>92</v>
      </c>
      <c r="X356" t="s">
        <v>38</v>
      </c>
      <c r="Y356" t="s">
        <v>915</v>
      </c>
      <c r="Z356" t="s">
        <v>42</v>
      </c>
      <c r="AA356" t="s">
        <v>38</v>
      </c>
      <c r="AB356" t="s">
        <v>38</v>
      </c>
      <c r="AC356" t="s">
        <v>38</v>
      </c>
      <c r="AD356" t="s">
        <v>48</v>
      </c>
      <c r="AG356" t="str">
        <f>IF(AD356="United States", IFERROR(INDEX(Sheet2!$C:$C, MATCH(AE356&amp;AF356, Sheet2!$E:$E, 0)) &amp; ", " &amp; INDEX(Sheet2!$D:$D, MATCH(AE356&amp;AF356, Sheet2!$E:$E, 0)), ""), "-")</f>
        <v/>
      </c>
    </row>
    <row r="357" spans="1:33" x14ac:dyDescent="0.25">
      <c r="A357" t="s">
        <v>921</v>
      </c>
      <c r="B357" t="s">
        <v>922</v>
      </c>
      <c r="C357" t="s">
        <v>923</v>
      </c>
      <c r="D357" t="s">
        <v>924</v>
      </c>
      <c r="E357" t="s">
        <v>38</v>
      </c>
      <c r="F357">
        <v>1766</v>
      </c>
      <c r="G357">
        <v>2030</v>
      </c>
      <c r="H357" t="s">
        <v>596</v>
      </c>
      <c r="I357" t="s">
        <v>80</v>
      </c>
      <c r="J357" t="s">
        <v>38</v>
      </c>
      <c r="K357" t="s">
        <v>38</v>
      </c>
      <c r="L357" t="s">
        <v>38</v>
      </c>
      <c r="M357" t="s">
        <v>38</v>
      </c>
      <c r="N357" t="s">
        <v>38</v>
      </c>
      <c r="O357" t="s">
        <v>74</v>
      </c>
      <c r="P357" t="s">
        <v>42</v>
      </c>
      <c r="Q357" t="s">
        <v>43</v>
      </c>
      <c r="R357" t="s">
        <v>89</v>
      </c>
      <c r="S357" t="s">
        <v>89</v>
      </c>
      <c r="T357" t="s">
        <v>89</v>
      </c>
      <c r="U357" t="s">
        <v>925</v>
      </c>
      <c r="V357" t="s">
        <v>91</v>
      </c>
      <c r="W357" t="s">
        <v>92</v>
      </c>
      <c r="X357" t="s">
        <v>93</v>
      </c>
      <c r="Y357" t="s">
        <v>926</v>
      </c>
      <c r="Z357" t="s">
        <v>42</v>
      </c>
      <c r="AA357" t="s">
        <v>38</v>
      </c>
      <c r="AB357" t="s">
        <v>38</v>
      </c>
      <c r="AC357" t="s">
        <v>89</v>
      </c>
      <c r="AD357" t="s">
        <v>48</v>
      </c>
      <c r="AG357" t="str">
        <f>IF(AD357="United States", IFERROR(INDEX(Sheet2!$C:$C, MATCH(AE357&amp;AF357, Sheet2!$E:$E, 0)) &amp; ", " &amp; INDEX(Sheet2!$D:$D, MATCH(AE357&amp;AF357, Sheet2!$E:$E, 0)), ""), "-")</f>
        <v/>
      </c>
    </row>
    <row r="358" spans="1:33" x14ac:dyDescent="0.25">
      <c r="A358" t="s">
        <v>921</v>
      </c>
      <c r="D358" t="s">
        <v>927</v>
      </c>
      <c r="E358" t="s">
        <v>928</v>
      </c>
      <c r="F358">
        <v>1745</v>
      </c>
      <c r="G358">
        <v>1939</v>
      </c>
      <c r="H358">
        <v>63</v>
      </c>
      <c r="J358" t="s">
        <v>929</v>
      </c>
      <c r="O358" t="s">
        <v>41</v>
      </c>
      <c r="R358" t="s">
        <v>89</v>
      </c>
      <c r="T358" t="s">
        <v>89</v>
      </c>
      <c r="U358" t="s">
        <v>925</v>
      </c>
      <c r="V358" t="s">
        <v>111</v>
      </c>
      <c r="W358" t="s">
        <v>92</v>
      </c>
      <c r="X358" t="s">
        <v>93</v>
      </c>
      <c r="Y358" t="s">
        <v>38</v>
      </c>
      <c r="AA358" t="s">
        <v>38</v>
      </c>
      <c r="AB358" t="s">
        <v>38</v>
      </c>
      <c r="AC358" t="s">
        <v>38</v>
      </c>
      <c r="AD358" t="s">
        <v>48</v>
      </c>
      <c r="AG358" t="str">
        <f>IF(AD358="United States", IFERROR(INDEX(Sheet2!$C:$C, MATCH(AE358&amp;AF358, Sheet2!$E:$E, 0)) &amp; ", " &amp; INDEX(Sheet2!$D:$D, MATCH(AE358&amp;AF358, Sheet2!$E:$E, 0)), ""), "-")</f>
        <v/>
      </c>
    </row>
    <row r="359" spans="1:33" x14ac:dyDescent="0.25">
      <c r="A359" t="s">
        <v>921</v>
      </c>
      <c r="B359" t="s">
        <v>930</v>
      </c>
      <c r="C359" t="s">
        <v>931</v>
      </c>
      <c r="D359" t="s">
        <v>824</v>
      </c>
      <c r="E359" t="s">
        <v>38</v>
      </c>
      <c r="F359">
        <v>1772</v>
      </c>
      <c r="G359">
        <v>728</v>
      </c>
      <c r="H359" t="s">
        <v>932</v>
      </c>
      <c r="I359" t="s">
        <v>39</v>
      </c>
      <c r="J359" t="s">
        <v>933</v>
      </c>
      <c r="K359" t="s">
        <v>38</v>
      </c>
      <c r="L359" t="s">
        <v>38</v>
      </c>
      <c r="M359" t="s">
        <v>38</v>
      </c>
      <c r="N359" t="s">
        <v>38</v>
      </c>
      <c r="O359" t="s">
        <v>54</v>
      </c>
      <c r="P359" t="s">
        <v>42</v>
      </c>
      <c r="Q359" t="s">
        <v>43</v>
      </c>
      <c r="R359" t="s">
        <v>89</v>
      </c>
      <c r="S359" t="s">
        <v>38</v>
      </c>
      <c r="T359" t="s">
        <v>89</v>
      </c>
      <c r="U359" t="s">
        <v>925</v>
      </c>
      <c r="V359" t="s">
        <v>270</v>
      </c>
      <c r="W359" t="s">
        <v>92</v>
      </c>
      <c r="X359" t="s">
        <v>93</v>
      </c>
      <c r="Y359" t="s">
        <v>934</v>
      </c>
      <c r="Z359" t="s">
        <v>42</v>
      </c>
      <c r="AA359" t="s">
        <v>38</v>
      </c>
      <c r="AB359" t="s">
        <v>38</v>
      </c>
      <c r="AC359" t="s">
        <v>91</v>
      </c>
      <c r="AD359" t="s">
        <v>48</v>
      </c>
      <c r="AG359" t="str">
        <f>IF(AD359="United States", IFERROR(INDEX(Sheet2!$C:$C, MATCH(AE359&amp;AF359, Sheet2!$E:$E, 0)) &amp; ", " &amp; INDEX(Sheet2!$D:$D, MATCH(AE359&amp;AF359, Sheet2!$E:$E, 0)), ""), "-")</f>
        <v/>
      </c>
    </row>
    <row r="360" spans="1:33" x14ac:dyDescent="0.25">
      <c r="A360" t="s">
        <v>921</v>
      </c>
      <c r="B360" t="s">
        <v>935</v>
      </c>
      <c r="C360" t="s">
        <v>931</v>
      </c>
      <c r="D360" t="s">
        <v>535</v>
      </c>
      <c r="E360" t="s">
        <v>38</v>
      </c>
      <c r="F360">
        <v>1768</v>
      </c>
      <c r="G360">
        <v>727</v>
      </c>
      <c r="H360" t="s">
        <v>932</v>
      </c>
      <c r="I360" t="s">
        <v>39</v>
      </c>
      <c r="J360" t="s">
        <v>933</v>
      </c>
      <c r="K360" t="s">
        <v>38</v>
      </c>
      <c r="L360" t="s">
        <v>38</v>
      </c>
      <c r="M360" t="s">
        <v>38</v>
      </c>
      <c r="N360" t="s">
        <v>38</v>
      </c>
      <c r="O360" t="s">
        <v>74</v>
      </c>
      <c r="P360" t="s">
        <v>42</v>
      </c>
      <c r="Q360" t="s">
        <v>43</v>
      </c>
      <c r="R360" t="s">
        <v>89</v>
      </c>
      <c r="S360" t="s">
        <v>45</v>
      </c>
      <c r="T360" t="s">
        <v>89</v>
      </c>
      <c r="U360" t="s">
        <v>925</v>
      </c>
      <c r="V360" t="s">
        <v>270</v>
      </c>
      <c r="W360" t="s">
        <v>92</v>
      </c>
      <c r="X360" t="s">
        <v>93</v>
      </c>
      <c r="Y360" t="s">
        <v>936</v>
      </c>
      <c r="Z360" t="s">
        <v>42</v>
      </c>
      <c r="AA360" t="s">
        <v>937</v>
      </c>
      <c r="AB360" t="s">
        <v>38</v>
      </c>
      <c r="AC360" t="s">
        <v>45</v>
      </c>
      <c r="AD360" t="s">
        <v>48</v>
      </c>
      <c r="AG360" t="str">
        <f>IF(AD360="United States", IFERROR(INDEX(Sheet2!$C:$C, MATCH(AE360&amp;AF360, Sheet2!$E:$E, 0)) &amp; ", " &amp; INDEX(Sheet2!$D:$D, MATCH(AE360&amp;AF360, Sheet2!$E:$E, 0)), ""), "-")</f>
        <v/>
      </c>
    </row>
    <row r="361" spans="1:33" x14ac:dyDescent="0.25">
      <c r="A361" t="s">
        <v>921</v>
      </c>
      <c r="D361" t="s">
        <v>938</v>
      </c>
      <c r="E361" t="s">
        <v>939</v>
      </c>
      <c r="F361">
        <v>1758</v>
      </c>
      <c r="G361">
        <v>1935</v>
      </c>
      <c r="H361">
        <v>62</v>
      </c>
      <c r="J361" t="s">
        <v>929</v>
      </c>
      <c r="O361" t="s">
        <v>41</v>
      </c>
      <c r="R361" t="s">
        <v>89</v>
      </c>
      <c r="T361" t="s">
        <v>89</v>
      </c>
      <c r="U361" t="s">
        <v>925</v>
      </c>
      <c r="V361" t="s">
        <v>111</v>
      </c>
      <c r="W361" t="s">
        <v>92</v>
      </c>
      <c r="X361" t="s">
        <v>93</v>
      </c>
      <c r="Y361" t="s">
        <v>38</v>
      </c>
      <c r="AA361" t="s">
        <v>38</v>
      </c>
      <c r="AB361" t="s">
        <v>38</v>
      </c>
      <c r="AC361" t="s">
        <v>38</v>
      </c>
      <c r="AD361" t="s">
        <v>48</v>
      </c>
      <c r="AG361" t="str">
        <f>IF(AD361="United States", IFERROR(INDEX(Sheet2!$C:$C, MATCH(AE361&amp;AF361, Sheet2!$E:$E, 0)) &amp; ", " &amp; INDEX(Sheet2!$D:$D, MATCH(AE361&amp;AF361, Sheet2!$E:$E, 0)), ""), "-")</f>
        <v/>
      </c>
    </row>
    <row r="362" spans="1:33" x14ac:dyDescent="0.25">
      <c r="A362" t="s">
        <v>921</v>
      </c>
      <c r="D362" t="s">
        <v>181</v>
      </c>
      <c r="E362" t="s">
        <v>940</v>
      </c>
      <c r="F362" t="s">
        <v>38</v>
      </c>
      <c r="G362">
        <v>795</v>
      </c>
      <c r="H362">
        <v>36</v>
      </c>
      <c r="J362" t="s">
        <v>933</v>
      </c>
      <c r="O362" t="s">
        <v>183</v>
      </c>
      <c r="R362" t="s">
        <v>89</v>
      </c>
      <c r="T362" t="s">
        <v>89</v>
      </c>
      <c r="U362" t="s">
        <v>925</v>
      </c>
      <c r="V362" t="s">
        <v>941</v>
      </c>
      <c r="W362" t="s">
        <v>92</v>
      </c>
      <c r="X362" t="s">
        <v>93</v>
      </c>
      <c r="Y362" t="s">
        <v>38</v>
      </c>
      <c r="AA362" t="s">
        <v>38</v>
      </c>
      <c r="AB362" t="s">
        <v>38</v>
      </c>
      <c r="AC362" t="s">
        <v>38</v>
      </c>
      <c r="AD362" t="s">
        <v>48</v>
      </c>
      <c r="AG362" t="str">
        <f>IF(AD362="United States", IFERROR(INDEX(Sheet2!$C:$C, MATCH(AE362&amp;AF362, Sheet2!$E:$E, 0)) &amp; ", " &amp; INDEX(Sheet2!$D:$D, MATCH(AE362&amp;AF362, Sheet2!$E:$E, 0)), ""), "-")</f>
        <v/>
      </c>
    </row>
    <row r="363" spans="1:33" x14ac:dyDescent="0.25">
      <c r="A363" t="s">
        <v>921</v>
      </c>
      <c r="B363" t="s">
        <v>942</v>
      </c>
      <c r="C363" t="s">
        <v>931</v>
      </c>
      <c r="D363" t="s">
        <v>129</v>
      </c>
      <c r="E363" t="s">
        <v>38</v>
      </c>
      <c r="F363">
        <v>1768</v>
      </c>
      <c r="G363">
        <v>726</v>
      </c>
      <c r="H363" t="s">
        <v>932</v>
      </c>
      <c r="I363" t="s">
        <v>39</v>
      </c>
      <c r="J363" t="s">
        <v>933</v>
      </c>
      <c r="K363" t="s">
        <v>38</v>
      </c>
      <c r="L363" t="s">
        <v>38</v>
      </c>
      <c r="M363" t="s">
        <v>885</v>
      </c>
      <c r="N363" t="s">
        <v>38</v>
      </c>
      <c r="O363" t="s">
        <v>74</v>
      </c>
      <c r="P363" t="s">
        <v>42</v>
      </c>
      <c r="Q363" t="s">
        <v>43</v>
      </c>
      <c r="R363" t="s">
        <v>89</v>
      </c>
      <c r="S363" t="s">
        <v>45</v>
      </c>
      <c r="T363" t="s">
        <v>89</v>
      </c>
      <c r="U363" t="s">
        <v>925</v>
      </c>
      <c r="V363" t="s">
        <v>270</v>
      </c>
      <c r="W363" t="s">
        <v>92</v>
      </c>
      <c r="X363" t="s">
        <v>93</v>
      </c>
      <c r="Y363" t="s">
        <v>943</v>
      </c>
      <c r="Z363" t="s">
        <v>42</v>
      </c>
      <c r="AA363" t="s">
        <v>38</v>
      </c>
      <c r="AB363" t="s">
        <v>38</v>
      </c>
      <c r="AC363" t="s">
        <v>45</v>
      </c>
      <c r="AD363" t="s">
        <v>48</v>
      </c>
      <c r="AG363" t="str">
        <f>IF(AD363="United States", IFERROR(INDEX(Sheet2!$C:$C, MATCH(AE363&amp;AF363, Sheet2!$E:$E, 0)) &amp; ", " &amp; INDEX(Sheet2!$D:$D, MATCH(AE363&amp;AF363, Sheet2!$E:$E, 0)), ""), "-")</f>
        <v/>
      </c>
    </row>
    <row r="364" spans="1:33" x14ac:dyDescent="0.25">
      <c r="A364" t="s">
        <v>921</v>
      </c>
      <c r="B364" t="s">
        <v>944</v>
      </c>
      <c r="C364" t="s">
        <v>931</v>
      </c>
      <c r="D364" t="s">
        <v>945</v>
      </c>
      <c r="E364" t="s">
        <v>38</v>
      </c>
      <c r="F364">
        <v>1743</v>
      </c>
      <c r="G364">
        <v>725</v>
      </c>
      <c r="H364" t="s">
        <v>932</v>
      </c>
      <c r="I364" t="s">
        <v>39</v>
      </c>
      <c r="J364" t="s">
        <v>933</v>
      </c>
      <c r="K364" t="s">
        <v>38</v>
      </c>
      <c r="L364" t="s">
        <v>38</v>
      </c>
      <c r="M364" t="s">
        <v>38</v>
      </c>
      <c r="N364" t="s">
        <v>38</v>
      </c>
      <c r="O364" t="s">
        <v>41</v>
      </c>
      <c r="P364" t="s">
        <v>42</v>
      </c>
      <c r="Q364" t="s">
        <v>43</v>
      </c>
      <c r="R364" t="s">
        <v>89</v>
      </c>
      <c r="S364" t="s">
        <v>45</v>
      </c>
      <c r="T364" t="s">
        <v>89</v>
      </c>
      <c r="U364" t="s">
        <v>925</v>
      </c>
      <c r="V364" t="s">
        <v>270</v>
      </c>
      <c r="W364" t="s">
        <v>92</v>
      </c>
      <c r="X364" t="s">
        <v>93</v>
      </c>
      <c r="Y364" t="s">
        <v>946</v>
      </c>
      <c r="Z364" t="s">
        <v>42</v>
      </c>
      <c r="AA364" t="s">
        <v>945</v>
      </c>
      <c r="AB364" t="s">
        <v>682</v>
      </c>
      <c r="AC364" t="s">
        <v>45</v>
      </c>
      <c r="AD364" t="s">
        <v>48</v>
      </c>
      <c r="AG364" t="str">
        <f>IF(AD364="United States", IFERROR(INDEX(Sheet2!$C:$C, MATCH(AE364&amp;AF364, Sheet2!$E:$E, 0)) &amp; ", " &amp; INDEX(Sheet2!$D:$D, MATCH(AE364&amp;AF364, Sheet2!$E:$E, 0)), ""), "-")</f>
        <v/>
      </c>
    </row>
    <row r="365" spans="1:33" x14ac:dyDescent="0.25">
      <c r="A365" t="s">
        <v>921</v>
      </c>
      <c r="D365" t="s">
        <v>181</v>
      </c>
      <c r="E365" t="s">
        <v>940</v>
      </c>
      <c r="F365" t="s">
        <v>38</v>
      </c>
      <c r="G365">
        <v>794</v>
      </c>
      <c r="H365">
        <v>36</v>
      </c>
      <c r="J365" t="s">
        <v>933</v>
      </c>
      <c r="O365" t="s">
        <v>183</v>
      </c>
      <c r="R365" t="s">
        <v>89</v>
      </c>
      <c r="T365" t="s">
        <v>89</v>
      </c>
      <c r="U365" t="s">
        <v>925</v>
      </c>
      <c r="V365" t="s">
        <v>941</v>
      </c>
      <c r="W365" t="s">
        <v>92</v>
      </c>
      <c r="X365" t="s">
        <v>93</v>
      </c>
      <c r="Y365" t="s">
        <v>38</v>
      </c>
      <c r="AA365" t="s">
        <v>38</v>
      </c>
      <c r="AB365" t="s">
        <v>38</v>
      </c>
      <c r="AC365" t="s">
        <v>38</v>
      </c>
      <c r="AD365" t="s">
        <v>48</v>
      </c>
      <c r="AG365" t="str">
        <f>IF(AD365="United States", IFERROR(INDEX(Sheet2!$C:$C, MATCH(AE365&amp;AF365, Sheet2!$E:$E, 0)) &amp; ", " &amp; INDEX(Sheet2!$D:$D, MATCH(AE365&amp;AF365, Sheet2!$E:$E, 0)), ""), "-")</f>
        <v/>
      </c>
    </row>
    <row r="366" spans="1:33" x14ac:dyDescent="0.25">
      <c r="A366" t="s">
        <v>921</v>
      </c>
      <c r="D366" t="s">
        <v>947</v>
      </c>
      <c r="E366" t="s">
        <v>531</v>
      </c>
      <c r="F366">
        <v>1765</v>
      </c>
      <c r="G366">
        <v>793</v>
      </c>
      <c r="H366">
        <v>36</v>
      </c>
      <c r="J366" t="s">
        <v>933</v>
      </c>
      <c r="O366" t="s">
        <v>57</v>
      </c>
      <c r="R366" t="s">
        <v>89</v>
      </c>
      <c r="T366" t="s">
        <v>89</v>
      </c>
      <c r="U366" t="s">
        <v>925</v>
      </c>
      <c r="V366" t="s">
        <v>941</v>
      </c>
      <c r="W366" t="s">
        <v>92</v>
      </c>
      <c r="X366" t="s">
        <v>93</v>
      </c>
      <c r="Y366" t="s">
        <v>38</v>
      </c>
      <c r="AA366" t="s">
        <v>38</v>
      </c>
      <c r="AB366" t="s">
        <v>38</v>
      </c>
      <c r="AC366" t="s">
        <v>38</v>
      </c>
      <c r="AD366" t="s">
        <v>48</v>
      </c>
      <c r="AG366" t="str">
        <f>IF(AD366="United States", IFERROR(INDEX(Sheet2!$C:$C, MATCH(AE366&amp;AF366, Sheet2!$E:$E, 0)) &amp; ", " &amp; INDEX(Sheet2!$D:$D, MATCH(AE366&amp;AF366, Sheet2!$E:$E, 0)), ""), "-")</f>
        <v/>
      </c>
    </row>
    <row r="367" spans="1:33" x14ac:dyDescent="0.25">
      <c r="A367" t="s">
        <v>921</v>
      </c>
      <c r="B367" t="s">
        <v>948</v>
      </c>
      <c r="C367" t="s">
        <v>931</v>
      </c>
      <c r="D367" t="s">
        <v>361</v>
      </c>
      <c r="E367" t="s">
        <v>949</v>
      </c>
      <c r="F367">
        <v>1780</v>
      </c>
      <c r="G367">
        <v>718</v>
      </c>
      <c r="H367" t="s">
        <v>932</v>
      </c>
      <c r="I367" t="s">
        <v>39</v>
      </c>
      <c r="J367" t="s">
        <v>933</v>
      </c>
      <c r="K367" t="s">
        <v>38</v>
      </c>
      <c r="L367" t="s">
        <v>38</v>
      </c>
      <c r="M367" t="s">
        <v>38</v>
      </c>
      <c r="N367" t="s">
        <v>38</v>
      </c>
      <c r="O367" t="s">
        <v>54</v>
      </c>
      <c r="P367" t="s">
        <v>42</v>
      </c>
      <c r="Q367" t="s">
        <v>43</v>
      </c>
      <c r="R367" t="s">
        <v>89</v>
      </c>
      <c r="S367" t="s">
        <v>38</v>
      </c>
      <c r="T367" t="s">
        <v>89</v>
      </c>
      <c r="U367" t="s">
        <v>925</v>
      </c>
      <c r="V367" t="s">
        <v>270</v>
      </c>
      <c r="W367" t="s">
        <v>92</v>
      </c>
      <c r="X367" t="s">
        <v>93</v>
      </c>
      <c r="Y367" t="s">
        <v>950</v>
      </c>
      <c r="Z367" t="s">
        <v>42</v>
      </c>
      <c r="AA367" t="s">
        <v>627</v>
      </c>
      <c r="AB367" t="s">
        <v>38</v>
      </c>
      <c r="AC367" t="s">
        <v>70</v>
      </c>
      <c r="AD367" t="s">
        <v>48</v>
      </c>
      <c r="AG367" t="str">
        <f>IF(AD367="United States", IFERROR(INDEX(Sheet2!$C:$C, MATCH(AE367&amp;AF367, Sheet2!$E:$E, 0)) &amp; ", " &amp; INDEX(Sheet2!$D:$D, MATCH(AE367&amp;AF367, Sheet2!$E:$E, 0)), ""), "-")</f>
        <v/>
      </c>
    </row>
    <row r="368" spans="1:33" x14ac:dyDescent="0.25">
      <c r="A368" t="s">
        <v>921</v>
      </c>
      <c r="D368" t="s">
        <v>181</v>
      </c>
      <c r="E368" t="s">
        <v>951</v>
      </c>
      <c r="F368" t="s">
        <v>38</v>
      </c>
      <c r="G368">
        <v>790</v>
      </c>
      <c r="H368">
        <v>36</v>
      </c>
      <c r="J368" t="s">
        <v>933</v>
      </c>
      <c r="O368" t="s">
        <v>183</v>
      </c>
      <c r="R368" t="s">
        <v>89</v>
      </c>
      <c r="T368" t="s">
        <v>89</v>
      </c>
      <c r="U368" t="s">
        <v>925</v>
      </c>
      <c r="V368" t="s">
        <v>941</v>
      </c>
      <c r="W368" t="s">
        <v>92</v>
      </c>
      <c r="X368" t="s">
        <v>93</v>
      </c>
      <c r="Y368" t="s">
        <v>38</v>
      </c>
      <c r="AA368" t="s">
        <v>38</v>
      </c>
      <c r="AB368" t="s">
        <v>38</v>
      </c>
      <c r="AC368" t="s">
        <v>38</v>
      </c>
      <c r="AD368" t="s">
        <v>48</v>
      </c>
      <c r="AG368" t="str">
        <f>IF(AD368="United States", IFERROR(INDEX(Sheet2!$C:$C, MATCH(AE368&amp;AF368, Sheet2!$E:$E, 0)) &amp; ", " &amp; INDEX(Sheet2!$D:$D, MATCH(AE368&amp;AF368, Sheet2!$E:$E, 0)), ""), "-")</f>
        <v/>
      </c>
    </row>
    <row r="369" spans="1:33" x14ac:dyDescent="0.25">
      <c r="A369" t="s">
        <v>921</v>
      </c>
      <c r="D369" t="s">
        <v>181</v>
      </c>
      <c r="E369" t="s">
        <v>951</v>
      </c>
      <c r="F369" t="s">
        <v>38</v>
      </c>
      <c r="G369">
        <v>789</v>
      </c>
      <c r="H369">
        <v>36</v>
      </c>
      <c r="J369" t="s">
        <v>933</v>
      </c>
      <c r="O369" t="s">
        <v>183</v>
      </c>
      <c r="R369" t="s">
        <v>89</v>
      </c>
      <c r="T369" t="s">
        <v>89</v>
      </c>
      <c r="U369" t="s">
        <v>925</v>
      </c>
      <c r="V369" t="s">
        <v>941</v>
      </c>
      <c r="W369" t="s">
        <v>92</v>
      </c>
      <c r="X369" t="s">
        <v>93</v>
      </c>
      <c r="Y369" t="s">
        <v>38</v>
      </c>
      <c r="AA369" t="s">
        <v>38</v>
      </c>
      <c r="AB369" t="s">
        <v>38</v>
      </c>
      <c r="AC369" t="s">
        <v>38</v>
      </c>
      <c r="AD369" t="s">
        <v>48</v>
      </c>
      <c r="AG369" t="str">
        <f>IF(AD369="United States", IFERROR(INDEX(Sheet2!$C:$C, MATCH(AE369&amp;AF369, Sheet2!$E:$E, 0)) &amp; ", " &amp; INDEX(Sheet2!$D:$D, MATCH(AE369&amp;AF369, Sheet2!$E:$E, 0)), ""), "-")</f>
        <v/>
      </c>
    </row>
    <row r="370" spans="1:33" x14ac:dyDescent="0.25">
      <c r="A370" t="s">
        <v>921</v>
      </c>
      <c r="D370" t="s">
        <v>181</v>
      </c>
      <c r="E370" t="s">
        <v>951</v>
      </c>
      <c r="F370" t="s">
        <v>38</v>
      </c>
      <c r="G370">
        <v>788</v>
      </c>
      <c r="H370">
        <v>36</v>
      </c>
      <c r="J370" t="s">
        <v>933</v>
      </c>
      <c r="O370" t="s">
        <v>183</v>
      </c>
      <c r="R370" t="s">
        <v>89</v>
      </c>
      <c r="T370" t="s">
        <v>89</v>
      </c>
      <c r="U370" t="s">
        <v>925</v>
      </c>
      <c r="V370" t="s">
        <v>941</v>
      </c>
      <c r="W370" t="s">
        <v>92</v>
      </c>
      <c r="X370" t="s">
        <v>93</v>
      </c>
      <c r="Y370" t="s">
        <v>38</v>
      </c>
      <c r="AA370" t="s">
        <v>38</v>
      </c>
      <c r="AB370" t="s">
        <v>38</v>
      </c>
      <c r="AC370" t="s">
        <v>38</v>
      </c>
      <c r="AD370" t="s">
        <v>48</v>
      </c>
      <c r="AG370" t="str">
        <f>IF(AD370="United States", IFERROR(INDEX(Sheet2!$C:$C, MATCH(AE370&amp;AF370, Sheet2!$E:$E, 0)) &amp; ", " &amp; INDEX(Sheet2!$D:$D, MATCH(AE370&amp;AF370, Sheet2!$E:$E, 0)), ""), "-")</f>
        <v/>
      </c>
    </row>
    <row r="371" spans="1:33" x14ac:dyDescent="0.25">
      <c r="A371" t="s">
        <v>921</v>
      </c>
      <c r="B371" t="s">
        <v>952</v>
      </c>
      <c r="C371" t="s">
        <v>931</v>
      </c>
      <c r="D371" t="s">
        <v>885</v>
      </c>
      <c r="E371" t="s">
        <v>38</v>
      </c>
      <c r="F371">
        <v>1759</v>
      </c>
      <c r="G371">
        <v>723</v>
      </c>
      <c r="H371" t="s">
        <v>932</v>
      </c>
      <c r="I371" t="s">
        <v>39</v>
      </c>
      <c r="J371" t="s">
        <v>933</v>
      </c>
      <c r="K371" t="s">
        <v>38</v>
      </c>
      <c r="L371" t="s">
        <v>38</v>
      </c>
      <c r="M371" t="s">
        <v>38</v>
      </c>
      <c r="N371" t="s">
        <v>38</v>
      </c>
      <c r="O371" t="s">
        <v>57</v>
      </c>
      <c r="P371" t="s">
        <v>42</v>
      </c>
      <c r="Q371" t="s">
        <v>43</v>
      </c>
      <c r="R371" t="s">
        <v>89</v>
      </c>
      <c r="S371" t="s">
        <v>45</v>
      </c>
      <c r="T371" t="s">
        <v>89</v>
      </c>
      <c r="U371" t="s">
        <v>925</v>
      </c>
      <c r="V371" t="s">
        <v>270</v>
      </c>
      <c r="W371" t="s">
        <v>92</v>
      </c>
      <c r="X371" t="s">
        <v>93</v>
      </c>
      <c r="Y371" t="s">
        <v>953</v>
      </c>
      <c r="Z371" t="s">
        <v>42</v>
      </c>
      <c r="AA371" t="s">
        <v>143</v>
      </c>
      <c r="AB371" t="s">
        <v>38</v>
      </c>
      <c r="AC371" t="s">
        <v>45</v>
      </c>
      <c r="AD371" t="s">
        <v>48</v>
      </c>
      <c r="AG371" t="str">
        <f>IF(AD371="United States", IFERROR(INDEX(Sheet2!$C:$C, MATCH(AE371&amp;AF371, Sheet2!$E:$E, 0)) &amp; ", " &amp; INDEX(Sheet2!$D:$D, MATCH(AE371&amp;AF371, Sheet2!$E:$E, 0)), ""), "-")</f>
        <v/>
      </c>
    </row>
    <row r="372" spans="1:33" x14ac:dyDescent="0.25">
      <c r="A372" t="s">
        <v>921</v>
      </c>
      <c r="B372" t="s">
        <v>954</v>
      </c>
      <c r="C372" t="s">
        <v>931</v>
      </c>
      <c r="D372" t="s">
        <v>210</v>
      </c>
      <c r="E372" t="s">
        <v>402</v>
      </c>
      <c r="F372">
        <v>1757</v>
      </c>
      <c r="G372">
        <v>722</v>
      </c>
      <c r="H372" t="s">
        <v>932</v>
      </c>
      <c r="I372" t="s">
        <v>39</v>
      </c>
      <c r="J372" t="s">
        <v>933</v>
      </c>
      <c r="K372" t="s">
        <v>955</v>
      </c>
      <c r="L372" t="s">
        <v>38</v>
      </c>
      <c r="M372" t="s">
        <v>38</v>
      </c>
      <c r="N372" t="s">
        <v>38</v>
      </c>
      <c r="O372" t="s">
        <v>41</v>
      </c>
      <c r="P372" t="s">
        <v>42</v>
      </c>
      <c r="Q372" t="s">
        <v>43</v>
      </c>
      <c r="R372" t="s">
        <v>89</v>
      </c>
      <c r="S372" t="s">
        <v>38</v>
      </c>
      <c r="T372" t="s">
        <v>89</v>
      </c>
      <c r="U372" t="s">
        <v>925</v>
      </c>
      <c r="V372" t="s">
        <v>270</v>
      </c>
      <c r="W372" t="s">
        <v>92</v>
      </c>
      <c r="X372" t="s">
        <v>93</v>
      </c>
      <c r="Y372" t="s">
        <v>956</v>
      </c>
      <c r="Z372" t="s">
        <v>42</v>
      </c>
      <c r="AA372" t="s">
        <v>38</v>
      </c>
      <c r="AB372" t="s">
        <v>38</v>
      </c>
      <c r="AC372" t="s">
        <v>38</v>
      </c>
      <c r="AD372" t="s">
        <v>48</v>
      </c>
      <c r="AG372" t="str">
        <f>IF(AD372="United States", IFERROR(INDEX(Sheet2!$C:$C, MATCH(AE372&amp;AF372, Sheet2!$E:$E, 0)) &amp; ", " &amp; INDEX(Sheet2!$D:$D, MATCH(AE372&amp;AF372, Sheet2!$E:$E, 0)), ""), "-")</f>
        <v/>
      </c>
    </row>
    <row r="373" spans="1:33" x14ac:dyDescent="0.25">
      <c r="A373" t="s">
        <v>921</v>
      </c>
      <c r="B373" t="s">
        <v>957</v>
      </c>
      <c r="C373" t="s">
        <v>931</v>
      </c>
      <c r="D373" t="s">
        <v>940</v>
      </c>
      <c r="E373" t="s">
        <v>958</v>
      </c>
      <c r="F373">
        <v>1781</v>
      </c>
      <c r="G373">
        <v>721</v>
      </c>
      <c r="H373" t="s">
        <v>932</v>
      </c>
      <c r="I373" t="s">
        <v>39</v>
      </c>
      <c r="J373" t="s">
        <v>933</v>
      </c>
      <c r="K373" t="s">
        <v>38</v>
      </c>
      <c r="L373" t="s">
        <v>38</v>
      </c>
      <c r="M373" t="s">
        <v>222</v>
      </c>
      <c r="N373" t="s">
        <v>38</v>
      </c>
      <c r="O373" t="s">
        <v>74</v>
      </c>
      <c r="P373" t="s">
        <v>42</v>
      </c>
      <c r="Q373" t="s">
        <v>43</v>
      </c>
      <c r="R373" t="s">
        <v>89</v>
      </c>
      <c r="S373" t="s">
        <v>38</v>
      </c>
      <c r="T373" t="s">
        <v>89</v>
      </c>
      <c r="U373" t="s">
        <v>925</v>
      </c>
      <c r="V373" t="s">
        <v>270</v>
      </c>
      <c r="W373" t="s">
        <v>92</v>
      </c>
      <c r="X373" t="s">
        <v>93</v>
      </c>
      <c r="Y373" t="s">
        <v>959</v>
      </c>
      <c r="Z373" t="s">
        <v>42</v>
      </c>
      <c r="AA373" t="s">
        <v>38</v>
      </c>
      <c r="AB373" t="s">
        <v>38</v>
      </c>
      <c r="AC373" t="s">
        <v>60</v>
      </c>
      <c r="AD373" t="s">
        <v>48</v>
      </c>
      <c r="AG373" t="str">
        <f>IF(AD373="United States", IFERROR(INDEX(Sheet2!$C:$C, MATCH(AE373&amp;AF373, Sheet2!$E:$E, 0)) &amp; ", " &amp; INDEX(Sheet2!$D:$D, MATCH(AE373&amp;AF373, Sheet2!$E:$E, 0)), ""), "-")</f>
        <v/>
      </c>
    </row>
    <row r="374" spans="1:33" x14ac:dyDescent="0.25">
      <c r="A374" t="s">
        <v>921</v>
      </c>
      <c r="B374" t="s">
        <v>960</v>
      </c>
      <c r="C374" t="s">
        <v>931</v>
      </c>
      <c r="D374" t="s">
        <v>955</v>
      </c>
      <c r="E374" t="s">
        <v>38</v>
      </c>
      <c r="F374">
        <v>1743</v>
      </c>
      <c r="G374">
        <v>720</v>
      </c>
      <c r="H374" t="s">
        <v>932</v>
      </c>
      <c r="I374" t="s">
        <v>39</v>
      </c>
      <c r="J374" t="s">
        <v>933</v>
      </c>
      <c r="K374" t="s">
        <v>38</v>
      </c>
      <c r="L374" t="s">
        <v>38</v>
      </c>
      <c r="M374" t="s">
        <v>38</v>
      </c>
      <c r="N374" t="s">
        <v>38</v>
      </c>
      <c r="O374" t="s">
        <v>41</v>
      </c>
      <c r="P374" t="s">
        <v>42</v>
      </c>
      <c r="Q374" t="s">
        <v>43</v>
      </c>
      <c r="R374" t="s">
        <v>89</v>
      </c>
      <c r="S374" t="s">
        <v>89</v>
      </c>
      <c r="T374" t="s">
        <v>89</v>
      </c>
      <c r="U374" t="s">
        <v>925</v>
      </c>
      <c r="V374" t="s">
        <v>270</v>
      </c>
      <c r="W374" t="s">
        <v>92</v>
      </c>
      <c r="X374" t="s">
        <v>93</v>
      </c>
      <c r="Y374" t="s">
        <v>959</v>
      </c>
      <c r="Z374" t="s">
        <v>42</v>
      </c>
      <c r="AA374" t="s">
        <v>38</v>
      </c>
      <c r="AB374" t="s">
        <v>38</v>
      </c>
      <c r="AC374" t="s">
        <v>89</v>
      </c>
      <c r="AD374" t="s">
        <v>48</v>
      </c>
      <c r="AG374" t="str">
        <f>IF(AD374="United States", IFERROR(INDEX(Sheet2!$C:$C, MATCH(AE374&amp;AF374, Sheet2!$E:$E, 0)) &amp; ", " &amp; INDEX(Sheet2!$D:$D, MATCH(AE374&amp;AF374, Sheet2!$E:$E, 0)), ""), "-")</f>
        <v/>
      </c>
    </row>
    <row r="375" spans="1:33" x14ac:dyDescent="0.25">
      <c r="A375" t="s">
        <v>921</v>
      </c>
      <c r="B375" t="s">
        <v>961</v>
      </c>
      <c r="C375" t="s">
        <v>931</v>
      </c>
      <c r="D375" t="s">
        <v>222</v>
      </c>
      <c r="E375" t="s">
        <v>38</v>
      </c>
      <c r="F375">
        <v>1759</v>
      </c>
      <c r="G375">
        <v>719</v>
      </c>
      <c r="H375" t="s">
        <v>932</v>
      </c>
      <c r="I375" t="s">
        <v>39</v>
      </c>
      <c r="J375" t="s">
        <v>933</v>
      </c>
      <c r="K375" t="s">
        <v>38</v>
      </c>
      <c r="L375" t="s">
        <v>38</v>
      </c>
      <c r="M375" t="s">
        <v>38</v>
      </c>
      <c r="N375" t="s">
        <v>38</v>
      </c>
      <c r="O375" t="s">
        <v>57</v>
      </c>
      <c r="P375" t="s">
        <v>42</v>
      </c>
      <c r="Q375" t="s">
        <v>43</v>
      </c>
      <c r="R375" t="s">
        <v>89</v>
      </c>
      <c r="S375" t="s">
        <v>38</v>
      </c>
      <c r="T375" t="s">
        <v>89</v>
      </c>
      <c r="U375" t="s">
        <v>925</v>
      </c>
      <c r="V375" t="s">
        <v>270</v>
      </c>
      <c r="W375" t="s">
        <v>92</v>
      </c>
      <c r="X375" t="s">
        <v>93</v>
      </c>
      <c r="Y375" t="s">
        <v>950</v>
      </c>
      <c r="Z375" t="s">
        <v>42</v>
      </c>
      <c r="AA375" t="s">
        <v>627</v>
      </c>
      <c r="AB375" t="s">
        <v>38</v>
      </c>
      <c r="AC375" t="s">
        <v>70</v>
      </c>
      <c r="AD375" t="s">
        <v>48</v>
      </c>
      <c r="AG375" t="str">
        <f>IF(AD375="United States", IFERROR(INDEX(Sheet2!$C:$C, MATCH(AE375&amp;AF375, Sheet2!$E:$E, 0)) &amp; ", " &amp; INDEX(Sheet2!$D:$D, MATCH(AE375&amp;AF375, Sheet2!$E:$E, 0)), ""), "-")</f>
        <v/>
      </c>
    </row>
    <row r="376" spans="1:33" x14ac:dyDescent="0.25">
      <c r="A376" t="s">
        <v>921</v>
      </c>
      <c r="D376" t="s">
        <v>962</v>
      </c>
      <c r="E376" t="s">
        <v>531</v>
      </c>
      <c r="F376">
        <v>1749</v>
      </c>
      <c r="G376">
        <v>787</v>
      </c>
      <c r="H376">
        <v>36</v>
      </c>
      <c r="J376" t="s">
        <v>933</v>
      </c>
      <c r="O376" t="s">
        <v>41</v>
      </c>
      <c r="R376" t="s">
        <v>89</v>
      </c>
      <c r="T376" t="s">
        <v>89</v>
      </c>
      <c r="U376" t="s">
        <v>925</v>
      </c>
      <c r="V376" t="s">
        <v>941</v>
      </c>
      <c r="W376" t="s">
        <v>92</v>
      </c>
      <c r="X376" t="s">
        <v>93</v>
      </c>
      <c r="Y376" t="s">
        <v>38</v>
      </c>
      <c r="AA376" t="s">
        <v>38</v>
      </c>
      <c r="AB376" t="s">
        <v>38</v>
      </c>
      <c r="AC376" t="s">
        <v>38</v>
      </c>
      <c r="AD376" t="s">
        <v>48</v>
      </c>
      <c r="AG376" t="str">
        <f>IF(AD376="United States", IFERROR(INDEX(Sheet2!$C:$C, MATCH(AE376&amp;AF376, Sheet2!$E:$E, 0)) &amp; ", " &amp; INDEX(Sheet2!$D:$D, MATCH(AE376&amp;AF376, Sheet2!$E:$E, 0)), ""), "-")</f>
        <v/>
      </c>
    </row>
    <row r="377" spans="1:33" x14ac:dyDescent="0.25">
      <c r="A377" t="s">
        <v>921</v>
      </c>
      <c r="B377" t="s">
        <v>963</v>
      </c>
      <c r="C377" t="s">
        <v>931</v>
      </c>
      <c r="D377" t="s">
        <v>150</v>
      </c>
      <c r="E377" t="s">
        <v>38</v>
      </c>
      <c r="F377">
        <v>1771</v>
      </c>
      <c r="G377">
        <v>713</v>
      </c>
      <c r="H377" t="s">
        <v>932</v>
      </c>
      <c r="I377" t="s">
        <v>39</v>
      </c>
      <c r="J377" t="s">
        <v>933</v>
      </c>
      <c r="K377" t="s">
        <v>38</v>
      </c>
      <c r="L377" t="s">
        <v>38</v>
      </c>
      <c r="M377" t="s">
        <v>38</v>
      </c>
      <c r="N377" t="s">
        <v>38</v>
      </c>
      <c r="O377" t="s">
        <v>54</v>
      </c>
      <c r="P377" t="s">
        <v>42</v>
      </c>
      <c r="Q377" t="s">
        <v>43</v>
      </c>
      <c r="R377" t="s">
        <v>89</v>
      </c>
      <c r="S377" t="s">
        <v>38</v>
      </c>
      <c r="T377" t="s">
        <v>89</v>
      </c>
      <c r="U377" t="s">
        <v>925</v>
      </c>
      <c r="V377" t="s">
        <v>270</v>
      </c>
      <c r="W377" t="s">
        <v>92</v>
      </c>
      <c r="X377" t="s">
        <v>93</v>
      </c>
      <c r="Y377" t="s">
        <v>964</v>
      </c>
      <c r="Z377" t="s">
        <v>42</v>
      </c>
      <c r="AA377" t="s">
        <v>38</v>
      </c>
      <c r="AB377" t="s">
        <v>38</v>
      </c>
      <c r="AC377" t="s">
        <v>91</v>
      </c>
      <c r="AD377" t="s">
        <v>48</v>
      </c>
      <c r="AG377" t="str">
        <f>IF(AD377="United States", IFERROR(INDEX(Sheet2!$C:$C, MATCH(AE377&amp;AF377, Sheet2!$E:$E, 0)) &amp; ", " &amp; INDEX(Sheet2!$D:$D, MATCH(AE377&amp;AF377, Sheet2!$E:$E, 0)), ""), "-")</f>
        <v/>
      </c>
    </row>
    <row r="378" spans="1:33" x14ac:dyDescent="0.25">
      <c r="A378" t="s">
        <v>921</v>
      </c>
      <c r="B378" t="s">
        <v>965</v>
      </c>
      <c r="C378" t="s">
        <v>931</v>
      </c>
      <c r="D378" t="s">
        <v>361</v>
      </c>
      <c r="E378" t="s">
        <v>38</v>
      </c>
      <c r="F378">
        <v>1745</v>
      </c>
      <c r="G378">
        <v>714</v>
      </c>
      <c r="H378" t="s">
        <v>932</v>
      </c>
      <c r="I378" t="s">
        <v>39</v>
      </c>
      <c r="J378" t="s">
        <v>933</v>
      </c>
      <c r="K378" t="s">
        <v>38</v>
      </c>
      <c r="L378" t="s">
        <v>38</v>
      </c>
      <c r="M378" t="s">
        <v>38</v>
      </c>
      <c r="N378" t="s">
        <v>38</v>
      </c>
      <c r="O378" t="s">
        <v>41</v>
      </c>
      <c r="P378" t="s">
        <v>42</v>
      </c>
      <c r="Q378" t="s">
        <v>43</v>
      </c>
      <c r="R378" t="s">
        <v>89</v>
      </c>
      <c r="S378" t="s">
        <v>38</v>
      </c>
      <c r="T378" t="s">
        <v>89</v>
      </c>
      <c r="U378" t="s">
        <v>925</v>
      </c>
      <c r="V378" t="s">
        <v>270</v>
      </c>
      <c r="W378" t="s">
        <v>92</v>
      </c>
      <c r="X378" t="s">
        <v>93</v>
      </c>
      <c r="Y378" t="s">
        <v>966</v>
      </c>
      <c r="Z378" t="s">
        <v>42</v>
      </c>
      <c r="AA378" t="s">
        <v>38</v>
      </c>
      <c r="AB378" t="s">
        <v>38</v>
      </c>
      <c r="AC378" t="s">
        <v>91</v>
      </c>
      <c r="AD378" t="s">
        <v>48</v>
      </c>
      <c r="AG378" t="str">
        <f>IF(AD378="United States", IFERROR(INDEX(Sheet2!$C:$C, MATCH(AE378&amp;AF378, Sheet2!$E:$E, 0)) &amp; ", " &amp; INDEX(Sheet2!$D:$D, MATCH(AE378&amp;AF378, Sheet2!$E:$E, 0)), ""), "-")</f>
        <v/>
      </c>
    </row>
    <row r="379" spans="1:33" x14ac:dyDescent="0.25">
      <c r="A379" t="s">
        <v>921</v>
      </c>
      <c r="B379" t="s">
        <v>967</v>
      </c>
      <c r="C379" t="s">
        <v>931</v>
      </c>
      <c r="D379" t="s">
        <v>650</v>
      </c>
      <c r="E379" t="s">
        <v>38</v>
      </c>
      <c r="F379">
        <v>1763</v>
      </c>
      <c r="G379">
        <v>715</v>
      </c>
      <c r="H379" t="s">
        <v>932</v>
      </c>
      <c r="I379" t="s">
        <v>39</v>
      </c>
      <c r="J379" t="s">
        <v>933</v>
      </c>
      <c r="K379" t="s">
        <v>38</v>
      </c>
      <c r="L379" t="s">
        <v>38</v>
      </c>
      <c r="M379" t="s">
        <v>38</v>
      </c>
      <c r="N379" t="s">
        <v>38</v>
      </c>
      <c r="O379" t="s">
        <v>57</v>
      </c>
      <c r="P379" t="s">
        <v>42</v>
      </c>
      <c r="Q379" t="s">
        <v>43</v>
      </c>
      <c r="R379" t="s">
        <v>89</v>
      </c>
      <c r="S379" t="s">
        <v>89</v>
      </c>
      <c r="T379" t="s">
        <v>89</v>
      </c>
      <c r="U379" t="s">
        <v>925</v>
      </c>
      <c r="V379" t="s">
        <v>270</v>
      </c>
      <c r="W379" t="s">
        <v>92</v>
      </c>
      <c r="X379" t="s">
        <v>93</v>
      </c>
      <c r="Y379" t="s">
        <v>966</v>
      </c>
      <c r="Z379" t="s">
        <v>42</v>
      </c>
      <c r="AA379" t="s">
        <v>38</v>
      </c>
      <c r="AB379" t="s">
        <v>38</v>
      </c>
      <c r="AC379" t="s">
        <v>91</v>
      </c>
      <c r="AD379" t="s">
        <v>48</v>
      </c>
      <c r="AG379" t="str">
        <f>IF(AD379="United States", IFERROR(INDEX(Sheet2!$C:$C, MATCH(AE379&amp;AF379, Sheet2!$E:$E, 0)) &amp; ", " &amp; INDEX(Sheet2!$D:$D, MATCH(AE379&amp;AF379, Sheet2!$E:$E, 0)), ""), "-")</f>
        <v/>
      </c>
    </row>
    <row r="380" spans="1:33" x14ac:dyDescent="0.25">
      <c r="A380" t="s">
        <v>921</v>
      </c>
      <c r="B380" t="s">
        <v>968</v>
      </c>
      <c r="C380" t="s">
        <v>931</v>
      </c>
      <c r="D380" t="s">
        <v>162</v>
      </c>
      <c r="E380" t="s">
        <v>38</v>
      </c>
      <c r="F380">
        <v>1779</v>
      </c>
      <c r="G380">
        <v>716</v>
      </c>
      <c r="H380" t="s">
        <v>932</v>
      </c>
      <c r="I380" t="s">
        <v>39</v>
      </c>
      <c r="J380" t="s">
        <v>933</v>
      </c>
      <c r="K380" t="s">
        <v>38</v>
      </c>
      <c r="L380" t="s">
        <v>38</v>
      </c>
      <c r="M380" t="s">
        <v>38</v>
      </c>
      <c r="N380" t="s">
        <v>38</v>
      </c>
      <c r="O380" t="s">
        <v>74</v>
      </c>
      <c r="P380" t="s">
        <v>42</v>
      </c>
      <c r="Q380" t="s">
        <v>43</v>
      </c>
      <c r="R380" t="s">
        <v>89</v>
      </c>
      <c r="S380" t="s">
        <v>38</v>
      </c>
      <c r="T380" t="s">
        <v>89</v>
      </c>
      <c r="U380" t="s">
        <v>925</v>
      </c>
      <c r="V380" t="s">
        <v>270</v>
      </c>
      <c r="W380" t="s">
        <v>92</v>
      </c>
      <c r="X380" t="s">
        <v>93</v>
      </c>
      <c r="Y380" t="s">
        <v>966</v>
      </c>
      <c r="Z380" t="s">
        <v>42</v>
      </c>
      <c r="AA380" t="s">
        <v>162</v>
      </c>
      <c r="AB380" t="s">
        <v>38</v>
      </c>
      <c r="AC380" t="s">
        <v>91</v>
      </c>
      <c r="AD380" t="s">
        <v>48</v>
      </c>
      <c r="AG380" t="str">
        <f>IF(AD380="United States", IFERROR(INDEX(Sheet2!$C:$C, MATCH(AE380&amp;AF380, Sheet2!$E:$E, 0)) &amp; ", " &amp; INDEX(Sheet2!$D:$D, MATCH(AE380&amp;AF380, Sheet2!$E:$E, 0)), ""), "-")</f>
        <v/>
      </c>
    </row>
    <row r="381" spans="1:33" x14ac:dyDescent="0.25">
      <c r="A381" t="s">
        <v>921</v>
      </c>
      <c r="B381" t="s">
        <v>969</v>
      </c>
      <c r="C381" t="s">
        <v>931</v>
      </c>
      <c r="D381" t="s">
        <v>615</v>
      </c>
      <c r="E381" t="s">
        <v>970</v>
      </c>
      <c r="F381">
        <v>1761</v>
      </c>
      <c r="G381">
        <v>717</v>
      </c>
      <c r="H381" t="s">
        <v>932</v>
      </c>
      <c r="I381" t="s">
        <v>39</v>
      </c>
      <c r="J381" t="s">
        <v>933</v>
      </c>
      <c r="K381" t="s">
        <v>38</v>
      </c>
      <c r="L381" t="s">
        <v>38</v>
      </c>
      <c r="M381" t="s">
        <v>38</v>
      </c>
      <c r="N381" t="s">
        <v>38</v>
      </c>
      <c r="O381" t="s">
        <v>41</v>
      </c>
      <c r="P381" t="s">
        <v>42</v>
      </c>
      <c r="Q381" t="s">
        <v>43</v>
      </c>
      <c r="R381" t="s">
        <v>89</v>
      </c>
      <c r="S381" t="s">
        <v>45</v>
      </c>
      <c r="T381" t="s">
        <v>89</v>
      </c>
      <c r="U381" t="s">
        <v>925</v>
      </c>
      <c r="V381" t="s">
        <v>270</v>
      </c>
      <c r="W381" t="s">
        <v>92</v>
      </c>
      <c r="X381" t="s">
        <v>93</v>
      </c>
      <c r="Y381" t="s">
        <v>971</v>
      </c>
      <c r="Z381" t="s">
        <v>42</v>
      </c>
      <c r="AA381" t="s">
        <v>38</v>
      </c>
      <c r="AB381" t="s">
        <v>38</v>
      </c>
      <c r="AC381" t="s">
        <v>45</v>
      </c>
      <c r="AD381" t="s">
        <v>48</v>
      </c>
      <c r="AG381" t="str">
        <f>IF(AD381="United States", IFERROR(INDEX(Sheet2!$C:$C, MATCH(AE381&amp;AF381, Sheet2!$E:$E, 0)) &amp; ", " &amp; INDEX(Sheet2!$D:$D, MATCH(AE381&amp;AF381, Sheet2!$E:$E, 0)), ""), "-")</f>
        <v/>
      </c>
    </row>
    <row r="382" spans="1:33" x14ac:dyDescent="0.25">
      <c r="A382" t="s">
        <v>921</v>
      </c>
      <c r="B382" t="s">
        <v>972</v>
      </c>
      <c r="C382" t="s">
        <v>931</v>
      </c>
      <c r="D382" t="s">
        <v>101</v>
      </c>
      <c r="E382" t="s">
        <v>973</v>
      </c>
      <c r="F382">
        <v>1749</v>
      </c>
      <c r="G382">
        <v>724</v>
      </c>
      <c r="H382" t="s">
        <v>932</v>
      </c>
      <c r="I382" t="s">
        <v>39</v>
      </c>
      <c r="J382" t="s">
        <v>933</v>
      </c>
      <c r="K382" t="s">
        <v>38</v>
      </c>
      <c r="L382" t="s">
        <v>38</v>
      </c>
      <c r="M382" t="s">
        <v>38</v>
      </c>
      <c r="N382" t="s">
        <v>38</v>
      </c>
      <c r="O382" t="s">
        <v>41</v>
      </c>
      <c r="P382" t="s">
        <v>42</v>
      </c>
      <c r="Q382" t="s">
        <v>43</v>
      </c>
      <c r="R382" t="s">
        <v>89</v>
      </c>
      <c r="S382" t="s">
        <v>45</v>
      </c>
      <c r="T382" t="s">
        <v>89</v>
      </c>
      <c r="U382" t="s">
        <v>925</v>
      </c>
      <c r="V382" t="s">
        <v>270</v>
      </c>
      <c r="W382" t="s">
        <v>92</v>
      </c>
      <c r="X382" t="s">
        <v>93</v>
      </c>
      <c r="Y382" t="s">
        <v>953</v>
      </c>
      <c r="Z382" t="s">
        <v>42</v>
      </c>
      <c r="AA382" t="s">
        <v>627</v>
      </c>
      <c r="AB382" t="s">
        <v>38</v>
      </c>
      <c r="AC382" t="s">
        <v>45</v>
      </c>
      <c r="AD382" t="s">
        <v>48</v>
      </c>
      <c r="AG382" t="str">
        <f>IF(AD382="United States", IFERROR(INDEX(Sheet2!$C:$C, MATCH(AE382&amp;AF382, Sheet2!$E:$E, 0)) &amp; ", " &amp; INDEX(Sheet2!$D:$D, MATCH(AE382&amp;AF382, Sheet2!$E:$E, 0)), ""), "-")</f>
        <v/>
      </c>
    </row>
    <row r="383" spans="1:33" x14ac:dyDescent="0.25">
      <c r="A383" t="s">
        <v>921</v>
      </c>
      <c r="D383" t="s">
        <v>974</v>
      </c>
      <c r="E383" t="s">
        <v>928</v>
      </c>
      <c r="F383">
        <v>1757</v>
      </c>
      <c r="G383">
        <v>1940</v>
      </c>
      <c r="H383">
        <v>63</v>
      </c>
      <c r="J383" t="s">
        <v>929</v>
      </c>
      <c r="O383" t="s">
        <v>57</v>
      </c>
      <c r="R383" t="s">
        <v>89</v>
      </c>
      <c r="T383" t="s">
        <v>89</v>
      </c>
      <c r="U383" t="s">
        <v>925</v>
      </c>
      <c r="V383" t="s">
        <v>111</v>
      </c>
      <c r="W383" t="s">
        <v>92</v>
      </c>
      <c r="X383" t="s">
        <v>93</v>
      </c>
      <c r="Y383" t="s">
        <v>38</v>
      </c>
      <c r="AA383" t="s">
        <v>38</v>
      </c>
      <c r="AB383" t="s">
        <v>38</v>
      </c>
      <c r="AC383" t="s">
        <v>38</v>
      </c>
      <c r="AD383" t="s">
        <v>48</v>
      </c>
      <c r="AG383" t="str">
        <f>IF(AD383="United States", IFERROR(INDEX(Sheet2!$C:$C, MATCH(AE383&amp;AF383, Sheet2!$E:$E, 0)) &amp; ", " &amp; INDEX(Sheet2!$D:$D, MATCH(AE383&amp;AF383, Sheet2!$E:$E, 0)), ""), "-")</f>
        <v/>
      </c>
    </row>
    <row r="384" spans="1:33" x14ac:dyDescent="0.25">
      <c r="A384" t="s">
        <v>921</v>
      </c>
      <c r="D384" t="s">
        <v>72</v>
      </c>
      <c r="E384" t="s">
        <v>728</v>
      </c>
      <c r="F384">
        <v>1763</v>
      </c>
      <c r="G384">
        <v>1941</v>
      </c>
      <c r="H384">
        <v>63</v>
      </c>
      <c r="J384" t="s">
        <v>929</v>
      </c>
      <c r="O384" t="s">
        <v>57</v>
      </c>
      <c r="R384" t="s">
        <v>89</v>
      </c>
      <c r="T384" t="s">
        <v>89</v>
      </c>
      <c r="U384" t="s">
        <v>925</v>
      </c>
      <c r="V384" t="s">
        <v>111</v>
      </c>
      <c r="W384" t="s">
        <v>92</v>
      </c>
      <c r="X384" t="s">
        <v>93</v>
      </c>
      <c r="Y384" t="s">
        <v>38</v>
      </c>
      <c r="AA384" t="s">
        <v>38</v>
      </c>
      <c r="AB384" t="s">
        <v>38</v>
      </c>
      <c r="AC384" t="s">
        <v>38</v>
      </c>
      <c r="AD384" t="s">
        <v>48</v>
      </c>
      <c r="AG384" t="str">
        <f>IF(AD384="United States", IFERROR(INDEX(Sheet2!$C:$C, MATCH(AE384&amp;AF384, Sheet2!$E:$E, 0)) &amp; ", " &amp; INDEX(Sheet2!$D:$D, MATCH(AE384&amp;AF384, Sheet2!$E:$E, 0)), ""), "-")</f>
        <v/>
      </c>
    </row>
    <row r="385" spans="1:33" x14ac:dyDescent="0.25">
      <c r="A385" t="s">
        <v>921</v>
      </c>
      <c r="D385" t="s">
        <v>132</v>
      </c>
      <c r="E385" t="s">
        <v>975</v>
      </c>
      <c r="F385">
        <v>1774</v>
      </c>
      <c r="G385">
        <v>1942</v>
      </c>
      <c r="H385">
        <v>63</v>
      </c>
      <c r="J385" t="s">
        <v>929</v>
      </c>
      <c r="O385" t="s">
        <v>54</v>
      </c>
      <c r="R385" t="s">
        <v>89</v>
      </c>
      <c r="T385" t="s">
        <v>89</v>
      </c>
      <c r="U385" t="s">
        <v>925</v>
      </c>
      <c r="V385" t="s">
        <v>111</v>
      </c>
      <c r="W385" t="s">
        <v>92</v>
      </c>
      <c r="X385" t="s">
        <v>93</v>
      </c>
      <c r="Y385" t="s">
        <v>38</v>
      </c>
      <c r="AA385" t="s">
        <v>38</v>
      </c>
      <c r="AB385" t="s">
        <v>38</v>
      </c>
      <c r="AC385" t="s">
        <v>38</v>
      </c>
      <c r="AD385" t="s">
        <v>48</v>
      </c>
      <c r="AG385" t="str">
        <f>IF(AD385="United States", IFERROR(INDEX(Sheet2!$C:$C, MATCH(AE385&amp;AF385, Sheet2!$E:$E, 0)) &amp; ", " &amp; INDEX(Sheet2!$D:$D, MATCH(AE385&amp;AF385, Sheet2!$E:$E, 0)), ""), "-")</f>
        <v/>
      </c>
    </row>
    <row r="386" spans="1:33" x14ac:dyDescent="0.25">
      <c r="A386" t="s">
        <v>921</v>
      </c>
      <c r="D386" t="s">
        <v>976</v>
      </c>
      <c r="E386" t="s">
        <v>82</v>
      </c>
      <c r="F386">
        <v>1762</v>
      </c>
      <c r="G386">
        <v>1944</v>
      </c>
      <c r="H386">
        <v>63</v>
      </c>
      <c r="J386" t="s">
        <v>929</v>
      </c>
      <c r="O386" t="s">
        <v>41</v>
      </c>
      <c r="R386" t="s">
        <v>89</v>
      </c>
      <c r="T386" t="s">
        <v>89</v>
      </c>
      <c r="U386" t="s">
        <v>925</v>
      </c>
      <c r="V386" t="s">
        <v>111</v>
      </c>
      <c r="W386" t="s">
        <v>92</v>
      </c>
      <c r="X386" t="s">
        <v>93</v>
      </c>
      <c r="Y386" t="s">
        <v>38</v>
      </c>
      <c r="AA386" t="s">
        <v>38</v>
      </c>
      <c r="AB386" t="s">
        <v>38</v>
      </c>
      <c r="AC386" t="s">
        <v>38</v>
      </c>
      <c r="AD386" t="s">
        <v>48</v>
      </c>
      <c r="AG386" t="str">
        <f>IF(AD386="United States", IFERROR(INDEX(Sheet2!$C:$C, MATCH(AE386&amp;AF386, Sheet2!$E:$E, 0)) &amp; ", " &amp; INDEX(Sheet2!$D:$D, MATCH(AE386&amp;AF386, Sheet2!$E:$E, 0)), ""), "-")</f>
        <v/>
      </c>
    </row>
    <row r="387" spans="1:33" x14ac:dyDescent="0.25">
      <c r="A387" t="s">
        <v>921</v>
      </c>
      <c r="D387" t="s">
        <v>357</v>
      </c>
      <c r="E387" t="s">
        <v>465</v>
      </c>
      <c r="F387">
        <v>1753</v>
      </c>
      <c r="G387">
        <v>1951</v>
      </c>
      <c r="H387">
        <v>63</v>
      </c>
      <c r="J387" t="s">
        <v>929</v>
      </c>
      <c r="O387" t="s">
        <v>41</v>
      </c>
      <c r="R387" t="s">
        <v>89</v>
      </c>
      <c r="T387" t="s">
        <v>89</v>
      </c>
      <c r="U387" t="s">
        <v>925</v>
      </c>
      <c r="V387" t="s">
        <v>111</v>
      </c>
      <c r="W387" t="s">
        <v>92</v>
      </c>
      <c r="X387" t="s">
        <v>93</v>
      </c>
      <c r="Y387" t="s">
        <v>38</v>
      </c>
      <c r="AA387" t="s">
        <v>38</v>
      </c>
      <c r="AB387" t="s">
        <v>38</v>
      </c>
      <c r="AC387" t="s">
        <v>38</v>
      </c>
      <c r="AD387" t="s">
        <v>48</v>
      </c>
      <c r="AG387" t="str">
        <f>IF(AD387="United States", IFERROR(INDEX(Sheet2!$C:$C, MATCH(AE387&amp;AF387, Sheet2!$E:$E, 0)) &amp; ", " &amp; INDEX(Sheet2!$D:$D, MATCH(AE387&amp;AF387, Sheet2!$E:$E, 0)), ""), "-")</f>
        <v/>
      </c>
    </row>
    <row r="388" spans="1:33" x14ac:dyDescent="0.25">
      <c r="A388" t="s">
        <v>921</v>
      </c>
      <c r="D388" t="s">
        <v>245</v>
      </c>
      <c r="E388" t="s">
        <v>977</v>
      </c>
      <c r="F388">
        <v>1767</v>
      </c>
      <c r="G388">
        <v>1948</v>
      </c>
      <c r="H388">
        <v>63</v>
      </c>
      <c r="J388" t="s">
        <v>929</v>
      </c>
      <c r="O388" t="s">
        <v>57</v>
      </c>
      <c r="R388" t="s">
        <v>89</v>
      </c>
      <c r="T388" t="s">
        <v>89</v>
      </c>
      <c r="U388" t="s">
        <v>925</v>
      </c>
      <c r="V388" t="s">
        <v>111</v>
      </c>
      <c r="W388" t="s">
        <v>92</v>
      </c>
      <c r="X388" t="s">
        <v>93</v>
      </c>
      <c r="Y388" t="s">
        <v>38</v>
      </c>
      <c r="AA388" t="s">
        <v>38</v>
      </c>
      <c r="AB388" t="s">
        <v>38</v>
      </c>
      <c r="AC388" t="s">
        <v>38</v>
      </c>
      <c r="AD388" t="s">
        <v>48</v>
      </c>
      <c r="AG388" t="str">
        <f>IF(AD388="United States", IFERROR(INDEX(Sheet2!$C:$C, MATCH(AE388&amp;AF388, Sheet2!$E:$E, 0)) &amp; ", " &amp; INDEX(Sheet2!$D:$D, MATCH(AE388&amp;AF388, Sheet2!$E:$E, 0)), ""), "-")</f>
        <v/>
      </c>
    </row>
    <row r="389" spans="1:33" x14ac:dyDescent="0.25">
      <c r="A389" t="s">
        <v>921</v>
      </c>
      <c r="D389" t="s">
        <v>978</v>
      </c>
      <c r="E389" t="s">
        <v>979</v>
      </c>
      <c r="F389">
        <v>1758</v>
      </c>
      <c r="G389">
        <v>1938</v>
      </c>
      <c r="H389">
        <v>63</v>
      </c>
      <c r="J389" t="s">
        <v>929</v>
      </c>
      <c r="O389" t="s">
        <v>57</v>
      </c>
      <c r="R389" t="s">
        <v>89</v>
      </c>
      <c r="T389" t="s">
        <v>89</v>
      </c>
      <c r="U389" t="s">
        <v>925</v>
      </c>
      <c r="V389" t="s">
        <v>111</v>
      </c>
      <c r="W389" t="s">
        <v>92</v>
      </c>
      <c r="X389" t="s">
        <v>93</v>
      </c>
      <c r="Y389" t="s">
        <v>38</v>
      </c>
      <c r="AA389" t="s">
        <v>38</v>
      </c>
      <c r="AB389" t="s">
        <v>38</v>
      </c>
      <c r="AC389" t="s">
        <v>38</v>
      </c>
      <c r="AD389" t="s">
        <v>48</v>
      </c>
      <c r="AG389" t="str">
        <f>IF(AD389="United States", IFERROR(INDEX(Sheet2!$C:$C, MATCH(AE389&amp;AF389, Sheet2!$E:$E, 0)) &amp; ", " &amp; INDEX(Sheet2!$D:$D, MATCH(AE389&amp;AF389, Sheet2!$E:$E, 0)), ""), "-")</f>
        <v/>
      </c>
    </row>
    <row r="390" spans="1:33" x14ac:dyDescent="0.25">
      <c r="A390" t="s">
        <v>921</v>
      </c>
      <c r="D390" t="s">
        <v>980</v>
      </c>
      <c r="E390" t="s">
        <v>981</v>
      </c>
      <c r="F390">
        <v>1763</v>
      </c>
      <c r="G390">
        <v>1936</v>
      </c>
      <c r="H390">
        <v>63</v>
      </c>
      <c r="J390" t="s">
        <v>929</v>
      </c>
      <c r="O390" t="s">
        <v>57</v>
      </c>
      <c r="R390" t="s">
        <v>89</v>
      </c>
      <c r="T390" t="s">
        <v>89</v>
      </c>
      <c r="U390" t="s">
        <v>925</v>
      </c>
      <c r="V390" t="s">
        <v>111</v>
      </c>
      <c r="W390" t="s">
        <v>92</v>
      </c>
      <c r="X390" t="s">
        <v>93</v>
      </c>
      <c r="Y390" t="s">
        <v>38</v>
      </c>
      <c r="AA390" t="s">
        <v>38</v>
      </c>
      <c r="AB390" t="s">
        <v>38</v>
      </c>
      <c r="AC390" t="s">
        <v>38</v>
      </c>
      <c r="AD390" t="s">
        <v>48</v>
      </c>
      <c r="AG390" t="str">
        <f>IF(AD390="United States", IFERROR(INDEX(Sheet2!$C:$C, MATCH(AE390&amp;AF390, Sheet2!$E:$E, 0)) &amp; ", " &amp; INDEX(Sheet2!$D:$D, MATCH(AE390&amp;AF390, Sheet2!$E:$E, 0)), ""), "-")</f>
        <v/>
      </c>
    </row>
    <row r="391" spans="1:33" x14ac:dyDescent="0.25">
      <c r="A391" t="s">
        <v>921</v>
      </c>
      <c r="D391" t="s">
        <v>982</v>
      </c>
      <c r="E391" t="s">
        <v>37</v>
      </c>
      <c r="F391">
        <v>1756</v>
      </c>
      <c r="G391">
        <v>1947</v>
      </c>
      <c r="H391">
        <v>63</v>
      </c>
      <c r="J391" t="s">
        <v>929</v>
      </c>
      <c r="O391" t="s">
        <v>41</v>
      </c>
      <c r="R391" t="s">
        <v>89</v>
      </c>
      <c r="T391" t="s">
        <v>89</v>
      </c>
      <c r="U391" t="s">
        <v>925</v>
      </c>
      <c r="V391" t="s">
        <v>111</v>
      </c>
      <c r="W391" t="s">
        <v>92</v>
      </c>
      <c r="X391" t="s">
        <v>93</v>
      </c>
      <c r="Y391" t="s">
        <v>38</v>
      </c>
      <c r="AA391" t="s">
        <v>38</v>
      </c>
      <c r="AB391" t="s">
        <v>38</v>
      </c>
      <c r="AC391" t="s">
        <v>38</v>
      </c>
      <c r="AD391" t="s">
        <v>48</v>
      </c>
      <c r="AG391" t="str">
        <f>IF(AD391="United States", IFERROR(INDEX(Sheet2!$C:$C, MATCH(AE391&amp;AF391, Sheet2!$E:$E, 0)) &amp; ", " &amp; INDEX(Sheet2!$D:$D, MATCH(AE391&amp;AF391, Sheet2!$E:$E, 0)), ""), "-")</f>
        <v/>
      </c>
    </row>
    <row r="392" spans="1:33" x14ac:dyDescent="0.25">
      <c r="A392" t="s">
        <v>921</v>
      </c>
      <c r="D392" t="s">
        <v>569</v>
      </c>
      <c r="E392" t="s">
        <v>983</v>
      </c>
      <c r="F392">
        <v>1762</v>
      </c>
      <c r="G392">
        <v>1946</v>
      </c>
      <c r="H392">
        <v>63</v>
      </c>
      <c r="J392" t="s">
        <v>929</v>
      </c>
      <c r="O392" t="s">
        <v>41</v>
      </c>
      <c r="R392" t="s">
        <v>89</v>
      </c>
      <c r="T392" t="s">
        <v>89</v>
      </c>
      <c r="U392" t="s">
        <v>925</v>
      </c>
      <c r="V392" t="s">
        <v>111</v>
      </c>
      <c r="W392" t="s">
        <v>92</v>
      </c>
      <c r="X392" t="s">
        <v>93</v>
      </c>
      <c r="Y392" t="s">
        <v>38</v>
      </c>
      <c r="AA392" t="s">
        <v>38</v>
      </c>
      <c r="AB392" t="s">
        <v>38</v>
      </c>
      <c r="AC392" t="s">
        <v>38</v>
      </c>
      <c r="AD392" t="s">
        <v>48</v>
      </c>
      <c r="AG392" t="str">
        <f>IF(AD392="United States", IFERROR(INDEX(Sheet2!$C:$C, MATCH(AE392&amp;AF392, Sheet2!$E:$E, 0)) &amp; ", " &amp; INDEX(Sheet2!$D:$D, MATCH(AE392&amp;AF392, Sheet2!$E:$E, 0)), ""), "-")</f>
        <v/>
      </c>
    </row>
    <row r="393" spans="1:33" x14ac:dyDescent="0.25">
      <c r="A393" t="s">
        <v>921</v>
      </c>
      <c r="B393" t="s">
        <v>984</v>
      </c>
      <c r="C393" t="s">
        <v>985</v>
      </c>
      <c r="D393" t="s">
        <v>986</v>
      </c>
      <c r="E393" t="s">
        <v>987</v>
      </c>
      <c r="F393">
        <v>1759</v>
      </c>
      <c r="G393">
        <v>1912</v>
      </c>
      <c r="H393" t="s">
        <v>173</v>
      </c>
      <c r="I393" t="s">
        <v>80</v>
      </c>
      <c r="J393" t="s">
        <v>988</v>
      </c>
      <c r="K393" t="s">
        <v>38</v>
      </c>
      <c r="L393" t="s">
        <v>38</v>
      </c>
      <c r="M393" t="s">
        <v>38</v>
      </c>
      <c r="N393" t="s">
        <v>38</v>
      </c>
      <c r="O393" t="s">
        <v>41</v>
      </c>
      <c r="P393" t="s">
        <v>42</v>
      </c>
      <c r="Q393" t="s">
        <v>43</v>
      </c>
      <c r="R393" t="s">
        <v>89</v>
      </c>
      <c r="S393" t="s">
        <v>38</v>
      </c>
      <c r="T393" t="s">
        <v>89</v>
      </c>
      <c r="U393" t="s">
        <v>925</v>
      </c>
      <c r="V393" t="s">
        <v>91</v>
      </c>
      <c r="W393" t="s">
        <v>92</v>
      </c>
      <c r="X393" t="s">
        <v>93</v>
      </c>
      <c r="Y393" t="s">
        <v>38</v>
      </c>
      <c r="Z393" t="s">
        <v>42</v>
      </c>
      <c r="AA393" t="s">
        <v>38</v>
      </c>
      <c r="AB393" t="s">
        <v>38</v>
      </c>
      <c r="AC393" t="s">
        <v>38</v>
      </c>
      <c r="AD393" t="s">
        <v>48</v>
      </c>
      <c r="AG393" t="str">
        <f>IF(AD393="United States", IFERROR(INDEX(Sheet2!$C:$C, MATCH(AE393&amp;AF393, Sheet2!$E:$E, 0)) &amp; ", " &amp; INDEX(Sheet2!$D:$D, MATCH(AE393&amp;AF393, Sheet2!$E:$E, 0)), ""), "-")</f>
        <v/>
      </c>
    </row>
    <row r="394" spans="1:33" x14ac:dyDescent="0.25">
      <c r="A394" t="s">
        <v>921</v>
      </c>
      <c r="B394" t="s">
        <v>989</v>
      </c>
      <c r="C394" t="s">
        <v>985</v>
      </c>
      <c r="D394" t="s">
        <v>990</v>
      </c>
      <c r="E394" t="s">
        <v>991</v>
      </c>
      <c r="F394">
        <v>1756</v>
      </c>
      <c r="G394">
        <v>1913</v>
      </c>
      <c r="H394" t="s">
        <v>38</v>
      </c>
      <c r="I394" t="s">
        <v>80</v>
      </c>
      <c r="J394" t="s">
        <v>988</v>
      </c>
      <c r="K394" t="s">
        <v>38</v>
      </c>
      <c r="L394" t="s">
        <v>38</v>
      </c>
      <c r="M394" t="s">
        <v>38</v>
      </c>
      <c r="N394" t="s">
        <v>38</v>
      </c>
      <c r="O394" t="s">
        <v>41</v>
      </c>
      <c r="P394" t="s">
        <v>42</v>
      </c>
      <c r="Q394" t="s">
        <v>43</v>
      </c>
      <c r="R394" t="s">
        <v>38</v>
      </c>
      <c r="S394" t="s">
        <v>38</v>
      </c>
      <c r="T394" t="s">
        <v>38</v>
      </c>
      <c r="U394" t="s">
        <v>38</v>
      </c>
      <c r="V394" t="s">
        <v>91</v>
      </c>
      <c r="W394" t="s">
        <v>38</v>
      </c>
      <c r="X394" t="s">
        <v>38</v>
      </c>
      <c r="Y394" t="s">
        <v>38</v>
      </c>
      <c r="Z394" t="s">
        <v>42</v>
      </c>
      <c r="AA394" t="s">
        <v>38</v>
      </c>
      <c r="AB394" t="s">
        <v>38</v>
      </c>
      <c r="AC394" t="s">
        <v>38</v>
      </c>
      <c r="AD394" t="s">
        <v>48</v>
      </c>
      <c r="AG394" t="str">
        <f>IF(AD394="United States", IFERROR(INDEX(Sheet2!$C:$C, MATCH(AE394&amp;AF394, Sheet2!$E:$E, 0)) &amp; ", " &amp; INDEX(Sheet2!$D:$D, MATCH(AE394&amp;AF394, Sheet2!$E:$E, 0)), ""), "-")</f>
        <v/>
      </c>
    </row>
    <row r="395" spans="1:33" x14ac:dyDescent="0.25">
      <c r="A395" t="s">
        <v>992</v>
      </c>
      <c r="B395" t="s">
        <v>993</v>
      </c>
      <c r="C395" t="s">
        <v>994</v>
      </c>
      <c r="D395" t="s">
        <v>263</v>
      </c>
      <c r="E395" t="s">
        <v>38</v>
      </c>
      <c r="F395">
        <v>1775</v>
      </c>
      <c r="G395">
        <v>1989</v>
      </c>
      <c r="H395" t="s">
        <v>398</v>
      </c>
      <c r="I395" t="s">
        <v>80</v>
      </c>
      <c r="J395" t="s">
        <v>995</v>
      </c>
      <c r="K395" t="s">
        <v>38</v>
      </c>
      <c r="L395" t="s">
        <v>38</v>
      </c>
      <c r="M395" t="s">
        <v>38</v>
      </c>
      <c r="N395" t="s">
        <v>38</v>
      </c>
      <c r="O395" t="s">
        <v>74</v>
      </c>
      <c r="P395" t="s">
        <v>42</v>
      </c>
      <c r="Q395" t="s">
        <v>43</v>
      </c>
      <c r="R395" t="s">
        <v>89</v>
      </c>
      <c r="S395" t="s">
        <v>38</v>
      </c>
      <c r="T395" t="s">
        <v>89</v>
      </c>
      <c r="U395" t="s">
        <v>301</v>
      </c>
      <c r="V395" t="s">
        <v>91</v>
      </c>
      <c r="W395" t="s">
        <v>92</v>
      </c>
      <c r="X395" t="s">
        <v>38</v>
      </c>
      <c r="Y395" t="s">
        <v>996</v>
      </c>
      <c r="Z395" t="s">
        <v>42</v>
      </c>
      <c r="AA395" t="s">
        <v>38</v>
      </c>
      <c r="AB395" t="s">
        <v>38</v>
      </c>
      <c r="AC395" t="s">
        <v>38</v>
      </c>
      <c r="AD395" t="s">
        <v>48</v>
      </c>
      <c r="AG395" t="str">
        <f>IF(AD395="United States", IFERROR(INDEX(Sheet2!$C:$C, MATCH(AE395&amp;AF395, Sheet2!$E:$E, 0)) &amp; ", " &amp; INDEX(Sheet2!$D:$D, MATCH(AE395&amp;AF395, Sheet2!$E:$E, 0)), ""), "-")</f>
        <v/>
      </c>
    </row>
    <row r="396" spans="1:33" x14ac:dyDescent="0.25">
      <c r="A396" t="s">
        <v>992</v>
      </c>
      <c r="B396" t="s">
        <v>997</v>
      </c>
      <c r="C396" t="s">
        <v>994</v>
      </c>
      <c r="D396" t="s">
        <v>986</v>
      </c>
      <c r="E396" t="s">
        <v>38</v>
      </c>
      <c r="F396">
        <v>1774</v>
      </c>
      <c r="G396">
        <v>1990</v>
      </c>
      <c r="H396" t="s">
        <v>398</v>
      </c>
      <c r="I396" t="s">
        <v>80</v>
      </c>
      <c r="J396" t="s">
        <v>995</v>
      </c>
      <c r="K396" t="s">
        <v>38</v>
      </c>
      <c r="L396" t="s">
        <v>38</v>
      </c>
      <c r="M396" t="s">
        <v>38</v>
      </c>
      <c r="N396" t="s">
        <v>38</v>
      </c>
      <c r="O396" t="s">
        <v>54</v>
      </c>
      <c r="P396" t="s">
        <v>42</v>
      </c>
      <c r="Q396" t="s">
        <v>43</v>
      </c>
      <c r="R396" t="s">
        <v>89</v>
      </c>
      <c r="S396" t="s">
        <v>38</v>
      </c>
      <c r="T396" t="s">
        <v>89</v>
      </c>
      <c r="U396" t="s">
        <v>301</v>
      </c>
      <c r="V396" t="s">
        <v>91</v>
      </c>
      <c r="W396" t="s">
        <v>92</v>
      </c>
      <c r="X396" t="s">
        <v>38</v>
      </c>
      <c r="Y396" t="s">
        <v>996</v>
      </c>
      <c r="Z396" t="s">
        <v>42</v>
      </c>
      <c r="AA396" t="s">
        <v>38</v>
      </c>
      <c r="AB396" t="s">
        <v>38</v>
      </c>
      <c r="AC396" t="s">
        <v>38</v>
      </c>
      <c r="AD396" t="s">
        <v>48</v>
      </c>
      <c r="AG396" t="str">
        <f>IF(AD396="United States", IFERROR(INDEX(Sheet2!$C:$C, MATCH(AE396&amp;AF396, Sheet2!$E:$E, 0)) &amp; ", " &amp; INDEX(Sheet2!$D:$D, MATCH(AE396&amp;AF396, Sheet2!$E:$E, 0)), ""), "-")</f>
        <v/>
      </c>
    </row>
    <row r="397" spans="1:33" x14ac:dyDescent="0.25">
      <c r="A397" t="s">
        <v>998</v>
      </c>
      <c r="B397" t="s">
        <v>999</v>
      </c>
      <c r="C397" t="s">
        <v>1000</v>
      </c>
      <c r="D397" t="s">
        <v>182</v>
      </c>
      <c r="E397" t="s">
        <v>1001</v>
      </c>
      <c r="F397">
        <v>1769</v>
      </c>
      <c r="G397">
        <v>1145</v>
      </c>
      <c r="H397" t="s">
        <v>610</v>
      </c>
      <c r="I397" t="s">
        <v>80</v>
      </c>
      <c r="J397" t="s">
        <v>38</v>
      </c>
      <c r="K397" t="s">
        <v>38</v>
      </c>
      <c r="L397" t="s">
        <v>38</v>
      </c>
      <c r="M397" t="s">
        <v>38</v>
      </c>
      <c r="N397" t="s">
        <v>38</v>
      </c>
      <c r="O397" t="s">
        <v>74</v>
      </c>
      <c r="P397" t="s">
        <v>42</v>
      </c>
      <c r="Q397" t="s">
        <v>43</v>
      </c>
      <c r="R397" t="s">
        <v>89</v>
      </c>
      <c r="S397" t="s">
        <v>38</v>
      </c>
      <c r="T397" t="s">
        <v>89</v>
      </c>
      <c r="U397" t="s">
        <v>1002</v>
      </c>
      <c r="V397" t="s">
        <v>38</v>
      </c>
      <c r="W397" t="s">
        <v>92</v>
      </c>
      <c r="X397" t="s">
        <v>38</v>
      </c>
      <c r="Y397" t="s">
        <v>38</v>
      </c>
      <c r="Z397" t="s">
        <v>42</v>
      </c>
      <c r="AA397" t="s">
        <v>38</v>
      </c>
      <c r="AB397" t="s">
        <v>38</v>
      </c>
      <c r="AC397" t="s">
        <v>705</v>
      </c>
      <c r="AD397" t="s">
        <v>48</v>
      </c>
      <c r="AG397" t="str">
        <f>IF(AD397="United States", IFERROR(INDEX(Sheet2!$C:$C, MATCH(AE397&amp;AF397, Sheet2!$E:$E, 0)) &amp; ", " &amp; INDEX(Sheet2!$D:$D, MATCH(AE397&amp;AF397, Sheet2!$E:$E, 0)), ""), "-")</f>
        <v/>
      </c>
    </row>
    <row r="398" spans="1:33" x14ac:dyDescent="0.25">
      <c r="A398" t="s">
        <v>998</v>
      </c>
      <c r="D398" t="s">
        <v>181</v>
      </c>
      <c r="E398" t="s">
        <v>1003</v>
      </c>
      <c r="F398">
        <v>1777</v>
      </c>
      <c r="G398">
        <v>59</v>
      </c>
      <c r="H398">
        <v>18</v>
      </c>
      <c r="J398" t="s">
        <v>1004</v>
      </c>
      <c r="O398" t="s">
        <v>74</v>
      </c>
      <c r="R398" t="s">
        <v>89</v>
      </c>
      <c r="T398" t="s">
        <v>89</v>
      </c>
      <c r="U398" t="s">
        <v>1002</v>
      </c>
      <c r="V398" t="s">
        <v>111</v>
      </c>
      <c r="W398" t="s">
        <v>92</v>
      </c>
      <c r="Y398" t="s">
        <v>38</v>
      </c>
      <c r="AA398" t="s">
        <v>38</v>
      </c>
      <c r="AB398" t="s">
        <v>38</v>
      </c>
      <c r="AC398" t="s">
        <v>38</v>
      </c>
      <c r="AD398" t="s">
        <v>48</v>
      </c>
      <c r="AG398" t="str">
        <f>IF(AD398="United States", IFERROR(INDEX(Sheet2!$C:$C, MATCH(AE398&amp;AF398, Sheet2!$E:$E, 0)) &amp; ", " &amp; INDEX(Sheet2!$D:$D, MATCH(AE398&amp;AF398, Sheet2!$E:$E, 0)), ""), "-")</f>
        <v/>
      </c>
    </row>
    <row r="399" spans="1:33" x14ac:dyDescent="0.25">
      <c r="A399" t="s">
        <v>998</v>
      </c>
      <c r="D399" t="s">
        <v>1005</v>
      </c>
      <c r="E399" t="s">
        <v>1006</v>
      </c>
      <c r="F399">
        <v>1743</v>
      </c>
      <c r="G399">
        <v>58</v>
      </c>
      <c r="H399">
        <v>18</v>
      </c>
      <c r="J399" t="s">
        <v>1004</v>
      </c>
      <c r="O399" t="s">
        <v>57</v>
      </c>
      <c r="R399" t="s">
        <v>89</v>
      </c>
      <c r="T399" t="s">
        <v>89</v>
      </c>
      <c r="U399" t="s">
        <v>1002</v>
      </c>
      <c r="V399" t="s">
        <v>111</v>
      </c>
      <c r="W399" t="s">
        <v>92</v>
      </c>
      <c r="Y399" t="s">
        <v>38</v>
      </c>
      <c r="AA399" t="s">
        <v>38</v>
      </c>
      <c r="AB399" t="s">
        <v>38</v>
      </c>
      <c r="AC399" t="s">
        <v>38</v>
      </c>
      <c r="AD399" t="s">
        <v>48</v>
      </c>
      <c r="AG399" t="str">
        <f>IF(AD399="United States", IFERROR(INDEX(Sheet2!$C:$C, MATCH(AE399&amp;AF399, Sheet2!$E:$E, 0)) &amp; ", " &amp; INDEX(Sheet2!$D:$D, MATCH(AE399&amp;AF399, Sheet2!$E:$E, 0)), ""), "-")</f>
        <v/>
      </c>
    </row>
    <row r="400" spans="1:33" x14ac:dyDescent="0.25">
      <c r="A400" t="s">
        <v>998</v>
      </c>
      <c r="B400" t="s">
        <v>1007</v>
      </c>
      <c r="C400" t="s">
        <v>1000</v>
      </c>
      <c r="D400" t="s">
        <v>1008</v>
      </c>
      <c r="E400" t="s">
        <v>1001</v>
      </c>
      <c r="F400">
        <v>1772</v>
      </c>
      <c r="G400">
        <v>1146</v>
      </c>
      <c r="H400" t="s">
        <v>610</v>
      </c>
      <c r="I400" t="s">
        <v>80</v>
      </c>
      <c r="J400" t="s">
        <v>38</v>
      </c>
      <c r="K400" t="s">
        <v>38</v>
      </c>
      <c r="L400" t="s">
        <v>38</v>
      </c>
      <c r="M400" t="s">
        <v>38</v>
      </c>
      <c r="N400" t="s">
        <v>38</v>
      </c>
      <c r="O400" t="s">
        <v>54</v>
      </c>
      <c r="P400" t="s">
        <v>42</v>
      </c>
      <c r="Q400" t="s">
        <v>43</v>
      </c>
      <c r="R400" t="s">
        <v>89</v>
      </c>
      <c r="S400" t="s">
        <v>38</v>
      </c>
      <c r="T400" t="s">
        <v>89</v>
      </c>
      <c r="U400" t="s">
        <v>1002</v>
      </c>
      <c r="V400" t="s">
        <v>38</v>
      </c>
      <c r="W400" t="s">
        <v>92</v>
      </c>
      <c r="X400" t="s">
        <v>38</v>
      </c>
      <c r="Y400" t="s">
        <v>38</v>
      </c>
      <c r="Z400" t="s">
        <v>42</v>
      </c>
      <c r="AA400" t="s">
        <v>38</v>
      </c>
      <c r="AB400" t="s">
        <v>38</v>
      </c>
      <c r="AC400" t="s">
        <v>705</v>
      </c>
      <c r="AD400" t="s">
        <v>48</v>
      </c>
      <c r="AG400" t="str">
        <f>IF(AD400="United States", IFERROR(INDEX(Sheet2!$C:$C, MATCH(AE400&amp;AF400, Sheet2!$E:$E, 0)) &amp; ", " &amp; INDEX(Sheet2!$D:$D, MATCH(AE400&amp;AF400, Sheet2!$E:$E, 0)), ""), "-")</f>
        <v/>
      </c>
    </row>
    <row r="401" spans="1:33" x14ac:dyDescent="0.25">
      <c r="A401" t="s">
        <v>998</v>
      </c>
      <c r="B401" t="s">
        <v>1009</v>
      </c>
      <c r="C401" t="s">
        <v>1010</v>
      </c>
      <c r="D401" t="s">
        <v>1011</v>
      </c>
      <c r="E401" t="s">
        <v>227</v>
      </c>
      <c r="F401">
        <v>1770</v>
      </c>
      <c r="G401">
        <v>54</v>
      </c>
      <c r="H401" t="s">
        <v>78</v>
      </c>
      <c r="I401" t="s">
        <v>39</v>
      </c>
      <c r="J401" t="s">
        <v>38</v>
      </c>
      <c r="K401" t="s">
        <v>38</v>
      </c>
      <c r="L401" t="s">
        <v>38</v>
      </c>
      <c r="M401" t="s">
        <v>38</v>
      </c>
      <c r="N401" t="s">
        <v>38</v>
      </c>
      <c r="O401" t="s">
        <v>74</v>
      </c>
      <c r="P401" t="s">
        <v>42</v>
      </c>
      <c r="Q401" t="s">
        <v>43</v>
      </c>
      <c r="R401" t="s">
        <v>89</v>
      </c>
      <c r="S401" t="s">
        <v>38</v>
      </c>
      <c r="T401" t="s">
        <v>89</v>
      </c>
      <c r="U401" t="s">
        <v>1002</v>
      </c>
      <c r="V401" t="s">
        <v>38</v>
      </c>
      <c r="W401" t="s">
        <v>92</v>
      </c>
      <c r="X401" t="s">
        <v>38</v>
      </c>
      <c r="Y401" t="s">
        <v>1012</v>
      </c>
      <c r="Z401" t="s">
        <v>42</v>
      </c>
      <c r="AA401" t="s">
        <v>38</v>
      </c>
      <c r="AB401" t="s">
        <v>38</v>
      </c>
      <c r="AC401" t="s">
        <v>38</v>
      </c>
      <c r="AD401" t="s">
        <v>48</v>
      </c>
      <c r="AG401" t="str">
        <f>IF(AD401="United States", IFERROR(INDEX(Sheet2!$C:$C, MATCH(AE401&amp;AF401, Sheet2!$E:$E, 0)) &amp; ", " &amp; INDEX(Sheet2!$D:$D, MATCH(AE401&amp;AF401, Sheet2!$E:$E, 0)), ""), "-")</f>
        <v/>
      </c>
    </row>
    <row r="402" spans="1:33" x14ac:dyDescent="0.25">
      <c r="A402" t="s">
        <v>998</v>
      </c>
      <c r="B402" t="s">
        <v>1013</v>
      </c>
      <c r="C402" t="s">
        <v>1010</v>
      </c>
      <c r="D402" t="s">
        <v>621</v>
      </c>
      <c r="E402" t="s">
        <v>38</v>
      </c>
      <c r="F402">
        <v>1766</v>
      </c>
      <c r="G402">
        <v>53</v>
      </c>
      <c r="H402" t="s">
        <v>78</v>
      </c>
      <c r="I402" t="s">
        <v>39</v>
      </c>
      <c r="J402" t="s">
        <v>38</v>
      </c>
      <c r="K402" t="s">
        <v>38</v>
      </c>
      <c r="L402" t="s">
        <v>38</v>
      </c>
      <c r="M402" t="s">
        <v>38</v>
      </c>
      <c r="N402" t="s">
        <v>38</v>
      </c>
      <c r="O402" t="s">
        <v>54</v>
      </c>
      <c r="P402" t="s">
        <v>42</v>
      </c>
      <c r="Q402" t="s">
        <v>43</v>
      </c>
      <c r="R402" t="s">
        <v>89</v>
      </c>
      <c r="S402" t="s">
        <v>38</v>
      </c>
      <c r="T402" t="s">
        <v>89</v>
      </c>
      <c r="U402" t="s">
        <v>1002</v>
      </c>
      <c r="V402" t="s">
        <v>38</v>
      </c>
      <c r="W402" t="s">
        <v>92</v>
      </c>
      <c r="X402" t="s">
        <v>38</v>
      </c>
      <c r="Y402" t="s">
        <v>1014</v>
      </c>
      <c r="Z402" t="s">
        <v>42</v>
      </c>
      <c r="AA402" t="s">
        <v>1015</v>
      </c>
      <c r="AB402" t="s">
        <v>38</v>
      </c>
      <c r="AC402" t="s">
        <v>60</v>
      </c>
      <c r="AD402" t="s">
        <v>48</v>
      </c>
      <c r="AG402" t="str">
        <f>IF(AD402="United States", IFERROR(INDEX(Sheet2!$C:$C, MATCH(AE402&amp;AF402, Sheet2!$E:$E, 0)) &amp; ", " &amp; INDEX(Sheet2!$D:$D, MATCH(AE402&amp;AF402, Sheet2!$E:$E, 0)), ""), "-")</f>
        <v/>
      </c>
    </row>
    <row r="403" spans="1:33" x14ac:dyDescent="0.25">
      <c r="A403" t="s">
        <v>998</v>
      </c>
      <c r="B403" t="s">
        <v>1016</v>
      </c>
      <c r="C403" t="s">
        <v>1010</v>
      </c>
      <c r="D403" t="s">
        <v>1017</v>
      </c>
      <c r="E403" t="s">
        <v>38</v>
      </c>
      <c r="F403">
        <v>1751</v>
      </c>
      <c r="G403">
        <v>52</v>
      </c>
      <c r="H403" t="s">
        <v>78</v>
      </c>
      <c r="I403" t="s">
        <v>39</v>
      </c>
      <c r="J403" t="s">
        <v>38</v>
      </c>
      <c r="K403" t="s">
        <v>38</v>
      </c>
      <c r="L403" t="s">
        <v>38</v>
      </c>
      <c r="M403" t="s">
        <v>38</v>
      </c>
      <c r="N403" t="s">
        <v>38</v>
      </c>
      <c r="O403" t="s">
        <v>41</v>
      </c>
      <c r="P403" t="s">
        <v>42</v>
      </c>
      <c r="Q403" t="s">
        <v>43</v>
      </c>
      <c r="R403" t="s">
        <v>89</v>
      </c>
      <c r="S403" t="s">
        <v>201</v>
      </c>
      <c r="T403" t="s">
        <v>89</v>
      </c>
      <c r="U403" t="s">
        <v>1002</v>
      </c>
      <c r="V403" t="s">
        <v>38</v>
      </c>
      <c r="W403" t="s">
        <v>92</v>
      </c>
      <c r="X403" t="s">
        <v>38</v>
      </c>
      <c r="Y403" t="s">
        <v>1018</v>
      </c>
      <c r="Z403" t="s">
        <v>42</v>
      </c>
      <c r="AA403" t="s">
        <v>1017</v>
      </c>
      <c r="AB403" t="s">
        <v>354</v>
      </c>
      <c r="AC403" t="s">
        <v>201</v>
      </c>
      <c r="AD403" t="s">
        <v>48</v>
      </c>
      <c r="AG403" t="str">
        <f>IF(AD403="United States", IFERROR(INDEX(Sheet2!$C:$C, MATCH(AE403&amp;AF403, Sheet2!$E:$E, 0)) &amp; ", " &amp; INDEX(Sheet2!$D:$D, MATCH(AE403&amp;AF403, Sheet2!$E:$E, 0)), ""), "-")</f>
        <v/>
      </c>
    </row>
    <row r="404" spans="1:33" x14ac:dyDescent="0.25">
      <c r="A404" t="s">
        <v>998</v>
      </c>
      <c r="B404" t="s">
        <v>1007</v>
      </c>
      <c r="C404" t="s">
        <v>1000</v>
      </c>
      <c r="D404" t="s">
        <v>1008</v>
      </c>
      <c r="E404" t="s">
        <v>1001</v>
      </c>
      <c r="F404">
        <v>1772</v>
      </c>
      <c r="G404">
        <v>870</v>
      </c>
      <c r="H404" t="s">
        <v>610</v>
      </c>
      <c r="I404" t="s">
        <v>80</v>
      </c>
      <c r="J404" t="s">
        <v>38</v>
      </c>
      <c r="K404" t="s">
        <v>38</v>
      </c>
      <c r="L404" t="s">
        <v>38</v>
      </c>
      <c r="M404" t="s">
        <v>38</v>
      </c>
      <c r="N404" t="s">
        <v>38</v>
      </c>
      <c r="O404" t="s">
        <v>54</v>
      </c>
      <c r="P404" t="s">
        <v>42</v>
      </c>
      <c r="Q404" t="s">
        <v>43</v>
      </c>
      <c r="R404" t="s">
        <v>89</v>
      </c>
      <c r="S404" t="s">
        <v>38</v>
      </c>
      <c r="T404" t="s">
        <v>89</v>
      </c>
      <c r="U404" t="s">
        <v>1002</v>
      </c>
      <c r="V404" t="s">
        <v>38</v>
      </c>
      <c r="W404" t="s">
        <v>92</v>
      </c>
      <c r="X404" t="s">
        <v>38</v>
      </c>
      <c r="Y404" t="s">
        <v>38</v>
      </c>
      <c r="Z404" t="s">
        <v>42</v>
      </c>
      <c r="AA404" t="s">
        <v>38</v>
      </c>
      <c r="AB404" t="s">
        <v>38</v>
      </c>
      <c r="AC404" t="s">
        <v>705</v>
      </c>
      <c r="AD404" t="s">
        <v>48</v>
      </c>
      <c r="AG404" t="str">
        <f>IF(AD404="United States", IFERROR(INDEX(Sheet2!$C:$C, MATCH(AE404&amp;AF404, Sheet2!$E:$E, 0)) &amp; ", " &amp; INDEX(Sheet2!$D:$D, MATCH(AE404&amp;AF404, Sheet2!$E:$E, 0)), ""), "-")</f>
        <v/>
      </c>
    </row>
    <row r="405" spans="1:33" x14ac:dyDescent="0.25">
      <c r="A405" t="s">
        <v>998</v>
      </c>
      <c r="B405" t="s">
        <v>1019</v>
      </c>
      <c r="C405" t="s">
        <v>1010</v>
      </c>
      <c r="D405" t="s">
        <v>1003</v>
      </c>
      <c r="E405" t="s">
        <v>1020</v>
      </c>
      <c r="F405">
        <v>1777</v>
      </c>
      <c r="G405">
        <v>51</v>
      </c>
      <c r="H405" t="s">
        <v>78</v>
      </c>
      <c r="I405" t="s">
        <v>39</v>
      </c>
      <c r="J405" t="s">
        <v>38</v>
      </c>
      <c r="K405" t="s">
        <v>38</v>
      </c>
      <c r="L405" t="s">
        <v>38</v>
      </c>
      <c r="M405" t="s">
        <v>38</v>
      </c>
      <c r="N405" t="s">
        <v>38</v>
      </c>
      <c r="O405" t="s">
        <v>74</v>
      </c>
      <c r="P405" t="s">
        <v>42</v>
      </c>
      <c r="Q405" t="s">
        <v>43</v>
      </c>
      <c r="R405" t="s">
        <v>89</v>
      </c>
      <c r="S405" t="s">
        <v>38</v>
      </c>
      <c r="T405" t="s">
        <v>89</v>
      </c>
      <c r="U405" t="s">
        <v>1002</v>
      </c>
      <c r="V405" t="s">
        <v>38</v>
      </c>
      <c r="W405" t="s">
        <v>92</v>
      </c>
      <c r="X405" t="s">
        <v>38</v>
      </c>
      <c r="Y405" t="s">
        <v>1021</v>
      </c>
      <c r="Z405" t="s">
        <v>42</v>
      </c>
      <c r="AA405" t="s">
        <v>38</v>
      </c>
      <c r="AB405" t="s">
        <v>38</v>
      </c>
      <c r="AC405" t="s">
        <v>627</v>
      </c>
      <c r="AD405" t="s">
        <v>48</v>
      </c>
      <c r="AG405" t="str">
        <f>IF(AD405="United States", IFERROR(INDEX(Sheet2!$C:$C, MATCH(AE405&amp;AF405, Sheet2!$E:$E, 0)) &amp; ", " &amp; INDEX(Sheet2!$D:$D, MATCH(AE405&amp;AF405, Sheet2!$E:$E, 0)), ""), "-")</f>
        <v/>
      </c>
    </row>
    <row r="406" spans="1:33" x14ac:dyDescent="0.25">
      <c r="A406" t="s">
        <v>998</v>
      </c>
      <c r="B406" t="s">
        <v>1022</v>
      </c>
      <c r="C406" t="s">
        <v>1010</v>
      </c>
      <c r="D406" t="s">
        <v>334</v>
      </c>
      <c r="E406" t="s">
        <v>38</v>
      </c>
      <c r="F406">
        <v>1736</v>
      </c>
      <c r="G406">
        <v>50</v>
      </c>
      <c r="H406" t="s">
        <v>78</v>
      </c>
      <c r="I406" t="s">
        <v>39</v>
      </c>
      <c r="J406" t="s">
        <v>38</v>
      </c>
      <c r="K406" t="s">
        <v>38</v>
      </c>
      <c r="L406" t="s">
        <v>38</v>
      </c>
      <c r="M406" t="s">
        <v>38</v>
      </c>
      <c r="N406" t="s">
        <v>38</v>
      </c>
      <c r="O406" t="s">
        <v>41</v>
      </c>
      <c r="P406" t="s">
        <v>42</v>
      </c>
      <c r="Q406" t="s">
        <v>43</v>
      </c>
      <c r="R406" t="s">
        <v>89</v>
      </c>
      <c r="S406" t="s">
        <v>38</v>
      </c>
      <c r="T406" t="s">
        <v>89</v>
      </c>
      <c r="U406" t="s">
        <v>1002</v>
      </c>
      <c r="V406" t="s">
        <v>38</v>
      </c>
      <c r="W406" t="s">
        <v>92</v>
      </c>
      <c r="X406" t="s">
        <v>38</v>
      </c>
      <c r="Y406" t="s">
        <v>1021</v>
      </c>
      <c r="Z406" t="s">
        <v>42</v>
      </c>
      <c r="AA406" t="s">
        <v>38</v>
      </c>
      <c r="AB406" t="s">
        <v>38</v>
      </c>
      <c r="AC406" t="s">
        <v>627</v>
      </c>
      <c r="AD406" t="s">
        <v>48</v>
      </c>
      <c r="AG406" t="str">
        <f>IF(AD406="United States", IFERROR(INDEX(Sheet2!$C:$C, MATCH(AE406&amp;AF406, Sheet2!$E:$E, 0)) &amp; ", " &amp; INDEX(Sheet2!$D:$D, MATCH(AE406&amp;AF406, Sheet2!$E:$E, 0)), ""), "-")</f>
        <v/>
      </c>
    </row>
    <row r="407" spans="1:33" x14ac:dyDescent="0.25">
      <c r="A407" t="s">
        <v>998</v>
      </c>
      <c r="B407" t="s">
        <v>999</v>
      </c>
      <c r="C407" t="s">
        <v>1000</v>
      </c>
      <c r="D407" t="s">
        <v>182</v>
      </c>
      <c r="E407" t="s">
        <v>1001</v>
      </c>
      <c r="F407">
        <v>1769</v>
      </c>
      <c r="G407">
        <v>869</v>
      </c>
      <c r="H407" t="s">
        <v>610</v>
      </c>
      <c r="I407" t="s">
        <v>80</v>
      </c>
      <c r="J407" t="s">
        <v>38</v>
      </c>
      <c r="K407" t="s">
        <v>38</v>
      </c>
      <c r="L407" t="s">
        <v>38</v>
      </c>
      <c r="M407" t="s">
        <v>38</v>
      </c>
      <c r="N407" t="s">
        <v>38</v>
      </c>
      <c r="O407" t="s">
        <v>74</v>
      </c>
      <c r="P407" t="s">
        <v>42</v>
      </c>
      <c r="Q407" t="s">
        <v>43</v>
      </c>
      <c r="R407" t="s">
        <v>89</v>
      </c>
      <c r="S407" t="s">
        <v>38</v>
      </c>
      <c r="T407" t="s">
        <v>89</v>
      </c>
      <c r="U407" t="s">
        <v>1002</v>
      </c>
      <c r="V407" t="s">
        <v>38</v>
      </c>
      <c r="W407" t="s">
        <v>92</v>
      </c>
      <c r="X407" t="s">
        <v>38</v>
      </c>
      <c r="Y407" t="s">
        <v>38</v>
      </c>
      <c r="Z407" t="s">
        <v>42</v>
      </c>
      <c r="AA407" t="s">
        <v>38</v>
      </c>
      <c r="AB407" t="s">
        <v>38</v>
      </c>
      <c r="AC407" t="s">
        <v>705</v>
      </c>
      <c r="AD407" t="s">
        <v>48</v>
      </c>
      <c r="AG407" t="str">
        <f>IF(AD407="United States", IFERROR(INDEX(Sheet2!$C:$C, MATCH(AE407&amp;AF407, Sheet2!$E:$E, 0)) &amp; ", " &amp; INDEX(Sheet2!$D:$D, MATCH(AE407&amp;AF407, Sheet2!$E:$E, 0)), ""), "-")</f>
        <v/>
      </c>
    </row>
    <row r="408" spans="1:33" x14ac:dyDescent="0.25">
      <c r="A408" t="s">
        <v>1023</v>
      </c>
      <c r="B408" t="s">
        <v>1024</v>
      </c>
      <c r="C408" t="s">
        <v>1025</v>
      </c>
      <c r="D408" t="s">
        <v>388</v>
      </c>
      <c r="E408" t="s">
        <v>38</v>
      </c>
      <c r="F408">
        <v>1776</v>
      </c>
      <c r="G408">
        <v>2108</v>
      </c>
      <c r="H408" t="s">
        <v>1026</v>
      </c>
      <c r="I408" t="s">
        <v>87</v>
      </c>
      <c r="J408" t="s">
        <v>1027</v>
      </c>
      <c r="K408" t="s">
        <v>38</v>
      </c>
      <c r="L408" t="s">
        <v>38</v>
      </c>
      <c r="M408" t="s">
        <v>38</v>
      </c>
      <c r="N408" t="s">
        <v>38</v>
      </c>
      <c r="O408" t="s">
        <v>54</v>
      </c>
      <c r="P408" t="s">
        <v>42</v>
      </c>
      <c r="Q408" t="s">
        <v>43</v>
      </c>
      <c r="R408" t="s">
        <v>89</v>
      </c>
      <c r="S408" t="s">
        <v>38</v>
      </c>
      <c r="T408" t="s">
        <v>89</v>
      </c>
      <c r="U408" t="s">
        <v>38</v>
      </c>
      <c r="V408" t="s">
        <v>740</v>
      </c>
      <c r="W408" t="s">
        <v>92</v>
      </c>
      <c r="X408" t="s">
        <v>38</v>
      </c>
      <c r="Y408" t="s">
        <v>1028</v>
      </c>
      <c r="Z408" t="s">
        <v>42</v>
      </c>
      <c r="AA408" t="s">
        <v>38</v>
      </c>
      <c r="AB408" t="s">
        <v>38</v>
      </c>
      <c r="AC408" t="s">
        <v>38</v>
      </c>
      <c r="AD408" t="s">
        <v>48</v>
      </c>
      <c r="AG408" t="str">
        <f>IF(AD408="United States", IFERROR(INDEX(Sheet2!$C:$C, MATCH(AE408&amp;AF408, Sheet2!$E:$E, 0)) &amp; ", " &amp; INDEX(Sheet2!$D:$D, MATCH(AE408&amp;AF408, Sheet2!$E:$E, 0)), ""), "-")</f>
        <v/>
      </c>
    </row>
    <row r="409" spans="1:33" x14ac:dyDescent="0.25">
      <c r="A409" t="s">
        <v>1023</v>
      </c>
      <c r="B409" t="s">
        <v>1029</v>
      </c>
      <c r="C409" t="s">
        <v>1025</v>
      </c>
      <c r="D409" t="s">
        <v>150</v>
      </c>
      <c r="E409" t="s">
        <v>38</v>
      </c>
      <c r="F409">
        <v>1769</v>
      </c>
      <c r="G409">
        <v>2107</v>
      </c>
      <c r="H409" t="s">
        <v>1026</v>
      </c>
      <c r="I409" t="s">
        <v>87</v>
      </c>
      <c r="J409" t="s">
        <v>1027</v>
      </c>
      <c r="K409" t="s">
        <v>38</v>
      </c>
      <c r="L409" t="s">
        <v>38</v>
      </c>
      <c r="M409" t="s">
        <v>38</v>
      </c>
      <c r="N409" t="s">
        <v>38</v>
      </c>
      <c r="O409" t="s">
        <v>54</v>
      </c>
      <c r="P409" t="s">
        <v>42</v>
      </c>
      <c r="Q409" t="s">
        <v>43</v>
      </c>
      <c r="R409" t="s">
        <v>89</v>
      </c>
      <c r="S409" t="s">
        <v>38</v>
      </c>
      <c r="T409" t="s">
        <v>89</v>
      </c>
      <c r="U409" t="s">
        <v>38</v>
      </c>
      <c r="V409" t="s">
        <v>740</v>
      </c>
      <c r="W409" t="s">
        <v>92</v>
      </c>
      <c r="X409" t="s">
        <v>38</v>
      </c>
      <c r="Y409" t="s">
        <v>1030</v>
      </c>
      <c r="Z409" t="s">
        <v>42</v>
      </c>
      <c r="AA409" t="s">
        <v>38</v>
      </c>
      <c r="AB409" t="s">
        <v>38</v>
      </c>
      <c r="AC409" t="s">
        <v>38</v>
      </c>
      <c r="AD409" t="s">
        <v>48</v>
      </c>
      <c r="AG409" t="str">
        <f>IF(AD409="United States", IFERROR(INDEX(Sheet2!$C:$C, MATCH(AE409&amp;AF409, Sheet2!$E:$E, 0)) &amp; ", " &amp; INDEX(Sheet2!$D:$D, MATCH(AE409&amp;AF409, Sheet2!$E:$E, 0)), ""), "-")</f>
        <v/>
      </c>
    </row>
    <row r="410" spans="1:33" x14ac:dyDescent="0.25">
      <c r="A410" t="s">
        <v>1023</v>
      </c>
      <c r="B410" t="s">
        <v>1031</v>
      </c>
      <c r="C410" t="s">
        <v>1025</v>
      </c>
      <c r="D410" t="s">
        <v>1032</v>
      </c>
      <c r="E410" t="s">
        <v>38</v>
      </c>
      <c r="F410">
        <v>1762</v>
      </c>
      <c r="G410">
        <v>2106</v>
      </c>
      <c r="H410" t="s">
        <v>1026</v>
      </c>
      <c r="I410" t="s">
        <v>87</v>
      </c>
      <c r="J410" t="s">
        <v>1027</v>
      </c>
      <c r="K410" t="s">
        <v>38</v>
      </c>
      <c r="L410" t="s">
        <v>38</v>
      </c>
      <c r="M410" t="s">
        <v>38</v>
      </c>
      <c r="N410" t="s">
        <v>38</v>
      </c>
      <c r="O410" t="s">
        <v>41</v>
      </c>
      <c r="P410" t="s">
        <v>42</v>
      </c>
      <c r="Q410" t="s">
        <v>43</v>
      </c>
      <c r="R410" t="s">
        <v>89</v>
      </c>
      <c r="S410" t="s">
        <v>38</v>
      </c>
      <c r="T410" t="s">
        <v>89</v>
      </c>
      <c r="U410" t="s">
        <v>38</v>
      </c>
      <c r="V410" t="s">
        <v>740</v>
      </c>
      <c r="W410" t="s">
        <v>92</v>
      </c>
      <c r="X410" t="s">
        <v>38</v>
      </c>
      <c r="Y410" t="s">
        <v>1033</v>
      </c>
      <c r="Z410" t="s">
        <v>42</v>
      </c>
      <c r="AA410" t="s">
        <v>38</v>
      </c>
      <c r="AB410" t="s">
        <v>38</v>
      </c>
      <c r="AC410" t="s">
        <v>1032</v>
      </c>
      <c r="AD410" t="s">
        <v>48</v>
      </c>
      <c r="AG410" t="str">
        <f>IF(AD410="United States", IFERROR(INDEX(Sheet2!$C:$C, MATCH(AE410&amp;AF410, Sheet2!$E:$E, 0)) &amp; ", " &amp; INDEX(Sheet2!$D:$D, MATCH(AE410&amp;AF410, Sheet2!$E:$E, 0)), ""), "-")</f>
        <v/>
      </c>
    </row>
    <row r="411" spans="1:33" x14ac:dyDescent="0.25">
      <c r="A411" t="s">
        <v>1023</v>
      </c>
      <c r="B411" t="s">
        <v>1034</v>
      </c>
      <c r="C411" t="s">
        <v>1025</v>
      </c>
      <c r="D411" t="s">
        <v>150</v>
      </c>
      <c r="E411" t="s">
        <v>38</v>
      </c>
      <c r="F411">
        <v>1758</v>
      </c>
      <c r="G411">
        <v>2110</v>
      </c>
      <c r="H411" t="s">
        <v>1026</v>
      </c>
      <c r="I411" t="s">
        <v>87</v>
      </c>
      <c r="J411" t="s">
        <v>1027</v>
      </c>
      <c r="K411" t="s">
        <v>38</v>
      </c>
      <c r="L411" t="s">
        <v>38</v>
      </c>
      <c r="M411" t="s">
        <v>38</v>
      </c>
      <c r="N411" t="s">
        <v>38</v>
      </c>
      <c r="O411" t="s">
        <v>41</v>
      </c>
      <c r="P411" t="s">
        <v>42</v>
      </c>
      <c r="Q411" t="s">
        <v>43</v>
      </c>
      <c r="R411" t="s">
        <v>89</v>
      </c>
      <c r="S411" t="s">
        <v>201</v>
      </c>
      <c r="T411" t="s">
        <v>89</v>
      </c>
      <c r="U411" t="s">
        <v>38</v>
      </c>
      <c r="V411" t="s">
        <v>740</v>
      </c>
      <c r="W411" t="s">
        <v>92</v>
      </c>
      <c r="X411" t="s">
        <v>38</v>
      </c>
      <c r="Y411" t="s">
        <v>1035</v>
      </c>
      <c r="Z411" t="s">
        <v>42</v>
      </c>
      <c r="AA411" t="s">
        <v>666</v>
      </c>
      <c r="AB411" t="s">
        <v>38</v>
      </c>
      <c r="AC411" t="s">
        <v>201</v>
      </c>
      <c r="AD411" t="s">
        <v>48</v>
      </c>
      <c r="AG411" t="str">
        <f>IF(AD411="United States", IFERROR(INDEX(Sheet2!$C:$C, MATCH(AE411&amp;AF411, Sheet2!$E:$E, 0)) &amp; ", " &amp; INDEX(Sheet2!$D:$D, MATCH(AE411&amp;AF411, Sheet2!$E:$E, 0)), ""), "-")</f>
        <v/>
      </c>
    </row>
    <row r="412" spans="1:33" x14ac:dyDescent="0.25">
      <c r="A412" t="s">
        <v>1023</v>
      </c>
      <c r="B412" t="s">
        <v>1036</v>
      </c>
      <c r="C412" t="s">
        <v>1025</v>
      </c>
      <c r="D412" t="s">
        <v>1037</v>
      </c>
      <c r="E412" t="s">
        <v>1038</v>
      </c>
      <c r="F412">
        <v>1762</v>
      </c>
      <c r="G412">
        <v>2105</v>
      </c>
      <c r="H412" t="s">
        <v>1026</v>
      </c>
      <c r="I412" t="s">
        <v>87</v>
      </c>
      <c r="J412" t="s">
        <v>1027</v>
      </c>
      <c r="K412" t="s">
        <v>38</v>
      </c>
      <c r="L412" t="s">
        <v>38</v>
      </c>
      <c r="M412" t="s">
        <v>38</v>
      </c>
      <c r="N412" t="s">
        <v>38</v>
      </c>
      <c r="O412" t="s">
        <v>57</v>
      </c>
      <c r="P412" t="s">
        <v>42</v>
      </c>
      <c r="Q412" t="s">
        <v>43</v>
      </c>
      <c r="R412" t="s">
        <v>89</v>
      </c>
      <c r="S412" t="s">
        <v>38</v>
      </c>
      <c r="T412" t="s">
        <v>89</v>
      </c>
      <c r="U412" t="s">
        <v>38</v>
      </c>
      <c r="V412" t="s">
        <v>740</v>
      </c>
      <c r="W412" t="s">
        <v>92</v>
      </c>
      <c r="X412" t="s">
        <v>38</v>
      </c>
      <c r="Y412" t="s">
        <v>1033</v>
      </c>
      <c r="Z412" t="s">
        <v>42</v>
      </c>
      <c r="AA412" t="s">
        <v>1037</v>
      </c>
      <c r="AB412" t="s">
        <v>38</v>
      </c>
      <c r="AC412" t="s">
        <v>1038</v>
      </c>
      <c r="AD412" t="s">
        <v>48</v>
      </c>
      <c r="AG412" t="str">
        <f>IF(AD412="United States", IFERROR(INDEX(Sheet2!$C:$C, MATCH(AE412&amp;AF412, Sheet2!$E:$E, 0)) &amp; ", " &amp; INDEX(Sheet2!$D:$D, MATCH(AE412&amp;AF412, Sheet2!$E:$E, 0)), ""), "-")</f>
        <v/>
      </c>
    </row>
    <row r="413" spans="1:33" x14ac:dyDescent="0.25">
      <c r="A413" t="s">
        <v>1023</v>
      </c>
      <c r="B413" t="s">
        <v>1039</v>
      </c>
      <c r="C413" t="s">
        <v>1025</v>
      </c>
      <c r="D413" t="s">
        <v>676</v>
      </c>
      <c r="E413" t="s">
        <v>38</v>
      </c>
      <c r="F413">
        <v>1764</v>
      </c>
      <c r="G413">
        <v>2111</v>
      </c>
      <c r="H413" t="s">
        <v>38</v>
      </c>
      <c r="I413" t="s">
        <v>87</v>
      </c>
      <c r="J413" t="s">
        <v>1027</v>
      </c>
      <c r="K413" t="s">
        <v>38</v>
      </c>
      <c r="L413" t="s">
        <v>38</v>
      </c>
      <c r="M413" t="s">
        <v>38</v>
      </c>
      <c r="N413" t="s">
        <v>38</v>
      </c>
      <c r="O413" t="s">
        <v>74</v>
      </c>
      <c r="P413" t="s">
        <v>42</v>
      </c>
      <c r="Q413" t="s">
        <v>43</v>
      </c>
      <c r="R413" t="s">
        <v>38</v>
      </c>
      <c r="S413" t="s">
        <v>38</v>
      </c>
      <c r="T413" t="s">
        <v>38</v>
      </c>
      <c r="U413" t="s">
        <v>38</v>
      </c>
      <c r="V413" t="s">
        <v>740</v>
      </c>
      <c r="W413" t="s">
        <v>38</v>
      </c>
      <c r="X413" t="s">
        <v>38</v>
      </c>
      <c r="Y413" t="s">
        <v>1040</v>
      </c>
      <c r="Z413" t="s">
        <v>42</v>
      </c>
      <c r="AA413" t="s">
        <v>38</v>
      </c>
      <c r="AB413" t="s">
        <v>38</v>
      </c>
      <c r="AC413" t="s">
        <v>38</v>
      </c>
      <c r="AD413" t="s">
        <v>48</v>
      </c>
      <c r="AG413" t="str">
        <f>IF(AD413="United States", IFERROR(INDEX(Sheet2!$C:$C, MATCH(AE413&amp;AF413, Sheet2!$E:$E, 0)) &amp; ", " &amp; INDEX(Sheet2!$D:$D, MATCH(AE413&amp;AF413, Sheet2!$E:$E, 0)), ""), "-")</f>
        <v/>
      </c>
    </row>
    <row r="414" spans="1:33" x14ac:dyDescent="0.25">
      <c r="A414" t="s">
        <v>1023</v>
      </c>
      <c r="B414" t="s">
        <v>1041</v>
      </c>
      <c r="C414" t="s">
        <v>1025</v>
      </c>
      <c r="D414" t="s">
        <v>200</v>
      </c>
      <c r="E414" t="s">
        <v>1042</v>
      </c>
      <c r="F414">
        <v>1743</v>
      </c>
      <c r="G414">
        <v>2112</v>
      </c>
      <c r="H414" t="s">
        <v>1026</v>
      </c>
      <c r="I414" t="s">
        <v>87</v>
      </c>
      <c r="J414" t="s">
        <v>1027</v>
      </c>
      <c r="K414" t="s">
        <v>38</v>
      </c>
      <c r="L414" t="s">
        <v>38</v>
      </c>
      <c r="M414" t="s">
        <v>38</v>
      </c>
      <c r="N414" t="s">
        <v>38</v>
      </c>
      <c r="O414" t="s">
        <v>41</v>
      </c>
      <c r="P414" t="s">
        <v>42</v>
      </c>
      <c r="Q414" t="s">
        <v>43</v>
      </c>
      <c r="R414" t="s">
        <v>89</v>
      </c>
      <c r="S414" t="s">
        <v>89</v>
      </c>
      <c r="T414" t="s">
        <v>89</v>
      </c>
      <c r="U414" t="s">
        <v>38</v>
      </c>
      <c r="V414" t="s">
        <v>740</v>
      </c>
      <c r="W414" t="s">
        <v>92</v>
      </c>
      <c r="X414" t="s">
        <v>38</v>
      </c>
      <c r="Y414" t="s">
        <v>1040</v>
      </c>
      <c r="Z414" t="s">
        <v>42</v>
      </c>
      <c r="AA414" t="s">
        <v>38</v>
      </c>
      <c r="AB414" t="s">
        <v>38</v>
      </c>
      <c r="AC414" t="s">
        <v>38</v>
      </c>
      <c r="AD414" t="s">
        <v>48</v>
      </c>
      <c r="AG414" t="str">
        <f>IF(AD414="United States", IFERROR(INDEX(Sheet2!$C:$C, MATCH(AE414&amp;AF414, Sheet2!$E:$E, 0)) &amp; ", " &amp; INDEX(Sheet2!$D:$D, MATCH(AE414&amp;AF414, Sheet2!$E:$E, 0)), ""), "-")</f>
        <v/>
      </c>
    </row>
    <row r="415" spans="1:33" x14ac:dyDescent="0.25">
      <c r="A415" t="s">
        <v>1023</v>
      </c>
      <c r="D415" t="s">
        <v>181</v>
      </c>
      <c r="E415" t="s">
        <v>1043</v>
      </c>
      <c r="F415">
        <v>1780</v>
      </c>
      <c r="G415">
        <v>2045</v>
      </c>
      <c r="H415">
        <v>66</v>
      </c>
      <c r="J415" t="s">
        <v>1044</v>
      </c>
      <c r="O415" t="s">
        <v>54</v>
      </c>
      <c r="R415" t="s">
        <v>89</v>
      </c>
      <c r="T415" t="s">
        <v>89</v>
      </c>
      <c r="V415" t="s">
        <v>1045</v>
      </c>
      <c r="W415" t="s">
        <v>92</v>
      </c>
      <c r="Y415" t="s">
        <v>38</v>
      </c>
      <c r="AA415" t="s">
        <v>38</v>
      </c>
      <c r="AB415" t="s">
        <v>38</v>
      </c>
      <c r="AC415" t="s">
        <v>38</v>
      </c>
      <c r="AD415" t="s">
        <v>48</v>
      </c>
      <c r="AG415" t="str">
        <f>IF(AD415="United States", IFERROR(INDEX(Sheet2!$C:$C, MATCH(AE415&amp;AF415, Sheet2!$E:$E, 0)) &amp; ", " &amp; INDEX(Sheet2!$D:$D, MATCH(AE415&amp;AF415, Sheet2!$E:$E, 0)), ""), "-")</f>
        <v/>
      </c>
    </row>
    <row r="416" spans="1:33" x14ac:dyDescent="0.25">
      <c r="A416" t="s">
        <v>1023</v>
      </c>
      <c r="B416" t="s">
        <v>1046</v>
      </c>
      <c r="C416" t="s">
        <v>1025</v>
      </c>
      <c r="D416" t="s">
        <v>182</v>
      </c>
      <c r="E416" t="s">
        <v>38</v>
      </c>
      <c r="F416">
        <v>1776</v>
      </c>
      <c r="G416">
        <v>2109</v>
      </c>
      <c r="H416" t="s">
        <v>38</v>
      </c>
      <c r="I416" t="s">
        <v>87</v>
      </c>
      <c r="J416" t="s">
        <v>1027</v>
      </c>
      <c r="K416" t="s">
        <v>38</v>
      </c>
      <c r="L416" t="s">
        <v>38</v>
      </c>
      <c r="M416" t="s">
        <v>38</v>
      </c>
      <c r="N416" t="s">
        <v>38</v>
      </c>
      <c r="O416" t="s">
        <v>74</v>
      </c>
      <c r="P416" t="s">
        <v>42</v>
      </c>
      <c r="Q416" t="s">
        <v>43</v>
      </c>
      <c r="R416" t="s">
        <v>38</v>
      </c>
      <c r="S416" t="s">
        <v>38</v>
      </c>
      <c r="T416" t="s">
        <v>38</v>
      </c>
      <c r="U416" t="s">
        <v>38</v>
      </c>
      <c r="V416" t="s">
        <v>740</v>
      </c>
      <c r="W416" t="s">
        <v>38</v>
      </c>
      <c r="X416" t="s">
        <v>38</v>
      </c>
      <c r="Y416" t="s">
        <v>1047</v>
      </c>
      <c r="Z416" t="s">
        <v>42</v>
      </c>
      <c r="AA416" t="s">
        <v>38</v>
      </c>
      <c r="AB416" t="s">
        <v>38</v>
      </c>
      <c r="AC416" t="s">
        <v>38</v>
      </c>
      <c r="AD416" t="s">
        <v>48</v>
      </c>
      <c r="AG416" t="str">
        <f>IF(AD416="United States", IFERROR(INDEX(Sheet2!$C:$C, MATCH(AE416&amp;AF416, Sheet2!$E:$E, 0)) &amp; ", " &amp; INDEX(Sheet2!$D:$D, MATCH(AE416&amp;AF416, Sheet2!$E:$E, 0)), ""), "-")</f>
        <v/>
      </c>
    </row>
    <row r="417" spans="1:33" x14ac:dyDescent="0.25">
      <c r="A417" t="s">
        <v>1023</v>
      </c>
      <c r="B417" t="s">
        <v>1048</v>
      </c>
      <c r="C417" t="s">
        <v>1025</v>
      </c>
      <c r="D417" t="s">
        <v>1049</v>
      </c>
      <c r="E417" t="s">
        <v>38</v>
      </c>
      <c r="F417">
        <v>1743</v>
      </c>
      <c r="G417">
        <v>2092</v>
      </c>
      <c r="H417" t="s">
        <v>1026</v>
      </c>
      <c r="I417" t="s">
        <v>87</v>
      </c>
      <c r="J417" t="s">
        <v>1027</v>
      </c>
      <c r="K417" t="s">
        <v>38</v>
      </c>
      <c r="L417" t="s">
        <v>38</v>
      </c>
      <c r="M417" t="s">
        <v>38</v>
      </c>
      <c r="N417" t="s">
        <v>38</v>
      </c>
      <c r="O417" t="s">
        <v>41</v>
      </c>
      <c r="P417" t="s">
        <v>42</v>
      </c>
      <c r="Q417" t="s">
        <v>43</v>
      </c>
      <c r="R417" t="s">
        <v>89</v>
      </c>
      <c r="S417" t="s">
        <v>45</v>
      </c>
      <c r="T417" t="s">
        <v>89</v>
      </c>
      <c r="U417" t="s">
        <v>38</v>
      </c>
      <c r="V417" t="s">
        <v>740</v>
      </c>
      <c r="W417" t="s">
        <v>92</v>
      </c>
      <c r="X417" t="s">
        <v>38</v>
      </c>
      <c r="Y417" t="s">
        <v>1050</v>
      </c>
      <c r="Z417" t="s">
        <v>42</v>
      </c>
      <c r="AA417" t="s">
        <v>1049</v>
      </c>
      <c r="AB417" t="s">
        <v>1051</v>
      </c>
      <c r="AC417" t="s">
        <v>45</v>
      </c>
      <c r="AD417" t="s">
        <v>48</v>
      </c>
      <c r="AG417" t="str">
        <f>IF(AD417="United States", IFERROR(INDEX(Sheet2!$C:$C, MATCH(AE417&amp;AF417, Sheet2!$E:$E, 0)) &amp; ", " &amp; INDEX(Sheet2!$D:$D, MATCH(AE417&amp;AF417, Sheet2!$E:$E, 0)), ""), "-")</f>
        <v/>
      </c>
    </row>
    <row r="418" spans="1:33" x14ac:dyDescent="0.25">
      <c r="A418" t="s">
        <v>1023</v>
      </c>
      <c r="B418" t="s">
        <v>1052</v>
      </c>
      <c r="C418" t="s">
        <v>1025</v>
      </c>
      <c r="D418" t="s">
        <v>1043</v>
      </c>
      <c r="E418" t="s">
        <v>38</v>
      </c>
      <c r="F418">
        <v>1740</v>
      </c>
      <c r="G418">
        <v>2098</v>
      </c>
      <c r="H418" t="s">
        <v>1026</v>
      </c>
      <c r="I418" t="s">
        <v>87</v>
      </c>
      <c r="J418" t="s">
        <v>1027</v>
      </c>
      <c r="K418" t="s">
        <v>38</v>
      </c>
      <c r="L418" t="s">
        <v>38</v>
      </c>
      <c r="M418" t="s">
        <v>38</v>
      </c>
      <c r="N418" t="s">
        <v>38</v>
      </c>
      <c r="O418" t="s">
        <v>74</v>
      </c>
      <c r="P418" t="s">
        <v>42</v>
      </c>
      <c r="Q418" t="s">
        <v>43</v>
      </c>
      <c r="R418" t="s">
        <v>89</v>
      </c>
      <c r="S418" t="s">
        <v>38</v>
      </c>
      <c r="T418" t="s">
        <v>89</v>
      </c>
      <c r="U418" t="s">
        <v>38</v>
      </c>
      <c r="V418" t="s">
        <v>740</v>
      </c>
      <c r="W418" t="s">
        <v>92</v>
      </c>
      <c r="X418" t="s">
        <v>38</v>
      </c>
      <c r="Y418" t="s">
        <v>1053</v>
      </c>
      <c r="Z418" t="s">
        <v>42</v>
      </c>
      <c r="AA418" t="s">
        <v>38</v>
      </c>
      <c r="AB418" t="s">
        <v>38</v>
      </c>
      <c r="AC418" t="s">
        <v>1043</v>
      </c>
      <c r="AD418" t="s">
        <v>48</v>
      </c>
      <c r="AG418" t="str">
        <f>IF(AD418="United States", IFERROR(INDEX(Sheet2!$C:$C, MATCH(AE418&amp;AF418, Sheet2!$E:$E, 0)) &amp; ", " &amp; INDEX(Sheet2!$D:$D, MATCH(AE418&amp;AF418, Sheet2!$E:$E, 0)), ""), "-")</f>
        <v/>
      </c>
    </row>
    <row r="419" spans="1:33" x14ac:dyDescent="0.25">
      <c r="A419" t="s">
        <v>1023</v>
      </c>
      <c r="B419" t="s">
        <v>1054</v>
      </c>
      <c r="C419" t="s">
        <v>1025</v>
      </c>
      <c r="D419" t="s">
        <v>245</v>
      </c>
      <c r="E419" t="s">
        <v>38</v>
      </c>
      <c r="F419">
        <v>1760</v>
      </c>
      <c r="G419">
        <v>2090</v>
      </c>
      <c r="H419" t="s">
        <v>1026</v>
      </c>
      <c r="I419" t="s">
        <v>87</v>
      </c>
      <c r="J419" t="s">
        <v>1027</v>
      </c>
      <c r="K419" t="s">
        <v>38</v>
      </c>
      <c r="L419" t="s">
        <v>38</v>
      </c>
      <c r="M419" t="s">
        <v>38</v>
      </c>
      <c r="N419" t="s">
        <v>38</v>
      </c>
      <c r="O419" t="s">
        <v>57</v>
      </c>
      <c r="P419" t="s">
        <v>42</v>
      </c>
      <c r="Q419" t="s">
        <v>43</v>
      </c>
      <c r="R419" t="s">
        <v>89</v>
      </c>
      <c r="S419" t="s">
        <v>45</v>
      </c>
      <c r="T419" t="s">
        <v>89</v>
      </c>
      <c r="U419" t="s">
        <v>38</v>
      </c>
      <c r="V419" t="s">
        <v>740</v>
      </c>
      <c r="W419" t="s">
        <v>92</v>
      </c>
      <c r="X419" t="s">
        <v>38</v>
      </c>
      <c r="Y419" t="s">
        <v>1055</v>
      </c>
      <c r="Z419" t="s">
        <v>42</v>
      </c>
      <c r="AA419" t="s">
        <v>169</v>
      </c>
      <c r="AB419" t="s">
        <v>38</v>
      </c>
      <c r="AC419" t="s">
        <v>45</v>
      </c>
      <c r="AD419" t="s">
        <v>48</v>
      </c>
      <c r="AG419" t="str">
        <f>IF(AD419="United States", IFERROR(INDEX(Sheet2!$C:$C, MATCH(AE419&amp;AF419, Sheet2!$E:$E, 0)) &amp; ", " &amp; INDEX(Sheet2!$D:$D, MATCH(AE419&amp;AF419, Sheet2!$E:$E, 0)), ""), "-")</f>
        <v/>
      </c>
    </row>
    <row r="420" spans="1:33" x14ac:dyDescent="0.25">
      <c r="A420" t="s">
        <v>1023</v>
      </c>
      <c r="B420" t="s">
        <v>1056</v>
      </c>
      <c r="C420" t="s">
        <v>1025</v>
      </c>
      <c r="D420" t="s">
        <v>1057</v>
      </c>
      <c r="E420" t="s">
        <v>1058</v>
      </c>
      <c r="F420">
        <v>1758</v>
      </c>
      <c r="G420">
        <v>2091</v>
      </c>
      <c r="H420" t="s">
        <v>38</v>
      </c>
      <c r="I420" t="s">
        <v>87</v>
      </c>
      <c r="J420" t="s">
        <v>1027</v>
      </c>
      <c r="K420" t="s">
        <v>38</v>
      </c>
      <c r="L420" t="s">
        <v>38</v>
      </c>
      <c r="M420" t="s">
        <v>38</v>
      </c>
      <c r="N420" t="s">
        <v>38</v>
      </c>
      <c r="O420" t="s">
        <v>57</v>
      </c>
      <c r="P420" t="s">
        <v>42</v>
      </c>
      <c r="Q420" t="s">
        <v>43</v>
      </c>
      <c r="R420" t="s">
        <v>1059</v>
      </c>
      <c r="S420" t="s">
        <v>45</v>
      </c>
      <c r="T420" t="s">
        <v>38</v>
      </c>
      <c r="U420" t="s">
        <v>38</v>
      </c>
      <c r="V420" t="s">
        <v>740</v>
      </c>
      <c r="W420" t="s">
        <v>38</v>
      </c>
      <c r="X420" t="s">
        <v>38</v>
      </c>
      <c r="Y420" t="s">
        <v>1060</v>
      </c>
      <c r="Z420" t="s">
        <v>42</v>
      </c>
      <c r="AA420" t="s">
        <v>1059</v>
      </c>
      <c r="AB420" t="s">
        <v>38</v>
      </c>
      <c r="AC420" t="s">
        <v>45</v>
      </c>
      <c r="AD420" t="s">
        <v>48</v>
      </c>
      <c r="AG420" t="str">
        <f>IF(AD420="United States", IFERROR(INDEX(Sheet2!$C:$C, MATCH(AE420&amp;AF420, Sheet2!$E:$E, 0)) &amp; ", " &amp; INDEX(Sheet2!$D:$D, MATCH(AE420&amp;AF420, Sheet2!$E:$E, 0)), ""), "-")</f>
        <v/>
      </c>
    </row>
    <row r="421" spans="1:33" x14ac:dyDescent="0.25">
      <c r="A421" t="s">
        <v>1023</v>
      </c>
      <c r="B421" t="s">
        <v>1061</v>
      </c>
      <c r="C421" t="s">
        <v>1025</v>
      </c>
      <c r="D421" t="s">
        <v>245</v>
      </c>
      <c r="E421" t="s">
        <v>1049</v>
      </c>
      <c r="F421">
        <v>1759</v>
      </c>
      <c r="G421">
        <v>2093</v>
      </c>
      <c r="H421" t="s">
        <v>1026</v>
      </c>
      <c r="I421" t="s">
        <v>87</v>
      </c>
      <c r="J421" t="s">
        <v>1027</v>
      </c>
      <c r="K421" t="s">
        <v>38</v>
      </c>
      <c r="L421" t="s">
        <v>38</v>
      </c>
      <c r="M421" t="s">
        <v>1057</v>
      </c>
      <c r="N421" t="s">
        <v>1058</v>
      </c>
      <c r="O421" t="s">
        <v>74</v>
      </c>
      <c r="P421" t="s">
        <v>42</v>
      </c>
      <c r="Q421" t="s">
        <v>43</v>
      </c>
      <c r="R421" t="s">
        <v>89</v>
      </c>
      <c r="S421" t="s">
        <v>45</v>
      </c>
      <c r="T421" t="s">
        <v>89</v>
      </c>
      <c r="U421" t="s">
        <v>38</v>
      </c>
      <c r="V421" t="s">
        <v>740</v>
      </c>
      <c r="W421" t="s">
        <v>92</v>
      </c>
      <c r="X421" t="s">
        <v>38</v>
      </c>
      <c r="Y421" t="s">
        <v>1050</v>
      </c>
      <c r="Z421" t="s">
        <v>42</v>
      </c>
      <c r="AA421" t="s">
        <v>241</v>
      </c>
      <c r="AB421" t="s">
        <v>38</v>
      </c>
      <c r="AC421" t="s">
        <v>45</v>
      </c>
      <c r="AD421" t="s">
        <v>48</v>
      </c>
      <c r="AG421" t="str">
        <f>IF(AD421="United States", IFERROR(INDEX(Sheet2!$C:$C, MATCH(AE421&amp;AF421, Sheet2!$E:$E, 0)) &amp; ", " &amp; INDEX(Sheet2!$D:$D, MATCH(AE421&amp;AF421, Sheet2!$E:$E, 0)), ""), "-")</f>
        <v/>
      </c>
    </row>
    <row r="422" spans="1:33" x14ac:dyDescent="0.25">
      <c r="A422" t="s">
        <v>1023</v>
      </c>
      <c r="B422" t="s">
        <v>1062</v>
      </c>
      <c r="C422" t="s">
        <v>1025</v>
      </c>
      <c r="D422" t="s">
        <v>945</v>
      </c>
      <c r="E422" t="s">
        <v>496</v>
      </c>
      <c r="F422">
        <v>1748</v>
      </c>
      <c r="G422">
        <v>2094</v>
      </c>
      <c r="H422" t="s">
        <v>1026</v>
      </c>
      <c r="I422" t="s">
        <v>87</v>
      </c>
      <c r="J422" t="s">
        <v>1027</v>
      </c>
      <c r="K422" t="s">
        <v>38</v>
      </c>
      <c r="L422" t="s">
        <v>38</v>
      </c>
      <c r="M422" t="s">
        <v>38</v>
      </c>
      <c r="N422" t="s">
        <v>38</v>
      </c>
      <c r="O422" t="s">
        <v>41</v>
      </c>
      <c r="P422" t="s">
        <v>42</v>
      </c>
      <c r="Q422" t="s">
        <v>43</v>
      </c>
      <c r="R422" t="s">
        <v>89</v>
      </c>
      <c r="S422" t="s">
        <v>1063</v>
      </c>
      <c r="T422" t="s">
        <v>89</v>
      </c>
      <c r="U422" t="s">
        <v>38</v>
      </c>
      <c r="V422" t="s">
        <v>740</v>
      </c>
      <c r="W422" t="s">
        <v>92</v>
      </c>
      <c r="X422" t="s">
        <v>38</v>
      </c>
      <c r="Y422" t="s">
        <v>1064</v>
      </c>
      <c r="Z422" t="s">
        <v>42</v>
      </c>
      <c r="AA422" t="s">
        <v>1065</v>
      </c>
      <c r="AB422" t="s">
        <v>38</v>
      </c>
      <c r="AC422" t="s">
        <v>1063</v>
      </c>
      <c r="AD422" t="s">
        <v>48</v>
      </c>
      <c r="AG422" t="str">
        <f>IF(AD422="United States", IFERROR(INDEX(Sheet2!$C:$C, MATCH(AE422&amp;AF422, Sheet2!$E:$E, 0)) &amp; ", " &amp; INDEX(Sheet2!$D:$D, MATCH(AE422&amp;AF422, Sheet2!$E:$E, 0)), ""), "-")</f>
        <v/>
      </c>
    </row>
    <row r="423" spans="1:33" x14ac:dyDescent="0.25">
      <c r="A423" t="s">
        <v>1023</v>
      </c>
      <c r="B423" t="s">
        <v>1066</v>
      </c>
      <c r="C423" t="s">
        <v>1025</v>
      </c>
      <c r="D423" t="s">
        <v>101</v>
      </c>
      <c r="E423" t="s">
        <v>1067</v>
      </c>
      <c r="F423">
        <v>1763</v>
      </c>
      <c r="G423">
        <v>2095</v>
      </c>
      <c r="H423" t="s">
        <v>1026</v>
      </c>
      <c r="I423" t="s">
        <v>87</v>
      </c>
      <c r="J423" t="s">
        <v>1027</v>
      </c>
      <c r="K423" t="s">
        <v>38</v>
      </c>
      <c r="L423" t="s">
        <v>38</v>
      </c>
      <c r="M423" t="s">
        <v>38</v>
      </c>
      <c r="N423" t="s">
        <v>38</v>
      </c>
      <c r="O423" t="s">
        <v>41</v>
      </c>
      <c r="P423" t="s">
        <v>42</v>
      </c>
      <c r="Q423" t="s">
        <v>43</v>
      </c>
      <c r="R423" t="s">
        <v>89</v>
      </c>
      <c r="S423" t="s">
        <v>45</v>
      </c>
      <c r="T423" t="s">
        <v>89</v>
      </c>
      <c r="U423" t="s">
        <v>38</v>
      </c>
      <c r="V423" t="s">
        <v>740</v>
      </c>
      <c r="W423" t="s">
        <v>92</v>
      </c>
      <c r="X423" t="s">
        <v>38</v>
      </c>
      <c r="Y423" t="s">
        <v>1050</v>
      </c>
      <c r="Z423" t="s">
        <v>42</v>
      </c>
      <c r="AA423" t="s">
        <v>1051</v>
      </c>
      <c r="AB423" t="s">
        <v>38</v>
      </c>
      <c r="AC423" t="s">
        <v>45</v>
      </c>
      <c r="AD423" t="s">
        <v>48</v>
      </c>
      <c r="AG423" t="str">
        <f>IF(AD423="United States", IFERROR(INDEX(Sheet2!$C:$C, MATCH(AE423&amp;AF423, Sheet2!$E:$E, 0)) &amp; ", " &amp; INDEX(Sheet2!$D:$D, MATCH(AE423&amp;AF423, Sheet2!$E:$E, 0)), ""), "-")</f>
        <v/>
      </c>
    </row>
    <row r="424" spans="1:33" x14ac:dyDescent="0.25">
      <c r="A424" t="s">
        <v>1023</v>
      </c>
      <c r="B424" t="s">
        <v>1068</v>
      </c>
      <c r="C424" t="s">
        <v>1025</v>
      </c>
      <c r="D424" t="s">
        <v>1069</v>
      </c>
      <c r="E424" t="s">
        <v>38</v>
      </c>
      <c r="F424">
        <v>1753</v>
      </c>
      <c r="G424">
        <v>2096</v>
      </c>
      <c r="H424" t="s">
        <v>38</v>
      </c>
      <c r="I424" t="s">
        <v>87</v>
      </c>
      <c r="J424" t="s">
        <v>1027</v>
      </c>
      <c r="K424" t="s">
        <v>38</v>
      </c>
      <c r="L424" t="s">
        <v>38</v>
      </c>
      <c r="M424" t="s">
        <v>38</v>
      </c>
      <c r="N424" t="s">
        <v>38</v>
      </c>
      <c r="O424" t="s">
        <v>41</v>
      </c>
      <c r="P424" t="s">
        <v>42</v>
      </c>
      <c r="Q424" t="s">
        <v>43</v>
      </c>
      <c r="R424" t="s">
        <v>1070</v>
      </c>
      <c r="S424" t="s">
        <v>153</v>
      </c>
      <c r="T424" t="s">
        <v>38</v>
      </c>
      <c r="U424" t="s">
        <v>38</v>
      </c>
      <c r="V424" t="s">
        <v>740</v>
      </c>
      <c r="W424" t="s">
        <v>38</v>
      </c>
      <c r="X424" t="s">
        <v>38</v>
      </c>
      <c r="Y424" t="s">
        <v>1050</v>
      </c>
      <c r="Z424" t="s">
        <v>42</v>
      </c>
      <c r="AA424" t="s">
        <v>38</v>
      </c>
      <c r="AB424" t="s">
        <v>38</v>
      </c>
      <c r="AC424" t="s">
        <v>153</v>
      </c>
      <c r="AD424" t="s">
        <v>48</v>
      </c>
      <c r="AG424" t="str">
        <f>IF(AD424="United States", IFERROR(INDEX(Sheet2!$C:$C, MATCH(AE424&amp;AF424, Sheet2!$E:$E, 0)) &amp; ", " &amp; INDEX(Sheet2!$D:$D, MATCH(AE424&amp;AF424, Sheet2!$E:$E, 0)), ""), "-")</f>
        <v/>
      </c>
    </row>
    <row r="425" spans="1:33" x14ac:dyDescent="0.25">
      <c r="A425" t="s">
        <v>1023</v>
      </c>
      <c r="B425" t="s">
        <v>1071</v>
      </c>
      <c r="C425" t="s">
        <v>1025</v>
      </c>
      <c r="D425" t="s">
        <v>1072</v>
      </c>
      <c r="E425" t="s">
        <v>1073</v>
      </c>
      <c r="F425">
        <v>1765</v>
      </c>
      <c r="G425">
        <v>2104</v>
      </c>
      <c r="H425" t="s">
        <v>1026</v>
      </c>
      <c r="I425" t="s">
        <v>87</v>
      </c>
      <c r="J425" t="s">
        <v>1027</v>
      </c>
      <c r="K425" t="s">
        <v>38</v>
      </c>
      <c r="L425" t="s">
        <v>38</v>
      </c>
      <c r="M425" t="s">
        <v>38</v>
      </c>
      <c r="N425" t="s">
        <v>38</v>
      </c>
      <c r="O425" t="s">
        <v>57</v>
      </c>
      <c r="P425" t="s">
        <v>42</v>
      </c>
      <c r="Q425" t="s">
        <v>43</v>
      </c>
      <c r="R425" t="s">
        <v>89</v>
      </c>
      <c r="S425" t="s">
        <v>38</v>
      </c>
      <c r="T425" t="s">
        <v>89</v>
      </c>
      <c r="U425" t="s">
        <v>38</v>
      </c>
      <c r="V425" t="s">
        <v>740</v>
      </c>
      <c r="W425" t="s">
        <v>92</v>
      </c>
      <c r="X425" t="s">
        <v>38</v>
      </c>
      <c r="Y425" t="s">
        <v>38</v>
      </c>
      <c r="Z425" t="s">
        <v>42</v>
      </c>
      <c r="AA425" t="s">
        <v>38</v>
      </c>
      <c r="AB425" t="s">
        <v>38</v>
      </c>
      <c r="AC425" t="s">
        <v>376</v>
      </c>
      <c r="AD425" t="s">
        <v>48</v>
      </c>
      <c r="AG425" t="str">
        <f>IF(AD425="United States", IFERROR(INDEX(Sheet2!$C:$C, MATCH(AE425&amp;AF425, Sheet2!$E:$E, 0)) &amp; ", " &amp; INDEX(Sheet2!$D:$D, MATCH(AE425&amp;AF425, Sheet2!$E:$E, 0)), ""), "-")</f>
        <v/>
      </c>
    </row>
    <row r="426" spans="1:33" x14ac:dyDescent="0.25">
      <c r="A426" t="s">
        <v>1023</v>
      </c>
      <c r="B426" t="s">
        <v>1074</v>
      </c>
      <c r="C426" t="s">
        <v>1025</v>
      </c>
      <c r="D426" t="s">
        <v>463</v>
      </c>
      <c r="E426" t="s">
        <v>1073</v>
      </c>
      <c r="F426">
        <v>1758</v>
      </c>
      <c r="G426">
        <v>2103</v>
      </c>
      <c r="H426" t="s">
        <v>1026</v>
      </c>
      <c r="I426" t="s">
        <v>87</v>
      </c>
      <c r="J426" t="s">
        <v>1027</v>
      </c>
      <c r="K426" t="s">
        <v>38</v>
      </c>
      <c r="L426" t="s">
        <v>38</v>
      </c>
      <c r="M426" t="s">
        <v>38</v>
      </c>
      <c r="N426" t="s">
        <v>38</v>
      </c>
      <c r="O426" t="s">
        <v>41</v>
      </c>
      <c r="P426" t="s">
        <v>42</v>
      </c>
      <c r="Q426" t="s">
        <v>43</v>
      </c>
      <c r="R426" t="s">
        <v>89</v>
      </c>
      <c r="S426" t="s">
        <v>38</v>
      </c>
      <c r="T426" t="s">
        <v>89</v>
      </c>
      <c r="U426" t="s">
        <v>38</v>
      </c>
      <c r="V426" t="s">
        <v>740</v>
      </c>
      <c r="W426" t="s">
        <v>92</v>
      </c>
      <c r="X426" t="s">
        <v>38</v>
      </c>
      <c r="Y426" t="s">
        <v>38</v>
      </c>
      <c r="Z426" t="s">
        <v>42</v>
      </c>
      <c r="AA426" t="s">
        <v>38</v>
      </c>
      <c r="AB426" t="s">
        <v>38</v>
      </c>
      <c r="AC426" t="s">
        <v>376</v>
      </c>
      <c r="AD426" t="s">
        <v>48</v>
      </c>
      <c r="AG426" t="str">
        <f>IF(AD426="United States", IFERROR(INDEX(Sheet2!$C:$C, MATCH(AE426&amp;AF426, Sheet2!$E:$E, 0)) &amp; ", " &amp; INDEX(Sheet2!$D:$D, MATCH(AE426&amp;AF426, Sheet2!$E:$E, 0)), ""), "-")</f>
        <v/>
      </c>
    </row>
    <row r="427" spans="1:33" x14ac:dyDescent="0.25">
      <c r="A427" t="s">
        <v>1023</v>
      </c>
      <c r="B427" t="s">
        <v>1075</v>
      </c>
      <c r="C427" t="s">
        <v>1025</v>
      </c>
      <c r="D427" t="s">
        <v>204</v>
      </c>
      <c r="E427" t="s">
        <v>38</v>
      </c>
      <c r="F427">
        <v>1757</v>
      </c>
      <c r="G427">
        <v>2102</v>
      </c>
      <c r="H427" t="s">
        <v>38</v>
      </c>
      <c r="I427" t="s">
        <v>87</v>
      </c>
      <c r="J427" t="s">
        <v>1027</v>
      </c>
      <c r="K427" t="s">
        <v>38</v>
      </c>
      <c r="L427" t="s">
        <v>38</v>
      </c>
      <c r="M427" t="s">
        <v>38</v>
      </c>
      <c r="N427" t="s">
        <v>38</v>
      </c>
      <c r="O427" t="s">
        <v>41</v>
      </c>
      <c r="P427" t="s">
        <v>42</v>
      </c>
      <c r="Q427" t="s">
        <v>43</v>
      </c>
      <c r="R427" t="s">
        <v>38</v>
      </c>
      <c r="S427" t="s">
        <v>38</v>
      </c>
      <c r="T427" t="s">
        <v>38</v>
      </c>
      <c r="U427" t="s">
        <v>38</v>
      </c>
      <c r="V427" t="s">
        <v>740</v>
      </c>
      <c r="W427" t="s">
        <v>38</v>
      </c>
      <c r="X427" t="s">
        <v>38</v>
      </c>
      <c r="Y427" t="s">
        <v>1050</v>
      </c>
      <c r="Z427" t="s">
        <v>42</v>
      </c>
      <c r="AA427" t="s">
        <v>38</v>
      </c>
      <c r="AB427" t="s">
        <v>38</v>
      </c>
      <c r="AC427" t="s">
        <v>38</v>
      </c>
      <c r="AD427" t="s">
        <v>48</v>
      </c>
      <c r="AG427" t="str">
        <f>IF(AD427="United States", IFERROR(INDEX(Sheet2!$C:$C, MATCH(AE427&amp;AF427, Sheet2!$E:$E, 0)) &amp; ", " &amp; INDEX(Sheet2!$D:$D, MATCH(AE427&amp;AF427, Sheet2!$E:$E, 0)), ""), "-")</f>
        <v/>
      </c>
    </row>
    <row r="428" spans="1:33" x14ac:dyDescent="0.25">
      <c r="A428" t="s">
        <v>1023</v>
      </c>
      <c r="B428" t="s">
        <v>1076</v>
      </c>
      <c r="C428" t="s">
        <v>1025</v>
      </c>
      <c r="D428" t="s">
        <v>200</v>
      </c>
      <c r="E428" t="s">
        <v>38</v>
      </c>
      <c r="F428">
        <v>1764</v>
      </c>
      <c r="G428">
        <v>2101</v>
      </c>
      <c r="H428" t="s">
        <v>1026</v>
      </c>
      <c r="I428" t="s">
        <v>87</v>
      </c>
      <c r="J428" t="s">
        <v>1027</v>
      </c>
      <c r="K428" t="s">
        <v>38</v>
      </c>
      <c r="L428" t="s">
        <v>38</v>
      </c>
      <c r="M428" t="s">
        <v>38</v>
      </c>
      <c r="N428" t="s">
        <v>38</v>
      </c>
      <c r="O428" t="s">
        <v>41</v>
      </c>
      <c r="P428" t="s">
        <v>42</v>
      </c>
      <c r="Q428" t="s">
        <v>43</v>
      </c>
      <c r="R428" t="s">
        <v>89</v>
      </c>
      <c r="S428" t="s">
        <v>38</v>
      </c>
      <c r="T428" t="s">
        <v>89</v>
      </c>
      <c r="U428" t="s">
        <v>38</v>
      </c>
      <c r="V428" t="s">
        <v>740</v>
      </c>
      <c r="W428" t="s">
        <v>92</v>
      </c>
      <c r="X428" t="s">
        <v>38</v>
      </c>
      <c r="Y428" t="s">
        <v>1053</v>
      </c>
      <c r="Z428" t="s">
        <v>42</v>
      </c>
      <c r="AA428" t="s">
        <v>38</v>
      </c>
      <c r="AB428" t="s">
        <v>38</v>
      </c>
      <c r="AC428" t="s">
        <v>38</v>
      </c>
      <c r="AD428" t="s">
        <v>48</v>
      </c>
      <c r="AG428" t="str">
        <f>IF(AD428="United States", IFERROR(INDEX(Sheet2!$C:$C, MATCH(AE428&amp;AF428, Sheet2!$E:$E, 0)) &amp; ", " &amp; INDEX(Sheet2!$D:$D, MATCH(AE428&amp;AF428, Sheet2!$E:$E, 0)), ""), "-")</f>
        <v/>
      </c>
    </row>
    <row r="429" spans="1:33" x14ac:dyDescent="0.25">
      <c r="A429" t="s">
        <v>1023</v>
      </c>
      <c r="B429" t="s">
        <v>1077</v>
      </c>
      <c r="C429" t="s">
        <v>1025</v>
      </c>
      <c r="D429" t="s">
        <v>1078</v>
      </c>
      <c r="E429" t="s">
        <v>38</v>
      </c>
      <c r="F429">
        <v>1768</v>
      </c>
      <c r="G429">
        <v>2097</v>
      </c>
      <c r="H429" t="s">
        <v>1026</v>
      </c>
      <c r="I429" t="s">
        <v>87</v>
      </c>
      <c r="J429" t="s">
        <v>1027</v>
      </c>
      <c r="K429" t="s">
        <v>38</v>
      </c>
      <c r="L429" t="s">
        <v>38</v>
      </c>
      <c r="M429" t="s">
        <v>38</v>
      </c>
      <c r="N429" t="s">
        <v>38</v>
      </c>
      <c r="O429" t="s">
        <v>74</v>
      </c>
      <c r="P429" t="s">
        <v>42</v>
      </c>
      <c r="Q429" t="s">
        <v>43</v>
      </c>
      <c r="R429" t="s">
        <v>89</v>
      </c>
      <c r="S429" t="s">
        <v>38</v>
      </c>
      <c r="T429" t="s">
        <v>89</v>
      </c>
      <c r="U429" t="s">
        <v>38</v>
      </c>
      <c r="V429" t="s">
        <v>740</v>
      </c>
      <c r="W429" t="s">
        <v>92</v>
      </c>
      <c r="X429" t="s">
        <v>38</v>
      </c>
      <c r="Y429" t="s">
        <v>1064</v>
      </c>
      <c r="Z429" t="s">
        <v>42</v>
      </c>
      <c r="AA429" t="s">
        <v>38</v>
      </c>
      <c r="AB429" t="s">
        <v>38</v>
      </c>
      <c r="AC429" t="s">
        <v>38</v>
      </c>
      <c r="AD429" t="s">
        <v>48</v>
      </c>
      <c r="AG429" t="str">
        <f>IF(AD429="United States", IFERROR(INDEX(Sheet2!$C:$C, MATCH(AE429&amp;AF429, Sheet2!$E:$E, 0)) &amp; ", " &amp; INDEX(Sheet2!$D:$D, MATCH(AE429&amp;AF429, Sheet2!$E:$E, 0)), ""), "-")</f>
        <v/>
      </c>
    </row>
    <row r="430" spans="1:33" x14ac:dyDescent="0.25">
      <c r="A430" t="s">
        <v>1023</v>
      </c>
      <c r="B430" t="s">
        <v>1079</v>
      </c>
      <c r="C430" t="s">
        <v>1025</v>
      </c>
      <c r="D430" t="s">
        <v>1080</v>
      </c>
      <c r="E430" t="s">
        <v>245</v>
      </c>
      <c r="F430" t="s">
        <v>38</v>
      </c>
      <c r="G430">
        <v>2724</v>
      </c>
      <c r="I430" t="s">
        <v>87</v>
      </c>
      <c r="J430" t="s">
        <v>1027</v>
      </c>
      <c r="O430" t="s">
        <v>41</v>
      </c>
      <c r="P430" t="s">
        <v>42</v>
      </c>
      <c r="Q430" t="s">
        <v>43</v>
      </c>
      <c r="V430" t="s">
        <v>740</v>
      </c>
      <c r="Y430" t="s">
        <v>38</v>
      </c>
      <c r="Z430" t="s">
        <v>42</v>
      </c>
      <c r="AA430" t="s">
        <v>38</v>
      </c>
      <c r="AB430" t="s">
        <v>38</v>
      </c>
      <c r="AC430" t="s">
        <v>38</v>
      </c>
      <c r="AD430" t="s">
        <v>48</v>
      </c>
      <c r="AG430" t="str">
        <f>IF(AD430="United States", IFERROR(INDEX(Sheet2!$C:$C, MATCH(AE430&amp;AF430, Sheet2!$E:$E, 0)) &amp; ", " &amp; INDEX(Sheet2!$D:$D, MATCH(AE430&amp;AF430, Sheet2!$E:$E, 0)), ""), "-")</f>
        <v/>
      </c>
    </row>
    <row r="431" spans="1:33" x14ac:dyDescent="0.25">
      <c r="A431" t="s">
        <v>1023</v>
      </c>
      <c r="B431" t="s">
        <v>1081</v>
      </c>
      <c r="C431" t="s">
        <v>1025</v>
      </c>
      <c r="D431" t="s">
        <v>1082</v>
      </c>
      <c r="E431" t="s">
        <v>38</v>
      </c>
      <c r="F431">
        <v>1762</v>
      </c>
      <c r="G431">
        <v>2099</v>
      </c>
      <c r="H431" t="s">
        <v>1026</v>
      </c>
      <c r="I431" t="s">
        <v>87</v>
      </c>
      <c r="J431" t="s">
        <v>1027</v>
      </c>
      <c r="K431" t="s">
        <v>38</v>
      </c>
      <c r="L431" t="s">
        <v>38</v>
      </c>
      <c r="M431" t="s">
        <v>38</v>
      </c>
      <c r="N431" t="s">
        <v>38</v>
      </c>
      <c r="O431" t="s">
        <v>57</v>
      </c>
      <c r="P431" t="s">
        <v>42</v>
      </c>
      <c r="Q431" t="s">
        <v>43</v>
      </c>
      <c r="R431" t="s">
        <v>89</v>
      </c>
      <c r="S431" t="s">
        <v>38</v>
      </c>
      <c r="T431" t="s">
        <v>89</v>
      </c>
      <c r="U431" t="s">
        <v>38</v>
      </c>
      <c r="V431" t="s">
        <v>740</v>
      </c>
      <c r="W431" t="s">
        <v>92</v>
      </c>
      <c r="X431" t="s">
        <v>38</v>
      </c>
      <c r="Y431" t="s">
        <v>1053</v>
      </c>
      <c r="Z431" t="s">
        <v>42</v>
      </c>
      <c r="AA431" t="s">
        <v>38</v>
      </c>
      <c r="AB431" t="s">
        <v>38</v>
      </c>
      <c r="AC431" t="s">
        <v>38</v>
      </c>
      <c r="AD431" t="s">
        <v>48</v>
      </c>
      <c r="AG431" t="str">
        <f>IF(AD431="United States", IFERROR(INDEX(Sheet2!$C:$C, MATCH(AE431&amp;AF431, Sheet2!$E:$E, 0)) &amp; ", " &amp; INDEX(Sheet2!$D:$D, MATCH(AE431&amp;AF431, Sheet2!$E:$E, 0)), ""), "-")</f>
        <v/>
      </c>
    </row>
    <row r="432" spans="1:33" x14ac:dyDescent="0.25">
      <c r="A432" t="s">
        <v>1023</v>
      </c>
      <c r="B432" t="s">
        <v>1083</v>
      </c>
      <c r="C432" t="s">
        <v>1025</v>
      </c>
      <c r="D432" t="s">
        <v>626</v>
      </c>
      <c r="E432" t="s">
        <v>1084</v>
      </c>
      <c r="F432">
        <v>1738</v>
      </c>
      <c r="G432">
        <v>2100</v>
      </c>
      <c r="H432" t="s">
        <v>1026</v>
      </c>
      <c r="I432" t="s">
        <v>87</v>
      </c>
      <c r="J432" t="s">
        <v>1027</v>
      </c>
      <c r="K432" t="s">
        <v>38</v>
      </c>
      <c r="L432" t="s">
        <v>38</v>
      </c>
      <c r="M432" t="s">
        <v>38</v>
      </c>
      <c r="N432" t="s">
        <v>38</v>
      </c>
      <c r="O432" t="s">
        <v>41</v>
      </c>
      <c r="P432" t="s">
        <v>42</v>
      </c>
      <c r="Q432" t="s">
        <v>43</v>
      </c>
      <c r="R432" t="s">
        <v>89</v>
      </c>
      <c r="S432" t="s">
        <v>38</v>
      </c>
      <c r="T432" t="s">
        <v>89</v>
      </c>
      <c r="U432" t="s">
        <v>38</v>
      </c>
      <c r="V432" t="s">
        <v>740</v>
      </c>
      <c r="W432" t="s">
        <v>92</v>
      </c>
      <c r="X432" t="s">
        <v>38</v>
      </c>
      <c r="Y432" t="s">
        <v>1053</v>
      </c>
      <c r="Z432" t="s">
        <v>42</v>
      </c>
      <c r="AA432" t="s">
        <v>38</v>
      </c>
      <c r="AB432" t="s">
        <v>38</v>
      </c>
      <c r="AC432" t="s">
        <v>38</v>
      </c>
      <c r="AD432" t="s">
        <v>48</v>
      </c>
      <c r="AG432" t="str">
        <f>IF(AD432="United States", IFERROR(INDEX(Sheet2!$C:$C, MATCH(AE432&amp;AF432, Sheet2!$E:$E, 0)) &amp; ", " &amp; INDEX(Sheet2!$D:$D, MATCH(AE432&amp;AF432, Sheet2!$E:$E, 0)), ""), "-")</f>
        <v/>
      </c>
    </row>
    <row r="433" spans="1:33" x14ac:dyDescent="0.25">
      <c r="A433" t="s">
        <v>458</v>
      </c>
      <c r="D433" t="s">
        <v>182</v>
      </c>
      <c r="E433" t="s">
        <v>38</v>
      </c>
      <c r="F433">
        <v>1763</v>
      </c>
      <c r="G433">
        <v>2257</v>
      </c>
      <c r="H433">
        <v>71</v>
      </c>
      <c r="O433" t="s">
        <v>57</v>
      </c>
      <c r="R433" t="s">
        <v>89</v>
      </c>
      <c r="T433" t="s">
        <v>89</v>
      </c>
      <c r="V433" t="s">
        <v>1045</v>
      </c>
      <c r="W433" t="s">
        <v>92</v>
      </c>
      <c r="Y433" t="s">
        <v>38</v>
      </c>
      <c r="AA433" t="s">
        <v>38</v>
      </c>
      <c r="AB433" t="s">
        <v>38</v>
      </c>
      <c r="AC433" t="s">
        <v>38</v>
      </c>
      <c r="AD433" t="s">
        <v>48</v>
      </c>
      <c r="AG433" t="str">
        <f>IF(AD433="United States", IFERROR(INDEX(Sheet2!$C:$C, MATCH(AE433&amp;AF433, Sheet2!$E:$E, 0)) &amp; ", " &amp; INDEX(Sheet2!$D:$D, MATCH(AE433&amp;AF433, Sheet2!$E:$E, 0)), ""), "-")</f>
        <v/>
      </c>
    </row>
    <row r="434" spans="1:33" x14ac:dyDescent="0.25">
      <c r="A434" t="s">
        <v>458</v>
      </c>
      <c r="D434" t="s">
        <v>1085</v>
      </c>
      <c r="E434" t="s">
        <v>1086</v>
      </c>
      <c r="F434">
        <v>1752</v>
      </c>
      <c r="G434">
        <v>2258</v>
      </c>
      <c r="H434">
        <v>71</v>
      </c>
      <c r="O434" t="s">
        <v>57</v>
      </c>
      <c r="R434" t="s">
        <v>89</v>
      </c>
      <c r="T434" t="s">
        <v>89</v>
      </c>
      <c r="V434" t="s">
        <v>1045</v>
      </c>
      <c r="W434" t="s">
        <v>92</v>
      </c>
      <c r="Y434" t="s">
        <v>38</v>
      </c>
      <c r="AA434" t="s">
        <v>38</v>
      </c>
      <c r="AB434" t="s">
        <v>38</v>
      </c>
      <c r="AC434" t="s">
        <v>38</v>
      </c>
      <c r="AD434" t="s">
        <v>48</v>
      </c>
      <c r="AG434" t="str">
        <f>IF(AD434="United States", IFERROR(INDEX(Sheet2!$C:$C, MATCH(AE434&amp;AF434, Sheet2!$E:$E, 0)) &amp; ", " &amp; INDEX(Sheet2!$D:$D, MATCH(AE434&amp;AF434, Sheet2!$E:$E, 0)), ""), "-")</f>
        <v/>
      </c>
    </row>
    <row r="435" spans="1:33" x14ac:dyDescent="0.25">
      <c r="A435" t="s">
        <v>458</v>
      </c>
      <c r="D435" t="s">
        <v>463</v>
      </c>
      <c r="E435" t="s">
        <v>38</v>
      </c>
      <c r="F435">
        <v>1753</v>
      </c>
      <c r="G435">
        <v>2260</v>
      </c>
      <c r="H435">
        <v>71</v>
      </c>
      <c r="O435" t="s">
        <v>41</v>
      </c>
      <c r="R435" t="s">
        <v>89</v>
      </c>
      <c r="T435" t="s">
        <v>89</v>
      </c>
      <c r="V435" t="s">
        <v>1045</v>
      </c>
      <c r="W435" t="s">
        <v>92</v>
      </c>
      <c r="Y435" t="s">
        <v>38</v>
      </c>
      <c r="AA435" t="s">
        <v>38</v>
      </c>
      <c r="AB435" t="s">
        <v>38</v>
      </c>
      <c r="AC435" t="s">
        <v>38</v>
      </c>
      <c r="AD435" t="s">
        <v>48</v>
      </c>
      <c r="AG435" t="str">
        <f>IF(AD435="United States", IFERROR(INDEX(Sheet2!$C:$C, MATCH(AE435&amp;AF435, Sheet2!$E:$E, 0)) &amp; ", " &amp; INDEX(Sheet2!$D:$D, MATCH(AE435&amp;AF435, Sheet2!$E:$E, 0)), ""), "-")</f>
        <v/>
      </c>
    </row>
    <row r="436" spans="1:33" x14ac:dyDescent="0.25">
      <c r="A436" t="s">
        <v>458</v>
      </c>
      <c r="D436" t="s">
        <v>1087</v>
      </c>
      <c r="E436" t="s">
        <v>38</v>
      </c>
      <c r="F436">
        <v>1750</v>
      </c>
      <c r="G436">
        <v>2261</v>
      </c>
      <c r="H436">
        <v>71</v>
      </c>
      <c r="O436" t="s">
        <v>41</v>
      </c>
      <c r="R436" t="s">
        <v>89</v>
      </c>
      <c r="T436" t="s">
        <v>89</v>
      </c>
      <c r="V436" t="s">
        <v>1045</v>
      </c>
      <c r="W436" t="s">
        <v>92</v>
      </c>
      <c r="Y436" t="s">
        <v>38</v>
      </c>
      <c r="AA436" t="s">
        <v>38</v>
      </c>
      <c r="AB436" t="s">
        <v>38</v>
      </c>
      <c r="AC436" t="s">
        <v>38</v>
      </c>
      <c r="AD436" t="s">
        <v>48</v>
      </c>
      <c r="AG436" t="str">
        <f>IF(AD436="United States", IFERROR(INDEX(Sheet2!$C:$C, MATCH(AE436&amp;AF436, Sheet2!$E:$E, 0)) &amp; ", " &amp; INDEX(Sheet2!$D:$D, MATCH(AE436&amp;AF436, Sheet2!$E:$E, 0)), ""), "-")</f>
        <v/>
      </c>
    </row>
    <row r="437" spans="1:33" x14ac:dyDescent="0.25">
      <c r="A437" t="s">
        <v>458</v>
      </c>
      <c r="D437" t="s">
        <v>132</v>
      </c>
      <c r="E437" t="s">
        <v>633</v>
      </c>
      <c r="F437">
        <v>1762</v>
      </c>
      <c r="G437">
        <v>2255</v>
      </c>
      <c r="H437">
        <v>71</v>
      </c>
      <c r="O437" t="s">
        <v>41</v>
      </c>
      <c r="R437" t="s">
        <v>89</v>
      </c>
      <c r="T437" t="s">
        <v>89</v>
      </c>
      <c r="V437" t="s">
        <v>1045</v>
      </c>
      <c r="W437" t="s">
        <v>92</v>
      </c>
      <c r="Y437" t="s">
        <v>38</v>
      </c>
      <c r="AA437" t="s">
        <v>38</v>
      </c>
      <c r="AB437" t="s">
        <v>38</v>
      </c>
      <c r="AC437" t="s">
        <v>38</v>
      </c>
      <c r="AD437" t="s">
        <v>48</v>
      </c>
      <c r="AG437" t="str">
        <f>IF(AD437="United States", IFERROR(INDEX(Sheet2!$C:$C, MATCH(AE437&amp;AF437, Sheet2!$E:$E, 0)) &amp; ", " &amp; INDEX(Sheet2!$D:$D, MATCH(AE437&amp;AF437, Sheet2!$E:$E, 0)), ""), "-")</f>
        <v/>
      </c>
    </row>
    <row r="438" spans="1:33" x14ac:dyDescent="0.25">
      <c r="A438" t="s">
        <v>458</v>
      </c>
      <c r="D438" t="s">
        <v>1088</v>
      </c>
      <c r="E438" t="s">
        <v>38</v>
      </c>
      <c r="F438">
        <v>1753</v>
      </c>
      <c r="G438">
        <v>2254</v>
      </c>
      <c r="H438">
        <v>71</v>
      </c>
      <c r="O438" t="s">
        <v>41</v>
      </c>
      <c r="R438" t="s">
        <v>89</v>
      </c>
      <c r="T438" t="s">
        <v>89</v>
      </c>
      <c r="V438" t="s">
        <v>1045</v>
      </c>
      <c r="W438" t="s">
        <v>92</v>
      </c>
      <c r="Y438" t="s">
        <v>38</v>
      </c>
      <c r="AA438" t="s">
        <v>38</v>
      </c>
      <c r="AB438" t="s">
        <v>38</v>
      </c>
      <c r="AC438" t="s">
        <v>38</v>
      </c>
      <c r="AD438" t="s">
        <v>48</v>
      </c>
      <c r="AG438" t="str">
        <f>IF(AD438="United States", IFERROR(INDEX(Sheet2!$C:$C, MATCH(AE438&amp;AF438, Sheet2!$E:$E, 0)) &amp; ", " &amp; INDEX(Sheet2!$D:$D, MATCH(AE438&amp;AF438, Sheet2!$E:$E, 0)), ""), "-")</f>
        <v/>
      </c>
    </row>
    <row r="439" spans="1:33" x14ac:dyDescent="0.25">
      <c r="A439" t="s">
        <v>458</v>
      </c>
      <c r="D439" t="s">
        <v>36</v>
      </c>
      <c r="E439" t="s">
        <v>848</v>
      </c>
      <c r="F439">
        <v>1753</v>
      </c>
      <c r="G439">
        <v>2253</v>
      </c>
      <c r="H439">
        <v>71</v>
      </c>
      <c r="O439" t="s">
        <v>41</v>
      </c>
      <c r="R439" t="s">
        <v>89</v>
      </c>
      <c r="T439" t="s">
        <v>89</v>
      </c>
      <c r="V439" t="s">
        <v>1045</v>
      </c>
      <c r="W439" t="s">
        <v>92</v>
      </c>
      <c r="Y439" t="s">
        <v>38</v>
      </c>
      <c r="AA439" t="s">
        <v>38</v>
      </c>
      <c r="AB439" t="s">
        <v>38</v>
      </c>
      <c r="AC439" t="s">
        <v>38</v>
      </c>
      <c r="AD439" t="s">
        <v>48</v>
      </c>
      <c r="AG439" t="str">
        <f>IF(AD439="United States", IFERROR(INDEX(Sheet2!$C:$C, MATCH(AE439&amp;AF439, Sheet2!$E:$E, 0)) &amp; ", " &amp; INDEX(Sheet2!$D:$D, MATCH(AE439&amp;AF439, Sheet2!$E:$E, 0)), ""), "-")</f>
        <v/>
      </c>
    </row>
    <row r="440" spans="1:33" x14ac:dyDescent="0.25">
      <c r="A440" t="s">
        <v>458</v>
      </c>
      <c r="D440" t="s">
        <v>1089</v>
      </c>
      <c r="E440" t="s">
        <v>38</v>
      </c>
      <c r="F440">
        <v>1755</v>
      </c>
      <c r="G440">
        <v>2256</v>
      </c>
      <c r="H440">
        <v>71</v>
      </c>
      <c r="O440" t="s">
        <v>41</v>
      </c>
      <c r="R440" t="s">
        <v>89</v>
      </c>
      <c r="T440" t="s">
        <v>89</v>
      </c>
      <c r="V440" t="s">
        <v>1045</v>
      </c>
      <c r="W440" t="s">
        <v>92</v>
      </c>
      <c r="Y440" t="s">
        <v>38</v>
      </c>
      <c r="AA440" t="s">
        <v>38</v>
      </c>
      <c r="AB440" t="s">
        <v>38</v>
      </c>
      <c r="AC440" t="s">
        <v>38</v>
      </c>
      <c r="AD440" t="s">
        <v>48</v>
      </c>
      <c r="AG440" t="str">
        <f>IF(AD440="United States", IFERROR(INDEX(Sheet2!$C:$C, MATCH(AE440&amp;AF440, Sheet2!$E:$E, 0)) &amp; ", " &amp; INDEX(Sheet2!$D:$D, MATCH(AE440&amp;AF440, Sheet2!$E:$E, 0)), ""), "-")</f>
        <v/>
      </c>
    </row>
    <row r="441" spans="1:33" x14ac:dyDescent="0.25">
      <c r="A441" t="s">
        <v>458</v>
      </c>
      <c r="D441" t="s">
        <v>150</v>
      </c>
      <c r="E441" t="s">
        <v>848</v>
      </c>
      <c r="F441">
        <v>1748</v>
      </c>
      <c r="G441">
        <v>2250</v>
      </c>
      <c r="H441">
        <v>71</v>
      </c>
      <c r="O441" t="s">
        <v>41</v>
      </c>
      <c r="R441" t="s">
        <v>89</v>
      </c>
      <c r="T441" t="s">
        <v>89</v>
      </c>
      <c r="V441" t="s">
        <v>1045</v>
      </c>
      <c r="W441" t="s">
        <v>92</v>
      </c>
      <c r="Y441" t="s">
        <v>38</v>
      </c>
      <c r="AA441" t="s">
        <v>38</v>
      </c>
      <c r="AB441" t="s">
        <v>38</v>
      </c>
      <c r="AC441" t="s">
        <v>38</v>
      </c>
      <c r="AD441" t="s">
        <v>48</v>
      </c>
      <c r="AG441" t="str">
        <f>IF(AD441="United States", IFERROR(INDEX(Sheet2!$C:$C, MATCH(AE441&amp;AF441, Sheet2!$E:$E, 0)) &amp; ", " &amp; INDEX(Sheet2!$D:$D, MATCH(AE441&amp;AF441, Sheet2!$E:$E, 0)), ""), "-")</f>
        <v/>
      </c>
    </row>
    <row r="442" spans="1:33" x14ac:dyDescent="0.25">
      <c r="A442" t="s">
        <v>458</v>
      </c>
      <c r="D442" t="s">
        <v>210</v>
      </c>
      <c r="E442" t="s">
        <v>1090</v>
      </c>
      <c r="F442">
        <v>1733</v>
      </c>
      <c r="G442">
        <v>2252</v>
      </c>
      <c r="H442">
        <v>71</v>
      </c>
      <c r="O442" t="s">
        <v>41</v>
      </c>
      <c r="R442" t="s">
        <v>89</v>
      </c>
      <c r="T442" t="s">
        <v>89</v>
      </c>
      <c r="V442" t="s">
        <v>1045</v>
      </c>
      <c r="W442" t="s">
        <v>92</v>
      </c>
      <c r="Y442" t="s">
        <v>38</v>
      </c>
      <c r="AA442" t="s">
        <v>38</v>
      </c>
      <c r="AB442" t="s">
        <v>38</v>
      </c>
      <c r="AC442" t="s">
        <v>38</v>
      </c>
      <c r="AD442" t="s">
        <v>48</v>
      </c>
      <c r="AG442" t="str">
        <f>IF(AD442="United States", IFERROR(INDEX(Sheet2!$C:$C, MATCH(AE442&amp;AF442, Sheet2!$E:$E, 0)) &amp; ", " &amp; INDEX(Sheet2!$D:$D, MATCH(AE442&amp;AF442, Sheet2!$E:$E, 0)), ""), "-")</f>
        <v/>
      </c>
    </row>
    <row r="443" spans="1:33" x14ac:dyDescent="0.25">
      <c r="A443" t="s">
        <v>458</v>
      </c>
      <c r="D443" t="s">
        <v>245</v>
      </c>
      <c r="E443" t="s">
        <v>1091</v>
      </c>
      <c r="F443">
        <v>1764</v>
      </c>
      <c r="G443">
        <v>2259</v>
      </c>
      <c r="H443">
        <v>71</v>
      </c>
      <c r="O443" t="s">
        <v>57</v>
      </c>
      <c r="R443" t="s">
        <v>89</v>
      </c>
      <c r="T443" t="s">
        <v>89</v>
      </c>
      <c r="V443" t="s">
        <v>1045</v>
      </c>
      <c r="W443" t="s">
        <v>92</v>
      </c>
      <c r="Y443" t="s">
        <v>38</v>
      </c>
      <c r="AA443" t="s">
        <v>38</v>
      </c>
      <c r="AB443" t="s">
        <v>38</v>
      </c>
      <c r="AC443" t="s">
        <v>38</v>
      </c>
      <c r="AD443" t="s">
        <v>48</v>
      </c>
      <c r="AG443" t="str">
        <f>IF(AD443="United States", IFERROR(INDEX(Sheet2!$C:$C, MATCH(AE443&amp;AF443, Sheet2!$E:$E, 0)) &amp; ", " &amp; INDEX(Sheet2!$D:$D, MATCH(AE443&amp;AF443, Sheet2!$E:$E, 0)), ""), "-")</f>
        <v/>
      </c>
    </row>
    <row r="444" spans="1:33" x14ac:dyDescent="0.25">
      <c r="A444" t="s">
        <v>458</v>
      </c>
      <c r="D444" t="s">
        <v>774</v>
      </c>
      <c r="E444" t="s">
        <v>1092</v>
      </c>
      <c r="F444">
        <v>1748</v>
      </c>
      <c r="G444">
        <v>2251</v>
      </c>
      <c r="H444">
        <v>71</v>
      </c>
      <c r="O444" t="s">
        <v>41</v>
      </c>
      <c r="R444" t="s">
        <v>89</v>
      </c>
      <c r="T444" t="s">
        <v>89</v>
      </c>
      <c r="V444" t="s">
        <v>1045</v>
      </c>
      <c r="W444" t="s">
        <v>92</v>
      </c>
      <c r="Y444" t="s">
        <v>38</v>
      </c>
      <c r="AA444" t="s">
        <v>38</v>
      </c>
      <c r="AB444" t="s">
        <v>38</v>
      </c>
      <c r="AC444" t="s">
        <v>38</v>
      </c>
      <c r="AD444" t="s">
        <v>48</v>
      </c>
      <c r="AG444" t="str">
        <f>IF(AD444="United States", IFERROR(INDEX(Sheet2!$C:$C, MATCH(AE444&amp;AF444, Sheet2!$E:$E, 0)) &amp; ", " &amp; INDEX(Sheet2!$D:$D, MATCH(AE444&amp;AF444, Sheet2!$E:$E, 0)), ""), "-")</f>
        <v/>
      </c>
    </row>
    <row r="445" spans="1:33" x14ac:dyDescent="0.25">
      <c r="A445" t="s">
        <v>1093</v>
      </c>
      <c r="B445" t="s">
        <v>1094</v>
      </c>
      <c r="C445" t="s">
        <v>1095</v>
      </c>
      <c r="D445" t="s">
        <v>835</v>
      </c>
      <c r="E445" t="s">
        <v>37</v>
      </c>
      <c r="F445">
        <v>1753</v>
      </c>
      <c r="G445">
        <v>2072</v>
      </c>
      <c r="H445" t="s">
        <v>1096</v>
      </c>
      <c r="I445" t="s">
        <v>87</v>
      </c>
      <c r="J445" t="s">
        <v>276</v>
      </c>
      <c r="K445" t="s">
        <v>38</v>
      </c>
      <c r="L445" t="s">
        <v>38</v>
      </c>
      <c r="M445" t="s">
        <v>38</v>
      </c>
      <c r="N445" t="s">
        <v>38</v>
      </c>
      <c r="O445" t="s">
        <v>57</v>
      </c>
      <c r="P445" t="s">
        <v>42</v>
      </c>
      <c r="Q445" t="s">
        <v>43</v>
      </c>
      <c r="R445" t="s">
        <v>89</v>
      </c>
      <c r="S445" t="s">
        <v>38</v>
      </c>
      <c r="T445" t="s">
        <v>89</v>
      </c>
      <c r="U445" t="s">
        <v>301</v>
      </c>
      <c r="V445" t="s">
        <v>137</v>
      </c>
      <c r="W445" t="s">
        <v>92</v>
      </c>
      <c r="X445" t="s">
        <v>38</v>
      </c>
      <c r="Y445" t="s">
        <v>1097</v>
      </c>
      <c r="Z445" t="s">
        <v>42</v>
      </c>
      <c r="AA445" t="s">
        <v>38</v>
      </c>
      <c r="AB445" t="s">
        <v>38</v>
      </c>
      <c r="AC445" t="s">
        <v>38</v>
      </c>
      <c r="AD445" t="s">
        <v>48</v>
      </c>
      <c r="AG445" t="str">
        <f>IF(AD445="United States", IFERROR(INDEX(Sheet2!$C:$C, MATCH(AE445&amp;AF445, Sheet2!$E:$E, 0)) &amp; ", " &amp; INDEX(Sheet2!$D:$D, MATCH(AE445&amp;AF445, Sheet2!$E:$E, 0)), ""), "-")</f>
        <v/>
      </c>
    </row>
    <row r="446" spans="1:33" x14ac:dyDescent="0.25">
      <c r="A446" t="s">
        <v>1093</v>
      </c>
      <c r="B446" t="s">
        <v>1098</v>
      </c>
      <c r="C446" t="s">
        <v>1095</v>
      </c>
      <c r="D446" t="s">
        <v>1099</v>
      </c>
      <c r="E446" t="s">
        <v>38</v>
      </c>
      <c r="F446">
        <v>1748</v>
      </c>
      <c r="G446">
        <v>2070</v>
      </c>
      <c r="H446" t="s">
        <v>1096</v>
      </c>
      <c r="I446" t="s">
        <v>87</v>
      </c>
      <c r="J446" t="s">
        <v>276</v>
      </c>
      <c r="K446" t="s">
        <v>38</v>
      </c>
      <c r="L446" t="s">
        <v>38</v>
      </c>
      <c r="M446" t="s">
        <v>38</v>
      </c>
      <c r="N446" t="s">
        <v>38</v>
      </c>
      <c r="O446" t="s">
        <v>57</v>
      </c>
      <c r="P446" t="s">
        <v>42</v>
      </c>
      <c r="Q446" t="s">
        <v>43</v>
      </c>
      <c r="R446" t="s">
        <v>89</v>
      </c>
      <c r="S446" t="s">
        <v>89</v>
      </c>
      <c r="T446" t="s">
        <v>89</v>
      </c>
      <c r="U446" t="s">
        <v>301</v>
      </c>
      <c r="V446" t="s">
        <v>137</v>
      </c>
      <c r="W446" t="s">
        <v>92</v>
      </c>
      <c r="X446" t="s">
        <v>38</v>
      </c>
      <c r="Y446" t="s">
        <v>1100</v>
      </c>
      <c r="Z446" t="s">
        <v>42</v>
      </c>
      <c r="AA446" t="s">
        <v>38</v>
      </c>
      <c r="AB446" t="s">
        <v>38</v>
      </c>
      <c r="AC446" t="s">
        <v>1101</v>
      </c>
      <c r="AD446" t="s">
        <v>48</v>
      </c>
      <c r="AG446" t="str">
        <f>IF(AD446="United States", IFERROR(INDEX(Sheet2!$C:$C, MATCH(AE446&amp;AF446, Sheet2!$E:$E, 0)) &amp; ", " &amp; INDEX(Sheet2!$D:$D, MATCH(AE446&amp;AF446, Sheet2!$E:$E, 0)), ""), "-")</f>
        <v/>
      </c>
    </row>
    <row r="447" spans="1:33" x14ac:dyDescent="0.25">
      <c r="A447" t="s">
        <v>1093</v>
      </c>
      <c r="B447" t="s">
        <v>1102</v>
      </c>
      <c r="C447" t="s">
        <v>1095</v>
      </c>
      <c r="D447" t="s">
        <v>1103</v>
      </c>
      <c r="E447" t="s">
        <v>1104</v>
      </c>
      <c r="F447">
        <v>1757</v>
      </c>
      <c r="G447">
        <v>2069</v>
      </c>
      <c r="H447" t="s">
        <v>1096</v>
      </c>
      <c r="I447" t="s">
        <v>87</v>
      </c>
      <c r="J447" t="s">
        <v>276</v>
      </c>
      <c r="K447" t="s">
        <v>38</v>
      </c>
      <c r="L447" t="s">
        <v>38</v>
      </c>
      <c r="M447" t="s">
        <v>38</v>
      </c>
      <c r="N447" t="s">
        <v>38</v>
      </c>
      <c r="O447" t="s">
        <v>57</v>
      </c>
      <c r="P447" t="s">
        <v>42</v>
      </c>
      <c r="Q447" t="s">
        <v>43</v>
      </c>
      <c r="R447" t="s">
        <v>89</v>
      </c>
      <c r="S447" t="s">
        <v>153</v>
      </c>
      <c r="T447" t="s">
        <v>89</v>
      </c>
      <c r="U447" t="s">
        <v>301</v>
      </c>
      <c r="V447" t="s">
        <v>137</v>
      </c>
      <c r="W447" t="s">
        <v>92</v>
      </c>
      <c r="X447" t="s">
        <v>38</v>
      </c>
      <c r="Y447" t="s">
        <v>1097</v>
      </c>
      <c r="Z447" t="s">
        <v>42</v>
      </c>
      <c r="AA447" t="s">
        <v>1105</v>
      </c>
      <c r="AB447" t="s">
        <v>38</v>
      </c>
      <c r="AC447" t="s">
        <v>153</v>
      </c>
      <c r="AD447" t="s">
        <v>48</v>
      </c>
      <c r="AG447" t="str">
        <f>IF(AD447="United States", IFERROR(INDEX(Sheet2!$C:$C, MATCH(AE447&amp;AF447, Sheet2!$E:$E, 0)) &amp; ", " &amp; INDEX(Sheet2!$D:$D, MATCH(AE447&amp;AF447, Sheet2!$E:$E, 0)), ""), "-")</f>
        <v/>
      </c>
    </row>
    <row r="448" spans="1:33" x14ac:dyDescent="0.25">
      <c r="A448" t="s">
        <v>1093</v>
      </c>
      <c r="B448" t="s">
        <v>1106</v>
      </c>
      <c r="C448" t="s">
        <v>1095</v>
      </c>
      <c r="D448" t="s">
        <v>1107</v>
      </c>
      <c r="E448" t="s">
        <v>1108</v>
      </c>
      <c r="F448">
        <v>1758</v>
      </c>
      <c r="G448">
        <v>2068</v>
      </c>
      <c r="H448" t="s">
        <v>1096</v>
      </c>
      <c r="I448" t="s">
        <v>87</v>
      </c>
      <c r="J448" t="s">
        <v>276</v>
      </c>
      <c r="K448" t="s">
        <v>38</v>
      </c>
      <c r="L448" t="s">
        <v>38</v>
      </c>
      <c r="M448" t="s">
        <v>38</v>
      </c>
      <c r="N448" t="s">
        <v>38</v>
      </c>
      <c r="O448" t="s">
        <v>41</v>
      </c>
      <c r="P448" t="s">
        <v>42</v>
      </c>
      <c r="Q448" t="s">
        <v>43</v>
      </c>
      <c r="R448" t="s">
        <v>89</v>
      </c>
      <c r="S448" t="s">
        <v>153</v>
      </c>
      <c r="T448" t="s">
        <v>89</v>
      </c>
      <c r="U448" t="s">
        <v>301</v>
      </c>
      <c r="V448" t="s">
        <v>137</v>
      </c>
      <c r="W448" t="s">
        <v>92</v>
      </c>
      <c r="X448" t="s">
        <v>38</v>
      </c>
      <c r="Y448" t="s">
        <v>1097</v>
      </c>
      <c r="Z448" t="s">
        <v>42</v>
      </c>
      <c r="AA448" t="s">
        <v>487</v>
      </c>
      <c r="AB448" t="s">
        <v>38</v>
      </c>
      <c r="AC448" t="s">
        <v>153</v>
      </c>
      <c r="AD448" t="s">
        <v>48</v>
      </c>
      <c r="AG448" t="str">
        <f>IF(AD448="United States", IFERROR(INDEX(Sheet2!$C:$C, MATCH(AE448&amp;AF448, Sheet2!$E:$E, 0)) &amp; ", " &amp; INDEX(Sheet2!$D:$D, MATCH(AE448&amp;AF448, Sheet2!$E:$E, 0)), ""), "-")</f>
        <v/>
      </c>
    </row>
    <row r="449" spans="1:33" x14ac:dyDescent="0.25">
      <c r="A449" t="s">
        <v>1093</v>
      </c>
      <c r="B449" t="s">
        <v>1109</v>
      </c>
      <c r="C449" t="s">
        <v>1095</v>
      </c>
      <c r="D449" t="s">
        <v>1110</v>
      </c>
      <c r="E449" t="s">
        <v>1111</v>
      </c>
      <c r="F449">
        <v>1757</v>
      </c>
      <c r="G449">
        <v>2071</v>
      </c>
      <c r="H449" t="s">
        <v>1096</v>
      </c>
      <c r="I449" t="s">
        <v>87</v>
      </c>
      <c r="J449" t="s">
        <v>276</v>
      </c>
      <c r="K449" t="s">
        <v>38</v>
      </c>
      <c r="L449" t="s">
        <v>38</v>
      </c>
      <c r="M449" t="s">
        <v>38</v>
      </c>
      <c r="N449" t="s">
        <v>38</v>
      </c>
      <c r="O449" t="s">
        <v>41</v>
      </c>
      <c r="P449" t="s">
        <v>42</v>
      </c>
      <c r="Q449" t="s">
        <v>43</v>
      </c>
      <c r="R449" t="s">
        <v>89</v>
      </c>
      <c r="S449" t="s">
        <v>38</v>
      </c>
      <c r="T449" t="s">
        <v>89</v>
      </c>
      <c r="U449" t="s">
        <v>301</v>
      </c>
      <c r="V449" t="s">
        <v>137</v>
      </c>
      <c r="W449" t="s">
        <v>92</v>
      </c>
      <c r="X449" t="s">
        <v>38</v>
      </c>
      <c r="Y449" t="s">
        <v>1112</v>
      </c>
      <c r="Z449" t="s">
        <v>42</v>
      </c>
      <c r="AA449" t="s">
        <v>38</v>
      </c>
      <c r="AB449" t="s">
        <v>38</v>
      </c>
      <c r="AC449" t="s">
        <v>376</v>
      </c>
      <c r="AD449" t="s">
        <v>48</v>
      </c>
      <c r="AG449" t="str">
        <f>IF(AD449="United States", IFERROR(INDEX(Sheet2!$C:$C, MATCH(AE449&amp;AF449, Sheet2!$E:$E, 0)) &amp; ", " &amp; INDEX(Sheet2!$D:$D, MATCH(AE449&amp;AF449, Sheet2!$E:$E, 0)), ""), "-")</f>
        <v/>
      </c>
    </row>
    <row r="450" spans="1:33" x14ac:dyDescent="0.25">
      <c r="A450" t="s">
        <v>1113</v>
      </c>
      <c r="B450" t="s">
        <v>1114</v>
      </c>
      <c r="C450" t="s">
        <v>1115</v>
      </c>
      <c r="D450" t="s">
        <v>1116</v>
      </c>
      <c r="E450" t="s">
        <v>1117</v>
      </c>
      <c r="F450">
        <v>1735</v>
      </c>
      <c r="G450">
        <v>1072</v>
      </c>
      <c r="H450" t="s">
        <v>1118</v>
      </c>
      <c r="I450" t="s">
        <v>80</v>
      </c>
      <c r="J450" t="s">
        <v>1119</v>
      </c>
      <c r="K450" t="s">
        <v>38</v>
      </c>
      <c r="L450" t="s">
        <v>38</v>
      </c>
      <c r="M450" t="s">
        <v>38</v>
      </c>
      <c r="N450" t="s">
        <v>38</v>
      </c>
      <c r="O450" t="s">
        <v>41</v>
      </c>
      <c r="P450" t="s">
        <v>42</v>
      </c>
      <c r="Q450" t="s">
        <v>43</v>
      </c>
      <c r="R450" t="s">
        <v>89</v>
      </c>
      <c r="S450" t="s">
        <v>45</v>
      </c>
      <c r="T450" t="s">
        <v>89</v>
      </c>
      <c r="U450" t="s">
        <v>301</v>
      </c>
      <c r="V450" t="s">
        <v>91</v>
      </c>
      <c r="W450" t="s">
        <v>92</v>
      </c>
      <c r="X450" t="s">
        <v>38</v>
      </c>
      <c r="Y450" t="s">
        <v>38</v>
      </c>
      <c r="Z450" t="s">
        <v>42</v>
      </c>
      <c r="AA450" t="s">
        <v>1120</v>
      </c>
      <c r="AB450" t="s">
        <v>38</v>
      </c>
      <c r="AC450" t="s">
        <v>45</v>
      </c>
      <c r="AD450" t="s">
        <v>48</v>
      </c>
      <c r="AG450" t="str">
        <f>IF(AD450="United States", IFERROR(INDEX(Sheet2!$C:$C, MATCH(AE450&amp;AF450, Sheet2!$E:$E, 0)) &amp; ", " &amp; INDEX(Sheet2!$D:$D, MATCH(AE450&amp;AF450, Sheet2!$E:$E, 0)), ""), "-")</f>
        <v/>
      </c>
    </row>
    <row r="451" spans="1:33" x14ac:dyDescent="0.25">
      <c r="A451" t="s">
        <v>1113</v>
      </c>
      <c r="B451" t="s">
        <v>1121</v>
      </c>
      <c r="C451" t="s">
        <v>1115</v>
      </c>
      <c r="D451" t="s">
        <v>1122</v>
      </c>
      <c r="E451" t="s">
        <v>1123</v>
      </c>
      <c r="F451">
        <v>1759</v>
      </c>
      <c r="G451">
        <v>1114</v>
      </c>
      <c r="H451" t="s">
        <v>1118</v>
      </c>
      <c r="I451" t="s">
        <v>80</v>
      </c>
      <c r="J451" t="s">
        <v>1119</v>
      </c>
      <c r="K451" t="s">
        <v>38</v>
      </c>
      <c r="L451" t="s">
        <v>38</v>
      </c>
      <c r="M451" t="s">
        <v>38</v>
      </c>
      <c r="N451" t="s">
        <v>38</v>
      </c>
      <c r="O451" t="s">
        <v>41</v>
      </c>
      <c r="P451" t="s">
        <v>42</v>
      </c>
      <c r="Q451" t="s">
        <v>43</v>
      </c>
      <c r="R451" t="s">
        <v>89</v>
      </c>
      <c r="S451" t="s">
        <v>45</v>
      </c>
      <c r="T451" t="s">
        <v>89</v>
      </c>
      <c r="U451" t="s">
        <v>301</v>
      </c>
      <c r="V451" t="s">
        <v>91</v>
      </c>
      <c r="W451" t="s">
        <v>92</v>
      </c>
      <c r="X451" t="s">
        <v>38</v>
      </c>
      <c r="Y451" t="s">
        <v>38</v>
      </c>
      <c r="Z451" t="s">
        <v>42</v>
      </c>
      <c r="AA451" t="s">
        <v>1124</v>
      </c>
      <c r="AB451" t="s">
        <v>38</v>
      </c>
      <c r="AC451" t="s">
        <v>45</v>
      </c>
      <c r="AD451" t="s">
        <v>48</v>
      </c>
      <c r="AG451" t="str">
        <f>IF(AD451="United States", IFERROR(INDEX(Sheet2!$C:$C, MATCH(AE451&amp;AF451, Sheet2!$E:$E, 0)) &amp; ", " &amp; INDEX(Sheet2!$D:$D, MATCH(AE451&amp;AF451, Sheet2!$E:$E, 0)), ""), "-")</f>
        <v/>
      </c>
    </row>
    <row r="452" spans="1:33" x14ac:dyDescent="0.25">
      <c r="A452" t="s">
        <v>1113</v>
      </c>
      <c r="B452" t="s">
        <v>1125</v>
      </c>
      <c r="C452" t="s">
        <v>1115</v>
      </c>
      <c r="D452" t="s">
        <v>1126</v>
      </c>
      <c r="E452" t="s">
        <v>1127</v>
      </c>
      <c r="F452">
        <v>1757</v>
      </c>
      <c r="G452">
        <v>1113</v>
      </c>
      <c r="H452" t="s">
        <v>1118</v>
      </c>
      <c r="I452" t="s">
        <v>80</v>
      </c>
      <c r="J452" t="s">
        <v>1119</v>
      </c>
      <c r="K452" t="s">
        <v>38</v>
      </c>
      <c r="L452" t="s">
        <v>38</v>
      </c>
      <c r="M452" t="s">
        <v>38</v>
      </c>
      <c r="N452" t="s">
        <v>38</v>
      </c>
      <c r="O452" t="s">
        <v>41</v>
      </c>
      <c r="P452" t="s">
        <v>42</v>
      </c>
      <c r="Q452" t="s">
        <v>43</v>
      </c>
      <c r="R452" t="s">
        <v>89</v>
      </c>
      <c r="S452" t="s">
        <v>45</v>
      </c>
      <c r="T452" t="s">
        <v>89</v>
      </c>
      <c r="U452" t="s">
        <v>301</v>
      </c>
      <c r="V452" t="s">
        <v>91</v>
      </c>
      <c r="W452" t="s">
        <v>92</v>
      </c>
      <c r="X452" t="s">
        <v>38</v>
      </c>
      <c r="Y452" t="s">
        <v>38</v>
      </c>
      <c r="Z452" t="s">
        <v>42</v>
      </c>
      <c r="AA452" t="s">
        <v>241</v>
      </c>
      <c r="AB452" t="s">
        <v>38</v>
      </c>
      <c r="AC452" t="s">
        <v>45</v>
      </c>
      <c r="AD452" t="s">
        <v>48</v>
      </c>
      <c r="AG452" t="str">
        <f>IF(AD452="United States", IFERROR(INDEX(Sheet2!$C:$C, MATCH(AE452&amp;AF452, Sheet2!$E:$E, 0)) &amp; ", " &amp; INDEX(Sheet2!$D:$D, MATCH(AE452&amp;AF452, Sheet2!$E:$E, 0)), ""), "-")</f>
        <v/>
      </c>
    </row>
    <row r="453" spans="1:33" x14ac:dyDescent="0.25">
      <c r="A453" t="s">
        <v>1113</v>
      </c>
      <c r="B453" t="s">
        <v>1128</v>
      </c>
      <c r="C453" t="s">
        <v>1115</v>
      </c>
      <c r="D453" t="s">
        <v>1129</v>
      </c>
      <c r="E453" t="s">
        <v>1130</v>
      </c>
      <c r="F453">
        <v>1764</v>
      </c>
      <c r="G453">
        <v>1385</v>
      </c>
      <c r="H453" t="s">
        <v>1131</v>
      </c>
      <c r="I453" t="s">
        <v>80</v>
      </c>
      <c r="J453" t="s">
        <v>1119</v>
      </c>
      <c r="K453" t="s">
        <v>38</v>
      </c>
      <c r="L453" t="s">
        <v>38</v>
      </c>
      <c r="M453" t="s">
        <v>38</v>
      </c>
      <c r="N453" t="s">
        <v>38</v>
      </c>
      <c r="O453" t="s">
        <v>41</v>
      </c>
      <c r="P453" t="s">
        <v>42</v>
      </c>
      <c r="Q453" t="s">
        <v>43</v>
      </c>
      <c r="R453" t="s">
        <v>89</v>
      </c>
      <c r="S453" t="s">
        <v>45</v>
      </c>
      <c r="T453" t="s">
        <v>89</v>
      </c>
      <c r="U453" t="s">
        <v>301</v>
      </c>
      <c r="V453" t="s">
        <v>91</v>
      </c>
      <c r="W453" t="s">
        <v>92</v>
      </c>
      <c r="X453" t="s">
        <v>38</v>
      </c>
      <c r="Y453" t="s">
        <v>38</v>
      </c>
      <c r="Z453" t="s">
        <v>42</v>
      </c>
      <c r="AA453" t="s">
        <v>1129</v>
      </c>
      <c r="AB453" t="s">
        <v>1130</v>
      </c>
      <c r="AC453" t="s">
        <v>1132</v>
      </c>
      <c r="AD453" t="s">
        <v>48</v>
      </c>
      <c r="AG453" t="str">
        <f>IF(AD453="United States", IFERROR(INDEX(Sheet2!$C:$C, MATCH(AE453&amp;AF453, Sheet2!$E:$E, 0)) &amp; ", " &amp; INDEX(Sheet2!$D:$D, MATCH(AE453&amp;AF453, Sheet2!$E:$E, 0)), ""), "-")</f>
        <v/>
      </c>
    </row>
    <row r="454" spans="1:33" x14ac:dyDescent="0.25">
      <c r="A454" t="s">
        <v>1113</v>
      </c>
      <c r="B454" t="s">
        <v>1133</v>
      </c>
      <c r="C454" t="s">
        <v>1115</v>
      </c>
      <c r="D454" t="s">
        <v>357</v>
      </c>
      <c r="E454" t="s">
        <v>1134</v>
      </c>
      <c r="F454">
        <v>1747</v>
      </c>
      <c r="G454">
        <v>1350</v>
      </c>
      <c r="H454" t="s">
        <v>1118</v>
      </c>
      <c r="I454" t="s">
        <v>80</v>
      </c>
      <c r="J454" t="s">
        <v>1119</v>
      </c>
      <c r="K454" t="s">
        <v>38</v>
      </c>
      <c r="L454" t="s">
        <v>38</v>
      </c>
      <c r="M454" t="s">
        <v>38</v>
      </c>
      <c r="N454" t="s">
        <v>38</v>
      </c>
      <c r="O454" t="s">
        <v>41</v>
      </c>
      <c r="P454" t="s">
        <v>42</v>
      </c>
      <c r="Q454" t="s">
        <v>43</v>
      </c>
      <c r="R454" t="s">
        <v>89</v>
      </c>
      <c r="S454" t="s">
        <v>45</v>
      </c>
      <c r="T454" t="s">
        <v>89</v>
      </c>
      <c r="U454" t="s">
        <v>301</v>
      </c>
      <c r="V454" t="s">
        <v>91</v>
      </c>
      <c r="W454" t="s">
        <v>92</v>
      </c>
      <c r="X454" t="s">
        <v>38</v>
      </c>
      <c r="Y454" t="s">
        <v>38</v>
      </c>
      <c r="Z454" t="s">
        <v>42</v>
      </c>
      <c r="AA454" t="s">
        <v>1135</v>
      </c>
      <c r="AB454" t="s">
        <v>38</v>
      </c>
      <c r="AC454" t="s">
        <v>45</v>
      </c>
      <c r="AD454" t="s">
        <v>48</v>
      </c>
      <c r="AG454" t="str">
        <f>IF(AD454="United States", IFERROR(INDEX(Sheet2!$C:$C, MATCH(AE454&amp;AF454, Sheet2!$E:$E, 0)) &amp; ", " &amp; INDEX(Sheet2!$D:$D, MATCH(AE454&amp;AF454, Sheet2!$E:$E, 0)), ""), "-")</f>
        <v/>
      </c>
    </row>
    <row r="455" spans="1:33" x14ac:dyDescent="0.25">
      <c r="A455" t="s">
        <v>1113</v>
      </c>
      <c r="B455" t="s">
        <v>1136</v>
      </c>
      <c r="C455" t="s">
        <v>1115</v>
      </c>
      <c r="D455" t="s">
        <v>200</v>
      </c>
      <c r="E455" t="s">
        <v>448</v>
      </c>
      <c r="F455">
        <v>1760</v>
      </c>
      <c r="G455">
        <v>1384</v>
      </c>
      <c r="H455" t="s">
        <v>1118</v>
      </c>
      <c r="I455" t="s">
        <v>80</v>
      </c>
      <c r="J455" t="s">
        <v>1119</v>
      </c>
      <c r="K455" t="s">
        <v>38</v>
      </c>
      <c r="L455" t="s">
        <v>38</v>
      </c>
      <c r="M455" t="s">
        <v>38</v>
      </c>
      <c r="N455" t="s">
        <v>38</v>
      </c>
      <c r="O455" t="s">
        <v>41</v>
      </c>
      <c r="P455" t="s">
        <v>42</v>
      </c>
      <c r="Q455" t="s">
        <v>43</v>
      </c>
      <c r="R455" t="s">
        <v>89</v>
      </c>
      <c r="S455" t="s">
        <v>45</v>
      </c>
      <c r="T455" t="s">
        <v>89</v>
      </c>
      <c r="U455" t="s">
        <v>301</v>
      </c>
      <c r="V455" t="s">
        <v>91</v>
      </c>
      <c r="W455" t="s">
        <v>92</v>
      </c>
      <c r="X455" t="s">
        <v>38</v>
      </c>
      <c r="Y455" t="s">
        <v>38</v>
      </c>
      <c r="Z455" t="s">
        <v>42</v>
      </c>
      <c r="AA455" t="s">
        <v>1137</v>
      </c>
      <c r="AB455" t="s">
        <v>38</v>
      </c>
      <c r="AC455" t="s">
        <v>45</v>
      </c>
      <c r="AD455" t="s">
        <v>48</v>
      </c>
      <c r="AG455" t="str">
        <f>IF(AD455="United States", IFERROR(INDEX(Sheet2!$C:$C, MATCH(AE455&amp;AF455, Sheet2!$E:$E, 0)) &amp; ", " &amp; INDEX(Sheet2!$D:$D, MATCH(AE455&amp;AF455, Sheet2!$E:$E, 0)), ""), "-")</f>
        <v/>
      </c>
    </row>
    <row r="456" spans="1:33" x14ac:dyDescent="0.25">
      <c r="A456" t="s">
        <v>1113</v>
      </c>
      <c r="B456" t="s">
        <v>1138</v>
      </c>
      <c r="C456" t="s">
        <v>1115</v>
      </c>
      <c r="D456" t="s">
        <v>222</v>
      </c>
      <c r="E456" t="s">
        <v>1139</v>
      </c>
      <c r="F456">
        <v>1760</v>
      </c>
      <c r="G456">
        <v>2708</v>
      </c>
      <c r="I456" t="s">
        <v>80</v>
      </c>
      <c r="J456" t="s">
        <v>1119</v>
      </c>
      <c r="M456" t="s">
        <v>1140</v>
      </c>
      <c r="N456" t="s">
        <v>1141</v>
      </c>
      <c r="O456" t="s">
        <v>57</v>
      </c>
      <c r="P456" t="s">
        <v>42</v>
      </c>
      <c r="Q456" t="s">
        <v>43</v>
      </c>
      <c r="S456" t="s">
        <v>89</v>
      </c>
      <c r="V456" t="s">
        <v>91</v>
      </c>
      <c r="Y456" t="s">
        <v>38</v>
      </c>
      <c r="Z456" t="s">
        <v>42</v>
      </c>
      <c r="AA456" t="s">
        <v>38</v>
      </c>
      <c r="AB456" t="s">
        <v>38</v>
      </c>
      <c r="AC456" t="s">
        <v>89</v>
      </c>
      <c r="AD456" t="s">
        <v>48</v>
      </c>
      <c r="AG456" t="str">
        <f>IF(AD456="United States", IFERROR(INDEX(Sheet2!$C:$C, MATCH(AE456&amp;AF456, Sheet2!$E:$E, 0)) &amp; ", " &amp; INDEX(Sheet2!$D:$D, MATCH(AE456&amp;AF456, Sheet2!$E:$E, 0)), ""), "-")</f>
        <v/>
      </c>
    </row>
    <row r="457" spans="1:33" x14ac:dyDescent="0.25">
      <c r="A457" t="s">
        <v>1113</v>
      </c>
      <c r="B457" t="s">
        <v>1142</v>
      </c>
      <c r="C457" t="s">
        <v>1115</v>
      </c>
      <c r="D457" t="s">
        <v>513</v>
      </c>
      <c r="E457" t="s">
        <v>1143</v>
      </c>
      <c r="F457">
        <v>1755</v>
      </c>
      <c r="G457">
        <v>1339</v>
      </c>
      <c r="H457" t="s">
        <v>1118</v>
      </c>
      <c r="I457" t="s">
        <v>80</v>
      </c>
      <c r="J457" t="s">
        <v>1119</v>
      </c>
      <c r="K457" t="s">
        <v>38</v>
      </c>
      <c r="L457" t="s">
        <v>38</v>
      </c>
      <c r="M457" t="s">
        <v>38</v>
      </c>
      <c r="N457" t="s">
        <v>38</v>
      </c>
      <c r="O457" t="s">
        <v>41</v>
      </c>
      <c r="P457" t="s">
        <v>42</v>
      </c>
      <c r="Q457" t="s">
        <v>43</v>
      </c>
      <c r="R457" t="s">
        <v>89</v>
      </c>
      <c r="S457" t="s">
        <v>45</v>
      </c>
      <c r="T457" t="s">
        <v>89</v>
      </c>
      <c r="U457" t="s">
        <v>301</v>
      </c>
      <c r="V457" t="s">
        <v>91</v>
      </c>
      <c r="W457" t="s">
        <v>92</v>
      </c>
      <c r="X457" t="s">
        <v>38</v>
      </c>
      <c r="Y457" t="s">
        <v>38</v>
      </c>
      <c r="Z457" t="s">
        <v>42</v>
      </c>
      <c r="AA457" t="s">
        <v>169</v>
      </c>
      <c r="AB457" t="s">
        <v>38</v>
      </c>
      <c r="AC457" t="s">
        <v>45</v>
      </c>
      <c r="AD457" t="s">
        <v>48</v>
      </c>
      <c r="AG457" t="str">
        <f>IF(AD457="United States", IFERROR(INDEX(Sheet2!$C:$C, MATCH(AE457&amp;AF457, Sheet2!$E:$E, 0)) &amp; ", " &amp; INDEX(Sheet2!$D:$D, MATCH(AE457&amp;AF457, Sheet2!$E:$E, 0)), ""), "-")</f>
        <v/>
      </c>
    </row>
    <row r="458" spans="1:33" x14ac:dyDescent="0.25">
      <c r="A458" t="s">
        <v>1113</v>
      </c>
      <c r="B458" t="s">
        <v>1144</v>
      </c>
      <c r="C458" t="s">
        <v>1115</v>
      </c>
      <c r="D458" t="s">
        <v>569</v>
      </c>
      <c r="E458" t="s">
        <v>1145</v>
      </c>
      <c r="F458">
        <v>1730</v>
      </c>
      <c r="G458">
        <v>1340</v>
      </c>
      <c r="H458" t="s">
        <v>1118</v>
      </c>
      <c r="I458" t="s">
        <v>80</v>
      </c>
      <c r="J458" t="s">
        <v>1119</v>
      </c>
      <c r="K458" t="s">
        <v>38</v>
      </c>
      <c r="L458" t="s">
        <v>38</v>
      </c>
      <c r="M458" t="s">
        <v>38</v>
      </c>
      <c r="N458" t="s">
        <v>38</v>
      </c>
      <c r="O458" t="s">
        <v>41</v>
      </c>
      <c r="P458" t="s">
        <v>42</v>
      </c>
      <c r="Q458" t="s">
        <v>43</v>
      </c>
      <c r="R458" t="s">
        <v>89</v>
      </c>
      <c r="S458" t="s">
        <v>45</v>
      </c>
      <c r="T458" t="s">
        <v>89</v>
      </c>
      <c r="U458" t="s">
        <v>301</v>
      </c>
      <c r="V458" t="s">
        <v>91</v>
      </c>
      <c r="W458" t="s">
        <v>92</v>
      </c>
      <c r="X458" t="s">
        <v>38</v>
      </c>
      <c r="Y458" t="s">
        <v>38</v>
      </c>
      <c r="Z458" t="s">
        <v>42</v>
      </c>
      <c r="AA458" t="s">
        <v>169</v>
      </c>
      <c r="AB458" t="s">
        <v>38</v>
      </c>
      <c r="AC458" t="s">
        <v>45</v>
      </c>
      <c r="AD458" t="s">
        <v>48</v>
      </c>
      <c r="AG458" t="str">
        <f>IF(AD458="United States", IFERROR(INDEX(Sheet2!$C:$C, MATCH(AE458&amp;AF458, Sheet2!$E:$E, 0)) &amp; ", " &amp; INDEX(Sheet2!$D:$D, MATCH(AE458&amp;AF458, Sheet2!$E:$E, 0)), ""), "-")</f>
        <v/>
      </c>
    </row>
    <row r="459" spans="1:33" x14ac:dyDescent="0.25">
      <c r="A459" t="s">
        <v>1113</v>
      </c>
      <c r="B459" t="s">
        <v>1146</v>
      </c>
      <c r="C459" t="s">
        <v>1115</v>
      </c>
      <c r="D459" t="s">
        <v>621</v>
      </c>
      <c r="E459" t="s">
        <v>1147</v>
      </c>
      <c r="F459">
        <v>1756</v>
      </c>
      <c r="G459">
        <v>1341</v>
      </c>
      <c r="H459" t="s">
        <v>1118</v>
      </c>
      <c r="I459" t="s">
        <v>80</v>
      </c>
      <c r="J459" t="s">
        <v>1119</v>
      </c>
      <c r="K459" t="s">
        <v>38</v>
      </c>
      <c r="L459" t="s">
        <v>38</v>
      </c>
      <c r="M459" t="s">
        <v>38</v>
      </c>
      <c r="N459" t="s">
        <v>38</v>
      </c>
      <c r="O459" t="s">
        <v>41</v>
      </c>
      <c r="P459" t="s">
        <v>42</v>
      </c>
      <c r="Q459" t="s">
        <v>43</v>
      </c>
      <c r="R459" t="s">
        <v>89</v>
      </c>
      <c r="S459" t="s">
        <v>45</v>
      </c>
      <c r="T459" t="s">
        <v>89</v>
      </c>
      <c r="U459" t="s">
        <v>301</v>
      </c>
      <c r="V459" t="s">
        <v>91</v>
      </c>
      <c r="W459" t="s">
        <v>92</v>
      </c>
      <c r="X459" t="s">
        <v>38</v>
      </c>
      <c r="Y459" t="s">
        <v>38</v>
      </c>
      <c r="Z459" t="s">
        <v>42</v>
      </c>
      <c r="AA459" t="s">
        <v>1148</v>
      </c>
      <c r="AB459" t="s">
        <v>38</v>
      </c>
      <c r="AC459" t="s">
        <v>45</v>
      </c>
      <c r="AD459" t="s">
        <v>48</v>
      </c>
      <c r="AG459" t="str">
        <f>IF(AD459="United States", IFERROR(INDEX(Sheet2!$C:$C, MATCH(AE459&amp;AF459, Sheet2!$E:$E, 0)) &amp; ", " &amp; INDEX(Sheet2!$D:$D, MATCH(AE459&amp;AF459, Sheet2!$E:$E, 0)), ""), "-")</f>
        <v/>
      </c>
    </row>
    <row r="460" spans="1:33" x14ac:dyDescent="0.25">
      <c r="A460" t="s">
        <v>1113</v>
      </c>
      <c r="B460" t="s">
        <v>1149</v>
      </c>
      <c r="C460" t="s">
        <v>1115</v>
      </c>
      <c r="D460" t="s">
        <v>569</v>
      </c>
      <c r="E460" t="s">
        <v>1150</v>
      </c>
      <c r="F460">
        <v>1736</v>
      </c>
      <c r="G460">
        <v>1342</v>
      </c>
      <c r="H460" t="s">
        <v>1118</v>
      </c>
      <c r="I460" t="s">
        <v>80</v>
      </c>
      <c r="J460" t="s">
        <v>1119</v>
      </c>
      <c r="K460" t="s">
        <v>38</v>
      </c>
      <c r="L460" t="s">
        <v>38</v>
      </c>
      <c r="M460" t="s">
        <v>38</v>
      </c>
      <c r="N460" t="s">
        <v>38</v>
      </c>
      <c r="O460" t="s">
        <v>41</v>
      </c>
      <c r="P460" t="s">
        <v>42</v>
      </c>
      <c r="Q460" t="s">
        <v>43</v>
      </c>
      <c r="R460" t="s">
        <v>89</v>
      </c>
      <c r="S460" t="s">
        <v>45</v>
      </c>
      <c r="T460" t="s">
        <v>89</v>
      </c>
      <c r="U460" t="s">
        <v>301</v>
      </c>
      <c r="V460" t="s">
        <v>91</v>
      </c>
      <c r="W460" t="s">
        <v>92</v>
      </c>
      <c r="X460" t="s">
        <v>38</v>
      </c>
      <c r="Y460" t="s">
        <v>38</v>
      </c>
      <c r="Z460" t="s">
        <v>42</v>
      </c>
      <c r="AA460" t="s">
        <v>1151</v>
      </c>
      <c r="AB460" t="s">
        <v>38</v>
      </c>
      <c r="AC460" t="s">
        <v>45</v>
      </c>
      <c r="AD460" t="s">
        <v>48</v>
      </c>
      <c r="AG460" t="str">
        <f>IF(AD460="United States", IFERROR(INDEX(Sheet2!$C:$C, MATCH(AE460&amp;AF460, Sheet2!$E:$E, 0)) &amp; ", " &amp; INDEX(Sheet2!$D:$D, MATCH(AE460&amp;AF460, Sheet2!$E:$E, 0)), ""), "-")</f>
        <v/>
      </c>
    </row>
    <row r="461" spans="1:33" x14ac:dyDescent="0.25">
      <c r="A461" t="s">
        <v>1113</v>
      </c>
      <c r="B461" t="s">
        <v>1152</v>
      </c>
      <c r="C461" t="s">
        <v>1115</v>
      </c>
      <c r="D461" t="s">
        <v>177</v>
      </c>
      <c r="E461" t="s">
        <v>62</v>
      </c>
      <c r="F461">
        <v>1753</v>
      </c>
      <c r="G461">
        <v>1343</v>
      </c>
      <c r="H461" t="s">
        <v>1118</v>
      </c>
      <c r="I461" t="s">
        <v>80</v>
      </c>
      <c r="J461" t="s">
        <v>1119</v>
      </c>
      <c r="K461" t="s">
        <v>38</v>
      </c>
      <c r="L461" t="s">
        <v>38</v>
      </c>
      <c r="M461" t="s">
        <v>38</v>
      </c>
      <c r="N461" t="s">
        <v>38</v>
      </c>
      <c r="O461" t="s">
        <v>41</v>
      </c>
      <c r="P461" t="s">
        <v>42</v>
      </c>
      <c r="Q461" t="s">
        <v>43</v>
      </c>
      <c r="R461" t="s">
        <v>89</v>
      </c>
      <c r="S461" t="s">
        <v>45</v>
      </c>
      <c r="T461" t="s">
        <v>89</v>
      </c>
      <c r="U461" t="s">
        <v>301</v>
      </c>
      <c r="V461" t="s">
        <v>91</v>
      </c>
      <c r="W461" t="s">
        <v>92</v>
      </c>
      <c r="X461" t="s">
        <v>38</v>
      </c>
      <c r="Y461" t="s">
        <v>38</v>
      </c>
      <c r="Z461" t="s">
        <v>42</v>
      </c>
      <c r="AA461" t="s">
        <v>1153</v>
      </c>
      <c r="AB461" t="s">
        <v>38</v>
      </c>
      <c r="AC461" t="s">
        <v>45</v>
      </c>
      <c r="AD461" t="s">
        <v>48</v>
      </c>
      <c r="AG461" t="str">
        <f>IF(AD461="United States", IFERROR(INDEX(Sheet2!$C:$C, MATCH(AE461&amp;AF461, Sheet2!$E:$E, 0)) &amp; ", " &amp; INDEX(Sheet2!$D:$D, MATCH(AE461&amp;AF461, Sheet2!$E:$E, 0)), ""), "-")</f>
        <v/>
      </c>
    </row>
    <row r="462" spans="1:33" x14ac:dyDescent="0.25">
      <c r="A462" t="s">
        <v>1113</v>
      </c>
      <c r="B462" t="s">
        <v>1154</v>
      </c>
      <c r="C462" t="s">
        <v>1115</v>
      </c>
      <c r="D462" t="s">
        <v>222</v>
      </c>
      <c r="E462" t="s">
        <v>38</v>
      </c>
      <c r="F462">
        <v>1770</v>
      </c>
      <c r="G462">
        <v>1124</v>
      </c>
      <c r="H462" t="s">
        <v>1131</v>
      </c>
      <c r="I462" t="s">
        <v>80</v>
      </c>
      <c r="J462" t="s">
        <v>1119</v>
      </c>
      <c r="K462" t="s">
        <v>38</v>
      </c>
      <c r="L462" t="s">
        <v>38</v>
      </c>
      <c r="M462" t="s">
        <v>38</v>
      </c>
      <c r="N462" t="s">
        <v>38</v>
      </c>
      <c r="O462" t="s">
        <v>74</v>
      </c>
      <c r="P462" t="s">
        <v>42</v>
      </c>
      <c r="Q462" t="s">
        <v>43</v>
      </c>
      <c r="R462" t="s">
        <v>89</v>
      </c>
      <c r="S462" t="s">
        <v>153</v>
      </c>
      <c r="T462" t="s">
        <v>89</v>
      </c>
      <c r="U462" t="s">
        <v>301</v>
      </c>
      <c r="V462" t="s">
        <v>91</v>
      </c>
      <c r="W462" t="s">
        <v>92</v>
      </c>
      <c r="X462" t="s">
        <v>38</v>
      </c>
      <c r="Y462" t="s">
        <v>1155</v>
      </c>
      <c r="Z462" t="s">
        <v>42</v>
      </c>
      <c r="AA462" t="s">
        <v>155</v>
      </c>
      <c r="AB462" t="s">
        <v>38</v>
      </c>
      <c r="AC462" t="s">
        <v>153</v>
      </c>
      <c r="AD462" t="s">
        <v>48</v>
      </c>
      <c r="AG462" t="str">
        <f>IF(AD462="United States", IFERROR(INDEX(Sheet2!$C:$C, MATCH(AE462&amp;AF462, Sheet2!$E:$E, 0)) &amp; ", " &amp; INDEX(Sheet2!$D:$D, MATCH(AE462&amp;AF462, Sheet2!$E:$E, 0)), ""), "-")</f>
        <v/>
      </c>
    </row>
    <row r="463" spans="1:33" x14ac:dyDescent="0.25">
      <c r="A463" t="s">
        <v>1113</v>
      </c>
      <c r="B463" t="s">
        <v>1156</v>
      </c>
      <c r="C463" t="s">
        <v>1115</v>
      </c>
      <c r="D463" t="s">
        <v>108</v>
      </c>
      <c r="E463" t="s">
        <v>1157</v>
      </c>
      <c r="F463">
        <v>1723</v>
      </c>
      <c r="G463">
        <v>1344</v>
      </c>
      <c r="H463" t="s">
        <v>1118</v>
      </c>
      <c r="I463" t="s">
        <v>80</v>
      </c>
      <c r="J463" t="s">
        <v>1119</v>
      </c>
      <c r="K463" t="s">
        <v>38</v>
      </c>
      <c r="L463" t="s">
        <v>38</v>
      </c>
      <c r="M463" t="s">
        <v>38</v>
      </c>
      <c r="N463" t="s">
        <v>38</v>
      </c>
      <c r="O463" t="s">
        <v>41</v>
      </c>
      <c r="P463" t="s">
        <v>42</v>
      </c>
      <c r="Q463" t="s">
        <v>43</v>
      </c>
      <c r="R463" t="s">
        <v>89</v>
      </c>
      <c r="S463" t="s">
        <v>45</v>
      </c>
      <c r="T463" t="s">
        <v>89</v>
      </c>
      <c r="U463" t="s">
        <v>301</v>
      </c>
      <c r="V463" t="s">
        <v>91</v>
      </c>
      <c r="W463" t="s">
        <v>92</v>
      </c>
      <c r="X463" t="s">
        <v>38</v>
      </c>
      <c r="Y463" t="s">
        <v>38</v>
      </c>
      <c r="Z463" t="s">
        <v>42</v>
      </c>
      <c r="AA463" t="s">
        <v>1120</v>
      </c>
      <c r="AB463" t="s">
        <v>38</v>
      </c>
      <c r="AC463" t="s">
        <v>45</v>
      </c>
      <c r="AD463" t="s">
        <v>48</v>
      </c>
      <c r="AG463" t="str">
        <f>IF(AD463="United States", IFERROR(INDEX(Sheet2!$C:$C, MATCH(AE463&amp;AF463, Sheet2!$E:$E, 0)) &amp; ", " &amp; INDEX(Sheet2!$D:$D, MATCH(AE463&amp;AF463, Sheet2!$E:$E, 0)), ""), "-")</f>
        <v/>
      </c>
    </row>
    <row r="464" spans="1:33" x14ac:dyDescent="0.25">
      <c r="A464" t="s">
        <v>1113</v>
      </c>
      <c r="B464" t="s">
        <v>1158</v>
      </c>
      <c r="C464" t="s">
        <v>1115</v>
      </c>
      <c r="D464" t="s">
        <v>210</v>
      </c>
      <c r="E464" t="s">
        <v>1159</v>
      </c>
      <c r="F464">
        <v>1743</v>
      </c>
      <c r="G464">
        <v>1345</v>
      </c>
      <c r="H464" t="s">
        <v>1118</v>
      </c>
      <c r="I464" t="s">
        <v>80</v>
      </c>
      <c r="J464" t="s">
        <v>1119</v>
      </c>
      <c r="K464" t="s">
        <v>38</v>
      </c>
      <c r="L464" t="s">
        <v>38</v>
      </c>
      <c r="M464" t="s">
        <v>38</v>
      </c>
      <c r="N464" t="s">
        <v>38</v>
      </c>
      <c r="O464" t="s">
        <v>41</v>
      </c>
      <c r="P464" t="s">
        <v>42</v>
      </c>
      <c r="Q464" t="s">
        <v>43</v>
      </c>
      <c r="R464" t="s">
        <v>89</v>
      </c>
      <c r="S464" t="s">
        <v>45</v>
      </c>
      <c r="T464" t="s">
        <v>89</v>
      </c>
      <c r="U464" t="s">
        <v>301</v>
      </c>
      <c r="V464" t="s">
        <v>91</v>
      </c>
      <c r="W464" t="s">
        <v>92</v>
      </c>
      <c r="X464" t="s">
        <v>38</v>
      </c>
      <c r="Y464" t="s">
        <v>38</v>
      </c>
      <c r="Z464" t="s">
        <v>42</v>
      </c>
      <c r="AA464" t="s">
        <v>169</v>
      </c>
      <c r="AB464" t="s">
        <v>38</v>
      </c>
      <c r="AC464" t="s">
        <v>45</v>
      </c>
      <c r="AD464" t="s">
        <v>48</v>
      </c>
      <c r="AG464" t="str">
        <f>IF(AD464="United States", IFERROR(INDEX(Sheet2!$C:$C, MATCH(AE464&amp;AF464, Sheet2!$E:$E, 0)) &amp; ", " &amp; INDEX(Sheet2!$D:$D, MATCH(AE464&amp;AF464, Sheet2!$E:$E, 0)), ""), "-")</f>
        <v/>
      </c>
    </row>
    <row r="465" spans="1:33" x14ac:dyDescent="0.25">
      <c r="A465" t="s">
        <v>1113</v>
      </c>
      <c r="B465" t="s">
        <v>1160</v>
      </c>
      <c r="C465" t="s">
        <v>1115</v>
      </c>
      <c r="D465" t="s">
        <v>132</v>
      </c>
      <c r="E465" t="s">
        <v>1161</v>
      </c>
      <c r="F465">
        <v>1748</v>
      </c>
      <c r="G465">
        <v>1346</v>
      </c>
      <c r="H465" t="s">
        <v>1118</v>
      </c>
      <c r="I465" t="s">
        <v>80</v>
      </c>
      <c r="J465" t="s">
        <v>1119</v>
      </c>
      <c r="K465" t="s">
        <v>38</v>
      </c>
      <c r="L465" t="s">
        <v>38</v>
      </c>
      <c r="M465" t="s">
        <v>38</v>
      </c>
      <c r="N465" t="s">
        <v>38</v>
      </c>
      <c r="O465" t="s">
        <v>41</v>
      </c>
      <c r="P465" t="s">
        <v>42</v>
      </c>
      <c r="Q465" t="s">
        <v>43</v>
      </c>
      <c r="R465" t="s">
        <v>89</v>
      </c>
      <c r="S465" t="s">
        <v>45</v>
      </c>
      <c r="T465" t="s">
        <v>89</v>
      </c>
      <c r="U465" t="s">
        <v>301</v>
      </c>
      <c r="V465" t="s">
        <v>91</v>
      </c>
      <c r="W465" t="s">
        <v>92</v>
      </c>
      <c r="X465" t="s">
        <v>38</v>
      </c>
      <c r="Y465" t="s">
        <v>38</v>
      </c>
      <c r="Z465" t="s">
        <v>42</v>
      </c>
      <c r="AA465" t="s">
        <v>38</v>
      </c>
      <c r="AB465" t="s">
        <v>38</v>
      </c>
      <c r="AC465" t="s">
        <v>864</v>
      </c>
      <c r="AD465" t="s">
        <v>48</v>
      </c>
      <c r="AG465" t="str">
        <f>IF(AD465="United States", IFERROR(INDEX(Sheet2!$C:$C, MATCH(AE465&amp;AF465, Sheet2!$E:$E, 0)) &amp; ", " &amp; INDEX(Sheet2!$D:$D, MATCH(AE465&amp;AF465, Sheet2!$E:$E, 0)), ""), "-")</f>
        <v/>
      </c>
    </row>
    <row r="466" spans="1:33" x14ac:dyDescent="0.25">
      <c r="A466" t="s">
        <v>1113</v>
      </c>
      <c r="B466" t="s">
        <v>1162</v>
      </c>
      <c r="C466" t="s">
        <v>1115</v>
      </c>
      <c r="D466" t="s">
        <v>226</v>
      </c>
      <c r="E466" t="s">
        <v>1150</v>
      </c>
      <c r="F466">
        <v>1770</v>
      </c>
      <c r="G466">
        <v>1347</v>
      </c>
      <c r="H466" t="s">
        <v>1118</v>
      </c>
      <c r="I466" t="s">
        <v>80</v>
      </c>
      <c r="J466" t="s">
        <v>1119</v>
      </c>
      <c r="K466" t="s">
        <v>38</v>
      </c>
      <c r="L466" t="s">
        <v>38</v>
      </c>
      <c r="M466" t="s">
        <v>38</v>
      </c>
      <c r="N466" t="s">
        <v>38</v>
      </c>
      <c r="O466" t="s">
        <v>54</v>
      </c>
      <c r="P466" t="s">
        <v>42</v>
      </c>
      <c r="Q466" t="s">
        <v>43</v>
      </c>
      <c r="R466" t="s">
        <v>89</v>
      </c>
      <c r="S466" t="s">
        <v>201</v>
      </c>
      <c r="T466" t="s">
        <v>89</v>
      </c>
      <c r="U466" t="s">
        <v>301</v>
      </c>
      <c r="V466" t="s">
        <v>91</v>
      </c>
      <c r="W466" t="s">
        <v>92</v>
      </c>
      <c r="X466" t="s">
        <v>38</v>
      </c>
      <c r="Y466" t="s">
        <v>38</v>
      </c>
      <c r="Z466" t="s">
        <v>42</v>
      </c>
      <c r="AA466" t="s">
        <v>354</v>
      </c>
      <c r="AB466" t="s">
        <v>38</v>
      </c>
      <c r="AC466" t="s">
        <v>201</v>
      </c>
      <c r="AD466" t="s">
        <v>48</v>
      </c>
      <c r="AG466" t="str">
        <f>IF(AD466="United States", IFERROR(INDEX(Sheet2!$C:$C, MATCH(AE466&amp;AF466, Sheet2!$E:$E, 0)) &amp; ", " &amp; INDEX(Sheet2!$D:$D, MATCH(AE466&amp;AF466, Sheet2!$E:$E, 0)), ""), "-")</f>
        <v/>
      </c>
    </row>
    <row r="467" spans="1:33" x14ac:dyDescent="0.25">
      <c r="A467" t="s">
        <v>1113</v>
      </c>
      <c r="B467" t="s">
        <v>1114</v>
      </c>
      <c r="C467" t="s">
        <v>1115</v>
      </c>
      <c r="D467" t="s">
        <v>1116</v>
      </c>
      <c r="E467" t="s">
        <v>1117</v>
      </c>
      <c r="F467">
        <v>1735</v>
      </c>
      <c r="G467">
        <v>1348</v>
      </c>
      <c r="H467" t="s">
        <v>1118</v>
      </c>
      <c r="I467" t="s">
        <v>80</v>
      </c>
      <c r="J467" t="s">
        <v>1119</v>
      </c>
      <c r="K467" t="s">
        <v>38</v>
      </c>
      <c r="L467" t="s">
        <v>38</v>
      </c>
      <c r="M467" t="s">
        <v>38</v>
      </c>
      <c r="N467" t="s">
        <v>38</v>
      </c>
      <c r="O467" t="s">
        <v>41</v>
      </c>
      <c r="P467" t="s">
        <v>42</v>
      </c>
      <c r="Q467" t="s">
        <v>43</v>
      </c>
      <c r="R467" t="s">
        <v>89</v>
      </c>
      <c r="S467" t="s">
        <v>45</v>
      </c>
      <c r="T467" t="s">
        <v>89</v>
      </c>
      <c r="U467" t="s">
        <v>301</v>
      </c>
      <c r="V467" t="s">
        <v>91</v>
      </c>
      <c r="W467" t="s">
        <v>92</v>
      </c>
      <c r="X467" t="s">
        <v>38</v>
      </c>
      <c r="Y467" t="s">
        <v>38</v>
      </c>
      <c r="Z467" t="s">
        <v>42</v>
      </c>
      <c r="AA467" t="s">
        <v>1120</v>
      </c>
      <c r="AB467" t="s">
        <v>38</v>
      </c>
      <c r="AC467" t="s">
        <v>45</v>
      </c>
      <c r="AD467" t="s">
        <v>48</v>
      </c>
      <c r="AG467" t="str">
        <f>IF(AD467="United States", IFERROR(INDEX(Sheet2!$C:$C, MATCH(AE467&amp;AF467, Sheet2!$E:$E, 0)) &amp; ", " &amp; INDEX(Sheet2!$D:$D, MATCH(AE467&amp;AF467, Sheet2!$E:$E, 0)), ""), "-")</f>
        <v/>
      </c>
    </row>
    <row r="468" spans="1:33" x14ac:dyDescent="0.25">
      <c r="A468" t="s">
        <v>1113</v>
      </c>
      <c r="B468" t="s">
        <v>1163</v>
      </c>
      <c r="C468" t="s">
        <v>1115</v>
      </c>
      <c r="D468" t="s">
        <v>1164</v>
      </c>
      <c r="E468" t="s">
        <v>1165</v>
      </c>
      <c r="F468">
        <v>1743</v>
      </c>
      <c r="G468">
        <v>1123</v>
      </c>
      <c r="H468" t="s">
        <v>38</v>
      </c>
      <c r="I468" t="s">
        <v>80</v>
      </c>
      <c r="J468" t="s">
        <v>1119</v>
      </c>
      <c r="K468" t="s">
        <v>38</v>
      </c>
      <c r="L468" t="s">
        <v>38</v>
      </c>
      <c r="M468" t="s">
        <v>38</v>
      </c>
      <c r="N468" t="s">
        <v>38</v>
      </c>
      <c r="O468" t="s">
        <v>57</v>
      </c>
      <c r="P468" t="s">
        <v>42</v>
      </c>
      <c r="Q468" t="s">
        <v>43</v>
      </c>
      <c r="R468" t="s">
        <v>1166</v>
      </c>
      <c r="S468" t="s">
        <v>153</v>
      </c>
      <c r="T468" t="s">
        <v>38</v>
      </c>
      <c r="U468" t="s">
        <v>38</v>
      </c>
      <c r="V468" t="s">
        <v>91</v>
      </c>
      <c r="W468" t="s">
        <v>38</v>
      </c>
      <c r="X468" t="s">
        <v>38</v>
      </c>
      <c r="Y468" t="s">
        <v>1155</v>
      </c>
      <c r="Z468" t="s">
        <v>42</v>
      </c>
      <c r="AA468" t="s">
        <v>155</v>
      </c>
      <c r="AB468" t="s">
        <v>38</v>
      </c>
      <c r="AC468" t="s">
        <v>153</v>
      </c>
      <c r="AD468" t="s">
        <v>48</v>
      </c>
      <c r="AG468" t="str">
        <f>IF(AD468="United States", IFERROR(INDEX(Sheet2!$C:$C, MATCH(AE468&amp;AF468, Sheet2!$E:$E, 0)) &amp; ", " &amp; INDEX(Sheet2!$D:$D, MATCH(AE468&amp;AF468, Sheet2!$E:$E, 0)), ""), "-")</f>
        <v/>
      </c>
    </row>
    <row r="469" spans="1:33" x14ac:dyDescent="0.25">
      <c r="A469" t="s">
        <v>1113</v>
      </c>
      <c r="B469" t="s">
        <v>1167</v>
      </c>
      <c r="C469" t="s">
        <v>1115</v>
      </c>
      <c r="D469" t="s">
        <v>1168</v>
      </c>
      <c r="E469" t="s">
        <v>163</v>
      </c>
      <c r="F469">
        <v>1778</v>
      </c>
      <c r="G469">
        <v>1122</v>
      </c>
      <c r="H469" t="s">
        <v>1169</v>
      </c>
      <c r="I469" t="s">
        <v>80</v>
      </c>
      <c r="J469" t="s">
        <v>1119</v>
      </c>
      <c r="K469" t="s">
        <v>38</v>
      </c>
      <c r="L469" t="s">
        <v>38</v>
      </c>
      <c r="M469" t="s">
        <v>245</v>
      </c>
      <c r="N469" t="s">
        <v>268</v>
      </c>
      <c r="O469" t="s">
        <v>54</v>
      </c>
      <c r="P469" t="s">
        <v>42</v>
      </c>
      <c r="Q469" t="s">
        <v>43</v>
      </c>
      <c r="R469" t="s">
        <v>89</v>
      </c>
      <c r="S469" t="s">
        <v>38</v>
      </c>
      <c r="T469" t="s">
        <v>89</v>
      </c>
      <c r="U469" t="s">
        <v>301</v>
      </c>
      <c r="V469" t="s">
        <v>91</v>
      </c>
      <c r="W469" t="s">
        <v>92</v>
      </c>
      <c r="X469" t="s">
        <v>38</v>
      </c>
      <c r="Y469" t="s">
        <v>1170</v>
      </c>
      <c r="Z469" t="s">
        <v>42</v>
      </c>
      <c r="AA469" t="s">
        <v>38</v>
      </c>
      <c r="AB469" t="s">
        <v>38</v>
      </c>
      <c r="AC469" t="s">
        <v>1171</v>
      </c>
      <c r="AD469" t="s">
        <v>48</v>
      </c>
      <c r="AG469" t="str">
        <f>IF(AD469="United States", IFERROR(INDEX(Sheet2!$C:$C, MATCH(AE469&amp;AF469, Sheet2!$E:$E, 0)) &amp; ", " &amp; INDEX(Sheet2!$D:$D, MATCH(AE469&amp;AF469, Sheet2!$E:$E, 0)), ""), "-")</f>
        <v/>
      </c>
    </row>
    <row r="470" spans="1:33" x14ac:dyDescent="0.25">
      <c r="A470" t="s">
        <v>1113</v>
      </c>
      <c r="B470" t="s">
        <v>1172</v>
      </c>
      <c r="C470" t="s">
        <v>1115</v>
      </c>
      <c r="D470" t="s">
        <v>245</v>
      </c>
      <c r="E470" t="s">
        <v>268</v>
      </c>
      <c r="F470">
        <v>1754</v>
      </c>
      <c r="G470">
        <v>1121</v>
      </c>
      <c r="H470" t="s">
        <v>1118</v>
      </c>
      <c r="I470" t="s">
        <v>80</v>
      </c>
      <c r="J470" t="s">
        <v>1119</v>
      </c>
      <c r="K470" t="s">
        <v>38</v>
      </c>
      <c r="L470" t="s">
        <v>38</v>
      </c>
      <c r="M470" t="s">
        <v>38</v>
      </c>
      <c r="N470" t="s">
        <v>38</v>
      </c>
      <c r="O470" t="s">
        <v>57</v>
      </c>
      <c r="P470" t="s">
        <v>42</v>
      </c>
      <c r="Q470" t="s">
        <v>43</v>
      </c>
      <c r="R470" t="s">
        <v>89</v>
      </c>
      <c r="S470" t="s">
        <v>38</v>
      </c>
      <c r="T470" t="s">
        <v>89</v>
      </c>
      <c r="U470" t="s">
        <v>301</v>
      </c>
      <c r="V470" t="s">
        <v>91</v>
      </c>
      <c r="W470" t="s">
        <v>92</v>
      </c>
      <c r="X470" t="s">
        <v>38</v>
      </c>
      <c r="Y470" t="s">
        <v>1170</v>
      </c>
      <c r="Z470" t="s">
        <v>42</v>
      </c>
      <c r="AA470" t="s">
        <v>38</v>
      </c>
      <c r="AB470" t="s">
        <v>38</v>
      </c>
      <c r="AC470" t="s">
        <v>38</v>
      </c>
      <c r="AD470" t="s">
        <v>48</v>
      </c>
      <c r="AG470" t="str">
        <f>IF(AD470="United States", IFERROR(INDEX(Sheet2!$C:$C, MATCH(AE470&amp;AF470, Sheet2!$E:$E, 0)) &amp; ", " &amp; INDEX(Sheet2!$D:$D, MATCH(AE470&amp;AF470, Sheet2!$E:$E, 0)), ""), "-")</f>
        <v/>
      </c>
    </row>
    <row r="471" spans="1:33" x14ac:dyDescent="0.25">
      <c r="A471" t="s">
        <v>1113</v>
      </c>
      <c r="B471" t="s">
        <v>1173</v>
      </c>
      <c r="C471" t="s">
        <v>1115</v>
      </c>
      <c r="D471" t="s">
        <v>1174</v>
      </c>
      <c r="E471" t="s">
        <v>1175</v>
      </c>
      <c r="F471">
        <v>1766</v>
      </c>
      <c r="G471">
        <v>2707</v>
      </c>
      <c r="I471" t="s">
        <v>80</v>
      </c>
      <c r="J471" t="s">
        <v>1119</v>
      </c>
      <c r="O471" t="s">
        <v>54</v>
      </c>
      <c r="P471" t="s">
        <v>42</v>
      </c>
      <c r="Q471" t="s">
        <v>43</v>
      </c>
      <c r="V471" t="s">
        <v>91</v>
      </c>
      <c r="Y471" t="s">
        <v>38</v>
      </c>
      <c r="Z471" t="s">
        <v>42</v>
      </c>
      <c r="AA471" t="s">
        <v>38</v>
      </c>
      <c r="AB471" t="s">
        <v>38</v>
      </c>
      <c r="AC471" t="s">
        <v>38</v>
      </c>
      <c r="AD471" t="s">
        <v>48</v>
      </c>
      <c r="AG471" t="str">
        <f>IF(AD471="United States", IFERROR(INDEX(Sheet2!$C:$C, MATCH(AE471&amp;AF471, Sheet2!$E:$E, 0)) &amp; ", " &amp; INDEX(Sheet2!$D:$D, MATCH(AE471&amp;AF471, Sheet2!$E:$E, 0)), ""), "-")</f>
        <v/>
      </c>
    </row>
    <row r="472" spans="1:33" x14ac:dyDescent="0.25">
      <c r="A472" t="s">
        <v>1113</v>
      </c>
      <c r="B472" t="s">
        <v>1176</v>
      </c>
      <c r="C472" t="s">
        <v>1115</v>
      </c>
      <c r="D472" t="s">
        <v>1140</v>
      </c>
      <c r="E472" t="s">
        <v>1141</v>
      </c>
      <c r="F472">
        <v>1747</v>
      </c>
      <c r="G472">
        <v>2706</v>
      </c>
      <c r="I472" t="s">
        <v>80</v>
      </c>
      <c r="J472" t="s">
        <v>1119</v>
      </c>
      <c r="O472" t="s">
        <v>57</v>
      </c>
      <c r="P472" t="s">
        <v>42</v>
      </c>
      <c r="Q472" t="s">
        <v>43</v>
      </c>
      <c r="V472" t="s">
        <v>91</v>
      </c>
      <c r="Y472" t="s">
        <v>38</v>
      </c>
      <c r="Z472" t="s">
        <v>42</v>
      </c>
      <c r="AA472" t="s">
        <v>38</v>
      </c>
      <c r="AB472" t="s">
        <v>38</v>
      </c>
      <c r="AC472" t="s">
        <v>38</v>
      </c>
      <c r="AD472" t="s">
        <v>48</v>
      </c>
      <c r="AG472" t="str">
        <f>IF(AD472="United States", IFERROR(INDEX(Sheet2!$C:$C, MATCH(AE472&amp;AF472, Sheet2!$E:$E, 0)) &amp; ", " &amp; INDEX(Sheet2!$D:$D, MATCH(AE472&amp;AF472, Sheet2!$E:$E, 0)), ""), "-")</f>
        <v/>
      </c>
    </row>
    <row r="473" spans="1:33" x14ac:dyDescent="0.25">
      <c r="A473" t="s">
        <v>1113</v>
      </c>
      <c r="B473" t="s">
        <v>1177</v>
      </c>
      <c r="C473" t="s">
        <v>1115</v>
      </c>
      <c r="D473" t="s">
        <v>774</v>
      </c>
      <c r="E473" t="s">
        <v>38</v>
      </c>
      <c r="F473">
        <v>1772</v>
      </c>
      <c r="G473">
        <v>1125</v>
      </c>
      <c r="H473" t="s">
        <v>1118</v>
      </c>
      <c r="I473" t="s">
        <v>80</v>
      </c>
      <c r="J473" t="s">
        <v>1119</v>
      </c>
      <c r="K473" t="s">
        <v>38</v>
      </c>
      <c r="L473" t="s">
        <v>38</v>
      </c>
      <c r="M473" t="s">
        <v>38</v>
      </c>
      <c r="N473" t="s">
        <v>38</v>
      </c>
      <c r="O473" t="s">
        <v>54</v>
      </c>
      <c r="P473" t="s">
        <v>42</v>
      </c>
      <c r="Q473" t="s">
        <v>43</v>
      </c>
      <c r="R473" t="s">
        <v>89</v>
      </c>
      <c r="S473" t="s">
        <v>38</v>
      </c>
      <c r="T473" t="s">
        <v>89</v>
      </c>
      <c r="U473" t="s">
        <v>301</v>
      </c>
      <c r="V473" t="s">
        <v>91</v>
      </c>
      <c r="W473" t="s">
        <v>92</v>
      </c>
      <c r="X473" t="s">
        <v>38</v>
      </c>
      <c r="Y473" t="s">
        <v>1155</v>
      </c>
      <c r="Z473" t="s">
        <v>42</v>
      </c>
      <c r="AA473" t="s">
        <v>38</v>
      </c>
      <c r="AB473" t="s">
        <v>38</v>
      </c>
      <c r="AC473" t="s">
        <v>38</v>
      </c>
      <c r="AD473" t="s">
        <v>48</v>
      </c>
      <c r="AG473" t="str">
        <f>IF(AD473="United States", IFERROR(INDEX(Sheet2!$C:$C, MATCH(AE473&amp;AF473, Sheet2!$E:$E, 0)) &amp; ", " &amp; INDEX(Sheet2!$D:$D, MATCH(AE473&amp;AF473, Sheet2!$E:$E, 0)), ""), "-")</f>
        <v/>
      </c>
    </row>
    <row r="474" spans="1:33" x14ac:dyDescent="0.25">
      <c r="A474" t="s">
        <v>1113</v>
      </c>
      <c r="B474" t="s">
        <v>1178</v>
      </c>
      <c r="C474" t="s">
        <v>1115</v>
      </c>
      <c r="D474" t="s">
        <v>1122</v>
      </c>
      <c r="E474" t="s">
        <v>1141</v>
      </c>
      <c r="F474">
        <v>1736</v>
      </c>
      <c r="G474">
        <v>1338</v>
      </c>
      <c r="H474" t="s">
        <v>1118</v>
      </c>
      <c r="I474" t="s">
        <v>80</v>
      </c>
      <c r="J474" t="s">
        <v>1119</v>
      </c>
      <c r="K474" t="s">
        <v>38</v>
      </c>
      <c r="L474" t="s">
        <v>38</v>
      </c>
      <c r="M474" t="s">
        <v>38</v>
      </c>
      <c r="N474" t="s">
        <v>38</v>
      </c>
      <c r="O474" t="s">
        <v>41</v>
      </c>
      <c r="P474" t="s">
        <v>42</v>
      </c>
      <c r="Q474" t="s">
        <v>43</v>
      </c>
      <c r="R474" t="s">
        <v>89</v>
      </c>
      <c r="S474" t="s">
        <v>45</v>
      </c>
      <c r="T474" t="s">
        <v>89</v>
      </c>
      <c r="U474" t="s">
        <v>301</v>
      </c>
      <c r="V474" t="s">
        <v>91</v>
      </c>
      <c r="W474" t="s">
        <v>92</v>
      </c>
      <c r="X474" t="s">
        <v>38</v>
      </c>
      <c r="Y474" t="s">
        <v>38</v>
      </c>
      <c r="Z474" t="s">
        <v>42</v>
      </c>
      <c r="AA474" t="s">
        <v>169</v>
      </c>
      <c r="AB474" t="s">
        <v>38</v>
      </c>
      <c r="AC474" t="s">
        <v>45</v>
      </c>
      <c r="AD474" t="s">
        <v>48</v>
      </c>
      <c r="AG474" t="str">
        <f>IF(AD474="United States", IFERROR(INDEX(Sheet2!$C:$C, MATCH(AE474&amp;AF474, Sheet2!$E:$E, 0)) &amp; ", " &amp; INDEX(Sheet2!$D:$D, MATCH(AE474&amp;AF474, Sheet2!$E:$E, 0)), ""), "-")</f>
        <v/>
      </c>
    </row>
    <row r="475" spans="1:33" x14ac:dyDescent="0.25">
      <c r="A475" t="s">
        <v>1113</v>
      </c>
      <c r="B475" t="s">
        <v>1179</v>
      </c>
      <c r="C475" t="s">
        <v>1180</v>
      </c>
      <c r="D475" t="s">
        <v>361</v>
      </c>
      <c r="E475" t="s">
        <v>38</v>
      </c>
      <c r="F475">
        <v>1768</v>
      </c>
      <c r="G475">
        <v>2152</v>
      </c>
      <c r="H475" t="s">
        <v>1131</v>
      </c>
      <c r="I475" t="s">
        <v>87</v>
      </c>
      <c r="J475" t="s">
        <v>1119</v>
      </c>
      <c r="K475" t="s">
        <v>38</v>
      </c>
      <c r="L475" t="s">
        <v>38</v>
      </c>
      <c r="M475" t="s">
        <v>38</v>
      </c>
      <c r="N475" t="s">
        <v>38</v>
      </c>
      <c r="O475" t="s">
        <v>54</v>
      </c>
      <c r="P475" t="s">
        <v>42</v>
      </c>
      <c r="Q475" t="s">
        <v>43</v>
      </c>
      <c r="R475" t="s">
        <v>89</v>
      </c>
      <c r="S475" t="s">
        <v>38</v>
      </c>
      <c r="T475" t="s">
        <v>89</v>
      </c>
      <c r="U475" t="s">
        <v>301</v>
      </c>
      <c r="V475" t="s">
        <v>137</v>
      </c>
      <c r="W475" t="s">
        <v>92</v>
      </c>
      <c r="X475" t="s">
        <v>38</v>
      </c>
      <c r="Y475" t="s">
        <v>1181</v>
      </c>
      <c r="Z475" t="s">
        <v>42</v>
      </c>
      <c r="AA475" t="s">
        <v>38</v>
      </c>
      <c r="AB475" t="s">
        <v>38</v>
      </c>
      <c r="AC475" t="s">
        <v>38</v>
      </c>
      <c r="AD475" t="s">
        <v>48</v>
      </c>
      <c r="AG475" t="str">
        <f>IF(AD475="United States", IFERROR(INDEX(Sheet2!$C:$C, MATCH(AE475&amp;AF475, Sheet2!$E:$E, 0)) &amp; ", " &amp; INDEX(Sheet2!$D:$D, MATCH(AE475&amp;AF475, Sheet2!$E:$E, 0)), ""), "-")</f>
        <v/>
      </c>
    </row>
    <row r="476" spans="1:33" x14ac:dyDescent="0.25">
      <c r="A476" t="s">
        <v>1113</v>
      </c>
      <c r="B476" t="s">
        <v>1182</v>
      </c>
      <c r="C476" t="s">
        <v>1180</v>
      </c>
      <c r="D476" t="s">
        <v>1183</v>
      </c>
      <c r="E476" t="s">
        <v>38</v>
      </c>
      <c r="F476">
        <v>1774</v>
      </c>
      <c r="G476">
        <v>2151</v>
      </c>
      <c r="H476" t="s">
        <v>1184</v>
      </c>
      <c r="I476" t="s">
        <v>87</v>
      </c>
      <c r="J476" t="s">
        <v>1119</v>
      </c>
      <c r="K476" t="s">
        <v>38</v>
      </c>
      <c r="L476" t="s">
        <v>38</v>
      </c>
      <c r="M476" t="s">
        <v>38</v>
      </c>
      <c r="N476" t="s">
        <v>38</v>
      </c>
      <c r="O476" t="s">
        <v>74</v>
      </c>
      <c r="P476" t="s">
        <v>42</v>
      </c>
      <c r="Q476" t="s">
        <v>43</v>
      </c>
      <c r="R476" t="s">
        <v>89</v>
      </c>
      <c r="S476" t="s">
        <v>38</v>
      </c>
      <c r="T476" t="s">
        <v>89</v>
      </c>
      <c r="U476" t="s">
        <v>301</v>
      </c>
      <c r="V476" t="s">
        <v>137</v>
      </c>
      <c r="W476" t="s">
        <v>92</v>
      </c>
      <c r="X476" t="s">
        <v>38</v>
      </c>
      <c r="Y476" t="s">
        <v>1181</v>
      </c>
      <c r="Z476" t="s">
        <v>42</v>
      </c>
      <c r="AA476" t="s">
        <v>38</v>
      </c>
      <c r="AB476" t="s">
        <v>38</v>
      </c>
      <c r="AC476" t="s">
        <v>38</v>
      </c>
      <c r="AD476" t="s">
        <v>48</v>
      </c>
      <c r="AG476" t="str">
        <f>IF(AD476="United States", IFERROR(INDEX(Sheet2!$C:$C, MATCH(AE476&amp;AF476, Sheet2!$E:$E, 0)) &amp; ", " &amp; INDEX(Sheet2!$D:$D, MATCH(AE476&amp;AF476, Sheet2!$E:$E, 0)), ""), "-")</f>
        <v/>
      </c>
    </row>
    <row r="477" spans="1:33" x14ac:dyDescent="0.25">
      <c r="A477" t="s">
        <v>1113</v>
      </c>
      <c r="B477" t="s">
        <v>1185</v>
      </c>
      <c r="C477" t="s">
        <v>1180</v>
      </c>
      <c r="D477" t="s">
        <v>52</v>
      </c>
      <c r="E477" t="s">
        <v>38</v>
      </c>
      <c r="F477">
        <v>1759</v>
      </c>
      <c r="G477">
        <v>2150</v>
      </c>
      <c r="H477" t="s">
        <v>1118</v>
      </c>
      <c r="I477" t="s">
        <v>87</v>
      </c>
      <c r="J477" t="s">
        <v>1119</v>
      </c>
      <c r="K477" t="s">
        <v>38</v>
      </c>
      <c r="L477" t="s">
        <v>38</v>
      </c>
      <c r="M477" t="s">
        <v>38</v>
      </c>
      <c r="N477" t="s">
        <v>38</v>
      </c>
      <c r="O477" t="s">
        <v>74</v>
      </c>
      <c r="P477" t="s">
        <v>42</v>
      </c>
      <c r="Q477" t="s">
        <v>43</v>
      </c>
      <c r="R477" t="s">
        <v>89</v>
      </c>
      <c r="S477" t="s">
        <v>38</v>
      </c>
      <c r="T477" t="s">
        <v>89</v>
      </c>
      <c r="U477" t="s">
        <v>301</v>
      </c>
      <c r="V477" t="s">
        <v>137</v>
      </c>
      <c r="W477" t="s">
        <v>92</v>
      </c>
      <c r="X477" t="s">
        <v>38</v>
      </c>
      <c r="Y477" t="s">
        <v>1181</v>
      </c>
      <c r="Z477" t="s">
        <v>42</v>
      </c>
      <c r="AA477" t="s">
        <v>38</v>
      </c>
      <c r="AB477" t="s">
        <v>38</v>
      </c>
      <c r="AC477" t="s">
        <v>38</v>
      </c>
      <c r="AD477" t="s">
        <v>48</v>
      </c>
      <c r="AG477" t="str">
        <f>IF(AD477="United States", IFERROR(INDEX(Sheet2!$C:$C, MATCH(AE477&amp;AF477, Sheet2!$E:$E, 0)) &amp; ", " &amp; INDEX(Sheet2!$D:$D, MATCH(AE477&amp;AF477, Sheet2!$E:$E, 0)), ""), "-")</f>
        <v/>
      </c>
    </row>
    <row r="478" spans="1:33" x14ac:dyDescent="0.25">
      <c r="A478" t="s">
        <v>1113</v>
      </c>
      <c r="B478" t="s">
        <v>1186</v>
      </c>
      <c r="C478" t="s">
        <v>1180</v>
      </c>
      <c r="D478" t="s">
        <v>114</v>
      </c>
      <c r="E478" t="s">
        <v>38</v>
      </c>
      <c r="F478">
        <v>1769</v>
      </c>
      <c r="G478">
        <v>2149</v>
      </c>
      <c r="H478" t="s">
        <v>1187</v>
      </c>
      <c r="I478" t="s">
        <v>87</v>
      </c>
      <c r="J478" t="s">
        <v>1119</v>
      </c>
      <c r="K478" t="s">
        <v>38</v>
      </c>
      <c r="L478" t="s">
        <v>38</v>
      </c>
      <c r="M478" t="s">
        <v>38</v>
      </c>
      <c r="N478" t="s">
        <v>38</v>
      </c>
      <c r="O478" t="s">
        <v>74</v>
      </c>
      <c r="P478" t="s">
        <v>42</v>
      </c>
      <c r="Q478" t="s">
        <v>43</v>
      </c>
      <c r="R478" t="s">
        <v>89</v>
      </c>
      <c r="S478" t="s">
        <v>38</v>
      </c>
      <c r="T478" t="s">
        <v>89</v>
      </c>
      <c r="U478" t="s">
        <v>301</v>
      </c>
      <c r="V478" t="s">
        <v>137</v>
      </c>
      <c r="W478" t="s">
        <v>92</v>
      </c>
      <c r="X478" t="s">
        <v>38</v>
      </c>
      <c r="Y478" t="s">
        <v>1188</v>
      </c>
      <c r="Z478" t="s">
        <v>42</v>
      </c>
      <c r="AA478" t="s">
        <v>38</v>
      </c>
      <c r="AB478" t="s">
        <v>38</v>
      </c>
      <c r="AC478" t="s">
        <v>38</v>
      </c>
      <c r="AD478" t="s">
        <v>48</v>
      </c>
      <c r="AG478" t="str">
        <f>IF(AD478="United States", IFERROR(INDEX(Sheet2!$C:$C, MATCH(AE478&amp;AF478, Sheet2!$E:$E, 0)) &amp; ", " &amp; INDEX(Sheet2!$D:$D, MATCH(AE478&amp;AF478, Sheet2!$E:$E, 0)), ""), "-")</f>
        <v/>
      </c>
    </row>
    <row r="479" spans="1:33" x14ac:dyDescent="0.25">
      <c r="A479" t="s">
        <v>1113</v>
      </c>
      <c r="B479" t="s">
        <v>1189</v>
      </c>
      <c r="C479" t="s">
        <v>1180</v>
      </c>
      <c r="D479" t="s">
        <v>445</v>
      </c>
      <c r="E479" t="s">
        <v>38</v>
      </c>
      <c r="F479">
        <v>1753</v>
      </c>
      <c r="G479">
        <v>2148</v>
      </c>
      <c r="H479" t="s">
        <v>1184</v>
      </c>
      <c r="I479" t="s">
        <v>87</v>
      </c>
      <c r="J479" t="s">
        <v>1119</v>
      </c>
      <c r="K479" t="s">
        <v>38</v>
      </c>
      <c r="L479" t="s">
        <v>38</v>
      </c>
      <c r="M479" t="s">
        <v>38</v>
      </c>
      <c r="N479" t="s">
        <v>38</v>
      </c>
      <c r="O479" t="s">
        <v>57</v>
      </c>
      <c r="P479" t="s">
        <v>42</v>
      </c>
      <c r="Q479" t="s">
        <v>43</v>
      </c>
      <c r="R479" t="s">
        <v>89</v>
      </c>
      <c r="S479" t="s">
        <v>38</v>
      </c>
      <c r="T479" t="s">
        <v>89</v>
      </c>
      <c r="U479" t="s">
        <v>301</v>
      </c>
      <c r="V479" t="s">
        <v>137</v>
      </c>
      <c r="W479" t="s">
        <v>92</v>
      </c>
      <c r="X479" t="s">
        <v>38</v>
      </c>
      <c r="Y479" t="s">
        <v>1190</v>
      </c>
      <c r="Z479" t="s">
        <v>42</v>
      </c>
      <c r="AA479" t="s">
        <v>38</v>
      </c>
      <c r="AB479" t="s">
        <v>38</v>
      </c>
      <c r="AC479" t="s">
        <v>38</v>
      </c>
      <c r="AD479" t="s">
        <v>48</v>
      </c>
      <c r="AG479" t="str">
        <f>IF(AD479="United States", IFERROR(INDEX(Sheet2!$C:$C, MATCH(AE479&amp;AF479, Sheet2!$E:$E, 0)) &amp; ", " &amp; INDEX(Sheet2!$D:$D, MATCH(AE479&amp;AF479, Sheet2!$E:$E, 0)), ""), "-")</f>
        <v/>
      </c>
    </row>
    <row r="480" spans="1:33" x14ac:dyDescent="0.25">
      <c r="A480" t="s">
        <v>1113</v>
      </c>
      <c r="B480" t="s">
        <v>1191</v>
      </c>
      <c r="C480" t="s">
        <v>1180</v>
      </c>
      <c r="D480" t="s">
        <v>1192</v>
      </c>
      <c r="E480" t="s">
        <v>38</v>
      </c>
      <c r="F480">
        <v>1778</v>
      </c>
      <c r="G480">
        <v>2147</v>
      </c>
      <c r="H480" t="s">
        <v>1131</v>
      </c>
      <c r="I480" t="s">
        <v>87</v>
      </c>
      <c r="J480" t="s">
        <v>1119</v>
      </c>
      <c r="K480" t="s">
        <v>38</v>
      </c>
      <c r="L480" t="s">
        <v>38</v>
      </c>
      <c r="M480" t="s">
        <v>38</v>
      </c>
      <c r="N480" t="s">
        <v>38</v>
      </c>
      <c r="O480" t="s">
        <v>74</v>
      </c>
      <c r="P480" t="s">
        <v>42</v>
      </c>
      <c r="Q480" t="s">
        <v>43</v>
      </c>
      <c r="R480" t="s">
        <v>89</v>
      </c>
      <c r="S480" t="s">
        <v>38</v>
      </c>
      <c r="T480" t="s">
        <v>89</v>
      </c>
      <c r="U480" t="s">
        <v>301</v>
      </c>
      <c r="V480" t="s">
        <v>137</v>
      </c>
      <c r="W480" t="s">
        <v>92</v>
      </c>
      <c r="X480" t="s">
        <v>38</v>
      </c>
      <c r="Y480" t="s">
        <v>1193</v>
      </c>
      <c r="Z480" t="s">
        <v>42</v>
      </c>
      <c r="AA480" t="s">
        <v>38</v>
      </c>
      <c r="AB480" t="s">
        <v>38</v>
      </c>
      <c r="AC480" t="s">
        <v>38</v>
      </c>
      <c r="AD480" t="s">
        <v>48</v>
      </c>
      <c r="AG480" t="str">
        <f>IF(AD480="United States", IFERROR(INDEX(Sheet2!$C:$C, MATCH(AE480&amp;AF480, Sheet2!$E:$E, 0)) &amp; ", " &amp; INDEX(Sheet2!$D:$D, MATCH(AE480&amp;AF480, Sheet2!$E:$E, 0)), ""), "-")</f>
        <v/>
      </c>
    </row>
    <row r="481" spans="1:33" x14ac:dyDescent="0.25">
      <c r="A481" t="s">
        <v>1113</v>
      </c>
      <c r="B481" t="s">
        <v>1194</v>
      </c>
      <c r="C481" t="s">
        <v>1180</v>
      </c>
      <c r="D481" t="s">
        <v>1195</v>
      </c>
      <c r="E481" t="s">
        <v>38</v>
      </c>
      <c r="F481">
        <v>1776</v>
      </c>
      <c r="G481">
        <v>2146</v>
      </c>
      <c r="H481" t="s">
        <v>1118</v>
      </c>
      <c r="I481" t="s">
        <v>87</v>
      </c>
      <c r="J481" t="s">
        <v>1119</v>
      </c>
      <c r="K481" t="s">
        <v>38</v>
      </c>
      <c r="L481" t="s">
        <v>38</v>
      </c>
      <c r="M481" t="s">
        <v>38</v>
      </c>
      <c r="N481" t="s">
        <v>38</v>
      </c>
      <c r="O481" t="s">
        <v>74</v>
      </c>
      <c r="P481" t="s">
        <v>42</v>
      </c>
      <c r="Q481" t="s">
        <v>43</v>
      </c>
      <c r="R481" t="s">
        <v>89</v>
      </c>
      <c r="S481" t="s">
        <v>38</v>
      </c>
      <c r="T481" t="s">
        <v>89</v>
      </c>
      <c r="U481" t="s">
        <v>301</v>
      </c>
      <c r="V481" t="s">
        <v>137</v>
      </c>
      <c r="W481" t="s">
        <v>92</v>
      </c>
      <c r="X481" t="s">
        <v>38</v>
      </c>
      <c r="Y481" t="s">
        <v>1193</v>
      </c>
      <c r="Z481" t="s">
        <v>42</v>
      </c>
      <c r="AA481" t="s">
        <v>38</v>
      </c>
      <c r="AB481" t="s">
        <v>38</v>
      </c>
      <c r="AC481" t="s">
        <v>38</v>
      </c>
      <c r="AD481" t="s">
        <v>48</v>
      </c>
      <c r="AG481" t="str">
        <f>IF(AD481="United States", IFERROR(INDEX(Sheet2!$C:$C, MATCH(AE481&amp;AF481, Sheet2!$E:$E, 0)) &amp; ", " &amp; INDEX(Sheet2!$D:$D, MATCH(AE481&amp;AF481, Sheet2!$E:$E, 0)), ""), "-")</f>
        <v/>
      </c>
    </row>
    <row r="482" spans="1:33" x14ac:dyDescent="0.25">
      <c r="A482" t="s">
        <v>1113</v>
      </c>
      <c r="B482" t="s">
        <v>1196</v>
      </c>
      <c r="C482" t="s">
        <v>1115</v>
      </c>
      <c r="D482" t="s">
        <v>1197</v>
      </c>
      <c r="E482" t="s">
        <v>1198</v>
      </c>
      <c r="F482">
        <v>1741</v>
      </c>
      <c r="G482">
        <v>1120</v>
      </c>
      <c r="H482" t="s">
        <v>38</v>
      </c>
      <c r="I482" t="s">
        <v>80</v>
      </c>
      <c r="J482" t="s">
        <v>1119</v>
      </c>
      <c r="K482" t="s">
        <v>38</v>
      </c>
      <c r="L482" t="s">
        <v>38</v>
      </c>
      <c r="M482" t="s">
        <v>38</v>
      </c>
      <c r="N482" t="s">
        <v>38</v>
      </c>
      <c r="O482" t="s">
        <v>41</v>
      </c>
      <c r="P482" t="s">
        <v>42</v>
      </c>
      <c r="Q482" t="s">
        <v>43</v>
      </c>
      <c r="R482" t="s">
        <v>38</v>
      </c>
      <c r="S482" t="s">
        <v>38</v>
      </c>
      <c r="T482" t="s">
        <v>38</v>
      </c>
      <c r="U482" t="s">
        <v>38</v>
      </c>
      <c r="V482" t="s">
        <v>91</v>
      </c>
      <c r="W482" t="s">
        <v>38</v>
      </c>
      <c r="X482" t="s">
        <v>38</v>
      </c>
      <c r="Y482" t="s">
        <v>1199</v>
      </c>
      <c r="Z482" t="s">
        <v>42</v>
      </c>
      <c r="AA482" t="s">
        <v>38</v>
      </c>
      <c r="AB482" t="s">
        <v>38</v>
      </c>
      <c r="AC482" t="s">
        <v>1200</v>
      </c>
      <c r="AD482" t="s">
        <v>48</v>
      </c>
      <c r="AG482" t="str">
        <f>IF(AD482="United States", IFERROR(INDEX(Sheet2!$C:$C, MATCH(AE482&amp;AF482, Sheet2!$E:$E, 0)) &amp; ", " &amp; INDEX(Sheet2!$D:$D, MATCH(AE482&amp;AF482, Sheet2!$E:$E, 0)), ""), "-")</f>
        <v/>
      </c>
    </row>
    <row r="483" spans="1:33" x14ac:dyDescent="0.25">
      <c r="A483" t="s">
        <v>1113</v>
      </c>
      <c r="B483" t="s">
        <v>1201</v>
      </c>
      <c r="C483" t="s">
        <v>1180</v>
      </c>
      <c r="D483" t="s">
        <v>803</v>
      </c>
      <c r="E483" t="s">
        <v>1147</v>
      </c>
      <c r="F483">
        <v>1743</v>
      </c>
      <c r="G483">
        <v>2079</v>
      </c>
      <c r="H483" t="s">
        <v>1118</v>
      </c>
      <c r="I483" t="s">
        <v>87</v>
      </c>
      <c r="J483" t="s">
        <v>1119</v>
      </c>
      <c r="K483" t="s">
        <v>38</v>
      </c>
      <c r="L483" t="s">
        <v>38</v>
      </c>
      <c r="M483" t="s">
        <v>38</v>
      </c>
      <c r="N483" t="s">
        <v>38</v>
      </c>
      <c r="O483" t="s">
        <v>57</v>
      </c>
      <c r="P483" t="s">
        <v>42</v>
      </c>
      <c r="Q483" t="s">
        <v>43</v>
      </c>
      <c r="R483" t="s">
        <v>89</v>
      </c>
      <c r="S483" t="s">
        <v>153</v>
      </c>
      <c r="T483" t="s">
        <v>89</v>
      </c>
      <c r="U483" t="s">
        <v>301</v>
      </c>
      <c r="V483" t="s">
        <v>137</v>
      </c>
      <c r="W483" t="s">
        <v>92</v>
      </c>
      <c r="X483" t="s">
        <v>38</v>
      </c>
      <c r="Y483" t="s">
        <v>1202</v>
      </c>
      <c r="Z483" t="s">
        <v>42</v>
      </c>
      <c r="AA483" t="s">
        <v>38</v>
      </c>
      <c r="AB483" t="s">
        <v>38</v>
      </c>
      <c r="AC483" t="s">
        <v>153</v>
      </c>
      <c r="AD483" t="s">
        <v>48</v>
      </c>
      <c r="AG483" t="str">
        <f>IF(AD483="United States", IFERROR(INDEX(Sheet2!$C:$C, MATCH(AE483&amp;AF483, Sheet2!$E:$E, 0)) &amp; ", " &amp; INDEX(Sheet2!$D:$D, MATCH(AE483&amp;AF483, Sheet2!$E:$E, 0)), ""), "-")</f>
        <v/>
      </c>
    </row>
    <row r="484" spans="1:33" x14ac:dyDescent="0.25">
      <c r="A484" t="s">
        <v>1113</v>
      </c>
      <c r="B484" t="s">
        <v>1203</v>
      </c>
      <c r="C484" t="s">
        <v>1180</v>
      </c>
      <c r="D484" t="s">
        <v>1204</v>
      </c>
      <c r="E484" t="s">
        <v>431</v>
      </c>
      <c r="F484">
        <v>1762</v>
      </c>
      <c r="G484">
        <v>2077</v>
      </c>
      <c r="H484" t="s">
        <v>38</v>
      </c>
      <c r="I484" t="s">
        <v>87</v>
      </c>
      <c r="J484" t="s">
        <v>1119</v>
      </c>
      <c r="K484" t="s">
        <v>38</v>
      </c>
      <c r="L484" t="s">
        <v>38</v>
      </c>
      <c r="M484" t="s">
        <v>38</v>
      </c>
      <c r="N484" t="s">
        <v>38</v>
      </c>
      <c r="O484" t="s">
        <v>57</v>
      </c>
      <c r="P484" t="s">
        <v>42</v>
      </c>
      <c r="Q484" t="s">
        <v>43</v>
      </c>
      <c r="R484" t="s">
        <v>1205</v>
      </c>
      <c r="S484" t="s">
        <v>153</v>
      </c>
      <c r="T484" t="s">
        <v>38</v>
      </c>
      <c r="U484" t="s">
        <v>38</v>
      </c>
      <c r="V484" t="s">
        <v>137</v>
      </c>
      <c r="W484" t="s">
        <v>38</v>
      </c>
      <c r="X484" t="s">
        <v>38</v>
      </c>
      <c r="Y484" t="s">
        <v>1202</v>
      </c>
      <c r="Z484" t="s">
        <v>42</v>
      </c>
      <c r="AA484" t="s">
        <v>153</v>
      </c>
      <c r="AB484" t="s">
        <v>38</v>
      </c>
      <c r="AC484" t="s">
        <v>155</v>
      </c>
      <c r="AD484" t="s">
        <v>48</v>
      </c>
      <c r="AG484" t="str">
        <f>IF(AD484="United States", IFERROR(INDEX(Sheet2!$C:$C, MATCH(AE484&amp;AF484, Sheet2!$E:$E, 0)) &amp; ", " &amp; INDEX(Sheet2!$D:$D, MATCH(AE484&amp;AF484, Sheet2!$E:$E, 0)), ""), "-")</f>
        <v/>
      </c>
    </row>
    <row r="485" spans="1:33" x14ac:dyDescent="0.25">
      <c r="A485" t="s">
        <v>1113</v>
      </c>
      <c r="B485" t="s">
        <v>1206</v>
      </c>
      <c r="C485" t="s">
        <v>1180</v>
      </c>
      <c r="D485" t="s">
        <v>357</v>
      </c>
      <c r="E485" t="s">
        <v>1147</v>
      </c>
      <c r="F485">
        <v>1753</v>
      </c>
      <c r="G485">
        <v>2076</v>
      </c>
      <c r="H485" t="s">
        <v>1118</v>
      </c>
      <c r="I485" t="s">
        <v>87</v>
      </c>
      <c r="J485" t="s">
        <v>1119</v>
      </c>
      <c r="K485" t="s">
        <v>38</v>
      </c>
      <c r="L485" t="s">
        <v>38</v>
      </c>
      <c r="M485" t="s">
        <v>38</v>
      </c>
      <c r="N485" t="s">
        <v>38</v>
      </c>
      <c r="O485" t="s">
        <v>41</v>
      </c>
      <c r="P485" t="s">
        <v>42</v>
      </c>
      <c r="Q485" t="s">
        <v>43</v>
      </c>
      <c r="R485" t="s">
        <v>89</v>
      </c>
      <c r="S485" t="s">
        <v>153</v>
      </c>
      <c r="T485" t="s">
        <v>89</v>
      </c>
      <c r="U485" t="s">
        <v>301</v>
      </c>
      <c r="V485" t="s">
        <v>137</v>
      </c>
      <c r="W485" t="s">
        <v>92</v>
      </c>
      <c r="X485" t="s">
        <v>38</v>
      </c>
      <c r="Y485" t="s">
        <v>1202</v>
      </c>
      <c r="Z485" t="s">
        <v>42</v>
      </c>
      <c r="AA485" t="s">
        <v>153</v>
      </c>
      <c r="AB485" t="s">
        <v>38</v>
      </c>
      <c r="AC485" t="s">
        <v>166</v>
      </c>
      <c r="AD485" t="s">
        <v>48</v>
      </c>
      <c r="AG485" t="str">
        <f>IF(AD485="United States", IFERROR(INDEX(Sheet2!$C:$C, MATCH(AE485&amp;AF485, Sheet2!$E:$E, 0)) &amp; ", " &amp; INDEX(Sheet2!$D:$D, MATCH(AE485&amp;AF485, Sheet2!$E:$E, 0)), ""), "-")</f>
        <v/>
      </c>
    </row>
    <row r="486" spans="1:33" x14ac:dyDescent="0.25">
      <c r="A486" t="s">
        <v>1113</v>
      </c>
      <c r="B486" t="s">
        <v>1207</v>
      </c>
      <c r="C486" t="s">
        <v>1180</v>
      </c>
      <c r="D486" t="s">
        <v>357</v>
      </c>
      <c r="E486" t="s">
        <v>431</v>
      </c>
      <c r="F486">
        <v>1762</v>
      </c>
      <c r="G486">
        <v>2075</v>
      </c>
      <c r="H486" t="s">
        <v>1118</v>
      </c>
      <c r="I486" t="s">
        <v>87</v>
      </c>
      <c r="J486" t="s">
        <v>1119</v>
      </c>
      <c r="K486" t="s">
        <v>38</v>
      </c>
      <c r="L486" t="s">
        <v>38</v>
      </c>
      <c r="M486" t="s">
        <v>38</v>
      </c>
      <c r="N486" t="s">
        <v>38</v>
      </c>
      <c r="O486" t="s">
        <v>41</v>
      </c>
      <c r="P486" t="s">
        <v>42</v>
      </c>
      <c r="Q486" t="s">
        <v>43</v>
      </c>
      <c r="R486" t="s">
        <v>89</v>
      </c>
      <c r="S486" t="s">
        <v>153</v>
      </c>
      <c r="T486" t="s">
        <v>89</v>
      </c>
      <c r="U486" t="s">
        <v>301</v>
      </c>
      <c r="V486" t="s">
        <v>137</v>
      </c>
      <c r="W486" t="s">
        <v>92</v>
      </c>
      <c r="X486" t="s">
        <v>38</v>
      </c>
      <c r="Y486" t="s">
        <v>1202</v>
      </c>
      <c r="Z486" t="s">
        <v>42</v>
      </c>
      <c r="AA486" t="s">
        <v>38</v>
      </c>
      <c r="AB486" t="s">
        <v>38</v>
      </c>
      <c r="AC486" t="s">
        <v>153</v>
      </c>
      <c r="AD486" t="s">
        <v>48</v>
      </c>
      <c r="AG486" t="str">
        <f>IF(AD486="United States", IFERROR(INDEX(Sheet2!$C:$C, MATCH(AE486&amp;AF486, Sheet2!$E:$E, 0)) &amp; ", " &amp; INDEX(Sheet2!$D:$D, MATCH(AE486&amp;AF486, Sheet2!$E:$E, 0)), ""), "-")</f>
        <v/>
      </c>
    </row>
    <row r="487" spans="1:33" x14ac:dyDescent="0.25">
      <c r="A487" t="s">
        <v>1113</v>
      </c>
      <c r="B487" t="s">
        <v>1208</v>
      </c>
      <c r="C487" t="s">
        <v>1180</v>
      </c>
      <c r="D487" t="s">
        <v>357</v>
      </c>
      <c r="E487" t="s">
        <v>1209</v>
      </c>
      <c r="F487">
        <v>1762</v>
      </c>
      <c r="G487">
        <v>2074</v>
      </c>
      <c r="H487" t="s">
        <v>1118</v>
      </c>
      <c r="I487" t="s">
        <v>87</v>
      </c>
      <c r="J487" t="s">
        <v>1119</v>
      </c>
      <c r="K487" t="s">
        <v>38</v>
      </c>
      <c r="L487" t="s">
        <v>38</v>
      </c>
      <c r="M487" t="s">
        <v>38</v>
      </c>
      <c r="N487" t="s">
        <v>38</v>
      </c>
      <c r="O487" t="s">
        <v>41</v>
      </c>
      <c r="P487" t="s">
        <v>42</v>
      </c>
      <c r="Q487" t="s">
        <v>43</v>
      </c>
      <c r="R487" t="s">
        <v>89</v>
      </c>
      <c r="S487" t="s">
        <v>153</v>
      </c>
      <c r="T487" t="s">
        <v>89</v>
      </c>
      <c r="U487" t="s">
        <v>301</v>
      </c>
      <c r="V487" t="s">
        <v>137</v>
      </c>
      <c r="W487" t="s">
        <v>92</v>
      </c>
      <c r="X487" t="s">
        <v>38</v>
      </c>
      <c r="Y487" t="s">
        <v>1202</v>
      </c>
      <c r="Z487" t="s">
        <v>42</v>
      </c>
      <c r="AA487" t="s">
        <v>38</v>
      </c>
      <c r="AB487" t="s">
        <v>38</v>
      </c>
      <c r="AC487" t="s">
        <v>153</v>
      </c>
      <c r="AD487" t="s">
        <v>48</v>
      </c>
      <c r="AG487" t="str">
        <f>IF(AD487="United States", IFERROR(INDEX(Sheet2!$C:$C, MATCH(AE487&amp;AF487, Sheet2!$E:$E, 0)) &amp; ", " &amp; INDEX(Sheet2!$D:$D, MATCH(AE487&amp;AF487, Sheet2!$E:$E, 0)), ""), "-")</f>
        <v/>
      </c>
    </row>
    <row r="488" spans="1:33" x14ac:dyDescent="0.25">
      <c r="A488" t="s">
        <v>1113</v>
      </c>
      <c r="B488" t="s">
        <v>1210</v>
      </c>
      <c r="C488" t="s">
        <v>1180</v>
      </c>
      <c r="D488" t="s">
        <v>72</v>
      </c>
      <c r="E488" t="s">
        <v>38</v>
      </c>
      <c r="F488">
        <v>1723</v>
      </c>
      <c r="G488">
        <v>2073</v>
      </c>
      <c r="H488" t="s">
        <v>1118</v>
      </c>
      <c r="I488" t="s">
        <v>87</v>
      </c>
      <c r="J488" t="s">
        <v>1119</v>
      </c>
      <c r="K488" t="s">
        <v>38</v>
      </c>
      <c r="L488" t="s">
        <v>38</v>
      </c>
      <c r="M488" t="s">
        <v>38</v>
      </c>
      <c r="N488" t="s">
        <v>38</v>
      </c>
      <c r="O488" t="s">
        <v>57</v>
      </c>
      <c r="P488" t="s">
        <v>125</v>
      </c>
      <c r="Q488" t="s">
        <v>124</v>
      </c>
      <c r="R488" t="s">
        <v>89</v>
      </c>
      <c r="S488" t="s">
        <v>38</v>
      </c>
      <c r="T488" t="s">
        <v>89</v>
      </c>
      <c r="U488" t="s">
        <v>301</v>
      </c>
      <c r="V488" t="s">
        <v>137</v>
      </c>
      <c r="W488" t="s">
        <v>92</v>
      </c>
      <c r="X488" t="s">
        <v>38</v>
      </c>
      <c r="Y488" t="s">
        <v>1211</v>
      </c>
      <c r="Z488" t="s">
        <v>125</v>
      </c>
      <c r="AA488" t="s">
        <v>1212</v>
      </c>
      <c r="AB488" t="s">
        <v>1212</v>
      </c>
      <c r="AC488" t="s">
        <v>672</v>
      </c>
      <c r="AD488" t="s">
        <v>48</v>
      </c>
      <c r="AG488" t="str">
        <f>IF(AD488="United States", IFERROR(INDEX(Sheet2!$C:$C, MATCH(AE488&amp;AF488, Sheet2!$E:$E, 0)) &amp; ", " &amp; INDEX(Sheet2!$D:$D, MATCH(AE488&amp;AF488, Sheet2!$E:$E, 0)), ""), "-")</f>
        <v/>
      </c>
    </row>
    <row r="489" spans="1:33" x14ac:dyDescent="0.25">
      <c r="A489" t="s">
        <v>1113</v>
      </c>
      <c r="B489" t="s">
        <v>1213</v>
      </c>
      <c r="C489" t="s">
        <v>1115</v>
      </c>
      <c r="D489" t="s">
        <v>101</v>
      </c>
      <c r="E489" t="s">
        <v>1214</v>
      </c>
      <c r="F489">
        <v>1753</v>
      </c>
      <c r="G489">
        <v>1126</v>
      </c>
      <c r="H489" t="s">
        <v>1118</v>
      </c>
      <c r="I489" t="s">
        <v>80</v>
      </c>
      <c r="J489" t="s">
        <v>1119</v>
      </c>
      <c r="K489" t="s">
        <v>38</v>
      </c>
      <c r="L489" t="s">
        <v>38</v>
      </c>
      <c r="M489" t="s">
        <v>38</v>
      </c>
      <c r="N489" t="s">
        <v>38</v>
      </c>
      <c r="O489" t="s">
        <v>41</v>
      </c>
      <c r="P489" t="s">
        <v>42</v>
      </c>
      <c r="Q489" t="s">
        <v>43</v>
      </c>
      <c r="R489" t="s">
        <v>89</v>
      </c>
      <c r="S489" t="s">
        <v>45</v>
      </c>
      <c r="T489" t="s">
        <v>89</v>
      </c>
      <c r="U489" t="s">
        <v>301</v>
      </c>
      <c r="V489" t="s">
        <v>91</v>
      </c>
      <c r="W489" t="s">
        <v>92</v>
      </c>
      <c r="X489" t="s">
        <v>38</v>
      </c>
      <c r="Y489" t="s">
        <v>1170</v>
      </c>
      <c r="Z489" t="s">
        <v>42</v>
      </c>
      <c r="AA489" t="s">
        <v>38</v>
      </c>
      <c r="AB489" t="s">
        <v>38</v>
      </c>
      <c r="AC489" t="s">
        <v>45</v>
      </c>
      <c r="AD489" t="s">
        <v>48</v>
      </c>
      <c r="AG489" t="str">
        <f>IF(AD489="United States", IFERROR(INDEX(Sheet2!$C:$C, MATCH(AE489&amp;AF489, Sheet2!$E:$E, 0)) &amp; ", " &amp; INDEX(Sheet2!$D:$D, MATCH(AE489&amp;AF489, Sheet2!$E:$E, 0)), ""), "-")</f>
        <v/>
      </c>
    </row>
    <row r="490" spans="1:33" x14ac:dyDescent="0.25">
      <c r="A490" t="s">
        <v>1113</v>
      </c>
      <c r="B490" t="s">
        <v>1215</v>
      </c>
      <c r="C490" t="s">
        <v>1115</v>
      </c>
      <c r="D490" t="s">
        <v>1110</v>
      </c>
      <c r="E490" t="s">
        <v>1216</v>
      </c>
      <c r="F490">
        <v>1747</v>
      </c>
      <c r="G490">
        <v>1337</v>
      </c>
      <c r="H490" t="s">
        <v>1118</v>
      </c>
      <c r="I490" t="s">
        <v>80</v>
      </c>
      <c r="J490" t="s">
        <v>1119</v>
      </c>
      <c r="K490" t="s">
        <v>38</v>
      </c>
      <c r="L490" t="s">
        <v>38</v>
      </c>
      <c r="M490" t="s">
        <v>38</v>
      </c>
      <c r="N490" t="s">
        <v>38</v>
      </c>
      <c r="O490" t="s">
        <v>41</v>
      </c>
      <c r="P490" t="s">
        <v>42</v>
      </c>
      <c r="Q490" t="s">
        <v>43</v>
      </c>
      <c r="R490" t="s">
        <v>89</v>
      </c>
      <c r="S490" t="s">
        <v>45</v>
      </c>
      <c r="T490" t="s">
        <v>89</v>
      </c>
      <c r="U490" t="s">
        <v>301</v>
      </c>
      <c r="V490" t="s">
        <v>91</v>
      </c>
      <c r="W490" t="s">
        <v>92</v>
      </c>
      <c r="X490" t="s">
        <v>38</v>
      </c>
      <c r="Y490" t="s">
        <v>38</v>
      </c>
      <c r="Z490" t="s">
        <v>42</v>
      </c>
      <c r="AA490" t="s">
        <v>169</v>
      </c>
      <c r="AB490" t="s">
        <v>38</v>
      </c>
      <c r="AC490" t="s">
        <v>45</v>
      </c>
      <c r="AD490" t="s">
        <v>48</v>
      </c>
      <c r="AG490" t="str">
        <f>IF(AD490="United States", IFERROR(INDEX(Sheet2!$C:$C, MATCH(AE490&amp;AF490, Sheet2!$E:$E, 0)) &amp; ", " &amp; INDEX(Sheet2!$D:$D, MATCH(AE490&amp;AF490, Sheet2!$E:$E, 0)), ""), "-")</f>
        <v/>
      </c>
    </row>
    <row r="491" spans="1:33" x14ac:dyDescent="0.25">
      <c r="A491" t="s">
        <v>1113</v>
      </c>
      <c r="B491" t="s">
        <v>1217</v>
      </c>
      <c r="C491" t="s">
        <v>1180</v>
      </c>
      <c r="D491" t="s">
        <v>803</v>
      </c>
      <c r="E491" t="s">
        <v>1209</v>
      </c>
      <c r="F491">
        <v>1759</v>
      </c>
      <c r="G491">
        <v>2078</v>
      </c>
      <c r="H491" t="s">
        <v>1118</v>
      </c>
      <c r="I491" t="s">
        <v>87</v>
      </c>
      <c r="J491" t="s">
        <v>1119</v>
      </c>
      <c r="K491" t="s">
        <v>38</v>
      </c>
      <c r="L491" t="s">
        <v>38</v>
      </c>
      <c r="M491" t="s">
        <v>38</v>
      </c>
      <c r="N491" t="s">
        <v>38</v>
      </c>
      <c r="O491" t="s">
        <v>57</v>
      </c>
      <c r="P491" t="s">
        <v>42</v>
      </c>
      <c r="Q491" t="s">
        <v>43</v>
      </c>
      <c r="R491" t="s">
        <v>89</v>
      </c>
      <c r="S491" t="s">
        <v>153</v>
      </c>
      <c r="T491" t="s">
        <v>89</v>
      </c>
      <c r="U491" t="s">
        <v>301</v>
      </c>
      <c r="V491" t="s">
        <v>137</v>
      </c>
      <c r="W491" t="s">
        <v>92</v>
      </c>
      <c r="X491" t="s">
        <v>38</v>
      </c>
      <c r="Y491" t="s">
        <v>1202</v>
      </c>
      <c r="Z491" t="s">
        <v>42</v>
      </c>
      <c r="AA491" t="s">
        <v>153</v>
      </c>
      <c r="AB491" t="s">
        <v>38</v>
      </c>
      <c r="AC491" t="s">
        <v>166</v>
      </c>
      <c r="AD491" t="s">
        <v>48</v>
      </c>
      <c r="AG491" t="str">
        <f>IF(AD491="United States", IFERROR(INDEX(Sheet2!$C:$C, MATCH(AE491&amp;AF491, Sheet2!$E:$E, 0)) &amp; ", " &amp; INDEX(Sheet2!$D:$D, MATCH(AE491&amp;AF491, Sheet2!$E:$E, 0)), ""), "-")</f>
        <v/>
      </c>
    </row>
    <row r="492" spans="1:33" x14ac:dyDescent="0.25">
      <c r="A492" t="s">
        <v>1113</v>
      </c>
      <c r="B492" t="s">
        <v>1218</v>
      </c>
      <c r="C492" t="s">
        <v>1115</v>
      </c>
      <c r="D492" t="s">
        <v>210</v>
      </c>
      <c r="E492" t="s">
        <v>1198</v>
      </c>
      <c r="F492">
        <v>1721</v>
      </c>
      <c r="G492">
        <v>1119</v>
      </c>
      <c r="H492" t="s">
        <v>1118</v>
      </c>
      <c r="I492" t="s">
        <v>80</v>
      </c>
      <c r="J492" t="s">
        <v>1119</v>
      </c>
      <c r="K492" t="s">
        <v>38</v>
      </c>
      <c r="L492" t="s">
        <v>38</v>
      </c>
      <c r="M492" t="s">
        <v>38</v>
      </c>
      <c r="N492" t="s">
        <v>38</v>
      </c>
      <c r="O492" t="s">
        <v>41</v>
      </c>
      <c r="P492" t="s">
        <v>42</v>
      </c>
      <c r="Q492" t="s">
        <v>43</v>
      </c>
      <c r="R492" t="s">
        <v>89</v>
      </c>
      <c r="S492" t="s">
        <v>38</v>
      </c>
      <c r="T492" t="s">
        <v>89</v>
      </c>
      <c r="U492" t="s">
        <v>301</v>
      </c>
      <c r="V492" t="s">
        <v>91</v>
      </c>
      <c r="W492" t="s">
        <v>92</v>
      </c>
      <c r="X492" t="s">
        <v>38</v>
      </c>
      <c r="Y492" t="s">
        <v>1199</v>
      </c>
      <c r="Z492" t="s">
        <v>42</v>
      </c>
      <c r="AA492" t="s">
        <v>38</v>
      </c>
      <c r="AB492" t="s">
        <v>38</v>
      </c>
      <c r="AC492" t="s">
        <v>1200</v>
      </c>
      <c r="AD492" t="s">
        <v>48</v>
      </c>
      <c r="AG492" t="str">
        <f>IF(AD492="United States", IFERROR(INDEX(Sheet2!$C:$C, MATCH(AE492&amp;AF492, Sheet2!$E:$E, 0)) &amp; ", " &amp; INDEX(Sheet2!$D:$D, MATCH(AE492&amp;AF492, Sheet2!$E:$E, 0)), ""), "-")</f>
        <v/>
      </c>
    </row>
    <row r="493" spans="1:33" x14ac:dyDescent="0.25">
      <c r="A493" t="s">
        <v>1113</v>
      </c>
      <c r="B493" t="s">
        <v>1219</v>
      </c>
      <c r="C493" t="s">
        <v>1115</v>
      </c>
      <c r="D493" t="s">
        <v>226</v>
      </c>
      <c r="E493" t="s">
        <v>191</v>
      </c>
      <c r="F493">
        <v>1743</v>
      </c>
      <c r="G493">
        <v>1118</v>
      </c>
      <c r="H493" t="s">
        <v>1118</v>
      </c>
      <c r="I493" t="s">
        <v>80</v>
      </c>
      <c r="J493" t="s">
        <v>1119</v>
      </c>
      <c r="K493" t="s">
        <v>1220</v>
      </c>
      <c r="L493" t="s">
        <v>268</v>
      </c>
      <c r="M493" t="s">
        <v>38</v>
      </c>
      <c r="N493" t="s">
        <v>38</v>
      </c>
      <c r="O493" t="s">
        <v>41</v>
      </c>
      <c r="P493" t="s">
        <v>42</v>
      </c>
      <c r="Q493" t="s">
        <v>43</v>
      </c>
      <c r="R493" t="s">
        <v>89</v>
      </c>
      <c r="S493" t="s">
        <v>38</v>
      </c>
      <c r="T493" t="s">
        <v>89</v>
      </c>
      <c r="U493" t="s">
        <v>301</v>
      </c>
      <c r="V493" t="s">
        <v>91</v>
      </c>
      <c r="W493" t="s">
        <v>92</v>
      </c>
      <c r="X493" t="s">
        <v>38</v>
      </c>
      <c r="Y493" t="s">
        <v>1199</v>
      </c>
      <c r="Z493" t="s">
        <v>42</v>
      </c>
      <c r="AA493" t="s">
        <v>38</v>
      </c>
      <c r="AB493" t="s">
        <v>38</v>
      </c>
      <c r="AC493" t="s">
        <v>38</v>
      </c>
      <c r="AD493" t="s">
        <v>48</v>
      </c>
      <c r="AG493" t="str">
        <f>IF(AD493="United States", IFERROR(INDEX(Sheet2!$C:$C, MATCH(AE493&amp;AF493, Sheet2!$E:$E, 0)) &amp; ", " &amp; INDEX(Sheet2!$D:$D, MATCH(AE493&amp;AF493, Sheet2!$E:$E, 0)), ""), "-")</f>
        <v/>
      </c>
    </row>
    <row r="494" spans="1:33" x14ac:dyDescent="0.25">
      <c r="A494" t="s">
        <v>1113</v>
      </c>
      <c r="B494" t="s">
        <v>1221</v>
      </c>
      <c r="C494" t="s">
        <v>1115</v>
      </c>
      <c r="D494" t="s">
        <v>1220</v>
      </c>
      <c r="E494" t="s">
        <v>268</v>
      </c>
      <c r="F494">
        <v>1742</v>
      </c>
      <c r="G494">
        <v>1117</v>
      </c>
      <c r="H494" t="s">
        <v>38</v>
      </c>
      <c r="I494" t="s">
        <v>80</v>
      </c>
      <c r="J494" t="s">
        <v>1119</v>
      </c>
      <c r="K494" t="s">
        <v>38</v>
      </c>
      <c r="L494" t="s">
        <v>38</v>
      </c>
      <c r="M494" t="s">
        <v>38</v>
      </c>
      <c r="N494" t="s">
        <v>38</v>
      </c>
      <c r="O494" t="s">
        <v>41</v>
      </c>
      <c r="P494" t="s">
        <v>42</v>
      </c>
      <c r="Q494" t="s">
        <v>43</v>
      </c>
      <c r="R494" t="s">
        <v>38</v>
      </c>
      <c r="S494" t="s">
        <v>38</v>
      </c>
      <c r="T494" t="s">
        <v>38</v>
      </c>
      <c r="U494" t="s">
        <v>38</v>
      </c>
      <c r="V494" t="s">
        <v>91</v>
      </c>
      <c r="W494" t="s">
        <v>38</v>
      </c>
      <c r="X494" t="s">
        <v>38</v>
      </c>
      <c r="Y494" t="s">
        <v>1170</v>
      </c>
      <c r="Z494" t="s">
        <v>42</v>
      </c>
      <c r="AA494" t="s">
        <v>38</v>
      </c>
      <c r="AB494" t="s">
        <v>38</v>
      </c>
      <c r="AC494" t="s">
        <v>38</v>
      </c>
      <c r="AD494" t="s">
        <v>48</v>
      </c>
      <c r="AG494" t="str">
        <f>IF(AD494="United States", IFERROR(INDEX(Sheet2!$C:$C, MATCH(AE494&amp;AF494, Sheet2!$E:$E, 0)) &amp; ", " &amp; INDEX(Sheet2!$D:$D, MATCH(AE494&amp;AF494, Sheet2!$E:$E, 0)), ""), "-")</f>
        <v/>
      </c>
    </row>
    <row r="495" spans="1:33" x14ac:dyDescent="0.25">
      <c r="A495" t="s">
        <v>1113</v>
      </c>
      <c r="B495" t="s">
        <v>1222</v>
      </c>
      <c r="C495" t="s">
        <v>1115</v>
      </c>
      <c r="D495" t="s">
        <v>1116</v>
      </c>
      <c r="E495" t="s">
        <v>1223</v>
      </c>
      <c r="F495">
        <v>1780</v>
      </c>
      <c r="G495">
        <v>1368</v>
      </c>
      <c r="H495" t="s">
        <v>1118</v>
      </c>
      <c r="I495" t="s">
        <v>80</v>
      </c>
      <c r="J495" t="s">
        <v>1119</v>
      </c>
      <c r="K495" t="s">
        <v>38</v>
      </c>
      <c r="L495" t="s">
        <v>38</v>
      </c>
      <c r="M495" t="s">
        <v>38</v>
      </c>
      <c r="N495" t="s">
        <v>38</v>
      </c>
      <c r="O495" t="s">
        <v>54</v>
      </c>
      <c r="P495" t="s">
        <v>42</v>
      </c>
      <c r="Q495" t="s">
        <v>43</v>
      </c>
      <c r="R495" t="s">
        <v>89</v>
      </c>
      <c r="S495" t="s">
        <v>38</v>
      </c>
      <c r="T495" t="s">
        <v>89</v>
      </c>
      <c r="U495" t="s">
        <v>301</v>
      </c>
      <c r="V495" t="s">
        <v>91</v>
      </c>
      <c r="W495" t="s">
        <v>92</v>
      </c>
      <c r="X495" t="s">
        <v>38</v>
      </c>
      <c r="Y495" t="s">
        <v>38</v>
      </c>
      <c r="Z495" t="s">
        <v>42</v>
      </c>
      <c r="AA495" t="s">
        <v>38</v>
      </c>
      <c r="AB495" t="s">
        <v>38</v>
      </c>
      <c r="AC495" t="s">
        <v>38</v>
      </c>
      <c r="AD495" t="s">
        <v>48</v>
      </c>
      <c r="AG495" t="str">
        <f>IF(AD495="United States", IFERROR(INDEX(Sheet2!$C:$C, MATCH(AE495&amp;AF495, Sheet2!$E:$E, 0)) &amp; ", " &amp; INDEX(Sheet2!$D:$D, MATCH(AE495&amp;AF495, Sheet2!$E:$E, 0)), ""), "-")</f>
        <v/>
      </c>
    </row>
    <row r="496" spans="1:33" x14ac:dyDescent="0.25">
      <c r="A496" t="s">
        <v>1113</v>
      </c>
      <c r="B496" t="s">
        <v>1224</v>
      </c>
      <c r="C496" t="s">
        <v>1115</v>
      </c>
      <c r="D496" t="s">
        <v>190</v>
      </c>
      <c r="E496" t="s">
        <v>1157</v>
      </c>
      <c r="F496">
        <v>1723</v>
      </c>
      <c r="G496">
        <v>1369</v>
      </c>
      <c r="H496" t="s">
        <v>1118</v>
      </c>
      <c r="I496" t="s">
        <v>80</v>
      </c>
      <c r="J496" t="s">
        <v>1119</v>
      </c>
      <c r="K496" t="s">
        <v>38</v>
      </c>
      <c r="L496" t="s">
        <v>38</v>
      </c>
      <c r="M496" t="s">
        <v>38</v>
      </c>
      <c r="N496" t="s">
        <v>38</v>
      </c>
      <c r="O496" t="s">
        <v>57</v>
      </c>
      <c r="P496" t="s">
        <v>42</v>
      </c>
      <c r="Q496" t="s">
        <v>43</v>
      </c>
      <c r="R496" t="s">
        <v>89</v>
      </c>
      <c r="S496" t="s">
        <v>38</v>
      </c>
      <c r="T496" t="s">
        <v>89</v>
      </c>
      <c r="U496" t="s">
        <v>301</v>
      </c>
      <c r="V496" t="s">
        <v>91</v>
      </c>
      <c r="W496" t="s">
        <v>92</v>
      </c>
      <c r="X496" t="s">
        <v>38</v>
      </c>
      <c r="Y496" t="s">
        <v>38</v>
      </c>
      <c r="Z496" t="s">
        <v>42</v>
      </c>
      <c r="AA496" t="s">
        <v>38</v>
      </c>
      <c r="AB496" t="s">
        <v>38</v>
      </c>
      <c r="AC496" t="s">
        <v>38</v>
      </c>
      <c r="AD496" t="s">
        <v>48</v>
      </c>
      <c r="AG496" t="str">
        <f>IF(AD496="United States", IFERROR(INDEX(Sheet2!$C:$C, MATCH(AE496&amp;AF496, Sheet2!$E:$E, 0)) &amp; ", " &amp; INDEX(Sheet2!$D:$D, MATCH(AE496&amp;AF496, Sheet2!$E:$E, 0)), ""), "-")</f>
        <v/>
      </c>
    </row>
    <row r="497" spans="1:33" x14ac:dyDescent="0.25">
      <c r="A497" t="s">
        <v>1113</v>
      </c>
      <c r="B497" t="s">
        <v>1225</v>
      </c>
      <c r="C497" t="s">
        <v>1115</v>
      </c>
      <c r="D497" t="s">
        <v>803</v>
      </c>
      <c r="E497" t="s">
        <v>818</v>
      </c>
      <c r="F497">
        <v>1750</v>
      </c>
      <c r="G497">
        <v>1370</v>
      </c>
      <c r="H497" t="s">
        <v>1118</v>
      </c>
      <c r="I497" t="s">
        <v>80</v>
      </c>
      <c r="J497" t="s">
        <v>1119</v>
      </c>
      <c r="K497" t="s">
        <v>38</v>
      </c>
      <c r="L497" t="s">
        <v>38</v>
      </c>
      <c r="M497" t="s">
        <v>38</v>
      </c>
      <c r="N497" t="s">
        <v>38</v>
      </c>
      <c r="O497" t="s">
        <v>57</v>
      </c>
      <c r="P497" t="s">
        <v>42</v>
      </c>
      <c r="Q497" t="s">
        <v>43</v>
      </c>
      <c r="R497" t="s">
        <v>89</v>
      </c>
      <c r="S497" t="s">
        <v>45</v>
      </c>
      <c r="T497" t="s">
        <v>89</v>
      </c>
      <c r="U497" t="s">
        <v>301</v>
      </c>
      <c r="V497" t="s">
        <v>91</v>
      </c>
      <c r="W497" t="s">
        <v>92</v>
      </c>
      <c r="X497" t="s">
        <v>38</v>
      </c>
      <c r="Y497" t="s">
        <v>38</v>
      </c>
      <c r="Z497" t="s">
        <v>42</v>
      </c>
      <c r="AA497" t="s">
        <v>38</v>
      </c>
      <c r="AB497" t="s">
        <v>38</v>
      </c>
      <c r="AC497" t="s">
        <v>45</v>
      </c>
      <c r="AD497" t="s">
        <v>48</v>
      </c>
      <c r="AG497" t="str">
        <f>IF(AD497="United States", IFERROR(INDEX(Sheet2!$C:$C, MATCH(AE497&amp;AF497, Sheet2!$E:$E, 0)) &amp; ", " &amp; INDEX(Sheet2!$D:$D, MATCH(AE497&amp;AF497, Sheet2!$E:$E, 0)), ""), "-")</f>
        <v/>
      </c>
    </row>
    <row r="498" spans="1:33" x14ac:dyDescent="0.25">
      <c r="A498" t="s">
        <v>1113</v>
      </c>
      <c r="B498" t="s">
        <v>1226</v>
      </c>
      <c r="C498" t="s">
        <v>1115</v>
      </c>
      <c r="D498" t="s">
        <v>98</v>
      </c>
      <c r="E498" t="s">
        <v>818</v>
      </c>
      <c r="F498">
        <v>1772</v>
      </c>
      <c r="G498">
        <v>1371</v>
      </c>
      <c r="H498" t="s">
        <v>1118</v>
      </c>
      <c r="I498" t="s">
        <v>80</v>
      </c>
      <c r="J498" t="s">
        <v>1119</v>
      </c>
      <c r="K498" t="s">
        <v>38</v>
      </c>
      <c r="L498" t="s">
        <v>38</v>
      </c>
      <c r="M498" t="s">
        <v>803</v>
      </c>
      <c r="N498" t="s">
        <v>818</v>
      </c>
      <c r="O498" t="s">
        <v>54</v>
      </c>
      <c r="P498" t="s">
        <v>42</v>
      </c>
      <c r="Q498" t="s">
        <v>43</v>
      </c>
      <c r="R498" t="s">
        <v>89</v>
      </c>
      <c r="S498" t="s">
        <v>45</v>
      </c>
      <c r="T498" t="s">
        <v>89</v>
      </c>
      <c r="U498" t="s">
        <v>301</v>
      </c>
      <c r="V498" t="s">
        <v>91</v>
      </c>
      <c r="W498" t="s">
        <v>92</v>
      </c>
      <c r="X498" t="s">
        <v>38</v>
      </c>
      <c r="Y498" t="s">
        <v>38</v>
      </c>
      <c r="Z498" t="s">
        <v>42</v>
      </c>
      <c r="AA498" t="s">
        <v>38</v>
      </c>
      <c r="AB498" t="s">
        <v>38</v>
      </c>
      <c r="AC498" t="s">
        <v>45</v>
      </c>
      <c r="AD498" t="s">
        <v>48</v>
      </c>
      <c r="AG498" t="str">
        <f>IF(AD498="United States", IFERROR(INDEX(Sheet2!$C:$C, MATCH(AE498&amp;AF498, Sheet2!$E:$E, 0)) &amp; ", " &amp; INDEX(Sheet2!$D:$D, MATCH(AE498&amp;AF498, Sheet2!$E:$E, 0)), ""), "-")</f>
        <v/>
      </c>
    </row>
    <row r="499" spans="1:33" x14ac:dyDescent="0.25">
      <c r="A499" t="s">
        <v>1113</v>
      </c>
      <c r="B499" t="s">
        <v>1227</v>
      </c>
      <c r="C499" t="s">
        <v>1115</v>
      </c>
      <c r="D499" t="s">
        <v>62</v>
      </c>
      <c r="E499" t="s">
        <v>818</v>
      </c>
      <c r="F499">
        <v>1780</v>
      </c>
      <c r="G499">
        <v>1372</v>
      </c>
      <c r="H499" t="s">
        <v>1118</v>
      </c>
      <c r="I499" t="s">
        <v>80</v>
      </c>
      <c r="J499" t="s">
        <v>1119</v>
      </c>
      <c r="K499" t="s">
        <v>38</v>
      </c>
      <c r="L499" t="s">
        <v>38</v>
      </c>
      <c r="M499" t="s">
        <v>38</v>
      </c>
      <c r="N499" t="s">
        <v>38</v>
      </c>
      <c r="O499" t="s">
        <v>54</v>
      </c>
      <c r="P499" t="s">
        <v>42</v>
      </c>
      <c r="Q499" t="s">
        <v>43</v>
      </c>
      <c r="R499" t="s">
        <v>89</v>
      </c>
      <c r="S499" t="s">
        <v>38</v>
      </c>
      <c r="T499" t="s">
        <v>89</v>
      </c>
      <c r="U499" t="s">
        <v>301</v>
      </c>
      <c r="V499" t="s">
        <v>91</v>
      </c>
      <c r="W499" t="s">
        <v>92</v>
      </c>
      <c r="X499" t="s">
        <v>38</v>
      </c>
      <c r="Y499" t="s">
        <v>38</v>
      </c>
      <c r="Z499" t="s">
        <v>42</v>
      </c>
      <c r="AA499" t="s">
        <v>38</v>
      </c>
      <c r="AB499" t="s">
        <v>38</v>
      </c>
      <c r="AC499" t="s">
        <v>38</v>
      </c>
      <c r="AD499" t="s">
        <v>48</v>
      </c>
      <c r="AG499" t="str">
        <f>IF(AD499="United States", IFERROR(INDEX(Sheet2!$C:$C, MATCH(AE499&amp;AF499, Sheet2!$E:$E, 0)) &amp; ", " &amp; INDEX(Sheet2!$D:$D, MATCH(AE499&amp;AF499, Sheet2!$E:$E, 0)), ""), "-")</f>
        <v/>
      </c>
    </row>
    <row r="500" spans="1:33" x14ac:dyDescent="0.25">
      <c r="A500" t="s">
        <v>1113</v>
      </c>
      <c r="B500" t="s">
        <v>1228</v>
      </c>
      <c r="C500" t="s">
        <v>1115</v>
      </c>
      <c r="D500" t="s">
        <v>132</v>
      </c>
      <c r="E500" t="s">
        <v>818</v>
      </c>
      <c r="F500">
        <v>1781</v>
      </c>
      <c r="G500">
        <v>1373</v>
      </c>
      <c r="H500" t="s">
        <v>1118</v>
      </c>
      <c r="I500" t="s">
        <v>80</v>
      </c>
      <c r="J500" t="s">
        <v>1119</v>
      </c>
      <c r="K500" t="s">
        <v>38</v>
      </c>
      <c r="L500" t="s">
        <v>38</v>
      </c>
      <c r="M500" t="s">
        <v>38</v>
      </c>
      <c r="N500" t="s">
        <v>38</v>
      </c>
      <c r="O500" t="s">
        <v>54</v>
      </c>
      <c r="P500" t="s">
        <v>42</v>
      </c>
      <c r="Q500" t="s">
        <v>43</v>
      </c>
      <c r="R500" t="s">
        <v>89</v>
      </c>
      <c r="S500" t="s">
        <v>38</v>
      </c>
      <c r="T500" t="s">
        <v>89</v>
      </c>
      <c r="U500" t="s">
        <v>301</v>
      </c>
      <c r="V500" t="s">
        <v>91</v>
      </c>
      <c r="W500" t="s">
        <v>92</v>
      </c>
      <c r="X500" t="s">
        <v>38</v>
      </c>
      <c r="Y500" t="s">
        <v>38</v>
      </c>
      <c r="Z500" t="s">
        <v>42</v>
      </c>
      <c r="AA500" t="s">
        <v>38</v>
      </c>
      <c r="AB500" t="s">
        <v>38</v>
      </c>
      <c r="AC500" t="s">
        <v>38</v>
      </c>
      <c r="AD500" t="s">
        <v>48</v>
      </c>
      <c r="AG500" t="str">
        <f>IF(AD500="United States", IFERROR(INDEX(Sheet2!$C:$C, MATCH(AE500&amp;AF500, Sheet2!$E:$E, 0)) &amp; ", " &amp; INDEX(Sheet2!$D:$D, MATCH(AE500&amp;AF500, Sheet2!$E:$E, 0)), ""), "-")</f>
        <v/>
      </c>
    </row>
    <row r="501" spans="1:33" x14ac:dyDescent="0.25">
      <c r="A501" t="s">
        <v>1113</v>
      </c>
      <c r="B501" t="s">
        <v>1229</v>
      </c>
      <c r="C501" t="s">
        <v>1115</v>
      </c>
      <c r="D501" t="s">
        <v>1230</v>
      </c>
      <c r="E501" t="s">
        <v>1231</v>
      </c>
      <c r="F501">
        <v>1761</v>
      </c>
      <c r="G501">
        <v>1374</v>
      </c>
      <c r="H501" t="s">
        <v>1118</v>
      </c>
      <c r="I501" t="s">
        <v>80</v>
      </c>
      <c r="J501" t="s">
        <v>1119</v>
      </c>
      <c r="K501" t="s">
        <v>38</v>
      </c>
      <c r="L501" t="s">
        <v>38</v>
      </c>
      <c r="M501" t="s">
        <v>38</v>
      </c>
      <c r="N501" t="s">
        <v>38</v>
      </c>
      <c r="O501" t="s">
        <v>57</v>
      </c>
      <c r="P501" t="s">
        <v>42</v>
      </c>
      <c r="Q501" t="s">
        <v>43</v>
      </c>
      <c r="R501" t="s">
        <v>89</v>
      </c>
      <c r="S501" t="s">
        <v>45</v>
      </c>
      <c r="T501" t="s">
        <v>89</v>
      </c>
      <c r="U501" t="s">
        <v>301</v>
      </c>
      <c r="V501" t="s">
        <v>91</v>
      </c>
      <c r="W501" t="s">
        <v>92</v>
      </c>
      <c r="X501" t="s">
        <v>38</v>
      </c>
      <c r="Y501" t="s">
        <v>38</v>
      </c>
      <c r="Z501" t="s">
        <v>42</v>
      </c>
      <c r="AA501" t="s">
        <v>1135</v>
      </c>
      <c r="AB501" t="s">
        <v>38</v>
      </c>
      <c r="AC501" t="s">
        <v>45</v>
      </c>
      <c r="AD501" t="s">
        <v>48</v>
      </c>
      <c r="AG501" t="str">
        <f>IF(AD501="United States", IFERROR(INDEX(Sheet2!$C:$C, MATCH(AE501&amp;AF501, Sheet2!$E:$E, 0)) &amp; ", " &amp; INDEX(Sheet2!$D:$D, MATCH(AE501&amp;AF501, Sheet2!$E:$E, 0)), ""), "-")</f>
        <v/>
      </c>
    </row>
    <row r="502" spans="1:33" x14ac:dyDescent="0.25">
      <c r="A502" t="s">
        <v>1113</v>
      </c>
      <c r="B502" t="s">
        <v>1232</v>
      </c>
      <c r="C502" t="s">
        <v>1115</v>
      </c>
      <c r="D502" t="s">
        <v>352</v>
      </c>
      <c r="E502" t="s">
        <v>1223</v>
      </c>
      <c r="F502">
        <v>1748</v>
      </c>
      <c r="G502">
        <v>1367</v>
      </c>
      <c r="H502" t="s">
        <v>1118</v>
      </c>
      <c r="I502" t="s">
        <v>80</v>
      </c>
      <c r="J502" t="s">
        <v>1119</v>
      </c>
      <c r="K502" t="s">
        <v>38</v>
      </c>
      <c r="L502" t="s">
        <v>38</v>
      </c>
      <c r="M502" t="s">
        <v>38</v>
      </c>
      <c r="N502" t="s">
        <v>38</v>
      </c>
      <c r="O502" t="s">
        <v>57</v>
      </c>
      <c r="P502" t="s">
        <v>42</v>
      </c>
      <c r="Q502" t="s">
        <v>43</v>
      </c>
      <c r="R502" t="s">
        <v>89</v>
      </c>
      <c r="S502" t="s">
        <v>201</v>
      </c>
      <c r="T502" t="s">
        <v>89</v>
      </c>
      <c r="U502" t="s">
        <v>301</v>
      </c>
      <c r="V502" t="s">
        <v>91</v>
      </c>
      <c r="W502" t="s">
        <v>92</v>
      </c>
      <c r="X502" t="s">
        <v>38</v>
      </c>
      <c r="Y502" t="s">
        <v>38</v>
      </c>
      <c r="Z502" t="s">
        <v>42</v>
      </c>
      <c r="AA502" t="s">
        <v>354</v>
      </c>
      <c r="AB502" t="s">
        <v>38</v>
      </c>
      <c r="AC502" t="s">
        <v>201</v>
      </c>
      <c r="AD502" t="s">
        <v>48</v>
      </c>
      <c r="AG502" t="str">
        <f>IF(AD502="United States", IFERROR(INDEX(Sheet2!$C:$C, MATCH(AE502&amp;AF502, Sheet2!$E:$E, 0)) &amp; ", " &amp; INDEX(Sheet2!$D:$D, MATCH(AE502&amp;AF502, Sheet2!$E:$E, 0)), ""), "-")</f>
        <v/>
      </c>
    </row>
    <row r="503" spans="1:33" x14ac:dyDescent="0.25">
      <c r="A503" t="s">
        <v>1113</v>
      </c>
      <c r="B503" t="s">
        <v>1233</v>
      </c>
      <c r="C503" t="s">
        <v>1115</v>
      </c>
      <c r="D503" t="s">
        <v>200</v>
      </c>
      <c r="E503" t="s">
        <v>1234</v>
      </c>
      <c r="F503">
        <v>1765</v>
      </c>
      <c r="G503">
        <v>1375</v>
      </c>
      <c r="H503" t="s">
        <v>1118</v>
      </c>
      <c r="I503" t="s">
        <v>80</v>
      </c>
      <c r="J503" t="s">
        <v>1119</v>
      </c>
      <c r="K503" t="s">
        <v>38</v>
      </c>
      <c r="L503" t="s">
        <v>38</v>
      </c>
      <c r="M503" t="s">
        <v>38</v>
      </c>
      <c r="N503" t="s">
        <v>38</v>
      </c>
      <c r="O503" t="s">
        <v>54</v>
      </c>
      <c r="P503" t="s">
        <v>42</v>
      </c>
      <c r="Q503" t="s">
        <v>43</v>
      </c>
      <c r="R503" t="s">
        <v>89</v>
      </c>
      <c r="S503" t="s">
        <v>38</v>
      </c>
      <c r="T503" t="s">
        <v>89</v>
      </c>
      <c r="U503" t="s">
        <v>301</v>
      </c>
      <c r="V503" t="s">
        <v>91</v>
      </c>
      <c r="W503" t="s">
        <v>92</v>
      </c>
      <c r="X503" t="s">
        <v>38</v>
      </c>
      <c r="Y503" t="s">
        <v>38</v>
      </c>
      <c r="Z503" t="s">
        <v>42</v>
      </c>
      <c r="AA503" t="s">
        <v>38</v>
      </c>
      <c r="AB503" t="s">
        <v>38</v>
      </c>
      <c r="AC503" t="s">
        <v>38</v>
      </c>
      <c r="AD503" t="s">
        <v>48</v>
      </c>
      <c r="AG503" t="str">
        <f>IF(AD503="United States", IFERROR(INDEX(Sheet2!$C:$C, MATCH(AE503&amp;AF503, Sheet2!$E:$E, 0)) &amp; ", " &amp; INDEX(Sheet2!$D:$D, MATCH(AE503&amp;AF503, Sheet2!$E:$E, 0)), ""), "-")</f>
        <v/>
      </c>
    </row>
    <row r="504" spans="1:33" x14ac:dyDescent="0.25">
      <c r="A504" t="s">
        <v>1113</v>
      </c>
      <c r="B504" t="s">
        <v>1235</v>
      </c>
      <c r="C504" t="s">
        <v>1115</v>
      </c>
      <c r="D504" t="s">
        <v>72</v>
      </c>
      <c r="E504" t="s">
        <v>1236</v>
      </c>
      <c r="F504">
        <v>1755</v>
      </c>
      <c r="G504">
        <v>1377</v>
      </c>
      <c r="H504" t="s">
        <v>1118</v>
      </c>
      <c r="I504" t="s">
        <v>80</v>
      </c>
      <c r="J504" t="s">
        <v>1119</v>
      </c>
      <c r="K504" t="s">
        <v>38</v>
      </c>
      <c r="L504" t="s">
        <v>38</v>
      </c>
      <c r="M504" t="s">
        <v>38</v>
      </c>
      <c r="N504" t="s">
        <v>38</v>
      </c>
      <c r="O504" t="s">
        <v>57</v>
      </c>
      <c r="P504" t="s">
        <v>42</v>
      </c>
      <c r="Q504" t="s">
        <v>43</v>
      </c>
      <c r="R504" t="s">
        <v>89</v>
      </c>
      <c r="S504" t="s">
        <v>45</v>
      </c>
      <c r="T504" t="s">
        <v>89</v>
      </c>
      <c r="U504" t="s">
        <v>301</v>
      </c>
      <c r="V504" t="s">
        <v>91</v>
      </c>
      <c r="W504" t="s">
        <v>92</v>
      </c>
      <c r="X504" t="s">
        <v>38</v>
      </c>
      <c r="Y504" t="s">
        <v>38</v>
      </c>
      <c r="Z504" t="s">
        <v>42</v>
      </c>
      <c r="AA504" t="s">
        <v>169</v>
      </c>
      <c r="AB504" t="s">
        <v>38</v>
      </c>
      <c r="AC504" t="s">
        <v>45</v>
      </c>
      <c r="AD504" t="s">
        <v>48</v>
      </c>
      <c r="AG504" t="str">
        <f>IF(AD504="United States", IFERROR(INDEX(Sheet2!$C:$C, MATCH(AE504&amp;AF504, Sheet2!$E:$E, 0)) &amp; ", " &amp; INDEX(Sheet2!$D:$D, MATCH(AE504&amp;AF504, Sheet2!$E:$E, 0)), ""), "-")</f>
        <v/>
      </c>
    </row>
    <row r="505" spans="1:33" x14ac:dyDescent="0.25">
      <c r="A505" t="s">
        <v>1113</v>
      </c>
      <c r="B505" t="s">
        <v>1237</v>
      </c>
      <c r="C505" t="s">
        <v>1115</v>
      </c>
      <c r="D505" t="s">
        <v>1238</v>
      </c>
      <c r="E505" t="s">
        <v>1239</v>
      </c>
      <c r="F505">
        <v>1758</v>
      </c>
      <c r="G505">
        <v>1378</v>
      </c>
      <c r="H505" t="s">
        <v>1118</v>
      </c>
      <c r="I505" t="s">
        <v>80</v>
      </c>
      <c r="J505" t="s">
        <v>1119</v>
      </c>
      <c r="K505" t="s">
        <v>38</v>
      </c>
      <c r="L505" t="s">
        <v>38</v>
      </c>
      <c r="M505" t="s">
        <v>38</v>
      </c>
      <c r="N505" t="s">
        <v>38</v>
      </c>
      <c r="O505" t="s">
        <v>57</v>
      </c>
      <c r="P505" t="s">
        <v>42</v>
      </c>
      <c r="Q505" t="s">
        <v>43</v>
      </c>
      <c r="R505" t="s">
        <v>89</v>
      </c>
      <c r="S505" t="s">
        <v>45</v>
      </c>
      <c r="T505" t="s">
        <v>89</v>
      </c>
      <c r="U505" t="s">
        <v>301</v>
      </c>
      <c r="V505" t="s">
        <v>91</v>
      </c>
      <c r="W505" t="s">
        <v>92</v>
      </c>
      <c r="X505" t="s">
        <v>38</v>
      </c>
      <c r="Y505" t="s">
        <v>38</v>
      </c>
      <c r="Z505" t="s">
        <v>42</v>
      </c>
      <c r="AA505" t="s">
        <v>38</v>
      </c>
      <c r="AB505" t="s">
        <v>38</v>
      </c>
      <c r="AC505" t="s">
        <v>45</v>
      </c>
      <c r="AD505" t="s">
        <v>48</v>
      </c>
      <c r="AG505" t="str">
        <f>IF(AD505="United States", IFERROR(INDEX(Sheet2!$C:$C, MATCH(AE505&amp;AF505, Sheet2!$E:$E, 0)) &amp; ", " &amp; INDEX(Sheet2!$D:$D, MATCH(AE505&amp;AF505, Sheet2!$E:$E, 0)), ""), "-")</f>
        <v/>
      </c>
    </row>
    <row r="506" spans="1:33" x14ac:dyDescent="0.25">
      <c r="A506" t="s">
        <v>1113</v>
      </c>
      <c r="B506" t="s">
        <v>1240</v>
      </c>
      <c r="C506" t="s">
        <v>1115</v>
      </c>
      <c r="D506" t="s">
        <v>210</v>
      </c>
      <c r="E506" t="s">
        <v>368</v>
      </c>
      <c r="F506">
        <v>1757</v>
      </c>
      <c r="G506">
        <v>1379</v>
      </c>
      <c r="H506" t="s">
        <v>1118</v>
      </c>
      <c r="I506" t="s">
        <v>80</v>
      </c>
      <c r="J506" t="s">
        <v>1119</v>
      </c>
      <c r="K506" t="s">
        <v>38</v>
      </c>
      <c r="L506" t="s">
        <v>38</v>
      </c>
      <c r="M506" t="s">
        <v>38</v>
      </c>
      <c r="N506" t="s">
        <v>38</v>
      </c>
      <c r="O506" t="s">
        <v>41</v>
      </c>
      <c r="P506" t="s">
        <v>42</v>
      </c>
      <c r="Q506" t="s">
        <v>43</v>
      </c>
      <c r="R506" t="s">
        <v>89</v>
      </c>
      <c r="S506" t="s">
        <v>1063</v>
      </c>
      <c r="T506" t="s">
        <v>89</v>
      </c>
      <c r="U506" t="s">
        <v>301</v>
      </c>
      <c r="V506" t="s">
        <v>91</v>
      </c>
      <c r="W506" t="s">
        <v>92</v>
      </c>
      <c r="X506" t="s">
        <v>38</v>
      </c>
      <c r="Y506" t="s">
        <v>38</v>
      </c>
      <c r="Z506" t="s">
        <v>42</v>
      </c>
      <c r="AA506" t="s">
        <v>1241</v>
      </c>
      <c r="AB506" t="s">
        <v>38</v>
      </c>
      <c r="AC506" t="s">
        <v>1063</v>
      </c>
      <c r="AD506" t="s">
        <v>48</v>
      </c>
      <c r="AG506" t="str">
        <f>IF(AD506="United States", IFERROR(INDEX(Sheet2!$C:$C, MATCH(AE506&amp;AF506, Sheet2!$E:$E, 0)) &amp; ", " &amp; INDEX(Sheet2!$D:$D, MATCH(AE506&amp;AF506, Sheet2!$E:$E, 0)), ""), "-")</f>
        <v/>
      </c>
    </row>
    <row r="507" spans="1:33" x14ac:dyDescent="0.25">
      <c r="A507" t="s">
        <v>1113</v>
      </c>
      <c r="B507" t="s">
        <v>1242</v>
      </c>
      <c r="C507" t="s">
        <v>1115</v>
      </c>
      <c r="D507" t="s">
        <v>210</v>
      </c>
      <c r="E507" t="s">
        <v>1243</v>
      </c>
      <c r="F507">
        <v>1762</v>
      </c>
      <c r="G507">
        <v>1380</v>
      </c>
      <c r="H507" t="s">
        <v>1118</v>
      </c>
      <c r="I507" t="s">
        <v>80</v>
      </c>
      <c r="J507" t="s">
        <v>1119</v>
      </c>
      <c r="K507" t="s">
        <v>38</v>
      </c>
      <c r="L507" t="s">
        <v>38</v>
      </c>
      <c r="M507" t="s">
        <v>38</v>
      </c>
      <c r="N507" t="s">
        <v>38</v>
      </c>
      <c r="O507" t="s">
        <v>41</v>
      </c>
      <c r="P507" t="s">
        <v>42</v>
      </c>
      <c r="Q507" t="s">
        <v>43</v>
      </c>
      <c r="R507" t="s">
        <v>89</v>
      </c>
      <c r="S507" t="s">
        <v>45</v>
      </c>
      <c r="T507" t="s">
        <v>89</v>
      </c>
      <c r="U507" t="s">
        <v>301</v>
      </c>
      <c r="V507" t="s">
        <v>91</v>
      </c>
      <c r="W507" t="s">
        <v>92</v>
      </c>
      <c r="X507" t="s">
        <v>38</v>
      </c>
      <c r="Y507" t="s">
        <v>38</v>
      </c>
      <c r="Z507" t="s">
        <v>42</v>
      </c>
      <c r="AA507" t="s">
        <v>1244</v>
      </c>
      <c r="AB507" t="s">
        <v>38</v>
      </c>
      <c r="AC507" t="s">
        <v>45</v>
      </c>
      <c r="AD507" t="s">
        <v>48</v>
      </c>
      <c r="AG507" t="str">
        <f>IF(AD507="United States", IFERROR(INDEX(Sheet2!$C:$C, MATCH(AE507&amp;AF507, Sheet2!$E:$E, 0)) &amp; ", " &amp; INDEX(Sheet2!$D:$D, MATCH(AE507&amp;AF507, Sheet2!$E:$E, 0)), ""), "-")</f>
        <v/>
      </c>
    </row>
    <row r="508" spans="1:33" x14ac:dyDescent="0.25">
      <c r="A508" t="s">
        <v>1113</v>
      </c>
      <c r="B508" t="s">
        <v>1245</v>
      </c>
      <c r="C508" t="s">
        <v>1115</v>
      </c>
      <c r="D508" t="s">
        <v>210</v>
      </c>
      <c r="E508" t="s">
        <v>1246</v>
      </c>
      <c r="F508">
        <v>1764</v>
      </c>
      <c r="G508">
        <v>1381</v>
      </c>
      <c r="H508" t="s">
        <v>1118</v>
      </c>
      <c r="I508" t="s">
        <v>80</v>
      </c>
      <c r="J508" t="s">
        <v>1119</v>
      </c>
      <c r="K508" t="s">
        <v>38</v>
      </c>
      <c r="L508" t="s">
        <v>38</v>
      </c>
      <c r="M508" t="s">
        <v>38</v>
      </c>
      <c r="N508" t="s">
        <v>38</v>
      </c>
      <c r="O508" t="s">
        <v>41</v>
      </c>
      <c r="P508" t="s">
        <v>42</v>
      </c>
      <c r="Q508" t="s">
        <v>43</v>
      </c>
      <c r="R508" t="s">
        <v>89</v>
      </c>
      <c r="S508" t="s">
        <v>45</v>
      </c>
      <c r="T508" t="s">
        <v>89</v>
      </c>
      <c r="U508" t="s">
        <v>301</v>
      </c>
      <c r="V508" t="s">
        <v>91</v>
      </c>
      <c r="W508" t="s">
        <v>92</v>
      </c>
      <c r="X508" t="s">
        <v>38</v>
      </c>
      <c r="Y508" t="s">
        <v>38</v>
      </c>
      <c r="Z508" t="s">
        <v>42</v>
      </c>
      <c r="AA508" t="s">
        <v>1247</v>
      </c>
      <c r="AB508" t="s">
        <v>38</v>
      </c>
      <c r="AC508" t="s">
        <v>45</v>
      </c>
      <c r="AD508" t="s">
        <v>48</v>
      </c>
      <c r="AG508" t="str">
        <f>IF(AD508="United States", IFERROR(INDEX(Sheet2!$C:$C, MATCH(AE508&amp;AF508, Sheet2!$E:$E, 0)) &amp; ", " &amp; INDEX(Sheet2!$D:$D, MATCH(AE508&amp;AF508, Sheet2!$E:$E, 0)), ""), "-")</f>
        <v/>
      </c>
    </row>
    <row r="509" spans="1:33" x14ac:dyDescent="0.25">
      <c r="A509" t="s">
        <v>1113</v>
      </c>
      <c r="B509" t="s">
        <v>1248</v>
      </c>
      <c r="C509" t="s">
        <v>1115</v>
      </c>
      <c r="D509" t="s">
        <v>1249</v>
      </c>
      <c r="E509" t="s">
        <v>1250</v>
      </c>
      <c r="F509">
        <v>1733</v>
      </c>
      <c r="G509">
        <v>1382</v>
      </c>
      <c r="H509" t="s">
        <v>38</v>
      </c>
      <c r="I509" t="s">
        <v>80</v>
      </c>
      <c r="J509" t="s">
        <v>1119</v>
      </c>
      <c r="K509" t="s">
        <v>38</v>
      </c>
      <c r="L509" t="s">
        <v>38</v>
      </c>
      <c r="M509" t="s">
        <v>38</v>
      </c>
      <c r="N509" t="s">
        <v>38</v>
      </c>
      <c r="O509" t="s">
        <v>41</v>
      </c>
      <c r="P509" t="s">
        <v>42</v>
      </c>
      <c r="Q509" t="s">
        <v>43</v>
      </c>
      <c r="R509" t="s">
        <v>38</v>
      </c>
      <c r="S509" t="s">
        <v>38</v>
      </c>
      <c r="T509" t="s">
        <v>38</v>
      </c>
      <c r="U509" t="s">
        <v>38</v>
      </c>
      <c r="V509" t="s">
        <v>91</v>
      </c>
      <c r="W509" t="s">
        <v>38</v>
      </c>
      <c r="X509" t="s">
        <v>38</v>
      </c>
      <c r="Y509" t="s">
        <v>38</v>
      </c>
      <c r="Z509" t="s">
        <v>42</v>
      </c>
      <c r="AA509" t="s">
        <v>38</v>
      </c>
      <c r="AB509" t="s">
        <v>38</v>
      </c>
      <c r="AC509" t="s">
        <v>70</v>
      </c>
      <c r="AD509" t="s">
        <v>48</v>
      </c>
      <c r="AG509" t="str">
        <f>IF(AD509="United States", IFERROR(INDEX(Sheet2!$C:$C, MATCH(AE509&amp;AF509, Sheet2!$E:$E, 0)) &amp; ", " &amp; INDEX(Sheet2!$D:$D, MATCH(AE509&amp;AF509, Sheet2!$E:$E, 0)), ""), "-")</f>
        <v/>
      </c>
    </row>
    <row r="510" spans="1:33" x14ac:dyDescent="0.25">
      <c r="A510" t="s">
        <v>1113</v>
      </c>
      <c r="B510" t="s">
        <v>1251</v>
      </c>
      <c r="C510" t="s">
        <v>1115</v>
      </c>
      <c r="D510" t="s">
        <v>621</v>
      </c>
      <c r="E510" t="s">
        <v>1252</v>
      </c>
      <c r="F510">
        <v>1743</v>
      </c>
      <c r="G510">
        <v>1383</v>
      </c>
      <c r="H510" t="s">
        <v>1118</v>
      </c>
      <c r="I510" t="s">
        <v>80</v>
      </c>
      <c r="J510" t="s">
        <v>1119</v>
      </c>
      <c r="K510" t="s">
        <v>38</v>
      </c>
      <c r="L510" t="s">
        <v>38</v>
      </c>
      <c r="M510" t="s">
        <v>38</v>
      </c>
      <c r="N510" t="s">
        <v>38</v>
      </c>
      <c r="O510" t="s">
        <v>41</v>
      </c>
      <c r="P510" t="s">
        <v>42</v>
      </c>
      <c r="Q510" t="s">
        <v>43</v>
      </c>
      <c r="R510" t="s">
        <v>89</v>
      </c>
      <c r="S510" t="s">
        <v>45</v>
      </c>
      <c r="T510" t="s">
        <v>89</v>
      </c>
      <c r="U510" t="s">
        <v>301</v>
      </c>
      <c r="V510" t="s">
        <v>91</v>
      </c>
      <c r="W510" t="s">
        <v>92</v>
      </c>
      <c r="X510" t="s">
        <v>38</v>
      </c>
      <c r="Y510" t="s">
        <v>38</v>
      </c>
      <c r="Z510" t="s">
        <v>42</v>
      </c>
      <c r="AA510" t="s">
        <v>241</v>
      </c>
      <c r="AB510" t="s">
        <v>38</v>
      </c>
      <c r="AC510" t="s">
        <v>45</v>
      </c>
      <c r="AD510" t="s">
        <v>48</v>
      </c>
      <c r="AG510" t="str">
        <f>IF(AD510="United States", IFERROR(INDEX(Sheet2!$C:$C, MATCH(AE510&amp;AF510, Sheet2!$E:$E, 0)) &amp; ", " &amp; INDEX(Sheet2!$D:$D, MATCH(AE510&amp;AF510, Sheet2!$E:$E, 0)), ""), "-")</f>
        <v/>
      </c>
    </row>
    <row r="511" spans="1:33" x14ac:dyDescent="0.25">
      <c r="A511" t="s">
        <v>1113</v>
      </c>
      <c r="B511" t="s">
        <v>1253</v>
      </c>
      <c r="C511" t="s">
        <v>1115</v>
      </c>
      <c r="D511" t="s">
        <v>52</v>
      </c>
      <c r="E511" t="s">
        <v>1147</v>
      </c>
      <c r="F511">
        <v>1758</v>
      </c>
      <c r="G511">
        <v>1376</v>
      </c>
      <c r="H511" t="s">
        <v>1118</v>
      </c>
      <c r="I511" t="s">
        <v>80</v>
      </c>
      <c r="J511" t="s">
        <v>1119</v>
      </c>
      <c r="K511" t="s">
        <v>38</v>
      </c>
      <c r="L511" t="s">
        <v>38</v>
      </c>
      <c r="M511" t="s">
        <v>38</v>
      </c>
      <c r="N511" t="s">
        <v>38</v>
      </c>
      <c r="O511" t="s">
        <v>57</v>
      </c>
      <c r="P511" t="s">
        <v>42</v>
      </c>
      <c r="Q511" t="s">
        <v>43</v>
      </c>
      <c r="R511" t="s">
        <v>89</v>
      </c>
      <c r="S511" t="s">
        <v>45</v>
      </c>
      <c r="T511" t="s">
        <v>89</v>
      </c>
      <c r="U511" t="s">
        <v>301</v>
      </c>
      <c r="V511" t="s">
        <v>91</v>
      </c>
      <c r="W511" t="s">
        <v>92</v>
      </c>
      <c r="X511" t="s">
        <v>38</v>
      </c>
      <c r="Y511" t="s">
        <v>38</v>
      </c>
      <c r="Z511" t="s">
        <v>42</v>
      </c>
      <c r="AA511" t="s">
        <v>1254</v>
      </c>
      <c r="AB511" t="s">
        <v>38</v>
      </c>
      <c r="AC511" t="s">
        <v>45</v>
      </c>
      <c r="AD511" t="s">
        <v>48</v>
      </c>
      <c r="AG511" t="str">
        <f>IF(AD511="United States", IFERROR(INDEX(Sheet2!$C:$C, MATCH(AE511&amp;AF511, Sheet2!$E:$E, 0)) &amp; ", " &amp; INDEX(Sheet2!$D:$D, MATCH(AE511&amp;AF511, Sheet2!$E:$E, 0)), ""), "-")</f>
        <v/>
      </c>
    </row>
    <row r="512" spans="1:33" x14ac:dyDescent="0.25">
      <c r="A512" t="s">
        <v>1113</v>
      </c>
      <c r="B512" t="s">
        <v>1255</v>
      </c>
      <c r="C512" t="s">
        <v>1115</v>
      </c>
      <c r="D512" t="s">
        <v>113</v>
      </c>
      <c r="E512" t="s">
        <v>1256</v>
      </c>
      <c r="F512">
        <v>1758</v>
      </c>
      <c r="G512">
        <v>1115</v>
      </c>
      <c r="H512" t="s">
        <v>1131</v>
      </c>
      <c r="I512" t="s">
        <v>80</v>
      </c>
      <c r="J512" t="s">
        <v>1119</v>
      </c>
      <c r="K512" t="s">
        <v>38</v>
      </c>
      <c r="L512" t="s">
        <v>38</v>
      </c>
      <c r="M512" t="s">
        <v>38</v>
      </c>
      <c r="N512" t="s">
        <v>38</v>
      </c>
      <c r="O512" t="s">
        <v>41</v>
      </c>
      <c r="P512" t="s">
        <v>42</v>
      </c>
      <c r="Q512" t="s">
        <v>43</v>
      </c>
      <c r="R512" t="s">
        <v>89</v>
      </c>
      <c r="S512" t="s">
        <v>45</v>
      </c>
      <c r="T512" t="s">
        <v>89</v>
      </c>
      <c r="U512" t="s">
        <v>301</v>
      </c>
      <c r="V512" t="s">
        <v>91</v>
      </c>
      <c r="W512" t="s">
        <v>92</v>
      </c>
      <c r="X512" t="s">
        <v>38</v>
      </c>
      <c r="Y512" t="s">
        <v>38</v>
      </c>
      <c r="Z512" t="s">
        <v>42</v>
      </c>
      <c r="AA512" t="s">
        <v>45</v>
      </c>
      <c r="AB512" t="s">
        <v>1257</v>
      </c>
      <c r="AC512" t="s">
        <v>45</v>
      </c>
      <c r="AD512" t="s">
        <v>48</v>
      </c>
      <c r="AG512" t="str">
        <f>IF(AD512="United States", IFERROR(INDEX(Sheet2!$C:$C, MATCH(AE512&amp;AF512, Sheet2!$E:$E, 0)) &amp; ", " &amp; INDEX(Sheet2!$D:$D, MATCH(AE512&amp;AF512, Sheet2!$E:$E, 0)), ""), "-")</f>
        <v/>
      </c>
    </row>
    <row r="513" spans="1:33" x14ac:dyDescent="0.25">
      <c r="A513" t="s">
        <v>1113</v>
      </c>
      <c r="B513" t="s">
        <v>1258</v>
      </c>
      <c r="C513" t="s">
        <v>1115</v>
      </c>
      <c r="D513" t="s">
        <v>226</v>
      </c>
      <c r="E513" t="s">
        <v>1259</v>
      </c>
      <c r="F513">
        <v>1780</v>
      </c>
      <c r="G513">
        <v>1366</v>
      </c>
      <c r="H513" t="s">
        <v>1118</v>
      </c>
      <c r="I513" t="s">
        <v>80</v>
      </c>
      <c r="J513" t="s">
        <v>1119</v>
      </c>
      <c r="K513" t="s">
        <v>38</v>
      </c>
      <c r="L513" t="s">
        <v>38</v>
      </c>
      <c r="M513" t="s">
        <v>38</v>
      </c>
      <c r="N513" t="s">
        <v>38</v>
      </c>
      <c r="O513" t="s">
        <v>54</v>
      </c>
      <c r="P513" t="s">
        <v>42</v>
      </c>
      <c r="Q513" t="s">
        <v>43</v>
      </c>
      <c r="R513" t="s">
        <v>89</v>
      </c>
      <c r="S513" t="s">
        <v>38</v>
      </c>
      <c r="T513" t="s">
        <v>89</v>
      </c>
      <c r="U513" t="s">
        <v>301</v>
      </c>
      <c r="V513" t="s">
        <v>91</v>
      </c>
      <c r="W513" t="s">
        <v>92</v>
      </c>
      <c r="X513" t="s">
        <v>38</v>
      </c>
      <c r="Y513" t="s">
        <v>38</v>
      </c>
      <c r="Z513" t="s">
        <v>42</v>
      </c>
      <c r="AA513" t="s">
        <v>38</v>
      </c>
      <c r="AB513" t="s">
        <v>38</v>
      </c>
      <c r="AC513" t="s">
        <v>38</v>
      </c>
      <c r="AD513" t="s">
        <v>48</v>
      </c>
      <c r="AG513" t="str">
        <f>IF(AD513="United States", IFERROR(INDEX(Sheet2!$C:$C, MATCH(AE513&amp;AF513, Sheet2!$E:$E, 0)) &amp; ", " &amp; INDEX(Sheet2!$D:$D, MATCH(AE513&amp;AF513, Sheet2!$E:$E, 0)), ""), "-")</f>
        <v/>
      </c>
    </row>
    <row r="514" spans="1:33" x14ac:dyDescent="0.25">
      <c r="A514" t="s">
        <v>1113</v>
      </c>
      <c r="B514" t="s">
        <v>1260</v>
      </c>
      <c r="C514" t="s">
        <v>1115</v>
      </c>
      <c r="D514" t="s">
        <v>834</v>
      </c>
      <c r="E514" t="s">
        <v>1134</v>
      </c>
      <c r="F514">
        <v>1758</v>
      </c>
      <c r="G514">
        <v>1364</v>
      </c>
      <c r="H514" t="s">
        <v>1118</v>
      </c>
      <c r="I514" t="s">
        <v>80</v>
      </c>
      <c r="J514" t="s">
        <v>1119</v>
      </c>
      <c r="K514" t="s">
        <v>38</v>
      </c>
      <c r="L514" t="s">
        <v>38</v>
      </c>
      <c r="M514" t="s">
        <v>38</v>
      </c>
      <c r="N514" t="s">
        <v>38</v>
      </c>
      <c r="O514" t="s">
        <v>57</v>
      </c>
      <c r="P514" t="s">
        <v>42</v>
      </c>
      <c r="Q514" t="s">
        <v>43</v>
      </c>
      <c r="R514" t="s">
        <v>89</v>
      </c>
      <c r="S514" t="s">
        <v>201</v>
      </c>
      <c r="T514" t="s">
        <v>89</v>
      </c>
      <c r="U514" t="s">
        <v>301</v>
      </c>
      <c r="V514" t="s">
        <v>91</v>
      </c>
      <c r="W514" t="s">
        <v>92</v>
      </c>
      <c r="X514" t="s">
        <v>38</v>
      </c>
      <c r="Y514" t="s">
        <v>38</v>
      </c>
      <c r="Z514" t="s">
        <v>42</v>
      </c>
      <c r="AA514" t="s">
        <v>265</v>
      </c>
      <c r="AB514" t="s">
        <v>38</v>
      </c>
      <c r="AC514" t="s">
        <v>201</v>
      </c>
      <c r="AD514" t="s">
        <v>48</v>
      </c>
      <c r="AG514" t="str">
        <f>IF(AD514="United States", IFERROR(INDEX(Sheet2!$C:$C, MATCH(AE514&amp;AF514, Sheet2!$E:$E, 0)) &amp; ", " &amp; INDEX(Sheet2!$D:$D, MATCH(AE514&amp;AF514, Sheet2!$E:$E, 0)), ""), "-")</f>
        <v/>
      </c>
    </row>
    <row r="515" spans="1:33" x14ac:dyDescent="0.25">
      <c r="A515" t="s">
        <v>1113</v>
      </c>
      <c r="B515" t="s">
        <v>1261</v>
      </c>
      <c r="C515" t="s">
        <v>1115</v>
      </c>
      <c r="D515" t="s">
        <v>357</v>
      </c>
      <c r="E515" t="s">
        <v>1262</v>
      </c>
      <c r="F515">
        <v>1760</v>
      </c>
      <c r="G515">
        <v>1116</v>
      </c>
      <c r="H515" t="s">
        <v>1118</v>
      </c>
      <c r="I515" t="s">
        <v>80</v>
      </c>
      <c r="J515" t="s">
        <v>1119</v>
      </c>
      <c r="K515" t="s">
        <v>38</v>
      </c>
      <c r="L515" t="s">
        <v>38</v>
      </c>
      <c r="M515" t="s">
        <v>38</v>
      </c>
      <c r="N515" t="s">
        <v>38</v>
      </c>
      <c r="O515" t="s">
        <v>41</v>
      </c>
      <c r="P515" t="s">
        <v>42</v>
      </c>
      <c r="Q515" t="s">
        <v>43</v>
      </c>
      <c r="R515" t="s">
        <v>89</v>
      </c>
      <c r="S515" t="s">
        <v>45</v>
      </c>
      <c r="T515" t="s">
        <v>89</v>
      </c>
      <c r="U515" t="s">
        <v>301</v>
      </c>
      <c r="V515" t="s">
        <v>91</v>
      </c>
      <c r="W515" t="s">
        <v>92</v>
      </c>
      <c r="X515" t="s">
        <v>38</v>
      </c>
      <c r="Y515" t="s">
        <v>38</v>
      </c>
      <c r="Z515" t="s">
        <v>42</v>
      </c>
      <c r="AA515" t="s">
        <v>1153</v>
      </c>
      <c r="AB515" t="s">
        <v>38</v>
      </c>
      <c r="AC515" t="s">
        <v>45</v>
      </c>
      <c r="AD515" t="s">
        <v>48</v>
      </c>
      <c r="AG515" t="str">
        <f>IF(AD515="United States", IFERROR(INDEX(Sheet2!$C:$C, MATCH(AE515&amp;AF515, Sheet2!$E:$E, 0)) &amp; ", " &amp; INDEX(Sheet2!$D:$D, MATCH(AE515&amp;AF515, Sheet2!$E:$E, 0)), ""), "-")</f>
        <v/>
      </c>
    </row>
    <row r="516" spans="1:33" x14ac:dyDescent="0.25">
      <c r="A516" t="s">
        <v>1113</v>
      </c>
      <c r="B516" t="s">
        <v>1263</v>
      </c>
      <c r="C516" t="s">
        <v>1115</v>
      </c>
      <c r="D516" t="s">
        <v>36</v>
      </c>
      <c r="E516" t="s">
        <v>1264</v>
      </c>
      <c r="F516">
        <v>1735</v>
      </c>
      <c r="G516">
        <v>1349</v>
      </c>
      <c r="H516" t="s">
        <v>1118</v>
      </c>
      <c r="I516" t="s">
        <v>80</v>
      </c>
      <c r="J516" t="s">
        <v>1119</v>
      </c>
      <c r="K516" t="s">
        <v>38</v>
      </c>
      <c r="L516" t="s">
        <v>38</v>
      </c>
      <c r="M516" t="s">
        <v>38</v>
      </c>
      <c r="N516" t="s">
        <v>38</v>
      </c>
      <c r="O516" t="s">
        <v>41</v>
      </c>
      <c r="P516" t="s">
        <v>42</v>
      </c>
      <c r="Q516" t="s">
        <v>43</v>
      </c>
      <c r="R516" t="s">
        <v>89</v>
      </c>
      <c r="S516" t="s">
        <v>45</v>
      </c>
      <c r="T516" t="s">
        <v>89</v>
      </c>
      <c r="U516" t="s">
        <v>301</v>
      </c>
      <c r="V516" t="s">
        <v>91</v>
      </c>
      <c r="W516" t="s">
        <v>92</v>
      </c>
      <c r="X516" t="s">
        <v>38</v>
      </c>
      <c r="Y516" t="s">
        <v>38</v>
      </c>
      <c r="Z516" t="s">
        <v>42</v>
      </c>
      <c r="AA516" t="s">
        <v>1265</v>
      </c>
      <c r="AB516" t="s">
        <v>38</v>
      </c>
      <c r="AC516" t="s">
        <v>45</v>
      </c>
      <c r="AD516" t="s">
        <v>48</v>
      </c>
      <c r="AG516" t="str">
        <f>IF(AD516="United States", IFERROR(INDEX(Sheet2!$C:$C, MATCH(AE516&amp;AF516, Sheet2!$E:$E, 0)) &amp; ", " &amp; INDEX(Sheet2!$D:$D, MATCH(AE516&amp;AF516, Sheet2!$E:$E, 0)), ""), "-")</f>
        <v/>
      </c>
    </row>
    <row r="517" spans="1:33" x14ac:dyDescent="0.25">
      <c r="A517" t="s">
        <v>1113</v>
      </c>
      <c r="B517" t="s">
        <v>1266</v>
      </c>
      <c r="C517" t="s">
        <v>1115</v>
      </c>
      <c r="D517" t="s">
        <v>334</v>
      </c>
      <c r="E517" t="s">
        <v>1267</v>
      </c>
      <c r="F517">
        <v>1759</v>
      </c>
      <c r="G517">
        <v>1386</v>
      </c>
      <c r="H517" t="s">
        <v>1131</v>
      </c>
      <c r="I517" t="s">
        <v>80</v>
      </c>
      <c r="J517" t="s">
        <v>1119</v>
      </c>
      <c r="K517" t="s">
        <v>38</v>
      </c>
      <c r="L517" t="s">
        <v>38</v>
      </c>
      <c r="M517" t="s">
        <v>38</v>
      </c>
      <c r="N517" t="s">
        <v>38</v>
      </c>
      <c r="O517" t="s">
        <v>41</v>
      </c>
      <c r="P517" t="s">
        <v>42</v>
      </c>
      <c r="Q517" t="s">
        <v>43</v>
      </c>
      <c r="R517" t="s">
        <v>89</v>
      </c>
      <c r="S517" t="s">
        <v>45</v>
      </c>
      <c r="T517" t="s">
        <v>89</v>
      </c>
      <c r="U517" t="s">
        <v>301</v>
      </c>
      <c r="V517" t="s">
        <v>91</v>
      </c>
      <c r="W517" t="s">
        <v>92</v>
      </c>
      <c r="X517" t="s">
        <v>38</v>
      </c>
      <c r="Y517" t="s">
        <v>38</v>
      </c>
      <c r="Z517" t="s">
        <v>42</v>
      </c>
      <c r="AA517" t="s">
        <v>1244</v>
      </c>
      <c r="AB517" t="s">
        <v>38</v>
      </c>
      <c r="AC517" t="s">
        <v>45</v>
      </c>
      <c r="AD517" t="s">
        <v>48</v>
      </c>
      <c r="AG517" t="str">
        <f>IF(AD517="United States", IFERROR(INDEX(Sheet2!$C:$C, MATCH(AE517&amp;AF517, Sheet2!$E:$E, 0)) &amp; ", " &amp; INDEX(Sheet2!$D:$D, MATCH(AE517&amp;AF517, Sheet2!$E:$E, 0)), ""), "-")</f>
        <v/>
      </c>
    </row>
    <row r="518" spans="1:33" x14ac:dyDescent="0.25">
      <c r="A518" t="s">
        <v>1113</v>
      </c>
      <c r="B518" t="s">
        <v>1268</v>
      </c>
      <c r="C518" t="s">
        <v>1115</v>
      </c>
      <c r="D518" t="s">
        <v>101</v>
      </c>
      <c r="E518" t="s">
        <v>1236</v>
      </c>
      <c r="F518">
        <v>1753</v>
      </c>
      <c r="G518">
        <v>1351</v>
      </c>
      <c r="H518" t="s">
        <v>1118</v>
      </c>
      <c r="I518" t="s">
        <v>80</v>
      </c>
      <c r="J518" t="s">
        <v>1119</v>
      </c>
      <c r="K518" t="s">
        <v>38</v>
      </c>
      <c r="L518" t="s">
        <v>38</v>
      </c>
      <c r="M518" t="s">
        <v>38</v>
      </c>
      <c r="N518" t="s">
        <v>38</v>
      </c>
      <c r="O518" t="s">
        <v>41</v>
      </c>
      <c r="P518" t="s">
        <v>42</v>
      </c>
      <c r="Q518" t="s">
        <v>43</v>
      </c>
      <c r="R518" t="s">
        <v>89</v>
      </c>
      <c r="S518" t="s">
        <v>45</v>
      </c>
      <c r="T518" t="s">
        <v>89</v>
      </c>
      <c r="U518" t="s">
        <v>301</v>
      </c>
      <c r="V518" t="s">
        <v>91</v>
      </c>
      <c r="W518" t="s">
        <v>92</v>
      </c>
      <c r="X518" t="s">
        <v>38</v>
      </c>
      <c r="Y518" t="s">
        <v>38</v>
      </c>
      <c r="Z518" t="s">
        <v>42</v>
      </c>
      <c r="AA518" t="s">
        <v>1269</v>
      </c>
      <c r="AB518" t="s">
        <v>38</v>
      </c>
      <c r="AC518" t="s">
        <v>45</v>
      </c>
      <c r="AD518" t="s">
        <v>48</v>
      </c>
      <c r="AG518" t="str">
        <f>IF(AD518="United States", IFERROR(INDEX(Sheet2!$C:$C, MATCH(AE518&amp;AF518, Sheet2!$E:$E, 0)) &amp; ", " &amp; INDEX(Sheet2!$D:$D, MATCH(AE518&amp;AF518, Sheet2!$E:$E, 0)), ""), "-")</f>
        <v/>
      </c>
    </row>
    <row r="519" spans="1:33" x14ac:dyDescent="0.25">
      <c r="A519" t="s">
        <v>1113</v>
      </c>
      <c r="B519" t="s">
        <v>1270</v>
      </c>
      <c r="C519" t="s">
        <v>1115</v>
      </c>
      <c r="D519" t="s">
        <v>193</v>
      </c>
      <c r="E519" t="s">
        <v>1084</v>
      </c>
      <c r="F519">
        <v>1745</v>
      </c>
      <c r="G519">
        <v>1352</v>
      </c>
      <c r="H519" t="s">
        <v>1118</v>
      </c>
      <c r="I519" t="s">
        <v>80</v>
      </c>
      <c r="J519" t="s">
        <v>1119</v>
      </c>
      <c r="K519" t="s">
        <v>38</v>
      </c>
      <c r="L519" t="s">
        <v>38</v>
      </c>
      <c r="M519" t="s">
        <v>38</v>
      </c>
      <c r="N519" t="s">
        <v>38</v>
      </c>
      <c r="O519" t="s">
        <v>41</v>
      </c>
      <c r="P519" t="s">
        <v>42</v>
      </c>
      <c r="Q519" t="s">
        <v>43</v>
      </c>
      <c r="R519" t="s">
        <v>89</v>
      </c>
      <c r="S519" t="s">
        <v>45</v>
      </c>
      <c r="T519" t="s">
        <v>89</v>
      </c>
      <c r="U519" t="s">
        <v>301</v>
      </c>
      <c r="V519" t="s">
        <v>91</v>
      </c>
      <c r="W519" t="s">
        <v>92</v>
      </c>
      <c r="X519" t="s">
        <v>38</v>
      </c>
      <c r="Y519" t="s">
        <v>38</v>
      </c>
      <c r="Z519" t="s">
        <v>42</v>
      </c>
      <c r="AA519" t="s">
        <v>169</v>
      </c>
      <c r="AB519" t="s">
        <v>38</v>
      </c>
      <c r="AC519" t="s">
        <v>45</v>
      </c>
      <c r="AD519" t="s">
        <v>48</v>
      </c>
      <c r="AG519" t="str">
        <f>IF(AD519="United States", IFERROR(INDEX(Sheet2!$C:$C, MATCH(AE519&amp;AF519, Sheet2!$E:$E, 0)) &amp; ", " &amp; INDEX(Sheet2!$D:$D, MATCH(AE519&amp;AF519, Sheet2!$E:$E, 0)), ""), "-")</f>
        <v/>
      </c>
    </row>
    <row r="520" spans="1:33" x14ac:dyDescent="0.25">
      <c r="A520" t="s">
        <v>1113</v>
      </c>
      <c r="B520" t="s">
        <v>1271</v>
      </c>
      <c r="C520" t="s">
        <v>1115</v>
      </c>
      <c r="D520" t="s">
        <v>556</v>
      </c>
      <c r="E520" t="s">
        <v>527</v>
      </c>
      <c r="F520">
        <v>1726</v>
      </c>
      <c r="G520">
        <v>1353</v>
      </c>
      <c r="H520" t="s">
        <v>1118</v>
      </c>
      <c r="I520" t="s">
        <v>80</v>
      </c>
      <c r="J520" t="s">
        <v>1119</v>
      </c>
      <c r="K520" t="s">
        <v>38</v>
      </c>
      <c r="L520" t="s">
        <v>38</v>
      </c>
      <c r="M520" t="s">
        <v>38</v>
      </c>
      <c r="N520" t="s">
        <v>38</v>
      </c>
      <c r="O520" t="s">
        <v>41</v>
      </c>
      <c r="P520" t="s">
        <v>42</v>
      </c>
      <c r="Q520" t="s">
        <v>43</v>
      </c>
      <c r="R520" t="s">
        <v>89</v>
      </c>
      <c r="S520" t="s">
        <v>45</v>
      </c>
      <c r="T520" t="s">
        <v>89</v>
      </c>
      <c r="U520" t="s">
        <v>301</v>
      </c>
      <c r="V520" t="s">
        <v>91</v>
      </c>
      <c r="W520" t="s">
        <v>92</v>
      </c>
      <c r="X520" t="s">
        <v>38</v>
      </c>
      <c r="Y520" t="s">
        <v>38</v>
      </c>
      <c r="Z520" t="s">
        <v>42</v>
      </c>
      <c r="AA520" t="s">
        <v>169</v>
      </c>
      <c r="AB520" t="s">
        <v>38</v>
      </c>
      <c r="AC520" t="s">
        <v>45</v>
      </c>
      <c r="AD520" t="s">
        <v>48</v>
      </c>
      <c r="AG520" t="str">
        <f>IF(AD520="United States", IFERROR(INDEX(Sheet2!$C:$C, MATCH(AE520&amp;AF520, Sheet2!$E:$E, 0)) &amp; ", " &amp; INDEX(Sheet2!$D:$D, MATCH(AE520&amp;AF520, Sheet2!$E:$E, 0)), ""), "-")</f>
        <v/>
      </c>
    </row>
    <row r="521" spans="1:33" x14ac:dyDescent="0.25">
      <c r="A521" t="s">
        <v>1113</v>
      </c>
      <c r="B521" t="s">
        <v>1272</v>
      </c>
      <c r="C521" t="s">
        <v>1115</v>
      </c>
      <c r="D521" t="s">
        <v>1126</v>
      </c>
      <c r="E521" t="s">
        <v>1145</v>
      </c>
      <c r="F521">
        <v>1761</v>
      </c>
      <c r="G521">
        <v>1354</v>
      </c>
      <c r="H521" t="s">
        <v>1118</v>
      </c>
      <c r="I521" t="s">
        <v>80</v>
      </c>
      <c r="J521" t="s">
        <v>1119</v>
      </c>
      <c r="K521" t="s">
        <v>38</v>
      </c>
      <c r="L521" t="s">
        <v>38</v>
      </c>
      <c r="M521" t="s">
        <v>38</v>
      </c>
      <c r="N521" t="s">
        <v>38</v>
      </c>
      <c r="O521" t="s">
        <v>41</v>
      </c>
      <c r="P521" t="s">
        <v>42</v>
      </c>
      <c r="Q521" t="s">
        <v>43</v>
      </c>
      <c r="R521" t="s">
        <v>89</v>
      </c>
      <c r="S521" t="s">
        <v>45</v>
      </c>
      <c r="T521" t="s">
        <v>89</v>
      </c>
      <c r="U521" t="s">
        <v>301</v>
      </c>
      <c r="V521" t="s">
        <v>91</v>
      </c>
      <c r="W521" t="s">
        <v>92</v>
      </c>
      <c r="X521" t="s">
        <v>38</v>
      </c>
      <c r="Y521" t="s">
        <v>38</v>
      </c>
      <c r="Z521" t="s">
        <v>42</v>
      </c>
      <c r="AA521" t="s">
        <v>241</v>
      </c>
      <c r="AB521" t="s">
        <v>38</v>
      </c>
      <c r="AC521" t="s">
        <v>45</v>
      </c>
      <c r="AD521" t="s">
        <v>48</v>
      </c>
      <c r="AG521" t="str">
        <f>IF(AD521="United States", IFERROR(INDEX(Sheet2!$C:$C, MATCH(AE521&amp;AF521, Sheet2!$E:$E, 0)) &amp; ", " &amp; INDEX(Sheet2!$D:$D, MATCH(AE521&amp;AF521, Sheet2!$E:$E, 0)), ""), "-")</f>
        <v/>
      </c>
    </row>
    <row r="522" spans="1:33" x14ac:dyDescent="0.25">
      <c r="A522" t="s">
        <v>1113</v>
      </c>
      <c r="B522" t="s">
        <v>1273</v>
      </c>
      <c r="C522" t="s">
        <v>1115</v>
      </c>
      <c r="D522" t="s">
        <v>1274</v>
      </c>
      <c r="E522" t="s">
        <v>1145</v>
      </c>
      <c r="F522">
        <v>1762</v>
      </c>
      <c r="G522">
        <v>1365</v>
      </c>
      <c r="H522" t="s">
        <v>1118</v>
      </c>
      <c r="I522" t="s">
        <v>80</v>
      </c>
      <c r="J522" t="s">
        <v>1119</v>
      </c>
      <c r="K522" t="s">
        <v>38</v>
      </c>
      <c r="L522" t="s">
        <v>38</v>
      </c>
      <c r="M522" t="s">
        <v>38</v>
      </c>
      <c r="N522" t="s">
        <v>38</v>
      </c>
      <c r="O522" t="s">
        <v>57</v>
      </c>
      <c r="P522" t="s">
        <v>42</v>
      </c>
      <c r="Q522" t="s">
        <v>43</v>
      </c>
      <c r="R522" t="s">
        <v>89</v>
      </c>
      <c r="S522" t="s">
        <v>45</v>
      </c>
      <c r="T522" t="s">
        <v>89</v>
      </c>
      <c r="U522" t="s">
        <v>301</v>
      </c>
      <c r="V522" t="s">
        <v>91</v>
      </c>
      <c r="W522" t="s">
        <v>92</v>
      </c>
      <c r="X522" t="s">
        <v>38</v>
      </c>
      <c r="Y522" t="s">
        <v>38</v>
      </c>
      <c r="Z522" t="s">
        <v>42</v>
      </c>
      <c r="AA522" t="s">
        <v>1244</v>
      </c>
      <c r="AB522" t="s">
        <v>38</v>
      </c>
      <c r="AC522" t="s">
        <v>45</v>
      </c>
      <c r="AD522" t="s">
        <v>48</v>
      </c>
      <c r="AG522" t="str">
        <f>IF(AD522="United States", IFERROR(INDEX(Sheet2!$C:$C, MATCH(AE522&amp;AF522, Sheet2!$E:$E, 0)) &amp; ", " &amp; INDEX(Sheet2!$D:$D, MATCH(AE522&amp;AF522, Sheet2!$E:$E, 0)), ""), "-")</f>
        <v/>
      </c>
    </row>
    <row r="523" spans="1:33" x14ac:dyDescent="0.25">
      <c r="A523" t="s">
        <v>1113</v>
      </c>
      <c r="B523" t="s">
        <v>1275</v>
      </c>
      <c r="C523" t="s">
        <v>1115</v>
      </c>
      <c r="D523" t="s">
        <v>141</v>
      </c>
      <c r="E523" t="s">
        <v>1216</v>
      </c>
      <c r="F523">
        <v>1763</v>
      </c>
      <c r="G523">
        <v>1355</v>
      </c>
      <c r="H523" t="s">
        <v>1118</v>
      </c>
      <c r="I523" t="s">
        <v>80</v>
      </c>
      <c r="J523" t="s">
        <v>1119</v>
      </c>
      <c r="K523" t="s">
        <v>38</v>
      </c>
      <c r="L523" t="s">
        <v>38</v>
      </c>
      <c r="M523" t="s">
        <v>38</v>
      </c>
      <c r="N523" t="s">
        <v>38</v>
      </c>
      <c r="O523" t="s">
        <v>57</v>
      </c>
      <c r="P523" t="s">
        <v>42</v>
      </c>
      <c r="Q523" t="s">
        <v>43</v>
      </c>
      <c r="R523" t="s">
        <v>89</v>
      </c>
      <c r="S523" t="s">
        <v>45</v>
      </c>
      <c r="T523" t="s">
        <v>89</v>
      </c>
      <c r="U523" t="s">
        <v>301</v>
      </c>
      <c r="V523" t="s">
        <v>91</v>
      </c>
      <c r="W523" t="s">
        <v>92</v>
      </c>
      <c r="X523" t="s">
        <v>38</v>
      </c>
      <c r="Y523" t="s">
        <v>38</v>
      </c>
      <c r="Z523" t="s">
        <v>42</v>
      </c>
      <c r="AA523" t="s">
        <v>1135</v>
      </c>
      <c r="AB523" t="s">
        <v>38</v>
      </c>
      <c r="AC523" t="s">
        <v>45</v>
      </c>
      <c r="AD523" t="s">
        <v>48</v>
      </c>
      <c r="AG523" t="str">
        <f>IF(AD523="United States", IFERROR(INDEX(Sheet2!$C:$C, MATCH(AE523&amp;AF523, Sheet2!$E:$E, 0)) &amp; ", " &amp; INDEX(Sheet2!$D:$D, MATCH(AE523&amp;AF523, Sheet2!$E:$E, 0)), ""), "-")</f>
        <v/>
      </c>
    </row>
    <row r="524" spans="1:33" x14ac:dyDescent="0.25">
      <c r="A524" t="s">
        <v>1113</v>
      </c>
      <c r="B524" t="s">
        <v>1276</v>
      </c>
      <c r="C524" t="s">
        <v>1115</v>
      </c>
      <c r="D524" t="s">
        <v>245</v>
      </c>
      <c r="E524" t="s">
        <v>1145</v>
      </c>
      <c r="F524">
        <v>1734</v>
      </c>
      <c r="G524">
        <v>1357</v>
      </c>
      <c r="H524" t="s">
        <v>1118</v>
      </c>
      <c r="I524" t="s">
        <v>80</v>
      </c>
      <c r="J524" t="s">
        <v>1119</v>
      </c>
      <c r="K524" t="s">
        <v>38</v>
      </c>
      <c r="L524" t="s">
        <v>38</v>
      </c>
      <c r="M524" t="s">
        <v>38</v>
      </c>
      <c r="N524" t="s">
        <v>38</v>
      </c>
      <c r="O524" t="s">
        <v>57</v>
      </c>
      <c r="P524" t="s">
        <v>42</v>
      </c>
      <c r="Q524" t="s">
        <v>43</v>
      </c>
      <c r="R524" t="s">
        <v>89</v>
      </c>
      <c r="S524" t="s">
        <v>45</v>
      </c>
      <c r="T524" t="s">
        <v>89</v>
      </c>
      <c r="U524" t="s">
        <v>301</v>
      </c>
      <c r="V524" t="s">
        <v>91</v>
      </c>
      <c r="W524" t="s">
        <v>92</v>
      </c>
      <c r="X524" t="s">
        <v>38</v>
      </c>
      <c r="Y524" t="s">
        <v>38</v>
      </c>
      <c r="Z524" t="s">
        <v>42</v>
      </c>
      <c r="AA524" t="s">
        <v>1135</v>
      </c>
      <c r="AB524" t="s">
        <v>38</v>
      </c>
      <c r="AC524" t="s">
        <v>45</v>
      </c>
      <c r="AD524" t="s">
        <v>48</v>
      </c>
      <c r="AG524" t="str">
        <f>IF(AD524="United States", IFERROR(INDEX(Sheet2!$C:$C, MATCH(AE524&amp;AF524, Sheet2!$E:$E, 0)) &amp; ", " &amp; INDEX(Sheet2!$D:$D, MATCH(AE524&amp;AF524, Sheet2!$E:$E, 0)), ""), "-")</f>
        <v/>
      </c>
    </row>
    <row r="525" spans="1:33" x14ac:dyDescent="0.25">
      <c r="A525" t="s">
        <v>1113</v>
      </c>
      <c r="B525" t="s">
        <v>1277</v>
      </c>
      <c r="C525" t="s">
        <v>1115</v>
      </c>
      <c r="D525" t="s">
        <v>824</v>
      </c>
      <c r="E525" t="s">
        <v>1145</v>
      </c>
      <c r="F525">
        <v>1774</v>
      </c>
      <c r="G525">
        <v>1358</v>
      </c>
      <c r="H525" t="s">
        <v>1118</v>
      </c>
      <c r="I525" t="s">
        <v>80</v>
      </c>
      <c r="J525" t="s">
        <v>1119</v>
      </c>
      <c r="K525" t="s">
        <v>38</v>
      </c>
      <c r="L525" t="s">
        <v>38</v>
      </c>
      <c r="M525" t="s">
        <v>38</v>
      </c>
      <c r="N525" t="s">
        <v>38</v>
      </c>
      <c r="O525" t="s">
        <v>54</v>
      </c>
      <c r="P525" t="s">
        <v>42</v>
      </c>
      <c r="Q525" t="s">
        <v>43</v>
      </c>
      <c r="R525" t="s">
        <v>89</v>
      </c>
      <c r="S525" t="s">
        <v>45</v>
      </c>
      <c r="T525" t="s">
        <v>89</v>
      </c>
      <c r="U525" t="s">
        <v>301</v>
      </c>
      <c r="V525" t="s">
        <v>91</v>
      </c>
      <c r="W525" t="s">
        <v>92</v>
      </c>
      <c r="X525" t="s">
        <v>38</v>
      </c>
      <c r="Y525" t="s">
        <v>38</v>
      </c>
      <c r="Z525" t="s">
        <v>42</v>
      </c>
      <c r="AA525" t="s">
        <v>1135</v>
      </c>
      <c r="AB525" t="s">
        <v>38</v>
      </c>
      <c r="AC525" t="s">
        <v>45</v>
      </c>
      <c r="AD525" t="s">
        <v>48</v>
      </c>
      <c r="AG525" t="str">
        <f>IF(AD525="United States", IFERROR(INDEX(Sheet2!$C:$C, MATCH(AE525&amp;AF525, Sheet2!$E:$E, 0)) &amp; ", " &amp; INDEX(Sheet2!$D:$D, MATCH(AE525&amp;AF525, Sheet2!$E:$E, 0)), ""), "-")</f>
        <v/>
      </c>
    </row>
    <row r="526" spans="1:33" x14ac:dyDescent="0.25">
      <c r="A526" t="s">
        <v>1113</v>
      </c>
      <c r="B526" t="s">
        <v>1278</v>
      </c>
      <c r="C526" t="s">
        <v>1115</v>
      </c>
      <c r="D526" t="s">
        <v>245</v>
      </c>
      <c r="E526" t="s">
        <v>1159</v>
      </c>
      <c r="F526">
        <v>1738</v>
      </c>
      <c r="G526">
        <v>1359</v>
      </c>
      <c r="H526" t="s">
        <v>1118</v>
      </c>
      <c r="I526" t="s">
        <v>80</v>
      </c>
      <c r="J526" t="s">
        <v>1119</v>
      </c>
      <c r="K526" t="s">
        <v>38</v>
      </c>
      <c r="L526" t="s">
        <v>38</v>
      </c>
      <c r="M526" t="s">
        <v>38</v>
      </c>
      <c r="N526" t="s">
        <v>38</v>
      </c>
      <c r="O526" t="s">
        <v>57</v>
      </c>
      <c r="P526" t="s">
        <v>42</v>
      </c>
      <c r="Q526" t="s">
        <v>43</v>
      </c>
      <c r="R526" t="s">
        <v>89</v>
      </c>
      <c r="S526" t="s">
        <v>45</v>
      </c>
      <c r="T526" t="s">
        <v>89</v>
      </c>
      <c r="U526" t="s">
        <v>301</v>
      </c>
      <c r="V526" t="s">
        <v>91</v>
      </c>
      <c r="W526" t="s">
        <v>92</v>
      </c>
      <c r="X526" t="s">
        <v>38</v>
      </c>
      <c r="Y526" t="s">
        <v>38</v>
      </c>
      <c r="Z526" t="s">
        <v>42</v>
      </c>
      <c r="AA526" t="s">
        <v>169</v>
      </c>
      <c r="AB526" t="s">
        <v>38</v>
      </c>
      <c r="AC526" t="s">
        <v>45</v>
      </c>
      <c r="AD526" t="s">
        <v>48</v>
      </c>
      <c r="AG526" t="str">
        <f>IF(AD526="United States", IFERROR(INDEX(Sheet2!$C:$C, MATCH(AE526&amp;AF526, Sheet2!$E:$E, 0)) &amp; ", " &amp; INDEX(Sheet2!$D:$D, MATCH(AE526&amp;AF526, Sheet2!$E:$E, 0)), ""), "-")</f>
        <v/>
      </c>
    </row>
    <row r="527" spans="1:33" x14ac:dyDescent="0.25">
      <c r="A527" t="s">
        <v>1113</v>
      </c>
      <c r="B527" t="s">
        <v>1279</v>
      </c>
      <c r="C527" t="s">
        <v>1115</v>
      </c>
      <c r="D527" t="s">
        <v>245</v>
      </c>
      <c r="E527" t="s">
        <v>37</v>
      </c>
      <c r="F527">
        <v>1757</v>
      </c>
      <c r="G527">
        <v>1360</v>
      </c>
      <c r="H527" t="s">
        <v>1118</v>
      </c>
      <c r="I527" t="s">
        <v>80</v>
      </c>
      <c r="J527" t="s">
        <v>1119</v>
      </c>
      <c r="K527" t="s">
        <v>38</v>
      </c>
      <c r="L527" t="s">
        <v>38</v>
      </c>
      <c r="M527" t="s">
        <v>38</v>
      </c>
      <c r="N527" t="s">
        <v>38</v>
      </c>
      <c r="O527" t="s">
        <v>57</v>
      </c>
      <c r="P527" t="s">
        <v>42</v>
      </c>
      <c r="Q527" t="s">
        <v>43</v>
      </c>
      <c r="R527" t="s">
        <v>89</v>
      </c>
      <c r="S527" t="s">
        <v>45</v>
      </c>
      <c r="T527" t="s">
        <v>89</v>
      </c>
      <c r="U527" t="s">
        <v>301</v>
      </c>
      <c r="V527" t="s">
        <v>91</v>
      </c>
      <c r="W527" t="s">
        <v>92</v>
      </c>
      <c r="X527" t="s">
        <v>38</v>
      </c>
      <c r="Y527" t="s">
        <v>38</v>
      </c>
      <c r="Z527" t="s">
        <v>42</v>
      </c>
      <c r="AA527" t="s">
        <v>1135</v>
      </c>
      <c r="AB527" t="s">
        <v>38</v>
      </c>
      <c r="AC527" t="s">
        <v>45</v>
      </c>
      <c r="AD527" t="s">
        <v>48</v>
      </c>
      <c r="AG527" t="str">
        <f>IF(AD527="United States", IFERROR(INDEX(Sheet2!$C:$C, MATCH(AE527&amp;AF527, Sheet2!$E:$E, 0)) &amp; ", " &amp; INDEX(Sheet2!$D:$D, MATCH(AE527&amp;AF527, Sheet2!$E:$E, 0)), ""), "-")</f>
        <v/>
      </c>
    </row>
    <row r="528" spans="1:33" x14ac:dyDescent="0.25">
      <c r="A528" t="s">
        <v>1113</v>
      </c>
      <c r="B528" t="s">
        <v>1280</v>
      </c>
      <c r="C528" t="s">
        <v>1115</v>
      </c>
      <c r="D528" t="s">
        <v>1126</v>
      </c>
      <c r="E528" t="s">
        <v>37</v>
      </c>
      <c r="F528">
        <v>1768</v>
      </c>
      <c r="G528">
        <v>1361</v>
      </c>
      <c r="H528" t="s">
        <v>1118</v>
      </c>
      <c r="I528" t="s">
        <v>80</v>
      </c>
      <c r="J528" t="s">
        <v>1119</v>
      </c>
      <c r="K528" t="s">
        <v>38</v>
      </c>
      <c r="L528" t="s">
        <v>38</v>
      </c>
      <c r="M528" t="s">
        <v>38</v>
      </c>
      <c r="N528" t="s">
        <v>38</v>
      </c>
      <c r="O528" t="s">
        <v>54</v>
      </c>
      <c r="P528" t="s">
        <v>42</v>
      </c>
      <c r="Q528" t="s">
        <v>43</v>
      </c>
      <c r="R528" t="s">
        <v>89</v>
      </c>
      <c r="S528" t="s">
        <v>38</v>
      </c>
      <c r="T528" t="s">
        <v>89</v>
      </c>
      <c r="U528" t="s">
        <v>301</v>
      </c>
      <c r="V528" t="s">
        <v>91</v>
      </c>
      <c r="W528" t="s">
        <v>92</v>
      </c>
      <c r="X528" t="s">
        <v>38</v>
      </c>
      <c r="Y528" t="s">
        <v>38</v>
      </c>
      <c r="Z528" t="s">
        <v>42</v>
      </c>
      <c r="AA528" t="s">
        <v>38</v>
      </c>
      <c r="AB528" t="s">
        <v>38</v>
      </c>
      <c r="AC528" t="s">
        <v>38</v>
      </c>
      <c r="AD528" t="s">
        <v>48</v>
      </c>
      <c r="AG528" t="str">
        <f>IF(AD528="United States", IFERROR(INDEX(Sheet2!$C:$C, MATCH(AE528&amp;AF528, Sheet2!$E:$E, 0)) &amp; ", " &amp; INDEX(Sheet2!$D:$D, MATCH(AE528&amp;AF528, Sheet2!$E:$E, 0)), ""), "-")</f>
        <v/>
      </c>
    </row>
    <row r="529" spans="1:33" x14ac:dyDescent="0.25">
      <c r="A529" t="s">
        <v>1113</v>
      </c>
      <c r="B529" t="s">
        <v>1281</v>
      </c>
      <c r="C529" t="s">
        <v>1115</v>
      </c>
      <c r="D529" t="s">
        <v>1282</v>
      </c>
      <c r="E529" t="s">
        <v>1264</v>
      </c>
      <c r="F529">
        <v>1754</v>
      </c>
      <c r="G529">
        <v>1362</v>
      </c>
      <c r="H529" t="s">
        <v>1118</v>
      </c>
      <c r="I529" t="s">
        <v>80</v>
      </c>
      <c r="J529" t="s">
        <v>1119</v>
      </c>
      <c r="K529" t="s">
        <v>38</v>
      </c>
      <c r="L529" t="s">
        <v>38</v>
      </c>
      <c r="M529" t="s">
        <v>38</v>
      </c>
      <c r="N529" t="s">
        <v>38</v>
      </c>
      <c r="O529" t="s">
        <v>57</v>
      </c>
      <c r="P529" t="s">
        <v>42</v>
      </c>
      <c r="Q529" t="s">
        <v>43</v>
      </c>
      <c r="R529" t="s">
        <v>89</v>
      </c>
      <c r="S529" t="s">
        <v>45</v>
      </c>
      <c r="T529" t="s">
        <v>89</v>
      </c>
      <c r="U529" t="s">
        <v>301</v>
      </c>
      <c r="V529" t="s">
        <v>91</v>
      </c>
      <c r="W529" t="s">
        <v>92</v>
      </c>
      <c r="X529" t="s">
        <v>38</v>
      </c>
      <c r="Y529" t="s">
        <v>38</v>
      </c>
      <c r="Z529" t="s">
        <v>42</v>
      </c>
      <c r="AA529" t="s">
        <v>1135</v>
      </c>
      <c r="AB529" t="s">
        <v>38</v>
      </c>
      <c r="AC529" t="s">
        <v>45</v>
      </c>
      <c r="AD529" t="s">
        <v>48</v>
      </c>
      <c r="AG529" t="str">
        <f>IF(AD529="United States", IFERROR(INDEX(Sheet2!$C:$C, MATCH(AE529&amp;AF529, Sheet2!$E:$E, 0)) &amp; ", " &amp; INDEX(Sheet2!$D:$D, MATCH(AE529&amp;AF529, Sheet2!$E:$E, 0)), ""), "-")</f>
        <v/>
      </c>
    </row>
    <row r="530" spans="1:33" x14ac:dyDescent="0.25">
      <c r="A530" t="s">
        <v>1113</v>
      </c>
      <c r="B530" t="s">
        <v>1283</v>
      </c>
      <c r="C530" t="s">
        <v>1115</v>
      </c>
      <c r="D530" t="s">
        <v>72</v>
      </c>
      <c r="E530" t="s">
        <v>1084</v>
      </c>
      <c r="F530">
        <v>1733</v>
      </c>
      <c r="G530">
        <v>1363</v>
      </c>
      <c r="H530" t="s">
        <v>1118</v>
      </c>
      <c r="I530" t="s">
        <v>80</v>
      </c>
      <c r="J530" t="s">
        <v>1119</v>
      </c>
      <c r="K530" t="s">
        <v>38</v>
      </c>
      <c r="L530" t="s">
        <v>38</v>
      </c>
      <c r="M530" t="s">
        <v>38</v>
      </c>
      <c r="N530" t="s">
        <v>38</v>
      </c>
      <c r="O530" t="s">
        <v>57</v>
      </c>
      <c r="P530" t="s">
        <v>42</v>
      </c>
      <c r="Q530" t="s">
        <v>43</v>
      </c>
      <c r="R530" t="s">
        <v>89</v>
      </c>
      <c r="S530" t="s">
        <v>45</v>
      </c>
      <c r="T530" t="s">
        <v>89</v>
      </c>
      <c r="U530" t="s">
        <v>301</v>
      </c>
      <c r="V530" t="s">
        <v>91</v>
      </c>
      <c r="W530" t="s">
        <v>92</v>
      </c>
      <c r="X530" t="s">
        <v>38</v>
      </c>
      <c r="Y530" t="s">
        <v>38</v>
      </c>
      <c r="Z530" t="s">
        <v>42</v>
      </c>
      <c r="AA530" t="s">
        <v>627</v>
      </c>
      <c r="AB530" t="s">
        <v>38</v>
      </c>
      <c r="AC530" t="s">
        <v>45</v>
      </c>
      <c r="AD530" t="s">
        <v>48</v>
      </c>
      <c r="AG530" t="str">
        <f>IF(AD530="United States", IFERROR(INDEX(Sheet2!$C:$C, MATCH(AE530&amp;AF530, Sheet2!$E:$E, 0)) &amp; ", " &amp; INDEX(Sheet2!$D:$D, MATCH(AE530&amp;AF530, Sheet2!$E:$E, 0)), ""), "-")</f>
        <v/>
      </c>
    </row>
    <row r="531" spans="1:33" x14ac:dyDescent="0.25">
      <c r="A531" t="s">
        <v>1113</v>
      </c>
      <c r="B531" t="s">
        <v>1284</v>
      </c>
      <c r="C531" t="s">
        <v>1115</v>
      </c>
      <c r="D531" t="s">
        <v>101</v>
      </c>
      <c r="E531" t="s">
        <v>1285</v>
      </c>
      <c r="F531">
        <v>1777</v>
      </c>
      <c r="G531">
        <v>1356</v>
      </c>
      <c r="H531" t="s">
        <v>1118</v>
      </c>
      <c r="I531" t="s">
        <v>80</v>
      </c>
      <c r="J531" t="s">
        <v>1119</v>
      </c>
      <c r="K531" t="s">
        <v>38</v>
      </c>
      <c r="L531" t="s">
        <v>38</v>
      </c>
      <c r="M531" t="s">
        <v>38</v>
      </c>
      <c r="N531" t="s">
        <v>38</v>
      </c>
      <c r="O531" t="s">
        <v>54</v>
      </c>
      <c r="P531" t="s">
        <v>42</v>
      </c>
      <c r="Q531" t="s">
        <v>43</v>
      </c>
      <c r="R531" t="s">
        <v>89</v>
      </c>
      <c r="S531" t="s">
        <v>38</v>
      </c>
      <c r="T531" t="s">
        <v>89</v>
      </c>
      <c r="U531" t="s">
        <v>301</v>
      </c>
      <c r="V531" t="s">
        <v>91</v>
      </c>
      <c r="W531" t="s">
        <v>92</v>
      </c>
      <c r="X531" t="s">
        <v>38</v>
      </c>
      <c r="Y531" t="s">
        <v>38</v>
      </c>
      <c r="Z531" t="s">
        <v>42</v>
      </c>
      <c r="AA531" t="s">
        <v>38</v>
      </c>
      <c r="AB531" t="s">
        <v>38</v>
      </c>
      <c r="AC531" t="s">
        <v>38</v>
      </c>
      <c r="AD531" t="s">
        <v>48</v>
      </c>
      <c r="AG531" t="str">
        <f>IF(AD531="United States", IFERROR(INDEX(Sheet2!$C:$C, MATCH(AE531&amp;AF531, Sheet2!$E:$E, 0)) &amp; ", " &amp; INDEX(Sheet2!$D:$D, MATCH(AE531&amp;AF531, Sheet2!$E:$E, 0)), ""), "-")</f>
        <v/>
      </c>
    </row>
    <row r="532" spans="1:33" x14ac:dyDescent="0.25">
      <c r="A532" t="s">
        <v>1113</v>
      </c>
      <c r="B532" t="s">
        <v>1286</v>
      </c>
      <c r="C532" t="s">
        <v>1115</v>
      </c>
      <c r="D532" t="s">
        <v>343</v>
      </c>
      <c r="E532" t="s">
        <v>268</v>
      </c>
      <c r="F532">
        <v>1746</v>
      </c>
      <c r="G532">
        <v>1387</v>
      </c>
      <c r="H532" t="s">
        <v>1131</v>
      </c>
      <c r="I532" t="s">
        <v>80</v>
      </c>
      <c r="J532" t="s">
        <v>1119</v>
      </c>
      <c r="K532" t="s">
        <v>38</v>
      </c>
      <c r="L532" t="s">
        <v>38</v>
      </c>
      <c r="M532" t="s">
        <v>38</v>
      </c>
      <c r="N532" t="s">
        <v>38</v>
      </c>
      <c r="O532" t="s">
        <v>41</v>
      </c>
      <c r="P532" t="s">
        <v>42</v>
      </c>
      <c r="Q532" t="s">
        <v>43</v>
      </c>
      <c r="R532" t="s">
        <v>89</v>
      </c>
      <c r="S532" t="s">
        <v>45</v>
      </c>
      <c r="T532" t="s">
        <v>89</v>
      </c>
      <c r="U532" t="s">
        <v>301</v>
      </c>
      <c r="V532" t="s">
        <v>91</v>
      </c>
      <c r="W532" t="s">
        <v>92</v>
      </c>
      <c r="X532" t="s">
        <v>38</v>
      </c>
      <c r="Y532" t="s">
        <v>38</v>
      </c>
      <c r="Z532" t="s">
        <v>42</v>
      </c>
      <c r="AA532" t="s">
        <v>1287</v>
      </c>
      <c r="AB532" t="s">
        <v>38</v>
      </c>
      <c r="AC532" t="s">
        <v>45</v>
      </c>
      <c r="AD532" t="s">
        <v>48</v>
      </c>
      <c r="AG532" t="str">
        <f>IF(AD532="United States", IFERROR(INDEX(Sheet2!$C:$C, MATCH(AE532&amp;AF532, Sheet2!$E:$E, 0)) &amp; ", " &amp; INDEX(Sheet2!$D:$D, MATCH(AE532&amp;AF532, Sheet2!$E:$E, 0)), ""), "-")</f>
        <v/>
      </c>
    </row>
    <row r="533" spans="1:33" x14ac:dyDescent="0.25">
      <c r="A533" t="s">
        <v>1113</v>
      </c>
      <c r="B533" t="s">
        <v>1263</v>
      </c>
      <c r="C533" t="s">
        <v>1115</v>
      </c>
      <c r="D533" t="s">
        <v>36</v>
      </c>
      <c r="E533" t="s">
        <v>1264</v>
      </c>
      <c r="F533">
        <v>1735</v>
      </c>
      <c r="G533">
        <v>1073</v>
      </c>
      <c r="H533" t="s">
        <v>1118</v>
      </c>
      <c r="I533" t="s">
        <v>80</v>
      </c>
      <c r="J533" t="s">
        <v>1119</v>
      </c>
      <c r="K533" t="s">
        <v>38</v>
      </c>
      <c r="L533" t="s">
        <v>38</v>
      </c>
      <c r="M533" t="s">
        <v>38</v>
      </c>
      <c r="N533" t="s">
        <v>38</v>
      </c>
      <c r="O533" t="s">
        <v>41</v>
      </c>
      <c r="P533" t="s">
        <v>42</v>
      </c>
      <c r="Q533" t="s">
        <v>43</v>
      </c>
      <c r="R533" t="s">
        <v>89</v>
      </c>
      <c r="S533" t="s">
        <v>45</v>
      </c>
      <c r="T533" t="s">
        <v>89</v>
      </c>
      <c r="U533" t="s">
        <v>301</v>
      </c>
      <c r="V533" t="s">
        <v>91</v>
      </c>
      <c r="W533" t="s">
        <v>92</v>
      </c>
      <c r="X533" t="s">
        <v>38</v>
      </c>
      <c r="Y533" t="s">
        <v>38</v>
      </c>
      <c r="Z533" t="s">
        <v>42</v>
      </c>
      <c r="AA533" t="s">
        <v>1265</v>
      </c>
      <c r="AB533" t="s">
        <v>38</v>
      </c>
      <c r="AC533" t="s">
        <v>45</v>
      </c>
      <c r="AD533" t="s">
        <v>48</v>
      </c>
      <c r="AG533" t="str">
        <f>IF(AD533="United States", IFERROR(INDEX(Sheet2!$C:$C, MATCH(AE533&amp;AF533, Sheet2!$E:$E, 0)) &amp; ", " &amp; INDEX(Sheet2!$D:$D, MATCH(AE533&amp;AF533, Sheet2!$E:$E, 0)), ""), "-")</f>
        <v/>
      </c>
    </row>
    <row r="534" spans="1:33" x14ac:dyDescent="0.25">
      <c r="A534" t="s">
        <v>1113</v>
      </c>
      <c r="B534" t="s">
        <v>1125</v>
      </c>
      <c r="C534" t="s">
        <v>1115</v>
      </c>
      <c r="D534" t="s">
        <v>1126</v>
      </c>
      <c r="E534" t="s">
        <v>1127</v>
      </c>
      <c r="F534">
        <v>1757</v>
      </c>
      <c r="G534">
        <v>1389</v>
      </c>
      <c r="H534" t="s">
        <v>1118</v>
      </c>
      <c r="I534" t="s">
        <v>80</v>
      </c>
      <c r="J534" t="s">
        <v>1119</v>
      </c>
      <c r="K534" t="s">
        <v>38</v>
      </c>
      <c r="L534" t="s">
        <v>38</v>
      </c>
      <c r="M534" t="s">
        <v>38</v>
      </c>
      <c r="N534" t="s">
        <v>38</v>
      </c>
      <c r="O534" t="s">
        <v>41</v>
      </c>
      <c r="P534" t="s">
        <v>42</v>
      </c>
      <c r="Q534" t="s">
        <v>43</v>
      </c>
      <c r="R534" t="s">
        <v>89</v>
      </c>
      <c r="S534" t="s">
        <v>45</v>
      </c>
      <c r="T534" t="s">
        <v>89</v>
      </c>
      <c r="U534" t="s">
        <v>301</v>
      </c>
      <c r="V534" t="s">
        <v>91</v>
      </c>
      <c r="W534" t="s">
        <v>92</v>
      </c>
      <c r="X534" t="s">
        <v>38</v>
      </c>
      <c r="Y534" t="s">
        <v>38</v>
      </c>
      <c r="Z534" t="s">
        <v>42</v>
      </c>
      <c r="AA534" t="s">
        <v>241</v>
      </c>
      <c r="AB534" t="s">
        <v>38</v>
      </c>
      <c r="AC534" t="s">
        <v>45</v>
      </c>
      <c r="AD534" t="s">
        <v>48</v>
      </c>
      <c r="AG534" t="str">
        <f>IF(AD534="United States", IFERROR(INDEX(Sheet2!$C:$C, MATCH(AE534&amp;AF534, Sheet2!$E:$E, 0)) &amp; ", " &amp; INDEX(Sheet2!$D:$D, MATCH(AE534&amp;AF534, Sheet2!$E:$E, 0)), ""), "-")</f>
        <v/>
      </c>
    </row>
    <row r="535" spans="1:33" x14ac:dyDescent="0.25">
      <c r="A535" t="s">
        <v>1113</v>
      </c>
      <c r="B535" t="s">
        <v>1142</v>
      </c>
      <c r="C535" t="s">
        <v>1115</v>
      </c>
      <c r="D535" t="s">
        <v>513</v>
      </c>
      <c r="E535" t="s">
        <v>1143</v>
      </c>
      <c r="F535">
        <v>1755</v>
      </c>
      <c r="G535">
        <v>1063</v>
      </c>
      <c r="H535" t="s">
        <v>1118</v>
      </c>
      <c r="I535" t="s">
        <v>80</v>
      </c>
      <c r="J535" t="s">
        <v>1119</v>
      </c>
      <c r="K535" t="s">
        <v>38</v>
      </c>
      <c r="L535" t="s">
        <v>38</v>
      </c>
      <c r="M535" t="s">
        <v>38</v>
      </c>
      <c r="N535" t="s">
        <v>38</v>
      </c>
      <c r="O535" t="s">
        <v>41</v>
      </c>
      <c r="P535" t="s">
        <v>42</v>
      </c>
      <c r="Q535" t="s">
        <v>43</v>
      </c>
      <c r="R535" t="s">
        <v>89</v>
      </c>
      <c r="S535" t="s">
        <v>45</v>
      </c>
      <c r="T535" t="s">
        <v>89</v>
      </c>
      <c r="U535" t="s">
        <v>301</v>
      </c>
      <c r="V535" t="s">
        <v>91</v>
      </c>
      <c r="W535" t="s">
        <v>92</v>
      </c>
      <c r="X535" t="s">
        <v>38</v>
      </c>
      <c r="Y535" t="s">
        <v>38</v>
      </c>
      <c r="Z535" t="s">
        <v>42</v>
      </c>
      <c r="AA535" t="s">
        <v>169</v>
      </c>
      <c r="AB535" t="s">
        <v>38</v>
      </c>
      <c r="AC535" t="s">
        <v>45</v>
      </c>
      <c r="AD535" t="s">
        <v>48</v>
      </c>
      <c r="AG535" t="str">
        <f>IF(AD535="United States", IFERROR(INDEX(Sheet2!$C:$C, MATCH(AE535&amp;AF535, Sheet2!$E:$E, 0)) &amp; ", " &amp; INDEX(Sheet2!$D:$D, MATCH(AE535&amp;AF535, Sheet2!$E:$E, 0)), ""), "-")</f>
        <v/>
      </c>
    </row>
    <row r="536" spans="1:33" x14ac:dyDescent="0.25">
      <c r="A536" t="s">
        <v>1113</v>
      </c>
      <c r="B536" t="s">
        <v>1144</v>
      </c>
      <c r="C536" t="s">
        <v>1115</v>
      </c>
      <c r="D536" t="s">
        <v>569</v>
      </c>
      <c r="E536" t="s">
        <v>1145</v>
      </c>
      <c r="F536">
        <v>1730</v>
      </c>
      <c r="G536">
        <v>1064</v>
      </c>
      <c r="H536" t="s">
        <v>1118</v>
      </c>
      <c r="I536" t="s">
        <v>80</v>
      </c>
      <c r="J536" t="s">
        <v>1119</v>
      </c>
      <c r="K536" t="s">
        <v>38</v>
      </c>
      <c r="L536" t="s">
        <v>38</v>
      </c>
      <c r="M536" t="s">
        <v>38</v>
      </c>
      <c r="N536" t="s">
        <v>38</v>
      </c>
      <c r="O536" t="s">
        <v>41</v>
      </c>
      <c r="P536" t="s">
        <v>42</v>
      </c>
      <c r="Q536" t="s">
        <v>43</v>
      </c>
      <c r="R536" t="s">
        <v>89</v>
      </c>
      <c r="S536" t="s">
        <v>45</v>
      </c>
      <c r="T536" t="s">
        <v>89</v>
      </c>
      <c r="U536" t="s">
        <v>301</v>
      </c>
      <c r="V536" t="s">
        <v>91</v>
      </c>
      <c r="W536" t="s">
        <v>92</v>
      </c>
      <c r="X536" t="s">
        <v>38</v>
      </c>
      <c r="Y536" t="s">
        <v>38</v>
      </c>
      <c r="Z536" t="s">
        <v>42</v>
      </c>
      <c r="AA536" t="s">
        <v>169</v>
      </c>
      <c r="AB536" t="s">
        <v>38</v>
      </c>
      <c r="AC536" t="s">
        <v>45</v>
      </c>
      <c r="AD536" t="s">
        <v>48</v>
      </c>
      <c r="AG536" t="str">
        <f>IF(AD536="United States", IFERROR(INDEX(Sheet2!$C:$C, MATCH(AE536&amp;AF536, Sheet2!$E:$E, 0)) &amp; ", " &amp; INDEX(Sheet2!$D:$D, MATCH(AE536&amp;AF536, Sheet2!$E:$E, 0)), ""), "-")</f>
        <v/>
      </c>
    </row>
    <row r="537" spans="1:33" x14ac:dyDescent="0.25">
      <c r="A537" t="s">
        <v>1113</v>
      </c>
      <c r="B537" t="s">
        <v>1146</v>
      </c>
      <c r="C537" t="s">
        <v>1115</v>
      </c>
      <c r="D537" t="s">
        <v>621</v>
      </c>
      <c r="E537" t="s">
        <v>1147</v>
      </c>
      <c r="F537">
        <v>1756</v>
      </c>
      <c r="G537">
        <v>1065</v>
      </c>
      <c r="H537" t="s">
        <v>1118</v>
      </c>
      <c r="I537" t="s">
        <v>80</v>
      </c>
      <c r="J537" t="s">
        <v>1119</v>
      </c>
      <c r="K537" t="s">
        <v>38</v>
      </c>
      <c r="L537" t="s">
        <v>38</v>
      </c>
      <c r="M537" t="s">
        <v>38</v>
      </c>
      <c r="N537" t="s">
        <v>38</v>
      </c>
      <c r="O537" t="s">
        <v>41</v>
      </c>
      <c r="P537" t="s">
        <v>42</v>
      </c>
      <c r="Q537" t="s">
        <v>43</v>
      </c>
      <c r="R537" t="s">
        <v>89</v>
      </c>
      <c r="S537" t="s">
        <v>45</v>
      </c>
      <c r="T537" t="s">
        <v>89</v>
      </c>
      <c r="U537" t="s">
        <v>301</v>
      </c>
      <c r="V537" t="s">
        <v>91</v>
      </c>
      <c r="W537" t="s">
        <v>92</v>
      </c>
      <c r="X537" t="s">
        <v>38</v>
      </c>
      <c r="Y537" t="s">
        <v>38</v>
      </c>
      <c r="Z537" t="s">
        <v>42</v>
      </c>
      <c r="AA537" t="s">
        <v>1148</v>
      </c>
      <c r="AB537" t="s">
        <v>38</v>
      </c>
      <c r="AC537" t="s">
        <v>45</v>
      </c>
      <c r="AD537" t="s">
        <v>48</v>
      </c>
      <c r="AG537" t="str">
        <f>IF(AD537="United States", IFERROR(INDEX(Sheet2!$C:$C, MATCH(AE537&amp;AF537, Sheet2!$E:$E, 0)) &amp; ", " &amp; INDEX(Sheet2!$D:$D, MATCH(AE537&amp;AF537, Sheet2!$E:$E, 0)), ""), "-")</f>
        <v/>
      </c>
    </row>
    <row r="538" spans="1:33" x14ac:dyDescent="0.25">
      <c r="A538" t="s">
        <v>1113</v>
      </c>
      <c r="B538" t="s">
        <v>1149</v>
      </c>
      <c r="C538" t="s">
        <v>1115</v>
      </c>
      <c r="D538" t="s">
        <v>569</v>
      </c>
      <c r="E538" t="s">
        <v>1150</v>
      </c>
      <c r="F538">
        <v>1736</v>
      </c>
      <c r="G538">
        <v>1066</v>
      </c>
      <c r="H538" t="s">
        <v>1118</v>
      </c>
      <c r="I538" t="s">
        <v>80</v>
      </c>
      <c r="J538" t="s">
        <v>1119</v>
      </c>
      <c r="K538" t="s">
        <v>38</v>
      </c>
      <c r="L538" t="s">
        <v>38</v>
      </c>
      <c r="M538" t="s">
        <v>38</v>
      </c>
      <c r="N538" t="s">
        <v>38</v>
      </c>
      <c r="O538" t="s">
        <v>41</v>
      </c>
      <c r="P538" t="s">
        <v>42</v>
      </c>
      <c r="Q538" t="s">
        <v>43</v>
      </c>
      <c r="R538" t="s">
        <v>89</v>
      </c>
      <c r="S538" t="s">
        <v>45</v>
      </c>
      <c r="T538" t="s">
        <v>89</v>
      </c>
      <c r="U538" t="s">
        <v>301</v>
      </c>
      <c r="V538" t="s">
        <v>91</v>
      </c>
      <c r="W538" t="s">
        <v>92</v>
      </c>
      <c r="X538" t="s">
        <v>38</v>
      </c>
      <c r="Y538" t="s">
        <v>38</v>
      </c>
      <c r="Z538" t="s">
        <v>42</v>
      </c>
      <c r="AA538" t="s">
        <v>1151</v>
      </c>
      <c r="AB538" t="s">
        <v>38</v>
      </c>
      <c r="AC538" t="s">
        <v>45</v>
      </c>
      <c r="AD538" t="s">
        <v>48</v>
      </c>
      <c r="AG538" t="str">
        <f>IF(AD538="United States", IFERROR(INDEX(Sheet2!$C:$C, MATCH(AE538&amp;AF538, Sheet2!$E:$E, 0)) &amp; ", " &amp; INDEX(Sheet2!$D:$D, MATCH(AE538&amp;AF538, Sheet2!$E:$E, 0)), ""), "-")</f>
        <v/>
      </c>
    </row>
    <row r="539" spans="1:33" x14ac:dyDescent="0.25">
      <c r="A539" t="s">
        <v>1113</v>
      </c>
      <c r="B539" t="s">
        <v>1152</v>
      </c>
      <c r="C539" t="s">
        <v>1115</v>
      </c>
      <c r="D539" t="s">
        <v>177</v>
      </c>
      <c r="E539" t="s">
        <v>62</v>
      </c>
      <c r="F539">
        <v>1753</v>
      </c>
      <c r="G539">
        <v>1067</v>
      </c>
      <c r="H539" t="s">
        <v>1118</v>
      </c>
      <c r="I539" t="s">
        <v>80</v>
      </c>
      <c r="J539" t="s">
        <v>1119</v>
      </c>
      <c r="K539" t="s">
        <v>38</v>
      </c>
      <c r="L539" t="s">
        <v>38</v>
      </c>
      <c r="M539" t="s">
        <v>38</v>
      </c>
      <c r="N539" t="s">
        <v>38</v>
      </c>
      <c r="O539" t="s">
        <v>41</v>
      </c>
      <c r="P539" t="s">
        <v>42</v>
      </c>
      <c r="Q539" t="s">
        <v>43</v>
      </c>
      <c r="R539" t="s">
        <v>89</v>
      </c>
      <c r="S539" t="s">
        <v>45</v>
      </c>
      <c r="T539" t="s">
        <v>89</v>
      </c>
      <c r="U539" t="s">
        <v>301</v>
      </c>
      <c r="V539" t="s">
        <v>91</v>
      </c>
      <c r="W539" t="s">
        <v>92</v>
      </c>
      <c r="X539" t="s">
        <v>38</v>
      </c>
      <c r="Y539" t="s">
        <v>38</v>
      </c>
      <c r="Z539" t="s">
        <v>42</v>
      </c>
      <c r="AA539" t="s">
        <v>1153</v>
      </c>
      <c r="AB539" t="s">
        <v>38</v>
      </c>
      <c r="AC539" t="s">
        <v>45</v>
      </c>
      <c r="AD539" t="s">
        <v>48</v>
      </c>
      <c r="AG539" t="str">
        <f>IF(AD539="United States", IFERROR(INDEX(Sheet2!$C:$C, MATCH(AE539&amp;AF539, Sheet2!$E:$E, 0)) &amp; ", " &amp; INDEX(Sheet2!$D:$D, MATCH(AE539&amp;AF539, Sheet2!$E:$E, 0)), ""), "-")</f>
        <v/>
      </c>
    </row>
    <row r="540" spans="1:33" x14ac:dyDescent="0.25">
      <c r="A540" t="s">
        <v>1113</v>
      </c>
      <c r="B540" t="s">
        <v>1156</v>
      </c>
      <c r="C540" t="s">
        <v>1115</v>
      </c>
      <c r="D540" t="s">
        <v>108</v>
      </c>
      <c r="E540" t="s">
        <v>1157</v>
      </c>
      <c r="F540">
        <v>1723</v>
      </c>
      <c r="G540">
        <v>1068</v>
      </c>
      <c r="H540" t="s">
        <v>1118</v>
      </c>
      <c r="I540" t="s">
        <v>80</v>
      </c>
      <c r="J540" t="s">
        <v>1119</v>
      </c>
      <c r="K540" t="s">
        <v>38</v>
      </c>
      <c r="L540" t="s">
        <v>38</v>
      </c>
      <c r="M540" t="s">
        <v>38</v>
      </c>
      <c r="N540" t="s">
        <v>38</v>
      </c>
      <c r="O540" t="s">
        <v>41</v>
      </c>
      <c r="P540" t="s">
        <v>42</v>
      </c>
      <c r="Q540" t="s">
        <v>43</v>
      </c>
      <c r="R540" t="s">
        <v>89</v>
      </c>
      <c r="S540" t="s">
        <v>45</v>
      </c>
      <c r="T540" t="s">
        <v>89</v>
      </c>
      <c r="U540" t="s">
        <v>301</v>
      </c>
      <c r="V540" t="s">
        <v>91</v>
      </c>
      <c r="W540" t="s">
        <v>92</v>
      </c>
      <c r="X540" t="s">
        <v>38</v>
      </c>
      <c r="Y540" t="s">
        <v>38</v>
      </c>
      <c r="Z540" t="s">
        <v>42</v>
      </c>
      <c r="AA540" t="s">
        <v>1120</v>
      </c>
      <c r="AB540" t="s">
        <v>38</v>
      </c>
      <c r="AC540" t="s">
        <v>45</v>
      </c>
      <c r="AD540" t="s">
        <v>48</v>
      </c>
      <c r="AG540" t="str">
        <f>IF(AD540="United States", IFERROR(INDEX(Sheet2!$C:$C, MATCH(AE540&amp;AF540, Sheet2!$E:$E, 0)) &amp; ", " &amp; INDEX(Sheet2!$D:$D, MATCH(AE540&amp;AF540, Sheet2!$E:$E, 0)), ""), "-")</f>
        <v/>
      </c>
    </row>
    <row r="541" spans="1:33" x14ac:dyDescent="0.25">
      <c r="A541" t="s">
        <v>1113</v>
      </c>
      <c r="B541" t="s">
        <v>1158</v>
      </c>
      <c r="C541" t="s">
        <v>1115</v>
      </c>
      <c r="D541" t="s">
        <v>210</v>
      </c>
      <c r="E541" t="s">
        <v>1159</v>
      </c>
      <c r="F541">
        <v>1743</v>
      </c>
      <c r="G541">
        <v>1069</v>
      </c>
      <c r="H541" t="s">
        <v>1118</v>
      </c>
      <c r="I541" t="s">
        <v>80</v>
      </c>
      <c r="J541" t="s">
        <v>1119</v>
      </c>
      <c r="K541" t="s">
        <v>38</v>
      </c>
      <c r="L541" t="s">
        <v>38</v>
      </c>
      <c r="M541" t="s">
        <v>38</v>
      </c>
      <c r="N541" t="s">
        <v>38</v>
      </c>
      <c r="O541" t="s">
        <v>41</v>
      </c>
      <c r="P541" t="s">
        <v>42</v>
      </c>
      <c r="Q541" t="s">
        <v>43</v>
      </c>
      <c r="R541" t="s">
        <v>89</v>
      </c>
      <c r="S541" t="s">
        <v>45</v>
      </c>
      <c r="T541" t="s">
        <v>89</v>
      </c>
      <c r="U541" t="s">
        <v>301</v>
      </c>
      <c r="V541" t="s">
        <v>91</v>
      </c>
      <c r="W541" t="s">
        <v>92</v>
      </c>
      <c r="X541" t="s">
        <v>38</v>
      </c>
      <c r="Y541" t="s">
        <v>38</v>
      </c>
      <c r="Z541" t="s">
        <v>42</v>
      </c>
      <c r="AA541" t="s">
        <v>169</v>
      </c>
      <c r="AB541" t="s">
        <v>38</v>
      </c>
      <c r="AC541" t="s">
        <v>45</v>
      </c>
      <c r="AD541" t="s">
        <v>48</v>
      </c>
      <c r="AG541" t="str">
        <f>IF(AD541="United States", IFERROR(INDEX(Sheet2!$C:$C, MATCH(AE541&amp;AF541, Sheet2!$E:$E, 0)) &amp; ", " &amp; INDEX(Sheet2!$D:$D, MATCH(AE541&amp;AF541, Sheet2!$E:$E, 0)), ""), "-")</f>
        <v/>
      </c>
    </row>
    <row r="542" spans="1:33" x14ac:dyDescent="0.25">
      <c r="A542" t="s">
        <v>1113</v>
      </c>
      <c r="B542" t="s">
        <v>1160</v>
      </c>
      <c r="C542" t="s">
        <v>1115</v>
      </c>
      <c r="D542" t="s">
        <v>132</v>
      </c>
      <c r="E542" t="s">
        <v>1161</v>
      </c>
      <c r="F542">
        <v>1748</v>
      </c>
      <c r="G542">
        <v>1070</v>
      </c>
      <c r="H542" t="s">
        <v>1118</v>
      </c>
      <c r="I542" t="s">
        <v>80</v>
      </c>
      <c r="J542" t="s">
        <v>1119</v>
      </c>
      <c r="K542" t="s">
        <v>38</v>
      </c>
      <c r="L542" t="s">
        <v>38</v>
      </c>
      <c r="M542" t="s">
        <v>38</v>
      </c>
      <c r="N542" t="s">
        <v>38</v>
      </c>
      <c r="O542" t="s">
        <v>41</v>
      </c>
      <c r="P542" t="s">
        <v>42</v>
      </c>
      <c r="Q542" t="s">
        <v>43</v>
      </c>
      <c r="R542" t="s">
        <v>89</v>
      </c>
      <c r="S542" t="s">
        <v>45</v>
      </c>
      <c r="T542" t="s">
        <v>89</v>
      </c>
      <c r="U542" t="s">
        <v>301</v>
      </c>
      <c r="V542" t="s">
        <v>91</v>
      </c>
      <c r="W542" t="s">
        <v>92</v>
      </c>
      <c r="X542" t="s">
        <v>38</v>
      </c>
      <c r="Y542" t="s">
        <v>38</v>
      </c>
      <c r="Z542" t="s">
        <v>42</v>
      </c>
      <c r="AA542" t="s">
        <v>38</v>
      </c>
      <c r="AB542" t="s">
        <v>38</v>
      </c>
      <c r="AC542" t="s">
        <v>864</v>
      </c>
      <c r="AD542" t="s">
        <v>48</v>
      </c>
      <c r="AG542" t="str">
        <f>IF(AD542="United States", IFERROR(INDEX(Sheet2!$C:$C, MATCH(AE542&amp;AF542, Sheet2!$E:$E, 0)) &amp; ", " &amp; INDEX(Sheet2!$D:$D, MATCH(AE542&amp;AF542, Sheet2!$E:$E, 0)), ""), "-")</f>
        <v/>
      </c>
    </row>
    <row r="543" spans="1:33" x14ac:dyDescent="0.25">
      <c r="A543" t="s">
        <v>1113</v>
      </c>
      <c r="B543" t="s">
        <v>1162</v>
      </c>
      <c r="C543" t="s">
        <v>1115</v>
      </c>
      <c r="D543" t="s">
        <v>226</v>
      </c>
      <c r="E543" t="s">
        <v>1150</v>
      </c>
      <c r="F543">
        <v>1770</v>
      </c>
      <c r="G543">
        <v>1071</v>
      </c>
      <c r="H543" t="s">
        <v>1118</v>
      </c>
      <c r="I543" t="s">
        <v>80</v>
      </c>
      <c r="J543" t="s">
        <v>1119</v>
      </c>
      <c r="K543" t="s">
        <v>38</v>
      </c>
      <c r="L543" t="s">
        <v>38</v>
      </c>
      <c r="M543" t="s">
        <v>38</v>
      </c>
      <c r="N543" t="s">
        <v>38</v>
      </c>
      <c r="O543" t="s">
        <v>54</v>
      </c>
      <c r="P543" t="s">
        <v>42</v>
      </c>
      <c r="Q543" t="s">
        <v>43</v>
      </c>
      <c r="R543" t="s">
        <v>89</v>
      </c>
      <c r="S543" t="s">
        <v>201</v>
      </c>
      <c r="T543" t="s">
        <v>89</v>
      </c>
      <c r="U543" t="s">
        <v>301</v>
      </c>
      <c r="V543" t="s">
        <v>91</v>
      </c>
      <c r="W543" t="s">
        <v>92</v>
      </c>
      <c r="X543" t="s">
        <v>38</v>
      </c>
      <c r="Y543" t="s">
        <v>38</v>
      </c>
      <c r="Z543" t="s">
        <v>42</v>
      </c>
      <c r="AA543" t="s">
        <v>354</v>
      </c>
      <c r="AB543" t="s">
        <v>38</v>
      </c>
      <c r="AC543" t="s">
        <v>201</v>
      </c>
      <c r="AD543" t="s">
        <v>48</v>
      </c>
      <c r="AG543" t="str">
        <f>IF(AD543="United States", IFERROR(INDEX(Sheet2!$C:$C, MATCH(AE543&amp;AF543, Sheet2!$E:$E, 0)) &amp; ", " &amp; INDEX(Sheet2!$D:$D, MATCH(AE543&amp;AF543, Sheet2!$E:$E, 0)), ""), "-")</f>
        <v/>
      </c>
    </row>
    <row r="544" spans="1:33" x14ac:dyDescent="0.25">
      <c r="A544" t="s">
        <v>1113</v>
      </c>
      <c r="B544" t="s">
        <v>1288</v>
      </c>
      <c r="C544" t="s">
        <v>1115</v>
      </c>
      <c r="D544" t="s">
        <v>50</v>
      </c>
      <c r="E544" t="s">
        <v>268</v>
      </c>
      <c r="F544">
        <v>1747</v>
      </c>
      <c r="G544">
        <v>1472</v>
      </c>
      <c r="H544" t="s">
        <v>1131</v>
      </c>
      <c r="I544" t="s">
        <v>80</v>
      </c>
      <c r="J544" t="s">
        <v>1119</v>
      </c>
      <c r="K544" t="s">
        <v>38</v>
      </c>
      <c r="L544" t="s">
        <v>38</v>
      </c>
      <c r="M544" t="s">
        <v>38</v>
      </c>
      <c r="N544" t="s">
        <v>38</v>
      </c>
      <c r="O544" t="s">
        <v>57</v>
      </c>
      <c r="P544" t="s">
        <v>42</v>
      </c>
      <c r="Q544" t="s">
        <v>43</v>
      </c>
      <c r="R544" t="s">
        <v>89</v>
      </c>
      <c r="S544" t="s">
        <v>153</v>
      </c>
      <c r="T544" t="s">
        <v>89</v>
      </c>
      <c r="U544" t="s">
        <v>301</v>
      </c>
      <c r="V544" t="s">
        <v>91</v>
      </c>
      <c r="W544" t="s">
        <v>92</v>
      </c>
      <c r="X544" t="s">
        <v>38</v>
      </c>
      <c r="Y544" t="s">
        <v>38</v>
      </c>
      <c r="Z544" t="s">
        <v>42</v>
      </c>
      <c r="AA544" t="s">
        <v>155</v>
      </c>
      <c r="AB544" t="s">
        <v>38</v>
      </c>
      <c r="AC544" t="s">
        <v>153</v>
      </c>
      <c r="AD544" t="s">
        <v>48</v>
      </c>
      <c r="AG544" t="str">
        <f>IF(AD544="United States", IFERROR(INDEX(Sheet2!$C:$C, MATCH(AE544&amp;AF544, Sheet2!$E:$E, 0)) &amp; ", " &amp; INDEX(Sheet2!$D:$D, MATCH(AE544&amp;AF544, Sheet2!$E:$E, 0)), ""), "-")</f>
        <v/>
      </c>
    </row>
    <row r="545" spans="1:33" x14ac:dyDescent="0.25">
      <c r="A545" t="s">
        <v>1113</v>
      </c>
      <c r="B545" t="s">
        <v>1289</v>
      </c>
      <c r="C545" t="s">
        <v>1115</v>
      </c>
      <c r="D545" t="s">
        <v>263</v>
      </c>
      <c r="E545" t="s">
        <v>629</v>
      </c>
      <c r="F545">
        <v>1750</v>
      </c>
      <c r="G545">
        <v>1473</v>
      </c>
      <c r="H545" t="s">
        <v>1187</v>
      </c>
      <c r="I545" t="s">
        <v>80</v>
      </c>
      <c r="J545" t="s">
        <v>1119</v>
      </c>
      <c r="K545" t="s">
        <v>38</v>
      </c>
      <c r="L545" t="s">
        <v>38</v>
      </c>
      <c r="M545" t="s">
        <v>50</v>
      </c>
      <c r="N545" t="s">
        <v>268</v>
      </c>
      <c r="O545" t="s">
        <v>74</v>
      </c>
      <c r="P545" t="s">
        <v>42</v>
      </c>
      <c r="Q545" t="s">
        <v>43</v>
      </c>
      <c r="R545" t="s">
        <v>89</v>
      </c>
      <c r="S545" t="s">
        <v>38</v>
      </c>
      <c r="T545" t="s">
        <v>89</v>
      </c>
      <c r="U545" t="s">
        <v>301</v>
      </c>
      <c r="V545" t="s">
        <v>91</v>
      </c>
      <c r="W545" t="s">
        <v>92</v>
      </c>
      <c r="X545" t="s">
        <v>38</v>
      </c>
      <c r="Y545" t="s">
        <v>38</v>
      </c>
      <c r="Z545" t="s">
        <v>42</v>
      </c>
      <c r="AA545" t="s">
        <v>38</v>
      </c>
      <c r="AB545" t="s">
        <v>38</v>
      </c>
      <c r="AC545" t="s">
        <v>60</v>
      </c>
      <c r="AD545" t="s">
        <v>48</v>
      </c>
      <c r="AG545" t="str">
        <f>IF(AD545="United States", IFERROR(INDEX(Sheet2!$C:$C, MATCH(AE545&amp;AF545, Sheet2!$E:$E, 0)) &amp; ", " &amp; INDEX(Sheet2!$D:$D, MATCH(AE545&amp;AF545, Sheet2!$E:$E, 0)), ""), "-")</f>
        <v/>
      </c>
    </row>
    <row r="546" spans="1:33" x14ac:dyDescent="0.25">
      <c r="A546" t="s">
        <v>1113</v>
      </c>
      <c r="B546" t="s">
        <v>1290</v>
      </c>
      <c r="C546" t="s">
        <v>1115</v>
      </c>
      <c r="D546" t="s">
        <v>210</v>
      </c>
      <c r="E546" t="s">
        <v>1291</v>
      </c>
      <c r="F546">
        <v>1754</v>
      </c>
      <c r="G546">
        <v>1474</v>
      </c>
      <c r="H546" t="s">
        <v>1118</v>
      </c>
      <c r="I546" t="s">
        <v>80</v>
      </c>
      <c r="J546" t="s">
        <v>1119</v>
      </c>
      <c r="K546" t="s">
        <v>38</v>
      </c>
      <c r="L546" t="s">
        <v>38</v>
      </c>
      <c r="M546" t="s">
        <v>38</v>
      </c>
      <c r="N546" t="s">
        <v>38</v>
      </c>
      <c r="O546" t="s">
        <v>41</v>
      </c>
      <c r="P546" t="s">
        <v>42</v>
      </c>
      <c r="Q546" t="s">
        <v>43</v>
      </c>
      <c r="R546" t="s">
        <v>89</v>
      </c>
      <c r="S546" t="s">
        <v>89</v>
      </c>
      <c r="T546" t="s">
        <v>89</v>
      </c>
      <c r="U546" t="s">
        <v>301</v>
      </c>
      <c r="V546" t="s">
        <v>91</v>
      </c>
      <c r="W546" t="s">
        <v>92</v>
      </c>
      <c r="X546" t="s">
        <v>38</v>
      </c>
      <c r="Y546" t="s">
        <v>38</v>
      </c>
      <c r="Z546" t="s">
        <v>42</v>
      </c>
      <c r="AA546" t="s">
        <v>38</v>
      </c>
      <c r="AB546" t="s">
        <v>38</v>
      </c>
      <c r="AC546" t="s">
        <v>89</v>
      </c>
      <c r="AD546" t="s">
        <v>48</v>
      </c>
      <c r="AG546" t="str">
        <f>IF(AD546="United States", IFERROR(INDEX(Sheet2!$C:$C, MATCH(AE546&amp;AF546, Sheet2!$E:$E, 0)) &amp; ", " &amp; INDEX(Sheet2!$D:$D, MATCH(AE546&amp;AF546, Sheet2!$E:$E, 0)), ""), "-")</f>
        <v/>
      </c>
    </row>
    <row r="547" spans="1:33" x14ac:dyDescent="0.25">
      <c r="A547" t="s">
        <v>1113</v>
      </c>
      <c r="B547" t="s">
        <v>1178</v>
      </c>
      <c r="C547" t="s">
        <v>1115</v>
      </c>
      <c r="D547" t="s">
        <v>1122</v>
      </c>
      <c r="E547" t="s">
        <v>1141</v>
      </c>
      <c r="F547">
        <v>1736</v>
      </c>
      <c r="G547">
        <v>1062</v>
      </c>
      <c r="H547" t="s">
        <v>1118</v>
      </c>
      <c r="I547" t="s">
        <v>80</v>
      </c>
      <c r="J547" t="s">
        <v>1119</v>
      </c>
      <c r="K547" t="s">
        <v>38</v>
      </c>
      <c r="L547" t="s">
        <v>38</v>
      </c>
      <c r="M547" t="s">
        <v>38</v>
      </c>
      <c r="N547" t="s">
        <v>38</v>
      </c>
      <c r="O547" t="s">
        <v>41</v>
      </c>
      <c r="P547" t="s">
        <v>42</v>
      </c>
      <c r="Q547" t="s">
        <v>43</v>
      </c>
      <c r="R547" t="s">
        <v>89</v>
      </c>
      <c r="S547" t="s">
        <v>45</v>
      </c>
      <c r="T547" t="s">
        <v>89</v>
      </c>
      <c r="U547" t="s">
        <v>301</v>
      </c>
      <c r="V547" t="s">
        <v>91</v>
      </c>
      <c r="W547" t="s">
        <v>92</v>
      </c>
      <c r="X547" t="s">
        <v>38</v>
      </c>
      <c r="Y547" t="s">
        <v>38</v>
      </c>
      <c r="Z547" t="s">
        <v>42</v>
      </c>
      <c r="AA547" t="s">
        <v>169</v>
      </c>
      <c r="AB547" t="s">
        <v>38</v>
      </c>
      <c r="AC547" t="s">
        <v>45</v>
      </c>
      <c r="AD547" t="s">
        <v>48</v>
      </c>
      <c r="AG547" t="str">
        <f>IF(AD547="United States", IFERROR(INDEX(Sheet2!$C:$C, MATCH(AE547&amp;AF547, Sheet2!$E:$E, 0)) &amp; ", " &amp; INDEX(Sheet2!$D:$D, MATCH(AE547&amp;AF547, Sheet2!$E:$E, 0)), ""), "-")</f>
        <v/>
      </c>
    </row>
    <row r="548" spans="1:33" x14ac:dyDescent="0.25">
      <c r="A548" t="s">
        <v>1113</v>
      </c>
      <c r="B548" t="s">
        <v>1292</v>
      </c>
      <c r="C548" t="s">
        <v>1115</v>
      </c>
      <c r="D548" t="s">
        <v>334</v>
      </c>
      <c r="E548" t="s">
        <v>1293</v>
      </c>
      <c r="F548">
        <v>1757</v>
      </c>
      <c r="G548">
        <v>1475</v>
      </c>
      <c r="H548" t="s">
        <v>1131</v>
      </c>
      <c r="I548" t="s">
        <v>80</v>
      </c>
      <c r="J548" t="s">
        <v>1119</v>
      </c>
      <c r="K548" t="s">
        <v>38</v>
      </c>
      <c r="L548" t="s">
        <v>38</v>
      </c>
      <c r="M548" t="s">
        <v>38</v>
      </c>
      <c r="N548" t="s">
        <v>38</v>
      </c>
      <c r="O548" t="s">
        <v>41</v>
      </c>
      <c r="P548" t="s">
        <v>42</v>
      </c>
      <c r="Q548" t="s">
        <v>43</v>
      </c>
      <c r="R548" t="s">
        <v>89</v>
      </c>
      <c r="S548" t="s">
        <v>38</v>
      </c>
      <c r="T548" t="s">
        <v>89</v>
      </c>
      <c r="U548" t="s">
        <v>301</v>
      </c>
      <c r="V548" t="s">
        <v>91</v>
      </c>
      <c r="W548" t="s">
        <v>92</v>
      </c>
      <c r="X548" t="s">
        <v>38</v>
      </c>
      <c r="Y548" t="s">
        <v>38</v>
      </c>
      <c r="Z548" t="s">
        <v>42</v>
      </c>
      <c r="AA548" t="s">
        <v>38</v>
      </c>
      <c r="AB548" t="s">
        <v>38</v>
      </c>
      <c r="AC548" t="s">
        <v>38</v>
      </c>
      <c r="AD548" t="s">
        <v>48</v>
      </c>
      <c r="AG548" t="str">
        <f>IF(AD548="United States", IFERROR(INDEX(Sheet2!$C:$C, MATCH(AE548&amp;AF548, Sheet2!$E:$E, 0)) &amp; ", " &amp; INDEX(Sheet2!$D:$D, MATCH(AE548&amp;AF548, Sheet2!$E:$E, 0)), ""), "-")</f>
        <v/>
      </c>
    </row>
    <row r="549" spans="1:33" x14ac:dyDescent="0.25">
      <c r="A549" t="s">
        <v>1113</v>
      </c>
      <c r="B549" t="s">
        <v>1294</v>
      </c>
      <c r="C549" t="s">
        <v>1115</v>
      </c>
      <c r="D549" t="s">
        <v>210</v>
      </c>
      <c r="E549" t="s">
        <v>1295</v>
      </c>
      <c r="F549">
        <v>1744</v>
      </c>
      <c r="G549">
        <v>1477</v>
      </c>
      <c r="H549" t="s">
        <v>1118</v>
      </c>
      <c r="I549" t="s">
        <v>80</v>
      </c>
      <c r="J549" t="s">
        <v>1119</v>
      </c>
      <c r="K549" t="s">
        <v>38</v>
      </c>
      <c r="L549" t="s">
        <v>38</v>
      </c>
      <c r="M549" t="s">
        <v>38</v>
      </c>
      <c r="N549" t="s">
        <v>38</v>
      </c>
      <c r="O549" t="s">
        <v>41</v>
      </c>
      <c r="P549" t="s">
        <v>42</v>
      </c>
      <c r="Q549" t="s">
        <v>43</v>
      </c>
      <c r="R549" t="s">
        <v>89</v>
      </c>
      <c r="S549" t="s">
        <v>153</v>
      </c>
      <c r="T549" t="s">
        <v>89</v>
      </c>
      <c r="U549" t="s">
        <v>301</v>
      </c>
      <c r="V549" t="s">
        <v>91</v>
      </c>
      <c r="W549" t="s">
        <v>92</v>
      </c>
      <c r="X549" t="s">
        <v>38</v>
      </c>
      <c r="Y549" t="s">
        <v>38</v>
      </c>
      <c r="Z549" t="s">
        <v>42</v>
      </c>
      <c r="AA549" t="s">
        <v>38</v>
      </c>
      <c r="AB549" t="s">
        <v>38</v>
      </c>
      <c r="AC549" t="s">
        <v>153</v>
      </c>
      <c r="AD549" t="s">
        <v>48</v>
      </c>
      <c r="AG549" t="str">
        <f>IF(AD549="United States", IFERROR(INDEX(Sheet2!$C:$C, MATCH(AE549&amp;AF549, Sheet2!$E:$E, 0)) &amp; ", " &amp; INDEX(Sheet2!$D:$D, MATCH(AE549&amp;AF549, Sheet2!$E:$E, 0)), ""), "-")</f>
        <v/>
      </c>
    </row>
    <row r="550" spans="1:33" x14ac:dyDescent="0.25">
      <c r="A550" t="s">
        <v>1113</v>
      </c>
      <c r="B550" t="s">
        <v>1296</v>
      </c>
      <c r="C550" t="s">
        <v>1115</v>
      </c>
      <c r="D550" t="s">
        <v>210</v>
      </c>
      <c r="E550" t="s">
        <v>268</v>
      </c>
      <c r="F550">
        <v>1757</v>
      </c>
      <c r="G550">
        <v>1478</v>
      </c>
      <c r="H550" t="s">
        <v>1118</v>
      </c>
      <c r="I550" t="s">
        <v>80</v>
      </c>
      <c r="J550" t="s">
        <v>1119</v>
      </c>
      <c r="K550" t="s">
        <v>38</v>
      </c>
      <c r="L550" t="s">
        <v>38</v>
      </c>
      <c r="M550" t="s">
        <v>38</v>
      </c>
      <c r="N550" t="s">
        <v>38</v>
      </c>
      <c r="O550" t="s">
        <v>41</v>
      </c>
      <c r="P550" t="s">
        <v>42</v>
      </c>
      <c r="Q550" t="s">
        <v>43</v>
      </c>
      <c r="R550" t="s">
        <v>89</v>
      </c>
      <c r="S550" t="s">
        <v>38</v>
      </c>
      <c r="T550" t="s">
        <v>89</v>
      </c>
      <c r="U550" t="s">
        <v>301</v>
      </c>
      <c r="V550" t="s">
        <v>91</v>
      </c>
      <c r="W550" t="s">
        <v>92</v>
      </c>
      <c r="X550" t="s">
        <v>38</v>
      </c>
      <c r="Y550" t="s">
        <v>38</v>
      </c>
      <c r="Z550" t="s">
        <v>42</v>
      </c>
      <c r="AA550" t="s">
        <v>38</v>
      </c>
      <c r="AB550" t="s">
        <v>38</v>
      </c>
      <c r="AC550" t="s">
        <v>155</v>
      </c>
      <c r="AD550" t="s">
        <v>48</v>
      </c>
      <c r="AG550" t="str">
        <f>IF(AD550="United States", IFERROR(INDEX(Sheet2!$C:$C, MATCH(AE550&amp;AF550, Sheet2!$E:$E, 0)) &amp; ", " &amp; INDEX(Sheet2!$D:$D, MATCH(AE550&amp;AF550, Sheet2!$E:$E, 0)), ""), "-")</f>
        <v/>
      </c>
    </row>
    <row r="551" spans="1:33" x14ac:dyDescent="0.25">
      <c r="A551" t="s">
        <v>1113</v>
      </c>
      <c r="B551" t="s">
        <v>1297</v>
      </c>
      <c r="C551" t="s">
        <v>1115</v>
      </c>
      <c r="D551" t="s">
        <v>193</v>
      </c>
      <c r="E551" t="s">
        <v>1298</v>
      </c>
      <c r="F551">
        <v>1720</v>
      </c>
      <c r="G551">
        <v>1479</v>
      </c>
      <c r="H551" t="s">
        <v>1118</v>
      </c>
      <c r="I551" t="s">
        <v>80</v>
      </c>
      <c r="J551" t="s">
        <v>1119</v>
      </c>
      <c r="K551" t="s">
        <v>38</v>
      </c>
      <c r="L551" t="s">
        <v>38</v>
      </c>
      <c r="M551" t="s">
        <v>38</v>
      </c>
      <c r="N551" t="s">
        <v>38</v>
      </c>
      <c r="O551" t="s">
        <v>41</v>
      </c>
      <c r="P551" t="s">
        <v>42</v>
      </c>
      <c r="Q551" t="s">
        <v>43</v>
      </c>
      <c r="R551" t="s">
        <v>89</v>
      </c>
      <c r="S551" t="s">
        <v>153</v>
      </c>
      <c r="T551" t="s">
        <v>89</v>
      </c>
      <c r="U551" t="s">
        <v>301</v>
      </c>
      <c r="V551" t="s">
        <v>91</v>
      </c>
      <c r="W551" t="s">
        <v>92</v>
      </c>
      <c r="X551" t="s">
        <v>38</v>
      </c>
      <c r="Y551" t="s">
        <v>38</v>
      </c>
      <c r="Z551" t="s">
        <v>42</v>
      </c>
      <c r="AA551" t="s">
        <v>38</v>
      </c>
      <c r="AB551" t="s">
        <v>38</v>
      </c>
      <c r="AC551" t="s">
        <v>153</v>
      </c>
      <c r="AD551" t="s">
        <v>48</v>
      </c>
      <c r="AG551" t="str">
        <f>IF(AD551="United States", IFERROR(INDEX(Sheet2!$C:$C, MATCH(AE551&amp;AF551, Sheet2!$E:$E, 0)) &amp; ", " &amp; INDEX(Sheet2!$D:$D, MATCH(AE551&amp;AF551, Sheet2!$E:$E, 0)), ""), "-")</f>
        <v/>
      </c>
    </row>
    <row r="552" spans="1:33" x14ac:dyDescent="0.25">
      <c r="A552" t="s">
        <v>1113</v>
      </c>
      <c r="B552" t="s">
        <v>1299</v>
      </c>
      <c r="C552" t="s">
        <v>1115</v>
      </c>
      <c r="D552" t="s">
        <v>357</v>
      </c>
      <c r="E552" t="s">
        <v>539</v>
      </c>
      <c r="F552">
        <v>1742</v>
      </c>
      <c r="G552">
        <v>1480</v>
      </c>
      <c r="H552" t="s">
        <v>1118</v>
      </c>
      <c r="I552" t="s">
        <v>80</v>
      </c>
      <c r="J552" t="s">
        <v>1119</v>
      </c>
      <c r="K552" t="s">
        <v>38</v>
      </c>
      <c r="L552" t="s">
        <v>38</v>
      </c>
      <c r="M552" t="s">
        <v>38</v>
      </c>
      <c r="N552" t="s">
        <v>38</v>
      </c>
      <c r="O552" t="s">
        <v>41</v>
      </c>
      <c r="P552" t="s">
        <v>42</v>
      </c>
      <c r="Q552" t="s">
        <v>43</v>
      </c>
      <c r="R552" t="s">
        <v>89</v>
      </c>
      <c r="S552" t="s">
        <v>201</v>
      </c>
      <c r="T552" t="s">
        <v>89</v>
      </c>
      <c r="U552" t="s">
        <v>301</v>
      </c>
      <c r="V552" t="s">
        <v>91</v>
      </c>
      <c r="W552" t="s">
        <v>92</v>
      </c>
      <c r="X552" t="s">
        <v>38</v>
      </c>
      <c r="Y552" t="s">
        <v>38</v>
      </c>
      <c r="Z552" t="s">
        <v>42</v>
      </c>
      <c r="AA552" t="s">
        <v>856</v>
      </c>
      <c r="AB552" t="s">
        <v>38</v>
      </c>
      <c r="AC552" t="s">
        <v>201</v>
      </c>
      <c r="AD552" t="s">
        <v>48</v>
      </c>
      <c r="AG552" t="str">
        <f>IF(AD552="United States", IFERROR(INDEX(Sheet2!$C:$C, MATCH(AE552&amp;AF552, Sheet2!$E:$E, 0)) &amp; ", " &amp; INDEX(Sheet2!$D:$D, MATCH(AE552&amp;AF552, Sheet2!$E:$E, 0)), ""), "-")</f>
        <v/>
      </c>
    </row>
    <row r="553" spans="1:33" x14ac:dyDescent="0.25">
      <c r="A553" t="s">
        <v>1113</v>
      </c>
      <c r="B553" t="s">
        <v>1300</v>
      </c>
      <c r="C553" t="s">
        <v>1115</v>
      </c>
      <c r="D553" t="s">
        <v>807</v>
      </c>
      <c r="E553" t="s">
        <v>1139</v>
      </c>
      <c r="F553">
        <v>1738</v>
      </c>
      <c r="G553">
        <v>1481</v>
      </c>
      <c r="H553" t="s">
        <v>1187</v>
      </c>
      <c r="I553" t="s">
        <v>80</v>
      </c>
      <c r="J553" t="s">
        <v>1119</v>
      </c>
      <c r="K553" t="s">
        <v>38</v>
      </c>
      <c r="L553" t="s">
        <v>38</v>
      </c>
      <c r="M553" t="s">
        <v>38</v>
      </c>
      <c r="N553" t="s">
        <v>38</v>
      </c>
      <c r="O553" t="s">
        <v>41</v>
      </c>
      <c r="P553" t="s">
        <v>42</v>
      </c>
      <c r="Q553" t="s">
        <v>43</v>
      </c>
      <c r="R553" t="s">
        <v>89</v>
      </c>
      <c r="S553" t="s">
        <v>38</v>
      </c>
      <c r="T553" t="s">
        <v>89</v>
      </c>
      <c r="U553" t="s">
        <v>301</v>
      </c>
      <c r="V553" t="s">
        <v>91</v>
      </c>
      <c r="W553" t="s">
        <v>92</v>
      </c>
      <c r="X553" t="s">
        <v>38</v>
      </c>
      <c r="Y553" t="s">
        <v>38</v>
      </c>
      <c r="Z553" t="s">
        <v>42</v>
      </c>
      <c r="AA553" t="s">
        <v>38</v>
      </c>
      <c r="AB553" t="s">
        <v>38</v>
      </c>
      <c r="AC553" t="s">
        <v>38</v>
      </c>
      <c r="AD553" t="s">
        <v>48</v>
      </c>
      <c r="AG553" t="str">
        <f>IF(AD553="United States", IFERROR(INDEX(Sheet2!$C:$C, MATCH(AE553&amp;AF553, Sheet2!$E:$E, 0)) &amp; ", " &amp; INDEX(Sheet2!$D:$D, MATCH(AE553&amp;AF553, Sheet2!$E:$E, 0)), ""), "-")</f>
        <v/>
      </c>
    </row>
    <row r="554" spans="1:33" x14ac:dyDescent="0.25">
      <c r="A554" t="s">
        <v>1113</v>
      </c>
      <c r="B554" t="s">
        <v>1301</v>
      </c>
      <c r="C554" t="s">
        <v>1115</v>
      </c>
      <c r="D554" t="s">
        <v>824</v>
      </c>
      <c r="E554" t="s">
        <v>1302</v>
      </c>
      <c r="F554">
        <v>1703</v>
      </c>
      <c r="G554">
        <v>1482</v>
      </c>
      <c r="H554" t="s">
        <v>1118</v>
      </c>
      <c r="I554" t="s">
        <v>80</v>
      </c>
      <c r="J554" t="s">
        <v>1119</v>
      </c>
      <c r="K554" t="s">
        <v>38</v>
      </c>
      <c r="L554" t="s">
        <v>38</v>
      </c>
      <c r="M554" t="s">
        <v>38</v>
      </c>
      <c r="N554" t="s">
        <v>38</v>
      </c>
      <c r="O554" t="s">
        <v>41</v>
      </c>
      <c r="P554" t="s">
        <v>42</v>
      </c>
      <c r="Q554" t="s">
        <v>43</v>
      </c>
      <c r="R554" t="s">
        <v>89</v>
      </c>
      <c r="S554" t="s">
        <v>38</v>
      </c>
      <c r="T554" t="s">
        <v>89</v>
      </c>
      <c r="U554" t="s">
        <v>301</v>
      </c>
      <c r="V554" t="s">
        <v>91</v>
      </c>
      <c r="W554" t="s">
        <v>92</v>
      </c>
      <c r="X554" t="s">
        <v>38</v>
      </c>
      <c r="Y554" t="s">
        <v>38</v>
      </c>
      <c r="Z554" t="s">
        <v>42</v>
      </c>
      <c r="AA554" t="s">
        <v>38</v>
      </c>
      <c r="AB554" t="s">
        <v>38</v>
      </c>
      <c r="AC554" t="s">
        <v>1303</v>
      </c>
      <c r="AD554" t="s">
        <v>48</v>
      </c>
      <c r="AG554" t="str">
        <f>IF(AD554="United States", IFERROR(INDEX(Sheet2!$C:$C, MATCH(AE554&amp;AF554, Sheet2!$E:$E, 0)) &amp; ", " &amp; INDEX(Sheet2!$D:$D, MATCH(AE554&amp;AF554, Sheet2!$E:$E, 0)), ""), "-")</f>
        <v/>
      </c>
    </row>
    <row r="555" spans="1:33" x14ac:dyDescent="0.25">
      <c r="A555" t="s">
        <v>1113</v>
      </c>
      <c r="B555" t="s">
        <v>1304</v>
      </c>
      <c r="C555" t="s">
        <v>1115</v>
      </c>
      <c r="D555" t="s">
        <v>193</v>
      </c>
      <c r="E555" t="s">
        <v>1305</v>
      </c>
      <c r="F555">
        <v>1733</v>
      </c>
      <c r="G555">
        <v>1483</v>
      </c>
      <c r="H555" t="s">
        <v>1118</v>
      </c>
      <c r="I555" t="s">
        <v>80</v>
      </c>
      <c r="J555" t="s">
        <v>1119</v>
      </c>
      <c r="K555" t="s">
        <v>38</v>
      </c>
      <c r="L555" t="s">
        <v>38</v>
      </c>
      <c r="M555" t="s">
        <v>38</v>
      </c>
      <c r="N555" t="s">
        <v>38</v>
      </c>
      <c r="O555" t="s">
        <v>41</v>
      </c>
      <c r="P555" t="s">
        <v>42</v>
      </c>
      <c r="Q555" t="s">
        <v>43</v>
      </c>
      <c r="R555" t="s">
        <v>89</v>
      </c>
      <c r="S555" t="s">
        <v>38</v>
      </c>
      <c r="T555" t="s">
        <v>89</v>
      </c>
      <c r="U555" t="s">
        <v>301</v>
      </c>
      <c r="V555" t="s">
        <v>91</v>
      </c>
      <c r="W555" t="s">
        <v>92</v>
      </c>
      <c r="X555" t="s">
        <v>38</v>
      </c>
      <c r="Y555" t="s">
        <v>38</v>
      </c>
      <c r="Z555" t="s">
        <v>42</v>
      </c>
      <c r="AA555" t="s">
        <v>38</v>
      </c>
      <c r="AB555" t="s">
        <v>38</v>
      </c>
      <c r="AC555" t="s">
        <v>155</v>
      </c>
      <c r="AD555" t="s">
        <v>48</v>
      </c>
      <c r="AG555" t="str">
        <f>IF(AD555="United States", IFERROR(INDEX(Sheet2!$C:$C, MATCH(AE555&amp;AF555, Sheet2!$E:$E, 0)) &amp; ", " &amp; INDEX(Sheet2!$D:$D, MATCH(AE555&amp;AF555, Sheet2!$E:$E, 0)), ""), "-")</f>
        <v/>
      </c>
    </row>
    <row r="556" spans="1:33" x14ac:dyDescent="0.25">
      <c r="A556" t="s">
        <v>1113</v>
      </c>
      <c r="B556" t="s">
        <v>1306</v>
      </c>
      <c r="C556" t="s">
        <v>1115</v>
      </c>
      <c r="D556" t="s">
        <v>101</v>
      </c>
      <c r="E556" t="s">
        <v>132</v>
      </c>
      <c r="F556">
        <v>1744</v>
      </c>
      <c r="G556">
        <v>1484</v>
      </c>
      <c r="H556" t="s">
        <v>1118</v>
      </c>
      <c r="I556" t="s">
        <v>80</v>
      </c>
      <c r="J556" t="s">
        <v>1119</v>
      </c>
      <c r="K556" t="s">
        <v>38</v>
      </c>
      <c r="L556" t="s">
        <v>38</v>
      </c>
      <c r="M556" t="s">
        <v>38</v>
      </c>
      <c r="N556" t="s">
        <v>38</v>
      </c>
      <c r="O556" t="s">
        <v>41</v>
      </c>
      <c r="P556" t="s">
        <v>42</v>
      </c>
      <c r="Q556" t="s">
        <v>43</v>
      </c>
      <c r="R556" t="s">
        <v>89</v>
      </c>
      <c r="S556" t="s">
        <v>89</v>
      </c>
      <c r="T556" t="s">
        <v>89</v>
      </c>
      <c r="U556" t="s">
        <v>301</v>
      </c>
      <c r="V556" t="s">
        <v>91</v>
      </c>
      <c r="W556" t="s">
        <v>92</v>
      </c>
      <c r="X556" t="s">
        <v>38</v>
      </c>
      <c r="Y556" t="s">
        <v>38</v>
      </c>
      <c r="Z556" t="s">
        <v>42</v>
      </c>
      <c r="AA556" t="s">
        <v>38</v>
      </c>
      <c r="AB556" t="s">
        <v>38</v>
      </c>
      <c r="AC556" t="s">
        <v>89</v>
      </c>
      <c r="AD556" t="s">
        <v>48</v>
      </c>
      <c r="AG556" t="str">
        <f>IF(AD556="United States", IFERROR(INDEX(Sheet2!$C:$C, MATCH(AE556&amp;AF556, Sheet2!$E:$E, 0)) &amp; ", " &amp; INDEX(Sheet2!$D:$D, MATCH(AE556&amp;AF556, Sheet2!$E:$E, 0)), ""), "-")</f>
        <v/>
      </c>
    </row>
    <row r="557" spans="1:33" x14ac:dyDescent="0.25">
      <c r="A557" t="s">
        <v>1113</v>
      </c>
      <c r="B557" t="s">
        <v>1307</v>
      </c>
      <c r="C557" t="s">
        <v>1115</v>
      </c>
      <c r="D557" t="s">
        <v>737</v>
      </c>
      <c r="E557" t="s">
        <v>132</v>
      </c>
      <c r="F557">
        <v>1771</v>
      </c>
      <c r="G557">
        <v>1485</v>
      </c>
      <c r="H557" t="s">
        <v>1187</v>
      </c>
      <c r="I557" t="s">
        <v>80</v>
      </c>
      <c r="J557" t="s">
        <v>1119</v>
      </c>
      <c r="K557" t="s">
        <v>38</v>
      </c>
      <c r="L557" t="s">
        <v>38</v>
      </c>
      <c r="M557" t="s">
        <v>38</v>
      </c>
      <c r="N557" t="s">
        <v>38</v>
      </c>
      <c r="O557" t="s">
        <v>54</v>
      </c>
      <c r="P557" t="s">
        <v>42</v>
      </c>
      <c r="Q557" t="s">
        <v>43</v>
      </c>
      <c r="R557" t="s">
        <v>89</v>
      </c>
      <c r="S557" t="s">
        <v>38</v>
      </c>
      <c r="T557" t="s">
        <v>89</v>
      </c>
      <c r="U557" t="s">
        <v>301</v>
      </c>
      <c r="V557" t="s">
        <v>91</v>
      </c>
      <c r="W557" t="s">
        <v>92</v>
      </c>
      <c r="X557" t="s">
        <v>38</v>
      </c>
      <c r="Y557" t="s">
        <v>38</v>
      </c>
      <c r="Z557" t="s">
        <v>42</v>
      </c>
      <c r="AA557" t="s">
        <v>38</v>
      </c>
      <c r="AB557" t="s">
        <v>38</v>
      </c>
      <c r="AC557" t="s">
        <v>38</v>
      </c>
      <c r="AD557" t="s">
        <v>48</v>
      </c>
      <c r="AG557" t="str">
        <f>IF(AD557="United States", IFERROR(INDEX(Sheet2!$C:$C, MATCH(AE557&amp;AF557, Sheet2!$E:$E, 0)) &amp; ", " &amp; INDEX(Sheet2!$D:$D, MATCH(AE557&amp;AF557, Sheet2!$E:$E, 0)), ""), "-")</f>
        <v/>
      </c>
    </row>
    <row r="558" spans="1:33" x14ac:dyDescent="0.25">
      <c r="A558" t="s">
        <v>1113</v>
      </c>
      <c r="B558" t="s">
        <v>1308</v>
      </c>
      <c r="C558" t="s">
        <v>1115</v>
      </c>
      <c r="D558" t="s">
        <v>1309</v>
      </c>
      <c r="E558" t="s">
        <v>1310</v>
      </c>
      <c r="F558">
        <v>1771</v>
      </c>
      <c r="G558">
        <v>1486</v>
      </c>
      <c r="H558" t="s">
        <v>1169</v>
      </c>
      <c r="I558" t="s">
        <v>80</v>
      </c>
      <c r="J558" t="s">
        <v>1119</v>
      </c>
      <c r="K558" t="s">
        <v>38</v>
      </c>
      <c r="L558" t="s">
        <v>38</v>
      </c>
      <c r="M558" t="s">
        <v>38</v>
      </c>
      <c r="N558" t="s">
        <v>38</v>
      </c>
      <c r="O558" t="s">
        <v>54</v>
      </c>
      <c r="P558" t="s">
        <v>42</v>
      </c>
      <c r="Q558" t="s">
        <v>124</v>
      </c>
      <c r="R558" t="s">
        <v>89</v>
      </c>
      <c r="S558" t="s">
        <v>153</v>
      </c>
      <c r="T558" t="s">
        <v>89</v>
      </c>
      <c r="U558" t="s">
        <v>301</v>
      </c>
      <c r="V558" t="s">
        <v>91</v>
      </c>
      <c r="W558" t="s">
        <v>92</v>
      </c>
      <c r="X558" t="s">
        <v>38</v>
      </c>
      <c r="Y558" t="s">
        <v>38</v>
      </c>
      <c r="Z558" t="s">
        <v>42</v>
      </c>
      <c r="AA558" t="s">
        <v>38</v>
      </c>
      <c r="AB558" t="s">
        <v>38</v>
      </c>
      <c r="AC558" t="s">
        <v>153</v>
      </c>
      <c r="AD558" t="s">
        <v>48</v>
      </c>
      <c r="AG558" t="str">
        <f>IF(AD558="United States", IFERROR(INDEX(Sheet2!$C:$C, MATCH(AE558&amp;AF558, Sheet2!$E:$E, 0)) &amp; ", " &amp; INDEX(Sheet2!$D:$D, MATCH(AE558&amp;AF558, Sheet2!$E:$E, 0)), ""), "-")</f>
        <v/>
      </c>
    </row>
    <row r="559" spans="1:33" x14ac:dyDescent="0.25">
      <c r="A559" t="s">
        <v>1113</v>
      </c>
      <c r="B559" t="s">
        <v>1311</v>
      </c>
      <c r="C559" t="s">
        <v>1115</v>
      </c>
      <c r="D559" t="s">
        <v>1312</v>
      </c>
      <c r="E559" t="s">
        <v>38</v>
      </c>
      <c r="F559">
        <v>1753</v>
      </c>
      <c r="G559">
        <v>1487</v>
      </c>
      <c r="H559" t="s">
        <v>1187</v>
      </c>
      <c r="I559" t="s">
        <v>80</v>
      </c>
      <c r="J559" t="s">
        <v>1119</v>
      </c>
      <c r="K559" t="s">
        <v>38</v>
      </c>
      <c r="L559" t="s">
        <v>38</v>
      </c>
      <c r="M559" t="s">
        <v>38</v>
      </c>
      <c r="N559" t="s">
        <v>38</v>
      </c>
      <c r="O559" t="s">
        <v>57</v>
      </c>
      <c r="P559" t="s">
        <v>42</v>
      </c>
      <c r="Q559" t="s">
        <v>43</v>
      </c>
      <c r="R559" t="s">
        <v>89</v>
      </c>
      <c r="S559" t="s">
        <v>38</v>
      </c>
      <c r="T559" t="s">
        <v>89</v>
      </c>
      <c r="U559" t="s">
        <v>301</v>
      </c>
      <c r="V559" t="s">
        <v>91</v>
      </c>
      <c r="W559" t="s">
        <v>92</v>
      </c>
      <c r="X559" t="s">
        <v>38</v>
      </c>
      <c r="Y559" t="s">
        <v>38</v>
      </c>
      <c r="Z559" t="s">
        <v>42</v>
      </c>
      <c r="AA559" t="s">
        <v>38</v>
      </c>
      <c r="AB559" t="s">
        <v>38</v>
      </c>
      <c r="AC559" t="s">
        <v>38</v>
      </c>
      <c r="AD559" t="s">
        <v>48</v>
      </c>
      <c r="AG559" t="str">
        <f>IF(AD559="United States", IFERROR(INDEX(Sheet2!$C:$C, MATCH(AE559&amp;AF559, Sheet2!$E:$E, 0)) &amp; ", " &amp; INDEX(Sheet2!$D:$D, MATCH(AE559&amp;AF559, Sheet2!$E:$E, 0)), ""), "-")</f>
        <v/>
      </c>
    </row>
    <row r="560" spans="1:33" x14ac:dyDescent="0.25">
      <c r="A560" t="s">
        <v>1113</v>
      </c>
      <c r="B560" t="s">
        <v>1313</v>
      </c>
      <c r="C560" t="s">
        <v>1115</v>
      </c>
      <c r="D560" t="s">
        <v>114</v>
      </c>
      <c r="E560" t="s">
        <v>1310</v>
      </c>
      <c r="F560">
        <v>1737</v>
      </c>
      <c r="G560">
        <v>1488</v>
      </c>
      <c r="H560" t="s">
        <v>1187</v>
      </c>
      <c r="I560" t="s">
        <v>80</v>
      </c>
      <c r="J560" t="s">
        <v>1119</v>
      </c>
      <c r="K560" t="s">
        <v>38</v>
      </c>
      <c r="L560" t="s">
        <v>38</v>
      </c>
      <c r="M560" t="s">
        <v>38</v>
      </c>
      <c r="N560" t="s">
        <v>38</v>
      </c>
      <c r="O560" t="s">
        <v>57</v>
      </c>
      <c r="P560" t="s">
        <v>42</v>
      </c>
      <c r="Q560" t="s">
        <v>124</v>
      </c>
      <c r="R560" t="s">
        <v>89</v>
      </c>
      <c r="S560" t="s">
        <v>153</v>
      </c>
      <c r="T560" t="s">
        <v>89</v>
      </c>
      <c r="U560" t="s">
        <v>301</v>
      </c>
      <c r="V560" t="s">
        <v>91</v>
      </c>
      <c r="W560" t="s">
        <v>92</v>
      </c>
      <c r="X560" t="s">
        <v>38</v>
      </c>
      <c r="Y560" t="s">
        <v>38</v>
      </c>
      <c r="Z560" t="s">
        <v>42</v>
      </c>
      <c r="AA560" t="s">
        <v>38</v>
      </c>
      <c r="AB560" t="s">
        <v>38</v>
      </c>
      <c r="AC560" t="s">
        <v>153</v>
      </c>
      <c r="AD560" t="s">
        <v>48</v>
      </c>
      <c r="AG560" t="str">
        <f>IF(AD560="United States", IFERROR(INDEX(Sheet2!$C:$C, MATCH(AE560&amp;AF560, Sheet2!$E:$E, 0)) &amp; ", " &amp; INDEX(Sheet2!$D:$D, MATCH(AE560&amp;AF560, Sheet2!$E:$E, 0)), ""), "-")</f>
        <v/>
      </c>
    </row>
    <row r="561" spans="1:33" x14ac:dyDescent="0.25">
      <c r="A561" t="s">
        <v>1113</v>
      </c>
      <c r="B561" t="s">
        <v>1314</v>
      </c>
      <c r="C561" t="s">
        <v>1115</v>
      </c>
      <c r="D561" t="s">
        <v>357</v>
      </c>
      <c r="E561" t="s">
        <v>485</v>
      </c>
      <c r="F561">
        <v>1723</v>
      </c>
      <c r="G561">
        <v>1476</v>
      </c>
      <c r="H561" t="s">
        <v>1118</v>
      </c>
      <c r="I561" t="s">
        <v>80</v>
      </c>
      <c r="J561" t="s">
        <v>1119</v>
      </c>
      <c r="K561" t="s">
        <v>38</v>
      </c>
      <c r="L561" t="s">
        <v>38</v>
      </c>
      <c r="M561" t="s">
        <v>38</v>
      </c>
      <c r="N561" t="s">
        <v>38</v>
      </c>
      <c r="O561" t="s">
        <v>41</v>
      </c>
      <c r="P561" t="s">
        <v>42</v>
      </c>
      <c r="Q561" t="s">
        <v>43</v>
      </c>
      <c r="R561" t="s">
        <v>89</v>
      </c>
      <c r="S561" t="s">
        <v>38</v>
      </c>
      <c r="T561" t="s">
        <v>89</v>
      </c>
      <c r="U561" t="s">
        <v>301</v>
      </c>
      <c r="V561" t="s">
        <v>91</v>
      </c>
      <c r="W561" t="s">
        <v>92</v>
      </c>
      <c r="X561" t="s">
        <v>38</v>
      </c>
      <c r="Y561" t="s">
        <v>38</v>
      </c>
      <c r="Z561" t="s">
        <v>42</v>
      </c>
      <c r="AA561" t="s">
        <v>38</v>
      </c>
      <c r="AB561" t="s">
        <v>38</v>
      </c>
      <c r="AC561" t="s">
        <v>38</v>
      </c>
      <c r="AD561" t="s">
        <v>48</v>
      </c>
      <c r="AG561" t="str">
        <f>IF(AD561="United States", IFERROR(INDEX(Sheet2!$C:$C, MATCH(AE561&amp;AF561, Sheet2!$E:$E, 0)) &amp; ", " &amp; INDEX(Sheet2!$D:$D, MATCH(AE561&amp;AF561, Sheet2!$E:$E, 0)), ""), "-")</f>
        <v/>
      </c>
    </row>
    <row r="562" spans="1:33" x14ac:dyDescent="0.25">
      <c r="A562" t="s">
        <v>1113</v>
      </c>
      <c r="B562" t="s">
        <v>1315</v>
      </c>
      <c r="C562" t="s">
        <v>1115</v>
      </c>
      <c r="D562" t="s">
        <v>114</v>
      </c>
      <c r="E562" t="s">
        <v>1316</v>
      </c>
      <c r="F562">
        <v>1760</v>
      </c>
      <c r="G562">
        <v>1471</v>
      </c>
      <c r="H562" t="s">
        <v>1187</v>
      </c>
      <c r="I562" t="s">
        <v>80</v>
      </c>
      <c r="J562" t="s">
        <v>1119</v>
      </c>
      <c r="K562" t="s">
        <v>38</v>
      </c>
      <c r="L562" t="s">
        <v>38</v>
      </c>
      <c r="M562" t="s">
        <v>38</v>
      </c>
      <c r="N562" t="s">
        <v>38</v>
      </c>
      <c r="O562" t="s">
        <v>57</v>
      </c>
      <c r="P562" t="s">
        <v>42</v>
      </c>
      <c r="Q562" t="s">
        <v>43</v>
      </c>
      <c r="R562" t="s">
        <v>89</v>
      </c>
      <c r="S562" t="s">
        <v>38</v>
      </c>
      <c r="T562" t="s">
        <v>89</v>
      </c>
      <c r="U562" t="s">
        <v>301</v>
      </c>
      <c r="V562" t="s">
        <v>91</v>
      </c>
      <c r="W562" t="s">
        <v>92</v>
      </c>
      <c r="X562" t="s">
        <v>38</v>
      </c>
      <c r="Y562" t="s">
        <v>38</v>
      </c>
      <c r="Z562" t="s">
        <v>42</v>
      </c>
      <c r="AA562" t="s">
        <v>38</v>
      </c>
      <c r="AB562" t="s">
        <v>38</v>
      </c>
      <c r="AC562" t="s">
        <v>60</v>
      </c>
      <c r="AD562" t="s">
        <v>48</v>
      </c>
      <c r="AG562" t="str">
        <f>IF(AD562="United States", IFERROR(INDEX(Sheet2!$C:$C, MATCH(AE562&amp;AF562, Sheet2!$E:$E, 0)) &amp; ", " &amp; INDEX(Sheet2!$D:$D, MATCH(AE562&amp;AF562, Sheet2!$E:$E, 0)), ""), "-")</f>
        <v/>
      </c>
    </row>
    <row r="563" spans="1:33" x14ac:dyDescent="0.25">
      <c r="A563" t="s">
        <v>1113</v>
      </c>
      <c r="B563" t="s">
        <v>1317</v>
      </c>
      <c r="C563" t="s">
        <v>1115</v>
      </c>
      <c r="D563" t="s">
        <v>352</v>
      </c>
      <c r="E563" t="s">
        <v>1318</v>
      </c>
      <c r="F563">
        <v>1762</v>
      </c>
      <c r="G563">
        <v>1470</v>
      </c>
      <c r="H563" t="s">
        <v>1118</v>
      </c>
      <c r="I563" t="s">
        <v>80</v>
      </c>
      <c r="J563" t="s">
        <v>1119</v>
      </c>
      <c r="K563" t="s">
        <v>38</v>
      </c>
      <c r="L563" t="s">
        <v>38</v>
      </c>
      <c r="M563" t="s">
        <v>38</v>
      </c>
      <c r="N563" t="s">
        <v>38</v>
      </c>
      <c r="O563" t="s">
        <v>74</v>
      </c>
      <c r="P563" t="s">
        <v>42</v>
      </c>
      <c r="Q563" t="s">
        <v>124</v>
      </c>
      <c r="R563" t="s">
        <v>89</v>
      </c>
      <c r="S563" t="s">
        <v>153</v>
      </c>
      <c r="T563" t="s">
        <v>89</v>
      </c>
      <c r="U563" t="s">
        <v>301</v>
      </c>
      <c r="V563" t="s">
        <v>91</v>
      </c>
      <c r="W563" t="s">
        <v>92</v>
      </c>
      <c r="X563" t="s">
        <v>38</v>
      </c>
      <c r="Y563" t="s">
        <v>38</v>
      </c>
      <c r="Z563" t="s">
        <v>42</v>
      </c>
      <c r="AA563" t="s">
        <v>812</v>
      </c>
      <c r="AB563" t="s">
        <v>38</v>
      </c>
      <c r="AC563" t="s">
        <v>153</v>
      </c>
      <c r="AD563" t="s">
        <v>48</v>
      </c>
      <c r="AG563" t="str">
        <f>IF(AD563="United States", IFERROR(INDEX(Sheet2!$C:$C, MATCH(AE563&amp;AF563, Sheet2!$E:$E, 0)) &amp; ", " &amp; INDEX(Sheet2!$D:$D, MATCH(AE563&amp;AF563, Sheet2!$E:$E, 0)), ""), "-")</f>
        <v/>
      </c>
    </row>
    <row r="564" spans="1:33" x14ac:dyDescent="0.25">
      <c r="A564" t="s">
        <v>1113</v>
      </c>
      <c r="B564" t="s">
        <v>1319</v>
      </c>
      <c r="C564" t="s">
        <v>1115</v>
      </c>
      <c r="D564" t="s">
        <v>1168</v>
      </c>
      <c r="E564" t="s">
        <v>1320</v>
      </c>
      <c r="F564">
        <v>1757</v>
      </c>
      <c r="G564">
        <v>1469</v>
      </c>
      <c r="H564" t="s">
        <v>1169</v>
      </c>
      <c r="I564" t="s">
        <v>80</v>
      </c>
      <c r="J564" t="s">
        <v>1119</v>
      </c>
      <c r="K564" t="s">
        <v>38</v>
      </c>
      <c r="L564" t="s">
        <v>38</v>
      </c>
      <c r="M564" t="s">
        <v>38</v>
      </c>
      <c r="N564" t="s">
        <v>38</v>
      </c>
      <c r="O564" t="s">
        <v>57</v>
      </c>
      <c r="P564" t="s">
        <v>42</v>
      </c>
      <c r="Q564" t="s">
        <v>43</v>
      </c>
      <c r="R564" t="s">
        <v>89</v>
      </c>
      <c r="S564" t="s">
        <v>38</v>
      </c>
      <c r="T564" t="s">
        <v>89</v>
      </c>
      <c r="U564" t="s">
        <v>301</v>
      </c>
      <c r="V564" t="s">
        <v>91</v>
      </c>
      <c r="W564" t="s">
        <v>92</v>
      </c>
      <c r="X564" t="s">
        <v>38</v>
      </c>
      <c r="Y564" t="s">
        <v>38</v>
      </c>
      <c r="Z564" t="s">
        <v>42</v>
      </c>
      <c r="AA564" t="s">
        <v>38</v>
      </c>
      <c r="AB564" t="s">
        <v>38</v>
      </c>
      <c r="AC564" t="s">
        <v>60</v>
      </c>
      <c r="AD564" t="s">
        <v>48</v>
      </c>
      <c r="AG564" t="str">
        <f>IF(AD564="United States", IFERROR(INDEX(Sheet2!$C:$C, MATCH(AE564&amp;AF564, Sheet2!$E:$E, 0)) &amp; ", " &amp; INDEX(Sheet2!$D:$D, MATCH(AE564&amp;AF564, Sheet2!$E:$E, 0)), ""), "-")</f>
        <v/>
      </c>
    </row>
    <row r="565" spans="1:33" x14ac:dyDescent="0.25">
      <c r="A565" t="s">
        <v>1113</v>
      </c>
      <c r="B565" t="s">
        <v>1281</v>
      </c>
      <c r="C565" t="s">
        <v>1115</v>
      </c>
      <c r="D565" t="s">
        <v>1282</v>
      </c>
      <c r="E565" t="s">
        <v>1264</v>
      </c>
      <c r="F565">
        <v>1754</v>
      </c>
      <c r="G565">
        <v>1086</v>
      </c>
      <c r="H565" t="s">
        <v>1118</v>
      </c>
      <c r="I565" t="s">
        <v>80</v>
      </c>
      <c r="J565" t="s">
        <v>1119</v>
      </c>
      <c r="K565" t="s">
        <v>38</v>
      </c>
      <c r="L565" t="s">
        <v>38</v>
      </c>
      <c r="M565" t="s">
        <v>38</v>
      </c>
      <c r="N565" t="s">
        <v>38</v>
      </c>
      <c r="O565" t="s">
        <v>57</v>
      </c>
      <c r="P565" t="s">
        <v>42</v>
      </c>
      <c r="Q565" t="s">
        <v>43</v>
      </c>
      <c r="R565" t="s">
        <v>89</v>
      </c>
      <c r="S565" t="s">
        <v>45</v>
      </c>
      <c r="T565" t="s">
        <v>89</v>
      </c>
      <c r="U565" t="s">
        <v>301</v>
      </c>
      <c r="V565" t="s">
        <v>91</v>
      </c>
      <c r="W565" t="s">
        <v>92</v>
      </c>
      <c r="X565" t="s">
        <v>38</v>
      </c>
      <c r="Y565" t="s">
        <v>38</v>
      </c>
      <c r="Z565" t="s">
        <v>42</v>
      </c>
      <c r="AA565" t="s">
        <v>1135</v>
      </c>
      <c r="AB565" t="s">
        <v>38</v>
      </c>
      <c r="AC565" t="s">
        <v>45</v>
      </c>
      <c r="AD565" t="s">
        <v>48</v>
      </c>
      <c r="AG565" t="str">
        <f>IF(AD565="United States", IFERROR(INDEX(Sheet2!$C:$C, MATCH(AE565&amp;AF565, Sheet2!$E:$E, 0)) &amp; ", " &amp; INDEX(Sheet2!$D:$D, MATCH(AE565&amp;AF565, Sheet2!$E:$E, 0)), ""), "-")</f>
        <v/>
      </c>
    </row>
    <row r="566" spans="1:33" x14ac:dyDescent="0.25">
      <c r="A566" t="s">
        <v>1113</v>
      </c>
      <c r="B566" t="s">
        <v>1280</v>
      </c>
      <c r="C566" t="s">
        <v>1115</v>
      </c>
      <c r="D566" t="s">
        <v>1126</v>
      </c>
      <c r="E566" t="s">
        <v>37</v>
      </c>
      <c r="F566">
        <v>1768</v>
      </c>
      <c r="G566">
        <v>1085</v>
      </c>
      <c r="H566" t="s">
        <v>1118</v>
      </c>
      <c r="I566" t="s">
        <v>80</v>
      </c>
      <c r="J566" t="s">
        <v>1119</v>
      </c>
      <c r="K566" t="s">
        <v>38</v>
      </c>
      <c r="L566" t="s">
        <v>38</v>
      </c>
      <c r="M566" t="s">
        <v>38</v>
      </c>
      <c r="N566" t="s">
        <v>38</v>
      </c>
      <c r="O566" t="s">
        <v>54</v>
      </c>
      <c r="P566" t="s">
        <v>42</v>
      </c>
      <c r="Q566" t="s">
        <v>43</v>
      </c>
      <c r="R566" t="s">
        <v>89</v>
      </c>
      <c r="S566" t="s">
        <v>38</v>
      </c>
      <c r="T566" t="s">
        <v>89</v>
      </c>
      <c r="U566" t="s">
        <v>301</v>
      </c>
      <c r="V566" t="s">
        <v>91</v>
      </c>
      <c r="W566" t="s">
        <v>92</v>
      </c>
      <c r="X566" t="s">
        <v>38</v>
      </c>
      <c r="Y566" t="s">
        <v>38</v>
      </c>
      <c r="Z566" t="s">
        <v>42</v>
      </c>
      <c r="AA566" t="s">
        <v>38</v>
      </c>
      <c r="AB566" t="s">
        <v>38</v>
      </c>
      <c r="AC566" t="s">
        <v>38</v>
      </c>
      <c r="AD566" t="s">
        <v>48</v>
      </c>
      <c r="AG566" t="str">
        <f>IF(AD566="United States", IFERROR(INDEX(Sheet2!$C:$C, MATCH(AE566&amp;AF566, Sheet2!$E:$E, 0)) &amp; ", " &amp; INDEX(Sheet2!$D:$D, MATCH(AE566&amp;AF566, Sheet2!$E:$E, 0)), ""), "-")</f>
        <v/>
      </c>
    </row>
    <row r="567" spans="1:33" x14ac:dyDescent="0.25">
      <c r="A567" t="s">
        <v>1113</v>
      </c>
      <c r="B567" t="s">
        <v>1279</v>
      </c>
      <c r="C567" t="s">
        <v>1115</v>
      </c>
      <c r="D567" t="s">
        <v>245</v>
      </c>
      <c r="E567" t="s">
        <v>37</v>
      </c>
      <c r="F567">
        <v>1757</v>
      </c>
      <c r="G567">
        <v>1084</v>
      </c>
      <c r="H567" t="s">
        <v>1118</v>
      </c>
      <c r="I567" t="s">
        <v>80</v>
      </c>
      <c r="J567" t="s">
        <v>1119</v>
      </c>
      <c r="K567" t="s">
        <v>38</v>
      </c>
      <c r="L567" t="s">
        <v>38</v>
      </c>
      <c r="M567" t="s">
        <v>38</v>
      </c>
      <c r="N567" t="s">
        <v>38</v>
      </c>
      <c r="O567" t="s">
        <v>57</v>
      </c>
      <c r="P567" t="s">
        <v>42</v>
      </c>
      <c r="Q567" t="s">
        <v>43</v>
      </c>
      <c r="R567" t="s">
        <v>89</v>
      </c>
      <c r="S567" t="s">
        <v>45</v>
      </c>
      <c r="T567" t="s">
        <v>89</v>
      </c>
      <c r="U567" t="s">
        <v>301</v>
      </c>
      <c r="V567" t="s">
        <v>91</v>
      </c>
      <c r="W567" t="s">
        <v>92</v>
      </c>
      <c r="X567" t="s">
        <v>38</v>
      </c>
      <c r="Y567" t="s">
        <v>38</v>
      </c>
      <c r="Z567" t="s">
        <v>42</v>
      </c>
      <c r="AA567" t="s">
        <v>1135</v>
      </c>
      <c r="AB567" t="s">
        <v>38</v>
      </c>
      <c r="AC567" t="s">
        <v>45</v>
      </c>
      <c r="AD567" t="s">
        <v>48</v>
      </c>
      <c r="AG567" t="str">
        <f>IF(AD567="United States", IFERROR(INDEX(Sheet2!$C:$C, MATCH(AE567&amp;AF567, Sheet2!$E:$E, 0)) &amp; ", " &amp; INDEX(Sheet2!$D:$D, MATCH(AE567&amp;AF567, Sheet2!$E:$E, 0)), ""), "-")</f>
        <v/>
      </c>
    </row>
    <row r="568" spans="1:33" x14ac:dyDescent="0.25">
      <c r="A568" t="s">
        <v>1113</v>
      </c>
      <c r="B568" t="s">
        <v>1278</v>
      </c>
      <c r="C568" t="s">
        <v>1115</v>
      </c>
      <c r="D568" t="s">
        <v>245</v>
      </c>
      <c r="E568" t="s">
        <v>1159</v>
      </c>
      <c r="F568">
        <v>1738</v>
      </c>
      <c r="G568">
        <v>1083</v>
      </c>
      <c r="H568" t="s">
        <v>1118</v>
      </c>
      <c r="I568" t="s">
        <v>80</v>
      </c>
      <c r="J568" t="s">
        <v>1119</v>
      </c>
      <c r="K568" t="s">
        <v>38</v>
      </c>
      <c r="L568" t="s">
        <v>38</v>
      </c>
      <c r="M568" t="s">
        <v>38</v>
      </c>
      <c r="N568" t="s">
        <v>38</v>
      </c>
      <c r="O568" t="s">
        <v>57</v>
      </c>
      <c r="P568" t="s">
        <v>42</v>
      </c>
      <c r="Q568" t="s">
        <v>43</v>
      </c>
      <c r="R568" t="s">
        <v>89</v>
      </c>
      <c r="S568" t="s">
        <v>45</v>
      </c>
      <c r="T568" t="s">
        <v>89</v>
      </c>
      <c r="U568" t="s">
        <v>301</v>
      </c>
      <c r="V568" t="s">
        <v>91</v>
      </c>
      <c r="W568" t="s">
        <v>92</v>
      </c>
      <c r="X568" t="s">
        <v>38</v>
      </c>
      <c r="Y568" t="s">
        <v>38</v>
      </c>
      <c r="Z568" t="s">
        <v>42</v>
      </c>
      <c r="AA568" t="s">
        <v>169</v>
      </c>
      <c r="AB568" t="s">
        <v>38</v>
      </c>
      <c r="AC568" t="s">
        <v>45</v>
      </c>
      <c r="AD568" t="s">
        <v>48</v>
      </c>
      <c r="AG568" t="str">
        <f>IF(AD568="United States", IFERROR(INDEX(Sheet2!$C:$C, MATCH(AE568&amp;AF568, Sheet2!$E:$E, 0)) &amp; ", " &amp; INDEX(Sheet2!$D:$D, MATCH(AE568&amp;AF568, Sheet2!$E:$E, 0)), ""), "-")</f>
        <v/>
      </c>
    </row>
    <row r="569" spans="1:33" x14ac:dyDescent="0.25">
      <c r="A569" t="s">
        <v>1113</v>
      </c>
      <c r="B569" t="s">
        <v>1321</v>
      </c>
      <c r="C569" t="s">
        <v>1115</v>
      </c>
      <c r="D569" t="s">
        <v>334</v>
      </c>
      <c r="E569" t="s">
        <v>448</v>
      </c>
      <c r="F569">
        <v>1757</v>
      </c>
      <c r="G569">
        <v>1388</v>
      </c>
      <c r="H569" t="s">
        <v>1131</v>
      </c>
      <c r="I569" t="s">
        <v>80</v>
      </c>
      <c r="J569" t="s">
        <v>1119</v>
      </c>
      <c r="K569" t="s">
        <v>38</v>
      </c>
      <c r="L569" t="s">
        <v>38</v>
      </c>
      <c r="M569" t="s">
        <v>38</v>
      </c>
      <c r="N569" t="s">
        <v>38</v>
      </c>
      <c r="O569" t="s">
        <v>41</v>
      </c>
      <c r="P569" t="s">
        <v>42</v>
      </c>
      <c r="Q569" t="s">
        <v>43</v>
      </c>
      <c r="R569" t="s">
        <v>89</v>
      </c>
      <c r="S569" t="s">
        <v>45</v>
      </c>
      <c r="T569" t="s">
        <v>89</v>
      </c>
      <c r="U569" t="s">
        <v>301</v>
      </c>
      <c r="V569" t="s">
        <v>91</v>
      </c>
      <c r="W569" t="s">
        <v>92</v>
      </c>
      <c r="X569" t="s">
        <v>38</v>
      </c>
      <c r="Y569" t="s">
        <v>38</v>
      </c>
      <c r="Z569" t="s">
        <v>42</v>
      </c>
      <c r="AA569" t="s">
        <v>1322</v>
      </c>
      <c r="AB569" t="s">
        <v>38</v>
      </c>
      <c r="AC569" t="s">
        <v>45</v>
      </c>
      <c r="AD569" t="s">
        <v>48</v>
      </c>
      <c r="AG569" t="str">
        <f>IF(AD569="United States", IFERROR(INDEX(Sheet2!$C:$C, MATCH(AE569&amp;AF569, Sheet2!$E:$E, 0)) &amp; ", " &amp; INDEX(Sheet2!$D:$D, MATCH(AE569&amp;AF569, Sheet2!$E:$E, 0)), ""), "-")</f>
        <v/>
      </c>
    </row>
    <row r="570" spans="1:33" x14ac:dyDescent="0.25">
      <c r="A570" t="s">
        <v>1113</v>
      </c>
      <c r="B570" t="s">
        <v>1276</v>
      </c>
      <c r="C570" t="s">
        <v>1115</v>
      </c>
      <c r="D570" t="s">
        <v>245</v>
      </c>
      <c r="E570" t="s">
        <v>1145</v>
      </c>
      <c r="F570">
        <v>1734</v>
      </c>
      <c r="G570">
        <v>1081</v>
      </c>
      <c r="H570" t="s">
        <v>1118</v>
      </c>
      <c r="I570" t="s">
        <v>80</v>
      </c>
      <c r="J570" t="s">
        <v>1119</v>
      </c>
      <c r="K570" t="s">
        <v>38</v>
      </c>
      <c r="L570" t="s">
        <v>38</v>
      </c>
      <c r="M570" t="s">
        <v>38</v>
      </c>
      <c r="N570" t="s">
        <v>38</v>
      </c>
      <c r="O570" t="s">
        <v>57</v>
      </c>
      <c r="P570" t="s">
        <v>42</v>
      </c>
      <c r="Q570" t="s">
        <v>43</v>
      </c>
      <c r="R570" t="s">
        <v>89</v>
      </c>
      <c r="S570" t="s">
        <v>45</v>
      </c>
      <c r="T570" t="s">
        <v>89</v>
      </c>
      <c r="U570" t="s">
        <v>301</v>
      </c>
      <c r="V570" t="s">
        <v>91</v>
      </c>
      <c r="W570" t="s">
        <v>92</v>
      </c>
      <c r="X570" t="s">
        <v>38</v>
      </c>
      <c r="Y570" t="s">
        <v>38</v>
      </c>
      <c r="Z570" t="s">
        <v>42</v>
      </c>
      <c r="AA570" t="s">
        <v>1135</v>
      </c>
      <c r="AB570" t="s">
        <v>38</v>
      </c>
      <c r="AC570" t="s">
        <v>45</v>
      </c>
      <c r="AD570" t="s">
        <v>48</v>
      </c>
      <c r="AG570" t="str">
        <f>IF(AD570="United States", IFERROR(INDEX(Sheet2!$C:$C, MATCH(AE570&amp;AF570, Sheet2!$E:$E, 0)) &amp; ", " &amp; INDEX(Sheet2!$D:$D, MATCH(AE570&amp;AF570, Sheet2!$E:$E, 0)), ""), "-")</f>
        <v/>
      </c>
    </row>
    <row r="571" spans="1:33" x14ac:dyDescent="0.25">
      <c r="A571" t="s">
        <v>1113</v>
      </c>
      <c r="B571" t="s">
        <v>1284</v>
      </c>
      <c r="C571" t="s">
        <v>1115</v>
      </c>
      <c r="D571" t="s">
        <v>101</v>
      </c>
      <c r="E571" t="s">
        <v>1285</v>
      </c>
      <c r="F571">
        <v>1777</v>
      </c>
      <c r="G571">
        <v>1080</v>
      </c>
      <c r="H571" t="s">
        <v>1118</v>
      </c>
      <c r="I571" t="s">
        <v>80</v>
      </c>
      <c r="J571" t="s">
        <v>1119</v>
      </c>
      <c r="K571" t="s">
        <v>38</v>
      </c>
      <c r="L571" t="s">
        <v>38</v>
      </c>
      <c r="M571" t="s">
        <v>38</v>
      </c>
      <c r="N571" t="s">
        <v>38</v>
      </c>
      <c r="O571" t="s">
        <v>54</v>
      </c>
      <c r="P571" t="s">
        <v>42</v>
      </c>
      <c r="Q571" t="s">
        <v>43</v>
      </c>
      <c r="R571" t="s">
        <v>89</v>
      </c>
      <c r="S571" t="s">
        <v>38</v>
      </c>
      <c r="T571" t="s">
        <v>89</v>
      </c>
      <c r="U571" t="s">
        <v>301</v>
      </c>
      <c r="V571" t="s">
        <v>91</v>
      </c>
      <c r="W571" t="s">
        <v>92</v>
      </c>
      <c r="X571" t="s">
        <v>38</v>
      </c>
      <c r="Y571" t="s">
        <v>38</v>
      </c>
      <c r="Z571" t="s">
        <v>42</v>
      </c>
      <c r="AA571" t="s">
        <v>38</v>
      </c>
      <c r="AB571" t="s">
        <v>38</v>
      </c>
      <c r="AC571" t="s">
        <v>38</v>
      </c>
      <c r="AD571" t="s">
        <v>48</v>
      </c>
      <c r="AG571" t="str">
        <f>IF(AD571="United States", IFERROR(INDEX(Sheet2!$C:$C, MATCH(AE571&amp;AF571, Sheet2!$E:$E, 0)) &amp; ", " &amp; INDEX(Sheet2!$D:$D, MATCH(AE571&amp;AF571, Sheet2!$E:$E, 0)), ""), "-")</f>
        <v/>
      </c>
    </row>
    <row r="572" spans="1:33" x14ac:dyDescent="0.25">
      <c r="A572" t="s">
        <v>1113</v>
      </c>
      <c r="B572" t="s">
        <v>1275</v>
      </c>
      <c r="C572" t="s">
        <v>1115</v>
      </c>
      <c r="D572" t="s">
        <v>141</v>
      </c>
      <c r="E572" t="s">
        <v>1216</v>
      </c>
      <c r="F572">
        <v>1763</v>
      </c>
      <c r="G572">
        <v>1079</v>
      </c>
      <c r="H572" t="s">
        <v>1118</v>
      </c>
      <c r="I572" t="s">
        <v>80</v>
      </c>
      <c r="J572" t="s">
        <v>1119</v>
      </c>
      <c r="K572" t="s">
        <v>38</v>
      </c>
      <c r="L572" t="s">
        <v>38</v>
      </c>
      <c r="M572" t="s">
        <v>38</v>
      </c>
      <c r="N572" t="s">
        <v>38</v>
      </c>
      <c r="O572" t="s">
        <v>57</v>
      </c>
      <c r="P572" t="s">
        <v>42</v>
      </c>
      <c r="Q572" t="s">
        <v>43</v>
      </c>
      <c r="R572" t="s">
        <v>89</v>
      </c>
      <c r="S572" t="s">
        <v>45</v>
      </c>
      <c r="T572" t="s">
        <v>89</v>
      </c>
      <c r="U572" t="s">
        <v>301</v>
      </c>
      <c r="V572" t="s">
        <v>91</v>
      </c>
      <c r="W572" t="s">
        <v>92</v>
      </c>
      <c r="X572" t="s">
        <v>38</v>
      </c>
      <c r="Y572" t="s">
        <v>38</v>
      </c>
      <c r="Z572" t="s">
        <v>42</v>
      </c>
      <c r="AA572" t="s">
        <v>1135</v>
      </c>
      <c r="AB572" t="s">
        <v>38</v>
      </c>
      <c r="AC572" t="s">
        <v>45</v>
      </c>
      <c r="AD572" t="s">
        <v>48</v>
      </c>
      <c r="AG572" t="str">
        <f>IF(AD572="United States", IFERROR(INDEX(Sheet2!$C:$C, MATCH(AE572&amp;AF572, Sheet2!$E:$E, 0)) &amp; ", " &amp; INDEX(Sheet2!$D:$D, MATCH(AE572&amp;AF572, Sheet2!$E:$E, 0)), ""), "-")</f>
        <v/>
      </c>
    </row>
    <row r="573" spans="1:33" x14ac:dyDescent="0.25">
      <c r="A573" t="s">
        <v>1113</v>
      </c>
      <c r="B573" t="s">
        <v>1272</v>
      </c>
      <c r="C573" t="s">
        <v>1115</v>
      </c>
      <c r="D573" t="s">
        <v>1126</v>
      </c>
      <c r="E573" t="s">
        <v>1145</v>
      </c>
      <c r="F573">
        <v>1761</v>
      </c>
      <c r="G573">
        <v>1078</v>
      </c>
      <c r="H573" t="s">
        <v>1118</v>
      </c>
      <c r="I573" t="s">
        <v>80</v>
      </c>
      <c r="J573" t="s">
        <v>1119</v>
      </c>
      <c r="K573" t="s">
        <v>38</v>
      </c>
      <c r="L573" t="s">
        <v>38</v>
      </c>
      <c r="M573" t="s">
        <v>38</v>
      </c>
      <c r="N573" t="s">
        <v>38</v>
      </c>
      <c r="O573" t="s">
        <v>41</v>
      </c>
      <c r="P573" t="s">
        <v>42</v>
      </c>
      <c r="Q573" t="s">
        <v>43</v>
      </c>
      <c r="R573" t="s">
        <v>89</v>
      </c>
      <c r="S573" t="s">
        <v>45</v>
      </c>
      <c r="T573" t="s">
        <v>89</v>
      </c>
      <c r="U573" t="s">
        <v>301</v>
      </c>
      <c r="V573" t="s">
        <v>91</v>
      </c>
      <c r="W573" t="s">
        <v>92</v>
      </c>
      <c r="X573" t="s">
        <v>38</v>
      </c>
      <c r="Y573" t="s">
        <v>38</v>
      </c>
      <c r="Z573" t="s">
        <v>42</v>
      </c>
      <c r="AA573" t="s">
        <v>241</v>
      </c>
      <c r="AB573" t="s">
        <v>38</v>
      </c>
      <c r="AC573" t="s">
        <v>45</v>
      </c>
      <c r="AD573" t="s">
        <v>48</v>
      </c>
      <c r="AG573" t="str">
        <f>IF(AD573="United States", IFERROR(INDEX(Sheet2!$C:$C, MATCH(AE573&amp;AF573, Sheet2!$E:$E, 0)) &amp; ", " &amp; INDEX(Sheet2!$D:$D, MATCH(AE573&amp;AF573, Sheet2!$E:$E, 0)), ""), "-")</f>
        <v/>
      </c>
    </row>
    <row r="574" spans="1:33" x14ac:dyDescent="0.25">
      <c r="A574" t="s">
        <v>1113</v>
      </c>
      <c r="B574" t="s">
        <v>1271</v>
      </c>
      <c r="C574" t="s">
        <v>1115</v>
      </c>
      <c r="D574" t="s">
        <v>556</v>
      </c>
      <c r="E574" t="s">
        <v>527</v>
      </c>
      <c r="F574">
        <v>1726</v>
      </c>
      <c r="G574">
        <v>1077</v>
      </c>
      <c r="H574" t="s">
        <v>1118</v>
      </c>
      <c r="I574" t="s">
        <v>80</v>
      </c>
      <c r="J574" t="s">
        <v>1119</v>
      </c>
      <c r="K574" t="s">
        <v>38</v>
      </c>
      <c r="L574" t="s">
        <v>38</v>
      </c>
      <c r="M574" t="s">
        <v>38</v>
      </c>
      <c r="N574" t="s">
        <v>38</v>
      </c>
      <c r="O574" t="s">
        <v>41</v>
      </c>
      <c r="P574" t="s">
        <v>42</v>
      </c>
      <c r="Q574" t="s">
        <v>43</v>
      </c>
      <c r="R574" t="s">
        <v>89</v>
      </c>
      <c r="S574" t="s">
        <v>45</v>
      </c>
      <c r="T574" t="s">
        <v>89</v>
      </c>
      <c r="U574" t="s">
        <v>301</v>
      </c>
      <c r="V574" t="s">
        <v>91</v>
      </c>
      <c r="W574" t="s">
        <v>92</v>
      </c>
      <c r="X574" t="s">
        <v>38</v>
      </c>
      <c r="Y574" t="s">
        <v>38</v>
      </c>
      <c r="Z574" t="s">
        <v>42</v>
      </c>
      <c r="AA574" t="s">
        <v>169</v>
      </c>
      <c r="AB574" t="s">
        <v>38</v>
      </c>
      <c r="AC574" t="s">
        <v>45</v>
      </c>
      <c r="AD574" t="s">
        <v>48</v>
      </c>
      <c r="AG574" t="str">
        <f>IF(AD574="United States", IFERROR(INDEX(Sheet2!$C:$C, MATCH(AE574&amp;AF574, Sheet2!$E:$E, 0)) &amp; ", " &amp; INDEX(Sheet2!$D:$D, MATCH(AE574&amp;AF574, Sheet2!$E:$E, 0)), ""), "-")</f>
        <v/>
      </c>
    </row>
    <row r="575" spans="1:33" x14ac:dyDescent="0.25">
      <c r="A575" t="s">
        <v>1113</v>
      </c>
      <c r="B575" t="s">
        <v>1270</v>
      </c>
      <c r="C575" t="s">
        <v>1115</v>
      </c>
      <c r="D575" t="s">
        <v>193</v>
      </c>
      <c r="E575" t="s">
        <v>1084</v>
      </c>
      <c r="F575">
        <v>1745</v>
      </c>
      <c r="G575">
        <v>1076</v>
      </c>
      <c r="H575" t="s">
        <v>1118</v>
      </c>
      <c r="I575" t="s">
        <v>80</v>
      </c>
      <c r="J575" t="s">
        <v>1119</v>
      </c>
      <c r="K575" t="s">
        <v>38</v>
      </c>
      <c r="L575" t="s">
        <v>38</v>
      </c>
      <c r="M575" t="s">
        <v>38</v>
      </c>
      <c r="N575" t="s">
        <v>38</v>
      </c>
      <c r="O575" t="s">
        <v>41</v>
      </c>
      <c r="P575" t="s">
        <v>42</v>
      </c>
      <c r="Q575" t="s">
        <v>43</v>
      </c>
      <c r="R575" t="s">
        <v>89</v>
      </c>
      <c r="S575" t="s">
        <v>45</v>
      </c>
      <c r="T575" t="s">
        <v>89</v>
      </c>
      <c r="U575" t="s">
        <v>301</v>
      </c>
      <c r="V575" t="s">
        <v>91</v>
      </c>
      <c r="W575" t="s">
        <v>92</v>
      </c>
      <c r="X575" t="s">
        <v>38</v>
      </c>
      <c r="Y575" t="s">
        <v>38</v>
      </c>
      <c r="Z575" t="s">
        <v>42</v>
      </c>
      <c r="AA575" t="s">
        <v>169</v>
      </c>
      <c r="AB575" t="s">
        <v>38</v>
      </c>
      <c r="AC575" t="s">
        <v>45</v>
      </c>
      <c r="AD575" t="s">
        <v>48</v>
      </c>
      <c r="AG575" t="str">
        <f>IF(AD575="United States", IFERROR(INDEX(Sheet2!$C:$C, MATCH(AE575&amp;AF575, Sheet2!$E:$E, 0)) &amp; ", " &amp; INDEX(Sheet2!$D:$D, MATCH(AE575&amp;AF575, Sheet2!$E:$E, 0)), ""), "-")</f>
        <v/>
      </c>
    </row>
    <row r="576" spans="1:33" x14ac:dyDescent="0.25">
      <c r="A576" t="s">
        <v>1113</v>
      </c>
      <c r="B576" t="s">
        <v>1268</v>
      </c>
      <c r="C576" t="s">
        <v>1115</v>
      </c>
      <c r="D576" t="s">
        <v>101</v>
      </c>
      <c r="E576" t="s">
        <v>1236</v>
      </c>
      <c r="F576">
        <v>1753</v>
      </c>
      <c r="G576">
        <v>1075</v>
      </c>
      <c r="H576" t="s">
        <v>1118</v>
      </c>
      <c r="I576" t="s">
        <v>80</v>
      </c>
      <c r="J576" t="s">
        <v>1119</v>
      </c>
      <c r="K576" t="s">
        <v>38</v>
      </c>
      <c r="L576" t="s">
        <v>38</v>
      </c>
      <c r="M576" t="s">
        <v>38</v>
      </c>
      <c r="N576" t="s">
        <v>38</v>
      </c>
      <c r="O576" t="s">
        <v>41</v>
      </c>
      <c r="P576" t="s">
        <v>42</v>
      </c>
      <c r="Q576" t="s">
        <v>43</v>
      </c>
      <c r="R576" t="s">
        <v>89</v>
      </c>
      <c r="S576" t="s">
        <v>45</v>
      </c>
      <c r="T576" t="s">
        <v>89</v>
      </c>
      <c r="U576" t="s">
        <v>301</v>
      </c>
      <c r="V576" t="s">
        <v>91</v>
      </c>
      <c r="W576" t="s">
        <v>92</v>
      </c>
      <c r="X576" t="s">
        <v>38</v>
      </c>
      <c r="Y576" t="s">
        <v>38</v>
      </c>
      <c r="Z576" t="s">
        <v>42</v>
      </c>
      <c r="AA576" t="s">
        <v>1269</v>
      </c>
      <c r="AB576" t="s">
        <v>38</v>
      </c>
      <c r="AC576" t="s">
        <v>45</v>
      </c>
      <c r="AD576" t="s">
        <v>48</v>
      </c>
      <c r="AG576" t="str">
        <f>IF(AD576="United States", IFERROR(INDEX(Sheet2!$C:$C, MATCH(AE576&amp;AF576, Sheet2!$E:$E, 0)) &amp; ", " &amp; INDEX(Sheet2!$D:$D, MATCH(AE576&amp;AF576, Sheet2!$E:$E, 0)), ""), "-")</f>
        <v/>
      </c>
    </row>
    <row r="577" spans="1:33" x14ac:dyDescent="0.25">
      <c r="A577" t="s">
        <v>1113</v>
      </c>
      <c r="B577" t="s">
        <v>1133</v>
      </c>
      <c r="C577" t="s">
        <v>1115</v>
      </c>
      <c r="D577" t="s">
        <v>357</v>
      </c>
      <c r="E577" t="s">
        <v>1134</v>
      </c>
      <c r="F577">
        <v>1747</v>
      </c>
      <c r="G577">
        <v>1074</v>
      </c>
      <c r="H577" t="s">
        <v>1118</v>
      </c>
      <c r="I577" t="s">
        <v>80</v>
      </c>
      <c r="J577" t="s">
        <v>1119</v>
      </c>
      <c r="K577" t="s">
        <v>38</v>
      </c>
      <c r="L577" t="s">
        <v>38</v>
      </c>
      <c r="M577" t="s">
        <v>38</v>
      </c>
      <c r="N577" t="s">
        <v>38</v>
      </c>
      <c r="O577" t="s">
        <v>41</v>
      </c>
      <c r="P577" t="s">
        <v>42</v>
      </c>
      <c r="Q577" t="s">
        <v>43</v>
      </c>
      <c r="R577" t="s">
        <v>89</v>
      </c>
      <c r="S577" t="s">
        <v>45</v>
      </c>
      <c r="T577" t="s">
        <v>89</v>
      </c>
      <c r="U577" t="s">
        <v>301</v>
      </c>
      <c r="V577" t="s">
        <v>91</v>
      </c>
      <c r="W577" t="s">
        <v>92</v>
      </c>
      <c r="X577" t="s">
        <v>38</v>
      </c>
      <c r="Y577" t="s">
        <v>38</v>
      </c>
      <c r="Z577" t="s">
        <v>42</v>
      </c>
      <c r="AA577" t="s">
        <v>1135</v>
      </c>
      <c r="AB577" t="s">
        <v>38</v>
      </c>
      <c r="AC577" t="s">
        <v>45</v>
      </c>
      <c r="AD577" t="s">
        <v>48</v>
      </c>
      <c r="AG577" t="str">
        <f>IF(AD577="United States", IFERROR(INDEX(Sheet2!$C:$C, MATCH(AE577&amp;AF577, Sheet2!$E:$E, 0)) &amp; ", " &amp; INDEX(Sheet2!$D:$D, MATCH(AE577&amp;AF577, Sheet2!$E:$E, 0)), ""), "-")</f>
        <v/>
      </c>
    </row>
    <row r="578" spans="1:33" x14ac:dyDescent="0.25">
      <c r="A578" t="s">
        <v>1113</v>
      </c>
      <c r="B578" t="s">
        <v>1215</v>
      </c>
      <c r="C578" t="s">
        <v>1115</v>
      </c>
      <c r="D578" t="s">
        <v>1110</v>
      </c>
      <c r="E578" t="s">
        <v>1216</v>
      </c>
      <c r="F578">
        <v>1747</v>
      </c>
      <c r="G578">
        <v>1061</v>
      </c>
      <c r="H578" t="s">
        <v>1118</v>
      </c>
      <c r="I578" t="s">
        <v>80</v>
      </c>
      <c r="J578" t="s">
        <v>1119</v>
      </c>
      <c r="K578" t="s">
        <v>38</v>
      </c>
      <c r="L578" t="s">
        <v>38</v>
      </c>
      <c r="M578" t="s">
        <v>38</v>
      </c>
      <c r="N578" t="s">
        <v>38</v>
      </c>
      <c r="O578" t="s">
        <v>41</v>
      </c>
      <c r="P578" t="s">
        <v>42</v>
      </c>
      <c r="Q578" t="s">
        <v>43</v>
      </c>
      <c r="R578" t="s">
        <v>89</v>
      </c>
      <c r="S578" t="s">
        <v>45</v>
      </c>
      <c r="T578" t="s">
        <v>89</v>
      </c>
      <c r="U578" t="s">
        <v>301</v>
      </c>
      <c r="V578" t="s">
        <v>91</v>
      </c>
      <c r="W578" t="s">
        <v>92</v>
      </c>
      <c r="X578" t="s">
        <v>38</v>
      </c>
      <c r="Y578" t="s">
        <v>38</v>
      </c>
      <c r="Z578" t="s">
        <v>42</v>
      </c>
      <c r="AA578" t="s">
        <v>169</v>
      </c>
      <c r="AB578" t="s">
        <v>38</v>
      </c>
      <c r="AC578" t="s">
        <v>45</v>
      </c>
      <c r="AD578" t="s">
        <v>48</v>
      </c>
      <c r="AG578" t="str">
        <f>IF(AD578="United States", IFERROR(INDEX(Sheet2!$C:$C, MATCH(AE578&amp;AF578, Sheet2!$E:$E, 0)) &amp; ", " &amp; INDEX(Sheet2!$D:$D, MATCH(AE578&amp;AF578, Sheet2!$E:$E, 0)), ""), "-")</f>
        <v/>
      </c>
    </row>
    <row r="579" spans="1:33" x14ac:dyDescent="0.25">
      <c r="A579" t="s">
        <v>1113</v>
      </c>
      <c r="B579" t="s">
        <v>1323</v>
      </c>
      <c r="C579" t="s">
        <v>1115</v>
      </c>
      <c r="D579" t="s">
        <v>230</v>
      </c>
      <c r="E579" t="s">
        <v>1324</v>
      </c>
      <c r="F579">
        <v>1757</v>
      </c>
      <c r="G579">
        <v>1456</v>
      </c>
      <c r="H579" t="s">
        <v>1169</v>
      </c>
      <c r="I579" t="s">
        <v>80</v>
      </c>
      <c r="J579" t="s">
        <v>1119</v>
      </c>
      <c r="K579" t="s">
        <v>38</v>
      </c>
      <c r="L579" t="s">
        <v>38</v>
      </c>
      <c r="M579" t="s">
        <v>38</v>
      </c>
      <c r="N579" t="s">
        <v>38</v>
      </c>
      <c r="O579" t="s">
        <v>41</v>
      </c>
      <c r="P579" t="s">
        <v>42</v>
      </c>
      <c r="Q579" t="s">
        <v>43</v>
      </c>
      <c r="R579" t="s">
        <v>89</v>
      </c>
      <c r="S579" t="s">
        <v>45</v>
      </c>
      <c r="T579" t="s">
        <v>89</v>
      </c>
      <c r="U579" t="s">
        <v>301</v>
      </c>
      <c r="V579" t="s">
        <v>91</v>
      </c>
      <c r="W579" t="s">
        <v>92</v>
      </c>
      <c r="X579" t="s">
        <v>38</v>
      </c>
      <c r="Y579" t="s">
        <v>38</v>
      </c>
      <c r="Z579" t="s">
        <v>42</v>
      </c>
      <c r="AA579" t="s">
        <v>1153</v>
      </c>
      <c r="AB579" t="s">
        <v>38</v>
      </c>
      <c r="AC579" t="s">
        <v>45</v>
      </c>
      <c r="AD579" t="s">
        <v>48</v>
      </c>
      <c r="AG579" t="str">
        <f>IF(AD579="United States", IFERROR(INDEX(Sheet2!$C:$C, MATCH(AE579&amp;AF579, Sheet2!$E:$E, 0)) &amp; ", " &amp; INDEX(Sheet2!$D:$D, MATCH(AE579&amp;AF579, Sheet2!$E:$E, 0)), ""), "-")</f>
        <v/>
      </c>
    </row>
    <row r="580" spans="1:33" x14ac:dyDescent="0.25">
      <c r="A580" t="s">
        <v>1113</v>
      </c>
      <c r="B580" t="s">
        <v>1325</v>
      </c>
      <c r="C580" t="s">
        <v>1115</v>
      </c>
      <c r="D580" t="s">
        <v>357</v>
      </c>
      <c r="E580" t="s">
        <v>1318</v>
      </c>
      <c r="F580">
        <v>1757</v>
      </c>
      <c r="G580">
        <v>1457</v>
      </c>
      <c r="H580" t="s">
        <v>1118</v>
      </c>
      <c r="I580" t="s">
        <v>80</v>
      </c>
      <c r="J580" t="s">
        <v>1119</v>
      </c>
      <c r="K580" t="s">
        <v>38</v>
      </c>
      <c r="L580" t="s">
        <v>38</v>
      </c>
      <c r="M580" t="s">
        <v>38</v>
      </c>
      <c r="N580" t="s">
        <v>38</v>
      </c>
      <c r="O580" t="s">
        <v>41</v>
      </c>
      <c r="P580" t="s">
        <v>42</v>
      </c>
      <c r="Q580" t="s">
        <v>124</v>
      </c>
      <c r="R580" t="s">
        <v>89</v>
      </c>
      <c r="S580" t="s">
        <v>153</v>
      </c>
      <c r="T580" t="s">
        <v>89</v>
      </c>
      <c r="U580" t="s">
        <v>301</v>
      </c>
      <c r="V580" t="s">
        <v>91</v>
      </c>
      <c r="W580" t="s">
        <v>92</v>
      </c>
      <c r="X580" t="s">
        <v>38</v>
      </c>
      <c r="Y580" t="s">
        <v>38</v>
      </c>
      <c r="Z580" t="s">
        <v>42</v>
      </c>
      <c r="AA580" t="s">
        <v>812</v>
      </c>
      <c r="AB580" t="s">
        <v>38</v>
      </c>
      <c r="AC580" t="s">
        <v>153</v>
      </c>
      <c r="AD580" t="s">
        <v>48</v>
      </c>
      <c r="AG580" t="str">
        <f>IF(AD580="United States", IFERROR(INDEX(Sheet2!$C:$C, MATCH(AE580&amp;AF580, Sheet2!$E:$E, 0)) &amp; ", " &amp; INDEX(Sheet2!$D:$D, MATCH(AE580&amp;AF580, Sheet2!$E:$E, 0)), ""), "-")</f>
        <v/>
      </c>
    </row>
    <row r="581" spans="1:33" x14ac:dyDescent="0.25">
      <c r="A581" t="s">
        <v>1113</v>
      </c>
      <c r="B581" t="s">
        <v>1326</v>
      </c>
      <c r="C581" t="s">
        <v>1115</v>
      </c>
      <c r="D581" t="s">
        <v>774</v>
      </c>
      <c r="E581" t="s">
        <v>1327</v>
      </c>
      <c r="F581">
        <v>1714</v>
      </c>
      <c r="G581">
        <v>1458</v>
      </c>
      <c r="H581" t="s">
        <v>1118</v>
      </c>
      <c r="I581" t="s">
        <v>80</v>
      </c>
      <c r="J581" t="s">
        <v>1119</v>
      </c>
      <c r="K581" t="s">
        <v>38</v>
      </c>
      <c r="L581" t="s">
        <v>38</v>
      </c>
      <c r="M581" t="s">
        <v>38</v>
      </c>
      <c r="N581" t="s">
        <v>38</v>
      </c>
      <c r="O581" t="s">
        <v>41</v>
      </c>
      <c r="P581" t="s">
        <v>42</v>
      </c>
      <c r="Q581" t="s">
        <v>43</v>
      </c>
      <c r="R581" t="s">
        <v>89</v>
      </c>
      <c r="S581" t="s">
        <v>165</v>
      </c>
      <c r="T581" t="s">
        <v>89</v>
      </c>
      <c r="U581" t="s">
        <v>301</v>
      </c>
      <c r="V581" t="s">
        <v>91</v>
      </c>
      <c r="W581" t="s">
        <v>92</v>
      </c>
      <c r="X581" t="s">
        <v>38</v>
      </c>
      <c r="Y581" t="s">
        <v>38</v>
      </c>
      <c r="Z581" t="s">
        <v>42</v>
      </c>
      <c r="AA581" t="s">
        <v>166</v>
      </c>
      <c r="AB581" t="s">
        <v>38</v>
      </c>
      <c r="AC581" t="s">
        <v>165</v>
      </c>
      <c r="AD581" t="s">
        <v>48</v>
      </c>
      <c r="AG581" t="str">
        <f>IF(AD581="United States", IFERROR(INDEX(Sheet2!$C:$C, MATCH(AE581&amp;AF581, Sheet2!$E:$E, 0)) &amp; ", " &amp; INDEX(Sheet2!$D:$D, MATCH(AE581&amp;AF581, Sheet2!$E:$E, 0)), ""), "-")</f>
        <v/>
      </c>
    </row>
    <row r="582" spans="1:33" x14ac:dyDescent="0.25">
      <c r="A582" t="s">
        <v>1113</v>
      </c>
      <c r="B582" t="s">
        <v>1328</v>
      </c>
      <c r="C582" t="s">
        <v>1115</v>
      </c>
      <c r="D582" t="s">
        <v>210</v>
      </c>
      <c r="E582" t="s">
        <v>629</v>
      </c>
      <c r="F582">
        <v>1752</v>
      </c>
      <c r="G582">
        <v>1459</v>
      </c>
      <c r="H582" t="s">
        <v>1118</v>
      </c>
      <c r="I582" t="s">
        <v>80</v>
      </c>
      <c r="J582" t="s">
        <v>1119</v>
      </c>
      <c r="K582" t="s">
        <v>38</v>
      </c>
      <c r="L582" t="s">
        <v>38</v>
      </c>
      <c r="M582" t="s">
        <v>38</v>
      </c>
      <c r="N582" t="s">
        <v>38</v>
      </c>
      <c r="O582" t="s">
        <v>41</v>
      </c>
      <c r="P582" t="s">
        <v>42</v>
      </c>
      <c r="Q582" t="s">
        <v>43</v>
      </c>
      <c r="R582" t="s">
        <v>89</v>
      </c>
      <c r="S582" t="s">
        <v>89</v>
      </c>
      <c r="T582" t="s">
        <v>89</v>
      </c>
      <c r="U582" t="s">
        <v>301</v>
      </c>
      <c r="V582" t="s">
        <v>91</v>
      </c>
      <c r="W582" t="s">
        <v>92</v>
      </c>
      <c r="X582" t="s">
        <v>38</v>
      </c>
      <c r="Y582" t="s">
        <v>38</v>
      </c>
      <c r="Z582" t="s">
        <v>42</v>
      </c>
      <c r="AA582" t="s">
        <v>1329</v>
      </c>
      <c r="AB582" t="s">
        <v>1330</v>
      </c>
      <c r="AC582" t="s">
        <v>89</v>
      </c>
      <c r="AD582" t="s">
        <v>48</v>
      </c>
      <c r="AG582" t="str">
        <f>IF(AD582="United States", IFERROR(INDEX(Sheet2!$C:$C, MATCH(AE582&amp;AF582, Sheet2!$E:$E, 0)) &amp; ", " &amp; INDEX(Sheet2!$D:$D, MATCH(AE582&amp;AF582, Sheet2!$E:$E, 0)), ""), "-")</f>
        <v/>
      </c>
    </row>
    <row r="583" spans="1:33" x14ac:dyDescent="0.25">
      <c r="A583" t="s">
        <v>1113</v>
      </c>
      <c r="B583" t="s">
        <v>1331</v>
      </c>
      <c r="C583" t="s">
        <v>1115</v>
      </c>
      <c r="D583" t="s">
        <v>150</v>
      </c>
      <c r="E583" t="s">
        <v>1332</v>
      </c>
      <c r="F583">
        <v>1759</v>
      </c>
      <c r="G583">
        <v>1460</v>
      </c>
      <c r="H583" t="s">
        <v>1169</v>
      </c>
      <c r="I583" t="s">
        <v>80</v>
      </c>
      <c r="J583" t="s">
        <v>1119</v>
      </c>
      <c r="K583" t="s">
        <v>38</v>
      </c>
      <c r="L583" t="s">
        <v>38</v>
      </c>
      <c r="M583" t="s">
        <v>38</v>
      </c>
      <c r="N583" t="s">
        <v>38</v>
      </c>
      <c r="O583" t="s">
        <v>41</v>
      </c>
      <c r="P583" t="s">
        <v>42</v>
      </c>
      <c r="Q583" t="s">
        <v>43</v>
      </c>
      <c r="R583" t="s">
        <v>89</v>
      </c>
      <c r="S583" t="s">
        <v>153</v>
      </c>
      <c r="T583" t="s">
        <v>89</v>
      </c>
      <c r="U583" t="s">
        <v>301</v>
      </c>
      <c r="V583" t="s">
        <v>91</v>
      </c>
      <c r="W583" t="s">
        <v>92</v>
      </c>
      <c r="X583" t="s">
        <v>38</v>
      </c>
      <c r="Y583" t="s">
        <v>38</v>
      </c>
      <c r="Z583" t="s">
        <v>42</v>
      </c>
      <c r="AA583" t="s">
        <v>155</v>
      </c>
      <c r="AB583" t="s">
        <v>38</v>
      </c>
      <c r="AC583" t="s">
        <v>153</v>
      </c>
      <c r="AD583" t="s">
        <v>48</v>
      </c>
      <c r="AG583" t="str">
        <f>IF(AD583="United States", IFERROR(INDEX(Sheet2!$C:$C, MATCH(AE583&amp;AF583, Sheet2!$E:$E, 0)) &amp; ", " &amp; INDEX(Sheet2!$D:$D, MATCH(AE583&amp;AF583, Sheet2!$E:$E, 0)), ""), "-")</f>
        <v/>
      </c>
    </row>
    <row r="584" spans="1:33" x14ac:dyDescent="0.25">
      <c r="A584" t="s">
        <v>1113</v>
      </c>
      <c r="B584" t="s">
        <v>1333</v>
      </c>
      <c r="C584" t="s">
        <v>1115</v>
      </c>
      <c r="D584" t="s">
        <v>1126</v>
      </c>
      <c r="E584" t="s">
        <v>1334</v>
      </c>
      <c r="F584">
        <v>1757</v>
      </c>
      <c r="G584">
        <v>1461</v>
      </c>
      <c r="H584" t="s">
        <v>1118</v>
      </c>
      <c r="I584" t="s">
        <v>80</v>
      </c>
      <c r="J584" t="s">
        <v>1119</v>
      </c>
      <c r="K584" t="s">
        <v>38</v>
      </c>
      <c r="L584" t="s">
        <v>38</v>
      </c>
      <c r="M584" t="s">
        <v>38</v>
      </c>
      <c r="N584" t="s">
        <v>38</v>
      </c>
      <c r="O584" t="s">
        <v>41</v>
      </c>
      <c r="P584" t="s">
        <v>42</v>
      </c>
      <c r="Q584" t="s">
        <v>43</v>
      </c>
      <c r="R584" t="s">
        <v>89</v>
      </c>
      <c r="S584" t="s">
        <v>89</v>
      </c>
      <c r="T584" t="s">
        <v>89</v>
      </c>
      <c r="U584" t="s">
        <v>301</v>
      </c>
      <c r="V584" t="s">
        <v>91</v>
      </c>
      <c r="W584" t="s">
        <v>92</v>
      </c>
      <c r="X584" t="s">
        <v>38</v>
      </c>
      <c r="Y584" t="s">
        <v>38</v>
      </c>
      <c r="Z584" t="s">
        <v>42</v>
      </c>
      <c r="AA584" t="s">
        <v>38</v>
      </c>
      <c r="AB584" t="s">
        <v>38</v>
      </c>
      <c r="AC584" t="s">
        <v>89</v>
      </c>
      <c r="AD584" t="s">
        <v>48</v>
      </c>
      <c r="AG584" t="str">
        <f>IF(AD584="United States", IFERROR(INDEX(Sheet2!$C:$C, MATCH(AE584&amp;AF584, Sheet2!$E:$E, 0)) &amp; ", " &amp; INDEX(Sheet2!$D:$D, MATCH(AE584&amp;AF584, Sheet2!$E:$E, 0)), ""), "-")</f>
        <v/>
      </c>
    </row>
    <row r="585" spans="1:33" x14ac:dyDescent="0.25">
      <c r="A585" t="s">
        <v>1113</v>
      </c>
      <c r="B585" t="s">
        <v>1335</v>
      </c>
      <c r="C585" t="s">
        <v>1115</v>
      </c>
      <c r="D585" t="s">
        <v>1336</v>
      </c>
      <c r="E585" t="s">
        <v>1337</v>
      </c>
      <c r="F585">
        <v>1762</v>
      </c>
      <c r="G585">
        <v>1462</v>
      </c>
      <c r="H585" t="s">
        <v>1169</v>
      </c>
      <c r="I585" t="s">
        <v>80</v>
      </c>
      <c r="J585" t="s">
        <v>1119</v>
      </c>
      <c r="K585" t="s">
        <v>38</v>
      </c>
      <c r="L585" t="s">
        <v>38</v>
      </c>
      <c r="M585" t="s">
        <v>835</v>
      </c>
      <c r="N585" t="s">
        <v>1338</v>
      </c>
      <c r="O585" t="s">
        <v>41</v>
      </c>
      <c r="P585" t="s">
        <v>42</v>
      </c>
      <c r="Q585" t="s">
        <v>43</v>
      </c>
      <c r="R585" t="s">
        <v>89</v>
      </c>
      <c r="S585" t="s">
        <v>45</v>
      </c>
      <c r="T585" t="s">
        <v>89</v>
      </c>
      <c r="U585" t="s">
        <v>301</v>
      </c>
      <c r="V585" t="s">
        <v>91</v>
      </c>
      <c r="W585" t="s">
        <v>92</v>
      </c>
      <c r="X585" t="s">
        <v>38</v>
      </c>
      <c r="Y585" t="s">
        <v>38</v>
      </c>
      <c r="Z585" t="s">
        <v>42</v>
      </c>
      <c r="AA585" t="s">
        <v>38</v>
      </c>
      <c r="AB585" t="s">
        <v>38</v>
      </c>
      <c r="AC585" t="s">
        <v>45</v>
      </c>
      <c r="AD585" t="s">
        <v>48</v>
      </c>
      <c r="AG585" t="str">
        <f>IF(AD585="United States", IFERROR(INDEX(Sheet2!$C:$C, MATCH(AE585&amp;AF585, Sheet2!$E:$E, 0)) &amp; ", " &amp; INDEX(Sheet2!$D:$D, MATCH(AE585&amp;AF585, Sheet2!$E:$E, 0)), ""), "-")</f>
        <v/>
      </c>
    </row>
    <row r="586" spans="1:33" x14ac:dyDescent="0.25">
      <c r="A586" t="s">
        <v>1113</v>
      </c>
      <c r="B586" t="s">
        <v>1339</v>
      </c>
      <c r="C586" t="s">
        <v>1115</v>
      </c>
      <c r="D586" t="s">
        <v>62</v>
      </c>
      <c r="E586" t="s">
        <v>334</v>
      </c>
      <c r="F586">
        <v>1760</v>
      </c>
      <c r="G586">
        <v>1463</v>
      </c>
      <c r="H586" t="s">
        <v>1118</v>
      </c>
      <c r="I586" t="s">
        <v>80</v>
      </c>
      <c r="J586" t="s">
        <v>1119</v>
      </c>
      <c r="K586" t="s">
        <v>38</v>
      </c>
      <c r="L586" t="s">
        <v>38</v>
      </c>
      <c r="M586" t="s">
        <v>38</v>
      </c>
      <c r="N586" t="s">
        <v>38</v>
      </c>
      <c r="O586" t="s">
        <v>41</v>
      </c>
      <c r="P586" t="s">
        <v>42</v>
      </c>
      <c r="Q586" t="s">
        <v>43</v>
      </c>
      <c r="R586" t="s">
        <v>89</v>
      </c>
      <c r="S586" t="s">
        <v>45</v>
      </c>
      <c r="T586" t="s">
        <v>89</v>
      </c>
      <c r="U586" t="s">
        <v>301</v>
      </c>
      <c r="V586" t="s">
        <v>91</v>
      </c>
      <c r="W586" t="s">
        <v>92</v>
      </c>
      <c r="X586" t="s">
        <v>38</v>
      </c>
      <c r="Y586" t="s">
        <v>38</v>
      </c>
      <c r="Z586" t="s">
        <v>42</v>
      </c>
      <c r="AA586" t="s">
        <v>1322</v>
      </c>
      <c r="AB586" t="s">
        <v>38</v>
      </c>
      <c r="AC586" t="s">
        <v>45</v>
      </c>
      <c r="AD586" t="s">
        <v>48</v>
      </c>
      <c r="AG586" t="str">
        <f>IF(AD586="United States", IFERROR(INDEX(Sheet2!$C:$C, MATCH(AE586&amp;AF586, Sheet2!$E:$E, 0)) &amp; ", " &amp; INDEX(Sheet2!$D:$D, MATCH(AE586&amp;AF586, Sheet2!$E:$E, 0)), ""), "-")</f>
        <v/>
      </c>
    </row>
    <row r="587" spans="1:33" x14ac:dyDescent="0.25">
      <c r="A587" t="s">
        <v>1113</v>
      </c>
      <c r="B587" t="s">
        <v>1340</v>
      </c>
      <c r="C587" t="s">
        <v>1115</v>
      </c>
      <c r="D587" t="s">
        <v>357</v>
      </c>
      <c r="E587" t="s">
        <v>1309</v>
      </c>
      <c r="F587">
        <v>1763</v>
      </c>
      <c r="G587">
        <v>1464</v>
      </c>
      <c r="H587" t="s">
        <v>1118</v>
      </c>
      <c r="I587" t="s">
        <v>80</v>
      </c>
      <c r="J587" t="s">
        <v>1119</v>
      </c>
      <c r="K587" t="s">
        <v>38</v>
      </c>
      <c r="L587" t="s">
        <v>38</v>
      </c>
      <c r="M587" t="s">
        <v>38</v>
      </c>
      <c r="N587" t="s">
        <v>38</v>
      </c>
      <c r="O587" t="s">
        <v>41</v>
      </c>
      <c r="P587" t="s">
        <v>42</v>
      </c>
      <c r="Q587" t="s">
        <v>43</v>
      </c>
      <c r="R587" t="s">
        <v>89</v>
      </c>
      <c r="S587" t="s">
        <v>153</v>
      </c>
      <c r="T587" t="s">
        <v>89</v>
      </c>
      <c r="U587" t="s">
        <v>301</v>
      </c>
      <c r="V587" t="s">
        <v>91</v>
      </c>
      <c r="W587" t="s">
        <v>92</v>
      </c>
      <c r="X587" t="s">
        <v>38</v>
      </c>
      <c r="Y587" t="s">
        <v>38</v>
      </c>
      <c r="Z587" t="s">
        <v>42</v>
      </c>
      <c r="AA587" t="s">
        <v>155</v>
      </c>
      <c r="AB587" t="s">
        <v>38</v>
      </c>
      <c r="AC587" t="s">
        <v>153</v>
      </c>
      <c r="AD587" t="s">
        <v>48</v>
      </c>
      <c r="AG587" t="str">
        <f>IF(AD587="United States", IFERROR(INDEX(Sheet2!$C:$C, MATCH(AE587&amp;AF587, Sheet2!$E:$E, 0)) &amp; ", " &amp; INDEX(Sheet2!$D:$D, MATCH(AE587&amp;AF587, Sheet2!$E:$E, 0)), ""), "-")</f>
        <v/>
      </c>
    </row>
    <row r="588" spans="1:33" x14ac:dyDescent="0.25">
      <c r="A588" t="s">
        <v>1113</v>
      </c>
      <c r="B588" t="s">
        <v>1341</v>
      </c>
      <c r="C588" t="s">
        <v>1115</v>
      </c>
      <c r="D588" t="s">
        <v>615</v>
      </c>
      <c r="E588" t="s">
        <v>1342</v>
      </c>
      <c r="F588">
        <v>1748</v>
      </c>
      <c r="G588">
        <v>1465</v>
      </c>
      <c r="H588" t="s">
        <v>1169</v>
      </c>
      <c r="I588" t="s">
        <v>80</v>
      </c>
      <c r="J588" t="s">
        <v>1119</v>
      </c>
      <c r="K588" t="s">
        <v>38</v>
      </c>
      <c r="L588" t="s">
        <v>38</v>
      </c>
      <c r="M588" t="s">
        <v>38</v>
      </c>
      <c r="N588" t="s">
        <v>38</v>
      </c>
      <c r="O588" t="s">
        <v>41</v>
      </c>
      <c r="P588" t="s">
        <v>42</v>
      </c>
      <c r="Q588" t="s">
        <v>43</v>
      </c>
      <c r="R588" t="s">
        <v>89</v>
      </c>
      <c r="S588" t="s">
        <v>45</v>
      </c>
      <c r="T588" t="s">
        <v>89</v>
      </c>
      <c r="U588" t="s">
        <v>301</v>
      </c>
      <c r="V588" t="s">
        <v>91</v>
      </c>
      <c r="W588" t="s">
        <v>92</v>
      </c>
      <c r="X588" t="s">
        <v>38</v>
      </c>
      <c r="Y588" t="s">
        <v>38</v>
      </c>
      <c r="Z588" t="s">
        <v>42</v>
      </c>
      <c r="AA588" t="s">
        <v>1343</v>
      </c>
      <c r="AB588" t="s">
        <v>38</v>
      </c>
      <c r="AC588" t="s">
        <v>45</v>
      </c>
      <c r="AD588" t="s">
        <v>48</v>
      </c>
      <c r="AG588" t="str">
        <f>IF(AD588="United States", IFERROR(INDEX(Sheet2!$C:$C, MATCH(AE588&amp;AF588, Sheet2!$E:$E, 0)) &amp; ", " &amp; INDEX(Sheet2!$D:$D, MATCH(AE588&amp;AF588, Sheet2!$E:$E, 0)), ""), "-")</f>
        <v/>
      </c>
    </row>
    <row r="589" spans="1:33" x14ac:dyDescent="0.25">
      <c r="A589" t="s">
        <v>1113</v>
      </c>
      <c r="B589" t="s">
        <v>1344</v>
      </c>
      <c r="C589" t="s">
        <v>1115</v>
      </c>
      <c r="D589" t="s">
        <v>113</v>
      </c>
      <c r="E589" t="s">
        <v>1147</v>
      </c>
      <c r="F589">
        <v>1720</v>
      </c>
      <c r="G589">
        <v>1466</v>
      </c>
      <c r="H589" t="s">
        <v>1131</v>
      </c>
      <c r="I589" t="s">
        <v>80</v>
      </c>
      <c r="J589" t="s">
        <v>1119</v>
      </c>
      <c r="K589" t="s">
        <v>38</v>
      </c>
      <c r="L589" t="s">
        <v>38</v>
      </c>
      <c r="M589" t="s">
        <v>38</v>
      </c>
      <c r="N589" t="s">
        <v>38</v>
      </c>
      <c r="O589" t="s">
        <v>41</v>
      </c>
      <c r="P589" t="s">
        <v>42</v>
      </c>
      <c r="Q589" t="s">
        <v>43</v>
      </c>
      <c r="R589" t="s">
        <v>89</v>
      </c>
      <c r="S589" t="s">
        <v>38</v>
      </c>
      <c r="T589" t="s">
        <v>89</v>
      </c>
      <c r="U589" t="s">
        <v>301</v>
      </c>
      <c r="V589" t="s">
        <v>91</v>
      </c>
      <c r="W589" t="s">
        <v>92</v>
      </c>
      <c r="X589" t="s">
        <v>38</v>
      </c>
      <c r="Y589" t="s">
        <v>38</v>
      </c>
      <c r="Z589" t="s">
        <v>42</v>
      </c>
      <c r="AA589" t="s">
        <v>38</v>
      </c>
      <c r="AB589" t="s">
        <v>38</v>
      </c>
      <c r="AC589" t="s">
        <v>673</v>
      </c>
      <c r="AD589" t="s">
        <v>48</v>
      </c>
      <c r="AG589" t="str">
        <f>IF(AD589="United States", IFERROR(INDEX(Sheet2!$C:$C, MATCH(AE589&amp;AF589, Sheet2!$E:$E, 0)) &amp; ", " &amp; INDEX(Sheet2!$D:$D, MATCH(AE589&amp;AF589, Sheet2!$E:$E, 0)), ""), "-")</f>
        <v/>
      </c>
    </row>
    <row r="590" spans="1:33" x14ac:dyDescent="0.25">
      <c r="A590" t="s">
        <v>1113</v>
      </c>
      <c r="B590" t="s">
        <v>1345</v>
      </c>
      <c r="C590" t="s">
        <v>1115</v>
      </c>
      <c r="D590" t="s">
        <v>334</v>
      </c>
      <c r="E590" t="s">
        <v>1327</v>
      </c>
      <c r="F590">
        <v>1737</v>
      </c>
      <c r="G590">
        <v>1467</v>
      </c>
      <c r="H590" t="s">
        <v>1131</v>
      </c>
      <c r="I590" t="s">
        <v>80</v>
      </c>
      <c r="J590" t="s">
        <v>1119</v>
      </c>
      <c r="K590" t="s">
        <v>38</v>
      </c>
      <c r="L590" t="s">
        <v>38</v>
      </c>
      <c r="M590" t="s">
        <v>38</v>
      </c>
      <c r="N590" t="s">
        <v>38</v>
      </c>
      <c r="O590" t="s">
        <v>41</v>
      </c>
      <c r="P590" t="s">
        <v>42</v>
      </c>
      <c r="Q590" t="s">
        <v>43</v>
      </c>
      <c r="R590" t="s">
        <v>89</v>
      </c>
      <c r="S590" t="s">
        <v>153</v>
      </c>
      <c r="T590" t="s">
        <v>89</v>
      </c>
      <c r="U590" t="s">
        <v>301</v>
      </c>
      <c r="V590" t="s">
        <v>91</v>
      </c>
      <c r="W590" t="s">
        <v>92</v>
      </c>
      <c r="X590" t="s">
        <v>38</v>
      </c>
      <c r="Y590" t="s">
        <v>38</v>
      </c>
      <c r="Z590" t="s">
        <v>42</v>
      </c>
      <c r="AA590" t="s">
        <v>38</v>
      </c>
      <c r="AB590" t="s">
        <v>38</v>
      </c>
      <c r="AC590" t="s">
        <v>153</v>
      </c>
      <c r="AD590" t="s">
        <v>48</v>
      </c>
      <c r="AG590" t="str">
        <f>IF(AD590="United States", IFERROR(INDEX(Sheet2!$C:$C, MATCH(AE590&amp;AF590, Sheet2!$E:$E, 0)) &amp; ", " &amp; INDEX(Sheet2!$D:$D, MATCH(AE590&amp;AF590, Sheet2!$E:$E, 0)), ""), "-")</f>
        <v/>
      </c>
    </row>
    <row r="591" spans="1:33" x14ac:dyDescent="0.25">
      <c r="A591" t="s">
        <v>1113</v>
      </c>
      <c r="B591" t="s">
        <v>1346</v>
      </c>
      <c r="C591" t="s">
        <v>1115</v>
      </c>
      <c r="D591" t="s">
        <v>1230</v>
      </c>
      <c r="E591" t="s">
        <v>859</v>
      </c>
      <c r="F591">
        <v>1743</v>
      </c>
      <c r="G591">
        <v>1468</v>
      </c>
      <c r="H591" t="s">
        <v>1118</v>
      </c>
      <c r="I591" t="s">
        <v>80</v>
      </c>
      <c r="J591" t="s">
        <v>1119</v>
      </c>
      <c r="K591" t="s">
        <v>38</v>
      </c>
      <c r="L591" t="s">
        <v>38</v>
      </c>
      <c r="M591" t="s">
        <v>38</v>
      </c>
      <c r="N591" t="s">
        <v>38</v>
      </c>
      <c r="O591" t="s">
        <v>57</v>
      </c>
      <c r="P591" t="s">
        <v>42</v>
      </c>
      <c r="Q591" t="s">
        <v>43</v>
      </c>
      <c r="R591" t="s">
        <v>89</v>
      </c>
      <c r="S591" t="s">
        <v>45</v>
      </c>
      <c r="T591" t="s">
        <v>89</v>
      </c>
      <c r="U591" t="s">
        <v>301</v>
      </c>
      <c r="V591" t="s">
        <v>91</v>
      </c>
      <c r="W591" t="s">
        <v>92</v>
      </c>
      <c r="X591" t="s">
        <v>38</v>
      </c>
      <c r="Y591" t="s">
        <v>38</v>
      </c>
      <c r="Z591" t="s">
        <v>42</v>
      </c>
      <c r="AA591" t="s">
        <v>1244</v>
      </c>
      <c r="AB591" t="s">
        <v>38</v>
      </c>
      <c r="AC591" t="s">
        <v>45</v>
      </c>
      <c r="AD591" t="s">
        <v>48</v>
      </c>
      <c r="AG591" t="str">
        <f>IF(AD591="United States", IFERROR(INDEX(Sheet2!$C:$C, MATCH(AE591&amp;AF591, Sheet2!$E:$E, 0)) &amp; ", " &amp; INDEX(Sheet2!$D:$D, MATCH(AE591&amp;AF591, Sheet2!$E:$E, 0)), ""), "-")</f>
        <v/>
      </c>
    </row>
    <row r="592" spans="1:33" x14ac:dyDescent="0.25">
      <c r="A592" t="s">
        <v>1113</v>
      </c>
      <c r="B592" t="s">
        <v>1347</v>
      </c>
      <c r="C592" t="s">
        <v>1115</v>
      </c>
      <c r="D592" t="s">
        <v>1348</v>
      </c>
      <c r="E592" t="s">
        <v>402</v>
      </c>
      <c r="F592">
        <v>1753</v>
      </c>
      <c r="G592">
        <v>1489</v>
      </c>
      <c r="H592" t="s">
        <v>1187</v>
      </c>
      <c r="I592" t="s">
        <v>80</v>
      </c>
      <c r="J592" t="s">
        <v>1119</v>
      </c>
      <c r="K592" t="s">
        <v>38</v>
      </c>
      <c r="L592" t="s">
        <v>38</v>
      </c>
      <c r="M592" t="s">
        <v>38</v>
      </c>
      <c r="N592" t="s">
        <v>38</v>
      </c>
      <c r="O592" t="s">
        <v>57</v>
      </c>
      <c r="P592" t="s">
        <v>42</v>
      </c>
      <c r="Q592" t="s">
        <v>43</v>
      </c>
      <c r="R592" t="s">
        <v>89</v>
      </c>
      <c r="S592" t="s">
        <v>165</v>
      </c>
      <c r="T592" t="s">
        <v>89</v>
      </c>
      <c r="U592" t="s">
        <v>301</v>
      </c>
      <c r="V592" t="s">
        <v>91</v>
      </c>
      <c r="W592" t="s">
        <v>92</v>
      </c>
      <c r="X592" t="s">
        <v>38</v>
      </c>
      <c r="Y592" t="s">
        <v>38</v>
      </c>
      <c r="Z592" t="s">
        <v>42</v>
      </c>
      <c r="AA592" t="s">
        <v>166</v>
      </c>
      <c r="AB592" t="s">
        <v>38</v>
      </c>
      <c r="AC592" t="s">
        <v>165</v>
      </c>
      <c r="AD592" t="s">
        <v>48</v>
      </c>
      <c r="AG592" t="str">
        <f>IF(AD592="United States", IFERROR(INDEX(Sheet2!$C:$C, MATCH(AE592&amp;AF592, Sheet2!$E:$E, 0)) &amp; ", " &amp; INDEX(Sheet2!$D:$D, MATCH(AE592&amp;AF592, Sheet2!$E:$E, 0)), ""), "-")</f>
        <v/>
      </c>
    </row>
    <row r="593" spans="1:33" x14ac:dyDescent="0.25">
      <c r="A593" t="s">
        <v>1113</v>
      </c>
      <c r="B593" t="s">
        <v>1349</v>
      </c>
      <c r="C593" t="s">
        <v>1115</v>
      </c>
      <c r="D593" t="s">
        <v>1350</v>
      </c>
      <c r="E593" t="s">
        <v>37</v>
      </c>
      <c r="F593">
        <v>1767</v>
      </c>
      <c r="G593">
        <v>1490</v>
      </c>
      <c r="H593" t="s">
        <v>1187</v>
      </c>
      <c r="I593" t="s">
        <v>80</v>
      </c>
      <c r="J593" t="s">
        <v>1119</v>
      </c>
      <c r="K593" t="s">
        <v>38</v>
      </c>
      <c r="L593" t="s">
        <v>38</v>
      </c>
      <c r="M593" t="s">
        <v>38</v>
      </c>
      <c r="N593" t="s">
        <v>38</v>
      </c>
      <c r="O593" t="s">
        <v>54</v>
      </c>
      <c r="P593" t="s">
        <v>42</v>
      </c>
      <c r="Q593" t="s">
        <v>43</v>
      </c>
      <c r="R593" t="s">
        <v>89</v>
      </c>
      <c r="S593" t="s">
        <v>45</v>
      </c>
      <c r="T593" t="s">
        <v>89</v>
      </c>
      <c r="U593" t="s">
        <v>301</v>
      </c>
      <c r="V593" t="s">
        <v>91</v>
      </c>
      <c r="W593" t="s">
        <v>92</v>
      </c>
      <c r="X593" t="s">
        <v>38</v>
      </c>
      <c r="Y593" t="s">
        <v>38</v>
      </c>
      <c r="Z593" t="s">
        <v>42</v>
      </c>
      <c r="AA593" t="s">
        <v>1351</v>
      </c>
      <c r="AB593" t="s">
        <v>38</v>
      </c>
      <c r="AC593" t="s">
        <v>45</v>
      </c>
      <c r="AD593" t="s">
        <v>48</v>
      </c>
      <c r="AG593" t="str">
        <f>IF(AD593="United States", IFERROR(INDEX(Sheet2!$C:$C, MATCH(AE593&amp;AF593, Sheet2!$E:$E, 0)) &amp; ", " &amp; INDEX(Sheet2!$D:$D, MATCH(AE593&amp;AF593, Sheet2!$E:$E, 0)), ""), "-")</f>
        <v/>
      </c>
    </row>
    <row r="594" spans="1:33" x14ac:dyDescent="0.25">
      <c r="A594" t="s">
        <v>1113</v>
      </c>
      <c r="B594" t="s">
        <v>1352</v>
      </c>
      <c r="C594" t="s">
        <v>1115</v>
      </c>
      <c r="D594" t="s">
        <v>50</v>
      </c>
      <c r="E594" t="s">
        <v>539</v>
      </c>
      <c r="F594">
        <v>1727</v>
      </c>
      <c r="G594">
        <v>1491</v>
      </c>
      <c r="H594" t="s">
        <v>1131</v>
      </c>
      <c r="I594" t="s">
        <v>80</v>
      </c>
      <c r="J594" t="s">
        <v>1119</v>
      </c>
      <c r="K594" t="s">
        <v>38</v>
      </c>
      <c r="L594" t="s">
        <v>38</v>
      </c>
      <c r="M594" t="s">
        <v>38</v>
      </c>
      <c r="N594" t="s">
        <v>38</v>
      </c>
      <c r="O594" t="s">
        <v>41</v>
      </c>
      <c r="P594" t="s">
        <v>42</v>
      </c>
      <c r="Q594" t="s">
        <v>43</v>
      </c>
      <c r="R594" t="s">
        <v>89</v>
      </c>
      <c r="S594" t="s">
        <v>201</v>
      </c>
      <c r="T594" t="s">
        <v>89</v>
      </c>
      <c r="U594" t="s">
        <v>301</v>
      </c>
      <c r="V594" t="s">
        <v>91</v>
      </c>
      <c r="W594" t="s">
        <v>92</v>
      </c>
      <c r="X594" t="s">
        <v>38</v>
      </c>
      <c r="Y594" t="s">
        <v>38</v>
      </c>
      <c r="Z594" t="s">
        <v>42</v>
      </c>
      <c r="AA594" t="s">
        <v>354</v>
      </c>
      <c r="AB594" t="s">
        <v>38</v>
      </c>
      <c r="AC594" t="s">
        <v>201</v>
      </c>
      <c r="AD594" t="s">
        <v>48</v>
      </c>
      <c r="AG594" t="str">
        <f>IF(AD594="United States", IFERROR(INDEX(Sheet2!$C:$C, MATCH(AE594&amp;AF594, Sheet2!$E:$E, 0)) &amp; ", " &amp; INDEX(Sheet2!$D:$D, MATCH(AE594&amp;AF594, Sheet2!$E:$E, 0)), ""), "-")</f>
        <v/>
      </c>
    </row>
    <row r="595" spans="1:33" x14ac:dyDescent="0.25">
      <c r="A595" t="s">
        <v>1113</v>
      </c>
      <c r="B595" t="s">
        <v>1353</v>
      </c>
      <c r="C595" t="s">
        <v>1115</v>
      </c>
      <c r="D595" t="s">
        <v>1354</v>
      </c>
      <c r="E595" t="s">
        <v>1355</v>
      </c>
      <c r="F595">
        <v>1733</v>
      </c>
      <c r="G595">
        <v>1492</v>
      </c>
      <c r="H595" t="s">
        <v>1187</v>
      </c>
      <c r="I595" t="s">
        <v>80</v>
      </c>
      <c r="J595" t="s">
        <v>1119</v>
      </c>
      <c r="K595" t="s">
        <v>38</v>
      </c>
      <c r="L595" t="s">
        <v>38</v>
      </c>
      <c r="M595" t="s">
        <v>38</v>
      </c>
      <c r="N595" t="s">
        <v>38</v>
      </c>
      <c r="O595" t="s">
        <v>41</v>
      </c>
      <c r="P595" t="s">
        <v>42</v>
      </c>
      <c r="Q595" t="s">
        <v>43</v>
      </c>
      <c r="R595" t="s">
        <v>89</v>
      </c>
      <c r="S595" t="s">
        <v>38</v>
      </c>
      <c r="T595" t="s">
        <v>89</v>
      </c>
      <c r="U595" t="s">
        <v>301</v>
      </c>
      <c r="V595" t="s">
        <v>91</v>
      </c>
      <c r="W595" t="s">
        <v>92</v>
      </c>
      <c r="X595" t="s">
        <v>38</v>
      </c>
      <c r="Y595" t="s">
        <v>38</v>
      </c>
      <c r="Z595" t="s">
        <v>42</v>
      </c>
      <c r="AA595" t="s">
        <v>38</v>
      </c>
      <c r="AB595" t="s">
        <v>38</v>
      </c>
      <c r="AC595" t="s">
        <v>1356</v>
      </c>
      <c r="AD595" t="s">
        <v>48</v>
      </c>
      <c r="AG595" t="str">
        <f>IF(AD595="United States", IFERROR(INDEX(Sheet2!$C:$C, MATCH(AE595&amp;AF595, Sheet2!$E:$E, 0)) &amp; ", " &amp; INDEX(Sheet2!$D:$D, MATCH(AE595&amp;AF595, Sheet2!$E:$E, 0)), ""), "-")</f>
        <v/>
      </c>
    </row>
    <row r="596" spans="1:33" x14ac:dyDescent="0.25">
      <c r="A596" t="s">
        <v>1113</v>
      </c>
      <c r="B596" t="s">
        <v>1357</v>
      </c>
      <c r="C596" t="s">
        <v>1115</v>
      </c>
      <c r="D596" t="s">
        <v>210</v>
      </c>
      <c r="E596" t="s">
        <v>1358</v>
      </c>
      <c r="F596">
        <v>1747</v>
      </c>
      <c r="G596">
        <v>1524</v>
      </c>
      <c r="H596" t="s">
        <v>1118</v>
      </c>
      <c r="I596" t="s">
        <v>80</v>
      </c>
      <c r="J596" t="s">
        <v>1119</v>
      </c>
      <c r="K596" t="s">
        <v>38</v>
      </c>
      <c r="L596" t="s">
        <v>38</v>
      </c>
      <c r="M596" t="s">
        <v>38</v>
      </c>
      <c r="N596" t="s">
        <v>38</v>
      </c>
      <c r="O596" t="s">
        <v>41</v>
      </c>
      <c r="P596" t="s">
        <v>42</v>
      </c>
      <c r="Q596" t="s">
        <v>43</v>
      </c>
      <c r="R596" t="s">
        <v>89</v>
      </c>
      <c r="S596" t="s">
        <v>38</v>
      </c>
      <c r="T596" t="s">
        <v>89</v>
      </c>
      <c r="U596" t="s">
        <v>301</v>
      </c>
      <c r="V596" t="s">
        <v>91</v>
      </c>
      <c r="W596" t="s">
        <v>92</v>
      </c>
      <c r="X596" t="s">
        <v>38</v>
      </c>
      <c r="Y596" t="s">
        <v>38</v>
      </c>
      <c r="Z596" t="s">
        <v>42</v>
      </c>
      <c r="AA596" t="s">
        <v>38</v>
      </c>
      <c r="AB596" t="s">
        <v>38</v>
      </c>
      <c r="AC596" t="s">
        <v>593</v>
      </c>
      <c r="AD596" t="s">
        <v>48</v>
      </c>
      <c r="AG596" t="str">
        <f>IF(AD596="United States", IFERROR(INDEX(Sheet2!$C:$C, MATCH(AE596&amp;AF596, Sheet2!$E:$E, 0)) &amp; ", " &amp; INDEX(Sheet2!$D:$D, MATCH(AE596&amp;AF596, Sheet2!$E:$E, 0)), ""), "-")</f>
        <v/>
      </c>
    </row>
    <row r="597" spans="1:33" x14ac:dyDescent="0.25">
      <c r="A597" t="s">
        <v>1113</v>
      </c>
      <c r="B597" t="s">
        <v>1359</v>
      </c>
      <c r="C597" t="s">
        <v>1115</v>
      </c>
      <c r="D597" t="s">
        <v>569</v>
      </c>
      <c r="E597" t="s">
        <v>1360</v>
      </c>
      <c r="F597">
        <v>1765</v>
      </c>
      <c r="G597">
        <v>1525</v>
      </c>
      <c r="H597" t="s">
        <v>1118</v>
      </c>
      <c r="I597" t="s">
        <v>80</v>
      </c>
      <c r="J597" t="s">
        <v>1119</v>
      </c>
      <c r="K597" t="s">
        <v>38</v>
      </c>
      <c r="L597" t="s">
        <v>38</v>
      </c>
      <c r="M597" t="s">
        <v>38</v>
      </c>
      <c r="N597" t="s">
        <v>38</v>
      </c>
      <c r="O597" t="s">
        <v>41</v>
      </c>
      <c r="P597" t="s">
        <v>42</v>
      </c>
      <c r="Q597" t="s">
        <v>43</v>
      </c>
      <c r="R597" t="s">
        <v>89</v>
      </c>
      <c r="S597" t="s">
        <v>38</v>
      </c>
      <c r="T597" t="s">
        <v>89</v>
      </c>
      <c r="U597" t="s">
        <v>301</v>
      </c>
      <c r="V597" t="s">
        <v>91</v>
      </c>
      <c r="W597" t="s">
        <v>92</v>
      </c>
      <c r="X597" t="s">
        <v>38</v>
      </c>
      <c r="Y597" t="s">
        <v>38</v>
      </c>
      <c r="Z597" t="s">
        <v>42</v>
      </c>
      <c r="AA597" t="s">
        <v>38</v>
      </c>
      <c r="AB597" t="s">
        <v>38</v>
      </c>
      <c r="AC597" t="s">
        <v>38</v>
      </c>
      <c r="AD597" t="s">
        <v>48</v>
      </c>
      <c r="AG597" t="str">
        <f>IF(AD597="United States", IFERROR(INDEX(Sheet2!$C:$C, MATCH(AE597&amp;AF597, Sheet2!$E:$E, 0)) &amp; ", " &amp; INDEX(Sheet2!$D:$D, MATCH(AE597&amp;AF597, Sheet2!$E:$E, 0)), ""), "-")</f>
        <v/>
      </c>
    </row>
    <row r="598" spans="1:33" x14ac:dyDescent="0.25">
      <c r="A598" t="s">
        <v>1113</v>
      </c>
      <c r="B598" t="s">
        <v>1361</v>
      </c>
      <c r="C598" t="s">
        <v>1115</v>
      </c>
      <c r="D598" t="s">
        <v>204</v>
      </c>
      <c r="E598" t="s">
        <v>1362</v>
      </c>
      <c r="F598">
        <v>1767</v>
      </c>
      <c r="G598">
        <v>1526</v>
      </c>
      <c r="H598" t="s">
        <v>38</v>
      </c>
      <c r="I598" t="s">
        <v>80</v>
      </c>
      <c r="J598" t="s">
        <v>1119</v>
      </c>
      <c r="K598" t="s">
        <v>38</v>
      </c>
      <c r="L598" t="s">
        <v>38</v>
      </c>
      <c r="M598" t="s">
        <v>38</v>
      </c>
      <c r="N598" t="s">
        <v>38</v>
      </c>
      <c r="O598" t="s">
        <v>54</v>
      </c>
      <c r="P598" t="s">
        <v>42</v>
      </c>
      <c r="Q598" t="s">
        <v>43</v>
      </c>
      <c r="R598" t="s">
        <v>1363</v>
      </c>
      <c r="S598" t="s">
        <v>201</v>
      </c>
      <c r="T598" t="s">
        <v>38</v>
      </c>
      <c r="U598" t="s">
        <v>38</v>
      </c>
      <c r="V598" t="s">
        <v>91</v>
      </c>
      <c r="W598" t="s">
        <v>38</v>
      </c>
      <c r="X598" t="s">
        <v>38</v>
      </c>
      <c r="Y598" t="s">
        <v>38</v>
      </c>
      <c r="Z598" t="s">
        <v>42</v>
      </c>
      <c r="AA598" t="s">
        <v>1363</v>
      </c>
      <c r="AB598" t="s">
        <v>38</v>
      </c>
      <c r="AC598" t="s">
        <v>201</v>
      </c>
      <c r="AD598" t="s">
        <v>48</v>
      </c>
      <c r="AG598" t="str">
        <f>IF(AD598="United States", IFERROR(INDEX(Sheet2!$C:$C, MATCH(AE598&amp;AF598, Sheet2!$E:$E, 0)) &amp; ", " &amp; INDEX(Sheet2!$D:$D, MATCH(AE598&amp;AF598, Sheet2!$E:$E, 0)), ""), "-")</f>
        <v/>
      </c>
    </row>
    <row r="599" spans="1:33" x14ac:dyDescent="0.25">
      <c r="A599" t="s">
        <v>1113</v>
      </c>
      <c r="B599" t="s">
        <v>1364</v>
      </c>
      <c r="C599" t="s">
        <v>1115</v>
      </c>
      <c r="D599" t="s">
        <v>226</v>
      </c>
      <c r="E599" t="s">
        <v>1365</v>
      </c>
      <c r="F599">
        <v>1758</v>
      </c>
      <c r="G599">
        <v>1527</v>
      </c>
      <c r="H599" t="s">
        <v>1118</v>
      </c>
      <c r="I599" t="s">
        <v>80</v>
      </c>
      <c r="J599" t="s">
        <v>1119</v>
      </c>
      <c r="K599" t="s">
        <v>38</v>
      </c>
      <c r="L599" t="s">
        <v>38</v>
      </c>
      <c r="M599" t="s">
        <v>38</v>
      </c>
      <c r="N599" t="s">
        <v>38</v>
      </c>
      <c r="O599" t="s">
        <v>41</v>
      </c>
      <c r="P599" t="s">
        <v>42</v>
      </c>
      <c r="Q599" t="s">
        <v>43</v>
      </c>
      <c r="R599" t="s">
        <v>89</v>
      </c>
      <c r="S599" t="s">
        <v>38</v>
      </c>
      <c r="T599" t="s">
        <v>89</v>
      </c>
      <c r="U599" t="s">
        <v>301</v>
      </c>
      <c r="V599" t="s">
        <v>91</v>
      </c>
      <c r="W599" t="s">
        <v>92</v>
      </c>
      <c r="X599" t="s">
        <v>38</v>
      </c>
      <c r="Y599" t="s">
        <v>38</v>
      </c>
      <c r="Z599" t="s">
        <v>42</v>
      </c>
      <c r="AA599" t="s">
        <v>38</v>
      </c>
      <c r="AB599" t="s">
        <v>38</v>
      </c>
      <c r="AC599" t="s">
        <v>593</v>
      </c>
      <c r="AD599" t="s">
        <v>48</v>
      </c>
      <c r="AG599" t="str">
        <f>IF(AD599="United States", IFERROR(INDEX(Sheet2!$C:$C, MATCH(AE599&amp;AF599, Sheet2!$E:$E, 0)) &amp; ", " &amp; INDEX(Sheet2!$D:$D, MATCH(AE599&amp;AF599, Sheet2!$E:$E, 0)), ""), "-")</f>
        <v/>
      </c>
    </row>
    <row r="600" spans="1:33" x14ac:dyDescent="0.25">
      <c r="A600" t="s">
        <v>1113</v>
      </c>
      <c r="B600" t="s">
        <v>1366</v>
      </c>
      <c r="C600" t="s">
        <v>1115</v>
      </c>
      <c r="D600" t="s">
        <v>132</v>
      </c>
      <c r="E600" t="s">
        <v>818</v>
      </c>
      <c r="F600">
        <v>1763</v>
      </c>
      <c r="G600">
        <v>1528</v>
      </c>
      <c r="H600" t="s">
        <v>1118</v>
      </c>
      <c r="I600" t="s">
        <v>80</v>
      </c>
      <c r="J600" t="s">
        <v>1119</v>
      </c>
      <c r="K600" t="s">
        <v>38</v>
      </c>
      <c r="L600" t="s">
        <v>38</v>
      </c>
      <c r="M600" t="s">
        <v>38</v>
      </c>
      <c r="N600" t="s">
        <v>38</v>
      </c>
      <c r="O600" t="s">
        <v>41</v>
      </c>
      <c r="P600" t="s">
        <v>42</v>
      </c>
      <c r="Q600" t="s">
        <v>43</v>
      </c>
      <c r="R600" t="s">
        <v>89</v>
      </c>
      <c r="S600" t="s">
        <v>38</v>
      </c>
      <c r="T600" t="s">
        <v>89</v>
      </c>
      <c r="U600" t="s">
        <v>301</v>
      </c>
      <c r="V600" t="s">
        <v>91</v>
      </c>
      <c r="W600" t="s">
        <v>92</v>
      </c>
      <c r="X600" t="s">
        <v>38</v>
      </c>
      <c r="Y600" t="s">
        <v>38</v>
      </c>
      <c r="Z600" t="s">
        <v>42</v>
      </c>
      <c r="AA600" t="s">
        <v>38</v>
      </c>
      <c r="AB600" t="s">
        <v>38</v>
      </c>
      <c r="AC600" t="s">
        <v>38</v>
      </c>
      <c r="AD600" t="s">
        <v>48</v>
      </c>
      <c r="AG600" t="str">
        <f>IF(AD600="United States", IFERROR(INDEX(Sheet2!$C:$C, MATCH(AE600&amp;AF600, Sheet2!$E:$E, 0)) &amp; ", " &amp; INDEX(Sheet2!$D:$D, MATCH(AE600&amp;AF600, Sheet2!$E:$E, 0)), ""), "-")</f>
        <v/>
      </c>
    </row>
    <row r="601" spans="1:33" x14ac:dyDescent="0.25">
      <c r="A601" t="s">
        <v>1113</v>
      </c>
      <c r="B601" t="s">
        <v>1367</v>
      </c>
      <c r="C601" t="s">
        <v>1115</v>
      </c>
      <c r="D601" t="s">
        <v>36</v>
      </c>
      <c r="E601" t="s">
        <v>1368</v>
      </c>
      <c r="F601">
        <v>1757</v>
      </c>
      <c r="G601">
        <v>1529</v>
      </c>
      <c r="H601" t="s">
        <v>1118</v>
      </c>
      <c r="I601" t="s">
        <v>80</v>
      </c>
      <c r="J601" t="s">
        <v>1119</v>
      </c>
      <c r="K601" t="s">
        <v>38</v>
      </c>
      <c r="L601" t="s">
        <v>38</v>
      </c>
      <c r="M601" t="s">
        <v>38</v>
      </c>
      <c r="N601" t="s">
        <v>38</v>
      </c>
      <c r="O601" t="s">
        <v>41</v>
      </c>
      <c r="P601" t="s">
        <v>42</v>
      </c>
      <c r="Q601" t="s">
        <v>43</v>
      </c>
      <c r="R601" t="s">
        <v>89</v>
      </c>
      <c r="S601" t="s">
        <v>38</v>
      </c>
      <c r="T601" t="s">
        <v>89</v>
      </c>
      <c r="U601" t="s">
        <v>301</v>
      </c>
      <c r="V601" t="s">
        <v>91</v>
      </c>
      <c r="W601" t="s">
        <v>92</v>
      </c>
      <c r="X601" t="s">
        <v>38</v>
      </c>
      <c r="Y601" t="s">
        <v>38</v>
      </c>
      <c r="Z601" t="s">
        <v>42</v>
      </c>
      <c r="AA601" t="s">
        <v>38</v>
      </c>
      <c r="AB601" t="s">
        <v>38</v>
      </c>
      <c r="AC601" t="s">
        <v>593</v>
      </c>
      <c r="AD601" t="s">
        <v>48</v>
      </c>
      <c r="AG601" t="str">
        <f>IF(AD601="United States", IFERROR(INDEX(Sheet2!$C:$C, MATCH(AE601&amp;AF601, Sheet2!$E:$E, 0)) &amp; ", " &amp; INDEX(Sheet2!$D:$D, MATCH(AE601&amp;AF601, Sheet2!$E:$E, 0)), ""), "-")</f>
        <v/>
      </c>
    </row>
    <row r="602" spans="1:33" x14ac:dyDescent="0.25">
      <c r="A602" t="s">
        <v>1113</v>
      </c>
      <c r="B602" t="s">
        <v>1369</v>
      </c>
      <c r="C602" t="s">
        <v>1115</v>
      </c>
      <c r="D602" t="s">
        <v>434</v>
      </c>
      <c r="E602" t="s">
        <v>1370</v>
      </c>
      <c r="F602">
        <v>1760</v>
      </c>
      <c r="G602">
        <v>1530</v>
      </c>
      <c r="H602" t="s">
        <v>1371</v>
      </c>
      <c r="I602" t="s">
        <v>80</v>
      </c>
      <c r="J602" t="s">
        <v>1119</v>
      </c>
      <c r="K602" t="s">
        <v>38</v>
      </c>
      <c r="L602" t="s">
        <v>38</v>
      </c>
      <c r="M602" t="s">
        <v>38</v>
      </c>
      <c r="N602" t="s">
        <v>38</v>
      </c>
      <c r="O602" t="s">
        <v>41</v>
      </c>
      <c r="P602" t="s">
        <v>42</v>
      </c>
      <c r="Q602" t="s">
        <v>43</v>
      </c>
      <c r="R602" t="s">
        <v>89</v>
      </c>
      <c r="S602" t="s">
        <v>417</v>
      </c>
      <c r="T602" t="s">
        <v>89</v>
      </c>
      <c r="U602" t="s">
        <v>301</v>
      </c>
      <c r="V602" t="s">
        <v>91</v>
      </c>
      <c r="W602" t="s">
        <v>92</v>
      </c>
      <c r="X602" t="s">
        <v>38</v>
      </c>
      <c r="Y602" t="s">
        <v>38</v>
      </c>
      <c r="Z602" t="s">
        <v>42</v>
      </c>
      <c r="AA602" t="s">
        <v>1372</v>
      </c>
      <c r="AB602" t="s">
        <v>38</v>
      </c>
      <c r="AC602" t="s">
        <v>417</v>
      </c>
      <c r="AD602" t="s">
        <v>48</v>
      </c>
      <c r="AG602" t="str">
        <f>IF(AD602="United States", IFERROR(INDEX(Sheet2!$C:$C, MATCH(AE602&amp;AF602, Sheet2!$E:$E, 0)) &amp; ", " &amp; INDEX(Sheet2!$D:$D, MATCH(AE602&amp;AF602, Sheet2!$E:$E, 0)), ""), "-")</f>
        <v/>
      </c>
    </row>
    <row r="603" spans="1:33" x14ac:dyDescent="0.25">
      <c r="A603" t="s">
        <v>1113</v>
      </c>
      <c r="B603" t="s">
        <v>1373</v>
      </c>
      <c r="C603" t="s">
        <v>1115</v>
      </c>
      <c r="D603" t="s">
        <v>210</v>
      </c>
      <c r="E603" t="s">
        <v>1374</v>
      </c>
      <c r="F603">
        <v>1752</v>
      </c>
      <c r="G603">
        <v>1531</v>
      </c>
      <c r="H603" t="s">
        <v>1118</v>
      </c>
      <c r="I603" t="s">
        <v>80</v>
      </c>
      <c r="J603" t="s">
        <v>1119</v>
      </c>
      <c r="K603" t="s">
        <v>38</v>
      </c>
      <c r="L603" t="s">
        <v>38</v>
      </c>
      <c r="M603" t="s">
        <v>38</v>
      </c>
      <c r="N603" t="s">
        <v>38</v>
      </c>
      <c r="O603" t="s">
        <v>41</v>
      </c>
      <c r="P603" t="s">
        <v>42</v>
      </c>
      <c r="Q603" t="s">
        <v>43</v>
      </c>
      <c r="R603" t="s">
        <v>89</v>
      </c>
      <c r="S603" t="s">
        <v>45</v>
      </c>
      <c r="T603" t="s">
        <v>89</v>
      </c>
      <c r="U603" t="s">
        <v>301</v>
      </c>
      <c r="V603" t="s">
        <v>91</v>
      </c>
      <c r="W603" t="s">
        <v>92</v>
      </c>
      <c r="X603" t="s">
        <v>38</v>
      </c>
      <c r="Y603" t="s">
        <v>38</v>
      </c>
      <c r="Z603" t="s">
        <v>42</v>
      </c>
      <c r="AA603" t="s">
        <v>38</v>
      </c>
      <c r="AB603" t="s">
        <v>38</v>
      </c>
      <c r="AC603" t="s">
        <v>45</v>
      </c>
      <c r="AD603" t="s">
        <v>48</v>
      </c>
      <c r="AG603" t="str">
        <f>IF(AD603="United States", IFERROR(INDEX(Sheet2!$C:$C, MATCH(AE603&amp;AF603, Sheet2!$E:$E, 0)) &amp; ", " &amp; INDEX(Sheet2!$D:$D, MATCH(AE603&amp;AF603, Sheet2!$E:$E, 0)), ""), "-")</f>
        <v/>
      </c>
    </row>
    <row r="604" spans="1:33" x14ac:dyDescent="0.25">
      <c r="A604" t="s">
        <v>1113</v>
      </c>
      <c r="B604" t="s">
        <v>1375</v>
      </c>
      <c r="C604" t="s">
        <v>1115</v>
      </c>
      <c r="D604" t="s">
        <v>1376</v>
      </c>
      <c r="E604" t="s">
        <v>1377</v>
      </c>
      <c r="F604">
        <v>1757</v>
      </c>
      <c r="G604">
        <v>1532</v>
      </c>
      <c r="H604" t="s">
        <v>38</v>
      </c>
      <c r="I604" t="s">
        <v>80</v>
      </c>
      <c r="J604" t="s">
        <v>1119</v>
      </c>
      <c r="K604" t="s">
        <v>38</v>
      </c>
      <c r="L604" t="s">
        <v>38</v>
      </c>
      <c r="M604" t="s">
        <v>38</v>
      </c>
      <c r="N604" t="s">
        <v>38</v>
      </c>
      <c r="O604" t="s">
        <v>74</v>
      </c>
      <c r="P604" t="s">
        <v>42</v>
      </c>
      <c r="Q604" t="s">
        <v>43</v>
      </c>
      <c r="R604" t="s">
        <v>1378</v>
      </c>
      <c r="S604" t="s">
        <v>45</v>
      </c>
      <c r="T604" t="s">
        <v>38</v>
      </c>
      <c r="U604" t="s">
        <v>38</v>
      </c>
      <c r="V604" t="s">
        <v>91</v>
      </c>
      <c r="W604" t="s">
        <v>38</v>
      </c>
      <c r="X604" t="s">
        <v>38</v>
      </c>
      <c r="Y604" t="s">
        <v>38</v>
      </c>
      <c r="Z604" t="s">
        <v>42</v>
      </c>
      <c r="AA604" t="s">
        <v>169</v>
      </c>
      <c r="AB604" t="s">
        <v>38</v>
      </c>
      <c r="AC604" t="s">
        <v>45</v>
      </c>
      <c r="AD604" t="s">
        <v>48</v>
      </c>
      <c r="AG604" t="str">
        <f>IF(AD604="United States", IFERROR(INDEX(Sheet2!$C:$C, MATCH(AE604&amp;AF604, Sheet2!$E:$E, 0)) &amp; ", " &amp; INDEX(Sheet2!$D:$D, MATCH(AE604&amp;AF604, Sheet2!$E:$E, 0)), ""), "-")</f>
        <v/>
      </c>
    </row>
    <row r="605" spans="1:33" x14ac:dyDescent="0.25">
      <c r="A605" t="s">
        <v>1113</v>
      </c>
      <c r="B605" t="s">
        <v>1379</v>
      </c>
      <c r="C605" t="s">
        <v>1115</v>
      </c>
      <c r="D605" t="s">
        <v>285</v>
      </c>
      <c r="E605" t="s">
        <v>818</v>
      </c>
      <c r="F605">
        <v>1761</v>
      </c>
      <c r="G605">
        <v>1533</v>
      </c>
      <c r="H605" t="s">
        <v>1131</v>
      </c>
      <c r="I605" t="s">
        <v>80</v>
      </c>
      <c r="J605" t="s">
        <v>1119</v>
      </c>
      <c r="K605" t="s">
        <v>38</v>
      </c>
      <c r="L605" t="s">
        <v>38</v>
      </c>
      <c r="M605" t="s">
        <v>38</v>
      </c>
      <c r="N605" t="s">
        <v>38</v>
      </c>
      <c r="O605" t="s">
        <v>57</v>
      </c>
      <c r="P605" t="s">
        <v>42</v>
      </c>
      <c r="Q605" t="s">
        <v>43</v>
      </c>
      <c r="R605" t="s">
        <v>89</v>
      </c>
      <c r="S605" t="s">
        <v>38</v>
      </c>
      <c r="T605" t="s">
        <v>89</v>
      </c>
      <c r="U605" t="s">
        <v>301</v>
      </c>
      <c r="V605" t="s">
        <v>91</v>
      </c>
      <c r="W605" t="s">
        <v>92</v>
      </c>
      <c r="X605" t="s">
        <v>38</v>
      </c>
      <c r="Y605" t="s">
        <v>38</v>
      </c>
      <c r="Z605" t="s">
        <v>42</v>
      </c>
      <c r="AA605" t="s">
        <v>38</v>
      </c>
      <c r="AB605" t="s">
        <v>38</v>
      </c>
      <c r="AC605" t="s">
        <v>1380</v>
      </c>
      <c r="AD605" t="s">
        <v>48</v>
      </c>
      <c r="AG605" t="str">
        <f>IF(AD605="United States", IFERROR(INDEX(Sheet2!$C:$C, MATCH(AE605&amp;AF605, Sheet2!$E:$E, 0)) &amp; ", " &amp; INDEX(Sheet2!$D:$D, MATCH(AE605&amp;AF605, Sheet2!$E:$E, 0)), ""), "-")</f>
        <v/>
      </c>
    </row>
    <row r="606" spans="1:33" x14ac:dyDescent="0.25">
      <c r="A606" t="s">
        <v>1113</v>
      </c>
      <c r="B606" t="s">
        <v>1381</v>
      </c>
      <c r="C606" t="s">
        <v>1115</v>
      </c>
      <c r="D606" t="s">
        <v>1382</v>
      </c>
      <c r="E606" t="s">
        <v>1370</v>
      </c>
      <c r="F606">
        <v>1765</v>
      </c>
      <c r="G606">
        <v>1534</v>
      </c>
      <c r="H606" t="s">
        <v>1371</v>
      </c>
      <c r="I606" t="s">
        <v>80</v>
      </c>
      <c r="J606" t="s">
        <v>1119</v>
      </c>
      <c r="K606" t="s">
        <v>38</v>
      </c>
      <c r="L606" t="s">
        <v>38</v>
      </c>
      <c r="M606" t="s">
        <v>38</v>
      </c>
      <c r="N606" t="s">
        <v>38</v>
      </c>
      <c r="O606" t="s">
        <v>57</v>
      </c>
      <c r="P606" t="s">
        <v>42</v>
      </c>
      <c r="Q606" t="s">
        <v>43</v>
      </c>
      <c r="R606" t="s">
        <v>89</v>
      </c>
      <c r="S606" t="s">
        <v>45</v>
      </c>
      <c r="T606" t="s">
        <v>89</v>
      </c>
      <c r="U606" t="s">
        <v>301</v>
      </c>
      <c r="V606" t="s">
        <v>91</v>
      </c>
      <c r="W606" t="s">
        <v>92</v>
      </c>
      <c r="X606" t="s">
        <v>38</v>
      </c>
      <c r="Y606" t="s">
        <v>38</v>
      </c>
      <c r="Z606" t="s">
        <v>42</v>
      </c>
      <c r="AA606" t="s">
        <v>169</v>
      </c>
      <c r="AB606" t="s">
        <v>38</v>
      </c>
      <c r="AC606" t="s">
        <v>45</v>
      </c>
      <c r="AD606" t="s">
        <v>48</v>
      </c>
      <c r="AG606" t="str">
        <f>IF(AD606="United States", IFERROR(INDEX(Sheet2!$C:$C, MATCH(AE606&amp;AF606, Sheet2!$E:$E, 0)) &amp; ", " &amp; INDEX(Sheet2!$D:$D, MATCH(AE606&amp;AF606, Sheet2!$E:$E, 0)), ""), "-")</f>
        <v/>
      </c>
    </row>
    <row r="607" spans="1:33" x14ac:dyDescent="0.25">
      <c r="A607" t="s">
        <v>1113</v>
      </c>
      <c r="B607" t="s">
        <v>1383</v>
      </c>
      <c r="C607" t="s">
        <v>1115</v>
      </c>
      <c r="D607" t="s">
        <v>834</v>
      </c>
      <c r="E607" t="s">
        <v>1384</v>
      </c>
      <c r="F607">
        <v>1759</v>
      </c>
      <c r="G607">
        <v>1535</v>
      </c>
      <c r="H607" t="s">
        <v>1118</v>
      </c>
      <c r="I607" t="s">
        <v>80</v>
      </c>
      <c r="J607" t="s">
        <v>1119</v>
      </c>
      <c r="K607" t="s">
        <v>38</v>
      </c>
      <c r="L607" t="s">
        <v>38</v>
      </c>
      <c r="M607" t="s">
        <v>38</v>
      </c>
      <c r="N607" t="s">
        <v>38</v>
      </c>
      <c r="O607" t="s">
        <v>74</v>
      </c>
      <c r="P607" t="s">
        <v>42</v>
      </c>
      <c r="Q607" t="s">
        <v>43</v>
      </c>
      <c r="R607" t="s">
        <v>89</v>
      </c>
      <c r="S607" t="s">
        <v>201</v>
      </c>
      <c r="T607" t="s">
        <v>89</v>
      </c>
      <c r="U607" t="s">
        <v>301</v>
      </c>
      <c r="V607" t="s">
        <v>91</v>
      </c>
      <c r="W607" t="s">
        <v>92</v>
      </c>
      <c r="X607" t="s">
        <v>38</v>
      </c>
      <c r="Y607" t="s">
        <v>38</v>
      </c>
      <c r="Z607" t="s">
        <v>42</v>
      </c>
      <c r="AA607" t="s">
        <v>38</v>
      </c>
      <c r="AB607" t="s">
        <v>38</v>
      </c>
      <c r="AC607" t="s">
        <v>201</v>
      </c>
      <c r="AD607" t="s">
        <v>48</v>
      </c>
      <c r="AG607" t="str">
        <f>IF(AD607="United States", IFERROR(INDEX(Sheet2!$C:$C, MATCH(AE607&amp;AF607, Sheet2!$E:$E, 0)) &amp; ", " &amp; INDEX(Sheet2!$D:$D, MATCH(AE607&amp;AF607, Sheet2!$E:$E, 0)), ""), "-")</f>
        <v/>
      </c>
    </row>
    <row r="608" spans="1:33" x14ac:dyDescent="0.25">
      <c r="A608" t="s">
        <v>1113</v>
      </c>
      <c r="B608" t="s">
        <v>1385</v>
      </c>
      <c r="C608" t="s">
        <v>1115</v>
      </c>
      <c r="D608" t="s">
        <v>1386</v>
      </c>
      <c r="E608" t="s">
        <v>1387</v>
      </c>
      <c r="F608">
        <v>1767</v>
      </c>
      <c r="G608">
        <v>1536</v>
      </c>
      <c r="H608" t="s">
        <v>1371</v>
      </c>
      <c r="I608" t="s">
        <v>80</v>
      </c>
      <c r="J608" t="s">
        <v>1119</v>
      </c>
      <c r="K608" t="s">
        <v>38</v>
      </c>
      <c r="L608" t="s">
        <v>38</v>
      </c>
      <c r="M608" t="s">
        <v>38</v>
      </c>
      <c r="N608" t="s">
        <v>38</v>
      </c>
      <c r="O608" t="s">
        <v>74</v>
      </c>
      <c r="P608" t="s">
        <v>42</v>
      </c>
      <c r="Q608" t="s">
        <v>43</v>
      </c>
      <c r="R608" t="s">
        <v>89</v>
      </c>
      <c r="S608" t="s">
        <v>45</v>
      </c>
      <c r="T608" t="s">
        <v>89</v>
      </c>
      <c r="U608" t="s">
        <v>301</v>
      </c>
      <c r="V608" t="s">
        <v>91</v>
      </c>
      <c r="W608" t="s">
        <v>92</v>
      </c>
      <c r="X608" t="s">
        <v>38</v>
      </c>
      <c r="Y608" t="s">
        <v>38</v>
      </c>
      <c r="Z608" t="s">
        <v>42</v>
      </c>
      <c r="AA608" t="s">
        <v>59</v>
      </c>
      <c r="AB608" t="s">
        <v>38</v>
      </c>
      <c r="AC608" t="s">
        <v>45</v>
      </c>
      <c r="AD608" t="s">
        <v>48</v>
      </c>
      <c r="AG608" t="str">
        <f>IF(AD608="United States", IFERROR(INDEX(Sheet2!$C:$C, MATCH(AE608&amp;AF608, Sheet2!$E:$E, 0)) &amp; ", " &amp; INDEX(Sheet2!$D:$D, MATCH(AE608&amp;AF608, Sheet2!$E:$E, 0)), ""), "-")</f>
        <v/>
      </c>
    </row>
    <row r="609" spans="1:33" x14ac:dyDescent="0.25">
      <c r="A609" t="s">
        <v>1113</v>
      </c>
      <c r="B609" t="s">
        <v>1388</v>
      </c>
      <c r="C609" t="s">
        <v>1115</v>
      </c>
      <c r="D609" t="s">
        <v>263</v>
      </c>
      <c r="E609" t="s">
        <v>1389</v>
      </c>
      <c r="F609">
        <v>1761</v>
      </c>
      <c r="G609">
        <v>1537</v>
      </c>
      <c r="H609" t="s">
        <v>1187</v>
      </c>
      <c r="I609" t="s">
        <v>80</v>
      </c>
      <c r="J609" t="s">
        <v>1119</v>
      </c>
      <c r="K609" t="s">
        <v>38</v>
      </c>
      <c r="L609" t="s">
        <v>38</v>
      </c>
      <c r="M609" t="s">
        <v>38</v>
      </c>
      <c r="N609" t="s">
        <v>38</v>
      </c>
      <c r="O609" t="s">
        <v>57</v>
      </c>
      <c r="P609" t="s">
        <v>42</v>
      </c>
      <c r="Q609" t="s">
        <v>43</v>
      </c>
      <c r="R609" t="s">
        <v>89</v>
      </c>
      <c r="S609" t="s">
        <v>45</v>
      </c>
      <c r="T609" t="s">
        <v>89</v>
      </c>
      <c r="U609" t="s">
        <v>301</v>
      </c>
      <c r="V609" t="s">
        <v>91</v>
      </c>
      <c r="W609" t="s">
        <v>92</v>
      </c>
      <c r="X609" t="s">
        <v>38</v>
      </c>
      <c r="Y609" t="s">
        <v>38</v>
      </c>
      <c r="Z609" t="s">
        <v>42</v>
      </c>
      <c r="AA609" t="s">
        <v>38</v>
      </c>
      <c r="AB609" t="s">
        <v>38</v>
      </c>
      <c r="AC609" t="s">
        <v>45</v>
      </c>
      <c r="AD609" t="s">
        <v>48</v>
      </c>
      <c r="AG609" t="str">
        <f>IF(AD609="United States", IFERROR(INDEX(Sheet2!$C:$C, MATCH(AE609&amp;AF609, Sheet2!$E:$E, 0)) &amp; ", " &amp; INDEX(Sheet2!$D:$D, MATCH(AE609&amp;AF609, Sheet2!$E:$E, 0)), ""), "-")</f>
        <v/>
      </c>
    </row>
    <row r="610" spans="1:33" x14ac:dyDescent="0.25">
      <c r="A610" t="s">
        <v>1113</v>
      </c>
      <c r="B610" t="s">
        <v>1390</v>
      </c>
      <c r="C610" t="s">
        <v>1115</v>
      </c>
      <c r="D610" t="s">
        <v>1230</v>
      </c>
      <c r="E610" t="s">
        <v>1391</v>
      </c>
      <c r="F610">
        <v>1760</v>
      </c>
      <c r="G610">
        <v>1538</v>
      </c>
      <c r="H610" t="s">
        <v>1118</v>
      </c>
      <c r="I610" t="s">
        <v>80</v>
      </c>
      <c r="J610" t="s">
        <v>1119</v>
      </c>
      <c r="K610" t="s">
        <v>38</v>
      </c>
      <c r="L610" t="s">
        <v>38</v>
      </c>
      <c r="M610" t="s">
        <v>38</v>
      </c>
      <c r="N610" t="s">
        <v>38</v>
      </c>
      <c r="O610" t="s">
        <v>74</v>
      </c>
      <c r="P610" t="s">
        <v>42</v>
      </c>
      <c r="Q610" t="s">
        <v>43</v>
      </c>
      <c r="R610" t="s">
        <v>89</v>
      </c>
      <c r="S610" t="s">
        <v>38</v>
      </c>
      <c r="T610" t="s">
        <v>89</v>
      </c>
      <c r="U610" t="s">
        <v>301</v>
      </c>
      <c r="V610" t="s">
        <v>91</v>
      </c>
      <c r="W610" t="s">
        <v>92</v>
      </c>
      <c r="X610" t="s">
        <v>38</v>
      </c>
      <c r="Y610" t="s">
        <v>38</v>
      </c>
      <c r="Z610" t="s">
        <v>42</v>
      </c>
      <c r="AA610" t="s">
        <v>38</v>
      </c>
      <c r="AB610" t="s">
        <v>38</v>
      </c>
      <c r="AC610" t="s">
        <v>38</v>
      </c>
      <c r="AD610" t="s">
        <v>48</v>
      </c>
      <c r="AG610" t="str">
        <f>IF(AD610="United States", IFERROR(INDEX(Sheet2!$C:$C, MATCH(AE610&amp;AF610, Sheet2!$E:$E, 0)) &amp; ", " &amp; INDEX(Sheet2!$D:$D, MATCH(AE610&amp;AF610, Sheet2!$E:$E, 0)), ""), "-")</f>
        <v/>
      </c>
    </row>
    <row r="611" spans="1:33" x14ac:dyDescent="0.25">
      <c r="A611" t="s">
        <v>1113</v>
      </c>
      <c r="B611" t="s">
        <v>1392</v>
      </c>
      <c r="C611" t="s">
        <v>1115</v>
      </c>
      <c r="D611" t="s">
        <v>114</v>
      </c>
      <c r="E611" t="s">
        <v>1374</v>
      </c>
      <c r="F611">
        <v>1759</v>
      </c>
      <c r="G611">
        <v>1539</v>
      </c>
      <c r="H611" t="s">
        <v>1187</v>
      </c>
      <c r="I611" t="s">
        <v>80</v>
      </c>
      <c r="J611" t="s">
        <v>1119</v>
      </c>
      <c r="K611" t="s">
        <v>38</v>
      </c>
      <c r="L611" t="s">
        <v>38</v>
      </c>
      <c r="M611" t="s">
        <v>38</v>
      </c>
      <c r="N611" t="s">
        <v>38</v>
      </c>
      <c r="O611" t="s">
        <v>57</v>
      </c>
      <c r="P611" t="s">
        <v>42</v>
      </c>
      <c r="Q611" t="s">
        <v>43</v>
      </c>
      <c r="R611" t="s">
        <v>89</v>
      </c>
      <c r="S611" t="s">
        <v>45</v>
      </c>
      <c r="T611" t="s">
        <v>89</v>
      </c>
      <c r="U611" t="s">
        <v>301</v>
      </c>
      <c r="V611" t="s">
        <v>91</v>
      </c>
      <c r="W611" t="s">
        <v>92</v>
      </c>
      <c r="X611" t="s">
        <v>38</v>
      </c>
      <c r="Y611" t="s">
        <v>38</v>
      </c>
      <c r="Z611" t="s">
        <v>42</v>
      </c>
      <c r="AA611" t="s">
        <v>1120</v>
      </c>
      <c r="AB611" t="s">
        <v>38</v>
      </c>
      <c r="AC611" t="s">
        <v>45</v>
      </c>
      <c r="AD611" t="s">
        <v>48</v>
      </c>
      <c r="AG611" t="str">
        <f>IF(AD611="United States", IFERROR(INDEX(Sheet2!$C:$C, MATCH(AE611&amp;AF611, Sheet2!$E:$E, 0)) &amp; ", " &amp; INDEX(Sheet2!$D:$D, MATCH(AE611&amp;AF611, Sheet2!$E:$E, 0)), ""), "-")</f>
        <v/>
      </c>
    </row>
    <row r="612" spans="1:33" x14ac:dyDescent="0.25">
      <c r="A612" t="s">
        <v>1113</v>
      </c>
      <c r="B612" t="s">
        <v>1393</v>
      </c>
      <c r="C612" t="s">
        <v>1115</v>
      </c>
      <c r="D612" t="s">
        <v>515</v>
      </c>
      <c r="E612" t="s">
        <v>1394</v>
      </c>
      <c r="F612">
        <v>1759</v>
      </c>
      <c r="G612">
        <v>1540</v>
      </c>
      <c r="H612" t="s">
        <v>1118</v>
      </c>
      <c r="I612" t="s">
        <v>80</v>
      </c>
      <c r="J612" t="s">
        <v>1119</v>
      </c>
      <c r="K612" t="s">
        <v>38</v>
      </c>
      <c r="L612" t="s">
        <v>38</v>
      </c>
      <c r="M612" t="s">
        <v>38</v>
      </c>
      <c r="N612" t="s">
        <v>38</v>
      </c>
      <c r="O612" t="s">
        <v>57</v>
      </c>
      <c r="P612" t="s">
        <v>42</v>
      </c>
      <c r="Q612" t="s">
        <v>43</v>
      </c>
      <c r="R612" t="s">
        <v>89</v>
      </c>
      <c r="S612" t="s">
        <v>201</v>
      </c>
      <c r="T612" t="s">
        <v>89</v>
      </c>
      <c r="U612" t="s">
        <v>301</v>
      </c>
      <c r="V612" t="s">
        <v>91</v>
      </c>
      <c r="W612" t="s">
        <v>92</v>
      </c>
      <c r="X612" t="s">
        <v>38</v>
      </c>
      <c r="Y612" t="s">
        <v>38</v>
      </c>
      <c r="Z612" t="s">
        <v>42</v>
      </c>
      <c r="AA612" t="s">
        <v>1395</v>
      </c>
      <c r="AB612" t="s">
        <v>38</v>
      </c>
      <c r="AC612" t="s">
        <v>201</v>
      </c>
      <c r="AD612" t="s">
        <v>48</v>
      </c>
      <c r="AG612" t="str">
        <f>IF(AD612="United States", IFERROR(INDEX(Sheet2!$C:$C, MATCH(AE612&amp;AF612, Sheet2!$E:$E, 0)) &amp; ", " &amp; INDEX(Sheet2!$D:$D, MATCH(AE612&amp;AF612, Sheet2!$E:$E, 0)), ""), "-")</f>
        <v/>
      </c>
    </row>
    <row r="613" spans="1:33" x14ac:dyDescent="0.25">
      <c r="A613" t="s">
        <v>1113</v>
      </c>
      <c r="B613" t="s">
        <v>1396</v>
      </c>
      <c r="C613" t="s">
        <v>1115</v>
      </c>
      <c r="D613" t="s">
        <v>222</v>
      </c>
      <c r="E613" t="s">
        <v>1397</v>
      </c>
      <c r="F613">
        <v>1763</v>
      </c>
      <c r="G613">
        <v>1541</v>
      </c>
      <c r="H613" t="s">
        <v>1131</v>
      </c>
      <c r="I613" t="s">
        <v>80</v>
      </c>
      <c r="J613" t="s">
        <v>1119</v>
      </c>
      <c r="K613" t="s">
        <v>38</v>
      </c>
      <c r="L613" t="s">
        <v>38</v>
      </c>
      <c r="M613" t="s">
        <v>38</v>
      </c>
      <c r="N613" t="s">
        <v>38</v>
      </c>
      <c r="O613" t="s">
        <v>57</v>
      </c>
      <c r="P613" t="s">
        <v>42</v>
      </c>
      <c r="Q613" t="s">
        <v>43</v>
      </c>
      <c r="R613" t="s">
        <v>89</v>
      </c>
      <c r="S613" t="s">
        <v>201</v>
      </c>
      <c r="T613" t="s">
        <v>89</v>
      </c>
      <c r="U613" t="s">
        <v>301</v>
      </c>
      <c r="V613" t="s">
        <v>91</v>
      </c>
      <c r="W613" t="s">
        <v>92</v>
      </c>
      <c r="X613" t="s">
        <v>38</v>
      </c>
      <c r="Y613" t="s">
        <v>38</v>
      </c>
      <c r="Z613" t="s">
        <v>42</v>
      </c>
      <c r="AA613" t="s">
        <v>1395</v>
      </c>
      <c r="AB613" t="s">
        <v>38</v>
      </c>
      <c r="AC613" t="s">
        <v>201</v>
      </c>
      <c r="AD613" t="s">
        <v>48</v>
      </c>
      <c r="AG613" t="str">
        <f>IF(AD613="United States", IFERROR(INDEX(Sheet2!$C:$C, MATCH(AE613&amp;AF613, Sheet2!$E:$E, 0)) &amp; ", " &amp; INDEX(Sheet2!$D:$D, MATCH(AE613&amp;AF613, Sheet2!$E:$E, 0)), ""), "-")</f>
        <v/>
      </c>
    </row>
    <row r="614" spans="1:33" x14ac:dyDescent="0.25">
      <c r="A614" t="s">
        <v>1113</v>
      </c>
      <c r="B614" t="s">
        <v>1398</v>
      </c>
      <c r="C614" t="s">
        <v>1115</v>
      </c>
      <c r="D614" t="s">
        <v>114</v>
      </c>
      <c r="E614" t="s">
        <v>1394</v>
      </c>
      <c r="F614">
        <v>1759</v>
      </c>
      <c r="G614">
        <v>1542</v>
      </c>
      <c r="H614" t="s">
        <v>1187</v>
      </c>
      <c r="I614" t="s">
        <v>80</v>
      </c>
      <c r="J614" t="s">
        <v>1119</v>
      </c>
      <c r="K614" t="s">
        <v>38</v>
      </c>
      <c r="L614" t="s">
        <v>38</v>
      </c>
      <c r="M614" t="s">
        <v>38</v>
      </c>
      <c r="N614" t="s">
        <v>38</v>
      </c>
      <c r="O614" t="s">
        <v>57</v>
      </c>
      <c r="P614" t="s">
        <v>42</v>
      </c>
      <c r="Q614" t="s">
        <v>43</v>
      </c>
      <c r="R614" t="s">
        <v>89</v>
      </c>
      <c r="S614" t="s">
        <v>201</v>
      </c>
      <c r="T614" t="s">
        <v>89</v>
      </c>
      <c r="U614" t="s">
        <v>301</v>
      </c>
      <c r="V614" t="s">
        <v>91</v>
      </c>
      <c r="W614" t="s">
        <v>92</v>
      </c>
      <c r="X614" t="s">
        <v>38</v>
      </c>
      <c r="Y614" t="s">
        <v>38</v>
      </c>
      <c r="Z614" t="s">
        <v>42</v>
      </c>
      <c r="AA614" t="s">
        <v>1363</v>
      </c>
      <c r="AB614" t="s">
        <v>38</v>
      </c>
      <c r="AC614" t="s">
        <v>201</v>
      </c>
      <c r="AD614" t="s">
        <v>48</v>
      </c>
      <c r="AG614" t="str">
        <f>IF(AD614="United States", IFERROR(INDEX(Sheet2!$C:$C, MATCH(AE614&amp;AF614, Sheet2!$E:$E, 0)) &amp; ", " &amp; INDEX(Sheet2!$D:$D, MATCH(AE614&amp;AF614, Sheet2!$E:$E, 0)), ""), "-")</f>
        <v/>
      </c>
    </row>
    <row r="615" spans="1:33" x14ac:dyDescent="0.25">
      <c r="A615" t="s">
        <v>1113</v>
      </c>
      <c r="B615" t="s">
        <v>1399</v>
      </c>
      <c r="C615" t="s">
        <v>1115</v>
      </c>
      <c r="D615" t="s">
        <v>1400</v>
      </c>
      <c r="E615" t="s">
        <v>50</v>
      </c>
      <c r="F615">
        <v>1763</v>
      </c>
      <c r="G615">
        <v>1543</v>
      </c>
      <c r="H615" t="s">
        <v>38</v>
      </c>
      <c r="I615" t="s">
        <v>80</v>
      </c>
      <c r="J615" t="s">
        <v>1119</v>
      </c>
      <c r="K615" t="s">
        <v>38</v>
      </c>
      <c r="L615" t="s">
        <v>38</v>
      </c>
      <c r="M615" t="s">
        <v>38</v>
      </c>
      <c r="N615" t="s">
        <v>38</v>
      </c>
      <c r="O615" t="s">
        <v>57</v>
      </c>
      <c r="P615" t="s">
        <v>42</v>
      </c>
      <c r="Q615" t="s">
        <v>43</v>
      </c>
      <c r="R615" t="s">
        <v>1401</v>
      </c>
      <c r="S615" t="s">
        <v>201</v>
      </c>
      <c r="T615" t="s">
        <v>38</v>
      </c>
      <c r="U615" t="s">
        <v>38</v>
      </c>
      <c r="V615" t="s">
        <v>91</v>
      </c>
      <c r="W615" t="s">
        <v>38</v>
      </c>
      <c r="X615" t="s">
        <v>38</v>
      </c>
      <c r="Y615" t="s">
        <v>38</v>
      </c>
      <c r="Z615" t="s">
        <v>42</v>
      </c>
      <c r="AA615" t="s">
        <v>1363</v>
      </c>
      <c r="AB615" t="s">
        <v>38</v>
      </c>
      <c r="AC615" t="s">
        <v>201</v>
      </c>
      <c r="AD615" t="s">
        <v>48</v>
      </c>
      <c r="AG615" t="str">
        <f>IF(AD615="United States", IFERROR(INDEX(Sheet2!$C:$C, MATCH(AE615&amp;AF615, Sheet2!$E:$E, 0)) &amp; ", " &amp; INDEX(Sheet2!$D:$D, MATCH(AE615&amp;AF615, Sheet2!$E:$E, 0)), ""), "-")</f>
        <v/>
      </c>
    </row>
    <row r="616" spans="1:33" x14ac:dyDescent="0.25">
      <c r="A616" t="s">
        <v>1113</v>
      </c>
      <c r="B616" t="s">
        <v>1402</v>
      </c>
      <c r="C616" t="s">
        <v>1115</v>
      </c>
      <c r="D616" t="s">
        <v>140</v>
      </c>
      <c r="E616" t="s">
        <v>1403</v>
      </c>
      <c r="F616">
        <v>1765</v>
      </c>
      <c r="G616">
        <v>1544</v>
      </c>
      <c r="H616" t="s">
        <v>1131</v>
      </c>
      <c r="I616" t="s">
        <v>80</v>
      </c>
      <c r="J616" t="s">
        <v>1119</v>
      </c>
      <c r="K616" t="s">
        <v>38</v>
      </c>
      <c r="L616" t="s">
        <v>38</v>
      </c>
      <c r="M616" t="s">
        <v>38</v>
      </c>
      <c r="N616" t="s">
        <v>38</v>
      </c>
      <c r="O616" t="s">
        <v>74</v>
      </c>
      <c r="P616" t="s">
        <v>42</v>
      </c>
      <c r="Q616" t="s">
        <v>43</v>
      </c>
      <c r="R616" t="s">
        <v>89</v>
      </c>
      <c r="S616" t="s">
        <v>38</v>
      </c>
      <c r="T616" t="s">
        <v>89</v>
      </c>
      <c r="U616" t="s">
        <v>301</v>
      </c>
      <c r="V616" t="s">
        <v>91</v>
      </c>
      <c r="W616" t="s">
        <v>92</v>
      </c>
      <c r="X616" t="s">
        <v>38</v>
      </c>
      <c r="Y616" t="s">
        <v>38</v>
      </c>
      <c r="Z616" t="s">
        <v>42</v>
      </c>
      <c r="AA616" t="s">
        <v>38</v>
      </c>
      <c r="AB616" t="s">
        <v>38</v>
      </c>
      <c r="AC616" t="s">
        <v>38</v>
      </c>
      <c r="AD616" t="s">
        <v>48</v>
      </c>
      <c r="AG616" t="str">
        <f>IF(AD616="United States", IFERROR(INDEX(Sheet2!$C:$C, MATCH(AE616&amp;AF616, Sheet2!$E:$E, 0)) &amp; ", " &amp; INDEX(Sheet2!$D:$D, MATCH(AE616&amp;AF616, Sheet2!$E:$E, 0)), ""), "-")</f>
        <v/>
      </c>
    </row>
    <row r="617" spans="1:33" x14ac:dyDescent="0.25">
      <c r="A617" t="s">
        <v>1113</v>
      </c>
      <c r="B617" t="s">
        <v>1404</v>
      </c>
      <c r="C617" t="s">
        <v>1115</v>
      </c>
      <c r="D617" t="s">
        <v>352</v>
      </c>
      <c r="E617" t="s">
        <v>1405</v>
      </c>
      <c r="F617">
        <v>1762</v>
      </c>
      <c r="G617">
        <v>1545</v>
      </c>
      <c r="H617" t="s">
        <v>1118</v>
      </c>
      <c r="I617" t="s">
        <v>80</v>
      </c>
      <c r="J617" t="s">
        <v>1119</v>
      </c>
      <c r="K617" t="s">
        <v>38</v>
      </c>
      <c r="L617" t="s">
        <v>38</v>
      </c>
      <c r="M617" t="s">
        <v>38</v>
      </c>
      <c r="N617" t="s">
        <v>38</v>
      </c>
      <c r="O617" t="s">
        <v>57</v>
      </c>
      <c r="P617" t="s">
        <v>42</v>
      </c>
      <c r="Q617" t="s">
        <v>43</v>
      </c>
      <c r="R617" t="s">
        <v>89</v>
      </c>
      <c r="S617" t="s">
        <v>38</v>
      </c>
      <c r="T617" t="s">
        <v>89</v>
      </c>
      <c r="U617" t="s">
        <v>301</v>
      </c>
      <c r="V617" t="s">
        <v>91</v>
      </c>
      <c r="W617" t="s">
        <v>92</v>
      </c>
      <c r="X617" t="s">
        <v>38</v>
      </c>
      <c r="Y617" t="s">
        <v>38</v>
      </c>
      <c r="Z617" t="s">
        <v>42</v>
      </c>
      <c r="AA617" t="s">
        <v>38</v>
      </c>
      <c r="AB617" t="s">
        <v>38</v>
      </c>
      <c r="AC617" t="s">
        <v>38</v>
      </c>
      <c r="AD617" t="s">
        <v>48</v>
      </c>
      <c r="AG617" t="str">
        <f>IF(AD617="United States", IFERROR(INDEX(Sheet2!$C:$C, MATCH(AE617&amp;AF617, Sheet2!$E:$E, 0)) &amp; ", " &amp; INDEX(Sheet2!$D:$D, MATCH(AE617&amp;AF617, Sheet2!$E:$E, 0)), ""), "-")</f>
        <v/>
      </c>
    </row>
    <row r="618" spans="1:33" x14ac:dyDescent="0.25">
      <c r="A618" t="s">
        <v>1113</v>
      </c>
      <c r="B618" t="s">
        <v>1406</v>
      </c>
      <c r="C618" t="s">
        <v>1115</v>
      </c>
      <c r="D618" t="s">
        <v>256</v>
      </c>
      <c r="E618" t="s">
        <v>1407</v>
      </c>
      <c r="F618">
        <v>1761</v>
      </c>
      <c r="G618">
        <v>1546</v>
      </c>
      <c r="H618" t="s">
        <v>1187</v>
      </c>
      <c r="I618" t="s">
        <v>80</v>
      </c>
      <c r="J618" t="s">
        <v>1119</v>
      </c>
      <c r="K618" t="s">
        <v>38</v>
      </c>
      <c r="L618" t="s">
        <v>38</v>
      </c>
      <c r="M618" t="s">
        <v>38</v>
      </c>
      <c r="N618" t="s">
        <v>38</v>
      </c>
      <c r="O618" t="s">
        <v>57</v>
      </c>
      <c r="P618" t="s">
        <v>42</v>
      </c>
      <c r="Q618" t="s">
        <v>43</v>
      </c>
      <c r="R618" t="s">
        <v>89</v>
      </c>
      <c r="S618" t="s">
        <v>201</v>
      </c>
      <c r="T618" t="s">
        <v>89</v>
      </c>
      <c r="U618" t="s">
        <v>301</v>
      </c>
      <c r="V618" t="s">
        <v>91</v>
      </c>
      <c r="W618" t="s">
        <v>92</v>
      </c>
      <c r="X618" t="s">
        <v>38</v>
      </c>
      <c r="Y618" t="s">
        <v>38</v>
      </c>
      <c r="Z618" t="s">
        <v>42</v>
      </c>
      <c r="AA618" t="s">
        <v>38</v>
      </c>
      <c r="AB618" t="s">
        <v>38</v>
      </c>
      <c r="AC618" t="s">
        <v>201</v>
      </c>
      <c r="AD618" t="s">
        <v>48</v>
      </c>
      <c r="AG618" t="str">
        <f>IF(AD618="United States", IFERROR(INDEX(Sheet2!$C:$C, MATCH(AE618&amp;AF618, Sheet2!$E:$E, 0)) &amp; ", " &amp; INDEX(Sheet2!$D:$D, MATCH(AE618&amp;AF618, Sheet2!$E:$E, 0)), ""), "-")</f>
        <v/>
      </c>
    </row>
    <row r="619" spans="1:33" x14ac:dyDescent="0.25">
      <c r="A619" t="s">
        <v>1113</v>
      </c>
      <c r="B619" t="s">
        <v>1408</v>
      </c>
      <c r="C619" t="s">
        <v>1115</v>
      </c>
      <c r="D619" t="s">
        <v>162</v>
      </c>
      <c r="E619" t="s">
        <v>275</v>
      </c>
      <c r="F619">
        <v>1758</v>
      </c>
      <c r="G619">
        <v>1547</v>
      </c>
      <c r="H619" t="s">
        <v>1371</v>
      </c>
      <c r="I619" t="s">
        <v>80</v>
      </c>
      <c r="J619" t="s">
        <v>1119</v>
      </c>
      <c r="K619" t="s">
        <v>38</v>
      </c>
      <c r="L619" t="s">
        <v>38</v>
      </c>
      <c r="M619" t="s">
        <v>38</v>
      </c>
      <c r="N619" t="s">
        <v>38</v>
      </c>
      <c r="O619" t="s">
        <v>57</v>
      </c>
      <c r="P619" t="s">
        <v>42</v>
      </c>
      <c r="Q619" t="s">
        <v>43</v>
      </c>
      <c r="R619" t="s">
        <v>89</v>
      </c>
      <c r="S619" t="s">
        <v>45</v>
      </c>
      <c r="T619" t="s">
        <v>89</v>
      </c>
      <c r="U619" t="s">
        <v>301</v>
      </c>
      <c r="V619" t="s">
        <v>91</v>
      </c>
      <c r="W619" t="s">
        <v>92</v>
      </c>
      <c r="X619" t="s">
        <v>38</v>
      </c>
      <c r="Y619" t="s">
        <v>38</v>
      </c>
      <c r="Z619" t="s">
        <v>42</v>
      </c>
      <c r="AA619" t="s">
        <v>1409</v>
      </c>
      <c r="AB619" t="s">
        <v>38</v>
      </c>
      <c r="AC619" t="s">
        <v>45</v>
      </c>
      <c r="AD619" t="s">
        <v>48</v>
      </c>
      <c r="AG619" t="str">
        <f>IF(AD619="United States", IFERROR(INDEX(Sheet2!$C:$C, MATCH(AE619&amp;AF619, Sheet2!$E:$E, 0)) &amp; ", " &amp; INDEX(Sheet2!$D:$D, MATCH(AE619&amp;AF619, Sheet2!$E:$E, 0)), ""), "-")</f>
        <v/>
      </c>
    </row>
    <row r="620" spans="1:33" x14ac:dyDescent="0.25">
      <c r="A620" t="s">
        <v>1113</v>
      </c>
      <c r="B620" t="s">
        <v>1410</v>
      </c>
      <c r="C620" t="s">
        <v>1115</v>
      </c>
      <c r="D620" t="s">
        <v>222</v>
      </c>
      <c r="E620" t="s">
        <v>1362</v>
      </c>
      <c r="F620">
        <v>1750</v>
      </c>
      <c r="G620">
        <v>1548</v>
      </c>
      <c r="H620" t="s">
        <v>1131</v>
      </c>
      <c r="I620" t="s">
        <v>80</v>
      </c>
      <c r="J620" t="s">
        <v>1119</v>
      </c>
      <c r="K620" t="s">
        <v>38</v>
      </c>
      <c r="L620" t="s">
        <v>38</v>
      </c>
      <c r="M620" t="s">
        <v>38</v>
      </c>
      <c r="N620" t="s">
        <v>38</v>
      </c>
      <c r="O620" t="s">
        <v>74</v>
      </c>
      <c r="P620" t="s">
        <v>42</v>
      </c>
      <c r="Q620" t="s">
        <v>43</v>
      </c>
      <c r="R620" t="s">
        <v>89</v>
      </c>
      <c r="S620" t="s">
        <v>201</v>
      </c>
      <c r="T620" t="s">
        <v>89</v>
      </c>
      <c r="U620" t="s">
        <v>301</v>
      </c>
      <c r="V620" t="s">
        <v>91</v>
      </c>
      <c r="W620" t="s">
        <v>92</v>
      </c>
      <c r="X620" t="s">
        <v>38</v>
      </c>
      <c r="Y620" t="s">
        <v>38</v>
      </c>
      <c r="Z620" t="s">
        <v>42</v>
      </c>
      <c r="AA620" t="s">
        <v>1411</v>
      </c>
      <c r="AB620" t="s">
        <v>1380</v>
      </c>
      <c r="AC620" t="s">
        <v>201</v>
      </c>
      <c r="AD620" t="s">
        <v>48</v>
      </c>
      <c r="AG620" t="str">
        <f>IF(AD620="United States", IFERROR(INDEX(Sheet2!$C:$C, MATCH(AE620&amp;AF620, Sheet2!$E:$E, 0)) &amp; ", " &amp; INDEX(Sheet2!$D:$D, MATCH(AE620&amp;AF620, Sheet2!$E:$E, 0)), ""), "-")</f>
        <v/>
      </c>
    </row>
    <row r="621" spans="1:33" x14ac:dyDescent="0.25">
      <c r="A621" t="s">
        <v>1113</v>
      </c>
      <c r="B621" t="s">
        <v>1412</v>
      </c>
      <c r="C621" t="s">
        <v>1115</v>
      </c>
      <c r="D621" t="s">
        <v>1413</v>
      </c>
      <c r="E621" t="s">
        <v>1387</v>
      </c>
      <c r="F621">
        <v>1765</v>
      </c>
      <c r="G621">
        <v>1549</v>
      </c>
      <c r="H621" t="s">
        <v>38</v>
      </c>
      <c r="I621" t="s">
        <v>80</v>
      </c>
      <c r="J621" t="s">
        <v>1119</v>
      </c>
      <c r="K621" t="s">
        <v>38</v>
      </c>
      <c r="L621" t="s">
        <v>38</v>
      </c>
      <c r="M621" t="s">
        <v>38</v>
      </c>
      <c r="N621" t="s">
        <v>38</v>
      </c>
      <c r="O621" t="s">
        <v>74</v>
      </c>
      <c r="P621" t="s">
        <v>42</v>
      </c>
      <c r="Q621" t="s">
        <v>43</v>
      </c>
      <c r="R621" t="s">
        <v>1414</v>
      </c>
      <c r="S621" t="s">
        <v>45</v>
      </c>
      <c r="T621" t="s">
        <v>38</v>
      </c>
      <c r="U621" t="s">
        <v>38</v>
      </c>
      <c r="V621" t="s">
        <v>91</v>
      </c>
      <c r="W621" t="s">
        <v>38</v>
      </c>
      <c r="X621" t="s">
        <v>38</v>
      </c>
      <c r="Y621" t="s">
        <v>38</v>
      </c>
      <c r="Z621" t="s">
        <v>42</v>
      </c>
      <c r="AA621" t="s">
        <v>38</v>
      </c>
      <c r="AB621" t="s">
        <v>38</v>
      </c>
      <c r="AC621" t="s">
        <v>45</v>
      </c>
      <c r="AD621" t="s">
        <v>48</v>
      </c>
      <c r="AG621" t="str">
        <f>IF(AD621="United States", IFERROR(INDEX(Sheet2!$C:$C, MATCH(AE621&amp;AF621, Sheet2!$E:$E, 0)) &amp; ", " &amp; INDEX(Sheet2!$D:$D, MATCH(AE621&amp;AF621, Sheet2!$E:$E, 0)), ""), "-")</f>
        <v/>
      </c>
    </row>
    <row r="622" spans="1:33" x14ac:dyDescent="0.25">
      <c r="A622" t="s">
        <v>1113</v>
      </c>
      <c r="B622" t="s">
        <v>1415</v>
      </c>
      <c r="C622" t="s">
        <v>1115</v>
      </c>
      <c r="D622" t="s">
        <v>406</v>
      </c>
      <c r="E622" t="s">
        <v>1416</v>
      </c>
      <c r="F622">
        <v>1776</v>
      </c>
      <c r="G622">
        <v>1550</v>
      </c>
      <c r="H622" t="s">
        <v>1169</v>
      </c>
      <c r="I622" t="s">
        <v>80</v>
      </c>
      <c r="J622" t="s">
        <v>1119</v>
      </c>
      <c r="K622" t="s">
        <v>38</v>
      </c>
      <c r="L622" t="s">
        <v>38</v>
      </c>
      <c r="M622" t="s">
        <v>38</v>
      </c>
      <c r="N622" t="s">
        <v>38</v>
      </c>
      <c r="O622" t="s">
        <v>54</v>
      </c>
      <c r="P622" t="s">
        <v>42</v>
      </c>
      <c r="Q622" t="s">
        <v>43</v>
      </c>
      <c r="R622" t="s">
        <v>89</v>
      </c>
      <c r="S622" t="s">
        <v>45</v>
      </c>
      <c r="T622" t="s">
        <v>89</v>
      </c>
      <c r="U622" t="s">
        <v>301</v>
      </c>
      <c r="V622" t="s">
        <v>91</v>
      </c>
      <c r="W622" t="s">
        <v>92</v>
      </c>
      <c r="X622" t="s">
        <v>38</v>
      </c>
      <c r="Y622" t="s">
        <v>38</v>
      </c>
      <c r="Z622" t="s">
        <v>42</v>
      </c>
      <c r="AA622" t="s">
        <v>38</v>
      </c>
      <c r="AB622" t="s">
        <v>38</v>
      </c>
      <c r="AC622" t="s">
        <v>45</v>
      </c>
      <c r="AD622" t="s">
        <v>48</v>
      </c>
      <c r="AG622" t="str">
        <f>IF(AD622="United States", IFERROR(INDEX(Sheet2!$C:$C, MATCH(AE622&amp;AF622, Sheet2!$E:$E, 0)) &amp; ", " &amp; INDEX(Sheet2!$D:$D, MATCH(AE622&amp;AF622, Sheet2!$E:$E, 0)), ""), "-")</f>
        <v/>
      </c>
    </row>
    <row r="623" spans="1:33" x14ac:dyDescent="0.25">
      <c r="A623" t="s">
        <v>1113</v>
      </c>
      <c r="B623" t="s">
        <v>1417</v>
      </c>
      <c r="C623" t="s">
        <v>1115</v>
      </c>
      <c r="D623" t="s">
        <v>132</v>
      </c>
      <c r="E623" t="s">
        <v>1418</v>
      </c>
      <c r="F623">
        <v>1756</v>
      </c>
      <c r="G623">
        <v>1523</v>
      </c>
      <c r="H623" t="s">
        <v>1118</v>
      </c>
      <c r="I623" t="s">
        <v>80</v>
      </c>
      <c r="J623" t="s">
        <v>1119</v>
      </c>
      <c r="K623" t="s">
        <v>38</v>
      </c>
      <c r="L623" t="s">
        <v>38</v>
      </c>
      <c r="M623" t="s">
        <v>38</v>
      </c>
      <c r="N623" t="s">
        <v>38</v>
      </c>
      <c r="O623" t="s">
        <v>41</v>
      </c>
      <c r="P623" t="s">
        <v>42</v>
      </c>
      <c r="Q623" t="s">
        <v>43</v>
      </c>
      <c r="R623" t="s">
        <v>89</v>
      </c>
      <c r="S623" t="s">
        <v>45</v>
      </c>
      <c r="T623" t="s">
        <v>89</v>
      </c>
      <c r="U623" t="s">
        <v>301</v>
      </c>
      <c r="V623" t="s">
        <v>91</v>
      </c>
      <c r="W623" t="s">
        <v>92</v>
      </c>
      <c r="X623" t="s">
        <v>38</v>
      </c>
      <c r="Y623" t="s">
        <v>38</v>
      </c>
      <c r="Z623" t="s">
        <v>42</v>
      </c>
      <c r="AA623" t="s">
        <v>169</v>
      </c>
      <c r="AB623" t="s">
        <v>38</v>
      </c>
      <c r="AC623" t="s">
        <v>45</v>
      </c>
      <c r="AD623" t="s">
        <v>48</v>
      </c>
      <c r="AG623" t="str">
        <f>IF(AD623="United States", IFERROR(INDEX(Sheet2!$C:$C, MATCH(AE623&amp;AF623, Sheet2!$E:$E, 0)) &amp; ", " &amp; INDEX(Sheet2!$D:$D, MATCH(AE623&amp;AF623, Sheet2!$E:$E, 0)), ""), "-")</f>
        <v/>
      </c>
    </row>
    <row r="624" spans="1:33" x14ac:dyDescent="0.25">
      <c r="A624" t="s">
        <v>1113</v>
      </c>
      <c r="B624" t="s">
        <v>1283</v>
      </c>
      <c r="C624" t="s">
        <v>1115</v>
      </c>
      <c r="D624" t="s">
        <v>72</v>
      </c>
      <c r="E624" t="s">
        <v>1084</v>
      </c>
      <c r="F624">
        <v>1733</v>
      </c>
      <c r="G624">
        <v>1087</v>
      </c>
      <c r="H624" t="s">
        <v>1118</v>
      </c>
      <c r="I624" t="s">
        <v>80</v>
      </c>
      <c r="J624" t="s">
        <v>1119</v>
      </c>
      <c r="K624" t="s">
        <v>38</v>
      </c>
      <c r="L624" t="s">
        <v>38</v>
      </c>
      <c r="M624" t="s">
        <v>38</v>
      </c>
      <c r="N624" t="s">
        <v>38</v>
      </c>
      <c r="O624" t="s">
        <v>57</v>
      </c>
      <c r="P624" t="s">
        <v>42</v>
      </c>
      <c r="Q624" t="s">
        <v>43</v>
      </c>
      <c r="R624" t="s">
        <v>89</v>
      </c>
      <c r="S624" t="s">
        <v>45</v>
      </c>
      <c r="T624" t="s">
        <v>89</v>
      </c>
      <c r="U624" t="s">
        <v>301</v>
      </c>
      <c r="V624" t="s">
        <v>91</v>
      </c>
      <c r="W624" t="s">
        <v>92</v>
      </c>
      <c r="X624" t="s">
        <v>38</v>
      </c>
      <c r="Y624" t="s">
        <v>38</v>
      </c>
      <c r="Z624" t="s">
        <v>42</v>
      </c>
      <c r="AA624" t="s">
        <v>627</v>
      </c>
      <c r="AB624" t="s">
        <v>38</v>
      </c>
      <c r="AC624" t="s">
        <v>45</v>
      </c>
      <c r="AD624" t="s">
        <v>48</v>
      </c>
      <c r="AG624" t="str">
        <f>IF(AD624="United States", IFERROR(INDEX(Sheet2!$C:$C, MATCH(AE624&amp;AF624, Sheet2!$E:$E, 0)) &amp; ", " &amp; INDEX(Sheet2!$D:$D, MATCH(AE624&amp;AF624, Sheet2!$E:$E, 0)), ""), "-")</f>
        <v/>
      </c>
    </row>
    <row r="625" spans="1:33" x14ac:dyDescent="0.25">
      <c r="A625" t="s">
        <v>1113</v>
      </c>
      <c r="B625" t="s">
        <v>1419</v>
      </c>
      <c r="C625" t="s">
        <v>1115</v>
      </c>
      <c r="D625" t="s">
        <v>210</v>
      </c>
      <c r="E625" t="s">
        <v>1420</v>
      </c>
      <c r="F625">
        <v>1758</v>
      </c>
      <c r="G625">
        <v>1522</v>
      </c>
      <c r="H625" t="s">
        <v>1118</v>
      </c>
      <c r="I625" t="s">
        <v>80</v>
      </c>
      <c r="J625" t="s">
        <v>1119</v>
      </c>
      <c r="K625" t="s">
        <v>38</v>
      </c>
      <c r="L625" t="s">
        <v>38</v>
      </c>
      <c r="M625" t="s">
        <v>38</v>
      </c>
      <c r="N625" t="s">
        <v>38</v>
      </c>
      <c r="O625" t="s">
        <v>41</v>
      </c>
      <c r="P625" t="s">
        <v>42</v>
      </c>
      <c r="Q625" t="s">
        <v>43</v>
      </c>
      <c r="R625" t="s">
        <v>89</v>
      </c>
      <c r="S625" t="s">
        <v>201</v>
      </c>
      <c r="T625" t="s">
        <v>89</v>
      </c>
      <c r="U625" t="s">
        <v>301</v>
      </c>
      <c r="V625" t="s">
        <v>91</v>
      </c>
      <c r="W625" t="s">
        <v>92</v>
      </c>
      <c r="X625" t="s">
        <v>38</v>
      </c>
      <c r="Y625" t="s">
        <v>38</v>
      </c>
      <c r="Z625" t="s">
        <v>42</v>
      </c>
      <c r="AA625" t="s">
        <v>846</v>
      </c>
      <c r="AB625" t="s">
        <v>38</v>
      </c>
      <c r="AC625" t="s">
        <v>201</v>
      </c>
      <c r="AD625" t="s">
        <v>48</v>
      </c>
      <c r="AG625" t="str">
        <f>IF(AD625="United States", IFERROR(INDEX(Sheet2!$C:$C, MATCH(AE625&amp;AF625, Sheet2!$E:$E, 0)) &amp; ", " &amp; INDEX(Sheet2!$D:$D, MATCH(AE625&amp;AF625, Sheet2!$E:$E, 0)), ""), "-")</f>
        <v/>
      </c>
    </row>
    <row r="626" spans="1:33" x14ac:dyDescent="0.25">
      <c r="A626" t="s">
        <v>1113</v>
      </c>
      <c r="B626" t="s">
        <v>1421</v>
      </c>
      <c r="C626" t="s">
        <v>1115</v>
      </c>
      <c r="D626" t="s">
        <v>513</v>
      </c>
      <c r="E626" t="s">
        <v>1422</v>
      </c>
      <c r="F626">
        <v>1750</v>
      </c>
      <c r="G626">
        <v>1520</v>
      </c>
      <c r="H626" t="s">
        <v>1118</v>
      </c>
      <c r="I626" t="s">
        <v>80</v>
      </c>
      <c r="J626" t="s">
        <v>1119</v>
      </c>
      <c r="K626" t="s">
        <v>38</v>
      </c>
      <c r="L626" t="s">
        <v>38</v>
      </c>
      <c r="M626" t="s">
        <v>38</v>
      </c>
      <c r="N626" t="s">
        <v>38</v>
      </c>
      <c r="O626" t="s">
        <v>41</v>
      </c>
      <c r="P626" t="s">
        <v>42</v>
      </c>
      <c r="Q626" t="s">
        <v>43</v>
      </c>
      <c r="R626" t="s">
        <v>89</v>
      </c>
      <c r="S626" t="s">
        <v>38</v>
      </c>
      <c r="T626" t="s">
        <v>89</v>
      </c>
      <c r="U626" t="s">
        <v>301</v>
      </c>
      <c r="V626" t="s">
        <v>91</v>
      </c>
      <c r="W626" t="s">
        <v>92</v>
      </c>
      <c r="X626" t="s">
        <v>38</v>
      </c>
      <c r="Y626" t="s">
        <v>38</v>
      </c>
      <c r="Z626" t="s">
        <v>42</v>
      </c>
      <c r="AA626" t="s">
        <v>38</v>
      </c>
      <c r="AB626" t="s">
        <v>38</v>
      </c>
      <c r="AC626" t="s">
        <v>1423</v>
      </c>
      <c r="AD626" t="s">
        <v>48</v>
      </c>
      <c r="AG626" t="str">
        <f>IF(AD626="United States", IFERROR(INDEX(Sheet2!$C:$C, MATCH(AE626&amp;AF626, Sheet2!$E:$E, 0)) &amp; ", " &amp; INDEX(Sheet2!$D:$D, MATCH(AE626&amp;AF626, Sheet2!$E:$E, 0)), ""), "-")</f>
        <v/>
      </c>
    </row>
    <row r="627" spans="1:33" x14ac:dyDescent="0.25">
      <c r="A627" t="s">
        <v>1113</v>
      </c>
      <c r="B627" t="s">
        <v>1424</v>
      </c>
      <c r="C627" t="s">
        <v>1115</v>
      </c>
      <c r="D627" t="s">
        <v>980</v>
      </c>
      <c r="E627" t="s">
        <v>1425</v>
      </c>
      <c r="F627">
        <v>1753</v>
      </c>
      <c r="G627">
        <v>1493</v>
      </c>
      <c r="H627" t="s">
        <v>1131</v>
      </c>
      <c r="I627" t="s">
        <v>80</v>
      </c>
      <c r="J627" t="s">
        <v>1119</v>
      </c>
      <c r="K627" t="s">
        <v>38</v>
      </c>
      <c r="L627" t="s">
        <v>38</v>
      </c>
      <c r="M627" t="s">
        <v>38</v>
      </c>
      <c r="N627" t="s">
        <v>38</v>
      </c>
      <c r="O627" t="s">
        <v>74</v>
      </c>
      <c r="P627" t="s">
        <v>42</v>
      </c>
      <c r="Q627" t="s">
        <v>43</v>
      </c>
      <c r="R627" t="s">
        <v>89</v>
      </c>
      <c r="S627" t="s">
        <v>89</v>
      </c>
      <c r="T627" t="s">
        <v>89</v>
      </c>
      <c r="U627" t="s">
        <v>301</v>
      </c>
      <c r="V627" t="s">
        <v>91</v>
      </c>
      <c r="W627" t="s">
        <v>92</v>
      </c>
      <c r="X627" t="s">
        <v>38</v>
      </c>
      <c r="Y627" t="s">
        <v>38</v>
      </c>
      <c r="Z627" t="s">
        <v>42</v>
      </c>
      <c r="AA627" t="s">
        <v>38</v>
      </c>
      <c r="AB627" t="s">
        <v>38</v>
      </c>
      <c r="AC627" t="s">
        <v>89</v>
      </c>
      <c r="AD627" t="s">
        <v>48</v>
      </c>
      <c r="AG627" t="str">
        <f>IF(AD627="United States", IFERROR(INDEX(Sheet2!$C:$C, MATCH(AE627&amp;AF627, Sheet2!$E:$E, 0)) &amp; ", " &amp; INDEX(Sheet2!$D:$D, MATCH(AE627&amp;AF627, Sheet2!$E:$E, 0)), ""), "-")</f>
        <v/>
      </c>
    </row>
    <row r="628" spans="1:33" x14ac:dyDescent="0.25">
      <c r="A628" t="s">
        <v>1113</v>
      </c>
      <c r="B628" t="s">
        <v>1426</v>
      </c>
      <c r="C628" t="s">
        <v>1115</v>
      </c>
      <c r="D628" t="s">
        <v>1230</v>
      </c>
      <c r="E628" t="s">
        <v>132</v>
      </c>
      <c r="F628">
        <v>1743</v>
      </c>
      <c r="G628">
        <v>1494</v>
      </c>
      <c r="H628" t="s">
        <v>1118</v>
      </c>
      <c r="I628" t="s">
        <v>80</v>
      </c>
      <c r="J628" t="s">
        <v>1119</v>
      </c>
      <c r="K628" t="s">
        <v>38</v>
      </c>
      <c r="L628" t="s">
        <v>38</v>
      </c>
      <c r="M628" t="s">
        <v>38</v>
      </c>
      <c r="N628" t="s">
        <v>38</v>
      </c>
      <c r="O628" t="s">
        <v>57</v>
      </c>
      <c r="P628" t="s">
        <v>42</v>
      </c>
      <c r="Q628" t="s">
        <v>43</v>
      </c>
      <c r="R628" t="s">
        <v>89</v>
      </c>
      <c r="S628" t="s">
        <v>201</v>
      </c>
      <c r="T628" t="s">
        <v>89</v>
      </c>
      <c r="U628" t="s">
        <v>301</v>
      </c>
      <c r="V628" t="s">
        <v>91</v>
      </c>
      <c r="W628" t="s">
        <v>92</v>
      </c>
      <c r="X628" t="s">
        <v>38</v>
      </c>
      <c r="Y628" t="s">
        <v>38</v>
      </c>
      <c r="Z628" t="s">
        <v>42</v>
      </c>
      <c r="AA628" t="s">
        <v>38</v>
      </c>
      <c r="AB628" t="s">
        <v>38</v>
      </c>
      <c r="AC628" t="s">
        <v>201</v>
      </c>
      <c r="AD628" t="s">
        <v>48</v>
      </c>
      <c r="AG628" t="str">
        <f>IF(AD628="United States", IFERROR(INDEX(Sheet2!$C:$C, MATCH(AE628&amp;AF628, Sheet2!$E:$E, 0)) &amp; ", " &amp; INDEX(Sheet2!$D:$D, MATCH(AE628&amp;AF628, Sheet2!$E:$E, 0)), ""), "-")</f>
        <v/>
      </c>
    </row>
    <row r="629" spans="1:33" x14ac:dyDescent="0.25">
      <c r="A629" t="s">
        <v>1113</v>
      </c>
      <c r="B629" t="s">
        <v>1427</v>
      </c>
      <c r="C629" t="s">
        <v>1115</v>
      </c>
      <c r="D629" t="s">
        <v>114</v>
      </c>
      <c r="E629" t="s">
        <v>1428</v>
      </c>
      <c r="F629">
        <v>1755</v>
      </c>
      <c r="G629">
        <v>1495</v>
      </c>
      <c r="H629" t="s">
        <v>1187</v>
      </c>
      <c r="I629" t="s">
        <v>80</v>
      </c>
      <c r="J629" t="s">
        <v>1119</v>
      </c>
      <c r="K629" t="s">
        <v>38</v>
      </c>
      <c r="L629" t="s">
        <v>38</v>
      </c>
      <c r="M629" t="s">
        <v>38</v>
      </c>
      <c r="N629" t="s">
        <v>38</v>
      </c>
      <c r="O629" t="s">
        <v>57</v>
      </c>
      <c r="P629" t="s">
        <v>42</v>
      </c>
      <c r="Q629" t="s">
        <v>43</v>
      </c>
      <c r="R629" t="s">
        <v>89</v>
      </c>
      <c r="S629" t="s">
        <v>165</v>
      </c>
      <c r="T629" t="s">
        <v>89</v>
      </c>
      <c r="U629" t="s">
        <v>301</v>
      </c>
      <c r="V629" t="s">
        <v>91</v>
      </c>
      <c r="W629" t="s">
        <v>92</v>
      </c>
      <c r="X629" t="s">
        <v>38</v>
      </c>
      <c r="Y629" t="s">
        <v>38</v>
      </c>
      <c r="Z629" t="s">
        <v>42</v>
      </c>
      <c r="AA629" t="s">
        <v>166</v>
      </c>
      <c r="AB629" t="s">
        <v>38</v>
      </c>
      <c r="AC629" t="s">
        <v>165</v>
      </c>
      <c r="AD629" t="s">
        <v>48</v>
      </c>
      <c r="AG629" t="str">
        <f>IF(AD629="United States", IFERROR(INDEX(Sheet2!$C:$C, MATCH(AE629&amp;AF629, Sheet2!$E:$E, 0)) &amp; ", " &amp; INDEX(Sheet2!$D:$D, MATCH(AE629&amp;AF629, Sheet2!$E:$E, 0)), ""), "-")</f>
        <v/>
      </c>
    </row>
    <row r="630" spans="1:33" x14ac:dyDescent="0.25">
      <c r="A630" t="s">
        <v>1113</v>
      </c>
      <c r="B630" t="s">
        <v>1429</v>
      </c>
      <c r="C630" t="s">
        <v>1115</v>
      </c>
      <c r="D630" t="s">
        <v>1430</v>
      </c>
      <c r="E630" t="s">
        <v>268</v>
      </c>
      <c r="F630">
        <v>1763</v>
      </c>
      <c r="G630">
        <v>1496</v>
      </c>
      <c r="H630" t="s">
        <v>1187</v>
      </c>
      <c r="I630" t="s">
        <v>80</v>
      </c>
      <c r="J630" t="s">
        <v>1119</v>
      </c>
      <c r="K630" t="s">
        <v>38</v>
      </c>
      <c r="L630" t="s">
        <v>38</v>
      </c>
      <c r="M630" t="s">
        <v>38</v>
      </c>
      <c r="N630" t="s">
        <v>38</v>
      </c>
      <c r="O630" t="s">
        <v>74</v>
      </c>
      <c r="P630" t="s">
        <v>42</v>
      </c>
      <c r="Q630" t="s">
        <v>43</v>
      </c>
      <c r="R630" t="s">
        <v>89</v>
      </c>
      <c r="S630" t="s">
        <v>286</v>
      </c>
      <c r="T630" t="s">
        <v>89</v>
      </c>
      <c r="U630" t="s">
        <v>301</v>
      </c>
      <c r="V630" t="s">
        <v>91</v>
      </c>
      <c r="W630" t="s">
        <v>92</v>
      </c>
      <c r="X630" t="s">
        <v>38</v>
      </c>
      <c r="Y630" t="s">
        <v>38</v>
      </c>
      <c r="Z630" t="s">
        <v>42</v>
      </c>
      <c r="AA630" t="s">
        <v>38</v>
      </c>
      <c r="AB630" t="s">
        <v>38</v>
      </c>
      <c r="AC630" t="s">
        <v>286</v>
      </c>
      <c r="AD630" t="s">
        <v>48</v>
      </c>
      <c r="AG630" t="str">
        <f>IF(AD630="United States", IFERROR(INDEX(Sheet2!$C:$C, MATCH(AE630&amp;AF630, Sheet2!$E:$E, 0)) &amp; ", " &amp; INDEX(Sheet2!$D:$D, MATCH(AE630&amp;AF630, Sheet2!$E:$E, 0)), ""), "-")</f>
        <v/>
      </c>
    </row>
    <row r="631" spans="1:33" x14ac:dyDescent="0.25">
      <c r="A631" t="s">
        <v>1113</v>
      </c>
      <c r="B631" t="s">
        <v>1431</v>
      </c>
      <c r="C631" t="s">
        <v>1115</v>
      </c>
      <c r="D631" t="s">
        <v>114</v>
      </c>
      <c r="E631" t="s">
        <v>1432</v>
      </c>
      <c r="F631">
        <v>1760</v>
      </c>
      <c r="G631">
        <v>1497</v>
      </c>
      <c r="H631" t="s">
        <v>1187</v>
      </c>
      <c r="I631" t="s">
        <v>80</v>
      </c>
      <c r="J631" t="s">
        <v>1119</v>
      </c>
      <c r="K631" t="s">
        <v>38</v>
      </c>
      <c r="L631" t="s">
        <v>38</v>
      </c>
      <c r="M631" t="s">
        <v>38</v>
      </c>
      <c r="N631" t="s">
        <v>38</v>
      </c>
      <c r="O631" t="s">
        <v>57</v>
      </c>
      <c r="P631" t="s">
        <v>42</v>
      </c>
      <c r="Q631" t="s">
        <v>43</v>
      </c>
      <c r="R631" t="s">
        <v>89</v>
      </c>
      <c r="S631" t="s">
        <v>45</v>
      </c>
      <c r="T631" t="s">
        <v>89</v>
      </c>
      <c r="U631" t="s">
        <v>301</v>
      </c>
      <c r="V631" t="s">
        <v>91</v>
      </c>
      <c r="W631" t="s">
        <v>92</v>
      </c>
      <c r="X631" t="s">
        <v>38</v>
      </c>
      <c r="Y631" t="s">
        <v>38</v>
      </c>
      <c r="Z631" t="s">
        <v>42</v>
      </c>
      <c r="AA631" t="s">
        <v>1153</v>
      </c>
      <c r="AB631" t="s">
        <v>38</v>
      </c>
      <c r="AC631" t="s">
        <v>45</v>
      </c>
      <c r="AD631" t="s">
        <v>48</v>
      </c>
      <c r="AG631" t="str">
        <f>IF(AD631="United States", IFERROR(INDEX(Sheet2!$C:$C, MATCH(AE631&amp;AF631, Sheet2!$E:$E, 0)) &amp; ", " &amp; INDEX(Sheet2!$D:$D, MATCH(AE631&amp;AF631, Sheet2!$E:$E, 0)), ""), "-")</f>
        <v/>
      </c>
    </row>
    <row r="632" spans="1:33" x14ac:dyDescent="0.25">
      <c r="A632" t="s">
        <v>1113</v>
      </c>
      <c r="B632" t="s">
        <v>1433</v>
      </c>
      <c r="C632" t="s">
        <v>1115</v>
      </c>
      <c r="D632" t="s">
        <v>762</v>
      </c>
      <c r="E632" t="s">
        <v>1298</v>
      </c>
      <c r="F632">
        <v>1750</v>
      </c>
      <c r="G632">
        <v>1498</v>
      </c>
      <c r="H632" t="s">
        <v>38</v>
      </c>
      <c r="I632" t="s">
        <v>80</v>
      </c>
      <c r="J632" t="s">
        <v>1119</v>
      </c>
      <c r="K632" t="s">
        <v>38</v>
      </c>
      <c r="L632" t="s">
        <v>38</v>
      </c>
      <c r="M632" t="s">
        <v>38</v>
      </c>
      <c r="N632" t="s">
        <v>38</v>
      </c>
      <c r="O632" t="s">
        <v>57</v>
      </c>
      <c r="P632" t="s">
        <v>42</v>
      </c>
      <c r="Q632" t="s">
        <v>43</v>
      </c>
      <c r="R632" t="s">
        <v>487</v>
      </c>
      <c r="S632" t="s">
        <v>153</v>
      </c>
      <c r="T632" t="s">
        <v>38</v>
      </c>
      <c r="U632" t="s">
        <v>38</v>
      </c>
      <c r="V632" t="s">
        <v>91</v>
      </c>
      <c r="W632" t="s">
        <v>38</v>
      </c>
      <c r="X632" t="s">
        <v>38</v>
      </c>
      <c r="Y632" t="s">
        <v>38</v>
      </c>
      <c r="Z632" t="s">
        <v>42</v>
      </c>
      <c r="AA632" t="s">
        <v>38</v>
      </c>
      <c r="AB632" t="s">
        <v>38</v>
      </c>
      <c r="AC632" t="s">
        <v>153</v>
      </c>
      <c r="AD632" t="s">
        <v>48</v>
      </c>
      <c r="AG632" t="str">
        <f>IF(AD632="United States", IFERROR(INDEX(Sheet2!$C:$C, MATCH(AE632&amp;AF632, Sheet2!$E:$E, 0)) &amp; ", " &amp; INDEX(Sheet2!$D:$D, MATCH(AE632&amp;AF632, Sheet2!$E:$E, 0)), ""), "-")</f>
        <v/>
      </c>
    </row>
    <row r="633" spans="1:33" x14ac:dyDescent="0.25">
      <c r="A633" t="s">
        <v>1113</v>
      </c>
      <c r="B633" t="s">
        <v>1434</v>
      </c>
      <c r="C633" t="s">
        <v>1115</v>
      </c>
      <c r="D633" t="s">
        <v>1435</v>
      </c>
      <c r="E633" t="s">
        <v>1298</v>
      </c>
      <c r="F633">
        <v>1767</v>
      </c>
      <c r="G633">
        <v>1499</v>
      </c>
      <c r="H633" t="s">
        <v>1187</v>
      </c>
      <c r="I633" t="s">
        <v>80</v>
      </c>
      <c r="J633" t="s">
        <v>1119</v>
      </c>
      <c r="K633" t="s">
        <v>38</v>
      </c>
      <c r="L633" t="s">
        <v>38</v>
      </c>
      <c r="M633" t="s">
        <v>38</v>
      </c>
      <c r="N633" t="s">
        <v>38</v>
      </c>
      <c r="O633" t="s">
        <v>74</v>
      </c>
      <c r="P633" t="s">
        <v>42</v>
      </c>
      <c r="Q633" t="s">
        <v>43</v>
      </c>
      <c r="R633" t="s">
        <v>89</v>
      </c>
      <c r="S633" t="s">
        <v>153</v>
      </c>
      <c r="T633" t="s">
        <v>89</v>
      </c>
      <c r="U633" t="s">
        <v>301</v>
      </c>
      <c r="V633" t="s">
        <v>91</v>
      </c>
      <c r="W633" t="s">
        <v>92</v>
      </c>
      <c r="X633" t="s">
        <v>38</v>
      </c>
      <c r="Y633" t="s">
        <v>38</v>
      </c>
      <c r="Z633" t="s">
        <v>42</v>
      </c>
      <c r="AA633" t="s">
        <v>38</v>
      </c>
      <c r="AB633" t="s">
        <v>38</v>
      </c>
      <c r="AC633" t="s">
        <v>153</v>
      </c>
      <c r="AD633" t="s">
        <v>48</v>
      </c>
      <c r="AG633" t="str">
        <f>IF(AD633="United States", IFERROR(INDEX(Sheet2!$C:$C, MATCH(AE633&amp;AF633, Sheet2!$E:$E, 0)) &amp; ", " &amp; INDEX(Sheet2!$D:$D, MATCH(AE633&amp;AF633, Sheet2!$E:$E, 0)), ""), "-")</f>
        <v/>
      </c>
    </row>
    <row r="634" spans="1:33" x14ac:dyDescent="0.25">
      <c r="A634" t="s">
        <v>1113</v>
      </c>
      <c r="B634" t="s">
        <v>1436</v>
      </c>
      <c r="C634" t="s">
        <v>1115</v>
      </c>
      <c r="D634" t="s">
        <v>980</v>
      </c>
      <c r="E634" t="s">
        <v>1437</v>
      </c>
      <c r="F634">
        <v>1708</v>
      </c>
      <c r="G634">
        <v>1500</v>
      </c>
      <c r="H634" t="s">
        <v>1131</v>
      </c>
      <c r="I634" t="s">
        <v>80</v>
      </c>
      <c r="J634" t="s">
        <v>1119</v>
      </c>
      <c r="K634" t="s">
        <v>38</v>
      </c>
      <c r="L634" t="s">
        <v>38</v>
      </c>
      <c r="M634" t="s">
        <v>38</v>
      </c>
      <c r="N634" t="s">
        <v>38</v>
      </c>
      <c r="O634" t="s">
        <v>41</v>
      </c>
      <c r="P634" t="s">
        <v>42</v>
      </c>
      <c r="Q634" t="s">
        <v>43</v>
      </c>
      <c r="R634" t="s">
        <v>89</v>
      </c>
      <c r="S634" t="s">
        <v>45</v>
      </c>
      <c r="T634" t="s">
        <v>89</v>
      </c>
      <c r="U634" t="s">
        <v>301</v>
      </c>
      <c r="V634" t="s">
        <v>91</v>
      </c>
      <c r="W634" t="s">
        <v>92</v>
      </c>
      <c r="X634" t="s">
        <v>38</v>
      </c>
      <c r="Y634" t="s">
        <v>38</v>
      </c>
      <c r="Z634" t="s">
        <v>42</v>
      </c>
      <c r="AA634" t="s">
        <v>38</v>
      </c>
      <c r="AB634" t="s">
        <v>38</v>
      </c>
      <c r="AC634" t="s">
        <v>45</v>
      </c>
      <c r="AD634" t="s">
        <v>48</v>
      </c>
      <c r="AG634" t="str">
        <f>IF(AD634="United States", IFERROR(INDEX(Sheet2!$C:$C, MATCH(AE634&amp;AF634, Sheet2!$E:$E, 0)) &amp; ", " &amp; INDEX(Sheet2!$D:$D, MATCH(AE634&amp;AF634, Sheet2!$E:$E, 0)), ""), "-")</f>
        <v/>
      </c>
    </row>
    <row r="635" spans="1:33" x14ac:dyDescent="0.25">
      <c r="A635" t="s">
        <v>1113</v>
      </c>
      <c r="B635" t="s">
        <v>1438</v>
      </c>
      <c r="C635" t="s">
        <v>1115</v>
      </c>
      <c r="D635" t="s">
        <v>352</v>
      </c>
      <c r="E635" t="s">
        <v>1439</v>
      </c>
      <c r="F635">
        <v>1758</v>
      </c>
      <c r="G635">
        <v>1501</v>
      </c>
      <c r="H635" t="s">
        <v>1118</v>
      </c>
      <c r="I635" t="s">
        <v>80</v>
      </c>
      <c r="J635" t="s">
        <v>1119</v>
      </c>
      <c r="K635" t="s">
        <v>38</v>
      </c>
      <c r="L635" t="s">
        <v>38</v>
      </c>
      <c r="M635" t="s">
        <v>38</v>
      </c>
      <c r="N635" t="s">
        <v>38</v>
      </c>
      <c r="O635" t="s">
        <v>74</v>
      </c>
      <c r="P635" t="s">
        <v>42</v>
      </c>
      <c r="Q635" t="s">
        <v>43</v>
      </c>
      <c r="R635" t="s">
        <v>89</v>
      </c>
      <c r="S635" t="s">
        <v>153</v>
      </c>
      <c r="T635" t="s">
        <v>89</v>
      </c>
      <c r="U635" t="s">
        <v>301</v>
      </c>
      <c r="V635" t="s">
        <v>91</v>
      </c>
      <c r="W635" t="s">
        <v>92</v>
      </c>
      <c r="X635" t="s">
        <v>38</v>
      </c>
      <c r="Y635" t="s">
        <v>38</v>
      </c>
      <c r="Z635" t="s">
        <v>42</v>
      </c>
      <c r="AA635" t="s">
        <v>155</v>
      </c>
      <c r="AB635" t="s">
        <v>38</v>
      </c>
      <c r="AC635" t="s">
        <v>153</v>
      </c>
      <c r="AD635" t="s">
        <v>48</v>
      </c>
      <c r="AG635" t="str">
        <f>IF(AD635="United States", IFERROR(INDEX(Sheet2!$C:$C, MATCH(AE635&amp;AF635, Sheet2!$E:$E, 0)) &amp; ", " &amp; INDEX(Sheet2!$D:$D, MATCH(AE635&amp;AF635, Sheet2!$E:$E, 0)), ""), "-")</f>
        <v/>
      </c>
    </row>
    <row r="636" spans="1:33" x14ac:dyDescent="0.25">
      <c r="A636" t="s">
        <v>1113</v>
      </c>
      <c r="B636" t="s">
        <v>1440</v>
      </c>
      <c r="C636" t="s">
        <v>1115</v>
      </c>
      <c r="D636" t="s">
        <v>357</v>
      </c>
      <c r="E636" t="s">
        <v>1441</v>
      </c>
      <c r="F636">
        <v>1763</v>
      </c>
      <c r="G636">
        <v>1502</v>
      </c>
      <c r="H636" t="s">
        <v>1118</v>
      </c>
      <c r="I636" t="s">
        <v>80</v>
      </c>
      <c r="J636" t="s">
        <v>1119</v>
      </c>
      <c r="K636" t="s">
        <v>38</v>
      </c>
      <c r="L636" t="s">
        <v>38</v>
      </c>
      <c r="M636" t="s">
        <v>38</v>
      </c>
      <c r="N636" t="s">
        <v>38</v>
      </c>
      <c r="O636" t="s">
        <v>41</v>
      </c>
      <c r="P636" t="s">
        <v>42</v>
      </c>
      <c r="Q636" t="s">
        <v>43</v>
      </c>
      <c r="R636" t="s">
        <v>89</v>
      </c>
      <c r="S636" t="s">
        <v>38</v>
      </c>
      <c r="T636" t="s">
        <v>89</v>
      </c>
      <c r="U636" t="s">
        <v>301</v>
      </c>
      <c r="V636" t="s">
        <v>91</v>
      </c>
      <c r="W636" t="s">
        <v>92</v>
      </c>
      <c r="X636" t="s">
        <v>38</v>
      </c>
      <c r="Y636" t="s">
        <v>38</v>
      </c>
      <c r="Z636" t="s">
        <v>42</v>
      </c>
      <c r="AA636" t="s">
        <v>38</v>
      </c>
      <c r="AB636" t="s">
        <v>38</v>
      </c>
      <c r="AC636" t="s">
        <v>38</v>
      </c>
      <c r="AD636" t="s">
        <v>48</v>
      </c>
      <c r="AG636" t="str">
        <f>IF(AD636="United States", IFERROR(INDEX(Sheet2!$C:$C, MATCH(AE636&amp;AF636, Sheet2!$E:$E, 0)) &amp; ", " &amp; INDEX(Sheet2!$D:$D, MATCH(AE636&amp;AF636, Sheet2!$E:$E, 0)), ""), "-")</f>
        <v/>
      </c>
    </row>
    <row r="637" spans="1:33" x14ac:dyDescent="0.25">
      <c r="A637" t="s">
        <v>1113</v>
      </c>
      <c r="B637" t="s">
        <v>1442</v>
      </c>
      <c r="C637" t="s">
        <v>1115</v>
      </c>
      <c r="D637" t="s">
        <v>101</v>
      </c>
      <c r="E637" t="s">
        <v>37</v>
      </c>
      <c r="F637">
        <v>1759</v>
      </c>
      <c r="G637">
        <v>1503</v>
      </c>
      <c r="H637" t="s">
        <v>1118</v>
      </c>
      <c r="I637" t="s">
        <v>80</v>
      </c>
      <c r="J637" t="s">
        <v>1119</v>
      </c>
      <c r="K637" t="s">
        <v>38</v>
      </c>
      <c r="L637" t="s">
        <v>38</v>
      </c>
      <c r="M637" t="s">
        <v>38</v>
      </c>
      <c r="N637" t="s">
        <v>38</v>
      </c>
      <c r="O637" t="s">
        <v>41</v>
      </c>
      <c r="P637" t="s">
        <v>42</v>
      </c>
      <c r="Q637" t="s">
        <v>43</v>
      </c>
      <c r="R637" t="s">
        <v>89</v>
      </c>
      <c r="S637" t="s">
        <v>201</v>
      </c>
      <c r="T637" t="s">
        <v>89</v>
      </c>
      <c r="U637" t="s">
        <v>301</v>
      </c>
      <c r="V637" t="s">
        <v>91</v>
      </c>
      <c r="W637" t="s">
        <v>92</v>
      </c>
      <c r="X637" t="s">
        <v>38</v>
      </c>
      <c r="Y637" t="s">
        <v>38</v>
      </c>
      <c r="Z637" t="s">
        <v>42</v>
      </c>
      <c r="AA637" t="s">
        <v>202</v>
      </c>
      <c r="AB637" t="s">
        <v>38</v>
      </c>
      <c r="AC637" t="s">
        <v>201</v>
      </c>
      <c r="AD637" t="s">
        <v>48</v>
      </c>
      <c r="AG637" t="str">
        <f>IF(AD637="United States", IFERROR(INDEX(Sheet2!$C:$C, MATCH(AE637&amp;AF637, Sheet2!$E:$E, 0)) &amp; ", " &amp; INDEX(Sheet2!$D:$D, MATCH(AE637&amp;AF637, Sheet2!$E:$E, 0)), ""), "-")</f>
        <v/>
      </c>
    </row>
    <row r="638" spans="1:33" x14ac:dyDescent="0.25">
      <c r="A638" t="s">
        <v>1113</v>
      </c>
      <c r="B638" t="s">
        <v>1443</v>
      </c>
      <c r="C638" t="s">
        <v>1115</v>
      </c>
      <c r="D638" t="s">
        <v>132</v>
      </c>
      <c r="E638" t="s">
        <v>191</v>
      </c>
      <c r="F638">
        <v>1759</v>
      </c>
      <c r="G638">
        <v>1504</v>
      </c>
      <c r="H638" t="s">
        <v>1118</v>
      </c>
      <c r="I638" t="s">
        <v>80</v>
      </c>
      <c r="J638" t="s">
        <v>1119</v>
      </c>
      <c r="K638" t="s">
        <v>38</v>
      </c>
      <c r="L638" t="s">
        <v>38</v>
      </c>
      <c r="M638" t="s">
        <v>38</v>
      </c>
      <c r="N638" t="s">
        <v>38</v>
      </c>
      <c r="O638" t="s">
        <v>41</v>
      </c>
      <c r="P638" t="s">
        <v>42</v>
      </c>
      <c r="Q638" t="s">
        <v>43</v>
      </c>
      <c r="R638" t="s">
        <v>89</v>
      </c>
      <c r="S638" t="s">
        <v>45</v>
      </c>
      <c r="T638" t="s">
        <v>89</v>
      </c>
      <c r="U638" t="s">
        <v>301</v>
      </c>
      <c r="V638" t="s">
        <v>91</v>
      </c>
      <c r="W638" t="s">
        <v>92</v>
      </c>
      <c r="X638" t="s">
        <v>38</v>
      </c>
      <c r="Y638" t="s">
        <v>38</v>
      </c>
      <c r="Z638" t="s">
        <v>42</v>
      </c>
      <c r="AA638" t="s">
        <v>1444</v>
      </c>
      <c r="AB638" t="s">
        <v>38</v>
      </c>
      <c r="AC638" t="s">
        <v>45</v>
      </c>
      <c r="AD638" t="s">
        <v>48</v>
      </c>
      <c r="AG638" t="str">
        <f>IF(AD638="United States", IFERROR(INDEX(Sheet2!$C:$C, MATCH(AE638&amp;AF638, Sheet2!$E:$E, 0)) &amp; ", " &amp; INDEX(Sheet2!$D:$D, MATCH(AE638&amp;AF638, Sheet2!$E:$E, 0)), ""), "-")</f>
        <v/>
      </c>
    </row>
    <row r="639" spans="1:33" x14ac:dyDescent="0.25">
      <c r="A639" t="s">
        <v>1113</v>
      </c>
      <c r="B639" t="s">
        <v>1445</v>
      </c>
      <c r="C639" t="s">
        <v>1115</v>
      </c>
      <c r="D639" t="s">
        <v>803</v>
      </c>
      <c r="E639" t="s">
        <v>191</v>
      </c>
      <c r="F639">
        <v>1761</v>
      </c>
      <c r="G639">
        <v>1505</v>
      </c>
      <c r="H639" t="s">
        <v>1118</v>
      </c>
      <c r="I639" t="s">
        <v>80</v>
      </c>
      <c r="J639" t="s">
        <v>1119</v>
      </c>
      <c r="K639" t="s">
        <v>38</v>
      </c>
      <c r="L639" t="s">
        <v>38</v>
      </c>
      <c r="M639" t="s">
        <v>38</v>
      </c>
      <c r="N639" t="s">
        <v>38</v>
      </c>
      <c r="O639" t="s">
        <v>74</v>
      </c>
      <c r="P639" t="s">
        <v>42</v>
      </c>
      <c r="Q639" t="s">
        <v>43</v>
      </c>
      <c r="R639" t="s">
        <v>89</v>
      </c>
      <c r="S639" t="s">
        <v>45</v>
      </c>
      <c r="T639" t="s">
        <v>89</v>
      </c>
      <c r="U639" t="s">
        <v>301</v>
      </c>
      <c r="V639" t="s">
        <v>91</v>
      </c>
      <c r="W639" t="s">
        <v>92</v>
      </c>
      <c r="X639" t="s">
        <v>38</v>
      </c>
      <c r="Y639" t="s">
        <v>38</v>
      </c>
      <c r="Z639" t="s">
        <v>42</v>
      </c>
      <c r="AA639" t="s">
        <v>169</v>
      </c>
      <c r="AB639" t="s">
        <v>38</v>
      </c>
      <c r="AC639" t="s">
        <v>45</v>
      </c>
      <c r="AD639" t="s">
        <v>48</v>
      </c>
      <c r="AG639" t="str">
        <f>IF(AD639="United States", IFERROR(INDEX(Sheet2!$C:$C, MATCH(AE639&amp;AF639, Sheet2!$E:$E, 0)) &amp; ", " &amp; INDEX(Sheet2!$D:$D, MATCH(AE639&amp;AF639, Sheet2!$E:$E, 0)), ""), "-")</f>
        <v/>
      </c>
    </row>
    <row r="640" spans="1:33" x14ac:dyDescent="0.25">
      <c r="A640" t="s">
        <v>1113</v>
      </c>
      <c r="B640" t="s">
        <v>1446</v>
      </c>
      <c r="C640" t="s">
        <v>1115</v>
      </c>
      <c r="D640" t="s">
        <v>62</v>
      </c>
      <c r="E640" t="s">
        <v>1447</v>
      </c>
      <c r="F640">
        <v>1753</v>
      </c>
      <c r="G640">
        <v>1506</v>
      </c>
      <c r="H640" t="s">
        <v>1118</v>
      </c>
      <c r="I640" t="s">
        <v>80</v>
      </c>
      <c r="J640" t="s">
        <v>1119</v>
      </c>
      <c r="K640" t="s">
        <v>38</v>
      </c>
      <c r="L640" t="s">
        <v>38</v>
      </c>
      <c r="M640" t="s">
        <v>38</v>
      </c>
      <c r="N640" t="s">
        <v>38</v>
      </c>
      <c r="O640" t="s">
        <v>41</v>
      </c>
      <c r="P640" t="s">
        <v>42</v>
      </c>
      <c r="Q640" t="s">
        <v>43</v>
      </c>
      <c r="R640" t="s">
        <v>89</v>
      </c>
      <c r="S640" t="s">
        <v>201</v>
      </c>
      <c r="T640" t="s">
        <v>89</v>
      </c>
      <c r="U640" t="s">
        <v>301</v>
      </c>
      <c r="V640" t="s">
        <v>91</v>
      </c>
      <c r="W640" t="s">
        <v>92</v>
      </c>
      <c r="X640" t="s">
        <v>38</v>
      </c>
      <c r="Y640" t="s">
        <v>38</v>
      </c>
      <c r="Z640" t="s">
        <v>42</v>
      </c>
      <c r="AA640" t="s">
        <v>38</v>
      </c>
      <c r="AB640" t="s">
        <v>38</v>
      </c>
      <c r="AC640" t="s">
        <v>201</v>
      </c>
      <c r="AD640" t="s">
        <v>48</v>
      </c>
      <c r="AG640" t="str">
        <f>IF(AD640="United States", IFERROR(INDEX(Sheet2!$C:$C, MATCH(AE640&amp;AF640, Sheet2!$E:$E, 0)) &amp; ", " &amp; INDEX(Sheet2!$D:$D, MATCH(AE640&amp;AF640, Sheet2!$E:$E, 0)), ""), "-")</f>
        <v/>
      </c>
    </row>
    <row r="641" spans="1:33" x14ac:dyDescent="0.25">
      <c r="A641" t="s">
        <v>1113</v>
      </c>
      <c r="B641" t="s">
        <v>1448</v>
      </c>
      <c r="C641" t="s">
        <v>1115</v>
      </c>
      <c r="D641" t="s">
        <v>334</v>
      </c>
      <c r="E641" t="s">
        <v>1449</v>
      </c>
      <c r="F641">
        <v>1749</v>
      </c>
      <c r="G641">
        <v>1507</v>
      </c>
      <c r="H641" t="s">
        <v>1131</v>
      </c>
      <c r="I641" t="s">
        <v>80</v>
      </c>
      <c r="J641" t="s">
        <v>1119</v>
      </c>
      <c r="K641" t="s">
        <v>38</v>
      </c>
      <c r="L641" t="s">
        <v>38</v>
      </c>
      <c r="M641" t="s">
        <v>38</v>
      </c>
      <c r="N641" t="s">
        <v>38</v>
      </c>
      <c r="O641" t="s">
        <v>41</v>
      </c>
      <c r="P641" t="s">
        <v>42</v>
      </c>
      <c r="Q641" t="s">
        <v>43</v>
      </c>
      <c r="R641" t="s">
        <v>89</v>
      </c>
      <c r="S641" t="s">
        <v>38</v>
      </c>
      <c r="T641" t="s">
        <v>89</v>
      </c>
      <c r="U641" t="s">
        <v>301</v>
      </c>
      <c r="V641" t="s">
        <v>91</v>
      </c>
      <c r="W641" t="s">
        <v>92</v>
      </c>
      <c r="X641" t="s">
        <v>38</v>
      </c>
      <c r="Y641" t="s">
        <v>38</v>
      </c>
      <c r="Z641" t="s">
        <v>42</v>
      </c>
      <c r="AA641" t="s">
        <v>38</v>
      </c>
      <c r="AB641" t="s">
        <v>38</v>
      </c>
      <c r="AC641" t="s">
        <v>1380</v>
      </c>
      <c r="AD641" t="s">
        <v>48</v>
      </c>
      <c r="AG641" t="str">
        <f>IF(AD641="United States", IFERROR(INDEX(Sheet2!$C:$C, MATCH(AE641&amp;AF641, Sheet2!$E:$E, 0)) &amp; ", " &amp; INDEX(Sheet2!$D:$D, MATCH(AE641&amp;AF641, Sheet2!$E:$E, 0)), ""), "-")</f>
        <v/>
      </c>
    </row>
    <row r="642" spans="1:33" x14ac:dyDescent="0.25">
      <c r="A642" t="s">
        <v>1113</v>
      </c>
      <c r="B642" t="s">
        <v>1450</v>
      </c>
      <c r="C642" t="s">
        <v>1115</v>
      </c>
      <c r="D642" t="s">
        <v>1174</v>
      </c>
      <c r="E642" t="s">
        <v>275</v>
      </c>
      <c r="F642">
        <v>1748</v>
      </c>
      <c r="G642">
        <v>1508</v>
      </c>
      <c r="H642" t="s">
        <v>1131</v>
      </c>
      <c r="I642" t="s">
        <v>80</v>
      </c>
      <c r="J642" t="s">
        <v>1119</v>
      </c>
      <c r="K642" t="s">
        <v>38</v>
      </c>
      <c r="L642" t="s">
        <v>38</v>
      </c>
      <c r="M642" t="s">
        <v>38</v>
      </c>
      <c r="N642" t="s">
        <v>38</v>
      </c>
      <c r="O642" t="s">
        <v>41</v>
      </c>
      <c r="P642" t="s">
        <v>42</v>
      </c>
      <c r="Q642" t="s">
        <v>43</v>
      </c>
      <c r="R642" t="s">
        <v>89</v>
      </c>
      <c r="S642" t="s">
        <v>38</v>
      </c>
      <c r="T642" t="s">
        <v>89</v>
      </c>
      <c r="U642" t="s">
        <v>301</v>
      </c>
      <c r="V642" t="s">
        <v>91</v>
      </c>
      <c r="W642" t="s">
        <v>92</v>
      </c>
      <c r="X642" t="s">
        <v>38</v>
      </c>
      <c r="Y642" t="s">
        <v>38</v>
      </c>
      <c r="Z642" t="s">
        <v>42</v>
      </c>
      <c r="AA642" t="s">
        <v>38</v>
      </c>
      <c r="AB642" t="s">
        <v>38</v>
      </c>
      <c r="AC642" t="s">
        <v>593</v>
      </c>
      <c r="AD642" t="s">
        <v>48</v>
      </c>
      <c r="AG642" t="str">
        <f>IF(AD642="United States", IFERROR(INDEX(Sheet2!$C:$C, MATCH(AE642&amp;AF642, Sheet2!$E:$E, 0)) &amp; ", " &amp; INDEX(Sheet2!$D:$D, MATCH(AE642&amp;AF642, Sheet2!$E:$E, 0)), ""), "-")</f>
        <v/>
      </c>
    </row>
    <row r="643" spans="1:33" x14ac:dyDescent="0.25">
      <c r="A643" t="s">
        <v>1113</v>
      </c>
      <c r="B643" t="s">
        <v>1451</v>
      </c>
      <c r="C643" t="s">
        <v>1115</v>
      </c>
      <c r="D643" t="s">
        <v>210</v>
      </c>
      <c r="E643" t="s">
        <v>807</v>
      </c>
      <c r="F643">
        <v>1753</v>
      </c>
      <c r="G643">
        <v>1509</v>
      </c>
      <c r="H643" t="s">
        <v>1118</v>
      </c>
      <c r="I643" t="s">
        <v>80</v>
      </c>
      <c r="J643" t="s">
        <v>1119</v>
      </c>
      <c r="K643" t="s">
        <v>38</v>
      </c>
      <c r="L643" t="s">
        <v>38</v>
      </c>
      <c r="M643" t="s">
        <v>38</v>
      </c>
      <c r="N643" t="s">
        <v>38</v>
      </c>
      <c r="O643" t="s">
        <v>41</v>
      </c>
      <c r="P643" t="s">
        <v>42</v>
      </c>
      <c r="Q643" t="s">
        <v>43</v>
      </c>
      <c r="R643" t="s">
        <v>89</v>
      </c>
      <c r="S643" t="s">
        <v>201</v>
      </c>
      <c r="T643" t="s">
        <v>89</v>
      </c>
      <c r="U643" t="s">
        <v>301</v>
      </c>
      <c r="V643" t="s">
        <v>91</v>
      </c>
      <c r="W643" t="s">
        <v>92</v>
      </c>
      <c r="X643" t="s">
        <v>38</v>
      </c>
      <c r="Y643" t="s">
        <v>38</v>
      </c>
      <c r="Z643" t="s">
        <v>42</v>
      </c>
      <c r="AA643" t="s">
        <v>1452</v>
      </c>
      <c r="AB643" t="s">
        <v>846</v>
      </c>
      <c r="AC643" t="s">
        <v>201</v>
      </c>
      <c r="AD643" t="s">
        <v>48</v>
      </c>
      <c r="AG643" t="str">
        <f>IF(AD643="United States", IFERROR(INDEX(Sheet2!$C:$C, MATCH(AE643&amp;AF643, Sheet2!$E:$E, 0)) &amp; ", " &amp; INDEX(Sheet2!$D:$D, MATCH(AE643&amp;AF643, Sheet2!$E:$E, 0)), ""), "-")</f>
        <v/>
      </c>
    </row>
    <row r="644" spans="1:33" x14ac:dyDescent="0.25">
      <c r="A644" t="s">
        <v>1113</v>
      </c>
      <c r="B644" t="s">
        <v>1453</v>
      </c>
      <c r="C644" t="s">
        <v>1115</v>
      </c>
      <c r="D644" t="s">
        <v>834</v>
      </c>
      <c r="E644" t="s">
        <v>807</v>
      </c>
      <c r="F644">
        <v>1747</v>
      </c>
      <c r="G644">
        <v>1510</v>
      </c>
      <c r="H644" t="s">
        <v>1118</v>
      </c>
      <c r="I644" t="s">
        <v>80</v>
      </c>
      <c r="J644" t="s">
        <v>1119</v>
      </c>
      <c r="K644" t="s">
        <v>38</v>
      </c>
      <c r="L644" t="s">
        <v>38</v>
      </c>
      <c r="M644" t="s">
        <v>38</v>
      </c>
      <c r="N644" t="s">
        <v>38</v>
      </c>
      <c r="O644" t="s">
        <v>74</v>
      </c>
      <c r="P644" t="s">
        <v>42</v>
      </c>
      <c r="Q644" t="s">
        <v>43</v>
      </c>
      <c r="R644" t="s">
        <v>89</v>
      </c>
      <c r="S644" t="s">
        <v>201</v>
      </c>
      <c r="T644" t="s">
        <v>89</v>
      </c>
      <c r="U644" t="s">
        <v>301</v>
      </c>
      <c r="V644" t="s">
        <v>91</v>
      </c>
      <c r="W644" t="s">
        <v>92</v>
      </c>
      <c r="X644" t="s">
        <v>38</v>
      </c>
      <c r="Y644" t="s">
        <v>38</v>
      </c>
      <c r="Z644" t="s">
        <v>42</v>
      </c>
      <c r="AA644" t="s">
        <v>1452</v>
      </c>
      <c r="AB644" t="s">
        <v>846</v>
      </c>
      <c r="AC644" t="s">
        <v>201</v>
      </c>
      <c r="AD644" t="s">
        <v>48</v>
      </c>
      <c r="AG644" t="str">
        <f>IF(AD644="United States", IFERROR(INDEX(Sheet2!$C:$C, MATCH(AE644&amp;AF644, Sheet2!$E:$E, 0)) &amp; ", " &amp; INDEX(Sheet2!$D:$D, MATCH(AE644&amp;AF644, Sheet2!$E:$E, 0)), ""), "-")</f>
        <v/>
      </c>
    </row>
    <row r="645" spans="1:33" x14ac:dyDescent="0.25">
      <c r="A645" t="s">
        <v>1113</v>
      </c>
      <c r="B645" t="s">
        <v>1454</v>
      </c>
      <c r="C645" t="s">
        <v>1115</v>
      </c>
      <c r="D645" t="s">
        <v>210</v>
      </c>
      <c r="E645" t="s">
        <v>1397</v>
      </c>
      <c r="F645">
        <v>1758</v>
      </c>
      <c r="G645">
        <v>1511</v>
      </c>
      <c r="H645" t="s">
        <v>1118</v>
      </c>
      <c r="I645" t="s">
        <v>80</v>
      </c>
      <c r="J645" t="s">
        <v>1119</v>
      </c>
      <c r="K645" t="s">
        <v>38</v>
      </c>
      <c r="L645" t="s">
        <v>38</v>
      </c>
      <c r="M645" t="s">
        <v>38</v>
      </c>
      <c r="N645" t="s">
        <v>38</v>
      </c>
      <c r="O645" t="s">
        <v>41</v>
      </c>
      <c r="P645" t="s">
        <v>42</v>
      </c>
      <c r="Q645" t="s">
        <v>43</v>
      </c>
      <c r="R645" t="s">
        <v>89</v>
      </c>
      <c r="S645" t="s">
        <v>45</v>
      </c>
      <c r="T645" t="s">
        <v>89</v>
      </c>
      <c r="U645" t="s">
        <v>301</v>
      </c>
      <c r="V645" t="s">
        <v>91</v>
      </c>
      <c r="W645" t="s">
        <v>92</v>
      </c>
      <c r="X645" t="s">
        <v>38</v>
      </c>
      <c r="Y645" t="s">
        <v>38</v>
      </c>
      <c r="Z645" t="s">
        <v>42</v>
      </c>
      <c r="AA645" t="s">
        <v>1455</v>
      </c>
      <c r="AB645" t="s">
        <v>38</v>
      </c>
      <c r="AC645" t="s">
        <v>45</v>
      </c>
      <c r="AD645" t="s">
        <v>48</v>
      </c>
      <c r="AG645" t="str">
        <f>IF(AD645="United States", IFERROR(INDEX(Sheet2!$C:$C, MATCH(AE645&amp;AF645, Sheet2!$E:$E, 0)) &amp; ", " &amp; INDEX(Sheet2!$D:$D, MATCH(AE645&amp;AF645, Sheet2!$E:$E, 0)), ""), "-")</f>
        <v/>
      </c>
    </row>
    <row r="646" spans="1:33" x14ac:dyDescent="0.25">
      <c r="A646" t="s">
        <v>1113</v>
      </c>
      <c r="B646" t="s">
        <v>1456</v>
      </c>
      <c r="C646" t="s">
        <v>1115</v>
      </c>
      <c r="D646" t="s">
        <v>210</v>
      </c>
      <c r="E646" t="s">
        <v>275</v>
      </c>
      <c r="F646">
        <v>1756</v>
      </c>
      <c r="G646">
        <v>1512</v>
      </c>
      <c r="H646" t="s">
        <v>1118</v>
      </c>
      <c r="I646" t="s">
        <v>80</v>
      </c>
      <c r="J646" t="s">
        <v>1119</v>
      </c>
      <c r="K646" t="s">
        <v>38</v>
      </c>
      <c r="L646" t="s">
        <v>38</v>
      </c>
      <c r="M646" t="s">
        <v>38</v>
      </c>
      <c r="N646" t="s">
        <v>38</v>
      </c>
      <c r="O646" t="s">
        <v>41</v>
      </c>
      <c r="P646" t="s">
        <v>42</v>
      </c>
      <c r="Q646" t="s">
        <v>43</v>
      </c>
      <c r="R646" t="s">
        <v>89</v>
      </c>
      <c r="S646" t="s">
        <v>45</v>
      </c>
      <c r="T646" t="s">
        <v>89</v>
      </c>
      <c r="U646" t="s">
        <v>301</v>
      </c>
      <c r="V646" t="s">
        <v>91</v>
      </c>
      <c r="W646" t="s">
        <v>92</v>
      </c>
      <c r="X646" t="s">
        <v>38</v>
      </c>
      <c r="Y646" t="s">
        <v>38</v>
      </c>
      <c r="Z646" t="s">
        <v>42</v>
      </c>
      <c r="AA646" t="s">
        <v>1457</v>
      </c>
      <c r="AB646" t="s">
        <v>38</v>
      </c>
      <c r="AC646" t="s">
        <v>45</v>
      </c>
      <c r="AD646" t="s">
        <v>48</v>
      </c>
      <c r="AG646" t="str">
        <f>IF(AD646="United States", IFERROR(INDEX(Sheet2!$C:$C, MATCH(AE646&amp;AF646, Sheet2!$E:$E, 0)) &amp; ", " &amp; INDEX(Sheet2!$D:$D, MATCH(AE646&amp;AF646, Sheet2!$E:$E, 0)), ""), "-")</f>
        <v/>
      </c>
    </row>
    <row r="647" spans="1:33" x14ac:dyDescent="0.25">
      <c r="A647" t="s">
        <v>1113</v>
      </c>
      <c r="B647" t="s">
        <v>1458</v>
      </c>
      <c r="C647" t="s">
        <v>1115</v>
      </c>
      <c r="D647" t="s">
        <v>1459</v>
      </c>
      <c r="E647" t="s">
        <v>1377</v>
      </c>
      <c r="F647">
        <v>1738</v>
      </c>
      <c r="G647">
        <v>1513</v>
      </c>
      <c r="H647" t="s">
        <v>1371</v>
      </c>
      <c r="I647" t="s">
        <v>80</v>
      </c>
      <c r="J647" t="s">
        <v>1119</v>
      </c>
      <c r="K647" t="s">
        <v>38</v>
      </c>
      <c r="L647" t="s">
        <v>38</v>
      </c>
      <c r="M647" t="s">
        <v>38</v>
      </c>
      <c r="N647" t="s">
        <v>38</v>
      </c>
      <c r="O647" t="s">
        <v>41</v>
      </c>
      <c r="P647" t="s">
        <v>42</v>
      </c>
      <c r="Q647" t="s">
        <v>43</v>
      </c>
      <c r="R647" t="s">
        <v>89</v>
      </c>
      <c r="S647" t="s">
        <v>45</v>
      </c>
      <c r="T647" t="s">
        <v>89</v>
      </c>
      <c r="U647" t="s">
        <v>301</v>
      </c>
      <c r="V647" t="s">
        <v>91</v>
      </c>
      <c r="W647" t="s">
        <v>92</v>
      </c>
      <c r="X647" t="s">
        <v>38</v>
      </c>
      <c r="Y647" t="s">
        <v>38</v>
      </c>
      <c r="Z647" t="s">
        <v>42</v>
      </c>
      <c r="AA647" t="s">
        <v>169</v>
      </c>
      <c r="AB647" t="s">
        <v>38</v>
      </c>
      <c r="AC647" t="s">
        <v>45</v>
      </c>
      <c r="AD647" t="s">
        <v>48</v>
      </c>
      <c r="AG647" t="str">
        <f>IF(AD647="United States", IFERROR(INDEX(Sheet2!$C:$C, MATCH(AE647&amp;AF647, Sheet2!$E:$E, 0)) &amp; ", " &amp; INDEX(Sheet2!$D:$D, MATCH(AE647&amp;AF647, Sheet2!$E:$E, 0)), ""), "-")</f>
        <v/>
      </c>
    </row>
    <row r="648" spans="1:33" x14ac:dyDescent="0.25">
      <c r="A648" t="s">
        <v>1113</v>
      </c>
      <c r="B648" t="s">
        <v>1460</v>
      </c>
      <c r="C648" t="s">
        <v>1115</v>
      </c>
      <c r="D648" t="s">
        <v>357</v>
      </c>
      <c r="E648" t="s">
        <v>226</v>
      </c>
      <c r="F648">
        <v>1759</v>
      </c>
      <c r="G648">
        <v>1514</v>
      </c>
      <c r="H648" t="s">
        <v>1118</v>
      </c>
      <c r="I648" t="s">
        <v>80</v>
      </c>
      <c r="J648" t="s">
        <v>1119</v>
      </c>
      <c r="K648" t="s">
        <v>38</v>
      </c>
      <c r="L648" t="s">
        <v>38</v>
      </c>
      <c r="M648" t="s">
        <v>38</v>
      </c>
      <c r="N648" t="s">
        <v>38</v>
      </c>
      <c r="O648" t="s">
        <v>41</v>
      </c>
      <c r="P648" t="s">
        <v>42</v>
      </c>
      <c r="Q648" t="s">
        <v>43</v>
      </c>
      <c r="R648" t="s">
        <v>89</v>
      </c>
      <c r="S648" t="s">
        <v>38</v>
      </c>
      <c r="T648" t="s">
        <v>89</v>
      </c>
      <c r="U648" t="s">
        <v>301</v>
      </c>
      <c r="V648" t="s">
        <v>91</v>
      </c>
      <c r="W648" t="s">
        <v>92</v>
      </c>
      <c r="X648" t="s">
        <v>38</v>
      </c>
      <c r="Y648" t="s">
        <v>38</v>
      </c>
      <c r="Z648" t="s">
        <v>42</v>
      </c>
      <c r="AA648" t="s">
        <v>1461</v>
      </c>
      <c r="AB648" t="s">
        <v>38</v>
      </c>
      <c r="AC648" t="s">
        <v>1462</v>
      </c>
      <c r="AD648" t="s">
        <v>1462</v>
      </c>
      <c r="AG648" t="str">
        <f>IF(AD648="United States", IFERROR(INDEX(Sheet2!$C:$C, MATCH(AE648&amp;AF648, Sheet2!$E:$E, 0)) &amp; ", " &amp; INDEX(Sheet2!$D:$D, MATCH(AE648&amp;AF648, Sheet2!$E:$E, 0)), ""), "45.5031824, -73.5698065")</f>
        <v>45.5031824, -73.5698065</v>
      </c>
    </row>
    <row r="649" spans="1:33" x14ac:dyDescent="0.25">
      <c r="A649" t="s">
        <v>1113</v>
      </c>
      <c r="B649" t="s">
        <v>1463</v>
      </c>
      <c r="C649" t="s">
        <v>1115</v>
      </c>
      <c r="D649" t="s">
        <v>1464</v>
      </c>
      <c r="E649" t="s">
        <v>569</v>
      </c>
      <c r="F649">
        <v>1754</v>
      </c>
      <c r="G649">
        <v>1515</v>
      </c>
      <c r="H649" t="s">
        <v>1371</v>
      </c>
      <c r="I649" t="s">
        <v>80</v>
      </c>
      <c r="J649" t="s">
        <v>1119</v>
      </c>
      <c r="K649" t="s">
        <v>38</v>
      </c>
      <c r="L649" t="s">
        <v>38</v>
      </c>
      <c r="M649" t="s">
        <v>38</v>
      </c>
      <c r="N649" t="s">
        <v>38</v>
      </c>
      <c r="O649" t="s">
        <v>41</v>
      </c>
      <c r="P649" t="s">
        <v>42</v>
      </c>
      <c r="Q649" t="s">
        <v>43</v>
      </c>
      <c r="R649" t="s">
        <v>89</v>
      </c>
      <c r="S649" t="s">
        <v>38</v>
      </c>
      <c r="T649" t="s">
        <v>89</v>
      </c>
      <c r="U649" t="s">
        <v>301</v>
      </c>
      <c r="V649" t="s">
        <v>91</v>
      </c>
      <c r="W649" t="s">
        <v>92</v>
      </c>
      <c r="X649" t="s">
        <v>38</v>
      </c>
      <c r="Y649" t="s">
        <v>38</v>
      </c>
      <c r="Z649" t="s">
        <v>42</v>
      </c>
      <c r="AA649" t="s">
        <v>38</v>
      </c>
      <c r="AB649" t="s">
        <v>38</v>
      </c>
      <c r="AC649" t="s">
        <v>593</v>
      </c>
      <c r="AD649" t="s">
        <v>48</v>
      </c>
      <c r="AG649" t="str">
        <f>IF(AD649="United States", IFERROR(INDEX(Sheet2!$C:$C, MATCH(AE649&amp;AF649, Sheet2!$E:$E, 0)) &amp; ", " &amp; INDEX(Sheet2!$D:$D, MATCH(AE649&amp;AF649, Sheet2!$E:$E, 0)), ""), "-")</f>
        <v/>
      </c>
    </row>
    <row r="650" spans="1:33" x14ac:dyDescent="0.25">
      <c r="A650" t="s">
        <v>1113</v>
      </c>
      <c r="B650" t="s">
        <v>1465</v>
      </c>
      <c r="C650" t="s">
        <v>1115</v>
      </c>
      <c r="D650" t="s">
        <v>226</v>
      </c>
      <c r="E650" t="s">
        <v>1466</v>
      </c>
      <c r="F650">
        <v>1748</v>
      </c>
      <c r="G650">
        <v>1516</v>
      </c>
      <c r="H650" t="s">
        <v>1118</v>
      </c>
      <c r="I650" t="s">
        <v>80</v>
      </c>
      <c r="J650" t="s">
        <v>1119</v>
      </c>
      <c r="K650" t="s">
        <v>38</v>
      </c>
      <c r="L650" t="s">
        <v>38</v>
      </c>
      <c r="M650" t="s">
        <v>38</v>
      </c>
      <c r="N650" t="s">
        <v>38</v>
      </c>
      <c r="O650" t="s">
        <v>41</v>
      </c>
      <c r="P650" t="s">
        <v>42</v>
      </c>
      <c r="Q650" t="s">
        <v>43</v>
      </c>
      <c r="R650" t="s">
        <v>89</v>
      </c>
      <c r="S650" t="s">
        <v>38</v>
      </c>
      <c r="T650" t="s">
        <v>89</v>
      </c>
      <c r="U650" t="s">
        <v>301</v>
      </c>
      <c r="V650" t="s">
        <v>91</v>
      </c>
      <c r="W650" t="s">
        <v>92</v>
      </c>
      <c r="X650" t="s">
        <v>38</v>
      </c>
      <c r="Y650" t="s">
        <v>38</v>
      </c>
      <c r="Z650" t="s">
        <v>42</v>
      </c>
      <c r="AA650" t="s">
        <v>38</v>
      </c>
      <c r="AB650" t="s">
        <v>38</v>
      </c>
      <c r="AC650" t="s">
        <v>593</v>
      </c>
      <c r="AD650" t="s">
        <v>48</v>
      </c>
      <c r="AG650" t="str">
        <f>IF(AD650="United States", IFERROR(INDEX(Sheet2!$C:$C, MATCH(AE650&amp;AF650, Sheet2!$E:$E, 0)) &amp; ", " &amp; INDEX(Sheet2!$D:$D, MATCH(AE650&amp;AF650, Sheet2!$E:$E, 0)), ""), "-")</f>
        <v/>
      </c>
    </row>
    <row r="651" spans="1:33" x14ac:dyDescent="0.25">
      <c r="A651" t="s">
        <v>1113</v>
      </c>
      <c r="B651" t="s">
        <v>1467</v>
      </c>
      <c r="C651" t="s">
        <v>1115</v>
      </c>
      <c r="D651" t="s">
        <v>210</v>
      </c>
      <c r="E651" t="s">
        <v>818</v>
      </c>
      <c r="F651">
        <v>1731</v>
      </c>
      <c r="G651">
        <v>1517</v>
      </c>
      <c r="H651" t="s">
        <v>1118</v>
      </c>
      <c r="I651" t="s">
        <v>80</v>
      </c>
      <c r="J651" t="s">
        <v>1119</v>
      </c>
      <c r="K651" t="s">
        <v>38</v>
      </c>
      <c r="L651" t="s">
        <v>38</v>
      </c>
      <c r="M651" t="s">
        <v>38</v>
      </c>
      <c r="N651" t="s">
        <v>38</v>
      </c>
      <c r="O651" t="s">
        <v>41</v>
      </c>
      <c r="P651" t="s">
        <v>42</v>
      </c>
      <c r="Q651" t="s">
        <v>43</v>
      </c>
      <c r="R651" t="s">
        <v>89</v>
      </c>
      <c r="S651" t="s">
        <v>38</v>
      </c>
      <c r="T651" t="s">
        <v>89</v>
      </c>
      <c r="U651" t="s">
        <v>301</v>
      </c>
      <c r="V651" t="s">
        <v>91</v>
      </c>
      <c r="W651" t="s">
        <v>92</v>
      </c>
      <c r="X651" t="s">
        <v>38</v>
      </c>
      <c r="Y651" t="s">
        <v>38</v>
      </c>
      <c r="Z651" t="s">
        <v>42</v>
      </c>
      <c r="AA651" t="s">
        <v>38</v>
      </c>
      <c r="AB651" t="s">
        <v>38</v>
      </c>
      <c r="AC651" t="s">
        <v>38</v>
      </c>
      <c r="AD651" t="s">
        <v>48</v>
      </c>
      <c r="AG651" t="str">
        <f>IF(AD651="United States", IFERROR(INDEX(Sheet2!$C:$C, MATCH(AE651&amp;AF651, Sheet2!$E:$E, 0)) &amp; ", " &amp; INDEX(Sheet2!$D:$D, MATCH(AE651&amp;AF651, Sheet2!$E:$E, 0)), ""), "-")</f>
        <v/>
      </c>
    </row>
    <row r="652" spans="1:33" x14ac:dyDescent="0.25">
      <c r="A652" t="s">
        <v>1113</v>
      </c>
      <c r="B652" t="s">
        <v>1468</v>
      </c>
      <c r="C652" t="s">
        <v>1115</v>
      </c>
      <c r="D652" t="s">
        <v>945</v>
      </c>
      <c r="E652" t="s">
        <v>1469</v>
      </c>
      <c r="F652">
        <v>1747</v>
      </c>
      <c r="G652">
        <v>1518</v>
      </c>
      <c r="H652" t="s">
        <v>1371</v>
      </c>
      <c r="I652" t="s">
        <v>80</v>
      </c>
      <c r="J652" t="s">
        <v>1119</v>
      </c>
      <c r="K652" t="s">
        <v>38</v>
      </c>
      <c r="L652" t="s">
        <v>38</v>
      </c>
      <c r="M652" t="s">
        <v>38</v>
      </c>
      <c r="N652" t="s">
        <v>38</v>
      </c>
      <c r="O652" t="s">
        <v>41</v>
      </c>
      <c r="P652" t="s">
        <v>42</v>
      </c>
      <c r="Q652" t="s">
        <v>43</v>
      </c>
      <c r="R652" t="s">
        <v>89</v>
      </c>
      <c r="S652" t="s">
        <v>38</v>
      </c>
      <c r="T652" t="s">
        <v>89</v>
      </c>
      <c r="U652" t="s">
        <v>301</v>
      </c>
      <c r="V652" t="s">
        <v>91</v>
      </c>
      <c r="W652" t="s">
        <v>92</v>
      </c>
      <c r="X652" t="s">
        <v>38</v>
      </c>
      <c r="Y652" t="s">
        <v>38</v>
      </c>
      <c r="Z652" t="s">
        <v>42</v>
      </c>
      <c r="AA652" t="s">
        <v>38</v>
      </c>
      <c r="AB652" t="s">
        <v>38</v>
      </c>
      <c r="AC652" t="s">
        <v>593</v>
      </c>
      <c r="AD652" t="s">
        <v>48</v>
      </c>
      <c r="AG652" t="str">
        <f>IF(AD652="United States", IFERROR(INDEX(Sheet2!$C:$C, MATCH(AE652&amp;AF652, Sheet2!$E:$E, 0)) &amp; ", " &amp; INDEX(Sheet2!$D:$D, MATCH(AE652&amp;AF652, Sheet2!$E:$E, 0)), ""), "-")</f>
        <v/>
      </c>
    </row>
    <row r="653" spans="1:33" x14ac:dyDescent="0.25">
      <c r="A653" t="s">
        <v>1113</v>
      </c>
      <c r="B653" t="s">
        <v>1470</v>
      </c>
      <c r="C653" t="s">
        <v>1115</v>
      </c>
      <c r="D653" t="s">
        <v>101</v>
      </c>
      <c r="E653" t="s">
        <v>1389</v>
      </c>
      <c r="F653">
        <v>1741</v>
      </c>
      <c r="G653">
        <v>1519</v>
      </c>
      <c r="H653" t="s">
        <v>1118</v>
      </c>
      <c r="I653" t="s">
        <v>80</v>
      </c>
      <c r="J653" t="s">
        <v>1119</v>
      </c>
      <c r="K653" t="s">
        <v>38</v>
      </c>
      <c r="L653" t="s">
        <v>38</v>
      </c>
      <c r="M653" t="s">
        <v>38</v>
      </c>
      <c r="N653" t="s">
        <v>38</v>
      </c>
      <c r="O653" t="s">
        <v>41</v>
      </c>
      <c r="P653" t="s">
        <v>42</v>
      </c>
      <c r="Q653" t="s">
        <v>43</v>
      </c>
      <c r="R653" t="s">
        <v>89</v>
      </c>
      <c r="S653" t="s">
        <v>45</v>
      </c>
      <c r="T653" t="s">
        <v>89</v>
      </c>
      <c r="U653" t="s">
        <v>301</v>
      </c>
      <c r="V653" t="s">
        <v>91</v>
      </c>
      <c r="W653" t="s">
        <v>92</v>
      </c>
      <c r="X653" t="s">
        <v>38</v>
      </c>
      <c r="Y653" t="s">
        <v>38</v>
      </c>
      <c r="Z653" t="s">
        <v>42</v>
      </c>
      <c r="AA653" t="s">
        <v>38</v>
      </c>
      <c r="AB653" t="s">
        <v>38</v>
      </c>
      <c r="AC653" t="s">
        <v>45</v>
      </c>
      <c r="AD653" t="s">
        <v>48</v>
      </c>
      <c r="AG653" t="str">
        <f>IF(AD653="United States", IFERROR(INDEX(Sheet2!$C:$C, MATCH(AE653&amp;AF653, Sheet2!$E:$E, 0)) &amp; ", " &amp; INDEX(Sheet2!$D:$D, MATCH(AE653&amp;AF653, Sheet2!$E:$E, 0)), ""), "-")</f>
        <v/>
      </c>
    </row>
    <row r="654" spans="1:33" x14ac:dyDescent="0.25">
      <c r="A654" t="s">
        <v>1113</v>
      </c>
      <c r="B654" t="s">
        <v>1471</v>
      </c>
      <c r="C654" t="s">
        <v>1115</v>
      </c>
      <c r="D654" t="s">
        <v>615</v>
      </c>
      <c r="E654" t="s">
        <v>1377</v>
      </c>
      <c r="F654">
        <v>1767</v>
      </c>
      <c r="G654">
        <v>1521</v>
      </c>
      <c r="H654" t="s">
        <v>1169</v>
      </c>
      <c r="I654" t="s">
        <v>80</v>
      </c>
      <c r="J654" t="s">
        <v>1119</v>
      </c>
      <c r="K654" t="s">
        <v>38</v>
      </c>
      <c r="L654" t="s">
        <v>38</v>
      </c>
      <c r="M654" t="s">
        <v>38</v>
      </c>
      <c r="N654" t="s">
        <v>38</v>
      </c>
      <c r="O654" t="s">
        <v>54</v>
      </c>
      <c r="P654" t="s">
        <v>42</v>
      </c>
      <c r="Q654" t="s">
        <v>43</v>
      </c>
      <c r="R654" t="s">
        <v>89</v>
      </c>
      <c r="S654" t="s">
        <v>45</v>
      </c>
      <c r="T654" t="s">
        <v>89</v>
      </c>
      <c r="U654" t="s">
        <v>301</v>
      </c>
      <c r="V654" t="s">
        <v>91</v>
      </c>
      <c r="W654" t="s">
        <v>92</v>
      </c>
      <c r="X654" t="s">
        <v>38</v>
      </c>
      <c r="Y654" t="s">
        <v>38</v>
      </c>
      <c r="Z654" t="s">
        <v>42</v>
      </c>
      <c r="AA654" t="s">
        <v>169</v>
      </c>
      <c r="AB654" t="s">
        <v>38</v>
      </c>
      <c r="AC654" t="s">
        <v>45</v>
      </c>
      <c r="AD654" t="s">
        <v>48</v>
      </c>
      <c r="AG654" t="str">
        <f>IF(AD654="United States", IFERROR(INDEX(Sheet2!$C:$C, MATCH(AE654&amp;AF654, Sheet2!$E:$E, 0)) &amp; ", " &amp; INDEX(Sheet2!$D:$D, MATCH(AE654&amp;AF654, Sheet2!$E:$E, 0)), ""), "-")</f>
        <v/>
      </c>
    </row>
    <row r="655" spans="1:33" x14ac:dyDescent="0.25">
      <c r="A655" t="s">
        <v>1113</v>
      </c>
      <c r="B655" t="s">
        <v>1260</v>
      </c>
      <c r="C655" t="s">
        <v>1115</v>
      </c>
      <c r="D655" t="s">
        <v>834</v>
      </c>
      <c r="E655" t="s">
        <v>1134</v>
      </c>
      <c r="F655">
        <v>1758</v>
      </c>
      <c r="G655">
        <v>1088</v>
      </c>
      <c r="H655" t="s">
        <v>1118</v>
      </c>
      <c r="I655" t="s">
        <v>80</v>
      </c>
      <c r="J655" t="s">
        <v>1119</v>
      </c>
      <c r="K655" t="s">
        <v>38</v>
      </c>
      <c r="L655" t="s">
        <v>38</v>
      </c>
      <c r="M655" t="s">
        <v>38</v>
      </c>
      <c r="N655" t="s">
        <v>38</v>
      </c>
      <c r="O655" t="s">
        <v>57</v>
      </c>
      <c r="P655" t="s">
        <v>42</v>
      </c>
      <c r="Q655" t="s">
        <v>43</v>
      </c>
      <c r="R655" t="s">
        <v>89</v>
      </c>
      <c r="S655" t="s">
        <v>201</v>
      </c>
      <c r="T655" t="s">
        <v>89</v>
      </c>
      <c r="U655" t="s">
        <v>301</v>
      </c>
      <c r="V655" t="s">
        <v>91</v>
      </c>
      <c r="W655" t="s">
        <v>92</v>
      </c>
      <c r="X655" t="s">
        <v>38</v>
      </c>
      <c r="Y655" t="s">
        <v>38</v>
      </c>
      <c r="Z655" t="s">
        <v>42</v>
      </c>
      <c r="AA655" t="s">
        <v>265</v>
      </c>
      <c r="AB655" t="s">
        <v>38</v>
      </c>
      <c r="AC655" t="s">
        <v>201</v>
      </c>
      <c r="AD655" t="s">
        <v>48</v>
      </c>
      <c r="AG655" t="str">
        <f>IF(AD655="United States", IFERROR(INDEX(Sheet2!$C:$C, MATCH(AE655&amp;AF655, Sheet2!$E:$E, 0)) &amp; ", " &amp; INDEX(Sheet2!$D:$D, MATCH(AE655&amp;AF655, Sheet2!$E:$E, 0)), ""), "-")</f>
        <v/>
      </c>
    </row>
    <row r="656" spans="1:33" x14ac:dyDescent="0.25">
      <c r="A656" t="s">
        <v>1113</v>
      </c>
      <c r="B656" t="s">
        <v>1277</v>
      </c>
      <c r="C656" t="s">
        <v>1115</v>
      </c>
      <c r="D656" t="s">
        <v>824</v>
      </c>
      <c r="E656" t="s">
        <v>1145</v>
      </c>
      <c r="F656">
        <v>1774</v>
      </c>
      <c r="G656">
        <v>1082</v>
      </c>
      <c r="H656" t="s">
        <v>1118</v>
      </c>
      <c r="I656" t="s">
        <v>80</v>
      </c>
      <c r="J656" t="s">
        <v>1119</v>
      </c>
      <c r="K656" t="s">
        <v>38</v>
      </c>
      <c r="L656" t="s">
        <v>38</v>
      </c>
      <c r="M656" t="s">
        <v>38</v>
      </c>
      <c r="N656" t="s">
        <v>38</v>
      </c>
      <c r="O656" t="s">
        <v>54</v>
      </c>
      <c r="P656" t="s">
        <v>42</v>
      </c>
      <c r="Q656" t="s">
        <v>43</v>
      </c>
      <c r="R656" t="s">
        <v>89</v>
      </c>
      <c r="S656" t="s">
        <v>45</v>
      </c>
      <c r="T656" t="s">
        <v>89</v>
      </c>
      <c r="U656" t="s">
        <v>301</v>
      </c>
      <c r="V656" t="s">
        <v>91</v>
      </c>
      <c r="W656" t="s">
        <v>92</v>
      </c>
      <c r="X656" t="s">
        <v>38</v>
      </c>
      <c r="Y656" t="s">
        <v>38</v>
      </c>
      <c r="Z656" t="s">
        <v>42</v>
      </c>
      <c r="AA656" t="s">
        <v>1135</v>
      </c>
      <c r="AB656" t="s">
        <v>38</v>
      </c>
      <c r="AC656" t="s">
        <v>45</v>
      </c>
      <c r="AD656" t="s">
        <v>48</v>
      </c>
      <c r="AG656" t="str">
        <f>IF(AD656="United States", IFERROR(INDEX(Sheet2!$C:$C, MATCH(AE656&amp;AF656, Sheet2!$E:$E, 0)) &amp; ", " &amp; INDEX(Sheet2!$D:$D, MATCH(AE656&amp;AF656, Sheet2!$E:$E, 0)), ""), "-")</f>
        <v/>
      </c>
    </row>
    <row r="657" spans="1:33" x14ac:dyDescent="0.25">
      <c r="A657" t="s">
        <v>1113</v>
      </c>
      <c r="B657" t="s">
        <v>1258</v>
      </c>
      <c r="C657" t="s">
        <v>1115</v>
      </c>
      <c r="D657" t="s">
        <v>226</v>
      </c>
      <c r="E657" t="s">
        <v>1259</v>
      </c>
      <c r="F657">
        <v>1780</v>
      </c>
      <c r="G657">
        <v>1090</v>
      </c>
      <c r="H657" t="s">
        <v>1118</v>
      </c>
      <c r="I657" t="s">
        <v>80</v>
      </c>
      <c r="J657" t="s">
        <v>1119</v>
      </c>
      <c r="K657" t="s">
        <v>38</v>
      </c>
      <c r="L657" t="s">
        <v>38</v>
      </c>
      <c r="M657" t="s">
        <v>38</v>
      </c>
      <c r="N657" t="s">
        <v>38</v>
      </c>
      <c r="O657" t="s">
        <v>54</v>
      </c>
      <c r="P657" t="s">
        <v>42</v>
      </c>
      <c r="Q657" t="s">
        <v>43</v>
      </c>
      <c r="R657" t="s">
        <v>89</v>
      </c>
      <c r="S657" t="s">
        <v>38</v>
      </c>
      <c r="T657" t="s">
        <v>89</v>
      </c>
      <c r="U657" t="s">
        <v>301</v>
      </c>
      <c r="V657" t="s">
        <v>91</v>
      </c>
      <c r="W657" t="s">
        <v>92</v>
      </c>
      <c r="X657" t="s">
        <v>38</v>
      </c>
      <c r="Y657" t="s">
        <v>38</v>
      </c>
      <c r="Z657" t="s">
        <v>42</v>
      </c>
      <c r="AA657" t="s">
        <v>38</v>
      </c>
      <c r="AB657" t="s">
        <v>38</v>
      </c>
      <c r="AC657" t="s">
        <v>38</v>
      </c>
      <c r="AD657" t="s">
        <v>48</v>
      </c>
      <c r="AG657" t="str">
        <f>IF(AD657="United States", IFERROR(INDEX(Sheet2!$C:$C, MATCH(AE657&amp;AF657, Sheet2!$E:$E, 0)) &amp; ", " &amp; INDEX(Sheet2!$D:$D, MATCH(AE657&amp;AF657, Sheet2!$E:$E, 0)), ""), "-")</f>
        <v/>
      </c>
    </row>
    <row r="658" spans="1:33" x14ac:dyDescent="0.25">
      <c r="A658" t="s">
        <v>1113</v>
      </c>
      <c r="B658" t="s">
        <v>1472</v>
      </c>
      <c r="C658" t="s">
        <v>1115</v>
      </c>
      <c r="D658" t="s">
        <v>352</v>
      </c>
      <c r="E658" t="s">
        <v>1473</v>
      </c>
      <c r="F658">
        <v>1757</v>
      </c>
      <c r="G658">
        <v>1414</v>
      </c>
      <c r="H658" t="s">
        <v>1118</v>
      </c>
      <c r="I658" t="s">
        <v>80</v>
      </c>
      <c r="J658" t="s">
        <v>1119</v>
      </c>
      <c r="K658" t="s">
        <v>38</v>
      </c>
      <c r="L658" t="s">
        <v>38</v>
      </c>
      <c r="M658" t="s">
        <v>38</v>
      </c>
      <c r="N658" t="s">
        <v>38</v>
      </c>
      <c r="O658" t="s">
        <v>57</v>
      </c>
      <c r="P658" t="s">
        <v>42</v>
      </c>
      <c r="Q658" t="s">
        <v>43</v>
      </c>
      <c r="R658" t="s">
        <v>89</v>
      </c>
      <c r="S658" t="s">
        <v>45</v>
      </c>
      <c r="T658" t="s">
        <v>89</v>
      </c>
      <c r="U658" t="s">
        <v>301</v>
      </c>
      <c r="V658" t="s">
        <v>91</v>
      </c>
      <c r="W658" t="s">
        <v>92</v>
      </c>
      <c r="X658" t="s">
        <v>38</v>
      </c>
      <c r="Y658" t="s">
        <v>38</v>
      </c>
      <c r="Z658" t="s">
        <v>42</v>
      </c>
      <c r="AA658" t="s">
        <v>241</v>
      </c>
      <c r="AB658" t="s">
        <v>38</v>
      </c>
      <c r="AC658" t="s">
        <v>45</v>
      </c>
      <c r="AD658" t="s">
        <v>48</v>
      </c>
      <c r="AG658" t="str">
        <f>IF(AD658="United States", IFERROR(INDEX(Sheet2!$C:$C, MATCH(AE658&amp;AF658, Sheet2!$E:$E, 0)) &amp; ", " &amp; INDEX(Sheet2!$D:$D, MATCH(AE658&amp;AF658, Sheet2!$E:$E, 0)), ""), "-")</f>
        <v/>
      </c>
    </row>
    <row r="659" spans="1:33" x14ac:dyDescent="0.25">
      <c r="A659" t="s">
        <v>1113</v>
      </c>
      <c r="B659" t="s">
        <v>1474</v>
      </c>
      <c r="C659" t="s">
        <v>1115</v>
      </c>
      <c r="D659" t="s">
        <v>140</v>
      </c>
      <c r="E659" t="s">
        <v>1473</v>
      </c>
      <c r="F659">
        <v>1775</v>
      </c>
      <c r="G659">
        <v>1415</v>
      </c>
      <c r="H659" t="s">
        <v>1131</v>
      </c>
      <c r="I659" t="s">
        <v>80</v>
      </c>
      <c r="J659" t="s">
        <v>1119</v>
      </c>
      <c r="K659" t="s">
        <v>38</v>
      </c>
      <c r="L659" t="s">
        <v>38</v>
      </c>
      <c r="M659" t="s">
        <v>38</v>
      </c>
      <c r="N659" t="s">
        <v>38</v>
      </c>
      <c r="O659" t="s">
        <v>54</v>
      </c>
      <c r="P659" t="s">
        <v>42</v>
      </c>
      <c r="Q659" t="s">
        <v>43</v>
      </c>
      <c r="R659" t="s">
        <v>89</v>
      </c>
      <c r="S659" t="s">
        <v>38</v>
      </c>
      <c r="T659" t="s">
        <v>89</v>
      </c>
      <c r="U659" t="s">
        <v>301</v>
      </c>
      <c r="V659" t="s">
        <v>91</v>
      </c>
      <c r="W659" t="s">
        <v>92</v>
      </c>
      <c r="X659" t="s">
        <v>38</v>
      </c>
      <c r="Y659" t="s">
        <v>38</v>
      </c>
      <c r="Z659" t="s">
        <v>42</v>
      </c>
      <c r="AA659" t="s">
        <v>38</v>
      </c>
      <c r="AB659" t="s">
        <v>38</v>
      </c>
      <c r="AC659" t="s">
        <v>38</v>
      </c>
      <c r="AD659" t="s">
        <v>48</v>
      </c>
      <c r="AG659" t="str">
        <f>IF(AD659="United States", IFERROR(INDEX(Sheet2!$C:$C, MATCH(AE659&amp;AF659, Sheet2!$E:$E, 0)) &amp; ", " &amp; INDEX(Sheet2!$D:$D, MATCH(AE659&amp;AF659, Sheet2!$E:$E, 0)), ""), "-")</f>
        <v/>
      </c>
    </row>
    <row r="660" spans="1:33" x14ac:dyDescent="0.25">
      <c r="A660" t="s">
        <v>1113</v>
      </c>
      <c r="B660" t="s">
        <v>1475</v>
      </c>
      <c r="C660" t="s">
        <v>1115</v>
      </c>
      <c r="D660" t="s">
        <v>190</v>
      </c>
      <c r="E660" t="s">
        <v>37</v>
      </c>
      <c r="F660">
        <v>1765</v>
      </c>
      <c r="G660">
        <v>1416</v>
      </c>
      <c r="H660" t="s">
        <v>1118</v>
      </c>
      <c r="I660" t="s">
        <v>80</v>
      </c>
      <c r="J660" t="s">
        <v>1119</v>
      </c>
      <c r="K660" t="s">
        <v>38</v>
      </c>
      <c r="L660" t="s">
        <v>38</v>
      </c>
      <c r="M660" t="s">
        <v>38</v>
      </c>
      <c r="N660" t="s">
        <v>38</v>
      </c>
      <c r="O660" t="s">
        <v>57</v>
      </c>
      <c r="P660" t="s">
        <v>42</v>
      </c>
      <c r="Q660" t="s">
        <v>43</v>
      </c>
      <c r="R660" t="s">
        <v>89</v>
      </c>
      <c r="S660" t="s">
        <v>45</v>
      </c>
      <c r="T660" t="s">
        <v>89</v>
      </c>
      <c r="U660" t="s">
        <v>301</v>
      </c>
      <c r="V660" t="s">
        <v>91</v>
      </c>
      <c r="W660" t="s">
        <v>92</v>
      </c>
      <c r="X660" t="s">
        <v>38</v>
      </c>
      <c r="Y660" t="s">
        <v>38</v>
      </c>
      <c r="Z660" t="s">
        <v>42</v>
      </c>
      <c r="AA660" t="s">
        <v>169</v>
      </c>
      <c r="AB660" t="s">
        <v>38</v>
      </c>
      <c r="AC660" t="s">
        <v>45</v>
      </c>
      <c r="AD660" t="s">
        <v>48</v>
      </c>
      <c r="AG660" t="str">
        <f>IF(AD660="United States", IFERROR(INDEX(Sheet2!$C:$C, MATCH(AE660&amp;AF660, Sheet2!$E:$E, 0)) &amp; ", " &amp; INDEX(Sheet2!$D:$D, MATCH(AE660&amp;AF660, Sheet2!$E:$E, 0)), ""), "-")</f>
        <v/>
      </c>
    </row>
    <row r="661" spans="1:33" x14ac:dyDescent="0.25">
      <c r="A661" t="s">
        <v>1113</v>
      </c>
      <c r="B661" t="s">
        <v>1476</v>
      </c>
      <c r="C661" t="s">
        <v>1115</v>
      </c>
      <c r="D661" t="s">
        <v>1477</v>
      </c>
      <c r="E661" t="s">
        <v>1139</v>
      </c>
      <c r="F661">
        <v>1782</v>
      </c>
      <c r="G661">
        <v>1417</v>
      </c>
      <c r="H661" t="s">
        <v>1131</v>
      </c>
      <c r="I661" t="s">
        <v>80</v>
      </c>
      <c r="J661" t="s">
        <v>1119</v>
      </c>
      <c r="K661" t="s">
        <v>38</v>
      </c>
      <c r="L661" t="s">
        <v>38</v>
      </c>
      <c r="M661" t="s">
        <v>38</v>
      </c>
      <c r="N661" t="s">
        <v>38</v>
      </c>
      <c r="O661" t="s">
        <v>54</v>
      </c>
      <c r="P661" t="s">
        <v>42</v>
      </c>
      <c r="Q661" t="s">
        <v>43</v>
      </c>
      <c r="R661" t="s">
        <v>89</v>
      </c>
      <c r="S661" t="s">
        <v>38</v>
      </c>
      <c r="T661" t="s">
        <v>89</v>
      </c>
      <c r="U661" t="s">
        <v>301</v>
      </c>
      <c r="V661" t="s">
        <v>91</v>
      </c>
      <c r="W661" t="s">
        <v>92</v>
      </c>
      <c r="X661" t="s">
        <v>38</v>
      </c>
      <c r="Y661" t="s">
        <v>38</v>
      </c>
      <c r="Z661" t="s">
        <v>42</v>
      </c>
      <c r="AA661" t="s">
        <v>38</v>
      </c>
      <c r="AB661" t="s">
        <v>38</v>
      </c>
      <c r="AC661" t="s">
        <v>38</v>
      </c>
      <c r="AD661" t="s">
        <v>48</v>
      </c>
      <c r="AG661" t="str">
        <f>IF(AD661="United States", IFERROR(INDEX(Sheet2!$C:$C, MATCH(AE661&amp;AF661, Sheet2!$E:$E, 0)) &amp; ", " &amp; INDEX(Sheet2!$D:$D, MATCH(AE661&amp;AF661, Sheet2!$E:$E, 0)), ""), "-")</f>
        <v/>
      </c>
    </row>
    <row r="662" spans="1:33" x14ac:dyDescent="0.25">
      <c r="A662" t="s">
        <v>1113</v>
      </c>
      <c r="B662" t="s">
        <v>1478</v>
      </c>
      <c r="C662" t="s">
        <v>1115</v>
      </c>
      <c r="D662" t="s">
        <v>36</v>
      </c>
      <c r="E662" t="s">
        <v>1479</v>
      </c>
      <c r="F662">
        <v>1753</v>
      </c>
      <c r="G662">
        <v>1418</v>
      </c>
      <c r="H662" t="s">
        <v>1118</v>
      </c>
      <c r="I662" t="s">
        <v>80</v>
      </c>
      <c r="J662" t="s">
        <v>1119</v>
      </c>
      <c r="K662" t="s">
        <v>38</v>
      </c>
      <c r="L662" t="s">
        <v>38</v>
      </c>
      <c r="M662" t="s">
        <v>38</v>
      </c>
      <c r="N662" t="s">
        <v>38</v>
      </c>
      <c r="O662" t="s">
        <v>41</v>
      </c>
      <c r="P662" t="s">
        <v>42</v>
      </c>
      <c r="Q662" t="s">
        <v>43</v>
      </c>
      <c r="R662" t="s">
        <v>89</v>
      </c>
      <c r="S662" t="s">
        <v>201</v>
      </c>
      <c r="T662" t="s">
        <v>89</v>
      </c>
      <c r="U662" t="s">
        <v>301</v>
      </c>
      <c r="V662" t="s">
        <v>91</v>
      </c>
      <c r="W662" t="s">
        <v>92</v>
      </c>
      <c r="X662" t="s">
        <v>38</v>
      </c>
      <c r="Y662" t="s">
        <v>38</v>
      </c>
      <c r="Z662" t="s">
        <v>42</v>
      </c>
      <c r="AA662" t="s">
        <v>38</v>
      </c>
      <c r="AB662" t="s">
        <v>38</v>
      </c>
      <c r="AC662" t="s">
        <v>201</v>
      </c>
      <c r="AD662" t="s">
        <v>48</v>
      </c>
      <c r="AG662" t="str">
        <f>IF(AD662="United States", IFERROR(INDEX(Sheet2!$C:$C, MATCH(AE662&amp;AF662, Sheet2!$E:$E, 0)) &amp; ", " &amp; INDEX(Sheet2!$D:$D, MATCH(AE662&amp;AF662, Sheet2!$E:$E, 0)), ""), "-")</f>
        <v/>
      </c>
    </row>
    <row r="663" spans="1:33" x14ac:dyDescent="0.25">
      <c r="A663" t="s">
        <v>1113</v>
      </c>
      <c r="B663" t="s">
        <v>1480</v>
      </c>
      <c r="C663" t="s">
        <v>1115</v>
      </c>
      <c r="D663" t="s">
        <v>245</v>
      </c>
      <c r="E663" t="s">
        <v>37</v>
      </c>
      <c r="F663">
        <v>1739</v>
      </c>
      <c r="G663">
        <v>1419</v>
      </c>
      <c r="H663" t="s">
        <v>1118</v>
      </c>
      <c r="I663" t="s">
        <v>80</v>
      </c>
      <c r="J663" t="s">
        <v>1119</v>
      </c>
      <c r="K663" t="s">
        <v>38</v>
      </c>
      <c r="L663" t="s">
        <v>38</v>
      </c>
      <c r="M663" t="s">
        <v>38</v>
      </c>
      <c r="N663" t="s">
        <v>38</v>
      </c>
      <c r="O663" t="s">
        <v>57</v>
      </c>
      <c r="P663" t="s">
        <v>42</v>
      </c>
      <c r="Q663" t="s">
        <v>43</v>
      </c>
      <c r="R663" t="s">
        <v>89</v>
      </c>
      <c r="S663" t="s">
        <v>45</v>
      </c>
      <c r="T663" t="s">
        <v>89</v>
      </c>
      <c r="U663" t="s">
        <v>301</v>
      </c>
      <c r="V663" t="s">
        <v>91</v>
      </c>
      <c r="W663" t="s">
        <v>92</v>
      </c>
      <c r="X663" t="s">
        <v>38</v>
      </c>
      <c r="Y663" t="s">
        <v>38</v>
      </c>
      <c r="Z663" t="s">
        <v>42</v>
      </c>
      <c r="AA663" t="s">
        <v>169</v>
      </c>
      <c r="AB663" t="s">
        <v>38</v>
      </c>
      <c r="AC663" t="s">
        <v>45</v>
      </c>
      <c r="AD663" t="s">
        <v>48</v>
      </c>
      <c r="AG663" t="str">
        <f>IF(AD663="United States", IFERROR(INDEX(Sheet2!$C:$C, MATCH(AE663&amp;AF663, Sheet2!$E:$E, 0)) &amp; ", " &amp; INDEX(Sheet2!$D:$D, MATCH(AE663&amp;AF663, Sheet2!$E:$E, 0)), ""), "-")</f>
        <v/>
      </c>
    </row>
    <row r="664" spans="1:33" x14ac:dyDescent="0.25">
      <c r="A664" t="s">
        <v>1113</v>
      </c>
      <c r="B664" t="s">
        <v>1481</v>
      </c>
      <c r="C664" t="s">
        <v>1115</v>
      </c>
      <c r="D664" t="s">
        <v>72</v>
      </c>
      <c r="E664" t="s">
        <v>37</v>
      </c>
      <c r="F664">
        <v>1770</v>
      </c>
      <c r="G664">
        <v>1420</v>
      </c>
      <c r="H664" t="s">
        <v>1118</v>
      </c>
      <c r="I664" t="s">
        <v>80</v>
      </c>
      <c r="J664" t="s">
        <v>1119</v>
      </c>
      <c r="K664" t="s">
        <v>38</v>
      </c>
      <c r="L664" t="s">
        <v>38</v>
      </c>
      <c r="M664" t="s">
        <v>38</v>
      </c>
      <c r="N664" t="s">
        <v>38</v>
      </c>
      <c r="O664" t="s">
        <v>74</v>
      </c>
      <c r="P664" t="s">
        <v>42</v>
      </c>
      <c r="Q664" t="s">
        <v>43</v>
      </c>
      <c r="R664" t="s">
        <v>89</v>
      </c>
      <c r="S664" t="s">
        <v>45</v>
      </c>
      <c r="T664" t="s">
        <v>89</v>
      </c>
      <c r="U664" t="s">
        <v>301</v>
      </c>
      <c r="V664" t="s">
        <v>91</v>
      </c>
      <c r="W664" t="s">
        <v>92</v>
      </c>
      <c r="X664" t="s">
        <v>38</v>
      </c>
      <c r="Y664" t="s">
        <v>38</v>
      </c>
      <c r="Z664" t="s">
        <v>42</v>
      </c>
      <c r="AA664" t="s">
        <v>169</v>
      </c>
      <c r="AB664" t="s">
        <v>38</v>
      </c>
      <c r="AC664" t="s">
        <v>45</v>
      </c>
      <c r="AD664" t="s">
        <v>48</v>
      </c>
      <c r="AG664" t="str">
        <f>IF(AD664="United States", IFERROR(INDEX(Sheet2!$C:$C, MATCH(AE664&amp;AF664, Sheet2!$E:$E, 0)) &amp; ", " &amp; INDEX(Sheet2!$D:$D, MATCH(AE664&amp;AF664, Sheet2!$E:$E, 0)), ""), "-")</f>
        <v/>
      </c>
    </row>
    <row r="665" spans="1:33" x14ac:dyDescent="0.25">
      <c r="A665" t="s">
        <v>1113</v>
      </c>
      <c r="B665" t="s">
        <v>1482</v>
      </c>
      <c r="C665" t="s">
        <v>1115</v>
      </c>
      <c r="D665" t="s">
        <v>837</v>
      </c>
      <c r="E665" t="s">
        <v>37</v>
      </c>
      <c r="F665">
        <v>1771</v>
      </c>
      <c r="G665">
        <v>1421</v>
      </c>
      <c r="H665" t="s">
        <v>1169</v>
      </c>
      <c r="I665" t="s">
        <v>80</v>
      </c>
      <c r="J665" t="s">
        <v>1119</v>
      </c>
      <c r="K665" t="s">
        <v>38</v>
      </c>
      <c r="L665" t="s">
        <v>38</v>
      </c>
      <c r="M665" t="s">
        <v>38</v>
      </c>
      <c r="N665" t="s">
        <v>38</v>
      </c>
      <c r="O665" t="s">
        <v>54</v>
      </c>
      <c r="P665" t="s">
        <v>42</v>
      </c>
      <c r="Q665" t="s">
        <v>43</v>
      </c>
      <c r="R665" t="s">
        <v>89</v>
      </c>
      <c r="S665" t="s">
        <v>45</v>
      </c>
      <c r="T665" t="s">
        <v>89</v>
      </c>
      <c r="U665" t="s">
        <v>301</v>
      </c>
      <c r="V665" t="s">
        <v>91</v>
      </c>
      <c r="W665" t="s">
        <v>92</v>
      </c>
      <c r="X665" t="s">
        <v>38</v>
      </c>
      <c r="Y665" t="s">
        <v>38</v>
      </c>
      <c r="Z665" t="s">
        <v>42</v>
      </c>
      <c r="AA665" t="s">
        <v>169</v>
      </c>
      <c r="AB665" t="s">
        <v>38</v>
      </c>
      <c r="AC665" t="s">
        <v>45</v>
      </c>
      <c r="AD665" t="s">
        <v>48</v>
      </c>
      <c r="AG665" t="str">
        <f>IF(AD665="United States", IFERROR(INDEX(Sheet2!$C:$C, MATCH(AE665&amp;AF665, Sheet2!$E:$E, 0)) &amp; ", " &amp; INDEX(Sheet2!$D:$D, MATCH(AE665&amp;AF665, Sheet2!$E:$E, 0)), ""), "-")</f>
        <v/>
      </c>
    </row>
    <row r="666" spans="1:33" x14ac:dyDescent="0.25">
      <c r="A666" t="s">
        <v>1113</v>
      </c>
      <c r="B666" t="s">
        <v>1483</v>
      </c>
      <c r="C666" t="s">
        <v>1115</v>
      </c>
      <c r="D666" t="s">
        <v>1168</v>
      </c>
      <c r="E666" t="s">
        <v>37</v>
      </c>
      <c r="F666">
        <v>1776</v>
      </c>
      <c r="G666">
        <v>1422</v>
      </c>
      <c r="H666" t="s">
        <v>1169</v>
      </c>
      <c r="I666" t="s">
        <v>80</v>
      </c>
      <c r="J666" t="s">
        <v>1119</v>
      </c>
      <c r="K666" t="s">
        <v>38</v>
      </c>
      <c r="L666" t="s">
        <v>38</v>
      </c>
      <c r="M666" t="s">
        <v>38</v>
      </c>
      <c r="N666" t="s">
        <v>38</v>
      </c>
      <c r="O666" t="s">
        <v>74</v>
      </c>
      <c r="P666" t="s">
        <v>42</v>
      </c>
      <c r="Q666" t="s">
        <v>43</v>
      </c>
      <c r="R666" t="s">
        <v>89</v>
      </c>
      <c r="S666" t="s">
        <v>45</v>
      </c>
      <c r="T666" t="s">
        <v>89</v>
      </c>
      <c r="U666" t="s">
        <v>301</v>
      </c>
      <c r="V666" t="s">
        <v>91</v>
      </c>
      <c r="W666" t="s">
        <v>92</v>
      </c>
      <c r="X666" t="s">
        <v>38</v>
      </c>
      <c r="Y666" t="s">
        <v>38</v>
      </c>
      <c r="Z666" t="s">
        <v>42</v>
      </c>
      <c r="AA666" t="s">
        <v>169</v>
      </c>
      <c r="AB666" t="s">
        <v>38</v>
      </c>
      <c r="AC666" t="s">
        <v>45</v>
      </c>
      <c r="AD666" t="s">
        <v>48</v>
      </c>
      <c r="AG666" t="str">
        <f>IF(AD666="United States", IFERROR(INDEX(Sheet2!$C:$C, MATCH(AE666&amp;AF666, Sheet2!$E:$E, 0)) &amp; ", " &amp; INDEX(Sheet2!$D:$D, MATCH(AE666&amp;AF666, Sheet2!$E:$E, 0)), ""), "-")</f>
        <v/>
      </c>
    </row>
    <row r="667" spans="1:33" x14ac:dyDescent="0.25">
      <c r="A667" t="s">
        <v>1113</v>
      </c>
      <c r="B667" t="s">
        <v>1484</v>
      </c>
      <c r="C667" t="s">
        <v>1115</v>
      </c>
      <c r="D667" t="s">
        <v>1382</v>
      </c>
      <c r="E667" t="s">
        <v>37</v>
      </c>
      <c r="F667">
        <v>1765</v>
      </c>
      <c r="G667">
        <v>1423</v>
      </c>
      <c r="H667" t="s">
        <v>1371</v>
      </c>
      <c r="I667" t="s">
        <v>80</v>
      </c>
      <c r="J667" t="s">
        <v>1119</v>
      </c>
      <c r="K667" t="s">
        <v>38</v>
      </c>
      <c r="L667" t="s">
        <v>38</v>
      </c>
      <c r="M667" t="s">
        <v>38</v>
      </c>
      <c r="N667" t="s">
        <v>38</v>
      </c>
      <c r="O667" t="s">
        <v>74</v>
      </c>
      <c r="P667" t="s">
        <v>42</v>
      </c>
      <c r="Q667" t="s">
        <v>43</v>
      </c>
      <c r="R667" t="s">
        <v>89</v>
      </c>
      <c r="S667" t="s">
        <v>38</v>
      </c>
      <c r="T667" t="s">
        <v>89</v>
      </c>
      <c r="U667" t="s">
        <v>301</v>
      </c>
      <c r="V667" t="s">
        <v>91</v>
      </c>
      <c r="W667" t="s">
        <v>92</v>
      </c>
      <c r="X667" t="s">
        <v>38</v>
      </c>
      <c r="Y667" t="s">
        <v>38</v>
      </c>
      <c r="Z667" t="s">
        <v>42</v>
      </c>
      <c r="AA667" t="s">
        <v>38</v>
      </c>
      <c r="AB667" t="s">
        <v>38</v>
      </c>
      <c r="AC667" t="s">
        <v>1485</v>
      </c>
      <c r="AD667" t="s">
        <v>48</v>
      </c>
      <c r="AG667" t="str">
        <f>IF(AD667="United States", IFERROR(INDEX(Sheet2!$C:$C, MATCH(AE667&amp;AF667, Sheet2!$E:$E, 0)) &amp; ", " &amp; INDEX(Sheet2!$D:$D, MATCH(AE667&amp;AF667, Sheet2!$E:$E, 0)), ""), "-")</f>
        <v/>
      </c>
    </row>
    <row r="668" spans="1:33" x14ac:dyDescent="0.25">
      <c r="A668" t="s">
        <v>1113</v>
      </c>
      <c r="B668" t="s">
        <v>1486</v>
      </c>
      <c r="C668" t="s">
        <v>1115</v>
      </c>
      <c r="D668" t="s">
        <v>1099</v>
      </c>
      <c r="E668" t="s">
        <v>37</v>
      </c>
      <c r="F668">
        <v>1777</v>
      </c>
      <c r="G668">
        <v>1424</v>
      </c>
      <c r="H668" t="s">
        <v>1131</v>
      </c>
      <c r="I668" t="s">
        <v>80</v>
      </c>
      <c r="J668" t="s">
        <v>1119</v>
      </c>
      <c r="K668" t="s">
        <v>38</v>
      </c>
      <c r="L668" t="s">
        <v>38</v>
      </c>
      <c r="M668" t="s">
        <v>38</v>
      </c>
      <c r="N668" t="s">
        <v>38</v>
      </c>
      <c r="O668" t="s">
        <v>74</v>
      </c>
      <c r="P668" t="s">
        <v>42</v>
      </c>
      <c r="Q668" t="s">
        <v>43</v>
      </c>
      <c r="R668" t="s">
        <v>89</v>
      </c>
      <c r="S668" t="s">
        <v>38</v>
      </c>
      <c r="T668" t="s">
        <v>89</v>
      </c>
      <c r="U668" t="s">
        <v>301</v>
      </c>
      <c r="V668" t="s">
        <v>91</v>
      </c>
      <c r="W668" t="s">
        <v>92</v>
      </c>
      <c r="X668" t="s">
        <v>38</v>
      </c>
      <c r="Y668" t="s">
        <v>38</v>
      </c>
      <c r="Z668" t="s">
        <v>42</v>
      </c>
      <c r="AA668" t="s">
        <v>38</v>
      </c>
      <c r="AB668" t="s">
        <v>38</v>
      </c>
      <c r="AC668" t="s">
        <v>1485</v>
      </c>
      <c r="AD668" t="s">
        <v>48</v>
      </c>
      <c r="AG668" t="str">
        <f>IF(AD668="United States", IFERROR(INDEX(Sheet2!$C:$C, MATCH(AE668&amp;AF668, Sheet2!$E:$E, 0)) &amp; ", " &amp; INDEX(Sheet2!$D:$D, MATCH(AE668&amp;AF668, Sheet2!$E:$E, 0)), ""), "-")</f>
        <v/>
      </c>
    </row>
    <row r="669" spans="1:33" x14ac:dyDescent="0.25">
      <c r="A669" t="s">
        <v>1113</v>
      </c>
      <c r="B669" t="s">
        <v>1487</v>
      </c>
      <c r="C669" t="s">
        <v>1115</v>
      </c>
      <c r="D669" t="s">
        <v>1310</v>
      </c>
      <c r="E669" t="s">
        <v>1130</v>
      </c>
      <c r="F669">
        <v>1755</v>
      </c>
      <c r="G669">
        <v>1425</v>
      </c>
      <c r="H669" t="s">
        <v>1169</v>
      </c>
      <c r="I669" t="s">
        <v>80</v>
      </c>
      <c r="J669" t="s">
        <v>1119</v>
      </c>
      <c r="K669" t="s">
        <v>38</v>
      </c>
      <c r="L669" t="s">
        <v>38</v>
      </c>
      <c r="M669" t="s">
        <v>38</v>
      </c>
      <c r="N669" t="s">
        <v>38</v>
      </c>
      <c r="O669" t="s">
        <v>41</v>
      </c>
      <c r="P669" t="s">
        <v>42</v>
      </c>
      <c r="Q669" t="s">
        <v>43</v>
      </c>
      <c r="R669" t="s">
        <v>89</v>
      </c>
      <c r="S669" t="s">
        <v>45</v>
      </c>
      <c r="T669" t="s">
        <v>89</v>
      </c>
      <c r="U669" t="s">
        <v>301</v>
      </c>
      <c r="V669" t="s">
        <v>91</v>
      </c>
      <c r="W669" t="s">
        <v>92</v>
      </c>
      <c r="X669" t="s">
        <v>38</v>
      </c>
      <c r="Y669" t="s">
        <v>38</v>
      </c>
      <c r="Z669" t="s">
        <v>42</v>
      </c>
      <c r="AA669" t="s">
        <v>1488</v>
      </c>
      <c r="AB669" t="s">
        <v>38</v>
      </c>
      <c r="AC669" t="s">
        <v>45</v>
      </c>
      <c r="AD669" t="s">
        <v>48</v>
      </c>
      <c r="AG669" t="str">
        <f>IF(AD669="United States", IFERROR(INDEX(Sheet2!$C:$C, MATCH(AE669&amp;AF669, Sheet2!$E:$E, 0)) &amp; ", " &amp; INDEX(Sheet2!$D:$D, MATCH(AE669&amp;AF669, Sheet2!$E:$E, 0)), ""), "-")</f>
        <v/>
      </c>
    </row>
    <row r="670" spans="1:33" x14ac:dyDescent="0.25">
      <c r="A670" t="s">
        <v>1113</v>
      </c>
      <c r="B670" t="s">
        <v>1489</v>
      </c>
      <c r="C670" t="s">
        <v>1115</v>
      </c>
      <c r="D670" t="s">
        <v>50</v>
      </c>
      <c r="E670" t="s">
        <v>1123</v>
      </c>
      <c r="F670">
        <v>1781</v>
      </c>
      <c r="G670">
        <v>1413</v>
      </c>
      <c r="H670" t="s">
        <v>1131</v>
      </c>
      <c r="I670" t="s">
        <v>80</v>
      </c>
      <c r="J670" t="s">
        <v>1119</v>
      </c>
      <c r="K670" t="s">
        <v>38</v>
      </c>
      <c r="L670" t="s">
        <v>38</v>
      </c>
      <c r="M670" t="s">
        <v>38</v>
      </c>
      <c r="N670" t="s">
        <v>38</v>
      </c>
      <c r="O670" t="s">
        <v>54</v>
      </c>
      <c r="P670" t="s">
        <v>42</v>
      </c>
      <c r="Q670" t="s">
        <v>43</v>
      </c>
      <c r="R670" t="s">
        <v>89</v>
      </c>
      <c r="S670" t="s">
        <v>38</v>
      </c>
      <c r="T670" t="s">
        <v>89</v>
      </c>
      <c r="U670" t="s">
        <v>301</v>
      </c>
      <c r="V670" t="s">
        <v>91</v>
      </c>
      <c r="W670" t="s">
        <v>92</v>
      </c>
      <c r="X670" t="s">
        <v>38</v>
      </c>
      <c r="Y670" t="s">
        <v>38</v>
      </c>
      <c r="Z670" t="s">
        <v>42</v>
      </c>
      <c r="AA670" t="s">
        <v>38</v>
      </c>
      <c r="AB670" t="s">
        <v>38</v>
      </c>
      <c r="AC670" t="s">
        <v>38</v>
      </c>
      <c r="AD670" t="s">
        <v>48</v>
      </c>
      <c r="AG670" t="str">
        <f>IF(AD670="United States", IFERROR(INDEX(Sheet2!$C:$C, MATCH(AE670&amp;AF670, Sheet2!$E:$E, 0)) &amp; ", " &amp; INDEX(Sheet2!$D:$D, MATCH(AE670&amp;AF670, Sheet2!$E:$E, 0)), ""), "-")</f>
        <v/>
      </c>
    </row>
    <row r="671" spans="1:33" x14ac:dyDescent="0.25">
      <c r="A671" t="s">
        <v>1113</v>
      </c>
      <c r="B671" t="s">
        <v>1490</v>
      </c>
      <c r="C671" t="s">
        <v>1115</v>
      </c>
      <c r="D671" t="s">
        <v>1491</v>
      </c>
      <c r="E671" t="s">
        <v>1492</v>
      </c>
      <c r="F671">
        <v>1755</v>
      </c>
      <c r="G671">
        <v>1426</v>
      </c>
      <c r="H671" t="s">
        <v>1169</v>
      </c>
      <c r="I671" t="s">
        <v>80</v>
      </c>
      <c r="J671" t="s">
        <v>1119</v>
      </c>
      <c r="K671" t="s">
        <v>38</v>
      </c>
      <c r="L671" t="s">
        <v>38</v>
      </c>
      <c r="M671" t="s">
        <v>38</v>
      </c>
      <c r="N671" t="s">
        <v>38</v>
      </c>
      <c r="O671" t="s">
        <v>41</v>
      </c>
      <c r="P671" t="s">
        <v>42</v>
      </c>
      <c r="Q671" t="s">
        <v>43</v>
      </c>
      <c r="R671" t="s">
        <v>89</v>
      </c>
      <c r="S671" t="s">
        <v>45</v>
      </c>
      <c r="T671" t="s">
        <v>89</v>
      </c>
      <c r="U671" t="s">
        <v>301</v>
      </c>
      <c r="V671" t="s">
        <v>91</v>
      </c>
      <c r="W671" t="s">
        <v>92</v>
      </c>
      <c r="X671" t="s">
        <v>38</v>
      </c>
      <c r="Y671" t="s">
        <v>38</v>
      </c>
      <c r="Z671" t="s">
        <v>42</v>
      </c>
      <c r="AA671" t="s">
        <v>169</v>
      </c>
      <c r="AB671" t="s">
        <v>38</v>
      </c>
      <c r="AC671" t="s">
        <v>45</v>
      </c>
      <c r="AD671" t="s">
        <v>48</v>
      </c>
      <c r="AG671" t="str">
        <f>IF(AD671="United States", IFERROR(INDEX(Sheet2!$C:$C, MATCH(AE671&amp;AF671, Sheet2!$E:$E, 0)) &amp; ", " &amp; INDEX(Sheet2!$D:$D, MATCH(AE671&amp;AF671, Sheet2!$E:$E, 0)), ""), "-")</f>
        <v/>
      </c>
    </row>
    <row r="672" spans="1:33" x14ac:dyDescent="0.25">
      <c r="A672" t="s">
        <v>1113</v>
      </c>
      <c r="B672" t="s">
        <v>1493</v>
      </c>
      <c r="C672" t="s">
        <v>1115</v>
      </c>
      <c r="D672" t="s">
        <v>1494</v>
      </c>
      <c r="E672" t="s">
        <v>38</v>
      </c>
      <c r="F672">
        <v>1766</v>
      </c>
      <c r="G672">
        <v>1428</v>
      </c>
      <c r="H672" t="s">
        <v>1169</v>
      </c>
      <c r="I672" t="s">
        <v>80</v>
      </c>
      <c r="J672" t="s">
        <v>1119</v>
      </c>
      <c r="K672" t="s">
        <v>38</v>
      </c>
      <c r="L672" t="s">
        <v>38</v>
      </c>
      <c r="M672" t="s">
        <v>38</v>
      </c>
      <c r="N672" t="s">
        <v>38</v>
      </c>
      <c r="O672" t="s">
        <v>74</v>
      </c>
      <c r="P672" t="s">
        <v>42</v>
      </c>
      <c r="Q672" t="s">
        <v>43</v>
      </c>
      <c r="R672" t="s">
        <v>89</v>
      </c>
      <c r="S672" t="s">
        <v>45</v>
      </c>
      <c r="T672" t="s">
        <v>89</v>
      </c>
      <c r="U672" t="s">
        <v>301</v>
      </c>
      <c r="V672" t="s">
        <v>91</v>
      </c>
      <c r="W672" t="s">
        <v>92</v>
      </c>
      <c r="X672" t="s">
        <v>38</v>
      </c>
      <c r="Y672" t="s">
        <v>38</v>
      </c>
      <c r="Z672" t="s">
        <v>42</v>
      </c>
      <c r="AA672" t="s">
        <v>169</v>
      </c>
      <c r="AB672" t="s">
        <v>38</v>
      </c>
      <c r="AC672" t="s">
        <v>45</v>
      </c>
      <c r="AD672" t="s">
        <v>48</v>
      </c>
      <c r="AG672" t="str">
        <f>IF(AD672="United States", IFERROR(INDEX(Sheet2!$C:$C, MATCH(AE672&amp;AF672, Sheet2!$E:$E, 0)) &amp; ", " &amp; INDEX(Sheet2!$D:$D, MATCH(AE672&amp;AF672, Sheet2!$E:$E, 0)), ""), "-")</f>
        <v/>
      </c>
    </row>
    <row r="673" spans="1:33" x14ac:dyDescent="0.25">
      <c r="A673" t="s">
        <v>1113</v>
      </c>
      <c r="B673" t="s">
        <v>1495</v>
      </c>
      <c r="C673" t="s">
        <v>1115</v>
      </c>
      <c r="D673" t="s">
        <v>406</v>
      </c>
      <c r="E673" t="s">
        <v>1496</v>
      </c>
      <c r="F673">
        <v>1766</v>
      </c>
      <c r="G673">
        <v>1429</v>
      </c>
      <c r="H673" t="s">
        <v>1169</v>
      </c>
      <c r="I673" t="s">
        <v>80</v>
      </c>
      <c r="J673" t="s">
        <v>1119</v>
      </c>
      <c r="K673" t="s">
        <v>38</v>
      </c>
      <c r="L673" t="s">
        <v>38</v>
      </c>
      <c r="M673" t="s">
        <v>38</v>
      </c>
      <c r="N673" t="s">
        <v>38</v>
      </c>
      <c r="O673" t="s">
        <v>54</v>
      </c>
      <c r="P673" t="s">
        <v>42</v>
      </c>
      <c r="Q673" t="s">
        <v>43</v>
      </c>
      <c r="R673" t="s">
        <v>89</v>
      </c>
      <c r="S673" t="s">
        <v>45</v>
      </c>
      <c r="T673" t="s">
        <v>89</v>
      </c>
      <c r="U673" t="s">
        <v>301</v>
      </c>
      <c r="V673" t="s">
        <v>91</v>
      </c>
      <c r="W673" t="s">
        <v>92</v>
      </c>
      <c r="X673" t="s">
        <v>38</v>
      </c>
      <c r="Y673" t="s">
        <v>38</v>
      </c>
      <c r="Z673" t="s">
        <v>42</v>
      </c>
      <c r="AA673" t="s">
        <v>169</v>
      </c>
      <c r="AB673" t="s">
        <v>38</v>
      </c>
      <c r="AC673" t="s">
        <v>45</v>
      </c>
      <c r="AD673" t="s">
        <v>48</v>
      </c>
      <c r="AG673" t="str">
        <f>IF(AD673="United States", IFERROR(INDEX(Sheet2!$C:$C, MATCH(AE673&amp;AF673, Sheet2!$E:$E, 0)) &amp; ", " &amp; INDEX(Sheet2!$D:$D, MATCH(AE673&amp;AF673, Sheet2!$E:$E, 0)), ""), "-")</f>
        <v/>
      </c>
    </row>
    <row r="674" spans="1:33" x14ac:dyDescent="0.25">
      <c r="A674" t="s">
        <v>1113</v>
      </c>
      <c r="B674" t="s">
        <v>1497</v>
      </c>
      <c r="C674" t="s">
        <v>1115</v>
      </c>
      <c r="D674" t="s">
        <v>226</v>
      </c>
      <c r="E674" t="s">
        <v>1498</v>
      </c>
      <c r="F674">
        <v>1757</v>
      </c>
      <c r="G674">
        <v>1430</v>
      </c>
      <c r="H674" t="s">
        <v>1118</v>
      </c>
      <c r="I674" t="s">
        <v>80</v>
      </c>
      <c r="J674" t="s">
        <v>1119</v>
      </c>
      <c r="K674" t="s">
        <v>38</v>
      </c>
      <c r="L674" t="s">
        <v>38</v>
      </c>
      <c r="M674" t="s">
        <v>38</v>
      </c>
      <c r="N674" t="s">
        <v>38</v>
      </c>
      <c r="O674" t="s">
        <v>41</v>
      </c>
      <c r="P674" t="s">
        <v>42</v>
      </c>
      <c r="Q674" t="s">
        <v>43</v>
      </c>
      <c r="R674" t="s">
        <v>89</v>
      </c>
      <c r="S674" t="s">
        <v>153</v>
      </c>
      <c r="T674" t="s">
        <v>89</v>
      </c>
      <c r="U674" t="s">
        <v>301</v>
      </c>
      <c r="V674" t="s">
        <v>91</v>
      </c>
      <c r="W674" t="s">
        <v>92</v>
      </c>
      <c r="X674" t="s">
        <v>38</v>
      </c>
      <c r="Y674" t="s">
        <v>38</v>
      </c>
      <c r="Z674" t="s">
        <v>42</v>
      </c>
      <c r="AA674" t="s">
        <v>38</v>
      </c>
      <c r="AB674" t="s">
        <v>38</v>
      </c>
      <c r="AC674" t="s">
        <v>153</v>
      </c>
      <c r="AD674" t="s">
        <v>48</v>
      </c>
      <c r="AG674" t="str">
        <f>IF(AD674="United States", IFERROR(INDEX(Sheet2!$C:$C, MATCH(AE674&amp;AF674, Sheet2!$E:$E, 0)) &amp; ", " &amp; INDEX(Sheet2!$D:$D, MATCH(AE674&amp;AF674, Sheet2!$E:$E, 0)), ""), "-")</f>
        <v/>
      </c>
    </row>
    <row r="675" spans="1:33" x14ac:dyDescent="0.25">
      <c r="A675" t="s">
        <v>1113</v>
      </c>
      <c r="B675" t="s">
        <v>1499</v>
      </c>
      <c r="C675" t="s">
        <v>1115</v>
      </c>
      <c r="D675" t="s">
        <v>101</v>
      </c>
      <c r="E675" t="s">
        <v>1498</v>
      </c>
      <c r="F675">
        <v>1761</v>
      </c>
      <c r="G675">
        <v>1431</v>
      </c>
      <c r="H675" t="s">
        <v>1118</v>
      </c>
      <c r="I675" t="s">
        <v>80</v>
      </c>
      <c r="J675" t="s">
        <v>1119</v>
      </c>
      <c r="K675" t="s">
        <v>38</v>
      </c>
      <c r="L675" t="s">
        <v>38</v>
      </c>
      <c r="M675" t="s">
        <v>38</v>
      </c>
      <c r="N675" t="s">
        <v>38</v>
      </c>
      <c r="O675" t="s">
        <v>41</v>
      </c>
      <c r="P675" t="s">
        <v>42</v>
      </c>
      <c r="Q675" t="s">
        <v>43</v>
      </c>
      <c r="R675" t="s">
        <v>89</v>
      </c>
      <c r="S675" t="s">
        <v>153</v>
      </c>
      <c r="T675" t="s">
        <v>89</v>
      </c>
      <c r="U675" t="s">
        <v>301</v>
      </c>
      <c r="V675" t="s">
        <v>91</v>
      </c>
      <c r="W675" t="s">
        <v>92</v>
      </c>
      <c r="X675" t="s">
        <v>38</v>
      </c>
      <c r="Y675" t="s">
        <v>38</v>
      </c>
      <c r="Z675" t="s">
        <v>42</v>
      </c>
      <c r="AA675" t="s">
        <v>155</v>
      </c>
      <c r="AB675" t="s">
        <v>38</v>
      </c>
      <c r="AC675" t="s">
        <v>153</v>
      </c>
      <c r="AD675" t="s">
        <v>48</v>
      </c>
      <c r="AG675" t="str">
        <f>IF(AD675="United States", IFERROR(INDEX(Sheet2!$C:$C, MATCH(AE675&amp;AF675, Sheet2!$E:$E, 0)) &amp; ", " &amp; INDEX(Sheet2!$D:$D, MATCH(AE675&amp;AF675, Sheet2!$E:$E, 0)), ""), "-")</f>
        <v/>
      </c>
    </row>
    <row r="676" spans="1:33" x14ac:dyDescent="0.25">
      <c r="A676" t="s">
        <v>1113</v>
      </c>
      <c r="B676" t="s">
        <v>1500</v>
      </c>
      <c r="C676" t="s">
        <v>1115</v>
      </c>
      <c r="D676" t="s">
        <v>1501</v>
      </c>
      <c r="E676" t="s">
        <v>1496</v>
      </c>
      <c r="F676">
        <v>1761</v>
      </c>
      <c r="G676">
        <v>1432</v>
      </c>
      <c r="H676" t="s">
        <v>1169</v>
      </c>
      <c r="I676" t="s">
        <v>80</v>
      </c>
      <c r="J676" t="s">
        <v>1119</v>
      </c>
      <c r="K676" t="s">
        <v>38</v>
      </c>
      <c r="L676" t="s">
        <v>38</v>
      </c>
      <c r="M676" t="s">
        <v>38</v>
      </c>
      <c r="N676" t="s">
        <v>38</v>
      </c>
      <c r="O676" t="s">
        <v>41</v>
      </c>
      <c r="P676" t="s">
        <v>42</v>
      </c>
      <c r="Q676" t="s">
        <v>43</v>
      </c>
      <c r="R676" t="s">
        <v>89</v>
      </c>
      <c r="S676" t="s">
        <v>45</v>
      </c>
      <c r="T676" t="s">
        <v>89</v>
      </c>
      <c r="U676" t="s">
        <v>301</v>
      </c>
      <c r="V676" t="s">
        <v>91</v>
      </c>
      <c r="W676" t="s">
        <v>92</v>
      </c>
      <c r="X676" t="s">
        <v>38</v>
      </c>
      <c r="Y676" t="s">
        <v>38</v>
      </c>
      <c r="Z676" t="s">
        <v>42</v>
      </c>
      <c r="AA676" t="s">
        <v>169</v>
      </c>
      <c r="AB676" t="s">
        <v>38</v>
      </c>
      <c r="AC676" t="s">
        <v>45</v>
      </c>
      <c r="AD676" t="s">
        <v>48</v>
      </c>
      <c r="AG676" t="str">
        <f>IF(AD676="United States", IFERROR(INDEX(Sheet2!$C:$C, MATCH(AE676&amp;AF676, Sheet2!$E:$E, 0)) &amp; ", " &amp; INDEX(Sheet2!$D:$D, MATCH(AE676&amp;AF676, Sheet2!$E:$E, 0)), ""), "-")</f>
        <v/>
      </c>
    </row>
    <row r="677" spans="1:33" x14ac:dyDescent="0.25">
      <c r="A677" t="s">
        <v>1113</v>
      </c>
      <c r="B677" t="s">
        <v>1502</v>
      </c>
      <c r="C677" t="s">
        <v>1115</v>
      </c>
      <c r="D677" t="s">
        <v>556</v>
      </c>
      <c r="E677" t="s">
        <v>1503</v>
      </c>
      <c r="F677">
        <v>1743</v>
      </c>
      <c r="G677">
        <v>1433</v>
      </c>
      <c r="H677" t="s">
        <v>1118</v>
      </c>
      <c r="I677" t="s">
        <v>80</v>
      </c>
      <c r="J677" t="s">
        <v>1119</v>
      </c>
      <c r="K677" t="s">
        <v>38</v>
      </c>
      <c r="L677" t="s">
        <v>38</v>
      </c>
      <c r="M677" t="s">
        <v>38</v>
      </c>
      <c r="N677" t="s">
        <v>38</v>
      </c>
      <c r="O677" t="s">
        <v>41</v>
      </c>
      <c r="P677" t="s">
        <v>42</v>
      </c>
      <c r="Q677" t="s">
        <v>43</v>
      </c>
      <c r="R677" t="s">
        <v>89</v>
      </c>
      <c r="S677" t="s">
        <v>89</v>
      </c>
      <c r="T677" t="s">
        <v>89</v>
      </c>
      <c r="U677" t="s">
        <v>301</v>
      </c>
      <c r="V677" t="s">
        <v>91</v>
      </c>
      <c r="W677" t="s">
        <v>92</v>
      </c>
      <c r="X677" t="s">
        <v>38</v>
      </c>
      <c r="Y677" t="s">
        <v>38</v>
      </c>
      <c r="Z677" t="s">
        <v>42</v>
      </c>
      <c r="AA677" t="s">
        <v>304</v>
      </c>
      <c r="AB677" t="s">
        <v>38</v>
      </c>
      <c r="AC677" t="s">
        <v>89</v>
      </c>
      <c r="AD677" t="s">
        <v>48</v>
      </c>
      <c r="AG677" t="str">
        <f>IF(AD677="United States", IFERROR(INDEX(Sheet2!$C:$C, MATCH(AE677&amp;AF677, Sheet2!$E:$E, 0)) &amp; ", " &amp; INDEX(Sheet2!$D:$D, MATCH(AE677&amp;AF677, Sheet2!$E:$E, 0)), ""), "-")</f>
        <v/>
      </c>
    </row>
    <row r="678" spans="1:33" x14ac:dyDescent="0.25">
      <c r="A678" t="s">
        <v>1113</v>
      </c>
      <c r="B678" t="s">
        <v>1273</v>
      </c>
      <c r="C678" t="s">
        <v>1115</v>
      </c>
      <c r="D678" t="s">
        <v>1274</v>
      </c>
      <c r="E678" t="s">
        <v>1145</v>
      </c>
      <c r="F678">
        <v>1762</v>
      </c>
      <c r="G678">
        <v>1089</v>
      </c>
      <c r="H678" t="s">
        <v>1118</v>
      </c>
      <c r="I678" t="s">
        <v>80</v>
      </c>
      <c r="J678" t="s">
        <v>1119</v>
      </c>
      <c r="K678" t="s">
        <v>38</v>
      </c>
      <c r="L678" t="s">
        <v>38</v>
      </c>
      <c r="M678" t="s">
        <v>38</v>
      </c>
      <c r="N678" t="s">
        <v>38</v>
      </c>
      <c r="O678" t="s">
        <v>57</v>
      </c>
      <c r="P678" t="s">
        <v>42</v>
      </c>
      <c r="Q678" t="s">
        <v>43</v>
      </c>
      <c r="R678" t="s">
        <v>89</v>
      </c>
      <c r="S678" t="s">
        <v>45</v>
      </c>
      <c r="T678" t="s">
        <v>89</v>
      </c>
      <c r="U678" t="s">
        <v>301</v>
      </c>
      <c r="V678" t="s">
        <v>91</v>
      </c>
      <c r="W678" t="s">
        <v>92</v>
      </c>
      <c r="X678" t="s">
        <v>38</v>
      </c>
      <c r="Y678" t="s">
        <v>38</v>
      </c>
      <c r="Z678" t="s">
        <v>42</v>
      </c>
      <c r="AA678" t="s">
        <v>1244</v>
      </c>
      <c r="AB678" t="s">
        <v>38</v>
      </c>
      <c r="AC678" t="s">
        <v>45</v>
      </c>
      <c r="AD678" t="s">
        <v>48</v>
      </c>
      <c r="AG678" t="str">
        <f>IF(AD678="United States", IFERROR(INDEX(Sheet2!$C:$C, MATCH(AE678&amp;AF678, Sheet2!$E:$E, 0)) &amp; ", " &amp; INDEX(Sheet2!$D:$D, MATCH(AE678&amp;AF678, Sheet2!$E:$E, 0)), ""), "-")</f>
        <v/>
      </c>
    </row>
    <row r="679" spans="1:33" x14ac:dyDescent="0.25">
      <c r="A679" t="s">
        <v>1113</v>
      </c>
      <c r="B679" t="s">
        <v>1504</v>
      </c>
      <c r="C679" t="s">
        <v>1115</v>
      </c>
      <c r="D679" t="s">
        <v>361</v>
      </c>
      <c r="E679" t="s">
        <v>1505</v>
      </c>
      <c r="F679">
        <v>1768</v>
      </c>
      <c r="G679">
        <v>1435</v>
      </c>
      <c r="H679" t="s">
        <v>1131</v>
      </c>
      <c r="I679" t="s">
        <v>80</v>
      </c>
      <c r="J679" t="s">
        <v>1119</v>
      </c>
      <c r="K679" t="s">
        <v>38</v>
      </c>
      <c r="L679" t="s">
        <v>38</v>
      </c>
      <c r="M679" t="s">
        <v>38</v>
      </c>
      <c r="N679" t="s">
        <v>38</v>
      </c>
      <c r="O679" t="s">
        <v>54</v>
      </c>
      <c r="P679" t="s">
        <v>42</v>
      </c>
      <c r="Q679" t="s">
        <v>43</v>
      </c>
      <c r="R679" t="s">
        <v>89</v>
      </c>
      <c r="S679" t="s">
        <v>45</v>
      </c>
      <c r="T679" t="s">
        <v>89</v>
      </c>
      <c r="U679" t="s">
        <v>301</v>
      </c>
      <c r="V679" t="s">
        <v>91</v>
      </c>
      <c r="W679" t="s">
        <v>92</v>
      </c>
      <c r="X679" t="s">
        <v>38</v>
      </c>
      <c r="Y679" t="s">
        <v>38</v>
      </c>
      <c r="Z679" t="s">
        <v>42</v>
      </c>
      <c r="AA679" t="s">
        <v>241</v>
      </c>
      <c r="AB679" t="s">
        <v>38</v>
      </c>
      <c r="AC679" t="s">
        <v>45</v>
      </c>
      <c r="AD679" t="s">
        <v>48</v>
      </c>
      <c r="AG679" t="str">
        <f>IF(AD679="United States", IFERROR(INDEX(Sheet2!$C:$C, MATCH(AE679&amp;AF679, Sheet2!$E:$E, 0)) &amp; ", " &amp; INDEX(Sheet2!$D:$D, MATCH(AE679&amp;AF679, Sheet2!$E:$E, 0)), ""), "-")</f>
        <v/>
      </c>
    </row>
    <row r="680" spans="1:33" x14ac:dyDescent="0.25">
      <c r="A680" t="s">
        <v>1113</v>
      </c>
      <c r="B680" t="s">
        <v>1506</v>
      </c>
      <c r="C680" t="s">
        <v>1115</v>
      </c>
      <c r="D680" t="s">
        <v>226</v>
      </c>
      <c r="E680" t="s">
        <v>1507</v>
      </c>
      <c r="F680">
        <v>1743</v>
      </c>
      <c r="G680">
        <v>1436</v>
      </c>
      <c r="H680" t="s">
        <v>1118</v>
      </c>
      <c r="I680" t="s">
        <v>80</v>
      </c>
      <c r="J680" t="s">
        <v>1119</v>
      </c>
      <c r="K680" t="s">
        <v>38</v>
      </c>
      <c r="L680" t="s">
        <v>38</v>
      </c>
      <c r="M680" t="s">
        <v>38</v>
      </c>
      <c r="N680" t="s">
        <v>38</v>
      </c>
      <c r="O680" t="s">
        <v>41</v>
      </c>
      <c r="P680" t="s">
        <v>42</v>
      </c>
      <c r="Q680" t="s">
        <v>43</v>
      </c>
      <c r="R680" t="s">
        <v>89</v>
      </c>
      <c r="S680" t="s">
        <v>38</v>
      </c>
      <c r="T680" t="s">
        <v>89</v>
      </c>
      <c r="U680" t="s">
        <v>301</v>
      </c>
      <c r="V680" t="s">
        <v>91</v>
      </c>
      <c r="W680" t="s">
        <v>92</v>
      </c>
      <c r="X680" t="s">
        <v>38</v>
      </c>
      <c r="Y680" t="s">
        <v>38</v>
      </c>
      <c r="Z680" t="s">
        <v>42</v>
      </c>
      <c r="AA680" t="s">
        <v>38</v>
      </c>
      <c r="AB680" t="s">
        <v>38</v>
      </c>
      <c r="AC680" t="s">
        <v>38</v>
      </c>
      <c r="AD680" t="s">
        <v>48</v>
      </c>
      <c r="AG680" t="str">
        <f>IF(AD680="United States", IFERROR(INDEX(Sheet2!$C:$C, MATCH(AE680&amp;AF680, Sheet2!$E:$E, 0)) &amp; ", " &amp; INDEX(Sheet2!$D:$D, MATCH(AE680&amp;AF680, Sheet2!$E:$E, 0)), ""), "-")</f>
        <v/>
      </c>
    </row>
    <row r="681" spans="1:33" x14ac:dyDescent="0.25">
      <c r="A681" t="s">
        <v>1113</v>
      </c>
      <c r="B681" t="s">
        <v>1508</v>
      </c>
      <c r="C681" t="s">
        <v>1115</v>
      </c>
      <c r="D681" t="s">
        <v>1509</v>
      </c>
      <c r="E681" t="s">
        <v>1510</v>
      </c>
      <c r="F681">
        <v>1760</v>
      </c>
      <c r="G681">
        <v>1437</v>
      </c>
      <c r="H681" t="s">
        <v>1169</v>
      </c>
      <c r="I681" t="s">
        <v>80</v>
      </c>
      <c r="J681" t="s">
        <v>1119</v>
      </c>
      <c r="K681" t="s">
        <v>38</v>
      </c>
      <c r="L681" t="s">
        <v>38</v>
      </c>
      <c r="M681" t="s">
        <v>38</v>
      </c>
      <c r="N681" t="s">
        <v>38</v>
      </c>
      <c r="O681" t="s">
        <v>41</v>
      </c>
      <c r="P681" t="s">
        <v>42</v>
      </c>
      <c r="Q681" t="s">
        <v>43</v>
      </c>
      <c r="R681" t="s">
        <v>89</v>
      </c>
      <c r="S681" t="s">
        <v>45</v>
      </c>
      <c r="T681" t="s">
        <v>89</v>
      </c>
      <c r="U681" t="s">
        <v>301</v>
      </c>
      <c r="V681" t="s">
        <v>91</v>
      </c>
      <c r="W681" t="s">
        <v>92</v>
      </c>
      <c r="X681" t="s">
        <v>38</v>
      </c>
      <c r="Y681" t="s">
        <v>38</v>
      </c>
      <c r="Z681" t="s">
        <v>42</v>
      </c>
      <c r="AA681" t="s">
        <v>1511</v>
      </c>
      <c r="AB681" t="s">
        <v>38</v>
      </c>
      <c r="AC681" t="s">
        <v>45</v>
      </c>
      <c r="AD681" t="s">
        <v>48</v>
      </c>
      <c r="AG681" t="str">
        <f>IF(AD681="United States", IFERROR(INDEX(Sheet2!$C:$C, MATCH(AE681&amp;AF681, Sheet2!$E:$E, 0)) &amp; ", " &amp; INDEX(Sheet2!$D:$D, MATCH(AE681&amp;AF681, Sheet2!$E:$E, 0)), ""), "-")</f>
        <v/>
      </c>
    </row>
    <row r="682" spans="1:33" x14ac:dyDescent="0.25">
      <c r="A682" t="s">
        <v>1113</v>
      </c>
      <c r="B682" t="s">
        <v>1512</v>
      </c>
      <c r="C682" t="s">
        <v>1115</v>
      </c>
      <c r="D682" t="s">
        <v>36</v>
      </c>
      <c r="E682" t="s">
        <v>1513</v>
      </c>
      <c r="F682">
        <v>1760</v>
      </c>
      <c r="G682">
        <v>1438</v>
      </c>
      <c r="H682" t="s">
        <v>1118</v>
      </c>
      <c r="I682" t="s">
        <v>80</v>
      </c>
      <c r="J682" t="s">
        <v>1119</v>
      </c>
      <c r="K682" t="s">
        <v>38</v>
      </c>
      <c r="L682" t="s">
        <v>38</v>
      </c>
      <c r="M682" t="s">
        <v>38</v>
      </c>
      <c r="N682" t="s">
        <v>38</v>
      </c>
      <c r="O682" t="s">
        <v>41</v>
      </c>
      <c r="P682" t="s">
        <v>42</v>
      </c>
      <c r="Q682" t="s">
        <v>43</v>
      </c>
      <c r="R682" t="s">
        <v>89</v>
      </c>
      <c r="S682" t="s">
        <v>45</v>
      </c>
      <c r="T682" t="s">
        <v>89</v>
      </c>
      <c r="U682" t="s">
        <v>301</v>
      </c>
      <c r="V682" t="s">
        <v>91</v>
      </c>
      <c r="W682" t="s">
        <v>92</v>
      </c>
      <c r="X682" t="s">
        <v>38</v>
      </c>
      <c r="Y682" t="s">
        <v>38</v>
      </c>
      <c r="Z682" t="s">
        <v>42</v>
      </c>
      <c r="AA682" t="s">
        <v>45</v>
      </c>
      <c r="AB682" t="s">
        <v>38</v>
      </c>
      <c r="AC682" t="s">
        <v>45</v>
      </c>
      <c r="AD682" t="s">
        <v>48</v>
      </c>
      <c r="AG682" t="str">
        <f>IF(AD682="United States", IFERROR(INDEX(Sheet2!$C:$C, MATCH(AE682&amp;AF682, Sheet2!$E:$E, 0)) &amp; ", " &amp; INDEX(Sheet2!$D:$D, MATCH(AE682&amp;AF682, Sheet2!$E:$E, 0)), ""), "-")</f>
        <v/>
      </c>
    </row>
    <row r="683" spans="1:33" x14ac:dyDescent="0.25">
      <c r="A683" t="s">
        <v>1113</v>
      </c>
      <c r="B683" t="s">
        <v>1514</v>
      </c>
      <c r="C683" t="s">
        <v>1115</v>
      </c>
      <c r="D683" t="s">
        <v>1515</v>
      </c>
      <c r="E683" t="s">
        <v>1516</v>
      </c>
      <c r="F683">
        <v>1754</v>
      </c>
      <c r="G683">
        <v>1439</v>
      </c>
      <c r="H683" t="s">
        <v>1169</v>
      </c>
      <c r="I683" t="s">
        <v>80</v>
      </c>
      <c r="J683" t="s">
        <v>1119</v>
      </c>
      <c r="K683" t="s">
        <v>38</v>
      </c>
      <c r="L683" t="s">
        <v>38</v>
      </c>
      <c r="M683" t="s">
        <v>38</v>
      </c>
      <c r="N683" t="s">
        <v>38</v>
      </c>
      <c r="O683" t="s">
        <v>41</v>
      </c>
      <c r="P683" t="s">
        <v>42</v>
      </c>
      <c r="Q683" t="s">
        <v>43</v>
      </c>
      <c r="R683" t="s">
        <v>89</v>
      </c>
      <c r="S683" t="s">
        <v>45</v>
      </c>
      <c r="T683" t="s">
        <v>89</v>
      </c>
      <c r="U683" t="s">
        <v>301</v>
      </c>
      <c r="V683" t="s">
        <v>91</v>
      </c>
      <c r="W683" t="s">
        <v>92</v>
      </c>
      <c r="X683" t="s">
        <v>38</v>
      </c>
      <c r="Y683" t="s">
        <v>38</v>
      </c>
      <c r="Z683" t="s">
        <v>42</v>
      </c>
      <c r="AA683" t="s">
        <v>38</v>
      </c>
      <c r="AB683" t="s">
        <v>38</v>
      </c>
      <c r="AC683" t="s">
        <v>45</v>
      </c>
      <c r="AD683" t="s">
        <v>48</v>
      </c>
      <c r="AG683" t="str">
        <f>IF(AD683="United States", IFERROR(INDEX(Sheet2!$C:$C, MATCH(AE683&amp;AF683, Sheet2!$E:$E, 0)) &amp; ", " &amp; INDEX(Sheet2!$D:$D, MATCH(AE683&amp;AF683, Sheet2!$E:$E, 0)), ""), "-")</f>
        <v/>
      </c>
    </row>
    <row r="684" spans="1:33" x14ac:dyDescent="0.25">
      <c r="A684" t="s">
        <v>1113</v>
      </c>
      <c r="B684" t="s">
        <v>1517</v>
      </c>
      <c r="C684" t="s">
        <v>1115</v>
      </c>
      <c r="D684" t="s">
        <v>98</v>
      </c>
      <c r="E684" t="s">
        <v>38</v>
      </c>
      <c r="F684">
        <v>1723</v>
      </c>
      <c r="G684">
        <v>1427</v>
      </c>
      <c r="H684" t="s">
        <v>1118</v>
      </c>
      <c r="I684" t="s">
        <v>80</v>
      </c>
      <c r="J684" t="s">
        <v>1119</v>
      </c>
      <c r="K684" t="s">
        <v>38</v>
      </c>
      <c r="L684" t="s">
        <v>38</v>
      </c>
      <c r="M684" t="s">
        <v>245</v>
      </c>
      <c r="N684" t="s">
        <v>37</v>
      </c>
      <c r="O684" t="s">
        <v>57</v>
      </c>
      <c r="P684" t="s">
        <v>42</v>
      </c>
      <c r="Q684" t="s">
        <v>43</v>
      </c>
      <c r="R684" t="s">
        <v>89</v>
      </c>
      <c r="S684" t="s">
        <v>45</v>
      </c>
      <c r="T684" t="s">
        <v>89</v>
      </c>
      <c r="U684" t="s">
        <v>301</v>
      </c>
      <c r="V684" t="s">
        <v>91</v>
      </c>
      <c r="W684" t="s">
        <v>92</v>
      </c>
      <c r="X684" t="s">
        <v>38</v>
      </c>
      <c r="Y684" t="s">
        <v>38</v>
      </c>
      <c r="Z684" t="s">
        <v>42</v>
      </c>
      <c r="AA684" t="s">
        <v>169</v>
      </c>
      <c r="AB684" t="s">
        <v>38</v>
      </c>
      <c r="AC684" t="s">
        <v>45</v>
      </c>
      <c r="AD684" t="s">
        <v>48</v>
      </c>
      <c r="AG684" t="str">
        <f>IF(AD684="United States", IFERROR(INDEX(Sheet2!$C:$C, MATCH(AE684&amp;AF684, Sheet2!$E:$E, 0)) &amp; ", " &amp; INDEX(Sheet2!$D:$D, MATCH(AE684&amp;AF684, Sheet2!$E:$E, 0)), ""), "-")</f>
        <v/>
      </c>
    </row>
    <row r="685" spans="1:33" x14ac:dyDescent="0.25">
      <c r="A685" t="s">
        <v>1113</v>
      </c>
      <c r="B685" t="s">
        <v>1518</v>
      </c>
      <c r="C685" t="s">
        <v>1115</v>
      </c>
      <c r="D685" t="s">
        <v>887</v>
      </c>
      <c r="E685" t="s">
        <v>1123</v>
      </c>
      <c r="F685">
        <v>1779</v>
      </c>
      <c r="G685">
        <v>1412</v>
      </c>
      <c r="H685" t="s">
        <v>1131</v>
      </c>
      <c r="I685" t="s">
        <v>80</v>
      </c>
      <c r="J685" t="s">
        <v>1119</v>
      </c>
      <c r="K685" t="s">
        <v>38</v>
      </c>
      <c r="L685" t="s">
        <v>38</v>
      </c>
      <c r="M685" t="s">
        <v>38</v>
      </c>
      <c r="N685" t="s">
        <v>38</v>
      </c>
      <c r="O685" t="s">
        <v>54</v>
      </c>
      <c r="P685" t="s">
        <v>42</v>
      </c>
      <c r="Q685" t="s">
        <v>43</v>
      </c>
      <c r="R685" t="s">
        <v>89</v>
      </c>
      <c r="S685" t="s">
        <v>38</v>
      </c>
      <c r="T685" t="s">
        <v>89</v>
      </c>
      <c r="U685" t="s">
        <v>301</v>
      </c>
      <c r="V685" t="s">
        <v>91</v>
      </c>
      <c r="W685" t="s">
        <v>92</v>
      </c>
      <c r="X685" t="s">
        <v>38</v>
      </c>
      <c r="Y685" t="s">
        <v>38</v>
      </c>
      <c r="Z685" t="s">
        <v>42</v>
      </c>
      <c r="AA685" t="s">
        <v>38</v>
      </c>
      <c r="AB685" t="s">
        <v>38</v>
      </c>
      <c r="AC685" t="s">
        <v>38</v>
      </c>
      <c r="AD685" t="s">
        <v>48</v>
      </c>
      <c r="AG685" t="str">
        <f>IF(AD685="United States", IFERROR(INDEX(Sheet2!$C:$C, MATCH(AE685&amp;AF685, Sheet2!$E:$E, 0)) &amp; ", " &amp; INDEX(Sheet2!$D:$D, MATCH(AE685&amp;AF685, Sheet2!$E:$E, 0)), ""), "-")</f>
        <v/>
      </c>
    </row>
    <row r="686" spans="1:33" x14ac:dyDescent="0.25">
      <c r="A686" t="s">
        <v>1113</v>
      </c>
      <c r="B686" t="s">
        <v>1519</v>
      </c>
      <c r="C686" t="s">
        <v>1115</v>
      </c>
      <c r="D686" t="s">
        <v>1230</v>
      </c>
      <c r="E686" t="s">
        <v>1123</v>
      </c>
      <c r="F686">
        <v>1753</v>
      </c>
      <c r="G686">
        <v>1411</v>
      </c>
      <c r="H686" t="s">
        <v>1118</v>
      </c>
      <c r="I686" t="s">
        <v>80</v>
      </c>
      <c r="J686" t="s">
        <v>1119</v>
      </c>
      <c r="K686" t="s">
        <v>38</v>
      </c>
      <c r="L686" t="s">
        <v>38</v>
      </c>
      <c r="M686" t="s">
        <v>38</v>
      </c>
      <c r="N686" t="s">
        <v>38</v>
      </c>
      <c r="O686" t="s">
        <v>57</v>
      </c>
      <c r="P686" t="s">
        <v>42</v>
      </c>
      <c r="Q686" t="s">
        <v>43</v>
      </c>
      <c r="R686" t="s">
        <v>89</v>
      </c>
      <c r="S686" t="s">
        <v>45</v>
      </c>
      <c r="T686" t="s">
        <v>89</v>
      </c>
      <c r="U686" t="s">
        <v>301</v>
      </c>
      <c r="V686" t="s">
        <v>91</v>
      </c>
      <c r="W686" t="s">
        <v>92</v>
      </c>
      <c r="X686" t="s">
        <v>38</v>
      </c>
      <c r="Y686" t="s">
        <v>38</v>
      </c>
      <c r="Z686" t="s">
        <v>42</v>
      </c>
      <c r="AA686" t="s">
        <v>169</v>
      </c>
      <c r="AB686" t="s">
        <v>38</v>
      </c>
      <c r="AC686" t="s">
        <v>45</v>
      </c>
      <c r="AD686" t="s">
        <v>48</v>
      </c>
      <c r="AG686" t="str">
        <f>IF(AD686="United States", IFERROR(INDEX(Sheet2!$C:$C, MATCH(AE686&amp;AF686, Sheet2!$E:$E, 0)) &amp; ", " &amp; INDEX(Sheet2!$D:$D, MATCH(AE686&amp;AF686, Sheet2!$E:$E, 0)), ""), "-")</f>
        <v/>
      </c>
    </row>
    <row r="687" spans="1:33" x14ac:dyDescent="0.25">
      <c r="A687" t="s">
        <v>1113</v>
      </c>
      <c r="B687" t="s">
        <v>1520</v>
      </c>
      <c r="C687" t="s">
        <v>1115</v>
      </c>
      <c r="D687" t="s">
        <v>245</v>
      </c>
      <c r="E687" t="s">
        <v>1243</v>
      </c>
      <c r="F687">
        <v>1768</v>
      </c>
      <c r="G687">
        <v>1410</v>
      </c>
      <c r="H687" t="s">
        <v>1118</v>
      </c>
      <c r="I687" t="s">
        <v>80</v>
      </c>
      <c r="J687" t="s">
        <v>1119</v>
      </c>
      <c r="K687" t="s">
        <v>38</v>
      </c>
      <c r="L687" t="s">
        <v>38</v>
      </c>
      <c r="M687" t="s">
        <v>38</v>
      </c>
      <c r="N687" t="s">
        <v>38</v>
      </c>
      <c r="O687" t="s">
        <v>74</v>
      </c>
      <c r="P687" t="s">
        <v>42</v>
      </c>
      <c r="Q687" t="s">
        <v>43</v>
      </c>
      <c r="R687" t="s">
        <v>89</v>
      </c>
      <c r="S687" t="s">
        <v>45</v>
      </c>
      <c r="T687" t="s">
        <v>89</v>
      </c>
      <c r="U687" t="s">
        <v>301</v>
      </c>
      <c r="V687" t="s">
        <v>91</v>
      </c>
      <c r="W687" t="s">
        <v>92</v>
      </c>
      <c r="X687" t="s">
        <v>38</v>
      </c>
      <c r="Y687" t="s">
        <v>38</v>
      </c>
      <c r="Z687" t="s">
        <v>42</v>
      </c>
      <c r="AA687" t="s">
        <v>241</v>
      </c>
      <c r="AB687" t="s">
        <v>38</v>
      </c>
      <c r="AC687" t="s">
        <v>45</v>
      </c>
      <c r="AD687" t="s">
        <v>48</v>
      </c>
      <c r="AG687" t="str">
        <f>IF(AD687="United States", IFERROR(INDEX(Sheet2!$C:$C, MATCH(AE687&amp;AF687, Sheet2!$E:$E, 0)) &amp; ", " &amp; INDEX(Sheet2!$D:$D, MATCH(AE687&amp;AF687, Sheet2!$E:$E, 0)), ""), "-")</f>
        <v/>
      </c>
    </row>
    <row r="688" spans="1:33" x14ac:dyDescent="0.25">
      <c r="A688" t="s">
        <v>1113</v>
      </c>
      <c r="B688" t="s">
        <v>1121</v>
      </c>
      <c r="C688" t="s">
        <v>1115</v>
      </c>
      <c r="D688" t="s">
        <v>1122</v>
      </c>
      <c r="E688" t="s">
        <v>1123</v>
      </c>
      <c r="F688">
        <v>1759</v>
      </c>
      <c r="G688">
        <v>1390</v>
      </c>
      <c r="H688" t="s">
        <v>1118</v>
      </c>
      <c r="I688" t="s">
        <v>80</v>
      </c>
      <c r="J688" t="s">
        <v>1119</v>
      </c>
      <c r="K688" t="s">
        <v>38</v>
      </c>
      <c r="L688" t="s">
        <v>38</v>
      </c>
      <c r="M688" t="s">
        <v>38</v>
      </c>
      <c r="N688" t="s">
        <v>38</v>
      </c>
      <c r="O688" t="s">
        <v>41</v>
      </c>
      <c r="P688" t="s">
        <v>42</v>
      </c>
      <c r="Q688" t="s">
        <v>43</v>
      </c>
      <c r="R688" t="s">
        <v>89</v>
      </c>
      <c r="S688" t="s">
        <v>45</v>
      </c>
      <c r="T688" t="s">
        <v>89</v>
      </c>
      <c r="U688" t="s">
        <v>301</v>
      </c>
      <c r="V688" t="s">
        <v>91</v>
      </c>
      <c r="W688" t="s">
        <v>92</v>
      </c>
      <c r="X688" t="s">
        <v>38</v>
      </c>
      <c r="Y688" t="s">
        <v>38</v>
      </c>
      <c r="Z688" t="s">
        <v>42</v>
      </c>
      <c r="AA688" t="s">
        <v>1124</v>
      </c>
      <c r="AB688" t="s">
        <v>38</v>
      </c>
      <c r="AC688" t="s">
        <v>45</v>
      </c>
      <c r="AD688" t="s">
        <v>48</v>
      </c>
      <c r="AG688" t="str">
        <f>IF(AD688="United States", IFERROR(INDEX(Sheet2!$C:$C, MATCH(AE688&amp;AF688, Sheet2!$E:$E, 0)) &amp; ", " &amp; INDEX(Sheet2!$D:$D, MATCH(AE688&amp;AF688, Sheet2!$E:$E, 0)), ""), "-")</f>
        <v/>
      </c>
    </row>
    <row r="689" spans="1:33" x14ac:dyDescent="0.25">
      <c r="A689" t="s">
        <v>1113</v>
      </c>
      <c r="B689" t="s">
        <v>1255</v>
      </c>
      <c r="C689" t="s">
        <v>1115</v>
      </c>
      <c r="D689" t="s">
        <v>113</v>
      </c>
      <c r="E689" t="s">
        <v>1256</v>
      </c>
      <c r="F689">
        <v>1758</v>
      </c>
      <c r="G689">
        <v>1391</v>
      </c>
      <c r="H689" t="s">
        <v>1131</v>
      </c>
      <c r="I689" t="s">
        <v>80</v>
      </c>
      <c r="J689" t="s">
        <v>1119</v>
      </c>
      <c r="K689" t="s">
        <v>38</v>
      </c>
      <c r="L689" t="s">
        <v>38</v>
      </c>
      <c r="M689" t="s">
        <v>38</v>
      </c>
      <c r="N689" t="s">
        <v>38</v>
      </c>
      <c r="O689" t="s">
        <v>41</v>
      </c>
      <c r="P689" t="s">
        <v>42</v>
      </c>
      <c r="Q689" t="s">
        <v>43</v>
      </c>
      <c r="R689" t="s">
        <v>89</v>
      </c>
      <c r="S689" t="s">
        <v>45</v>
      </c>
      <c r="T689" t="s">
        <v>89</v>
      </c>
      <c r="U689" t="s">
        <v>301</v>
      </c>
      <c r="V689" t="s">
        <v>91</v>
      </c>
      <c r="W689" t="s">
        <v>92</v>
      </c>
      <c r="X689" t="s">
        <v>38</v>
      </c>
      <c r="Y689" t="s">
        <v>38</v>
      </c>
      <c r="Z689" t="s">
        <v>42</v>
      </c>
      <c r="AA689" t="s">
        <v>45</v>
      </c>
      <c r="AB689" t="s">
        <v>1257</v>
      </c>
      <c r="AC689" t="s">
        <v>45</v>
      </c>
      <c r="AD689" t="s">
        <v>48</v>
      </c>
      <c r="AG689" t="str">
        <f>IF(AD689="United States", IFERROR(INDEX(Sheet2!$C:$C, MATCH(AE689&amp;AF689, Sheet2!$E:$E, 0)) &amp; ", " &amp; INDEX(Sheet2!$D:$D, MATCH(AE689&amp;AF689, Sheet2!$E:$E, 0)), ""), "-")</f>
        <v/>
      </c>
    </row>
    <row r="690" spans="1:33" x14ac:dyDescent="0.25">
      <c r="A690" t="s">
        <v>1113</v>
      </c>
      <c r="B690" t="s">
        <v>1261</v>
      </c>
      <c r="C690" t="s">
        <v>1115</v>
      </c>
      <c r="D690" t="s">
        <v>357</v>
      </c>
      <c r="E690" t="s">
        <v>1262</v>
      </c>
      <c r="F690">
        <v>1760</v>
      </c>
      <c r="G690">
        <v>1392</v>
      </c>
      <c r="H690" t="s">
        <v>1118</v>
      </c>
      <c r="I690" t="s">
        <v>80</v>
      </c>
      <c r="J690" t="s">
        <v>1119</v>
      </c>
      <c r="K690" t="s">
        <v>38</v>
      </c>
      <c r="L690" t="s">
        <v>38</v>
      </c>
      <c r="M690" t="s">
        <v>38</v>
      </c>
      <c r="N690" t="s">
        <v>38</v>
      </c>
      <c r="O690" t="s">
        <v>41</v>
      </c>
      <c r="P690" t="s">
        <v>42</v>
      </c>
      <c r="Q690" t="s">
        <v>43</v>
      </c>
      <c r="R690" t="s">
        <v>89</v>
      </c>
      <c r="S690" t="s">
        <v>45</v>
      </c>
      <c r="T690" t="s">
        <v>89</v>
      </c>
      <c r="U690" t="s">
        <v>301</v>
      </c>
      <c r="V690" t="s">
        <v>91</v>
      </c>
      <c r="W690" t="s">
        <v>92</v>
      </c>
      <c r="X690" t="s">
        <v>38</v>
      </c>
      <c r="Y690" t="s">
        <v>38</v>
      </c>
      <c r="Z690" t="s">
        <v>42</v>
      </c>
      <c r="AA690" t="s">
        <v>1153</v>
      </c>
      <c r="AB690" t="s">
        <v>38</v>
      </c>
      <c r="AC690" t="s">
        <v>45</v>
      </c>
      <c r="AD690" t="s">
        <v>48</v>
      </c>
      <c r="AG690" t="str">
        <f>IF(AD690="United States", IFERROR(INDEX(Sheet2!$C:$C, MATCH(AE690&amp;AF690, Sheet2!$E:$E, 0)) &amp; ", " &amp; INDEX(Sheet2!$D:$D, MATCH(AE690&amp;AF690, Sheet2!$E:$E, 0)), ""), "-")</f>
        <v/>
      </c>
    </row>
    <row r="691" spans="1:33" x14ac:dyDescent="0.25">
      <c r="A691" t="s">
        <v>1113</v>
      </c>
      <c r="B691" t="s">
        <v>1521</v>
      </c>
      <c r="C691" t="s">
        <v>1115</v>
      </c>
      <c r="D691" t="s">
        <v>101</v>
      </c>
      <c r="E691" t="s">
        <v>37</v>
      </c>
      <c r="F691">
        <v>1762</v>
      </c>
      <c r="G691">
        <v>1393</v>
      </c>
      <c r="H691" t="s">
        <v>1118</v>
      </c>
      <c r="I691" t="s">
        <v>80</v>
      </c>
      <c r="J691" t="s">
        <v>1119</v>
      </c>
      <c r="K691" t="s">
        <v>38</v>
      </c>
      <c r="L691" t="s">
        <v>38</v>
      </c>
      <c r="M691" t="s">
        <v>38</v>
      </c>
      <c r="N691" t="s">
        <v>38</v>
      </c>
      <c r="O691" t="s">
        <v>41</v>
      </c>
      <c r="P691" t="s">
        <v>42</v>
      </c>
      <c r="Q691" t="s">
        <v>43</v>
      </c>
      <c r="R691" t="s">
        <v>89</v>
      </c>
      <c r="S691" t="s">
        <v>45</v>
      </c>
      <c r="T691" t="s">
        <v>89</v>
      </c>
      <c r="U691" t="s">
        <v>301</v>
      </c>
      <c r="V691" t="s">
        <v>91</v>
      </c>
      <c r="W691" t="s">
        <v>92</v>
      </c>
      <c r="X691" t="s">
        <v>38</v>
      </c>
      <c r="Y691" t="s">
        <v>38</v>
      </c>
      <c r="Z691" t="s">
        <v>42</v>
      </c>
      <c r="AA691" t="s">
        <v>1522</v>
      </c>
      <c r="AB691" t="s">
        <v>38</v>
      </c>
      <c r="AC691" t="s">
        <v>45</v>
      </c>
      <c r="AD691" t="s">
        <v>48</v>
      </c>
      <c r="AG691" t="str">
        <f>IF(AD691="United States", IFERROR(INDEX(Sheet2!$C:$C, MATCH(AE691&amp;AF691, Sheet2!$E:$E, 0)) &amp; ", " &amp; INDEX(Sheet2!$D:$D, MATCH(AE691&amp;AF691, Sheet2!$E:$E, 0)), ""), "-")</f>
        <v/>
      </c>
    </row>
    <row r="692" spans="1:33" x14ac:dyDescent="0.25">
      <c r="A692" t="s">
        <v>1113</v>
      </c>
      <c r="B692" t="s">
        <v>1523</v>
      </c>
      <c r="C692" t="s">
        <v>1115</v>
      </c>
      <c r="D692" t="s">
        <v>463</v>
      </c>
      <c r="E692" t="s">
        <v>1524</v>
      </c>
      <c r="F692">
        <v>1771</v>
      </c>
      <c r="G692">
        <v>1394</v>
      </c>
      <c r="H692" t="s">
        <v>1131</v>
      </c>
      <c r="I692" t="s">
        <v>80</v>
      </c>
      <c r="J692" t="s">
        <v>1119</v>
      </c>
      <c r="K692" t="s">
        <v>38</v>
      </c>
      <c r="L692" t="s">
        <v>38</v>
      </c>
      <c r="M692" t="s">
        <v>38</v>
      </c>
      <c r="N692" t="s">
        <v>38</v>
      </c>
      <c r="O692" t="s">
        <v>54</v>
      </c>
      <c r="P692" t="s">
        <v>42</v>
      </c>
      <c r="Q692" t="s">
        <v>43</v>
      </c>
      <c r="R692" t="s">
        <v>89</v>
      </c>
      <c r="S692" t="s">
        <v>45</v>
      </c>
      <c r="T692" t="s">
        <v>89</v>
      </c>
      <c r="U692" t="s">
        <v>301</v>
      </c>
      <c r="V692" t="s">
        <v>91</v>
      </c>
      <c r="W692" t="s">
        <v>92</v>
      </c>
      <c r="X692" t="s">
        <v>38</v>
      </c>
      <c r="Y692" t="s">
        <v>38</v>
      </c>
      <c r="Z692" t="s">
        <v>42</v>
      </c>
      <c r="AA692" t="s">
        <v>1525</v>
      </c>
      <c r="AB692" t="s">
        <v>38</v>
      </c>
      <c r="AC692" t="s">
        <v>45</v>
      </c>
      <c r="AD692" t="s">
        <v>48</v>
      </c>
      <c r="AG692" t="str">
        <f>IF(AD692="United States", IFERROR(INDEX(Sheet2!$C:$C, MATCH(AE692&amp;AF692, Sheet2!$E:$E, 0)) &amp; ", " &amp; INDEX(Sheet2!$D:$D, MATCH(AE692&amp;AF692, Sheet2!$E:$E, 0)), ""), "-")</f>
        <v/>
      </c>
    </row>
    <row r="693" spans="1:33" x14ac:dyDescent="0.25">
      <c r="A693" t="s">
        <v>1113</v>
      </c>
      <c r="B693" t="s">
        <v>1526</v>
      </c>
      <c r="C693" t="s">
        <v>1115</v>
      </c>
      <c r="D693" t="s">
        <v>1527</v>
      </c>
      <c r="E693" t="s">
        <v>368</v>
      </c>
      <c r="F693">
        <v>1755</v>
      </c>
      <c r="G693">
        <v>1395</v>
      </c>
      <c r="H693" t="s">
        <v>1131</v>
      </c>
      <c r="I693" t="s">
        <v>80</v>
      </c>
      <c r="J693" t="s">
        <v>1119</v>
      </c>
      <c r="K693" t="s">
        <v>38</v>
      </c>
      <c r="L693" t="s">
        <v>38</v>
      </c>
      <c r="M693" t="s">
        <v>38</v>
      </c>
      <c r="N693" t="s">
        <v>38</v>
      </c>
      <c r="O693" t="s">
        <v>57</v>
      </c>
      <c r="P693" t="s">
        <v>42</v>
      </c>
      <c r="Q693" t="s">
        <v>43</v>
      </c>
      <c r="R693" t="s">
        <v>89</v>
      </c>
      <c r="S693" t="s">
        <v>45</v>
      </c>
      <c r="T693" t="s">
        <v>89</v>
      </c>
      <c r="U693" t="s">
        <v>301</v>
      </c>
      <c r="V693" t="s">
        <v>91</v>
      </c>
      <c r="W693" t="s">
        <v>92</v>
      </c>
      <c r="X693" t="s">
        <v>38</v>
      </c>
      <c r="Y693" t="s">
        <v>38</v>
      </c>
      <c r="Z693" t="s">
        <v>42</v>
      </c>
      <c r="AA693" t="s">
        <v>1132</v>
      </c>
      <c r="AB693" t="s">
        <v>38</v>
      </c>
      <c r="AC693" t="s">
        <v>45</v>
      </c>
      <c r="AD693" t="s">
        <v>48</v>
      </c>
      <c r="AG693" t="str">
        <f>IF(AD693="United States", IFERROR(INDEX(Sheet2!$C:$C, MATCH(AE693&amp;AF693, Sheet2!$E:$E, 0)) &amp; ", " &amp; INDEX(Sheet2!$D:$D, MATCH(AE693&amp;AF693, Sheet2!$E:$E, 0)), ""), "-")</f>
        <v/>
      </c>
    </row>
    <row r="694" spans="1:33" x14ac:dyDescent="0.25">
      <c r="A694" t="s">
        <v>1113</v>
      </c>
      <c r="B694" t="s">
        <v>1528</v>
      </c>
      <c r="C694" t="s">
        <v>1115</v>
      </c>
      <c r="D694" t="s">
        <v>980</v>
      </c>
      <c r="E694" t="s">
        <v>368</v>
      </c>
      <c r="F694">
        <v>1763</v>
      </c>
      <c r="G694">
        <v>1396</v>
      </c>
      <c r="H694" t="s">
        <v>1131</v>
      </c>
      <c r="I694" t="s">
        <v>80</v>
      </c>
      <c r="J694" t="s">
        <v>1119</v>
      </c>
      <c r="K694" t="s">
        <v>38</v>
      </c>
      <c r="L694" t="s">
        <v>38</v>
      </c>
      <c r="M694" t="s">
        <v>38</v>
      </c>
      <c r="N694" t="s">
        <v>38</v>
      </c>
      <c r="O694" t="s">
        <v>57</v>
      </c>
      <c r="P694" t="s">
        <v>42</v>
      </c>
      <c r="Q694" t="s">
        <v>43</v>
      </c>
      <c r="R694" t="s">
        <v>89</v>
      </c>
      <c r="S694" t="s">
        <v>45</v>
      </c>
      <c r="T694" t="s">
        <v>89</v>
      </c>
      <c r="U694" t="s">
        <v>301</v>
      </c>
      <c r="V694" t="s">
        <v>91</v>
      </c>
      <c r="W694" t="s">
        <v>92</v>
      </c>
      <c r="X694" t="s">
        <v>38</v>
      </c>
      <c r="Y694" t="s">
        <v>38</v>
      </c>
      <c r="Z694" t="s">
        <v>42</v>
      </c>
      <c r="AA694" t="s">
        <v>1529</v>
      </c>
      <c r="AB694" t="s">
        <v>38</v>
      </c>
      <c r="AC694" t="s">
        <v>45</v>
      </c>
      <c r="AD694" t="s">
        <v>48</v>
      </c>
      <c r="AG694" t="str">
        <f>IF(AD694="United States", IFERROR(INDEX(Sheet2!$C:$C, MATCH(AE694&amp;AF694, Sheet2!$E:$E, 0)) &amp; ", " &amp; INDEX(Sheet2!$D:$D, MATCH(AE694&amp;AF694, Sheet2!$E:$E, 0)), ""), "-")</f>
        <v/>
      </c>
    </row>
    <row r="695" spans="1:33" x14ac:dyDescent="0.25">
      <c r="A695" t="s">
        <v>1113</v>
      </c>
      <c r="B695" t="s">
        <v>1530</v>
      </c>
      <c r="C695" t="s">
        <v>1115</v>
      </c>
      <c r="D695" t="s">
        <v>245</v>
      </c>
      <c r="E695" t="s">
        <v>38</v>
      </c>
      <c r="F695">
        <v>1755</v>
      </c>
      <c r="G695">
        <v>1397</v>
      </c>
      <c r="H695" t="s">
        <v>1118</v>
      </c>
      <c r="I695" t="s">
        <v>80</v>
      </c>
      <c r="J695" t="s">
        <v>1119</v>
      </c>
      <c r="K695" t="s">
        <v>38</v>
      </c>
      <c r="L695" t="s">
        <v>38</v>
      </c>
      <c r="M695" t="s">
        <v>38</v>
      </c>
      <c r="N695" t="s">
        <v>38</v>
      </c>
      <c r="O695" t="s">
        <v>57</v>
      </c>
      <c r="P695" t="s">
        <v>42</v>
      </c>
      <c r="Q695" t="s">
        <v>43</v>
      </c>
      <c r="R695" t="s">
        <v>89</v>
      </c>
      <c r="S695" t="s">
        <v>45</v>
      </c>
      <c r="T695" t="s">
        <v>89</v>
      </c>
      <c r="U695" t="s">
        <v>301</v>
      </c>
      <c r="V695" t="s">
        <v>91</v>
      </c>
      <c r="W695" t="s">
        <v>92</v>
      </c>
      <c r="X695" t="s">
        <v>38</v>
      </c>
      <c r="Y695" t="s">
        <v>38</v>
      </c>
      <c r="Z695" t="s">
        <v>42</v>
      </c>
      <c r="AA695" t="s">
        <v>169</v>
      </c>
      <c r="AB695" t="s">
        <v>38</v>
      </c>
      <c r="AC695" t="s">
        <v>45</v>
      </c>
      <c r="AD695" t="s">
        <v>48</v>
      </c>
      <c r="AG695" t="str">
        <f>IF(AD695="United States", IFERROR(INDEX(Sheet2!$C:$C, MATCH(AE695&amp;AF695, Sheet2!$E:$E, 0)) &amp; ", " &amp; INDEX(Sheet2!$D:$D, MATCH(AE695&amp;AF695, Sheet2!$E:$E, 0)), ""), "-")</f>
        <v/>
      </c>
    </row>
    <row r="696" spans="1:33" x14ac:dyDescent="0.25">
      <c r="A696" t="s">
        <v>1113</v>
      </c>
      <c r="B696" t="s">
        <v>1531</v>
      </c>
      <c r="C696" t="s">
        <v>1115</v>
      </c>
      <c r="D696" t="s">
        <v>132</v>
      </c>
      <c r="E696" t="s">
        <v>38</v>
      </c>
      <c r="F696">
        <v>1777</v>
      </c>
      <c r="G696">
        <v>1398</v>
      </c>
      <c r="H696" t="s">
        <v>1118</v>
      </c>
      <c r="I696" t="s">
        <v>80</v>
      </c>
      <c r="J696" t="s">
        <v>1119</v>
      </c>
      <c r="K696" t="s">
        <v>38</v>
      </c>
      <c r="L696" t="s">
        <v>38</v>
      </c>
      <c r="M696" t="s">
        <v>38</v>
      </c>
      <c r="N696" t="s">
        <v>38</v>
      </c>
      <c r="O696" t="s">
        <v>54</v>
      </c>
      <c r="P696" t="s">
        <v>42</v>
      </c>
      <c r="Q696" t="s">
        <v>43</v>
      </c>
      <c r="R696" t="s">
        <v>89</v>
      </c>
      <c r="S696" t="s">
        <v>38</v>
      </c>
      <c r="T696" t="s">
        <v>89</v>
      </c>
      <c r="U696" t="s">
        <v>301</v>
      </c>
      <c r="V696" t="s">
        <v>91</v>
      </c>
      <c r="W696" t="s">
        <v>92</v>
      </c>
      <c r="X696" t="s">
        <v>38</v>
      </c>
      <c r="Y696" t="s">
        <v>38</v>
      </c>
      <c r="Z696" t="s">
        <v>42</v>
      </c>
      <c r="AA696" t="s">
        <v>38</v>
      </c>
      <c r="AB696" t="s">
        <v>38</v>
      </c>
      <c r="AC696" t="s">
        <v>38</v>
      </c>
      <c r="AD696" t="s">
        <v>48</v>
      </c>
      <c r="AG696" t="str">
        <f>IF(AD696="United States", IFERROR(INDEX(Sheet2!$C:$C, MATCH(AE696&amp;AF696, Sheet2!$E:$E, 0)) &amp; ", " &amp; INDEX(Sheet2!$D:$D, MATCH(AE696&amp;AF696, Sheet2!$E:$E, 0)), ""), "-")</f>
        <v/>
      </c>
    </row>
    <row r="697" spans="1:33" x14ac:dyDescent="0.25">
      <c r="A697" t="s">
        <v>1113</v>
      </c>
      <c r="B697" t="s">
        <v>1532</v>
      </c>
      <c r="C697" t="s">
        <v>1115</v>
      </c>
      <c r="D697" t="s">
        <v>285</v>
      </c>
      <c r="E697" t="s">
        <v>38</v>
      </c>
      <c r="F697">
        <v>1780</v>
      </c>
      <c r="G697">
        <v>1399</v>
      </c>
      <c r="H697" t="s">
        <v>1131</v>
      </c>
      <c r="I697" t="s">
        <v>80</v>
      </c>
      <c r="J697" t="s">
        <v>1119</v>
      </c>
      <c r="K697" t="s">
        <v>38</v>
      </c>
      <c r="L697" t="s">
        <v>38</v>
      </c>
      <c r="M697" t="s">
        <v>38</v>
      </c>
      <c r="N697" t="s">
        <v>38</v>
      </c>
      <c r="O697" t="s">
        <v>54</v>
      </c>
      <c r="P697" t="s">
        <v>42</v>
      </c>
      <c r="Q697" t="s">
        <v>43</v>
      </c>
      <c r="R697" t="s">
        <v>89</v>
      </c>
      <c r="S697" t="s">
        <v>38</v>
      </c>
      <c r="T697" t="s">
        <v>89</v>
      </c>
      <c r="U697" t="s">
        <v>301</v>
      </c>
      <c r="V697" t="s">
        <v>91</v>
      </c>
      <c r="W697" t="s">
        <v>92</v>
      </c>
      <c r="X697" t="s">
        <v>38</v>
      </c>
      <c r="Y697" t="s">
        <v>38</v>
      </c>
      <c r="Z697" t="s">
        <v>42</v>
      </c>
      <c r="AA697" t="s">
        <v>38</v>
      </c>
      <c r="AB697" t="s">
        <v>38</v>
      </c>
      <c r="AC697" t="s">
        <v>38</v>
      </c>
      <c r="AD697" t="s">
        <v>48</v>
      </c>
      <c r="AG697" t="str">
        <f>IF(AD697="United States", IFERROR(INDEX(Sheet2!$C:$C, MATCH(AE697&amp;AF697, Sheet2!$E:$E, 0)) &amp; ", " &amp; INDEX(Sheet2!$D:$D, MATCH(AE697&amp;AF697, Sheet2!$E:$E, 0)), ""), "-")</f>
        <v/>
      </c>
    </row>
    <row r="698" spans="1:33" x14ac:dyDescent="0.25">
      <c r="A698" t="s">
        <v>1113</v>
      </c>
      <c r="B698" t="s">
        <v>1533</v>
      </c>
      <c r="C698" t="s">
        <v>1115</v>
      </c>
      <c r="D698" t="s">
        <v>980</v>
      </c>
      <c r="E698" t="s">
        <v>1534</v>
      </c>
      <c r="F698">
        <v>1748</v>
      </c>
      <c r="G698">
        <v>1401</v>
      </c>
      <c r="H698" t="s">
        <v>1131</v>
      </c>
      <c r="I698" t="s">
        <v>80</v>
      </c>
      <c r="J698" t="s">
        <v>1119</v>
      </c>
      <c r="K698" t="s">
        <v>38</v>
      </c>
      <c r="L698" t="s">
        <v>38</v>
      </c>
      <c r="M698" t="s">
        <v>38</v>
      </c>
      <c r="N698" t="s">
        <v>38</v>
      </c>
      <c r="O698" t="s">
        <v>57</v>
      </c>
      <c r="P698" t="s">
        <v>42</v>
      </c>
      <c r="Q698" t="s">
        <v>43</v>
      </c>
      <c r="R698" t="s">
        <v>89</v>
      </c>
      <c r="S698" t="s">
        <v>89</v>
      </c>
      <c r="T698" t="s">
        <v>89</v>
      </c>
      <c r="U698" t="s">
        <v>301</v>
      </c>
      <c r="V698" t="s">
        <v>91</v>
      </c>
      <c r="W698" t="s">
        <v>92</v>
      </c>
      <c r="X698" t="s">
        <v>38</v>
      </c>
      <c r="Y698" t="s">
        <v>38</v>
      </c>
      <c r="Z698" t="s">
        <v>42</v>
      </c>
      <c r="AA698" t="s">
        <v>1535</v>
      </c>
      <c r="AB698" t="s">
        <v>38</v>
      </c>
      <c r="AC698" t="s">
        <v>89</v>
      </c>
      <c r="AD698" t="s">
        <v>48</v>
      </c>
      <c r="AG698" t="str">
        <f>IF(AD698="United States", IFERROR(INDEX(Sheet2!$C:$C, MATCH(AE698&amp;AF698, Sheet2!$E:$E, 0)) &amp; ", " &amp; INDEX(Sheet2!$D:$D, MATCH(AE698&amp;AF698, Sheet2!$E:$E, 0)), ""), "-")</f>
        <v/>
      </c>
    </row>
    <row r="699" spans="1:33" x14ac:dyDescent="0.25">
      <c r="A699" t="s">
        <v>1113</v>
      </c>
      <c r="B699" t="s">
        <v>1536</v>
      </c>
      <c r="C699" t="s">
        <v>1115</v>
      </c>
      <c r="D699" t="s">
        <v>803</v>
      </c>
      <c r="E699" t="s">
        <v>1534</v>
      </c>
      <c r="F699">
        <v>1781</v>
      </c>
      <c r="G699">
        <v>1402</v>
      </c>
      <c r="H699" t="s">
        <v>1118</v>
      </c>
      <c r="I699" t="s">
        <v>80</v>
      </c>
      <c r="J699" t="s">
        <v>1119</v>
      </c>
      <c r="K699" t="s">
        <v>38</v>
      </c>
      <c r="L699" t="s">
        <v>38</v>
      </c>
      <c r="M699" t="s">
        <v>38</v>
      </c>
      <c r="N699" t="s">
        <v>38</v>
      </c>
      <c r="O699" t="s">
        <v>54</v>
      </c>
      <c r="P699" t="s">
        <v>42</v>
      </c>
      <c r="Q699" t="s">
        <v>43</v>
      </c>
      <c r="R699" t="s">
        <v>89</v>
      </c>
      <c r="S699" t="s">
        <v>38</v>
      </c>
      <c r="T699" t="s">
        <v>89</v>
      </c>
      <c r="U699" t="s">
        <v>301</v>
      </c>
      <c r="V699" t="s">
        <v>91</v>
      </c>
      <c r="W699" t="s">
        <v>92</v>
      </c>
      <c r="X699" t="s">
        <v>38</v>
      </c>
      <c r="Y699" t="s">
        <v>38</v>
      </c>
      <c r="Z699" t="s">
        <v>42</v>
      </c>
      <c r="AA699" t="s">
        <v>38</v>
      </c>
      <c r="AB699" t="s">
        <v>38</v>
      </c>
      <c r="AC699" t="s">
        <v>38</v>
      </c>
      <c r="AD699" t="s">
        <v>48</v>
      </c>
      <c r="AG699" t="str">
        <f>IF(AD699="United States", IFERROR(INDEX(Sheet2!$C:$C, MATCH(AE699&amp;AF699, Sheet2!$E:$E, 0)) &amp; ", " &amp; INDEX(Sheet2!$D:$D, MATCH(AE699&amp;AF699, Sheet2!$E:$E, 0)), ""), "-")</f>
        <v/>
      </c>
    </row>
    <row r="700" spans="1:33" x14ac:dyDescent="0.25">
      <c r="A700" t="s">
        <v>1113</v>
      </c>
      <c r="B700" t="s">
        <v>1537</v>
      </c>
      <c r="C700" t="s">
        <v>1115</v>
      </c>
      <c r="D700" t="s">
        <v>650</v>
      </c>
      <c r="E700" t="s">
        <v>1252</v>
      </c>
      <c r="F700">
        <v>1753</v>
      </c>
      <c r="G700">
        <v>1403</v>
      </c>
      <c r="H700" t="s">
        <v>1131</v>
      </c>
      <c r="I700" t="s">
        <v>80</v>
      </c>
      <c r="J700" t="s">
        <v>1119</v>
      </c>
      <c r="K700" t="s">
        <v>38</v>
      </c>
      <c r="L700" t="s">
        <v>38</v>
      </c>
      <c r="M700" t="s">
        <v>38</v>
      </c>
      <c r="N700" t="s">
        <v>38</v>
      </c>
      <c r="O700" t="s">
        <v>57</v>
      </c>
      <c r="P700" t="s">
        <v>42</v>
      </c>
      <c r="Q700" t="s">
        <v>43</v>
      </c>
      <c r="R700" t="s">
        <v>89</v>
      </c>
      <c r="S700" t="s">
        <v>45</v>
      </c>
      <c r="T700" t="s">
        <v>89</v>
      </c>
      <c r="U700" t="s">
        <v>301</v>
      </c>
      <c r="V700" t="s">
        <v>91</v>
      </c>
      <c r="W700" t="s">
        <v>92</v>
      </c>
      <c r="X700" t="s">
        <v>38</v>
      </c>
      <c r="Y700" t="s">
        <v>38</v>
      </c>
      <c r="Z700" t="s">
        <v>42</v>
      </c>
      <c r="AA700" t="s">
        <v>241</v>
      </c>
      <c r="AB700" t="s">
        <v>38</v>
      </c>
      <c r="AC700" t="s">
        <v>45</v>
      </c>
      <c r="AD700" t="s">
        <v>48</v>
      </c>
      <c r="AG700" t="str">
        <f>IF(AD700="United States", IFERROR(INDEX(Sheet2!$C:$C, MATCH(AE700&amp;AF700, Sheet2!$E:$E, 0)) &amp; ", " &amp; INDEX(Sheet2!$D:$D, MATCH(AE700&amp;AF700, Sheet2!$E:$E, 0)), ""), "-")</f>
        <v/>
      </c>
    </row>
    <row r="701" spans="1:33" x14ac:dyDescent="0.25">
      <c r="A701" t="s">
        <v>1113</v>
      </c>
      <c r="B701" t="s">
        <v>1538</v>
      </c>
      <c r="C701" t="s">
        <v>1115</v>
      </c>
      <c r="D701" t="s">
        <v>1099</v>
      </c>
      <c r="E701" t="s">
        <v>1252</v>
      </c>
      <c r="F701">
        <v>1773</v>
      </c>
      <c r="G701">
        <v>1404</v>
      </c>
      <c r="H701" t="s">
        <v>1131</v>
      </c>
      <c r="I701" t="s">
        <v>80</v>
      </c>
      <c r="J701" t="s">
        <v>1119</v>
      </c>
      <c r="K701" t="s">
        <v>38</v>
      </c>
      <c r="L701" t="s">
        <v>38</v>
      </c>
      <c r="M701" t="s">
        <v>38</v>
      </c>
      <c r="N701" t="s">
        <v>38</v>
      </c>
      <c r="O701" t="s">
        <v>74</v>
      </c>
      <c r="P701" t="s">
        <v>42</v>
      </c>
      <c r="Q701" t="s">
        <v>43</v>
      </c>
      <c r="R701" t="s">
        <v>89</v>
      </c>
      <c r="S701" t="s">
        <v>45</v>
      </c>
      <c r="T701" t="s">
        <v>89</v>
      </c>
      <c r="U701" t="s">
        <v>301</v>
      </c>
      <c r="V701" t="s">
        <v>91</v>
      </c>
      <c r="W701" t="s">
        <v>92</v>
      </c>
      <c r="X701" t="s">
        <v>38</v>
      </c>
      <c r="Y701" t="s">
        <v>38</v>
      </c>
      <c r="Z701" t="s">
        <v>42</v>
      </c>
      <c r="AA701" t="s">
        <v>241</v>
      </c>
      <c r="AB701" t="s">
        <v>38</v>
      </c>
      <c r="AC701" t="s">
        <v>45</v>
      </c>
      <c r="AD701" t="s">
        <v>48</v>
      </c>
      <c r="AG701" t="str">
        <f>IF(AD701="United States", IFERROR(INDEX(Sheet2!$C:$C, MATCH(AE701&amp;AF701, Sheet2!$E:$E, 0)) &amp; ", " &amp; INDEX(Sheet2!$D:$D, MATCH(AE701&amp;AF701, Sheet2!$E:$E, 0)), ""), "-")</f>
        <v/>
      </c>
    </row>
    <row r="702" spans="1:33" x14ac:dyDescent="0.25">
      <c r="A702" t="s">
        <v>1113</v>
      </c>
      <c r="B702" t="s">
        <v>1539</v>
      </c>
      <c r="C702" t="s">
        <v>1115</v>
      </c>
      <c r="D702" t="s">
        <v>1214</v>
      </c>
      <c r="E702" t="s">
        <v>1524</v>
      </c>
      <c r="F702">
        <v>1754</v>
      </c>
      <c r="G702">
        <v>1405</v>
      </c>
      <c r="H702" t="s">
        <v>1131</v>
      </c>
      <c r="I702" t="s">
        <v>80</v>
      </c>
      <c r="J702" t="s">
        <v>1119</v>
      </c>
      <c r="K702" t="s">
        <v>38</v>
      </c>
      <c r="L702" t="s">
        <v>38</v>
      </c>
      <c r="M702" t="s">
        <v>38</v>
      </c>
      <c r="N702" t="s">
        <v>38</v>
      </c>
      <c r="O702" t="s">
        <v>57</v>
      </c>
      <c r="P702" t="s">
        <v>42</v>
      </c>
      <c r="Q702" t="s">
        <v>43</v>
      </c>
      <c r="R702" t="s">
        <v>89</v>
      </c>
      <c r="S702" t="s">
        <v>45</v>
      </c>
      <c r="T702" t="s">
        <v>89</v>
      </c>
      <c r="U702" t="s">
        <v>301</v>
      </c>
      <c r="V702" t="s">
        <v>91</v>
      </c>
      <c r="W702" t="s">
        <v>92</v>
      </c>
      <c r="X702" t="s">
        <v>38</v>
      </c>
      <c r="Y702" t="s">
        <v>38</v>
      </c>
      <c r="Z702" t="s">
        <v>42</v>
      </c>
      <c r="AA702" t="s">
        <v>1485</v>
      </c>
      <c r="AB702" t="s">
        <v>38</v>
      </c>
      <c r="AC702" t="s">
        <v>45</v>
      </c>
      <c r="AD702" t="s">
        <v>48</v>
      </c>
      <c r="AG702" t="str">
        <f>IF(AD702="United States", IFERROR(INDEX(Sheet2!$C:$C, MATCH(AE702&amp;AF702, Sheet2!$E:$E, 0)) &amp; ", " &amp; INDEX(Sheet2!$D:$D, MATCH(AE702&amp;AF702, Sheet2!$E:$E, 0)), ""), "-")</f>
        <v/>
      </c>
    </row>
    <row r="703" spans="1:33" x14ac:dyDescent="0.25">
      <c r="A703" t="s">
        <v>1113</v>
      </c>
      <c r="B703" t="s">
        <v>1540</v>
      </c>
      <c r="C703" t="s">
        <v>1115</v>
      </c>
      <c r="D703" t="s">
        <v>1541</v>
      </c>
      <c r="E703" t="s">
        <v>1524</v>
      </c>
      <c r="F703">
        <v>1776</v>
      </c>
      <c r="G703">
        <v>1406</v>
      </c>
      <c r="H703" t="s">
        <v>1131</v>
      </c>
      <c r="I703" t="s">
        <v>80</v>
      </c>
      <c r="J703" t="s">
        <v>1119</v>
      </c>
      <c r="K703" t="s">
        <v>38</v>
      </c>
      <c r="L703" t="s">
        <v>38</v>
      </c>
      <c r="M703" t="s">
        <v>38</v>
      </c>
      <c r="N703" t="s">
        <v>38</v>
      </c>
      <c r="O703" t="s">
        <v>74</v>
      </c>
      <c r="P703" t="s">
        <v>42</v>
      </c>
      <c r="Q703" t="s">
        <v>43</v>
      </c>
      <c r="R703" t="s">
        <v>89</v>
      </c>
      <c r="S703" t="s">
        <v>45</v>
      </c>
      <c r="T703" t="s">
        <v>89</v>
      </c>
      <c r="U703" t="s">
        <v>301</v>
      </c>
      <c r="V703" t="s">
        <v>91</v>
      </c>
      <c r="W703" t="s">
        <v>92</v>
      </c>
      <c r="X703" t="s">
        <v>38</v>
      </c>
      <c r="Y703" t="s">
        <v>38</v>
      </c>
      <c r="Z703" t="s">
        <v>42</v>
      </c>
      <c r="AA703" t="s">
        <v>1485</v>
      </c>
      <c r="AB703" t="s">
        <v>38</v>
      </c>
      <c r="AC703" t="s">
        <v>45</v>
      </c>
      <c r="AD703" t="s">
        <v>48</v>
      </c>
      <c r="AG703" t="str">
        <f>IF(AD703="United States", IFERROR(INDEX(Sheet2!$C:$C, MATCH(AE703&amp;AF703, Sheet2!$E:$E, 0)) &amp; ", " &amp; INDEX(Sheet2!$D:$D, MATCH(AE703&amp;AF703, Sheet2!$E:$E, 0)), ""), "-")</f>
        <v/>
      </c>
    </row>
    <row r="704" spans="1:33" x14ac:dyDescent="0.25">
      <c r="A704" t="s">
        <v>1113</v>
      </c>
      <c r="B704" t="s">
        <v>1542</v>
      </c>
      <c r="C704" t="s">
        <v>1115</v>
      </c>
      <c r="D704" t="s">
        <v>1543</v>
      </c>
      <c r="E704" t="s">
        <v>1524</v>
      </c>
      <c r="F704">
        <v>1778</v>
      </c>
      <c r="G704">
        <v>1407</v>
      </c>
      <c r="H704" t="s">
        <v>1131</v>
      </c>
      <c r="I704" t="s">
        <v>80</v>
      </c>
      <c r="J704" t="s">
        <v>1119</v>
      </c>
      <c r="K704" t="s">
        <v>38</v>
      </c>
      <c r="L704" t="s">
        <v>38</v>
      </c>
      <c r="M704" t="s">
        <v>38</v>
      </c>
      <c r="N704" t="s">
        <v>38</v>
      </c>
      <c r="O704" t="s">
        <v>54</v>
      </c>
      <c r="P704" t="s">
        <v>42</v>
      </c>
      <c r="Q704" t="s">
        <v>43</v>
      </c>
      <c r="R704" t="s">
        <v>89</v>
      </c>
      <c r="S704" t="s">
        <v>38</v>
      </c>
      <c r="T704" t="s">
        <v>89</v>
      </c>
      <c r="U704" t="s">
        <v>301</v>
      </c>
      <c r="V704" t="s">
        <v>91</v>
      </c>
      <c r="W704" t="s">
        <v>92</v>
      </c>
      <c r="X704" t="s">
        <v>38</v>
      </c>
      <c r="Y704" t="s">
        <v>38</v>
      </c>
      <c r="Z704" t="s">
        <v>42</v>
      </c>
      <c r="AA704" t="s">
        <v>38</v>
      </c>
      <c r="AB704" t="s">
        <v>38</v>
      </c>
      <c r="AC704" t="s">
        <v>38</v>
      </c>
      <c r="AD704" t="s">
        <v>48</v>
      </c>
      <c r="AG704" t="str">
        <f>IF(AD704="United States", IFERROR(INDEX(Sheet2!$C:$C, MATCH(AE704&amp;AF704, Sheet2!$E:$E, 0)) &amp; ", " &amp; INDEX(Sheet2!$D:$D, MATCH(AE704&amp;AF704, Sheet2!$E:$E, 0)), ""), "-")</f>
        <v/>
      </c>
    </row>
    <row r="705" spans="1:33" x14ac:dyDescent="0.25">
      <c r="A705" t="s">
        <v>1113</v>
      </c>
      <c r="B705" t="s">
        <v>1321</v>
      </c>
      <c r="C705" t="s">
        <v>1115</v>
      </c>
      <c r="D705" t="s">
        <v>334</v>
      </c>
      <c r="E705" t="s">
        <v>448</v>
      </c>
      <c r="F705">
        <v>1757</v>
      </c>
      <c r="G705">
        <v>1112</v>
      </c>
      <c r="H705" t="s">
        <v>1131</v>
      </c>
      <c r="I705" t="s">
        <v>80</v>
      </c>
      <c r="J705" t="s">
        <v>1119</v>
      </c>
      <c r="K705" t="s">
        <v>38</v>
      </c>
      <c r="L705" t="s">
        <v>38</v>
      </c>
      <c r="M705" t="s">
        <v>38</v>
      </c>
      <c r="N705" t="s">
        <v>38</v>
      </c>
      <c r="O705" t="s">
        <v>41</v>
      </c>
      <c r="P705" t="s">
        <v>42</v>
      </c>
      <c r="Q705" t="s">
        <v>43</v>
      </c>
      <c r="R705" t="s">
        <v>89</v>
      </c>
      <c r="S705" t="s">
        <v>45</v>
      </c>
      <c r="T705" t="s">
        <v>89</v>
      </c>
      <c r="U705" t="s">
        <v>301</v>
      </c>
      <c r="V705" t="s">
        <v>91</v>
      </c>
      <c r="W705" t="s">
        <v>92</v>
      </c>
      <c r="X705" t="s">
        <v>38</v>
      </c>
      <c r="Y705" t="s">
        <v>38</v>
      </c>
      <c r="Z705" t="s">
        <v>42</v>
      </c>
      <c r="AA705" t="s">
        <v>1322</v>
      </c>
      <c r="AB705" t="s">
        <v>38</v>
      </c>
      <c r="AC705" t="s">
        <v>45</v>
      </c>
      <c r="AD705" t="s">
        <v>48</v>
      </c>
      <c r="AG705" t="str">
        <f>IF(AD705="United States", IFERROR(INDEX(Sheet2!$C:$C, MATCH(AE705&amp;AF705, Sheet2!$E:$E, 0)) &amp; ", " &amp; INDEX(Sheet2!$D:$D, MATCH(AE705&amp;AF705, Sheet2!$E:$E, 0)), ""), "-")</f>
        <v/>
      </c>
    </row>
    <row r="706" spans="1:33" x14ac:dyDescent="0.25">
      <c r="A706" t="s">
        <v>1113</v>
      </c>
      <c r="B706" t="s">
        <v>1286</v>
      </c>
      <c r="C706" t="s">
        <v>1115</v>
      </c>
      <c r="D706" t="s">
        <v>343</v>
      </c>
      <c r="E706" t="s">
        <v>268</v>
      </c>
      <c r="F706">
        <v>1746</v>
      </c>
      <c r="G706">
        <v>1111</v>
      </c>
      <c r="H706" t="s">
        <v>1131</v>
      </c>
      <c r="I706" t="s">
        <v>80</v>
      </c>
      <c r="J706" t="s">
        <v>1119</v>
      </c>
      <c r="K706" t="s">
        <v>38</v>
      </c>
      <c r="L706" t="s">
        <v>38</v>
      </c>
      <c r="M706" t="s">
        <v>38</v>
      </c>
      <c r="N706" t="s">
        <v>38</v>
      </c>
      <c r="O706" t="s">
        <v>41</v>
      </c>
      <c r="P706" t="s">
        <v>42</v>
      </c>
      <c r="Q706" t="s">
        <v>43</v>
      </c>
      <c r="R706" t="s">
        <v>89</v>
      </c>
      <c r="S706" t="s">
        <v>45</v>
      </c>
      <c r="T706" t="s">
        <v>89</v>
      </c>
      <c r="U706" t="s">
        <v>301</v>
      </c>
      <c r="V706" t="s">
        <v>91</v>
      </c>
      <c r="W706" t="s">
        <v>92</v>
      </c>
      <c r="X706" t="s">
        <v>38</v>
      </c>
      <c r="Y706" t="s">
        <v>38</v>
      </c>
      <c r="Z706" t="s">
        <v>42</v>
      </c>
      <c r="AA706" t="s">
        <v>1287</v>
      </c>
      <c r="AB706" t="s">
        <v>38</v>
      </c>
      <c r="AC706" t="s">
        <v>45</v>
      </c>
      <c r="AD706" t="s">
        <v>48</v>
      </c>
      <c r="AG706" t="str">
        <f>IF(AD706="United States", IFERROR(INDEX(Sheet2!$C:$C, MATCH(AE706&amp;AF706, Sheet2!$E:$E, 0)) &amp; ", " &amp; INDEX(Sheet2!$D:$D, MATCH(AE706&amp;AF706, Sheet2!$E:$E, 0)), ""), "-")</f>
        <v/>
      </c>
    </row>
    <row r="707" spans="1:33" x14ac:dyDescent="0.25">
      <c r="A707" t="s">
        <v>1113</v>
      </c>
      <c r="B707" t="s">
        <v>1266</v>
      </c>
      <c r="C707" t="s">
        <v>1115</v>
      </c>
      <c r="D707" t="s">
        <v>334</v>
      </c>
      <c r="E707" t="s">
        <v>1267</v>
      </c>
      <c r="F707">
        <v>1759</v>
      </c>
      <c r="G707">
        <v>1110</v>
      </c>
      <c r="H707" t="s">
        <v>1131</v>
      </c>
      <c r="I707" t="s">
        <v>80</v>
      </c>
      <c r="J707" t="s">
        <v>1119</v>
      </c>
      <c r="K707" t="s">
        <v>38</v>
      </c>
      <c r="L707" t="s">
        <v>38</v>
      </c>
      <c r="M707" t="s">
        <v>38</v>
      </c>
      <c r="N707" t="s">
        <v>38</v>
      </c>
      <c r="O707" t="s">
        <v>41</v>
      </c>
      <c r="P707" t="s">
        <v>42</v>
      </c>
      <c r="Q707" t="s">
        <v>43</v>
      </c>
      <c r="R707" t="s">
        <v>89</v>
      </c>
      <c r="S707" t="s">
        <v>45</v>
      </c>
      <c r="T707" t="s">
        <v>89</v>
      </c>
      <c r="U707" t="s">
        <v>301</v>
      </c>
      <c r="V707" t="s">
        <v>91</v>
      </c>
      <c r="W707" t="s">
        <v>92</v>
      </c>
      <c r="X707" t="s">
        <v>38</v>
      </c>
      <c r="Y707" t="s">
        <v>38</v>
      </c>
      <c r="Z707" t="s">
        <v>42</v>
      </c>
      <c r="AA707" t="s">
        <v>1244</v>
      </c>
      <c r="AB707" t="s">
        <v>38</v>
      </c>
      <c r="AC707" t="s">
        <v>45</v>
      </c>
      <c r="AD707" t="s">
        <v>48</v>
      </c>
      <c r="AG707" t="str">
        <f>IF(AD707="United States", IFERROR(INDEX(Sheet2!$C:$C, MATCH(AE707&amp;AF707, Sheet2!$E:$E, 0)) &amp; ", " &amp; INDEX(Sheet2!$D:$D, MATCH(AE707&amp;AF707, Sheet2!$E:$E, 0)), ""), "-")</f>
        <v/>
      </c>
    </row>
    <row r="708" spans="1:33" x14ac:dyDescent="0.25">
      <c r="A708" t="s">
        <v>1113</v>
      </c>
      <c r="B708" t="s">
        <v>1128</v>
      </c>
      <c r="C708" t="s">
        <v>1115</v>
      </c>
      <c r="D708" t="s">
        <v>1129</v>
      </c>
      <c r="E708" t="s">
        <v>1130</v>
      </c>
      <c r="F708">
        <v>1764</v>
      </c>
      <c r="G708">
        <v>1109</v>
      </c>
      <c r="H708" t="s">
        <v>1131</v>
      </c>
      <c r="I708" t="s">
        <v>80</v>
      </c>
      <c r="J708" t="s">
        <v>1119</v>
      </c>
      <c r="K708" t="s">
        <v>38</v>
      </c>
      <c r="L708" t="s">
        <v>38</v>
      </c>
      <c r="M708" t="s">
        <v>38</v>
      </c>
      <c r="N708" t="s">
        <v>38</v>
      </c>
      <c r="O708" t="s">
        <v>41</v>
      </c>
      <c r="P708" t="s">
        <v>42</v>
      </c>
      <c r="Q708" t="s">
        <v>43</v>
      </c>
      <c r="R708" t="s">
        <v>89</v>
      </c>
      <c r="S708" t="s">
        <v>45</v>
      </c>
      <c r="T708" t="s">
        <v>89</v>
      </c>
      <c r="U708" t="s">
        <v>301</v>
      </c>
      <c r="V708" t="s">
        <v>91</v>
      </c>
      <c r="W708" t="s">
        <v>92</v>
      </c>
      <c r="X708" t="s">
        <v>38</v>
      </c>
      <c r="Y708" t="s">
        <v>38</v>
      </c>
      <c r="Z708" t="s">
        <v>42</v>
      </c>
      <c r="AA708" t="s">
        <v>1129</v>
      </c>
      <c r="AB708" t="s">
        <v>1130</v>
      </c>
      <c r="AC708" t="s">
        <v>1132</v>
      </c>
      <c r="AD708" t="s">
        <v>48</v>
      </c>
      <c r="AG708" t="str">
        <f>IF(AD708="United States", IFERROR(INDEX(Sheet2!$C:$C, MATCH(AE708&amp;AF708, Sheet2!$E:$E, 0)) &amp; ", " &amp; INDEX(Sheet2!$D:$D, MATCH(AE708&amp;AF708, Sheet2!$E:$E, 0)), ""), "-")</f>
        <v/>
      </c>
    </row>
    <row r="709" spans="1:33" x14ac:dyDescent="0.25">
      <c r="A709" t="s">
        <v>1113</v>
      </c>
      <c r="B709" t="s">
        <v>1136</v>
      </c>
      <c r="C709" t="s">
        <v>1115</v>
      </c>
      <c r="D709" t="s">
        <v>200</v>
      </c>
      <c r="E709" t="s">
        <v>448</v>
      </c>
      <c r="F709">
        <v>1760</v>
      </c>
      <c r="G709">
        <v>1108</v>
      </c>
      <c r="H709" t="s">
        <v>1118</v>
      </c>
      <c r="I709" t="s">
        <v>80</v>
      </c>
      <c r="J709" t="s">
        <v>1119</v>
      </c>
      <c r="K709" t="s">
        <v>38</v>
      </c>
      <c r="L709" t="s">
        <v>38</v>
      </c>
      <c r="M709" t="s">
        <v>38</v>
      </c>
      <c r="N709" t="s">
        <v>38</v>
      </c>
      <c r="O709" t="s">
        <v>41</v>
      </c>
      <c r="P709" t="s">
        <v>42</v>
      </c>
      <c r="Q709" t="s">
        <v>43</v>
      </c>
      <c r="R709" t="s">
        <v>89</v>
      </c>
      <c r="S709" t="s">
        <v>45</v>
      </c>
      <c r="T709" t="s">
        <v>89</v>
      </c>
      <c r="U709" t="s">
        <v>301</v>
      </c>
      <c r="V709" t="s">
        <v>91</v>
      </c>
      <c r="W709" t="s">
        <v>92</v>
      </c>
      <c r="X709" t="s">
        <v>38</v>
      </c>
      <c r="Y709" t="s">
        <v>38</v>
      </c>
      <c r="Z709" t="s">
        <v>42</v>
      </c>
      <c r="AA709" t="s">
        <v>1137</v>
      </c>
      <c r="AB709" t="s">
        <v>38</v>
      </c>
      <c r="AC709" t="s">
        <v>45</v>
      </c>
      <c r="AD709" t="s">
        <v>48</v>
      </c>
      <c r="AG709" t="str">
        <f>IF(AD709="United States", IFERROR(INDEX(Sheet2!$C:$C, MATCH(AE709&amp;AF709, Sheet2!$E:$E, 0)) &amp; ", " &amp; INDEX(Sheet2!$D:$D, MATCH(AE709&amp;AF709, Sheet2!$E:$E, 0)), ""), "-")</f>
        <v/>
      </c>
    </row>
    <row r="710" spans="1:33" x14ac:dyDescent="0.25">
      <c r="A710" t="s">
        <v>1113</v>
      </c>
      <c r="B710" t="s">
        <v>1251</v>
      </c>
      <c r="C710" t="s">
        <v>1115</v>
      </c>
      <c r="D710" t="s">
        <v>621</v>
      </c>
      <c r="E710" t="s">
        <v>1252</v>
      </c>
      <c r="F710">
        <v>1743</v>
      </c>
      <c r="G710">
        <v>1107</v>
      </c>
      <c r="H710" t="s">
        <v>1118</v>
      </c>
      <c r="I710" t="s">
        <v>80</v>
      </c>
      <c r="J710" t="s">
        <v>1119</v>
      </c>
      <c r="K710" t="s">
        <v>38</v>
      </c>
      <c r="L710" t="s">
        <v>38</v>
      </c>
      <c r="M710" t="s">
        <v>38</v>
      </c>
      <c r="N710" t="s">
        <v>38</v>
      </c>
      <c r="O710" t="s">
        <v>41</v>
      </c>
      <c r="P710" t="s">
        <v>42</v>
      </c>
      <c r="Q710" t="s">
        <v>43</v>
      </c>
      <c r="R710" t="s">
        <v>89</v>
      </c>
      <c r="S710" t="s">
        <v>45</v>
      </c>
      <c r="T710" t="s">
        <v>89</v>
      </c>
      <c r="U710" t="s">
        <v>301</v>
      </c>
      <c r="V710" t="s">
        <v>91</v>
      </c>
      <c r="W710" t="s">
        <v>92</v>
      </c>
      <c r="X710" t="s">
        <v>38</v>
      </c>
      <c r="Y710" t="s">
        <v>38</v>
      </c>
      <c r="Z710" t="s">
        <v>42</v>
      </c>
      <c r="AA710" t="s">
        <v>241</v>
      </c>
      <c r="AB710" t="s">
        <v>38</v>
      </c>
      <c r="AC710" t="s">
        <v>45</v>
      </c>
      <c r="AD710" t="s">
        <v>48</v>
      </c>
      <c r="AG710" t="str">
        <f>IF(AD710="United States", IFERROR(INDEX(Sheet2!$C:$C, MATCH(AE710&amp;AF710, Sheet2!$E:$E, 0)) &amp; ", " &amp; INDEX(Sheet2!$D:$D, MATCH(AE710&amp;AF710, Sheet2!$E:$E, 0)), ""), "-")</f>
        <v/>
      </c>
    </row>
    <row r="711" spans="1:33" x14ac:dyDescent="0.25">
      <c r="A711" t="s">
        <v>1113</v>
      </c>
      <c r="B711" t="s">
        <v>1248</v>
      </c>
      <c r="C711" t="s">
        <v>1115</v>
      </c>
      <c r="D711" t="s">
        <v>1249</v>
      </c>
      <c r="E711" t="s">
        <v>1250</v>
      </c>
      <c r="F711">
        <v>1733</v>
      </c>
      <c r="G711">
        <v>1106</v>
      </c>
      <c r="H711" t="s">
        <v>38</v>
      </c>
      <c r="I711" t="s">
        <v>80</v>
      </c>
      <c r="J711" t="s">
        <v>1119</v>
      </c>
      <c r="K711" t="s">
        <v>38</v>
      </c>
      <c r="L711" t="s">
        <v>38</v>
      </c>
      <c r="M711" t="s">
        <v>38</v>
      </c>
      <c r="N711" t="s">
        <v>38</v>
      </c>
      <c r="O711" t="s">
        <v>41</v>
      </c>
      <c r="P711" t="s">
        <v>42</v>
      </c>
      <c r="Q711" t="s">
        <v>43</v>
      </c>
      <c r="R711" t="s">
        <v>38</v>
      </c>
      <c r="S711" t="s">
        <v>38</v>
      </c>
      <c r="T711" t="s">
        <v>38</v>
      </c>
      <c r="U711" t="s">
        <v>38</v>
      </c>
      <c r="V711" t="s">
        <v>91</v>
      </c>
      <c r="W711" t="s">
        <v>38</v>
      </c>
      <c r="X711" t="s">
        <v>38</v>
      </c>
      <c r="Y711" t="s">
        <v>38</v>
      </c>
      <c r="Z711" t="s">
        <v>42</v>
      </c>
      <c r="AA711" t="s">
        <v>38</v>
      </c>
      <c r="AB711" t="s">
        <v>38</v>
      </c>
      <c r="AC711" t="s">
        <v>70</v>
      </c>
      <c r="AD711" t="s">
        <v>48</v>
      </c>
      <c r="AG711" t="str">
        <f>IF(AD711="United States", IFERROR(INDEX(Sheet2!$C:$C, MATCH(AE711&amp;AF711, Sheet2!$E:$E, 0)) &amp; ", " &amp; INDEX(Sheet2!$D:$D, MATCH(AE711&amp;AF711, Sheet2!$E:$E, 0)), ""), "-")</f>
        <v/>
      </c>
    </row>
    <row r="712" spans="1:33" x14ac:dyDescent="0.25">
      <c r="A712" t="s">
        <v>1113</v>
      </c>
      <c r="B712" t="s">
        <v>1245</v>
      </c>
      <c r="C712" t="s">
        <v>1115</v>
      </c>
      <c r="D712" t="s">
        <v>210</v>
      </c>
      <c r="E712" t="s">
        <v>1246</v>
      </c>
      <c r="F712">
        <v>1764</v>
      </c>
      <c r="G712">
        <v>1105</v>
      </c>
      <c r="H712" t="s">
        <v>1118</v>
      </c>
      <c r="I712" t="s">
        <v>80</v>
      </c>
      <c r="J712" t="s">
        <v>1119</v>
      </c>
      <c r="K712" t="s">
        <v>38</v>
      </c>
      <c r="L712" t="s">
        <v>38</v>
      </c>
      <c r="M712" t="s">
        <v>38</v>
      </c>
      <c r="N712" t="s">
        <v>38</v>
      </c>
      <c r="O712" t="s">
        <v>41</v>
      </c>
      <c r="P712" t="s">
        <v>42</v>
      </c>
      <c r="Q712" t="s">
        <v>43</v>
      </c>
      <c r="R712" t="s">
        <v>89</v>
      </c>
      <c r="S712" t="s">
        <v>45</v>
      </c>
      <c r="T712" t="s">
        <v>89</v>
      </c>
      <c r="U712" t="s">
        <v>301</v>
      </c>
      <c r="V712" t="s">
        <v>91</v>
      </c>
      <c r="W712" t="s">
        <v>92</v>
      </c>
      <c r="X712" t="s">
        <v>38</v>
      </c>
      <c r="Y712" t="s">
        <v>38</v>
      </c>
      <c r="Z712" t="s">
        <v>42</v>
      </c>
      <c r="AA712" t="s">
        <v>1247</v>
      </c>
      <c r="AB712" t="s">
        <v>38</v>
      </c>
      <c r="AC712" t="s">
        <v>45</v>
      </c>
      <c r="AD712" t="s">
        <v>48</v>
      </c>
      <c r="AG712" t="str">
        <f>IF(AD712="United States", IFERROR(INDEX(Sheet2!$C:$C, MATCH(AE712&amp;AF712, Sheet2!$E:$E, 0)) &amp; ", " &amp; INDEX(Sheet2!$D:$D, MATCH(AE712&amp;AF712, Sheet2!$E:$E, 0)), ""), "-")</f>
        <v/>
      </c>
    </row>
    <row r="713" spans="1:33" x14ac:dyDescent="0.25">
      <c r="A713" t="s">
        <v>1113</v>
      </c>
      <c r="B713" t="s">
        <v>1544</v>
      </c>
      <c r="C713" t="s">
        <v>1115</v>
      </c>
      <c r="D713" t="s">
        <v>140</v>
      </c>
      <c r="E713" t="s">
        <v>268</v>
      </c>
      <c r="F713">
        <v>1743</v>
      </c>
      <c r="G713">
        <v>1408</v>
      </c>
      <c r="H713" t="s">
        <v>1131</v>
      </c>
      <c r="I713" t="s">
        <v>80</v>
      </c>
      <c r="J713" t="s">
        <v>1119</v>
      </c>
      <c r="K713" t="s">
        <v>38</v>
      </c>
      <c r="L713" t="s">
        <v>38</v>
      </c>
      <c r="M713" t="s">
        <v>38</v>
      </c>
      <c r="N713" t="s">
        <v>38</v>
      </c>
      <c r="O713" t="s">
        <v>57</v>
      </c>
      <c r="P713" t="s">
        <v>42</v>
      </c>
      <c r="Q713" t="s">
        <v>43</v>
      </c>
      <c r="R713" t="s">
        <v>89</v>
      </c>
      <c r="S713" t="s">
        <v>45</v>
      </c>
      <c r="T713" t="s">
        <v>89</v>
      </c>
      <c r="U713" t="s">
        <v>301</v>
      </c>
      <c r="V713" t="s">
        <v>91</v>
      </c>
      <c r="W713" t="s">
        <v>92</v>
      </c>
      <c r="X713" t="s">
        <v>38</v>
      </c>
      <c r="Y713" t="s">
        <v>38</v>
      </c>
      <c r="Z713" t="s">
        <v>42</v>
      </c>
      <c r="AA713" t="s">
        <v>241</v>
      </c>
      <c r="AB713" t="s">
        <v>38</v>
      </c>
      <c r="AC713" t="s">
        <v>45</v>
      </c>
      <c r="AD713" t="s">
        <v>48</v>
      </c>
      <c r="AG713" t="str">
        <f>IF(AD713="United States", IFERROR(INDEX(Sheet2!$C:$C, MATCH(AE713&amp;AF713, Sheet2!$E:$E, 0)) &amp; ", " &amp; INDEX(Sheet2!$D:$D, MATCH(AE713&amp;AF713, Sheet2!$E:$E, 0)), ""), "-")</f>
        <v/>
      </c>
    </row>
    <row r="714" spans="1:33" x14ac:dyDescent="0.25">
      <c r="A714" t="s">
        <v>1113</v>
      </c>
      <c r="B714" t="s">
        <v>1545</v>
      </c>
      <c r="C714" t="s">
        <v>1115</v>
      </c>
      <c r="D714" t="s">
        <v>190</v>
      </c>
      <c r="E714" t="s">
        <v>448</v>
      </c>
      <c r="F714">
        <v>1753</v>
      </c>
      <c r="G714">
        <v>1409</v>
      </c>
      <c r="H714" t="s">
        <v>1118</v>
      </c>
      <c r="I714" t="s">
        <v>80</v>
      </c>
      <c r="J714" t="s">
        <v>1119</v>
      </c>
      <c r="K714" t="s">
        <v>38</v>
      </c>
      <c r="L714" t="s">
        <v>38</v>
      </c>
      <c r="M714" t="s">
        <v>38</v>
      </c>
      <c r="N714" t="s">
        <v>38</v>
      </c>
      <c r="O714" t="s">
        <v>57</v>
      </c>
      <c r="P714" t="s">
        <v>42</v>
      </c>
      <c r="Q714" t="s">
        <v>43</v>
      </c>
      <c r="R714" t="s">
        <v>89</v>
      </c>
      <c r="S714" t="s">
        <v>45</v>
      </c>
      <c r="T714" t="s">
        <v>89</v>
      </c>
      <c r="U714" t="s">
        <v>301</v>
      </c>
      <c r="V714" t="s">
        <v>91</v>
      </c>
      <c r="W714" t="s">
        <v>92</v>
      </c>
      <c r="X714" t="s">
        <v>38</v>
      </c>
      <c r="Y714" t="s">
        <v>38</v>
      </c>
      <c r="Z714" t="s">
        <v>42</v>
      </c>
      <c r="AA714" t="s">
        <v>780</v>
      </c>
      <c r="AB714" t="s">
        <v>38</v>
      </c>
      <c r="AC714" t="s">
        <v>45</v>
      </c>
      <c r="AD714" t="s">
        <v>48</v>
      </c>
      <c r="AG714" t="str">
        <f>IF(AD714="United States", IFERROR(INDEX(Sheet2!$C:$C, MATCH(AE714&amp;AF714, Sheet2!$E:$E, 0)) &amp; ", " &amp; INDEX(Sheet2!$D:$D, MATCH(AE714&amp;AF714, Sheet2!$E:$E, 0)), ""), "-")</f>
        <v/>
      </c>
    </row>
    <row r="715" spans="1:33" x14ac:dyDescent="0.25">
      <c r="A715" t="s">
        <v>1113</v>
      </c>
      <c r="B715" t="s">
        <v>1546</v>
      </c>
      <c r="C715" t="s">
        <v>1115</v>
      </c>
      <c r="D715" t="s">
        <v>210</v>
      </c>
      <c r="E715" t="s">
        <v>191</v>
      </c>
      <c r="F715">
        <v>1757</v>
      </c>
      <c r="G715">
        <v>1440</v>
      </c>
      <c r="H715" t="s">
        <v>1118</v>
      </c>
      <c r="I715" t="s">
        <v>80</v>
      </c>
      <c r="J715" t="s">
        <v>1119</v>
      </c>
      <c r="K715" t="s">
        <v>38</v>
      </c>
      <c r="L715" t="s">
        <v>38</v>
      </c>
      <c r="M715" t="s">
        <v>38</v>
      </c>
      <c r="N715" t="s">
        <v>38</v>
      </c>
      <c r="O715" t="s">
        <v>41</v>
      </c>
      <c r="P715" t="s">
        <v>42</v>
      </c>
      <c r="Q715" t="s">
        <v>43</v>
      </c>
      <c r="R715" t="s">
        <v>89</v>
      </c>
      <c r="S715" t="s">
        <v>45</v>
      </c>
      <c r="T715" t="s">
        <v>89</v>
      </c>
      <c r="U715" t="s">
        <v>301</v>
      </c>
      <c r="V715" t="s">
        <v>91</v>
      </c>
      <c r="W715" t="s">
        <v>92</v>
      </c>
      <c r="X715" t="s">
        <v>38</v>
      </c>
      <c r="Y715" t="s">
        <v>38</v>
      </c>
      <c r="Z715" t="s">
        <v>42</v>
      </c>
      <c r="AA715" t="s">
        <v>38</v>
      </c>
      <c r="AB715" t="s">
        <v>38</v>
      </c>
      <c r="AC715" t="s">
        <v>45</v>
      </c>
      <c r="AD715" t="s">
        <v>48</v>
      </c>
      <c r="AG715" t="str">
        <f>IF(AD715="United States", IFERROR(INDEX(Sheet2!$C:$C, MATCH(AE715&amp;AF715, Sheet2!$E:$E, 0)) &amp; ", " &amp; INDEX(Sheet2!$D:$D, MATCH(AE715&amp;AF715, Sheet2!$E:$E, 0)), ""), "-")</f>
        <v/>
      </c>
    </row>
    <row r="716" spans="1:33" x14ac:dyDescent="0.25">
      <c r="A716" t="s">
        <v>1113</v>
      </c>
      <c r="B716" t="s">
        <v>1547</v>
      </c>
      <c r="C716" t="s">
        <v>1115</v>
      </c>
      <c r="D716" t="s">
        <v>334</v>
      </c>
      <c r="E716" t="s">
        <v>1548</v>
      </c>
      <c r="F716">
        <v>1760</v>
      </c>
      <c r="G716">
        <v>1441</v>
      </c>
      <c r="H716" t="s">
        <v>1131</v>
      </c>
      <c r="I716" t="s">
        <v>80</v>
      </c>
      <c r="J716" t="s">
        <v>1119</v>
      </c>
      <c r="K716" t="s">
        <v>38</v>
      </c>
      <c r="L716" t="s">
        <v>38</v>
      </c>
      <c r="M716" t="s">
        <v>38</v>
      </c>
      <c r="N716" t="s">
        <v>38</v>
      </c>
      <c r="O716" t="s">
        <v>41</v>
      </c>
      <c r="P716" t="s">
        <v>42</v>
      </c>
      <c r="Q716" t="s">
        <v>43</v>
      </c>
      <c r="R716" t="s">
        <v>89</v>
      </c>
      <c r="S716" t="s">
        <v>153</v>
      </c>
      <c r="T716" t="s">
        <v>89</v>
      </c>
      <c r="U716" t="s">
        <v>301</v>
      </c>
      <c r="V716" t="s">
        <v>91</v>
      </c>
      <c r="W716" t="s">
        <v>92</v>
      </c>
      <c r="X716" t="s">
        <v>38</v>
      </c>
      <c r="Y716" t="s">
        <v>38</v>
      </c>
      <c r="Z716" t="s">
        <v>42</v>
      </c>
      <c r="AA716" t="s">
        <v>155</v>
      </c>
      <c r="AB716" t="s">
        <v>38</v>
      </c>
      <c r="AC716" t="s">
        <v>153</v>
      </c>
      <c r="AD716" t="s">
        <v>48</v>
      </c>
      <c r="AG716" t="str">
        <f>IF(AD716="United States", IFERROR(INDEX(Sheet2!$C:$C, MATCH(AE716&amp;AF716, Sheet2!$E:$E, 0)) &amp; ", " &amp; INDEX(Sheet2!$D:$D, MATCH(AE716&amp;AF716, Sheet2!$E:$E, 0)), ""), "-")</f>
        <v/>
      </c>
    </row>
    <row r="717" spans="1:33" x14ac:dyDescent="0.25">
      <c r="A717" t="s">
        <v>1113</v>
      </c>
      <c r="B717" t="s">
        <v>1549</v>
      </c>
      <c r="C717" t="s">
        <v>1115</v>
      </c>
      <c r="D717" t="s">
        <v>388</v>
      </c>
      <c r="E717" t="s">
        <v>37</v>
      </c>
      <c r="F717">
        <v>1765</v>
      </c>
      <c r="G717">
        <v>1434</v>
      </c>
      <c r="H717" t="s">
        <v>1169</v>
      </c>
      <c r="I717" t="s">
        <v>80</v>
      </c>
      <c r="J717" t="s">
        <v>1119</v>
      </c>
      <c r="K717" t="s">
        <v>38</v>
      </c>
      <c r="L717" t="s">
        <v>38</v>
      </c>
      <c r="M717" t="s">
        <v>38</v>
      </c>
      <c r="N717" t="s">
        <v>38</v>
      </c>
      <c r="O717" t="s">
        <v>41</v>
      </c>
      <c r="P717" t="s">
        <v>42</v>
      </c>
      <c r="Q717" t="s">
        <v>43</v>
      </c>
      <c r="R717" t="s">
        <v>89</v>
      </c>
      <c r="S717" t="s">
        <v>45</v>
      </c>
      <c r="T717" t="s">
        <v>89</v>
      </c>
      <c r="U717" t="s">
        <v>301</v>
      </c>
      <c r="V717" t="s">
        <v>91</v>
      </c>
      <c r="W717" t="s">
        <v>92</v>
      </c>
      <c r="X717" t="s">
        <v>38</v>
      </c>
      <c r="Y717" t="s">
        <v>38</v>
      </c>
      <c r="Z717" t="s">
        <v>42</v>
      </c>
      <c r="AA717" t="s">
        <v>38</v>
      </c>
      <c r="AB717" t="s">
        <v>38</v>
      </c>
      <c r="AC717" t="s">
        <v>45</v>
      </c>
      <c r="AD717" t="s">
        <v>48</v>
      </c>
      <c r="AG717" t="str">
        <f>IF(AD717="United States", IFERROR(INDEX(Sheet2!$C:$C, MATCH(AE717&amp;AF717, Sheet2!$E:$E, 0)) &amp; ", " &amp; INDEX(Sheet2!$D:$D, MATCH(AE717&amp;AF717, Sheet2!$E:$E, 0)), ""), "-")</f>
        <v/>
      </c>
    </row>
    <row r="718" spans="1:33" x14ac:dyDescent="0.25">
      <c r="A718" t="s">
        <v>1113</v>
      </c>
      <c r="B718" t="s">
        <v>1550</v>
      </c>
      <c r="C718" t="s">
        <v>1115</v>
      </c>
      <c r="D718" t="s">
        <v>1551</v>
      </c>
      <c r="E718" t="s">
        <v>1552</v>
      </c>
      <c r="F718">
        <v>1758</v>
      </c>
      <c r="G718">
        <v>1443</v>
      </c>
      <c r="H718" t="s">
        <v>1169</v>
      </c>
      <c r="I718" t="s">
        <v>80</v>
      </c>
      <c r="J718" t="s">
        <v>1119</v>
      </c>
      <c r="K718" t="s">
        <v>38</v>
      </c>
      <c r="L718" t="s">
        <v>38</v>
      </c>
      <c r="M718" t="s">
        <v>38</v>
      </c>
      <c r="N718" t="s">
        <v>38</v>
      </c>
      <c r="O718" t="s">
        <v>57</v>
      </c>
      <c r="P718" t="s">
        <v>42</v>
      </c>
      <c r="Q718" t="s">
        <v>43</v>
      </c>
      <c r="R718" t="s">
        <v>89</v>
      </c>
      <c r="S718" t="s">
        <v>45</v>
      </c>
      <c r="T718" t="s">
        <v>89</v>
      </c>
      <c r="U718" t="s">
        <v>301</v>
      </c>
      <c r="V718" t="s">
        <v>91</v>
      </c>
      <c r="W718" t="s">
        <v>92</v>
      </c>
      <c r="X718" t="s">
        <v>38</v>
      </c>
      <c r="Y718" t="s">
        <v>38</v>
      </c>
      <c r="Z718" t="s">
        <v>42</v>
      </c>
      <c r="AA718" t="s">
        <v>241</v>
      </c>
      <c r="AB718" t="s">
        <v>38</v>
      </c>
      <c r="AC718" t="s">
        <v>45</v>
      </c>
      <c r="AD718" t="s">
        <v>48</v>
      </c>
      <c r="AG718" t="str">
        <f>IF(AD718="United States", IFERROR(INDEX(Sheet2!$C:$C, MATCH(AE718&amp;AF718, Sheet2!$E:$E, 0)) &amp; ", " &amp; INDEX(Sheet2!$D:$D, MATCH(AE718&amp;AF718, Sheet2!$E:$E, 0)), ""), "-")</f>
        <v/>
      </c>
    </row>
    <row r="719" spans="1:33" x14ac:dyDescent="0.25">
      <c r="A719" t="s">
        <v>1113</v>
      </c>
      <c r="B719" t="s">
        <v>1553</v>
      </c>
      <c r="C719" t="s">
        <v>1115</v>
      </c>
      <c r="D719" t="s">
        <v>556</v>
      </c>
      <c r="E719" t="s">
        <v>1496</v>
      </c>
      <c r="F719">
        <v>1761</v>
      </c>
      <c r="G719">
        <v>1442</v>
      </c>
      <c r="H719" t="s">
        <v>1118</v>
      </c>
      <c r="I719" t="s">
        <v>80</v>
      </c>
      <c r="J719" t="s">
        <v>1119</v>
      </c>
      <c r="K719" t="s">
        <v>38</v>
      </c>
      <c r="L719" t="s">
        <v>38</v>
      </c>
      <c r="M719" t="s">
        <v>38</v>
      </c>
      <c r="N719" t="s">
        <v>38</v>
      </c>
      <c r="O719" t="s">
        <v>41</v>
      </c>
      <c r="P719" t="s">
        <v>42</v>
      </c>
      <c r="Q719" t="s">
        <v>43</v>
      </c>
      <c r="R719" t="s">
        <v>89</v>
      </c>
      <c r="S719" t="s">
        <v>45</v>
      </c>
      <c r="T719" t="s">
        <v>89</v>
      </c>
      <c r="U719" t="s">
        <v>301</v>
      </c>
      <c r="V719" t="s">
        <v>91</v>
      </c>
      <c r="W719" t="s">
        <v>92</v>
      </c>
      <c r="X719" t="s">
        <v>38</v>
      </c>
      <c r="Y719" t="s">
        <v>38</v>
      </c>
      <c r="Z719" t="s">
        <v>42</v>
      </c>
      <c r="AA719" t="s">
        <v>169</v>
      </c>
      <c r="AB719" t="s">
        <v>38</v>
      </c>
      <c r="AC719" t="s">
        <v>45</v>
      </c>
      <c r="AD719" t="s">
        <v>48</v>
      </c>
      <c r="AG719" t="str">
        <f>IF(AD719="United States", IFERROR(INDEX(Sheet2!$C:$C, MATCH(AE719&amp;AF719, Sheet2!$E:$E, 0)) &amp; ", " &amp; INDEX(Sheet2!$D:$D, MATCH(AE719&amp;AF719, Sheet2!$E:$E, 0)), ""), "-")</f>
        <v/>
      </c>
    </row>
    <row r="720" spans="1:33" x14ac:dyDescent="0.25">
      <c r="A720" t="s">
        <v>1113</v>
      </c>
      <c r="B720" t="s">
        <v>1242</v>
      </c>
      <c r="C720" t="s">
        <v>1115</v>
      </c>
      <c r="D720" t="s">
        <v>210</v>
      </c>
      <c r="E720" t="s">
        <v>1243</v>
      </c>
      <c r="F720">
        <v>1762</v>
      </c>
      <c r="G720">
        <v>1104</v>
      </c>
      <c r="H720" t="s">
        <v>1118</v>
      </c>
      <c r="I720" t="s">
        <v>80</v>
      </c>
      <c r="J720" t="s">
        <v>1119</v>
      </c>
      <c r="K720" t="s">
        <v>38</v>
      </c>
      <c r="L720" t="s">
        <v>38</v>
      </c>
      <c r="M720" t="s">
        <v>38</v>
      </c>
      <c r="N720" t="s">
        <v>38</v>
      </c>
      <c r="O720" t="s">
        <v>41</v>
      </c>
      <c r="P720" t="s">
        <v>42</v>
      </c>
      <c r="Q720" t="s">
        <v>43</v>
      </c>
      <c r="R720" t="s">
        <v>89</v>
      </c>
      <c r="S720" t="s">
        <v>45</v>
      </c>
      <c r="T720" t="s">
        <v>89</v>
      </c>
      <c r="U720" t="s">
        <v>301</v>
      </c>
      <c r="V720" t="s">
        <v>91</v>
      </c>
      <c r="W720" t="s">
        <v>92</v>
      </c>
      <c r="X720" t="s">
        <v>38</v>
      </c>
      <c r="Y720" t="s">
        <v>38</v>
      </c>
      <c r="Z720" t="s">
        <v>42</v>
      </c>
      <c r="AA720" t="s">
        <v>1244</v>
      </c>
      <c r="AB720" t="s">
        <v>38</v>
      </c>
      <c r="AC720" t="s">
        <v>45</v>
      </c>
      <c r="AD720" t="s">
        <v>48</v>
      </c>
      <c r="AG720" t="str">
        <f>IF(AD720="United States", IFERROR(INDEX(Sheet2!$C:$C, MATCH(AE720&amp;AF720, Sheet2!$E:$E, 0)) &amp; ", " &amp; INDEX(Sheet2!$D:$D, MATCH(AE720&amp;AF720, Sheet2!$E:$E, 0)), ""), "-")</f>
        <v/>
      </c>
    </row>
    <row r="721" spans="1:33" x14ac:dyDescent="0.25">
      <c r="A721" t="s">
        <v>1113</v>
      </c>
      <c r="B721" t="s">
        <v>1240</v>
      </c>
      <c r="C721" t="s">
        <v>1115</v>
      </c>
      <c r="D721" t="s">
        <v>210</v>
      </c>
      <c r="E721" t="s">
        <v>368</v>
      </c>
      <c r="F721">
        <v>1757</v>
      </c>
      <c r="G721">
        <v>1103</v>
      </c>
      <c r="H721" t="s">
        <v>1118</v>
      </c>
      <c r="I721" t="s">
        <v>80</v>
      </c>
      <c r="J721" t="s">
        <v>1119</v>
      </c>
      <c r="K721" t="s">
        <v>38</v>
      </c>
      <c r="L721" t="s">
        <v>38</v>
      </c>
      <c r="M721" t="s">
        <v>38</v>
      </c>
      <c r="N721" t="s">
        <v>38</v>
      </c>
      <c r="O721" t="s">
        <v>41</v>
      </c>
      <c r="P721" t="s">
        <v>42</v>
      </c>
      <c r="Q721" t="s">
        <v>43</v>
      </c>
      <c r="R721" t="s">
        <v>89</v>
      </c>
      <c r="S721" t="s">
        <v>1063</v>
      </c>
      <c r="T721" t="s">
        <v>89</v>
      </c>
      <c r="U721" t="s">
        <v>301</v>
      </c>
      <c r="V721" t="s">
        <v>91</v>
      </c>
      <c r="W721" t="s">
        <v>92</v>
      </c>
      <c r="X721" t="s">
        <v>38</v>
      </c>
      <c r="Y721" t="s">
        <v>38</v>
      </c>
      <c r="Z721" t="s">
        <v>42</v>
      </c>
      <c r="AA721" t="s">
        <v>1241</v>
      </c>
      <c r="AB721" t="s">
        <v>38</v>
      </c>
      <c r="AC721" t="s">
        <v>1063</v>
      </c>
      <c r="AD721" t="s">
        <v>48</v>
      </c>
      <c r="AG721" t="str">
        <f>IF(AD721="United States", IFERROR(INDEX(Sheet2!$C:$C, MATCH(AE721&amp;AF721, Sheet2!$E:$E, 0)) &amp; ", " &amp; INDEX(Sheet2!$D:$D, MATCH(AE721&amp;AF721, Sheet2!$E:$E, 0)), ""), "-")</f>
        <v/>
      </c>
    </row>
    <row r="722" spans="1:33" x14ac:dyDescent="0.25">
      <c r="A722" t="s">
        <v>1113</v>
      </c>
      <c r="B722" t="s">
        <v>1237</v>
      </c>
      <c r="C722" t="s">
        <v>1115</v>
      </c>
      <c r="D722" t="s">
        <v>1238</v>
      </c>
      <c r="E722" t="s">
        <v>1239</v>
      </c>
      <c r="F722">
        <v>1758</v>
      </c>
      <c r="G722">
        <v>1102</v>
      </c>
      <c r="H722" t="s">
        <v>1118</v>
      </c>
      <c r="I722" t="s">
        <v>80</v>
      </c>
      <c r="J722" t="s">
        <v>1119</v>
      </c>
      <c r="K722" t="s">
        <v>38</v>
      </c>
      <c r="L722" t="s">
        <v>38</v>
      </c>
      <c r="M722" t="s">
        <v>38</v>
      </c>
      <c r="N722" t="s">
        <v>38</v>
      </c>
      <c r="O722" t="s">
        <v>57</v>
      </c>
      <c r="P722" t="s">
        <v>42</v>
      </c>
      <c r="Q722" t="s">
        <v>43</v>
      </c>
      <c r="R722" t="s">
        <v>89</v>
      </c>
      <c r="S722" t="s">
        <v>45</v>
      </c>
      <c r="T722" t="s">
        <v>89</v>
      </c>
      <c r="U722" t="s">
        <v>301</v>
      </c>
      <c r="V722" t="s">
        <v>91</v>
      </c>
      <c r="W722" t="s">
        <v>92</v>
      </c>
      <c r="X722" t="s">
        <v>38</v>
      </c>
      <c r="Y722" t="s">
        <v>38</v>
      </c>
      <c r="Z722" t="s">
        <v>42</v>
      </c>
      <c r="AA722" t="s">
        <v>38</v>
      </c>
      <c r="AB722" t="s">
        <v>38</v>
      </c>
      <c r="AC722" t="s">
        <v>45</v>
      </c>
      <c r="AD722" t="s">
        <v>48</v>
      </c>
      <c r="AG722" t="str">
        <f>IF(AD722="United States", IFERROR(INDEX(Sheet2!$C:$C, MATCH(AE722&amp;AF722, Sheet2!$E:$E, 0)) &amp; ", " &amp; INDEX(Sheet2!$D:$D, MATCH(AE722&amp;AF722, Sheet2!$E:$E, 0)), ""), "-")</f>
        <v/>
      </c>
    </row>
    <row r="723" spans="1:33" x14ac:dyDescent="0.25">
      <c r="A723" t="s">
        <v>1113</v>
      </c>
      <c r="B723" t="s">
        <v>1235</v>
      </c>
      <c r="C723" t="s">
        <v>1115</v>
      </c>
      <c r="D723" t="s">
        <v>72</v>
      </c>
      <c r="E723" t="s">
        <v>1236</v>
      </c>
      <c r="F723">
        <v>1755</v>
      </c>
      <c r="G723">
        <v>1101</v>
      </c>
      <c r="H723" t="s">
        <v>1118</v>
      </c>
      <c r="I723" t="s">
        <v>80</v>
      </c>
      <c r="J723" t="s">
        <v>1119</v>
      </c>
      <c r="K723" t="s">
        <v>38</v>
      </c>
      <c r="L723" t="s">
        <v>38</v>
      </c>
      <c r="M723" t="s">
        <v>38</v>
      </c>
      <c r="N723" t="s">
        <v>38</v>
      </c>
      <c r="O723" t="s">
        <v>57</v>
      </c>
      <c r="P723" t="s">
        <v>42</v>
      </c>
      <c r="Q723" t="s">
        <v>43</v>
      </c>
      <c r="R723" t="s">
        <v>89</v>
      </c>
      <c r="S723" t="s">
        <v>45</v>
      </c>
      <c r="T723" t="s">
        <v>89</v>
      </c>
      <c r="U723" t="s">
        <v>301</v>
      </c>
      <c r="V723" t="s">
        <v>91</v>
      </c>
      <c r="W723" t="s">
        <v>92</v>
      </c>
      <c r="X723" t="s">
        <v>38</v>
      </c>
      <c r="Y723" t="s">
        <v>38</v>
      </c>
      <c r="Z723" t="s">
        <v>42</v>
      </c>
      <c r="AA723" t="s">
        <v>169</v>
      </c>
      <c r="AB723" t="s">
        <v>38</v>
      </c>
      <c r="AC723" t="s">
        <v>45</v>
      </c>
      <c r="AD723" t="s">
        <v>48</v>
      </c>
      <c r="AG723" t="str">
        <f>IF(AD723="United States", IFERROR(INDEX(Sheet2!$C:$C, MATCH(AE723&amp;AF723, Sheet2!$E:$E, 0)) &amp; ", " &amp; INDEX(Sheet2!$D:$D, MATCH(AE723&amp;AF723, Sheet2!$E:$E, 0)), ""), "-")</f>
        <v/>
      </c>
    </row>
    <row r="724" spans="1:33" x14ac:dyDescent="0.25">
      <c r="A724" t="s">
        <v>1113</v>
      </c>
      <c r="B724" t="s">
        <v>1253</v>
      </c>
      <c r="C724" t="s">
        <v>1115</v>
      </c>
      <c r="D724" t="s">
        <v>52</v>
      </c>
      <c r="E724" t="s">
        <v>1147</v>
      </c>
      <c r="F724">
        <v>1758</v>
      </c>
      <c r="G724">
        <v>1100</v>
      </c>
      <c r="H724" t="s">
        <v>1118</v>
      </c>
      <c r="I724" t="s">
        <v>80</v>
      </c>
      <c r="J724" t="s">
        <v>1119</v>
      </c>
      <c r="K724" t="s">
        <v>38</v>
      </c>
      <c r="L724" t="s">
        <v>38</v>
      </c>
      <c r="M724" t="s">
        <v>38</v>
      </c>
      <c r="N724" t="s">
        <v>38</v>
      </c>
      <c r="O724" t="s">
        <v>57</v>
      </c>
      <c r="P724" t="s">
        <v>42</v>
      </c>
      <c r="Q724" t="s">
        <v>43</v>
      </c>
      <c r="R724" t="s">
        <v>89</v>
      </c>
      <c r="S724" t="s">
        <v>45</v>
      </c>
      <c r="T724" t="s">
        <v>89</v>
      </c>
      <c r="U724" t="s">
        <v>301</v>
      </c>
      <c r="V724" t="s">
        <v>91</v>
      </c>
      <c r="W724" t="s">
        <v>92</v>
      </c>
      <c r="X724" t="s">
        <v>38</v>
      </c>
      <c r="Y724" t="s">
        <v>38</v>
      </c>
      <c r="Z724" t="s">
        <v>42</v>
      </c>
      <c r="AA724" t="s">
        <v>1254</v>
      </c>
      <c r="AB724" t="s">
        <v>38</v>
      </c>
      <c r="AC724" t="s">
        <v>45</v>
      </c>
      <c r="AD724" t="s">
        <v>48</v>
      </c>
      <c r="AG724" t="str">
        <f>IF(AD724="United States", IFERROR(INDEX(Sheet2!$C:$C, MATCH(AE724&amp;AF724, Sheet2!$E:$E, 0)) &amp; ", " &amp; INDEX(Sheet2!$D:$D, MATCH(AE724&amp;AF724, Sheet2!$E:$E, 0)), ""), "-")</f>
        <v/>
      </c>
    </row>
    <row r="725" spans="1:33" x14ac:dyDescent="0.25">
      <c r="A725" t="s">
        <v>1113</v>
      </c>
      <c r="B725" t="s">
        <v>1233</v>
      </c>
      <c r="C725" t="s">
        <v>1115</v>
      </c>
      <c r="D725" t="s">
        <v>200</v>
      </c>
      <c r="E725" t="s">
        <v>1234</v>
      </c>
      <c r="F725">
        <v>1765</v>
      </c>
      <c r="G725">
        <v>1099</v>
      </c>
      <c r="H725" t="s">
        <v>1118</v>
      </c>
      <c r="I725" t="s">
        <v>80</v>
      </c>
      <c r="J725" t="s">
        <v>1119</v>
      </c>
      <c r="K725" t="s">
        <v>38</v>
      </c>
      <c r="L725" t="s">
        <v>38</v>
      </c>
      <c r="M725" t="s">
        <v>38</v>
      </c>
      <c r="N725" t="s">
        <v>38</v>
      </c>
      <c r="O725" t="s">
        <v>54</v>
      </c>
      <c r="P725" t="s">
        <v>42</v>
      </c>
      <c r="Q725" t="s">
        <v>43</v>
      </c>
      <c r="R725" t="s">
        <v>89</v>
      </c>
      <c r="S725" t="s">
        <v>38</v>
      </c>
      <c r="T725" t="s">
        <v>89</v>
      </c>
      <c r="U725" t="s">
        <v>301</v>
      </c>
      <c r="V725" t="s">
        <v>91</v>
      </c>
      <c r="W725" t="s">
        <v>92</v>
      </c>
      <c r="X725" t="s">
        <v>38</v>
      </c>
      <c r="Y725" t="s">
        <v>38</v>
      </c>
      <c r="Z725" t="s">
        <v>42</v>
      </c>
      <c r="AA725" t="s">
        <v>38</v>
      </c>
      <c r="AB725" t="s">
        <v>38</v>
      </c>
      <c r="AC725" t="s">
        <v>38</v>
      </c>
      <c r="AD725" t="s">
        <v>48</v>
      </c>
      <c r="AG725" t="str">
        <f>IF(AD725="United States", IFERROR(INDEX(Sheet2!$C:$C, MATCH(AE725&amp;AF725, Sheet2!$E:$E, 0)) &amp; ", " &amp; INDEX(Sheet2!$D:$D, MATCH(AE725&amp;AF725, Sheet2!$E:$E, 0)), ""), "-")</f>
        <v/>
      </c>
    </row>
    <row r="726" spans="1:33" x14ac:dyDescent="0.25">
      <c r="A726" t="s">
        <v>1113</v>
      </c>
      <c r="B726" t="s">
        <v>1229</v>
      </c>
      <c r="C726" t="s">
        <v>1115</v>
      </c>
      <c r="D726" t="s">
        <v>1230</v>
      </c>
      <c r="E726" t="s">
        <v>1231</v>
      </c>
      <c r="F726">
        <v>1761</v>
      </c>
      <c r="G726">
        <v>1098</v>
      </c>
      <c r="H726" t="s">
        <v>1118</v>
      </c>
      <c r="I726" t="s">
        <v>80</v>
      </c>
      <c r="J726" t="s">
        <v>1119</v>
      </c>
      <c r="K726" t="s">
        <v>38</v>
      </c>
      <c r="L726" t="s">
        <v>38</v>
      </c>
      <c r="M726" t="s">
        <v>38</v>
      </c>
      <c r="N726" t="s">
        <v>38</v>
      </c>
      <c r="O726" t="s">
        <v>57</v>
      </c>
      <c r="P726" t="s">
        <v>42</v>
      </c>
      <c r="Q726" t="s">
        <v>43</v>
      </c>
      <c r="R726" t="s">
        <v>89</v>
      </c>
      <c r="S726" t="s">
        <v>45</v>
      </c>
      <c r="T726" t="s">
        <v>89</v>
      </c>
      <c r="U726" t="s">
        <v>301</v>
      </c>
      <c r="V726" t="s">
        <v>91</v>
      </c>
      <c r="W726" t="s">
        <v>92</v>
      </c>
      <c r="X726" t="s">
        <v>38</v>
      </c>
      <c r="Y726" t="s">
        <v>38</v>
      </c>
      <c r="Z726" t="s">
        <v>42</v>
      </c>
      <c r="AA726" t="s">
        <v>1135</v>
      </c>
      <c r="AB726" t="s">
        <v>38</v>
      </c>
      <c r="AC726" t="s">
        <v>45</v>
      </c>
      <c r="AD726" t="s">
        <v>48</v>
      </c>
      <c r="AG726" t="str">
        <f>IF(AD726="United States", IFERROR(INDEX(Sheet2!$C:$C, MATCH(AE726&amp;AF726, Sheet2!$E:$E, 0)) &amp; ", " &amp; INDEX(Sheet2!$D:$D, MATCH(AE726&amp;AF726, Sheet2!$E:$E, 0)), ""), "-")</f>
        <v/>
      </c>
    </row>
    <row r="727" spans="1:33" x14ac:dyDescent="0.25">
      <c r="A727" t="s">
        <v>1113</v>
      </c>
      <c r="B727" t="s">
        <v>1228</v>
      </c>
      <c r="C727" t="s">
        <v>1115</v>
      </c>
      <c r="D727" t="s">
        <v>132</v>
      </c>
      <c r="E727" t="s">
        <v>818</v>
      </c>
      <c r="F727">
        <v>1781</v>
      </c>
      <c r="G727">
        <v>1097</v>
      </c>
      <c r="H727" t="s">
        <v>1118</v>
      </c>
      <c r="I727" t="s">
        <v>80</v>
      </c>
      <c r="J727" t="s">
        <v>1119</v>
      </c>
      <c r="K727" t="s">
        <v>38</v>
      </c>
      <c r="L727" t="s">
        <v>38</v>
      </c>
      <c r="M727" t="s">
        <v>38</v>
      </c>
      <c r="N727" t="s">
        <v>38</v>
      </c>
      <c r="O727" t="s">
        <v>54</v>
      </c>
      <c r="P727" t="s">
        <v>42</v>
      </c>
      <c r="Q727" t="s">
        <v>43</v>
      </c>
      <c r="R727" t="s">
        <v>89</v>
      </c>
      <c r="S727" t="s">
        <v>38</v>
      </c>
      <c r="T727" t="s">
        <v>89</v>
      </c>
      <c r="U727" t="s">
        <v>301</v>
      </c>
      <c r="V727" t="s">
        <v>91</v>
      </c>
      <c r="W727" t="s">
        <v>92</v>
      </c>
      <c r="X727" t="s">
        <v>38</v>
      </c>
      <c r="Y727" t="s">
        <v>38</v>
      </c>
      <c r="Z727" t="s">
        <v>42</v>
      </c>
      <c r="AA727" t="s">
        <v>38</v>
      </c>
      <c r="AB727" t="s">
        <v>38</v>
      </c>
      <c r="AC727" t="s">
        <v>38</v>
      </c>
      <c r="AD727" t="s">
        <v>48</v>
      </c>
      <c r="AG727" t="str">
        <f>IF(AD727="United States", IFERROR(INDEX(Sheet2!$C:$C, MATCH(AE727&amp;AF727, Sheet2!$E:$E, 0)) &amp; ", " &amp; INDEX(Sheet2!$D:$D, MATCH(AE727&amp;AF727, Sheet2!$E:$E, 0)), ""), "-")</f>
        <v/>
      </c>
    </row>
    <row r="728" spans="1:33" x14ac:dyDescent="0.25">
      <c r="A728" t="s">
        <v>1113</v>
      </c>
      <c r="B728" t="s">
        <v>1227</v>
      </c>
      <c r="C728" t="s">
        <v>1115</v>
      </c>
      <c r="D728" t="s">
        <v>62</v>
      </c>
      <c r="E728" t="s">
        <v>818</v>
      </c>
      <c r="F728">
        <v>1780</v>
      </c>
      <c r="G728">
        <v>1096</v>
      </c>
      <c r="H728" t="s">
        <v>1118</v>
      </c>
      <c r="I728" t="s">
        <v>80</v>
      </c>
      <c r="J728" t="s">
        <v>1119</v>
      </c>
      <c r="K728" t="s">
        <v>38</v>
      </c>
      <c r="L728" t="s">
        <v>38</v>
      </c>
      <c r="M728" t="s">
        <v>38</v>
      </c>
      <c r="N728" t="s">
        <v>38</v>
      </c>
      <c r="O728" t="s">
        <v>54</v>
      </c>
      <c r="P728" t="s">
        <v>42</v>
      </c>
      <c r="Q728" t="s">
        <v>43</v>
      </c>
      <c r="R728" t="s">
        <v>89</v>
      </c>
      <c r="S728" t="s">
        <v>38</v>
      </c>
      <c r="T728" t="s">
        <v>89</v>
      </c>
      <c r="U728" t="s">
        <v>301</v>
      </c>
      <c r="V728" t="s">
        <v>91</v>
      </c>
      <c r="W728" t="s">
        <v>92</v>
      </c>
      <c r="X728" t="s">
        <v>38</v>
      </c>
      <c r="Y728" t="s">
        <v>38</v>
      </c>
      <c r="Z728" t="s">
        <v>42</v>
      </c>
      <c r="AA728" t="s">
        <v>38</v>
      </c>
      <c r="AB728" t="s">
        <v>38</v>
      </c>
      <c r="AC728" t="s">
        <v>38</v>
      </c>
      <c r="AD728" t="s">
        <v>48</v>
      </c>
      <c r="AG728" t="str">
        <f>IF(AD728="United States", IFERROR(INDEX(Sheet2!$C:$C, MATCH(AE728&amp;AF728, Sheet2!$E:$E, 0)) &amp; ", " &amp; INDEX(Sheet2!$D:$D, MATCH(AE728&amp;AF728, Sheet2!$E:$E, 0)), ""), "-")</f>
        <v/>
      </c>
    </row>
    <row r="729" spans="1:33" x14ac:dyDescent="0.25">
      <c r="A729" t="s">
        <v>1113</v>
      </c>
      <c r="B729" t="s">
        <v>1226</v>
      </c>
      <c r="C729" t="s">
        <v>1115</v>
      </c>
      <c r="D729" t="s">
        <v>98</v>
      </c>
      <c r="E729" t="s">
        <v>818</v>
      </c>
      <c r="F729">
        <v>1772</v>
      </c>
      <c r="G729">
        <v>1095</v>
      </c>
      <c r="H729" t="s">
        <v>1118</v>
      </c>
      <c r="I729" t="s">
        <v>80</v>
      </c>
      <c r="J729" t="s">
        <v>1119</v>
      </c>
      <c r="K729" t="s">
        <v>38</v>
      </c>
      <c r="L729" t="s">
        <v>38</v>
      </c>
      <c r="M729" t="s">
        <v>803</v>
      </c>
      <c r="N729" t="s">
        <v>818</v>
      </c>
      <c r="O729" t="s">
        <v>54</v>
      </c>
      <c r="P729" t="s">
        <v>42</v>
      </c>
      <c r="Q729" t="s">
        <v>43</v>
      </c>
      <c r="R729" t="s">
        <v>89</v>
      </c>
      <c r="S729" t="s">
        <v>45</v>
      </c>
      <c r="T729" t="s">
        <v>89</v>
      </c>
      <c r="U729" t="s">
        <v>301</v>
      </c>
      <c r="V729" t="s">
        <v>91</v>
      </c>
      <c r="W729" t="s">
        <v>92</v>
      </c>
      <c r="X729" t="s">
        <v>38</v>
      </c>
      <c r="Y729" t="s">
        <v>38</v>
      </c>
      <c r="Z729" t="s">
        <v>42</v>
      </c>
      <c r="AA729" t="s">
        <v>38</v>
      </c>
      <c r="AB729" t="s">
        <v>38</v>
      </c>
      <c r="AC729" t="s">
        <v>45</v>
      </c>
      <c r="AD729" t="s">
        <v>48</v>
      </c>
      <c r="AG729" t="str">
        <f>IF(AD729="United States", IFERROR(INDEX(Sheet2!$C:$C, MATCH(AE729&amp;AF729, Sheet2!$E:$E, 0)) &amp; ", " &amp; INDEX(Sheet2!$D:$D, MATCH(AE729&amp;AF729, Sheet2!$E:$E, 0)), ""), "-")</f>
        <v/>
      </c>
    </row>
    <row r="730" spans="1:33" x14ac:dyDescent="0.25">
      <c r="A730" t="s">
        <v>1113</v>
      </c>
      <c r="B730" t="s">
        <v>1225</v>
      </c>
      <c r="C730" t="s">
        <v>1115</v>
      </c>
      <c r="D730" t="s">
        <v>803</v>
      </c>
      <c r="E730" t="s">
        <v>818</v>
      </c>
      <c r="F730">
        <v>1750</v>
      </c>
      <c r="G730">
        <v>1094</v>
      </c>
      <c r="H730" t="s">
        <v>1118</v>
      </c>
      <c r="I730" t="s">
        <v>80</v>
      </c>
      <c r="J730" t="s">
        <v>1119</v>
      </c>
      <c r="K730" t="s">
        <v>38</v>
      </c>
      <c r="L730" t="s">
        <v>38</v>
      </c>
      <c r="M730" t="s">
        <v>38</v>
      </c>
      <c r="N730" t="s">
        <v>38</v>
      </c>
      <c r="O730" t="s">
        <v>57</v>
      </c>
      <c r="P730" t="s">
        <v>42</v>
      </c>
      <c r="Q730" t="s">
        <v>43</v>
      </c>
      <c r="R730" t="s">
        <v>89</v>
      </c>
      <c r="S730" t="s">
        <v>45</v>
      </c>
      <c r="T730" t="s">
        <v>89</v>
      </c>
      <c r="U730" t="s">
        <v>301</v>
      </c>
      <c r="V730" t="s">
        <v>91</v>
      </c>
      <c r="W730" t="s">
        <v>92</v>
      </c>
      <c r="X730" t="s">
        <v>38</v>
      </c>
      <c r="Y730" t="s">
        <v>38</v>
      </c>
      <c r="Z730" t="s">
        <v>42</v>
      </c>
      <c r="AA730" t="s">
        <v>38</v>
      </c>
      <c r="AB730" t="s">
        <v>38</v>
      </c>
      <c r="AC730" t="s">
        <v>45</v>
      </c>
      <c r="AD730" t="s">
        <v>48</v>
      </c>
      <c r="AG730" t="str">
        <f>IF(AD730="United States", IFERROR(INDEX(Sheet2!$C:$C, MATCH(AE730&amp;AF730, Sheet2!$E:$E, 0)) &amp; ", " &amp; INDEX(Sheet2!$D:$D, MATCH(AE730&amp;AF730, Sheet2!$E:$E, 0)), ""), "-")</f>
        <v/>
      </c>
    </row>
    <row r="731" spans="1:33" x14ac:dyDescent="0.25">
      <c r="A731" t="s">
        <v>1113</v>
      </c>
      <c r="B731" t="s">
        <v>1224</v>
      </c>
      <c r="C731" t="s">
        <v>1115</v>
      </c>
      <c r="D731" t="s">
        <v>190</v>
      </c>
      <c r="E731" t="s">
        <v>1157</v>
      </c>
      <c r="F731">
        <v>1723</v>
      </c>
      <c r="G731">
        <v>1093</v>
      </c>
      <c r="H731" t="s">
        <v>1118</v>
      </c>
      <c r="I731" t="s">
        <v>80</v>
      </c>
      <c r="J731" t="s">
        <v>1119</v>
      </c>
      <c r="K731" t="s">
        <v>38</v>
      </c>
      <c r="L731" t="s">
        <v>38</v>
      </c>
      <c r="M731" t="s">
        <v>38</v>
      </c>
      <c r="N731" t="s">
        <v>38</v>
      </c>
      <c r="O731" t="s">
        <v>57</v>
      </c>
      <c r="P731" t="s">
        <v>42</v>
      </c>
      <c r="Q731" t="s">
        <v>43</v>
      </c>
      <c r="R731" t="s">
        <v>89</v>
      </c>
      <c r="S731" t="s">
        <v>38</v>
      </c>
      <c r="T731" t="s">
        <v>89</v>
      </c>
      <c r="U731" t="s">
        <v>301</v>
      </c>
      <c r="V731" t="s">
        <v>91</v>
      </c>
      <c r="W731" t="s">
        <v>92</v>
      </c>
      <c r="X731" t="s">
        <v>38</v>
      </c>
      <c r="Y731" t="s">
        <v>38</v>
      </c>
      <c r="Z731" t="s">
        <v>42</v>
      </c>
      <c r="AA731" t="s">
        <v>38</v>
      </c>
      <c r="AB731" t="s">
        <v>38</v>
      </c>
      <c r="AC731" t="s">
        <v>38</v>
      </c>
      <c r="AD731" t="s">
        <v>48</v>
      </c>
      <c r="AG731" t="str">
        <f>IF(AD731="United States", IFERROR(INDEX(Sheet2!$C:$C, MATCH(AE731&amp;AF731, Sheet2!$E:$E, 0)) &amp; ", " &amp; INDEX(Sheet2!$D:$D, MATCH(AE731&amp;AF731, Sheet2!$E:$E, 0)), ""), "-")</f>
        <v/>
      </c>
    </row>
    <row r="732" spans="1:33" x14ac:dyDescent="0.25">
      <c r="A732" t="s">
        <v>1113</v>
      </c>
      <c r="B732" t="s">
        <v>1222</v>
      </c>
      <c r="C732" t="s">
        <v>1115</v>
      </c>
      <c r="D732" t="s">
        <v>1116</v>
      </c>
      <c r="E732" t="s">
        <v>1223</v>
      </c>
      <c r="F732">
        <v>1780</v>
      </c>
      <c r="G732">
        <v>1092</v>
      </c>
      <c r="H732" t="s">
        <v>1118</v>
      </c>
      <c r="I732" t="s">
        <v>80</v>
      </c>
      <c r="J732" t="s">
        <v>1119</v>
      </c>
      <c r="K732" t="s">
        <v>38</v>
      </c>
      <c r="L732" t="s">
        <v>38</v>
      </c>
      <c r="M732" t="s">
        <v>38</v>
      </c>
      <c r="N732" t="s">
        <v>38</v>
      </c>
      <c r="O732" t="s">
        <v>54</v>
      </c>
      <c r="P732" t="s">
        <v>42</v>
      </c>
      <c r="Q732" t="s">
        <v>43</v>
      </c>
      <c r="R732" t="s">
        <v>89</v>
      </c>
      <c r="S732" t="s">
        <v>38</v>
      </c>
      <c r="T732" t="s">
        <v>89</v>
      </c>
      <c r="U732" t="s">
        <v>301</v>
      </c>
      <c r="V732" t="s">
        <v>91</v>
      </c>
      <c r="W732" t="s">
        <v>92</v>
      </c>
      <c r="X732" t="s">
        <v>38</v>
      </c>
      <c r="Y732" t="s">
        <v>38</v>
      </c>
      <c r="Z732" t="s">
        <v>42</v>
      </c>
      <c r="AA732" t="s">
        <v>38</v>
      </c>
      <c r="AB732" t="s">
        <v>38</v>
      </c>
      <c r="AC732" t="s">
        <v>38</v>
      </c>
      <c r="AD732" t="s">
        <v>48</v>
      </c>
      <c r="AG732" t="str">
        <f>IF(AD732="United States", IFERROR(INDEX(Sheet2!$C:$C, MATCH(AE732&amp;AF732, Sheet2!$E:$E, 0)) &amp; ", " &amp; INDEX(Sheet2!$D:$D, MATCH(AE732&amp;AF732, Sheet2!$E:$E, 0)), ""), "-")</f>
        <v/>
      </c>
    </row>
    <row r="733" spans="1:33" x14ac:dyDescent="0.25">
      <c r="A733" t="s">
        <v>1113</v>
      </c>
      <c r="B733" t="s">
        <v>1232</v>
      </c>
      <c r="C733" t="s">
        <v>1115</v>
      </c>
      <c r="D733" t="s">
        <v>352</v>
      </c>
      <c r="E733" t="s">
        <v>1223</v>
      </c>
      <c r="F733">
        <v>1748</v>
      </c>
      <c r="G733">
        <v>1091</v>
      </c>
      <c r="H733" t="s">
        <v>1118</v>
      </c>
      <c r="I733" t="s">
        <v>80</v>
      </c>
      <c r="J733" t="s">
        <v>1119</v>
      </c>
      <c r="K733" t="s">
        <v>38</v>
      </c>
      <c r="L733" t="s">
        <v>38</v>
      </c>
      <c r="M733" t="s">
        <v>38</v>
      </c>
      <c r="N733" t="s">
        <v>38</v>
      </c>
      <c r="O733" t="s">
        <v>57</v>
      </c>
      <c r="P733" t="s">
        <v>42</v>
      </c>
      <c r="Q733" t="s">
        <v>43</v>
      </c>
      <c r="R733" t="s">
        <v>89</v>
      </c>
      <c r="S733" t="s">
        <v>201</v>
      </c>
      <c r="T733" t="s">
        <v>89</v>
      </c>
      <c r="U733" t="s">
        <v>301</v>
      </c>
      <c r="V733" t="s">
        <v>91</v>
      </c>
      <c r="W733" t="s">
        <v>92</v>
      </c>
      <c r="X733" t="s">
        <v>38</v>
      </c>
      <c r="Y733" t="s">
        <v>38</v>
      </c>
      <c r="Z733" t="s">
        <v>42</v>
      </c>
      <c r="AA733" t="s">
        <v>354</v>
      </c>
      <c r="AB733" t="s">
        <v>38</v>
      </c>
      <c r="AC733" t="s">
        <v>201</v>
      </c>
      <c r="AD733" t="s">
        <v>48</v>
      </c>
      <c r="AG733" t="str">
        <f>IF(AD733="United States", IFERROR(INDEX(Sheet2!$C:$C, MATCH(AE733&amp;AF733, Sheet2!$E:$E, 0)) &amp; ", " &amp; INDEX(Sheet2!$D:$D, MATCH(AE733&amp;AF733, Sheet2!$E:$E, 0)), ""), "-")</f>
        <v/>
      </c>
    </row>
    <row r="734" spans="1:33" x14ac:dyDescent="0.25">
      <c r="A734" t="s">
        <v>1113</v>
      </c>
      <c r="D734" t="s">
        <v>181</v>
      </c>
      <c r="E734" t="s">
        <v>52</v>
      </c>
      <c r="F734" t="s">
        <v>38</v>
      </c>
      <c r="G734">
        <v>2099</v>
      </c>
      <c r="H734">
        <v>67</v>
      </c>
      <c r="J734" t="s">
        <v>1119</v>
      </c>
      <c r="O734" t="s">
        <v>183</v>
      </c>
      <c r="R734" t="s">
        <v>89</v>
      </c>
      <c r="T734" t="s">
        <v>89</v>
      </c>
      <c r="U734">
        <v>1783</v>
      </c>
      <c r="V734" t="s">
        <v>137</v>
      </c>
      <c r="W734" t="s">
        <v>92</v>
      </c>
      <c r="Y734" t="s">
        <v>38</v>
      </c>
      <c r="AA734" t="s">
        <v>38</v>
      </c>
      <c r="AB734" t="s">
        <v>38</v>
      </c>
      <c r="AC734" t="s">
        <v>38</v>
      </c>
      <c r="AD734" t="s">
        <v>48</v>
      </c>
      <c r="AG734" t="str">
        <f>IF(AD734="United States", IFERROR(INDEX(Sheet2!$C:$C, MATCH(AE734&amp;AF734, Sheet2!$E:$E, 0)) &amp; ", " &amp; INDEX(Sheet2!$D:$D, MATCH(AE734&amp;AF734, Sheet2!$E:$E, 0)), ""), "-")</f>
        <v/>
      </c>
    </row>
    <row r="735" spans="1:33" x14ac:dyDescent="0.25">
      <c r="A735" t="s">
        <v>1113</v>
      </c>
      <c r="D735" t="s">
        <v>181</v>
      </c>
      <c r="E735" t="s">
        <v>1554</v>
      </c>
      <c r="F735">
        <v>1771</v>
      </c>
      <c r="G735">
        <v>1396</v>
      </c>
      <c r="H735">
        <v>52</v>
      </c>
      <c r="J735" t="s">
        <v>1119</v>
      </c>
      <c r="O735" t="s">
        <v>74</v>
      </c>
      <c r="R735" t="s">
        <v>89</v>
      </c>
      <c r="T735" t="s">
        <v>89</v>
      </c>
      <c r="U735">
        <v>1783</v>
      </c>
      <c r="V735" t="s">
        <v>1555</v>
      </c>
      <c r="W735" t="s">
        <v>92</v>
      </c>
      <c r="Y735" t="s">
        <v>38</v>
      </c>
      <c r="AA735" t="s">
        <v>38</v>
      </c>
      <c r="AB735" t="s">
        <v>38</v>
      </c>
      <c r="AC735" t="s">
        <v>38</v>
      </c>
      <c r="AD735" t="s">
        <v>48</v>
      </c>
      <c r="AG735" t="str">
        <f>IF(AD735="United States", IFERROR(INDEX(Sheet2!$C:$C, MATCH(AE735&amp;AF735, Sheet2!$E:$E, 0)) &amp; ", " &amp; INDEX(Sheet2!$D:$D, MATCH(AE735&amp;AF735, Sheet2!$E:$E, 0)), ""), "-")</f>
        <v/>
      </c>
    </row>
    <row r="736" spans="1:33" x14ac:dyDescent="0.25">
      <c r="A736" t="s">
        <v>1113</v>
      </c>
      <c r="B736" t="s">
        <v>1556</v>
      </c>
      <c r="C736" t="s">
        <v>1115</v>
      </c>
      <c r="D736" t="s">
        <v>140</v>
      </c>
      <c r="E736" t="s">
        <v>38</v>
      </c>
      <c r="F736">
        <v>1765</v>
      </c>
      <c r="G736">
        <v>1400</v>
      </c>
      <c r="H736" t="s">
        <v>1131</v>
      </c>
      <c r="I736" t="s">
        <v>80</v>
      </c>
      <c r="J736" t="s">
        <v>1119</v>
      </c>
      <c r="K736" t="s">
        <v>38</v>
      </c>
      <c r="L736" t="s">
        <v>38</v>
      </c>
      <c r="M736" t="s">
        <v>38</v>
      </c>
      <c r="N736" t="s">
        <v>38</v>
      </c>
      <c r="O736" t="s">
        <v>54</v>
      </c>
      <c r="P736" t="s">
        <v>42</v>
      </c>
      <c r="Q736" t="s">
        <v>43</v>
      </c>
      <c r="R736" t="s">
        <v>89</v>
      </c>
      <c r="S736" t="s">
        <v>38</v>
      </c>
      <c r="T736" t="s">
        <v>89</v>
      </c>
      <c r="U736" t="s">
        <v>301</v>
      </c>
      <c r="V736" t="s">
        <v>91</v>
      </c>
      <c r="W736" t="s">
        <v>92</v>
      </c>
      <c r="X736" t="s">
        <v>38</v>
      </c>
      <c r="Y736" t="s">
        <v>38</v>
      </c>
      <c r="Z736" t="s">
        <v>42</v>
      </c>
      <c r="AA736" t="s">
        <v>38</v>
      </c>
      <c r="AB736" t="s">
        <v>38</v>
      </c>
      <c r="AC736" t="s">
        <v>38</v>
      </c>
      <c r="AD736" t="s">
        <v>48</v>
      </c>
      <c r="AG736" t="str">
        <f>IF(AD736="United States", IFERROR(INDEX(Sheet2!$C:$C, MATCH(AE736&amp;AF736, Sheet2!$E:$E, 0)) &amp; ", " &amp; INDEX(Sheet2!$D:$D, MATCH(AE736&amp;AF736, Sheet2!$E:$E, 0)), ""), "-")</f>
        <v/>
      </c>
    </row>
    <row r="737" spans="1:33" x14ac:dyDescent="0.25">
      <c r="A737" t="s">
        <v>1113</v>
      </c>
      <c r="D737" t="s">
        <v>195</v>
      </c>
      <c r="E737" t="s">
        <v>1557</v>
      </c>
      <c r="F737">
        <v>1761</v>
      </c>
      <c r="G737">
        <v>1329</v>
      </c>
      <c r="H737">
        <v>50</v>
      </c>
      <c r="J737" t="s">
        <v>1119</v>
      </c>
      <c r="O737" t="s">
        <v>41</v>
      </c>
      <c r="R737" t="s">
        <v>89</v>
      </c>
      <c r="T737" t="s">
        <v>89</v>
      </c>
      <c r="U737">
        <v>1783</v>
      </c>
      <c r="V737" t="s">
        <v>1555</v>
      </c>
      <c r="W737" t="s">
        <v>92</v>
      </c>
      <c r="Y737" t="s">
        <v>38</v>
      </c>
      <c r="AA737" t="s">
        <v>38</v>
      </c>
      <c r="AB737" t="s">
        <v>38</v>
      </c>
      <c r="AC737" t="s">
        <v>38</v>
      </c>
      <c r="AD737" t="s">
        <v>48</v>
      </c>
      <c r="AG737" t="str">
        <f>IF(AD737="United States", IFERROR(INDEX(Sheet2!$C:$C, MATCH(AE737&amp;AF737, Sheet2!$E:$E, 0)) &amp; ", " &amp; INDEX(Sheet2!$D:$D, MATCH(AE737&amp;AF737, Sheet2!$E:$E, 0)), ""), "-")</f>
        <v/>
      </c>
    </row>
    <row r="738" spans="1:33" x14ac:dyDescent="0.25">
      <c r="A738" t="s">
        <v>1113</v>
      </c>
      <c r="B738" t="s">
        <v>1558</v>
      </c>
      <c r="C738" t="s">
        <v>1115</v>
      </c>
      <c r="D738" t="s">
        <v>424</v>
      </c>
      <c r="E738" t="s">
        <v>1559</v>
      </c>
      <c r="F738">
        <v>1760</v>
      </c>
      <c r="G738">
        <v>1454</v>
      </c>
      <c r="H738" t="s">
        <v>1169</v>
      </c>
      <c r="I738" t="s">
        <v>80</v>
      </c>
      <c r="J738" t="s">
        <v>1119</v>
      </c>
      <c r="K738" t="s">
        <v>38</v>
      </c>
      <c r="L738" t="s">
        <v>38</v>
      </c>
      <c r="M738" t="s">
        <v>38</v>
      </c>
      <c r="N738" t="s">
        <v>38</v>
      </c>
      <c r="O738" t="s">
        <v>41</v>
      </c>
      <c r="P738" t="s">
        <v>42</v>
      </c>
      <c r="Q738" t="s">
        <v>43</v>
      </c>
      <c r="R738" t="s">
        <v>89</v>
      </c>
      <c r="S738" t="s">
        <v>45</v>
      </c>
      <c r="T738" t="s">
        <v>89</v>
      </c>
      <c r="U738" t="s">
        <v>301</v>
      </c>
      <c r="V738" t="s">
        <v>91</v>
      </c>
      <c r="W738" t="s">
        <v>92</v>
      </c>
      <c r="X738" t="s">
        <v>38</v>
      </c>
      <c r="Y738" t="s">
        <v>38</v>
      </c>
      <c r="Z738" t="s">
        <v>42</v>
      </c>
      <c r="AA738" t="s">
        <v>241</v>
      </c>
      <c r="AB738" t="s">
        <v>38</v>
      </c>
      <c r="AC738" t="s">
        <v>45</v>
      </c>
      <c r="AD738" t="s">
        <v>48</v>
      </c>
      <c r="AG738" t="str">
        <f>IF(AD738="United States", IFERROR(INDEX(Sheet2!$C:$C, MATCH(AE738&amp;AF738, Sheet2!$E:$E, 0)) &amp; ", " &amp; INDEX(Sheet2!$D:$D, MATCH(AE738&amp;AF738, Sheet2!$E:$E, 0)), ""), "-")</f>
        <v/>
      </c>
    </row>
    <row r="739" spans="1:33" x14ac:dyDescent="0.25">
      <c r="A739" t="s">
        <v>1113</v>
      </c>
      <c r="D739" t="s">
        <v>1560</v>
      </c>
      <c r="E739" t="s">
        <v>1561</v>
      </c>
      <c r="F739">
        <v>1760</v>
      </c>
      <c r="G739">
        <v>1330</v>
      </c>
      <c r="H739">
        <v>50</v>
      </c>
      <c r="J739" t="s">
        <v>1119</v>
      </c>
      <c r="O739" t="s">
        <v>41</v>
      </c>
      <c r="R739" t="s">
        <v>89</v>
      </c>
      <c r="T739" t="s">
        <v>89</v>
      </c>
      <c r="U739">
        <v>1783</v>
      </c>
      <c r="V739" t="s">
        <v>1555</v>
      </c>
      <c r="W739" t="s">
        <v>92</v>
      </c>
      <c r="Y739" t="s">
        <v>38</v>
      </c>
      <c r="AA739" t="s">
        <v>38</v>
      </c>
      <c r="AB739" t="s">
        <v>38</v>
      </c>
      <c r="AC739" t="s">
        <v>38</v>
      </c>
      <c r="AD739" t="s">
        <v>48</v>
      </c>
      <c r="AG739" t="str">
        <f>IF(AD739="United States", IFERROR(INDEX(Sheet2!$C:$C, MATCH(AE739&amp;AF739, Sheet2!$E:$E, 0)) &amp; ", " &amp; INDEX(Sheet2!$D:$D, MATCH(AE739&amp;AF739, Sheet2!$E:$E, 0)), ""), "-")</f>
        <v/>
      </c>
    </row>
    <row r="740" spans="1:33" x14ac:dyDescent="0.25">
      <c r="A740" t="s">
        <v>1113</v>
      </c>
      <c r="B740" t="s">
        <v>1562</v>
      </c>
      <c r="C740" t="s">
        <v>1115</v>
      </c>
      <c r="D740" t="s">
        <v>230</v>
      </c>
      <c r="E740" t="s">
        <v>1563</v>
      </c>
      <c r="F740">
        <v>1748</v>
      </c>
      <c r="G740">
        <v>1452</v>
      </c>
      <c r="H740" t="s">
        <v>1169</v>
      </c>
      <c r="I740" t="s">
        <v>80</v>
      </c>
      <c r="J740" t="s">
        <v>1119</v>
      </c>
      <c r="K740" t="s">
        <v>38</v>
      </c>
      <c r="L740" t="s">
        <v>38</v>
      </c>
      <c r="M740" t="s">
        <v>38</v>
      </c>
      <c r="N740" t="s">
        <v>38</v>
      </c>
      <c r="O740" t="s">
        <v>41</v>
      </c>
      <c r="P740" t="s">
        <v>42</v>
      </c>
      <c r="Q740" t="s">
        <v>43</v>
      </c>
      <c r="R740" t="s">
        <v>89</v>
      </c>
      <c r="S740" t="s">
        <v>45</v>
      </c>
      <c r="T740" t="s">
        <v>89</v>
      </c>
      <c r="U740" t="s">
        <v>301</v>
      </c>
      <c r="V740" t="s">
        <v>91</v>
      </c>
      <c r="W740" t="s">
        <v>92</v>
      </c>
      <c r="X740" t="s">
        <v>38</v>
      </c>
      <c r="Y740" t="s">
        <v>38</v>
      </c>
      <c r="Z740" t="s">
        <v>42</v>
      </c>
      <c r="AA740" t="s">
        <v>1065</v>
      </c>
      <c r="AB740" t="s">
        <v>38</v>
      </c>
      <c r="AC740" t="s">
        <v>45</v>
      </c>
      <c r="AD740" t="s">
        <v>48</v>
      </c>
      <c r="AG740" t="str">
        <f>IF(AD740="United States", IFERROR(INDEX(Sheet2!$C:$C, MATCH(AE740&amp;AF740, Sheet2!$E:$E, 0)) &amp; ", " &amp; INDEX(Sheet2!$D:$D, MATCH(AE740&amp;AF740, Sheet2!$E:$E, 0)), ""), "-")</f>
        <v/>
      </c>
    </row>
    <row r="741" spans="1:33" x14ac:dyDescent="0.25">
      <c r="A741" t="s">
        <v>1113</v>
      </c>
      <c r="B741" t="s">
        <v>1564</v>
      </c>
      <c r="C741" t="s">
        <v>1115</v>
      </c>
      <c r="D741" t="s">
        <v>132</v>
      </c>
      <c r="E741" t="s">
        <v>1565</v>
      </c>
      <c r="F741">
        <v>1743</v>
      </c>
      <c r="G741">
        <v>1451</v>
      </c>
      <c r="H741" t="s">
        <v>1118</v>
      </c>
      <c r="I741" t="s">
        <v>80</v>
      </c>
      <c r="J741" t="s">
        <v>1119</v>
      </c>
      <c r="K741" t="s">
        <v>38</v>
      </c>
      <c r="L741" t="s">
        <v>38</v>
      </c>
      <c r="M741" t="s">
        <v>38</v>
      </c>
      <c r="N741" t="s">
        <v>38</v>
      </c>
      <c r="O741" t="s">
        <v>41</v>
      </c>
      <c r="P741" t="s">
        <v>42</v>
      </c>
      <c r="Q741" t="s">
        <v>43</v>
      </c>
      <c r="R741" t="s">
        <v>89</v>
      </c>
      <c r="S741" t="s">
        <v>89</v>
      </c>
      <c r="T741" t="s">
        <v>89</v>
      </c>
      <c r="U741" t="s">
        <v>301</v>
      </c>
      <c r="V741" t="s">
        <v>91</v>
      </c>
      <c r="W741" t="s">
        <v>92</v>
      </c>
      <c r="X741" t="s">
        <v>38</v>
      </c>
      <c r="Y741" t="s">
        <v>38</v>
      </c>
      <c r="Z741" t="s">
        <v>42</v>
      </c>
      <c r="AA741" t="s">
        <v>1566</v>
      </c>
      <c r="AB741" t="s">
        <v>38</v>
      </c>
      <c r="AC741" t="s">
        <v>89</v>
      </c>
      <c r="AD741" t="s">
        <v>48</v>
      </c>
      <c r="AG741" t="str">
        <f>IF(AD741="United States", IFERROR(INDEX(Sheet2!$C:$C, MATCH(AE741&amp;AF741, Sheet2!$E:$E, 0)) &amp; ", " &amp; INDEX(Sheet2!$D:$D, MATCH(AE741&amp;AF741, Sheet2!$E:$E, 0)), ""), "-")</f>
        <v/>
      </c>
    </row>
    <row r="742" spans="1:33" x14ac:dyDescent="0.25">
      <c r="A742" t="s">
        <v>1113</v>
      </c>
      <c r="B742" t="s">
        <v>1567</v>
      </c>
      <c r="C742" t="s">
        <v>1115</v>
      </c>
      <c r="D742" t="s">
        <v>334</v>
      </c>
      <c r="E742" t="s">
        <v>1320</v>
      </c>
      <c r="F742">
        <v>1755</v>
      </c>
      <c r="G742">
        <v>1450</v>
      </c>
      <c r="H742" t="s">
        <v>1131</v>
      </c>
      <c r="I742" t="s">
        <v>80</v>
      </c>
      <c r="J742" t="s">
        <v>1119</v>
      </c>
      <c r="K742" t="s">
        <v>38</v>
      </c>
      <c r="L742" t="s">
        <v>38</v>
      </c>
      <c r="M742" t="s">
        <v>38</v>
      </c>
      <c r="N742" t="s">
        <v>38</v>
      </c>
      <c r="O742" t="s">
        <v>41</v>
      </c>
      <c r="P742" t="s">
        <v>42</v>
      </c>
      <c r="Q742" t="s">
        <v>43</v>
      </c>
      <c r="R742" t="s">
        <v>89</v>
      </c>
      <c r="S742" t="s">
        <v>38</v>
      </c>
      <c r="T742" t="s">
        <v>89</v>
      </c>
      <c r="U742" t="s">
        <v>301</v>
      </c>
      <c r="V742" t="s">
        <v>91</v>
      </c>
      <c r="W742" t="s">
        <v>92</v>
      </c>
      <c r="X742" t="s">
        <v>38</v>
      </c>
      <c r="Y742" t="s">
        <v>38</v>
      </c>
      <c r="Z742" t="s">
        <v>42</v>
      </c>
      <c r="AA742" t="s">
        <v>38</v>
      </c>
      <c r="AB742" t="s">
        <v>38</v>
      </c>
      <c r="AC742" t="s">
        <v>60</v>
      </c>
      <c r="AD742" t="s">
        <v>48</v>
      </c>
      <c r="AG742" t="str">
        <f>IF(AD742="United States", IFERROR(INDEX(Sheet2!$C:$C, MATCH(AE742&amp;AF742, Sheet2!$E:$E, 0)) &amp; ", " &amp; INDEX(Sheet2!$D:$D, MATCH(AE742&amp;AF742, Sheet2!$E:$E, 0)), ""), "-")</f>
        <v/>
      </c>
    </row>
    <row r="743" spans="1:33" x14ac:dyDescent="0.25">
      <c r="A743" t="s">
        <v>1113</v>
      </c>
      <c r="B743" t="s">
        <v>1568</v>
      </c>
      <c r="C743" t="s">
        <v>1115</v>
      </c>
      <c r="D743" t="s">
        <v>986</v>
      </c>
      <c r="E743" t="s">
        <v>651</v>
      </c>
      <c r="F743">
        <v>1763</v>
      </c>
      <c r="G743">
        <v>1449</v>
      </c>
      <c r="H743" t="s">
        <v>1169</v>
      </c>
      <c r="I743" t="s">
        <v>80</v>
      </c>
      <c r="J743" t="s">
        <v>1119</v>
      </c>
      <c r="K743" t="s">
        <v>38</v>
      </c>
      <c r="L743" t="s">
        <v>38</v>
      </c>
      <c r="M743" t="s">
        <v>38</v>
      </c>
      <c r="N743" t="s">
        <v>38</v>
      </c>
      <c r="O743" t="s">
        <v>41</v>
      </c>
      <c r="P743" t="s">
        <v>42</v>
      </c>
      <c r="Q743" t="s">
        <v>43</v>
      </c>
      <c r="R743" t="s">
        <v>89</v>
      </c>
      <c r="S743" t="s">
        <v>45</v>
      </c>
      <c r="T743" t="s">
        <v>89</v>
      </c>
      <c r="U743" t="s">
        <v>301</v>
      </c>
      <c r="V743" t="s">
        <v>91</v>
      </c>
      <c r="W743" t="s">
        <v>92</v>
      </c>
      <c r="X743" t="s">
        <v>38</v>
      </c>
      <c r="Y743" t="s">
        <v>38</v>
      </c>
      <c r="Z743" t="s">
        <v>42</v>
      </c>
      <c r="AA743" t="s">
        <v>241</v>
      </c>
      <c r="AB743" t="s">
        <v>38</v>
      </c>
      <c r="AC743" t="s">
        <v>45</v>
      </c>
      <c r="AD743" t="s">
        <v>48</v>
      </c>
      <c r="AG743" t="str">
        <f>IF(AD743="United States", IFERROR(INDEX(Sheet2!$C:$C, MATCH(AE743&amp;AF743, Sheet2!$E:$E, 0)) &amp; ", " &amp; INDEX(Sheet2!$D:$D, MATCH(AE743&amp;AF743, Sheet2!$E:$E, 0)), ""), "-")</f>
        <v/>
      </c>
    </row>
    <row r="744" spans="1:33" x14ac:dyDescent="0.25">
      <c r="A744" t="s">
        <v>1113</v>
      </c>
      <c r="B744" t="s">
        <v>1569</v>
      </c>
      <c r="C744" t="s">
        <v>1115</v>
      </c>
      <c r="D744" t="s">
        <v>210</v>
      </c>
      <c r="E744" t="s">
        <v>859</v>
      </c>
      <c r="F744">
        <v>1753</v>
      </c>
      <c r="G744">
        <v>1453</v>
      </c>
      <c r="H744" t="s">
        <v>1118</v>
      </c>
      <c r="I744" t="s">
        <v>80</v>
      </c>
      <c r="J744" t="s">
        <v>1119</v>
      </c>
      <c r="K744" t="s">
        <v>38</v>
      </c>
      <c r="L744" t="s">
        <v>38</v>
      </c>
      <c r="M744" t="s">
        <v>38</v>
      </c>
      <c r="N744" t="s">
        <v>38</v>
      </c>
      <c r="O744" t="s">
        <v>41</v>
      </c>
      <c r="P744" t="s">
        <v>42</v>
      </c>
      <c r="Q744" t="s">
        <v>43</v>
      </c>
      <c r="R744" t="s">
        <v>89</v>
      </c>
      <c r="S744" t="s">
        <v>45</v>
      </c>
      <c r="T744" t="s">
        <v>89</v>
      </c>
      <c r="U744" t="s">
        <v>301</v>
      </c>
      <c r="V744" t="s">
        <v>91</v>
      </c>
      <c r="W744" t="s">
        <v>92</v>
      </c>
      <c r="X744" t="s">
        <v>38</v>
      </c>
      <c r="Y744" t="s">
        <v>38</v>
      </c>
      <c r="Z744" t="s">
        <v>42</v>
      </c>
      <c r="AA744" t="s">
        <v>241</v>
      </c>
      <c r="AB744" t="s">
        <v>38</v>
      </c>
      <c r="AC744" t="s">
        <v>45</v>
      </c>
      <c r="AD744" t="s">
        <v>48</v>
      </c>
      <c r="AG744" t="str">
        <f>IF(AD744="United States", IFERROR(INDEX(Sheet2!$C:$C, MATCH(AE744&amp;AF744, Sheet2!$E:$E, 0)) &amp; ", " &amp; INDEX(Sheet2!$D:$D, MATCH(AE744&amp;AF744, Sheet2!$E:$E, 0)), ""), "-")</f>
        <v/>
      </c>
    </row>
    <row r="745" spans="1:33" x14ac:dyDescent="0.25">
      <c r="A745" t="s">
        <v>1113</v>
      </c>
      <c r="B745" t="s">
        <v>1570</v>
      </c>
      <c r="C745" t="s">
        <v>1115</v>
      </c>
      <c r="D745" t="s">
        <v>72</v>
      </c>
      <c r="E745" t="s">
        <v>1498</v>
      </c>
      <c r="F745">
        <v>1748</v>
      </c>
      <c r="G745">
        <v>1447</v>
      </c>
      <c r="H745" t="s">
        <v>1118</v>
      </c>
      <c r="I745" t="s">
        <v>80</v>
      </c>
      <c r="J745" t="s">
        <v>1119</v>
      </c>
      <c r="K745" t="s">
        <v>38</v>
      </c>
      <c r="L745" t="s">
        <v>38</v>
      </c>
      <c r="M745" t="s">
        <v>835</v>
      </c>
      <c r="N745" t="s">
        <v>1338</v>
      </c>
      <c r="O745" t="s">
        <v>74</v>
      </c>
      <c r="P745" t="s">
        <v>42</v>
      </c>
      <c r="Q745" t="s">
        <v>43</v>
      </c>
      <c r="R745" t="s">
        <v>89</v>
      </c>
      <c r="S745" t="s">
        <v>153</v>
      </c>
      <c r="T745" t="s">
        <v>89</v>
      </c>
      <c r="U745" t="s">
        <v>301</v>
      </c>
      <c r="V745" t="s">
        <v>91</v>
      </c>
      <c r="W745" t="s">
        <v>92</v>
      </c>
      <c r="X745" t="s">
        <v>38</v>
      </c>
      <c r="Y745" t="s">
        <v>38</v>
      </c>
      <c r="Z745" t="s">
        <v>42</v>
      </c>
      <c r="AA745" t="s">
        <v>38</v>
      </c>
      <c r="AB745" t="s">
        <v>38</v>
      </c>
      <c r="AC745" t="s">
        <v>153</v>
      </c>
      <c r="AD745" t="s">
        <v>48</v>
      </c>
      <c r="AG745" t="str">
        <f>IF(AD745="United States", IFERROR(INDEX(Sheet2!$C:$C, MATCH(AE745&amp;AF745, Sheet2!$E:$E, 0)) &amp; ", " &amp; INDEX(Sheet2!$D:$D, MATCH(AE745&amp;AF745, Sheet2!$E:$E, 0)), ""), "-")</f>
        <v/>
      </c>
    </row>
    <row r="746" spans="1:33" x14ac:dyDescent="0.25">
      <c r="A746" t="s">
        <v>1113</v>
      </c>
      <c r="B746" t="s">
        <v>1571</v>
      </c>
      <c r="C746" t="s">
        <v>1115</v>
      </c>
      <c r="D746" t="s">
        <v>835</v>
      </c>
      <c r="E746" t="s">
        <v>1338</v>
      </c>
      <c r="F746">
        <v>1762</v>
      </c>
      <c r="G746">
        <v>1446</v>
      </c>
      <c r="H746" t="s">
        <v>38</v>
      </c>
      <c r="I746" t="s">
        <v>80</v>
      </c>
      <c r="J746" t="s">
        <v>1119</v>
      </c>
      <c r="K746" t="s">
        <v>38</v>
      </c>
      <c r="L746" t="s">
        <v>38</v>
      </c>
      <c r="M746" t="s">
        <v>38</v>
      </c>
      <c r="N746" t="s">
        <v>38</v>
      </c>
      <c r="O746" t="s">
        <v>57</v>
      </c>
      <c r="P746" t="s">
        <v>42</v>
      </c>
      <c r="Q746" t="s">
        <v>43</v>
      </c>
      <c r="R746" t="s">
        <v>682</v>
      </c>
      <c r="S746" t="s">
        <v>45</v>
      </c>
      <c r="T746" t="s">
        <v>38</v>
      </c>
      <c r="U746" t="s">
        <v>38</v>
      </c>
      <c r="V746" t="s">
        <v>91</v>
      </c>
      <c r="W746" t="s">
        <v>38</v>
      </c>
      <c r="X746" t="s">
        <v>38</v>
      </c>
      <c r="Y746" t="s">
        <v>38</v>
      </c>
      <c r="Z746" t="s">
        <v>42</v>
      </c>
      <c r="AA746" t="s">
        <v>682</v>
      </c>
      <c r="AB746" t="s">
        <v>38</v>
      </c>
      <c r="AC746" t="s">
        <v>45</v>
      </c>
      <c r="AD746" t="s">
        <v>48</v>
      </c>
      <c r="AG746" t="str">
        <f>IF(AD746="United States", IFERROR(INDEX(Sheet2!$C:$C, MATCH(AE746&amp;AF746, Sheet2!$E:$E, 0)) &amp; ", " &amp; INDEX(Sheet2!$D:$D, MATCH(AE746&amp;AF746, Sheet2!$E:$E, 0)), ""), "-")</f>
        <v/>
      </c>
    </row>
    <row r="747" spans="1:33" x14ac:dyDescent="0.25">
      <c r="A747" t="s">
        <v>1113</v>
      </c>
      <c r="B747" t="s">
        <v>1572</v>
      </c>
      <c r="C747" t="s">
        <v>1115</v>
      </c>
      <c r="D747" t="s">
        <v>1573</v>
      </c>
      <c r="E747" t="s">
        <v>1496</v>
      </c>
      <c r="F747">
        <v>1761</v>
      </c>
      <c r="G747">
        <v>1445</v>
      </c>
      <c r="H747" t="s">
        <v>1169</v>
      </c>
      <c r="I747" t="s">
        <v>80</v>
      </c>
      <c r="J747" t="s">
        <v>1119</v>
      </c>
      <c r="K747" t="s">
        <v>38</v>
      </c>
      <c r="L747" t="s">
        <v>38</v>
      </c>
      <c r="M747" t="s">
        <v>38</v>
      </c>
      <c r="N747" t="s">
        <v>38</v>
      </c>
      <c r="O747" t="s">
        <v>57</v>
      </c>
      <c r="P747" t="s">
        <v>42</v>
      </c>
      <c r="Q747" t="s">
        <v>43</v>
      </c>
      <c r="R747" t="s">
        <v>89</v>
      </c>
      <c r="S747" t="s">
        <v>153</v>
      </c>
      <c r="T747" t="s">
        <v>89</v>
      </c>
      <c r="U747" t="s">
        <v>301</v>
      </c>
      <c r="V747" t="s">
        <v>91</v>
      </c>
      <c r="W747" t="s">
        <v>92</v>
      </c>
      <c r="X747" t="s">
        <v>38</v>
      </c>
      <c r="Y747" t="s">
        <v>38</v>
      </c>
      <c r="Z747" t="s">
        <v>42</v>
      </c>
      <c r="AA747" t="s">
        <v>155</v>
      </c>
      <c r="AB747" t="s">
        <v>38</v>
      </c>
      <c r="AC747" t="s">
        <v>153</v>
      </c>
      <c r="AD747" t="s">
        <v>48</v>
      </c>
      <c r="AG747" t="str">
        <f>IF(AD747="United States", IFERROR(INDEX(Sheet2!$C:$C, MATCH(AE747&amp;AF747, Sheet2!$E:$E, 0)) &amp; ", " &amp; INDEX(Sheet2!$D:$D, MATCH(AE747&amp;AF747, Sheet2!$E:$E, 0)), ""), "-")</f>
        <v/>
      </c>
    </row>
    <row r="748" spans="1:33" x14ac:dyDescent="0.25">
      <c r="A748" t="s">
        <v>1113</v>
      </c>
      <c r="B748" t="s">
        <v>1574</v>
      </c>
      <c r="C748" t="s">
        <v>1115</v>
      </c>
      <c r="D748" t="s">
        <v>72</v>
      </c>
      <c r="E748" t="s">
        <v>1516</v>
      </c>
      <c r="F748">
        <v>1758</v>
      </c>
      <c r="G748">
        <v>1444</v>
      </c>
      <c r="H748" t="s">
        <v>1118</v>
      </c>
      <c r="I748" t="s">
        <v>80</v>
      </c>
      <c r="J748" t="s">
        <v>1119</v>
      </c>
      <c r="K748" t="s">
        <v>38</v>
      </c>
      <c r="L748" t="s">
        <v>38</v>
      </c>
      <c r="M748" t="s">
        <v>38</v>
      </c>
      <c r="N748" t="s">
        <v>38</v>
      </c>
      <c r="O748" t="s">
        <v>57</v>
      </c>
      <c r="P748" t="s">
        <v>42</v>
      </c>
      <c r="Q748" t="s">
        <v>43</v>
      </c>
      <c r="R748" t="s">
        <v>89</v>
      </c>
      <c r="S748" t="s">
        <v>45</v>
      </c>
      <c r="T748" t="s">
        <v>89</v>
      </c>
      <c r="U748" t="s">
        <v>301</v>
      </c>
      <c r="V748" t="s">
        <v>91</v>
      </c>
      <c r="W748" t="s">
        <v>92</v>
      </c>
      <c r="X748" t="s">
        <v>38</v>
      </c>
      <c r="Y748" t="s">
        <v>38</v>
      </c>
      <c r="Z748" t="s">
        <v>42</v>
      </c>
      <c r="AA748" t="s">
        <v>247</v>
      </c>
      <c r="AB748" t="s">
        <v>38</v>
      </c>
      <c r="AC748" t="s">
        <v>45</v>
      </c>
      <c r="AD748" t="s">
        <v>48</v>
      </c>
      <c r="AG748" t="str">
        <f>IF(AD748="United States", IFERROR(INDEX(Sheet2!$C:$C, MATCH(AE748&amp;AF748, Sheet2!$E:$E, 0)) &amp; ", " &amp; INDEX(Sheet2!$D:$D, MATCH(AE748&amp;AF748, Sheet2!$E:$E, 0)), ""), "-")</f>
        <v/>
      </c>
    </row>
    <row r="749" spans="1:33" x14ac:dyDescent="0.25">
      <c r="A749" t="s">
        <v>1113</v>
      </c>
      <c r="B749" t="s">
        <v>1575</v>
      </c>
      <c r="C749" t="s">
        <v>1115</v>
      </c>
      <c r="D749" t="s">
        <v>424</v>
      </c>
      <c r="E749" t="s">
        <v>1559</v>
      </c>
      <c r="F749">
        <v>1757</v>
      </c>
      <c r="G749">
        <v>1455</v>
      </c>
      <c r="H749" t="s">
        <v>1169</v>
      </c>
      <c r="I749" t="s">
        <v>80</v>
      </c>
      <c r="J749" t="s">
        <v>1119</v>
      </c>
      <c r="K749" t="s">
        <v>38</v>
      </c>
      <c r="L749" t="s">
        <v>38</v>
      </c>
      <c r="M749" t="s">
        <v>38</v>
      </c>
      <c r="N749" t="s">
        <v>38</v>
      </c>
      <c r="O749" t="s">
        <v>41</v>
      </c>
      <c r="P749" t="s">
        <v>42</v>
      </c>
      <c r="Q749" t="s">
        <v>43</v>
      </c>
      <c r="R749" t="s">
        <v>89</v>
      </c>
      <c r="S749" t="s">
        <v>45</v>
      </c>
      <c r="T749" t="s">
        <v>89</v>
      </c>
      <c r="U749" t="s">
        <v>301</v>
      </c>
      <c r="V749" t="s">
        <v>91</v>
      </c>
      <c r="W749" t="s">
        <v>92</v>
      </c>
      <c r="X749" t="s">
        <v>38</v>
      </c>
      <c r="Y749" t="s">
        <v>38</v>
      </c>
      <c r="Z749" t="s">
        <v>42</v>
      </c>
      <c r="AA749" t="s">
        <v>1153</v>
      </c>
      <c r="AB749" t="s">
        <v>38</v>
      </c>
      <c r="AC749" t="s">
        <v>45</v>
      </c>
      <c r="AD749" t="s">
        <v>48</v>
      </c>
      <c r="AG749" t="str">
        <f>IF(AD749="United States", IFERROR(INDEX(Sheet2!$C:$C, MATCH(AE749&amp;AF749, Sheet2!$E:$E, 0)) &amp; ", " &amp; INDEX(Sheet2!$D:$D, MATCH(AE749&amp;AF749, Sheet2!$E:$E, 0)), ""), "-")</f>
        <v/>
      </c>
    </row>
    <row r="750" spans="1:33" x14ac:dyDescent="0.25">
      <c r="A750" t="s">
        <v>1113</v>
      </c>
      <c r="B750" t="s">
        <v>1576</v>
      </c>
      <c r="C750" t="s">
        <v>1115</v>
      </c>
      <c r="D750" t="s">
        <v>980</v>
      </c>
      <c r="E750" t="s">
        <v>527</v>
      </c>
      <c r="F750">
        <v>1761</v>
      </c>
      <c r="G750">
        <v>1448</v>
      </c>
      <c r="H750" t="s">
        <v>1131</v>
      </c>
      <c r="I750" t="s">
        <v>80</v>
      </c>
      <c r="J750" t="s">
        <v>1119</v>
      </c>
      <c r="K750" t="s">
        <v>38</v>
      </c>
      <c r="L750" t="s">
        <v>38</v>
      </c>
      <c r="M750" t="s">
        <v>38</v>
      </c>
      <c r="N750" t="s">
        <v>38</v>
      </c>
      <c r="O750" t="s">
        <v>74</v>
      </c>
      <c r="P750" t="s">
        <v>42</v>
      </c>
      <c r="Q750" t="s">
        <v>43</v>
      </c>
      <c r="R750" t="s">
        <v>89</v>
      </c>
      <c r="S750" t="s">
        <v>38</v>
      </c>
      <c r="T750" t="s">
        <v>89</v>
      </c>
      <c r="U750" t="s">
        <v>301</v>
      </c>
      <c r="V750" t="s">
        <v>91</v>
      </c>
      <c r="W750" t="s">
        <v>92</v>
      </c>
      <c r="X750" t="s">
        <v>38</v>
      </c>
      <c r="Y750" t="s">
        <v>38</v>
      </c>
      <c r="Z750" t="s">
        <v>42</v>
      </c>
      <c r="AA750" t="s">
        <v>38</v>
      </c>
      <c r="AB750" t="s">
        <v>38</v>
      </c>
      <c r="AC750" t="s">
        <v>155</v>
      </c>
      <c r="AD750" t="s">
        <v>48</v>
      </c>
      <c r="AG750" t="str">
        <f>IF(AD750="United States", IFERROR(INDEX(Sheet2!$C:$C, MATCH(AE750&amp;AF750, Sheet2!$E:$E, 0)) &amp; ", " &amp; INDEX(Sheet2!$D:$D, MATCH(AE750&amp;AF750, Sheet2!$E:$E, 0)), ""), "-")</f>
        <v/>
      </c>
    </row>
    <row r="751" spans="1:33" x14ac:dyDescent="0.25">
      <c r="A751" t="s">
        <v>1577</v>
      </c>
      <c r="B751" t="s">
        <v>1578</v>
      </c>
      <c r="C751" t="s">
        <v>1579</v>
      </c>
      <c r="D751" t="s">
        <v>222</v>
      </c>
      <c r="E751" t="s">
        <v>38</v>
      </c>
      <c r="F751">
        <v>1748</v>
      </c>
      <c r="G751">
        <v>814</v>
      </c>
      <c r="H751" t="s">
        <v>269</v>
      </c>
      <c r="I751" t="s">
        <v>39</v>
      </c>
      <c r="J751" t="s">
        <v>1580</v>
      </c>
      <c r="K751" t="s">
        <v>38</v>
      </c>
      <c r="L751" t="s">
        <v>38</v>
      </c>
      <c r="M751" t="s">
        <v>38</v>
      </c>
      <c r="N751" t="s">
        <v>38</v>
      </c>
      <c r="O751" t="s">
        <v>57</v>
      </c>
      <c r="P751" t="s">
        <v>42</v>
      </c>
      <c r="Q751" t="s">
        <v>43</v>
      </c>
      <c r="R751" t="s">
        <v>89</v>
      </c>
      <c r="S751" t="s">
        <v>38</v>
      </c>
      <c r="T751" t="s">
        <v>89</v>
      </c>
      <c r="U751" t="s">
        <v>301</v>
      </c>
      <c r="V751" t="s">
        <v>270</v>
      </c>
      <c r="W751" t="s">
        <v>92</v>
      </c>
      <c r="X751" t="s">
        <v>302</v>
      </c>
      <c r="Y751" t="s">
        <v>1581</v>
      </c>
      <c r="Z751" t="s">
        <v>42</v>
      </c>
      <c r="AA751" t="s">
        <v>38</v>
      </c>
      <c r="AB751" t="s">
        <v>38</v>
      </c>
      <c r="AC751" t="s">
        <v>38</v>
      </c>
      <c r="AD751" t="s">
        <v>48</v>
      </c>
      <c r="AG751" t="str">
        <f>IF(AD751="United States", IFERROR(INDEX(Sheet2!$C:$C, MATCH(AE751&amp;AF751, Sheet2!$E:$E, 0)) &amp; ", " &amp; INDEX(Sheet2!$D:$D, MATCH(AE751&amp;AF751, Sheet2!$E:$E, 0)), ""), "-")</f>
        <v/>
      </c>
    </row>
    <row r="752" spans="1:33" x14ac:dyDescent="0.25">
      <c r="A752" t="s">
        <v>1577</v>
      </c>
      <c r="B752" t="s">
        <v>1582</v>
      </c>
      <c r="C752" t="s">
        <v>1579</v>
      </c>
      <c r="D752" t="s">
        <v>230</v>
      </c>
      <c r="E752" t="s">
        <v>38</v>
      </c>
      <c r="F752">
        <v>1771</v>
      </c>
      <c r="G752">
        <v>813</v>
      </c>
      <c r="H752" t="s">
        <v>269</v>
      </c>
      <c r="I752" t="s">
        <v>39</v>
      </c>
      <c r="J752" t="s">
        <v>1580</v>
      </c>
      <c r="K752" t="s">
        <v>38</v>
      </c>
      <c r="L752" t="s">
        <v>38</v>
      </c>
      <c r="M752" t="s">
        <v>38</v>
      </c>
      <c r="N752" t="s">
        <v>38</v>
      </c>
      <c r="O752" t="s">
        <v>54</v>
      </c>
      <c r="P752" t="s">
        <v>42</v>
      </c>
      <c r="Q752" t="s">
        <v>43</v>
      </c>
      <c r="R752" t="s">
        <v>89</v>
      </c>
      <c r="S752" t="s">
        <v>45</v>
      </c>
      <c r="T752" t="s">
        <v>89</v>
      </c>
      <c r="U752" t="s">
        <v>301</v>
      </c>
      <c r="V752" t="s">
        <v>270</v>
      </c>
      <c r="W752" t="s">
        <v>92</v>
      </c>
      <c r="X752" t="s">
        <v>302</v>
      </c>
      <c r="Y752" t="s">
        <v>1581</v>
      </c>
      <c r="Z752" t="s">
        <v>42</v>
      </c>
      <c r="AA752" t="s">
        <v>143</v>
      </c>
      <c r="AB752" t="s">
        <v>38</v>
      </c>
      <c r="AC752" t="s">
        <v>45</v>
      </c>
      <c r="AD752" t="s">
        <v>48</v>
      </c>
      <c r="AG752" t="str">
        <f>IF(AD752="United States", IFERROR(INDEX(Sheet2!$C:$C, MATCH(AE752&amp;AF752, Sheet2!$E:$E, 0)) &amp; ", " &amp; INDEX(Sheet2!$D:$D, MATCH(AE752&amp;AF752, Sheet2!$E:$E, 0)), ""), "-")</f>
        <v/>
      </c>
    </row>
    <row r="753" spans="1:33" x14ac:dyDescent="0.25">
      <c r="A753" t="s">
        <v>1577</v>
      </c>
      <c r="B753" t="s">
        <v>1583</v>
      </c>
      <c r="C753" t="s">
        <v>1579</v>
      </c>
      <c r="D753" t="s">
        <v>50</v>
      </c>
      <c r="E753" t="s">
        <v>38</v>
      </c>
      <c r="F753">
        <v>1763</v>
      </c>
      <c r="G753">
        <v>812</v>
      </c>
      <c r="H753" t="s">
        <v>269</v>
      </c>
      <c r="I753" t="s">
        <v>39</v>
      </c>
      <c r="J753" t="s">
        <v>1580</v>
      </c>
      <c r="K753" t="s">
        <v>38</v>
      </c>
      <c r="L753" t="s">
        <v>38</v>
      </c>
      <c r="M753" t="s">
        <v>38</v>
      </c>
      <c r="N753" t="s">
        <v>38</v>
      </c>
      <c r="O753" t="s">
        <v>57</v>
      </c>
      <c r="P753" t="s">
        <v>42</v>
      </c>
      <c r="Q753" t="s">
        <v>43</v>
      </c>
      <c r="R753" t="s">
        <v>89</v>
      </c>
      <c r="S753" t="s">
        <v>153</v>
      </c>
      <c r="T753" t="s">
        <v>89</v>
      </c>
      <c r="U753" t="s">
        <v>301</v>
      </c>
      <c r="V753" t="s">
        <v>270</v>
      </c>
      <c r="W753" t="s">
        <v>92</v>
      </c>
      <c r="X753" t="s">
        <v>302</v>
      </c>
      <c r="Y753" t="s">
        <v>1584</v>
      </c>
      <c r="Z753" t="s">
        <v>42</v>
      </c>
      <c r="AA753" t="s">
        <v>155</v>
      </c>
      <c r="AB753" t="s">
        <v>38</v>
      </c>
      <c r="AC753" t="s">
        <v>153</v>
      </c>
      <c r="AD753" t="s">
        <v>48</v>
      </c>
      <c r="AG753" t="str">
        <f>IF(AD753="United States", IFERROR(INDEX(Sheet2!$C:$C, MATCH(AE753&amp;AF753, Sheet2!$E:$E, 0)) &amp; ", " &amp; INDEX(Sheet2!$D:$D, MATCH(AE753&amp;AF753, Sheet2!$E:$E, 0)), ""), "-")</f>
        <v/>
      </c>
    </row>
    <row r="754" spans="1:33" x14ac:dyDescent="0.25">
      <c r="A754" t="s">
        <v>1577</v>
      </c>
      <c r="B754" t="s">
        <v>1585</v>
      </c>
      <c r="C754" t="s">
        <v>1579</v>
      </c>
      <c r="D754" t="s">
        <v>140</v>
      </c>
      <c r="E754" t="s">
        <v>485</v>
      </c>
      <c r="F754">
        <v>1781</v>
      </c>
      <c r="G754">
        <v>769</v>
      </c>
      <c r="H754" t="s">
        <v>38</v>
      </c>
      <c r="I754" t="s">
        <v>39</v>
      </c>
      <c r="J754" t="s">
        <v>1580</v>
      </c>
      <c r="K754" t="s">
        <v>38</v>
      </c>
      <c r="L754" t="s">
        <v>38</v>
      </c>
      <c r="M754" t="s">
        <v>38</v>
      </c>
      <c r="N754" t="s">
        <v>38</v>
      </c>
      <c r="O754" t="s">
        <v>54</v>
      </c>
      <c r="P754" t="s">
        <v>42</v>
      </c>
      <c r="Q754" t="s">
        <v>43</v>
      </c>
      <c r="R754" t="s">
        <v>38</v>
      </c>
      <c r="S754" t="s">
        <v>38</v>
      </c>
      <c r="T754" t="s">
        <v>38</v>
      </c>
      <c r="U754" t="s">
        <v>38</v>
      </c>
      <c r="V754" t="s">
        <v>270</v>
      </c>
      <c r="W754" t="s">
        <v>38</v>
      </c>
      <c r="X754" t="s">
        <v>38</v>
      </c>
      <c r="Y754" t="s">
        <v>1586</v>
      </c>
      <c r="Z754" t="s">
        <v>42</v>
      </c>
      <c r="AA754" t="s">
        <v>38</v>
      </c>
      <c r="AB754" t="s">
        <v>38</v>
      </c>
      <c r="AC754" t="s">
        <v>38</v>
      </c>
      <c r="AD754" t="s">
        <v>48</v>
      </c>
      <c r="AG754" t="str">
        <f>IF(AD754="United States", IFERROR(INDEX(Sheet2!$C:$C, MATCH(AE754&amp;AF754, Sheet2!$E:$E, 0)) &amp; ", " &amp; INDEX(Sheet2!$D:$D, MATCH(AE754&amp;AF754, Sheet2!$E:$E, 0)), ""), "-")</f>
        <v/>
      </c>
    </row>
    <row r="755" spans="1:33" x14ac:dyDescent="0.25">
      <c r="A755" t="s">
        <v>1577</v>
      </c>
      <c r="B755" t="s">
        <v>1587</v>
      </c>
      <c r="C755" t="s">
        <v>1579</v>
      </c>
      <c r="D755" t="s">
        <v>569</v>
      </c>
      <c r="E755" t="s">
        <v>485</v>
      </c>
      <c r="F755">
        <v>1749</v>
      </c>
      <c r="G755">
        <v>768</v>
      </c>
      <c r="H755" t="s">
        <v>38</v>
      </c>
      <c r="I755" t="s">
        <v>39</v>
      </c>
      <c r="J755" t="s">
        <v>1580</v>
      </c>
      <c r="K755" t="s">
        <v>38</v>
      </c>
      <c r="L755" t="s">
        <v>38</v>
      </c>
      <c r="M755" t="s">
        <v>38</v>
      </c>
      <c r="N755" t="s">
        <v>38</v>
      </c>
      <c r="O755" t="s">
        <v>41</v>
      </c>
      <c r="P755" t="s">
        <v>42</v>
      </c>
      <c r="Q755" t="s">
        <v>43</v>
      </c>
      <c r="R755" t="s">
        <v>38</v>
      </c>
      <c r="S755" t="s">
        <v>38</v>
      </c>
      <c r="T755" t="s">
        <v>38</v>
      </c>
      <c r="U755" t="s">
        <v>38</v>
      </c>
      <c r="V755" t="s">
        <v>270</v>
      </c>
      <c r="W755" t="s">
        <v>38</v>
      </c>
      <c r="X755" t="s">
        <v>38</v>
      </c>
      <c r="Y755" t="s">
        <v>1586</v>
      </c>
      <c r="Z755" t="s">
        <v>42</v>
      </c>
      <c r="AA755" t="s">
        <v>38</v>
      </c>
      <c r="AB755" t="s">
        <v>38</v>
      </c>
      <c r="AC755" t="s">
        <v>38</v>
      </c>
      <c r="AD755" t="s">
        <v>48</v>
      </c>
      <c r="AG755" t="str">
        <f>IF(AD755="United States", IFERROR(INDEX(Sheet2!$C:$C, MATCH(AE755&amp;AF755, Sheet2!$E:$E, 0)) &amp; ", " &amp; INDEX(Sheet2!$D:$D, MATCH(AE755&amp;AF755, Sheet2!$E:$E, 0)), ""), "-")</f>
        <v/>
      </c>
    </row>
    <row r="756" spans="1:33" x14ac:dyDescent="0.25">
      <c r="A756" t="s">
        <v>1577</v>
      </c>
      <c r="B756" t="s">
        <v>1588</v>
      </c>
      <c r="C756" t="s">
        <v>1579</v>
      </c>
      <c r="D756" t="s">
        <v>200</v>
      </c>
      <c r="E756" t="s">
        <v>1589</v>
      </c>
      <c r="F756">
        <v>1759</v>
      </c>
      <c r="G756">
        <v>767</v>
      </c>
      <c r="H756" t="s">
        <v>38</v>
      </c>
      <c r="I756" t="s">
        <v>39</v>
      </c>
      <c r="J756" t="s">
        <v>1580</v>
      </c>
      <c r="K756" t="s">
        <v>38</v>
      </c>
      <c r="L756" t="s">
        <v>38</v>
      </c>
      <c r="M756" t="s">
        <v>38</v>
      </c>
      <c r="N756" t="s">
        <v>38</v>
      </c>
      <c r="O756" t="s">
        <v>41</v>
      </c>
      <c r="P756" t="s">
        <v>42</v>
      </c>
      <c r="Q756" t="s">
        <v>43</v>
      </c>
      <c r="R756" t="s">
        <v>38</v>
      </c>
      <c r="S756" t="s">
        <v>38</v>
      </c>
      <c r="T756" t="s">
        <v>38</v>
      </c>
      <c r="U756" t="s">
        <v>38</v>
      </c>
      <c r="V756" t="s">
        <v>270</v>
      </c>
      <c r="W756" t="s">
        <v>38</v>
      </c>
      <c r="X756" t="s">
        <v>38</v>
      </c>
      <c r="Y756" t="s">
        <v>1590</v>
      </c>
      <c r="Z756" t="s">
        <v>42</v>
      </c>
      <c r="AA756" t="s">
        <v>38</v>
      </c>
      <c r="AB756" t="s">
        <v>38</v>
      </c>
      <c r="AC756" t="s">
        <v>38</v>
      </c>
      <c r="AD756" t="s">
        <v>48</v>
      </c>
      <c r="AG756" t="str">
        <f>IF(AD756="United States", IFERROR(INDEX(Sheet2!$C:$C, MATCH(AE756&amp;AF756, Sheet2!$E:$E, 0)) &amp; ", " &amp; INDEX(Sheet2!$D:$D, MATCH(AE756&amp;AF756, Sheet2!$E:$E, 0)), ""), "-")</f>
        <v/>
      </c>
    </row>
    <row r="757" spans="1:33" x14ac:dyDescent="0.25">
      <c r="A757" t="s">
        <v>1577</v>
      </c>
      <c r="B757" t="s">
        <v>1591</v>
      </c>
      <c r="C757" t="s">
        <v>1579</v>
      </c>
      <c r="D757" t="s">
        <v>1592</v>
      </c>
      <c r="E757" t="s">
        <v>1593</v>
      </c>
      <c r="F757">
        <v>1753</v>
      </c>
      <c r="G757">
        <v>766</v>
      </c>
      <c r="H757" t="s">
        <v>38</v>
      </c>
      <c r="I757" t="s">
        <v>39</v>
      </c>
      <c r="J757" t="s">
        <v>1580</v>
      </c>
      <c r="K757" t="s">
        <v>38</v>
      </c>
      <c r="L757" t="s">
        <v>38</v>
      </c>
      <c r="M757" t="s">
        <v>38</v>
      </c>
      <c r="N757" t="s">
        <v>38</v>
      </c>
      <c r="O757" t="s">
        <v>41</v>
      </c>
      <c r="P757" t="s">
        <v>42</v>
      </c>
      <c r="Q757" t="s">
        <v>43</v>
      </c>
      <c r="R757" t="s">
        <v>38</v>
      </c>
      <c r="S757" t="s">
        <v>38</v>
      </c>
      <c r="T757" t="s">
        <v>38</v>
      </c>
      <c r="U757" t="s">
        <v>38</v>
      </c>
      <c r="V757" t="s">
        <v>270</v>
      </c>
      <c r="W757" t="s">
        <v>38</v>
      </c>
      <c r="X757" t="s">
        <v>38</v>
      </c>
      <c r="Y757" t="s">
        <v>1590</v>
      </c>
      <c r="Z757" t="s">
        <v>42</v>
      </c>
      <c r="AA757" t="s">
        <v>38</v>
      </c>
      <c r="AB757" t="s">
        <v>38</v>
      </c>
      <c r="AC757" t="s">
        <v>38</v>
      </c>
      <c r="AD757" t="s">
        <v>48</v>
      </c>
      <c r="AG757" t="str">
        <f>IF(AD757="United States", IFERROR(INDEX(Sheet2!$C:$C, MATCH(AE757&amp;AF757, Sheet2!$E:$E, 0)) &amp; ", " &amp; INDEX(Sheet2!$D:$D, MATCH(AE757&amp;AF757, Sheet2!$E:$E, 0)), ""), "-")</f>
        <v/>
      </c>
    </row>
    <row r="758" spans="1:33" x14ac:dyDescent="0.25">
      <c r="A758" t="s">
        <v>1577</v>
      </c>
      <c r="B758" t="s">
        <v>1594</v>
      </c>
      <c r="C758" t="s">
        <v>1595</v>
      </c>
      <c r="D758" t="s">
        <v>361</v>
      </c>
      <c r="E758" t="s">
        <v>1596</v>
      </c>
      <c r="F758">
        <v>1757</v>
      </c>
      <c r="G758">
        <v>1911</v>
      </c>
      <c r="H758" t="s">
        <v>173</v>
      </c>
      <c r="I758" t="s">
        <v>80</v>
      </c>
      <c r="J758" t="s">
        <v>1580</v>
      </c>
      <c r="K758" t="s">
        <v>38</v>
      </c>
      <c r="L758" t="s">
        <v>38</v>
      </c>
      <c r="M758" t="s">
        <v>38</v>
      </c>
      <c r="N758" t="s">
        <v>38</v>
      </c>
      <c r="O758" t="s">
        <v>41</v>
      </c>
      <c r="P758" t="s">
        <v>42</v>
      </c>
      <c r="Q758" t="s">
        <v>43</v>
      </c>
      <c r="R758" t="s">
        <v>89</v>
      </c>
      <c r="S758" t="s">
        <v>38</v>
      </c>
      <c r="T758" t="s">
        <v>89</v>
      </c>
      <c r="U758" t="s">
        <v>301</v>
      </c>
      <c r="V758" t="s">
        <v>91</v>
      </c>
      <c r="W758" t="s">
        <v>92</v>
      </c>
      <c r="X758" t="s">
        <v>302</v>
      </c>
      <c r="Y758" t="s">
        <v>1597</v>
      </c>
      <c r="Z758" t="s">
        <v>42</v>
      </c>
      <c r="AA758" t="s">
        <v>38</v>
      </c>
      <c r="AB758" t="s">
        <v>38</v>
      </c>
      <c r="AC758" t="s">
        <v>38</v>
      </c>
      <c r="AD758" t="s">
        <v>48</v>
      </c>
      <c r="AG758" t="str">
        <f>IF(AD758="United States", IFERROR(INDEX(Sheet2!$C:$C, MATCH(AE758&amp;AF758, Sheet2!$E:$E, 0)) &amp; ", " &amp; INDEX(Sheet2!$D:$D, MATCH(AE758&amp;AF758, Sheet2!$E:$E, 0)), ""), "-")</f>
        <v/>
      </c>
    </row>
    <row r="759" spans="1:33" x14ac:dyDescent="0.25">
      <c r="A759" t="s">
        <v>1577</v>
      </c>
      <c r="B759" t="s">
        <v>1598</v>
      </c>
      <c r="C759" t="s">
        <v>1595</v>
      </c>
      <c r="D759" t="s">
        <v>150</v>
      </c>
      <c r="E759" t="s">
        <v>848</v>
      </c>
      <c r="F759">
        <v>1761</v>
      </c>
      <c r="G759">
        <v>1910</v>
      </c>
      <c r="H759" t="s">
        <v>173</v>
      </c>
      <c r="I759" t="s">
        <v>80</v>
      </c>
      <c r="J759" t="s">
        <v>1580</v>
      </c>
      <c r="K759" t="s">
        <v>38</v>
      </c>
      <c r="L759" t="s">
        <v>38</v>
      </c>
      <c r="M759" t="s">
        <v>38</v>
      </c>
      <c r="N759" t="s">
        <v>38</v>
      </c>
      <c r="O759" t="s">
        <v>41</v>
      </c>
      <c r="P759" t="s">
        <v>42</v>
      </c>
      <c r="Q759" t="s">
        <v>43</v>
      </c>
      <c r="R759" t="s">
        <v>89</v>
      </c>
      <c r="S759" t="s">
        <v>89</v>
      </c>
      <c r="T759" t="s">
        <v>89</v>
      </c>
      <c r="U759" t="s">
        <v>301</v>
      </c>
      <c r="V759" t="s">
        <v>91</v>
      </c>
      <c r="W759" t="s">
        <v>92</v>
      </c>
      <c r="X759" t="s">
        <v>302</v>
      </c>
      <c r="Y759" t="s">
        <v>1599</v>
      </c>
      <c r="Z759" t="s">
        <v>42</v>
      </c>
      <c r="AA759" t="s">
        <v>1600</v>
      </c>
      <c r="AB759" t="s">
        <v>38</v>
      </c>
      <c r="AC759" t="s">
        <v>89</v>
      </c>
      <c r="AD759" t="s">
        <v>48</v>
      </c>
      <c r="AG759" t="str">
        <f>IF(AD759="United States", IFERROR(INDEX(Sheet2!$C:$C, MATCH(AE759&amp;AF759, Sheet2!$E:$E, 0)) &amp; ", " &amp; INDEX(Sheet2!$D:$D, MATCH(AE759&amp;AF759, Sheet2!$E:$E, 0)), ""), "-")</f>
        <v/>
      </c>
    </row>
    <row r="760" spans="1:33" x14ac:dyDescent="0.25">
      <c r="A760" t="s">
        <v>1577</v>
      </c>
      <c r="B760" t="s">
        <v>1601</v>
      </c>
      <c r="C760" t="s">
        <v>1602</v>
      </c>
      <c r="D760" t="s">
        <v>1603</v>
      </c>
      <c r="E760" t="s">
        <v>1604</v>
      </c>
      <c r="F760">
        <v>1766</v>
      </c>
      <c r="G760">
        <v>2477</v>
      </c>
      <c r="H760" t="s">
        <v>38</v>
      </c>
      <c r="I760" t="s">
        <v>87</v>
      </c>
      <c r="J760" t="s">
        <v>38</v>
      </c>
      <c r="K760" t="s">
        <v>38</v>
      </c>
      <c r="L760" t="s">
        <v>38</v>
      </c>
      <c r="M760" t="s">
        <v>38</v>
      </c>
      <c r="N760" t="s">
        <v>38</v>
      </c>
      <c r="O760" t="s">
        <v>74</v>
      </c>
      <c r="P760" t="s">
        <v>42</v>
      </c>
      <c r="Q760" t="s">
        <v>43</v>
      </c>
      <c r="R760" t="s">
        <v>38</v>
      </c>
      <c r="S760" t="s">
        <v>38</v>
      </c>
      <c r="T760" t="s">
        <v>38</v>
      </c>
      <c r="U760" t="s">
        <v>38</v>
      </c>
      <c r="V760" t="s">
        <v>38</v>
      </c>
      <c r="W760" t="s">
        <v>38</v>
      </c>
      <c r="X760" t="s">
        <v>38</v>
      </c>
      <c r="Y760" t="s">
        <v>38</v>
      </c>
      <c r="Z760" t="s">
        <v>42</v>
      </c>
      <c r="AA760" t="s">
        <v>38</v>
      </c>
      <c r="AB760" t="s">
        <v>38</v>
      </c>
      <c r="AC760" t="s">
        <v>38</v>
      </c>
      <c r="AD760" t="s">
        <v>48</v>
      </c>
      <c r="AG760" t="str">
        <f>IF(AD760="United States", IFERROR(INDEX(Sheet2!$C:$C, MATCH(AE760&amp;AF760, Sheet2!$E:$E, 0)) &amp; ", " &amp; INDEX(Sheet2!$D:$D, MATCH(AE760&amp;AF760, Sheet2!$E:$E, 0)), ""), "-")</f>
        <v/>
      </c>
    </row>
    <row r="761" spans="1:33" x14ac:dyDescent="0.25">
      <c r="A761" t="s">
        <v>1577</v>
      </c>
      <c r="B761" t="s">
        <v>1605</v>
      </c>
      <c r="C761" t="s">
        <v>1602</v>
      </c>
      <c r="D761" t="s">
        <v>495</v>
      </c>
      <c r="E761" t="s">
        <v>1606</v>
      </c>
      <c r="F761">
        <v>1747</v>
      </c>
      <c r="G761">
        <v>2476</v>
      </c>
      <c r="H761" t="s">
        <v>38</v>
      </c>
      <c r="I761" t="s">
        <v>87</v>
      </c>
      <c r="J761" t="s">
        <v>38</v>
      </c>
      <c r="K761" t="s">
        <v>38</v>
      </c>
      <c r="L761" t="s">
        <v>38</v>
      </c>
      <c r="M761" t="s">
        <v>38</v>
      </c>
      <c r="N761" t="s">
        <v>38</v>
      </c>
      <c r="O761" t="s">
        <v>57</v>
      </c>
      <c r="P761" t="s">
        <v>42</v>
      </c>
      <c r="Q761" t="s">
        <v>43</v>
      </c>
      <c r="R761" t="s">
        <v>38</v>
      </c>
      <c r="S761" t="s">
        <v>38</v>
      </c>
      <c r="T761" t="s">
        <v>38</v>
      </c>
      <c r="U761" t="s">
        <v>38</v>
      </c>
      <c r="V761" t="s">
        <v>38</v>
      </c>
      <c r="W761" t="s">
        <v>38</v>
      </c>
      <c r="X761" t="s">
        <v>38</v>
      </c>
      <c r="Y761" t="s">
        <v>38</v>
      </c>
      <c r="Z761" t="s">
        <v>42</v>
      </c>
      <c r="AA761" t="s">
        <v>38</v>
      </c>
      <c r="AB761" t="s">
        <v>38</v>
      </c>
      <c r="AC761" t="s">
        <v>233</v>
      </c>
      <c r="AD761" t="s">
        <v>48</v>
      </c>
      <c r="AG761" t="str">
        <f>IF(AD761="United States", IFERROR(INDEX(Sheet2!$C:$C, MATCH(AE761&amp;AF761, Sheet2!$E:$E, 0)) &amp; ", " &amp; INDEX(Sheet2!$D:$D, MATCH(AE761&amp;AF761, Sheet2!$E:$E, 0)), ""), "-")</f>
        <v/>
      </c>
    </row>
    <row r="762" spans="1:33" x14ac:dyDescent="0.25">
      <c r="A762" t="s">
        <v>1577</v>
      </c>
      <c r="B762" t="s">
        <v>1607</v>
      </c>
      <c r="C762" t="s">
        <v>1579</v>
      </c>
      <c r="D762" t="s">
        <v>824</v>
      </c>
      <c r="E762" t="s">
        <v>38</v>
      </c>
      <c r="F762">
        <v>1759</v>
      </c>
      <c r="G762">
        <v>810</v>
      </c>
      <c r="H762" t="s">
        <v>269</v>
      </c>
      <c r="I762" t="s">
        <v>39</v>
      </c>
      <c r="J762" t="s">
        <v>1580</v>
      </c>
      <c r="K762" t="s">
        <v>38</v>
      </c>
      <c r="L762" t="s">
        <v>38</v>
      </c>
      <c r="M762" t="s">
        <v>38</v>
      </c>
      <c r="N762" t="s">
        <v>38</v>
      </c>
      <c r="O762" t="s">
        <v>41</v>
      </c>
      <c r="P762" t="s">
        <v>42</v>
      </c>
      <c r="Q762" t="s">
        <v>43</v>
      </c>
      <c r="R762" t="s">
        <v>89</v>
      </c>
      <c r="S762" t="s">
        <v>153</v>
      </c>
      <c r="T762" t="s">
        <v>89</v>
      </c>
      <c r="U762" t="s">
        <v>301</v>
      </c>
      <c r="V762" t="s">
        <v>270</v>
      </c>
      <c r="W762" t="s">
        <v>92</v>
      </c>
      <c r="X762" t="s">
        <v>302</v>
      </c>
      <c r="Y762" t="s">
        <v>1584</v>
      </c>
      <c r="Z762" t="s">
        <v>42</v>
      </c>
      <c r="AA762" t="s">
        <v>487</v>
      </c>
      <c r="AB762" t="s">
        <v>38</v>
      </c>
      <c r="AC762" t="s">
        <v>153</v>
      </c>
      <c r="AD762" t="s">
        <v>48</v>
      </c>
      <c r="AG762" t="str">
        <f>IF(AD762="United States", IFERROR(INDEX(Sheet2!$C:$C, MATCH(AE762&amp;AF762, Sheet2!$E:$E, 0)) &amp; ", " &amp; INDEX(Sheet2!$D:$D, MATCH(AE762&amp;AF762, Sheet2!$E:$E, 0)), ""), "-")</f>
        <v/>
      </c>
    </row>
    <row r="763" spans="1:33" x14ac:dyDescent="0.25">
      <c r="A763" t="s">
        <v>1577</v>
      </c>
      <c r="B763" t="s">
        <v>1608</v>
      </c>
      <c r="C763" t="s">
        <v>1579</v>
      </c>
      <c r="D763" t="s">
        <v>1609</v>
      </c>
      <c r="E763" t="s">
        <v>38</v>
      </c>
      <c r="F763">
        <v>1762</v>
      </c>
      <c r="G763">
        <v>811</v>
      </c>
      <c r="H763" t="s">
        <v>269</v>
      </c>
      <c r="I763" t="s">
        <v>39</v>
      </c>
      <c r="J763" t="s">
        <v>1580</v>
      </c>
      <c r="K763" t="s">
        <v>38</v>
      </c>
      <c r="L763" t="s">
        <v>38</v>
      </c>
      <c r="M763" t="s">
        <v>38</v>
      </c>
      <c r="N763" t="s">
        <v>38</v>
      </c>
      <c r="O763" t="s">
        <v>41</v>
      </c>
      <c r="P763" t="s">
        <v>42</v>
      </c>
      <c r="Q763" t="s">
        <v>43</v>
      </c>
      <c r="R763" t="s">
        <v>89</v>
      </c>
      <c r="S763" t="s">
        <v>153</v>
      </c>
      <c r="T763" t="s">
        <v>89</v>
      </c>
      <c r="U763" t="s">
        <v>301</v>
      </c>
      <c r="V763" t="s">
        <v>270</v>
      </c>
      <c r="W763" t="s">
        <v>92</v>
      </c>
      <c r="X763" t="s">
        <v>302</v>
      </c>
      <c r="Y763" t="s">
        <v>1584</v>
      </c>
      <c r="Z763" t="s">
        <v>42</v>
      </c>
      <c r="AA763" t="s">
        <v>1609</v>
      </c>
      <c r="AB763" t="s">
        <v>155</v>
      </c>
      <c r="AC763" t="s">
        <v>153</v>
      </c>
      <c r="AD763" t="s">
        <v>48</v>
      </c>
      <c r="AG763" t="str">
        <f>IF(AD763="United States", IFERROR(INDEX(Sheet2!$C:$C, MATCH(AE763&amp;AF763, Sheet2!$E:$E, 0)) &amp; ", " &amp; INDEX(Sheet2!$D:$D, MATCH(AE763&amp;AF763, Sheet2!$E:$E, 0)), ""), "-")</f>
        <v/>
      </c>
    </row>
    <row r="764" spans="1:33" x14ac:dyDescent="0.25">
      <c r="A764" t="s">
        <v>1577</v>
      </c>
      <c r="B764" t="s">
        <v>1610</v>
      </c>
      <c r="C764" t="s">
        <v>1602</v>
      </c>
      <c r="D764" t="s">
        <v>204</v>
      </c>
      <c r="E764" t="s">
        <v>1606</v>
      </c>
      <c r="F764">
        <v>1771</v>
      </c>
      <c r="G764">
        <v>2475</v>
      </c>
      <c r="H764" t="s">
        <v>38</v>
      </c>
      <c r="I764" t="s">
        <v>87</v>
      </c>
      <c r="J764" t="s">
        <v>38</v>
      </c>
      <c r="K764" t="s">
        <v>38</v>
      </c>
      <c r="L764" t="s">
        <v>38</v>
      </c>
      <c r="M764" t="s">
        <v>38</v>
      </c>
      <c r="N764" t="s">
        <v>38</v>
      </c>
      <c r="O764" t="s">
        <v>54</v>
      </c>
      <c r="P764" t="s">
        <v>42</v>
      </c>
      <c r="Q764" t="s">
        <v>43</v>
      </c>
      <c r="R764" t="s">
        <v>38</v>
      </c>
      <c r="S764" t="s">
        <v>38</v>
      </c>
      <c r="T764" t="s">
        <v>38</v>
      </c>
      <c r="U764" t="s">
        <v>38</v>
      </c>
      <c r="V764" t="s">
        <v>38</v>
      </c>
      <c r="W764" t="s">
        <v>38</v>
      </c>
      <c r="X764" t="s">
        <v>38</v>
      </c>
      <c r="Y764" t="s">
        <v>38</v>
      </c>
      <c r="Z764" t="s">
        <v>42</v>
      </c>
      <c r="AA764" t="s">
        <v>38</v>
      </c>
      <c r="AB764" t="s">
        <v>38</v>
      </c>
      <c r="AC764" t="s">
        <v>233</v>
      </c>
      <c r="AD764" t="s">
        <v>48</v>
      </c>
      <c r="AG764" t="str">
        <f>IF(AD764="United States", IFERROR(INDEX(Sheet2!$C:$C, MATCH(AE764&amp;AF764, Sheet2!$E:$E, 0)) &amp; ", " &amp; INDEX(Sheet2!$D:$D, MATCH(AE764&amp;AF764, Sheet2!$E:$E, 0)), ""), "-")</f>
        <v/>
      </c>
    </row>
    <row r="765" spans="1:33" x14ac:dyDescent="0.25">
      <c r="A765" t="s">
        <v>1577</v>
      </c>
      <c r="B765" t="s">
        <v>1611</v>
      </c>
      <c r="C765" t="s">
        <v>1602</v>
      </c>
      <c r="D765" t="s">
        <v>388</v>
      </c>
      <c r="E765" t="s">
        <v>1612</v>
      </c>
      <c r="F765">
        <v>1764</v>
      </c>
      <c r="G765">
        <v>2474</v>
      </c>
      <c r="H765" t="s">
        <v>38</v>
      </c>
      <c r="I765" t="s">
        <v>87</v>
      </c>
      <c r="J765" t="s">
        <v>38</v>
      </c>
      <c r="K765" t="s">
        <v>38</v>
      </c>
      <c r="L765" t="s">
        <v>38</v>
      </c>
      <c r="M765" t="s">
        <v>38</v>
      </c>
      <c r="N765" t="s">
        <v>38</v>
      </c>
      <c r="O765" t="s">
        <v>41</v>
      </c>
      <c r="P765" t="s">
        <v>42</v>
      </c>
      <c r="Q765" t="s">
        <v>43</v>
      </c>
      <c r="R765" t="s">
        <v>169</v>
      </c>
      <c r="S765" t="s">
        <v>45</v>
      </c>
      <c r="T765" t="s">
        <v>38</v>
      </c>
      <c r="U765" t="s">
        <v>38</v>
      </c>
      <c r="V765" t="s">
        <v>38</v>
      </c>
      <c r="W765" t="s">
        <v>38</v>
      </c>
      <c r="X765" t="s">
        <v>38</v>
      </c>
      <c r="Y765" t="s">
        <v>38</v>
      </c>
      <c r="Z765" t="s">
        <v>42</v>
      </c>
      <c r="AA765" t="s">
        <v>169</v>
      </c>
      <c r="AB765" t="s">
        <v>38</v>
      </c>
      <c r="AC765" t="s">
        <v>45</v>
      </c>
      <c r="AD765" t="s">
        <v>48</v>
      </c>
      <c r="AG765" t="str">
        <f>IF(AD765="United States", IFERROR(INDEX(Sheet2!$C:$C, MATCH(AE765&amp;AF765, Sheet2!$E:$E, 0)) &amp; ", " &amp; INDEX(Sheet2!$D:$D, MATCH(AE765&amp;AF765, Sheet2!$E:$E, 0)), ""), "-")</f>
        <v/>
      </c>
    </row>
    <row r="766" spans="1:33" x14ac:dyDescent="0.25">
      <c r="A766" t="s">
        <v>1613</v>
      </c>
      <c r="D766" t="s">
        <v>1614</v>
      </c>
      <c r="E766" t="s">
        <v>1615</v>
      </c>
      <c r="F766">
        <v>1753</v>
      </c>
      <c r="G766">
        <v>845</v>
      </c>
      <c r="H766">
        <v>38</v>
      </c>
      <c r="J766" t="s">
        <v>1580</v>
      </c>
      <c r="O766" t="s">
        <v>41</v>
      </c>
      <c r="R766" t="s">
        <v>89</v>
      </c>
      <c r="T766" t="s">
        <v>89</v>
      </c>
      <c r="U766" t="s">
        <v>301</v>
      </c>
      <c r="V766" t="s">
        <v>941</v>
      </c>
      <c r="W766" t="s">
        <v>92</v>
      </c>
      <c r="X766" t="s">
        <v>302</v>
      </c>
      <c r="Y766" t="s">
        <v>38</v>
      </c>
      <c r="AA766" t="s">
        <v>38</v>
      </c>
      <c r="AB766" t="s">
        <v>38</v>
      </c>
      <c r="AC766" t="s">
        <v>38</v>
      </c>
      <c r="AD766" t="s">
        <v>48</v>
      </c>
      <c r="AG766" t="str">
        <f>IF(AD766="United States", IFERROR(INDEX(Sheet2!$C:$C, MATCH(AE766&amp;AF766, Sheet2!$E:$E, 0)) &amp; ", " &amp; INDEX(Sheet2!$D:$D, MATCH(AE766&amp;AF766, Sheet2!$E:$E, 0)), ""), "-")</f>
        <v/>
      </c>
    </row>
    <row r="767" spans="1:33" x14ac:dyDescent="0.25">
      <c r="A767" t="s">
        <v>1616</v>
      </c>
      <c r="D767" t="s">
        <v>1491</v>
      </c>
      <c r="E767" t="s">
        <v>1617</v>
      </c>
      <c r="F767">
        <v>1743</v>
      </c>
      <c r="G767">
        <v>2867</v>
      </c>
      <c r="H767">
        <v>86</v>
      </c>
      <c r="J767" t="s">
        <v>1618</v>
      </c>
      <c r="O767" t="s">
        <v>41</v>
      </c>
      <c r="R767" t="s">
        <v>89</v>
      </c>
      <c r="T767" t="s">
        <v>89</v>
      </c>
      <c r="U767" t="s">
        <v>301</v>
      </c>
      <c r="V767" t="s">
        <v>1619</v>
      </c>
      <c r="W767" t="s">
        <v>92</v>
      </c>
      <c r="X767" t="s">
        <v>302</v>
      </c>
      <c r="Y767" t="s">
        <v>38</v>
      </c>
      <c r="AA767" t="s">
        <v>38</v>
      </c>
      <c r="AB767" t="s">
        <v>38</v>
      </c>
      <c r="AC767" t="s">
        <v>38</v>
      </c>
      <c r="AD767" t="s">
        <v>48</v>
      </c>
      <c r="AG767" t="str">
        <f>IF(AD767="United States", IFERROR(INDEX(Sheet2!$C:$C, MATCH(AE767&amp;AF767, Sheet2!$E:$E, 0)) &amp; ", " &amp; INDEX(Sheet2!$D:$D, MATCH(AE767&amp;AF767, Sheet2!$E:$E, 0)), ""), "-")</f>
        <v/>
      </c>
    </row>
    <row r="768" spans="1:33" x14ac:dyDescent="0.25">
      <c r="A768" t="s">
        <v>1616</v>
      </c>
      <c r="D768" t="s">
        <v>220</v>
      </c>
      <c r="E768" t="s">
        <v>1620</v>
      </c>
      <c r="F768">
        <v>1744</v>
      </c>
      <c r="G768">
        <v>2868</v>
      </c>
      <c r="H768">
        <v>86</v>
      </c>
      <c r="J768" t="s">
        <v>1618</v>
      </c>
      <c r="O768" t="s">
        <v>41</v>
      </c>
      <c r="R768" t="s">
        <v>89</v>
      </c>
      <c r="T768" t="s">
        <v>89</v>
      </c>
      <c r="U768" t="s">
        <v>301</v>
      </c>
      <c r="V768" t="s">
        <v>1619</v>
      </c>
      <c r="W768" t="s">
        <v>92</v>
      </c>
      <c r="X768" t="s">
        <v>302</v>
      </c>
      <c r="Y768" t="s">
        <v>38</v>
      </c>
      <c r="AA768" t="s">
        <v>38</v>
      </c>
      <c r="AB768" t="s">
        <v>38</v>
      </c>
      <c r="AC768" t="s">
        <v>38</v>
      </c>
      <c r="AD768" t="s">
        <v>48</v>
      </c>
      <c r="AG768" t="str">
        <f>IF(AD768="United States", IFERROR(INDEX(Sheet2!$C:$C, MATCH(AE768&amp;AF768, Sheet2!$E:$E, 0)) &amp; ", " &amp; INDEX(Sheet2!$D:$D, MATCH(AE768&amp;AF768, Sheet2!$E:$E, 0)), ""), "-")</f>
        <v/>
      </c>
    </row>
    <row r="769" spans="1:33" x14ac:dyDescent="0.25">
      <c r="A769" t="s">
        <v>1616</v>
      </c>
      <c r="D769" t="s">
        <v>1621</v>
      </c>
      <c r="E769" t="s">
        <v>38</v>
      </c>
      <c r="F769">
        <v>1753</v>
      </c>
      <c r="G769">
        <v>2869</v>
      </c>
      <c r="H769">
        <v>86</v>
      </c>
      <c r="J769" t="s">
        <v>1618</v>
      </c>
      <c r="O769" t="s">
        <v>57</v>
      </c>
      <c r="R769" t="s">
        <v>89</v>
      </c>
      <c r="T769" t="s">
        <v>89</v>
      </c>
      <c r="U769" t="s">
        <v>301</v>
      </c>
      <c r="V769" t="s">
        <v>1619</v>
      </c>
      <c r="W769" t="s">
        <v>92</v>
      </c>
      <c r="X769" t="s">
        <v>302</v>
      </c>
      <c r="Y769" t="s">
        <v>38</v>
      </c>
      <c r="AA769" t="s">
        <v>38</v>
      </c>
      <c r="AB769" t="s">
        <v>38</v>
      </c>
      <c r="AC769" t="s">
        <v>38</v>
      </c>
      <c r="AD769" t="s">
        <v>48</v>
      </c>
      <c r="AG769" t="str">
        <f>IF(AD769="United States", IFERROR(INDEX(Sheet2!$C:$C, MATCH(AE769&amp;AF769, Sheet2!$E:$E, 0)) &amp; ", " &amp; INDEX(Sheet2!$D:$D, MATCH(AE769&amp;AF769, Sheet2!$E:$E, 0)), ""), "-")</f>
        <v/>
      </c>
    </row>
    <row r="770" spans="1:33" x14ac:dyDescent="0.25">
      <c r="A770" t="s">
        <v>1616</v>
      </c>
      <c r="D770" t="s">
        <v>210</v>
      </c>
      <c r="E770" t="s">
        <v>1622</v>
      </c>
      <c r="F770">
        <v>1760</v>
      </c>
      <c r="G770">
        <v>2870</v>
      </c>
      <c r="H770">
        <v>86</v>
      </c>
      <c r="J770" t="s">
        <v>1618</v>
      </c>
      <c r="O770" t="s">
        <v>41</v>
      </c>
      <c r="R770" t="s">
        <v>89</v>
      </c>
      <c r="T770" t="s">
        <v>89</v>
      </c>
      <c r="U770" t="s">
        <v>301</v>
      </c>
      <c r="V770" t="s">
        <v>1619</v>
      </c>
      <c r="W770" t="s">
        <v>92</v>
      </c>
      <c r="X770" t="s">
        <v>302</v>
      </c>
      <c r="Y770" t="s">
        <v>38</v>
      </c>
      <c r="AA770" t="s">
        <v>38</v>
      </c>
      <c r="AB770" t="s">
        <v>38</v>
      </c>
      <c r="AC770" t="s">
        <v>38</v>
      </c>
      <c r="AD770" t="s">
        <v>48</v>
      </c>
      <c r="AG770" t="str">
        <f>IF(AD770="United States", IFERROR(INDEX(Sheet2!$C:$C, MATCH(AE770&amp;AF770, Sheet2!$E:$E, 0)) &amp; ", " &amp; INDEX(Sheet2!$D:$D, MATCH(AE770&amp;AF770, Sheet2!$E:$E, 0)), ""), "-")</f>
        <v/>
      </c>
    </row>
    <row r="771" spans="1:33" x14ac:dyDescent="0.25">
      <c r="A771" t="s">
        <v>1616</v>
      </c>
      <c r="D771" t="s">
        <v>195</v>
      </c>
      <c r="E771" t="s">
        <v>1623</v>
      </c>
      <c r="F771">
        <v>1758</v>
      </c>
      <c r="G771">
        <v>2871</v>
      </c>
      <c r="H771">
        <v>86</v>
      </c>
      <c r="J771" t="s">
        <v>1618</v>
      </c>
      <c r="O771" t="s">
        <v>41</v>
      </c>
      <c r="R771" t="s">
        <v>89</v>
      </c>
      <c r="T771" t="s">
        <v>89</v>
      </c>
      <c r="U771" t="s">
        <v>301</v>
      </c>
      <c r="V771" t="s">
        <v>1619</v>
      </c>
      <c r="W771" t="s">
        <v>92</v>
      </c>
      <c r="X771" t="s">
        <v>302</v>
      </c>
      <c r="Y771" t="s">
        <v>38</v>
      </c>
      <c r="AA771" t="s">
        <v>38</v>
      </c>
      <c r="AB771" t="s">
        <v>38</v>
      </c>
      <c r="AC771" t="s">
        <v>38</v>
      </c>
      <c r="AD771" t="s">
        <v>48</v>
      </c>
      <c r="AG771" t="str">
        <f>IF(AD771="United States", IFERROR(INDEX(Sheet2!$C:$C, MATCH(AE771&amp;AF771, Sheet2!$E:$E, 0)) &amp; ", " &amp; INDEX(Sheet2!$D:$D, MATCH(AE771&amp;AF771, Sheet2!$E:$E, 0)), ""), "-")</f>
        <v/>
      </c>
    </row>
    <row r="772" spans="1:33" x14ac:dyDescent="0.25">
      <c r="A772" t="s">
        <v>1616</v>
      </c>
      <c r="D772" t="s">
        <v>615</v>
      </c>
      <c r="E772" t="s">
        <v>1624</v>
      </c>
      <c r="F772">
        <v>1760</v>
      </c>
      <c r="G772">
        <v>2872</v>
      </c>
      <c r="H772">
        <v>86</v>
      </c>
      <c r="J772" t="s">
        <v>1618</v>
      </c>
      <c r="O772" t="s">
        <v>41</v>
      </c>
      <c r="R772" t="s">
        <v>89</v>
      </c>
      <c r="T772" t="s">
        <v>89</v>
      </c>
      <c r="U772" t="s">
        <v>301</v>
      </c>
      <c r="V772" t="s">
        <v>1619</v>
      </c>
      <c r="W772" t="s">
        <v>92</v>
      </c>
      <c r="X772" t="s">
        <v>302</v>
      </c>
      <c r="Y772" t="s">
        <v>38</v>
      </c>
      <c r="AA772" t="s">
        <v>38</v>
      </c>
      <c r="AB772" t="s">
        <v>38</v>
      </c>
      <c r="AC772" t="s">
        <v>38</v>
      </c>
      <c r="AD772" t="s">
        <v>48</v>
      </c>
      <c r="AG772" t="str">
        <f>IF(AD772="United States", IFERROR(INDEX(Sheet2!$C:$C, MATCH(AE772&amp;AF772, Sheet2!$E:$E, 0)) &amp; ", " &amp; INDEX(Sheet2!$D:$D, MATCH(AE772&amp;AF772, Sheet2!$E:$E, 0)), ""), "-")</f>
        <v/>
      </c>
    </row>
    <row r="773" spans="1:33" x14ac:dyDescent="0.25">
      <c r="A773" t="s">
        <v>1616</v>
      </c>
      <c r="D773" t="s">
        <v>1625</v>
      </c>
      <c r="E773" t="s">
        <v>1624</v>
      </c>
      <c r="F773">
        <v>1751</v>
      </c>
      <c r="G773">
        <v>2873</v>
      </c>
      <c r="H773">
        <v>86</v>
      </c>
      <c r="J773" t="s">
        <v>1618</v>
      </c>
      <c r="O773" t="s">
        <v>57</v>
      </c>
      <c r="R773" t="s">
        <v>89</v>
      </c>
      <c r="T773" t="s">
        <v>89</v>
      </c>
      <c r="U773" t="s">
        <v>301</v>
      </c>
      <c r="V773" t="s">
        <v>1619</v>
      </c>
      <c r="W773" t="s">
        <v>92</v>
      </c>
      <c r="X773" t="s">
        <v>302</v>
      </c>
      <c r="Y773" t="s">
        <v>38</v>
      </c>
      <c r="AA773" t="s">
        <v>38</v>
      </c>
      <c r="AB773" t="s">
        <v>38</v>
      </c>
      <c r="AC773" t="s">
        <v>38</v>
      </c>
      <c r="AD773" t="s">
        <v>48</v>
      </c>
      <c r="AG773" t="str">
        <f>IF(AD773="United States", IFERROR(INDEX(Sheet2!$C:$C, MATCH(AE773&amp;AF773, Sheet2!$E:$E, 0)) &amp; ", " &amp; INDEX(Sheet2!$D:$D, MATCH(AE773&amp;AF773, Sheet2!$E:$E, 0)), ""), "-")</f>
        <v/>
      </c>
    </row>
    <row r="774" spans="1:33" x14ac:dyDescent="0.25">
      <c r="A774" t="s">
        <v>1616</v>
      </c>
      <c r="D774" t="s">
        <v>495</v>
      </c>
      <c r="E774" t="s">
        <v>1626</v>
      </c>
      <c r="F774">
        <v>1759</v>
      </c>
      <c r="G774">
        <v>2874</v>
      </c>
      <c r="H774">
        <v>86</v>
      </c>
      <c r="J774" t="s">
        <v>1618</v>
      </c>
      <c r="O774" t="s">
        <v>57</v>
      </c>
      <c r="R774" t="s">
        <v>89</v>
      </c>
      <c r="T774" t="s">
        <v>89</v>
      </c>
      <c r="U774" t="s">
        <v>301</v>
      </c>
      <c r="V774" t="s">
        <v>1619</v>
      </c>
      <c r="W774" t="s">
        <v>92</v>
      </c>
      <c r="X774" t="s">
        <v>302</v>
      </c>
      <c r="Y774" t="s">
        <v>38</v>
      </c>
      <c r="AA774" t="s">
        <v>38</v>
      </c>
      <c r="AB774" t="s">
        <v>38</v>
      </c>
      <c r="AC774" t="s">
        <v>38</v>
      </c>
      <c r="AD774" t="s">
        <v>48</v>
      </c>
      <c r="AG774" t="str">
        <f>IF(AD774="United States", IFERROR(INDEX(Sheet2!$C:$C, MATCH(AE774&amp;AF774, Sheet2!$E:$E, 0)) &amp; ", " &amp; INDEX(Sheet2!$D:$D, MATCH(AE774&amp;AF774, Sheet2!$E:$E, 0)), ""), "-")</f>
        <v/>
      </c>
    </row>
    <row r="775" spans="1:33" x14ac:dyDescent="0.25">
      <c r="A775" t="s">
        <v>1616</v>
      </c>
      <c r="D775" t="s">
        <v>1627</v>
      </c>
      <c r="E775" t="s">
        <v>1626</v>
      </c>
      <c r="F775" t="s">
        <v>38</v>
      </c>
      <c r="G775">
        <v>2875</v>
      </c>
      <c r="H775">
        <v>86</v>
      </c>
      <c r="J775" t="s">
        <v>1618</v>
      </c>
      <c r="O775" t="s">
        <v>74</v>
      </c>
      <c r="R775" t="s">
        <v>89</v>
      </c>
      <c r="T775" t="s">
        <v>89</v>
      </c>
      <c r="U775" t="s">
        <v>301</v>
      </c>
      <c r="V775" t="s">
        <v>1619</v>
      </c>
      <c r="W775" t="s">
        <v>92</v>
      </c>
      <c r="X775" t="s">
        <v>302</v>
      </c>
      <c r="Y775" t="s">
        <v>38</v>
      </c>
      <c r="AA775" t="s">
        <v>38</v>
      </c>
      <c r="AB775" t="s">
        <v>38</v>
      </c>
      <c r="AC775" t="s">
        <v>38</v>
      </c>
      <c r="AD775" t="s">
        <v>48</v>
      </c>
      <c r="AG775" t="str">
        <f>IF(AD775="United States", IFERROR(INDEX(Sheet2!$C:$C, MATCH(AE775&amp;AF775, Sheet2!$E:$E, 0)) &amp; ", " &amp; INDEX(Sheet2!$D:$D, MATCH(AE775&amp;AF775, Sheet2!$E:$E, 0)), ""), "-")</f>
        <v/>
      </c>
    </row>
    <row r="776" spans="1:33" x14ac:dyDescent="0.25">
      <c r="A776" t="s">
        <v>1616</v>
      </c>
      <c r="D776" t="s">
        <v>200</v>
      </c>
      <c r="E776" t="s">
        <v>1628</v>
      </c>
      <c r="F776">
        <v>1758</v>
      </c>
      <c r="G776">
        <v>2876</v>
      </c>
      <c r="H776">
        <v>86</v>
      </c>
      <c r="J776" t="s">
        <v>1618</v>
      </c>
      <c r="O776" t="s">
        <v>41</v>
      </c>
      <c r="R776" t="s">
        <v>89</v>
      </c>
      <c r="T776" t="s">
        <v>89</v>
      </c>
      <c r="U776" t="s">
        <v>301</v>
      </c>
      <c r="V776" t="s">
        <v>1619</v>
      </c>
      <c r="W776" t="s">
        <v>92</v>
      </c>
      <c r="X776" t="s">
        <v>302</v>
      </c>
      <c r="Y776" t="s">
        <v>38</v>
      </c>
      <c r="AA776" t="s">
        <v>38</v>
      </c>
      <c r="AB776" t="s">
        <v>38</v>
      </c>
      <c r="AC776" t="s">
        <v>38</v>
      </c>
      <c r="AD776" t="s">
        <v>48</v>
      </c>
      <c r="AG776" t="str">
        <f>IF(AD776="United States", IFERROR(INDEX(Sheet2!$C:$C, MATCH(AE776&amp;AF776, Sheet2!$E:$E, 0)) &amp; ", " &amp; INDEX(Sheet2!$D:$D, MATCH(AE776&amp;AF776, Sheet2!$E:$E, 0)), ""), "-")</f>
        <v/>
      </c>
    </row>
    <row r="777" spans="1:33" x14ac:dyDescent="0.25">
      <c r="A777" t="s">
        <v>1616</v>
      </c>
      <c r="D777" t="s">
        <v>210</v>
      </c>
      <c r="E777" t="s">
        <v>1629</v>
      </c>
      <c r="F777">
        <v>1759</v>
      </c>
      <c r="G777">
        <v>2883</v>
      </c>
      <c r="H777">
        <v>86</v>
      </c>
      <c r="J777" t="s">
        <v>1618</v>
      </c>
      <c r="O777" t="s">
        <v>41</v>
      </c>
      <c r="R777" t="s">
        <v>89</v>
      </c>
      <c r="T777" t="s">
        <v>89</v>
      </c>
      <c r="U777" t="s">
        <v>301</v>
      </c>
      <c r="V777" t="s">
        <v>1619</v>
      </c>
      <c r="W777" t="s">
        <v>92</v>
      </c>
      <c r="X777" t="s">
        <v>302</v>
      </c>
      <c r="Y777" t="s">
        <v>38</v>
      </c>
      <c r="AA777" t="s">
        <v>38</v>
      </c>
      <c r="AB777" t="s">
        <v>38</v>
      </c>
      <c r="AC777" t="s">
        <v>38</v>
      </c>
      <c r="AD777" t="s">
        <v>48</v>
      </c>
      <c r="AG777" t="str">
        <f>IF(AD777="United States", IFERROR(INDEX(Sheet2!$C:$C, MATCH(AE777&amp;AF777, Sheet2!$E:$E, 0)) &amp; ", " &amp; INDEX(Sheet2!$D:$D, MATCH(AE777&amp;AF777, Sheet2!$E:$E, 0)), ""), "-")</f>
        <v/>
      </c>
    </row>
    <row r="778" spans="1:33" x14ac:dyDescent="0.25">
      <c r="A778" t="s">
        <v>1616</v>
      </c>
      <c r="D778" t="s">
        <v>200</v>
      </c>
      <c r="E778" t="s">
        <v>1309</v>
      </c>
      <c r="F778">
        <v>1764</v>
      </c>
      <c r="G778">
        <v>2884</v>
      </c>
      <c r="H778">
        <v>86</v>
      </c>
      <c r="J778" t="s">
        <v>1618</v>
      </c>
      <c r="O778" t="s">
        <v>41</v>
      </c>
      <c r="R778" t="s">
        <v>89</v>
      </c>
      <c r="T778" t="s">
        <v>89</v>
      </c>
      <c r="U778" t="s">
        <v>301</v>
      </c>
      <c r="V778" t="s">
        <v>1619</v>
      </c>
      <c r="W778" t="s">
        <v>92</v>
      </c>
      <c r="X778" t="s">
        <v>302</v>
      </c>
      <c r="Y778" t="s">
        <v>38</v>
      </c>
      <c r="AA778" t="s">
        <v>38</v>
      </c>
      <c r="AB778" t="s">
        <v>38</v>
      </c>
      <c r="AC778" t="s">
        <v>38</v>
      </c>
      <c r="AD778" t="s">
        <v>48</v>
      </c>
      <c r="AG778" t="str">
        <f>IF(AD778="United States", IFERROR(INDEX(Sheet2!$C:$C, MATCH(AE778&amp;AF778, Sheet2!$E:$E, 0)) &amp; ", " &amp; INDEX(Sheet2!$D:$D, MATCH(AE778&amp;AF778, Sheet2!$E:$E, 0)), ""), "-")</f>
        <v/>
      </c>
    </row>
    <row r="779" spans="1:33" x14ac:dyDescent="0.25">
      <c r="A779" t="s">
        <v>1616</v>
      </c>
      <c r="D779" t="s">
        <v>1630</v>
      </c>
      <c r="E779" t="s">
        <v>38</v>
      </c>
      <c r="F779">
        <v>1755</v>
      </c>
      <c r="G779">
        <v>2889</v>
      </c>
      <c r="H779">
        <v>86</v>
      </c>
      <c r="J779" t="s">
        <v>1618</v>
      </c>
      <c r="O779" t="s">
        <v>57</v>
      </c>
      <c r="R779" t="s">
        <v>89</v>
      </c>
      <c r="T779" t="s">
        <v>89</v>
      </c>
      <c r="U779" t="s">
        <v>301</v>
      </c>
      <c r="V779" t="s">
        <v>1619</v>
      </c>
      <c r="W779" t="s">
        <v>92</v>
      </c>
      <c r="X779" t="s">
        <v>302</v>
      </c>
      <c r="Y779" t="s">
        <v>38</v>
      </c>
      <c r="AA779" t="s">
        <v>38</v>
      </c>
      <c r="AB779" t="s">
        <v>38</v>
      </c>
      <c r="AC779" t="s">
        <v>38</v>
      </c>
      <c r="AD779" t="s">
        <v>48</v>
      </c>
      <c r="AG779" t="str">
        <f>IF(AD779="United States", IFERROR(INDEX(Sheet2!$C:$C, MATCH(AE779&amp;AF779, Sheet2!$E:$E, 0)) &amp; ", " &amp; INDEX(Sheet2!$D:$D, MATCH(AE779&amp;AF779, Sheet2!$E:$E, 0)), ""), "-")</f>
        <v/>
      </c>
    </row>
    <row r="780" spans="1:33" x14ac:dyDescent="0.25">
      <c r="A780" t="s">
        <v>1616</v>
      </c>
      <c r="D780" t="s">
        <v>285</v>
      </c>
      <c r="E780" t="s">
        <v>1631</v>
      </c>
      <c r="F780">
        <v>1757</v>
      </c>
      <c r="G780">
        <v>2888</v>
      </c>
      <c r="H780">
        <v>86</v>
      </c>
      <c r="J780" t="s">
        <v>1618</v>
      </c>
      <c r="O780" t="s">
        <v>57</v>
      </c>
      <c r="R780" t="s">
        <v>89</v>
      </c>
      <c r="T780" t="s">
        <v>89</v>
      </c>
      <c r="U780" t="s">
        <v>301</v>
      </c>
      <c r="V780" t="s">
        <v>1619</v>
      </c>
      <c r="W780" t="s">
        <v>92</v>
      </c>
      <c r="X780" t="s">
        <v>302</v>
      </c>
      <c r="Y780" t="s">
        <v>38</v>
      </c>
      <c r="AA780" t="s">
        <v>38</v>
      </c>
      <c r="AB780" t="s">
        <v>38</v>
      </c>
      <c r="AC780" t="s">
        <v>38</v>
      </c>
      <c r="AD780" t="s">
        <v>48</v>
      </c>
      <c r="AG780" t="str">
        <f>IF(AD780="United States", IFERROR(INDEX(Sheet2!$C:$C, MATCH(AE780&amp;AF780, Sheet2!$E:$E, 0)) &amp; ", " &amp; INDEX(Sheet2!$D:$D, MATCH(AE780&amp;AF780, Sheet2!$E:$E, 0)), ""), "-")</f>
        <v/>
      </c>
    </row>
    <row r="781" spans="1:33" x14ac:dyDescent="0.25">
      <c r="A781" t="s">
        <v>1616</v>
      </c>
      <c r="D781" t="s">
        <v>615</v>
      </c>
      <c r="E781" t="s">
        <v>1632</v>
      </c>
      <c r="F781">
        <v>1761</v>
      </c>
      <c r="G781">
        <v>2887</v>
      </c>
      <c r="H781">
        <v>86</v>
      </c>
      <c r="J781" t="s">
        <v>1618</v>
      </c>
      <c r="O781" t="s">
        <v>41</v>
      </c>
      <c r="R781" t="s">
        <v>89</v>
      </c>
      <c r="T781" t="s">
        <v>89</v>
      </c>
      <c r="U781" t="s">
        <v>301</v>
      </c>
      <c r="V781" t="s">
        <v>1619</v>
      </c>
      <c r="W781" t="s">
        <v>92</v>
      </c>
      <c r="X781" t="s">
        <v>302</v>
      </c>
      <c r="Y781" t="s">
        <v>38</v>
      </c>
      <c r="AA781" t="s">
        <v>38</v>
      </c>
      <c r="AB781" t="s">
        <v>38</v>
      </c>
      <c r="AC781" t="s">
        <v>38</v>
      </c>
      <c r="AD781" t="s">
        <v>48</v>
      </c>
      <c r="AG781" t="str">
        <f>IF(AD781="United States", IFERROR(INDEX(Sheet2!$C:$C, MATCH(AE781&amp;AF781, Sheet2!$E:$E, 0)) &amp; ", " &amp; INDEX(Sheet2!$D:$D, MATCH(AE781&amp;AF781, Sheet2!$E:$E, 0)), ""), "-")</f>
        <v/>
      </c>
    </row>
    <row r="782" spans="1:33" x14ac:dyDescent="0.25">
      <c r="A782" t="s">
        <v>1616</v>
      </c>
      <c r="D782" t="s">
        <v>1633</v>
      </c>
      <c r="E782" t="s">
        <v>1634</v>
      </c>
      <c r="F782">
        <v>1763</v>
      </c>
      <c r="G782">
        <v>2878</v>
      </c>
      <c r="H782">
        <v>86</v>
      </c>
      <c r="J782" t="s">
        <v>1618</v>
      </c>
      <c r="O782" t="s">
        <v>57</v>
      </c>
      <c r="R782" t="s">
        <v>89</v>
      </c>
      <c r="T782" t="s">
        <v>89</v>
      </c>
      <c r="U782" t="s">
        <v>301</v>
      </c>
      <c r="V782" t="s">
        <v>1619</v>
      </c>
      <c r="W782" t="s">
        <v>92</v>
      </c>
      <c r="X782" t="s">
        <v>302</v>
      </c>
      <c r="Y782" t="s">
        <v>38</v>
      </c>
      <c r="AA782" t="s">
        <v>38</v>
      </c>
      <c r="AB782" t="s">
        <v>38</v>
      </c>
      <c r="AC782" t="s">
        <v>38</v>
      </c>
      <c r="AD782" t="s">
        <v>48</v>
      </c>
      <c r="AG782" t="str">
        <f>IF(AD782="United States", IFERROR(INDEX(Sheet2!$C:$C, MATCH(AE782&amp;AF782, Sheet2!$E:$E, 0)) &amp; ", " &amp; INDEX(Sheet2!$D:$D, MATCH(AE782&amp;AF782, Sheet2!$E:$E, 0)), ""), "-")</f>
        <v/>
      </c>
    </row>
    <row r="783" spans="1:33" x14ac:dyDescent="0.25">
      <c r="A783" t="s">
        <v>1616</v>
      </c>
      <c r="D783" t="s">
        <v>1126</v>
      </c>
      <c r="E783" t="s">
        <v>1635</v>
      </c>
      <c r="F783">
        <v>1772</v>
      </c>
      <c r="G783">
        <v>2879</v>
      </c>
      <c r="H783">
        <v>86</v>
      </c>
      <c r="J783" t="s">
        <v>1618</v>
      </c>
      <c r="O783" t="s">
        <v>54</v>
      </c>
      <c r="R783" t="s">
        <v>89</v>
      </c>
      <c r="T783" t="s">
        <v>89</v>
      </c>
      <c r="U783" t="s">
        <v>301</v>
      </c>
      <c r="V783" t="s">
        <v>1619</v>
      </c>
      <c r="W783" t="s">
        <v>92</v>
      </c>
      <c r="X783" t="s">
        <v>302</v>
      </c>
      <c r="Y783" t="s">
        <v>38</v>
      </c>
      <c r="AA783" t="s">
        <v>38</v>
      </c>
      <c r="AB783" t="s">
        <v>38</v>
      </c>
      <c r="AC783" t="s">
        <v>38</v>
      </c>
      <c r="AD783" t="s">
        <v>48</v>
      </c>
      <c r="AG783" t="str">
        <f>IF(AD783="United States", IFERROR(INDEX(Sheet2!$C:$C, MATCH(AE783&amp;AF783, Sheet2!$E:$E, 0)) &amp; ", " &amp; INDEX(Sheet2!$D:$D, MATCH(AE783&amp;AF783, Sheet2!$E:$E, 0)), ""), "-")</f>
        <v/>
      </c>
    </row>
    <row r="784" spans="1:33" x14ac:dyDescent="0.25">
      <c r="A784" t="s">
        <v>1616</v>
      </c>
      <c r="D784" t="s">
        <v>200</v>
      </c>
      <c r="E784" t="s">
        <v>1636</v>
      </c>
      <c r="F784">
        <v>1729</v>
      </c>
      <c r="G784">
        <v>2880</v>
      </c>
      <c r="H784">
        <v>86</v>
      </c>
      <c r="J784" t="s">
        <v>1618</v>
      </c>
      <c r="O784" t="s">
        <v>41</v>
      </c>
      <c r="R784" t="s">
        <v>89</v>
      </c>
      <c r="T784" t="s">
        <v>89</v>
      </c>
      <c r="U784" t="s">
        <v>301</v>
      </c>
      <c r="V784" t="s">
        <v>1619</v>
      </c>
      <c r="W784" t="s">
        <v>92</v>
      </c>
      <c r="X784" t="s">
        <v>302</v>
      </c>
      <c r="Y784" t="s">
        <v>38</v>
      </c>
      <c r="AA784" t="s">
        <v>38</v>
      </c>
      <c r="AB784" t="s">
        <v>38</v>
      </c>
      <c r="AC784" t="s">
        <v>38</v>
      </c>
      <c r="AD784" t="s">
        <v>48</v>
      </c>
      <c r="AG784" t="str">
        <f>IF(AD784="United States", IFERROR(INDEX(Sheet2!$C:$C, MATCH(AE784&amp;AF784, Sheet2!$E:$E, 0)) &amp; ", " &amp; INDEX(Sheet2!$D:$D, MATCH(AE784&amp;AF784, Sheet2!$E:$E, 0)), ""), "-")</f>
        <v/>
      </c>
    </row>
    <row r="785" spans="1:33" x14ac:dyDescent="0.25">
      <c r="A785" t="s">
        <v>1616</v>
      </c>
      <c r="D785" t="s">
        <v>226</v>
      </c>
      <c r="E785" t="s">
        <v>1637</v>
      </c>
      <c r="F785">
        <v>1758</v>
      </c>
      <c r="G785">
        <v>2881</v>
      </c>
      <c r="H785">
        <v>86</v>
      </c>
      <c r="J785" t="s">
        <v>1618</v>
      </c>
      <c r="O785" t="s">
        <v>41</v>
      </c>
      <c r="R785" t="s">
        <v>89</v>
      </c>
      <c r="T785" t="s">
        <v>89</v>
      </c>
      <c r="U785" t="s">
        <v>301</v>
      </c>
      <c r="V785" t="s">
        <v>1619</v>
      </c>
      <c r="W785" t="s">
        <v>92</v>
      </c>
      <c r="X785" t="s">
        <v>302</v>
      </c>
      <c r="Y785" t="s">
        <v>38</v>
      </c>
      <c r="AA785" t="s">
        <v>38</v>
      </c>
      <c r="AB785" t="s">
        <v>38</v>
      </c>
      <c r="AC785" t="s">
        <v>38</v>
      </c>
      <c r="AD785" t="s">
        <v>48</v>
      </c>
      <c r="AG785" t="str">
        <f>IF(AD785="United States", IFERROR(INDEX(Sheet2!$C:$C, MATCH(AE785&amp;AF785, Sheet2!$E:$E, 0)) &amp; ", " &amp; INDEX(Sheet2!$D:$D, MATCH(AE785&amp;AF785, Sheet2!$E:$E, 0)), ""), "-")</f>
        <v/>
      </c>
    </row>
    <row r="786" spans="1:33" x14ac:dyDescent="0.25">
      <c r="A786" t="s">
        <v>1616</v>
      </c>
      <c r="D786" t="s">
        <v>1638</v>
      </c>
      <c r="E786" t="s">
        <v>1639</v>
      </c>
      <c r="F786">
        <v>1758</v>
      </c>
      <c r="G786">
        <v>2882</v>
      </c>
      <c r="H786">
        <v>86</v>
      </c>
      <c r="J786" t="s">
        <v>1618</v>
      </c>
      <c r="O786" t="s">
        <v>41</v>
      </c>
      <c r="R786" t="s">
        <v>89</v>
      </c>
      <c r="T786" t="s">
        <v>89</v>
      </c>
      <c r="U786" t="s">
        <v>301</v>
      </c>
      <c r="V786" t="s">
        <v>1619</v>
      </c>
      <c r="W786" t="s">
        <v>92</v>
      </c>
      <c r="X786" t="s">
        <v>302</v>
      </c>
      <c r="Y786" t="s">
        <v>38</v>
      </c>
      <c r="AA786" t="s">
        <v>38</v>
      </c>
      <c r="AB786" t="s">
        <v>38</v>
      </c>
      <c r="AC786" t="s">
        <v>38</v>
      </c>
      <c r="AD786" t="s">
        <v>48</v>
      </c>
      <c r="AG786" t="str">
        <f>IF(AD786="United States", IFERROR(INDEX(Sheet2!$C:$C, MATCH(AE786&amp;AF786, Sheet2!$E:$E, 0)) &amp; ", " &amp; INDEX(Sheet2!$D:$D, MATCH(AE786&amp;AF786, Sheet2!$E:$E, 0)), ""), "-")</f>
        <v/>
      </c>
    </row>
    <row r="787" spans="1:33" x14ac:dyDescent="0.25">
      <c r="A787" t="s">
        <v>1616</v>
      </c>
      <c r="D787" t="s">
        <v>226</v>
      </c>
      <c r="E787" t="s">
        <v>1337</v>
      </c>
      <c r="F787">
        <v>1763</v>
      </c>
      <c r="G787">
        <v>2885</v>
      </c>
      <c r="H787">
        <v>86</v>
      </c>
      <c r="J787" t="s">
        <v>1618</v>
      </c>
      <c r="O787" t="s">
        <v>41</v>
      </c>
      <c r="R787" t="s">
        <v>89</v>
      </c>
      <c r="T787" t="s">
        <v>89</v>
      </c>
      <c r="U787" t="s">
        <v>301</v>
      </c>
      <c r="V787" t="s">
        <v>1619</v>
      </c>
      <c r="W787" t="s">
        <v>92</v>
      </c>
      <c r="X787" t="s">
        <v>302</v>
      </c>
      <c r="Y787" t="s">
        <v>38</v>
      </c>
      <c r="AA787" t="s">
        <v>38</v>
      </c>
      <c r="AB787" t="s">
        <v>38</v>
      </c>
      <c r="AC787" t="s">
        <v>38</v>
      </c>
      <c r="AD787" t="s">
        <v>48</v>
      </c>
      <c r="AG787" t="str">
        <f>IF(AD787="United States", IFERROR(INDEX(Sheet2!$C:$C, MATCH(AE787&amp;AF787, Sheet2!$E:$E, 0)) &amp; ", " &amp; INDEX(Sheet2!$D:$D, MATCH(AE787&amp;AF787, Sheet2!$E:$E, 0)), ""), "-")</f>
        <v/>
      </c>
    </row>
    <row r="788" spans="1:33" x14ac:dyDescent="0.25">
      <c r="A788" t="s">
        <v>1616</v>
      </c>
      <c r="D788" t="s">
        <v>193</v>
      </c>
      <c r="E788" t="s">
        <v>1640</v>
      </c>
      <c r="F788">
        <v>1751</v>
      </c>
      <c r="G788">
        <v>2877</v>
      </c>
      <c r="H788">
        <v>86</v>
      </c>
      <c r="J788" t="s">
        <v>1618</v>
      </c>
      <c r="O788" t="s">
        <v>41</v>
      </c>
      <c r="R788" t="s">
        <v>89</v>
      </c>
      <c r="T788" t="s">
        <v>89</v>
      </c>
      <c r="U788" t="s">
        <v>301</v>
      </c>
      <c r="V788" t="s">
        <v>1619</v>
      </c>
      <c r="W788" t="s">
        <v>92</v>
      </c>
      <c r="X788" t="s">
        <v>302</v>
      </c>
      <c r="Y788" t="s">
        <v>38</v>
      </c>
      <c r="AA788" t="s">
        <v>38</v>
      </c>
      <c r="AB788" t="s">
        <v>38</v>
      </c>
      <c r="AC788" t="s">
        <v>38</v>
      </c>
      <c r="AD788" t="s">
        <v>48</v>
      </c>
      <c r="AG788" t="str">
        <f>IF(AD788="United States", IFERROR(INDEX(Sheet2!$C:$C, MATCH(AE788&amp;AF788, Sheet2!$E:$E, 0)) &amp; ", " &amp; INDEX(Sheet2!$D:$D, MATCH(AE788&amp;AF788, Sheet2!$E:$E, 0)), ""), "-")</f>
        <v/>
      </c>
    </row>
    <row r="789" spans="1:33" x14ac:dyDescent="0.25">
      <c r="A789" t="s">
        <v>1616</v>
      </c>
      <c r="D789" t="s">
        <v>220</v>
      </c>
      <c r="E789" t="s">
        <v>1641</v>
      </c>
      <c r="F789">
        <v>1738</v>
      </c>
      <c r="G789">
        <v>2886</v>
      </c>
      <c r="H789">
        <v>86</v>
      </c>
      <c r="J789" t="s">
        <v>1618</v>
      </c>
      <c r="O789" t="s">
        <v>41</v>
      </c>
      <c r="R789" t="s">
        <v>89</v>
      </c>
      <c r="T789" t="s">
        <v>89</v>
      </c>
      <c r="U789" t="s">
        <v>301</v>
      </c>
      <c r="V789" t="s">
        <v>1619</v>
      </c>
      <c r="W789" t="s">
        <v>92</v>
      </c>
      <c r="X789" t="s">
        <v>302</v>
      </c>
      <c r="Y789" t="s">
        <v>38</v>
      </c>
      <c r="AA789" t="s">
        <v>38</v>
      </c>
      <c r="AB789" t="s">
        <v>38</v>
      </c>
      <c r="AC789" t="s">
        <v>38</v>
      </c>
      <c r="AD789" t="s">
        <v>48</v>
      </c>
      <c r="AG789" t="str">
        <f>IF(AD789="United States", IFERROR(INDEX(Sheet2!$C:$C, MATCH(AE789&amp;AF789, Sheet2!$E:$E, 0)) &amp; ", " &amp; INDEX(Sheet2!$D:$D, MATCH(AE789&amp;AF789, Sheet2!$E:$E, 0)), ""), "-")</f>
        <v/>
      </c>
    </row>
    <row r="790" spans="1:33" x14ac:dyDescent="0.25">
      <c r="A790" t="s">
        <v>1642</v>
      </c>
      <c r="D790" t="s">
        <v>1643</v>
      </c>
      <c r="E790" t="s">
        <v>290</v>
      </c>
      <c r="F790">
        <v>1763</v>
      </c>
      <c r="G790">
        <v>1676</v>
      </c>
      <c r="H790">
        <v>57</v>
      </c>
      <c r="J790" t="s">
        <v>1644</v>
      </c>
      <c r="O790" t="s">
        <v>41</v>
      </c>
      <c r="R790" t="s">
        <v>89</v>
      </c>
      <c r="T790" t="s">
        <v>89</v>
      </c>
      <c r="U790" t="s">
        <v>301</v>
      </c>
      <c r="V790" t="s">
        <v>137</v>
      </c>
      <c r="W790" t="s">
        <v>92</v>
      </c>
      <c r="X790" t="s">
        <v>302</v>
      </c>
      <c r="Y790" t="s">
        <v>38</v>
      </c>
      <c r="AA790" t="s">
        <v>38</v>
      </c>
      <c r="AB790" t="s">
        <v>38</v>
      </c>
      <c r="AC790" t="s">
        <v>38</v>
      </c>
      <c r="AD790" t="s">
        <v>48</v>
      </c>
      <c r="AG790" t="str">
        <f>IF(AD790="United States", IFERROR(INDEX(Sheet2!$C:$C, MATCH(AE790&amp;AF790, Sheet2!$E:$E, 0)) &amp; ", " &amp; INDEX(Sheet2!$D:$D, MATCH(AE790&amp;AF790, Sheet2!$E:$E, 0)), ""), "-")</f>
        <v/>
      </c>
    </row>
    <row r="791" spans="1:33" x14ac:dyDescent="0.25">
      <c r="A791" t="s">
        <v>1645</v>
      </c>
      <c r="B791" t="s">
        <v>1646</v>
      </c>
      <c r="C791" t="s">
        <v>1646</v>
      </c>
      <c r="D791" t="s">
        <v>1647</v>
      </c>
      <c r="E791" t="s">
        <v>1648</v>
      </c>
      <c r="F791" t="s">
        <v>38</v>
      </c>
      <c r="G791">
        <v>2816</v>
      </c>
      <c r="I791" t="s">
        <v>1649</v>
      </c>
      <c r="J791" t="s">
        <v>1650</v>
      </c>
      <c r="O791" t="s">
        <v>41</v>
      </c>
      <c r="P791" t="s">
        <v>42</v>
      </c>
      <c r="Q791" t="s">
        <v>43</v>
      </c>
      <c r="V791" t="s">
        <v>38</v>
      </c>
      <c r="Y791" t="s">
        <v>38</v>
      </c>
      <c r="Z791" t="s">
        <v>42</v>
      </c>
      <c r="AA791" t="s">
        <v>38</v>
      </c>
      <c r="AB791" t="s">
        <v>38</v>
      </c>
      <c r="AC791" t="s">
        <v>38</v>
      </c>
      <c r="AD791" t="s">
        <v>48</v>
      </c>
      <c r="AG791" t="str">
        <f>IF(AD791="United States", IFERROR(INDEX(Sheet2!$C:$C, MATCH(AE791&amp;AF791, Sheet2!$E:$E, 0)) &amp; ", " &amp; INDEX(Sheet2!$D:$D, MATCH(AE791&amp;AF791, Sheet2!$E:$E, 0)), ""), "-")</f>
        <v/>
      </c>
    </row>
    <row r="792" spans="1:33" x14ac:dyDescent="0.25">
      <c r="A792" t="s">
        <v>1651</v>
      </c>
      <c r="B792" t="s">
        <v>1652</v>
      </c>
      <c r="C792" t="s">
        <v>1653</v>
      </c>
      <c r="D792" t="s">
        <v>361</v>
      </c>
      <c r="E792" t="s">
        <v>1654</v>
      </c>
      <c r="F792">
        <v>1758</v>
      </c>
      <c r="G792">
        <v>537</v>
      </c>
      <c r="H792" t="s">
        <v>381</v>
      </c>
      <c r="I792" t="s">
        <v>39</v>
      </c>
      <c r="J792" t="s">
        <v>1655</v>
      </c>
      <c r="K792" t="s">
        <v>38</v>
      </c>
      <c r="L792" t="s">
        <v>38</v>
      </c>
      <c r="M792" t="s">
        <v>38</v>
      </c>
      <c r="N792" t="s">
        <v>38</v>
      </c>
      <c r="O792" t="s">
        <v>41</v>
      </c>
      <c r="P792" t="s">
        <v>42</v>
      </c>
      <c r="Q792" t="s">
        <v>43</v>
      </c>
      <c r="R792" t="s">
        <v>89</v>
      </c>
      <c r="S792" t="s">
        <v>38</v>
      </c>
      <c r="T792" t="s">
        <v>89</v>
      </c>
      <c r="U792" t="s">
        <v>301</v>
      </c>
      <c r="V792" t="s">
        <v>46</v>
      </c>
      <c r="W792" t="s">
        <v>92</v>
      </c>
      <c r="X792" t="s">
        <v>302</v>
      </c>
      <c r="Y792" t="s">
        <v>1656</v>
      </c>
      <c r="Z792" t="s">
        <v>42</v>
      </c>
      <c r="AA792" t="s">
        <v>1657</v>
      </c>
      <c r="AB792" t="s">
        <v>38</v>
      </c>
      <c r="AC792" t="s">
        <v>673</v>
      </c>
      <c r="AD792" t="s">
        <v>48</v>
      </c>
      <c r="AG792" t="str">
        <f>IF(AD792="United States", IFERROR(INDEX(Sheet2!$C:$C, MATCH(AE792&amp;AF792, Sheet2!$E:$E, 0)) &amp; ", " &amp; INDEX(Sheet2!$D:$D, MATCH(AE792&amp;AF792, Sheet2!$E:$E, 0)), ""), "-")</f>
        <v/>
      </c>
    </row>
    <row r="793" spans="1:33" x14ac:dyDescent="0.25">
      <c r="A793" t="s">
        <v>1651</v>
      </c>
      <c r="B793" t="s">
        <v>1658</v>
      </c>
      <c r="C793" t="s">
        <v>1653</v>
      </c>
      <c r="D793" t="s">
        <v>390</v>
      </c>
      <c r="E793" t="s">
        <v>1091</v>
      </c>
      <c r="F793">
        <v>1759</v>
      </c>
      <c r="G793">
        <v>535</v>
      </c>
      <c r="H793" t="s">
        <v>381</v>
      </c>
      <c r="I793" t="s">
        <v>39</v>
      </c>
      <c r="J793" t="s">
        <v>1655</v>
      </c>
      <c r="K793" t="s">
        <v>38</v>
      </c>
      <c r="L793" t="s">
        <v>38</v>
      </c>
      <c r="M793" t="s">
        <v>38</v>
      </c>
      <c r="N793" t="s">
        <v>38</v>
      </c>
      <c r="O793" t="s">
        <v>41</v>
      </c>
      <c r="P793" t="s">
        <v>42</v>
      </c>
      <c r="Q793" t="s">
        <v>43</v>
      </c>
      <c r="R793" t="s">
        <v>89</v>
      </c>
      <c r="S793" t="s">
        <v>45</v>
      </c>
      <c r="T793" t="s">
        <v>89</v>
      </c>
      <c r="U793" t="s">
        <v>301</v>
      </c>
      <c r="V793" t="s">
        <v>46</v>
      </c>
      <c r="W793" t="s">
        <v>92</v>
      </c>
      <c r="X793" t="s">
        <v>302</v>
      </c>
      <c r="Y793" t="s">
        <v>94</v>
      </c>
      <c r="Z793" t="s">
        <v>42</v>
      </c>
      <c r="AA793" t="s">
        <v>38</v>
      </c>
      <c r="AB793" t="s">
        <v>38</v>
      </c>
      <c r="AC793" t="s">
        <v>45</v>
      </c>
      <c r="AD793" t="s">
        <v>48</v>
      </c>
      <c r="AG793" t="str">
        <f>IF(AD793="United States", IFERROR(INDEX(Sheet2!$C:$C, MATCH(AE793&amp;AF793, Sheet2!$E:$E, 0)) &amp; ", " &amp; INDEX(Sheet2!$D:$D, MATCH(AE793&amp;AF793, Sheet2!$E:$E, 0)), ""), "-")</f>
        <v/>
      </c>
    </row>
    <row r="794" spans="1:33" x14ac:dyDescent="0.25">
      <c r="A794" t="s">
        <v>1651</v>
      </c>
      <c r="B794" t="s">
        <v>1659</v>
      </c>
      <c r="C794" t="s">
        <v>1653</v>
      </c>
      <c r="D794" t="s">
        <v>63</v>
      </c>
      <c r="E794" t="s">
        <v>1660</v>
      </c>
      <c r="F794">
        <v>1761</v>
      </c>
      <c r="G794">
        <v>536</v>
      </c>
      <c r="H794" t="s">
        <v>381</v>
      </c>
      <c r="I794" t="s">
        <v>39</v>
      </c>
      <c r="J794" t="s">
        <v>1655</v>
      </c>
      <c r="K794" t="s">
        <v>38</v>
      </c>
      <c r="L794" t="s">
        <v>38</v>
      </c>
      <c r="M794" t="s">
        <v>38</v>
      </c>
      <c r="N794" t="s">
        <v>38</v>
      </c>
      <c r="O794" t="s">
        <v>41</v>
      </c>
      <c r="P794" t="s">
        <v>42</v>
      </c>
      <c r="Q794" t="s">
        <v>43</v>
      </c>
      <c r="R794" t="s">
        <v>89</v>
      </c>
      <c r="S794" t="s">
        <v>38</v>
      </c>
      <c r="T794" t="s">
        <v>89</v>
      </c>
      <c r="U794" t="s">
        <v>301</v>
      </c>
      <c r="V794" t="s">
        <v>46</v>
      </c>
      <c r="W794" t="s">
        <v>92</v>
      </c>
      <c r="X794" t="s">
        <v>302</v>
      </c>
      <c r="Y794" t="s">
        <v>1661</v>
      </c>
      <c r="Z794" t="s">
        <v>42</v>
      </c>
      <c r="AA794" t="s">
        <v>1662</v>
      </c>
      <c r="AB794" t="s">
        <v>38</v>
      </c>
      <c r="AC794" t="s">
        <v>673</v>
      </c>
      <c r="AD794" t="s">
        <v>48</v>
      </c>
      <c r="AG794" t="str">
        <f>IF(AD794="United States", IFERROR(INDEX(Sheet2!$C:$C, MATCH(AE794&amp;AF794, Sheet2!$E:$E, 0)) &amp; ", " &amp; INDEX(Sheet2!$D:$D, MATCH(AE794&amp;AF794, Sheet2!$E:$E, 0)), ""), "-")</f>
        <v/>
      </c>
    </row>
    <row r="795" spans="1:33" x14ac:dyDescent="0.25">
      <c r="A795" t="s">
        <v>1651</v>
      </c>
      <c r="B795" t="s">
        <v>1663</v>
      </c>
      <c r="C795" t="s">
        <v>1653</v>
      </c>
      <c r="D795" t="s">
        <v>210</v>
      </c>
      <c r="E795" t="s">
        <v>1664</v>
      </c>
      <c r="F795">
        <v>1757</v>
      </c>
      <c r="G795">
        <v>538</v>
      </c>
      <c r="H795" t="s">
        <v>381</v>
      </c>
      <c r="I795" t="s">
        <v>39</v>
      </c>
      <c r="J795" t="s">
        <v>1655</v>
      </c>
      <c r="K795" t="s">
        <v>38</v>
      </c>
      <c r="L795" t="s">
        <v>38</v>
      </c>
      <c r="M795" t="s">
        <v>38</v>
      </c>
      <c r="N795" t="s">
        <v>38</v>
      </c>
      <c r="O795" t="s">
        <v>41</v>
      </c>
      <c r="P795" t="s">
        <v>42</v>
      </c>
      <c r="Q795" t="s">
        <v>43</v>
      </c>
      <c r="R795" t="s">
        <v>89</v>
      </c>
      <c r="S795" t="s">
        <v>45</v>
      </c>
      <c r="T795" t="s">
        <v>89</v>
      </c>
      <c r="U795" t="s">
        <v>301</v>
      </c>
      <c r="V795" t="s">
        <v>46</v>
      </c>
      <c r="W795" t="s">
        <v>92</v>
      </c>
      <c r="X795" t="s">
        <v>302</v>
      </c>
      <c r="Y795" t="s">
        <v>1665</v>
      </c>
      <c r="Z795" t="s">
        <v>42</v>
      </c>
      <c r="AA795" t="s">
        <v>1351</v>
      </c>
      <c r="AB795" t="s">
        <v>38</v>
      </c>
      <c r="AC795" t="s">
        <v>45</v>
      </c>
      <c r="AD795" t="s">
        <v>48</v>
      </c>
      <c r="AG795" t="str">
        <f>IF(AD795="United States", IFERROR(INDEX(Sheet2!$C:$C, MATCH(AE795&amp;AF795, Sheet2!$E:$E, 0)) &amp; ", " &amp; INDEX(Sheet2!$D:$D, MATCH(AE795&amp;AF795, Sheet2!$E:$E, 0)), ""), "-")</f>
        <v/>
      </c>
    </row>
    <row r="796" spans="1:33" x14ac:dyDescent="0.25">
      <c r="A796" t="s">
        <v>1666</v>
      </c>
      <c r="D796" t="s">
        <v>62</v>
      </c>
      <c r="E796" t="s">
        <v>1667</v>
      </c>
      <c r="F796">
        <v>1758</v>
      </c>
      <c r="G796">
        <v>2923</v>
      </c>
      <c r="H796">
        <v>87</v>
      </c>
      <c r="J796" t="s">
        <v>1668</v>
      </c>
      <c r="O796" t="s">
        <v>41</v>
      </c>
      <c r="R796" t="s">
        <v>89</v>
      </c>
      <c r="T796" t="s">
        <v>89</v>
      </c>
      <c r="V796" t="s">
        <v>1619</v>
      </c>
      <c r="W796" t="s">
        <v>92</v>
      </c>
      <c r="Y796" t="s">
        <v>38</v>
      </c>
      <c r="AA796" t="s">
        <v>38</v>
      </c>
      <c r="AB796" t="s">
        <v>38</v>
      </c>
      <c r="AC796" t="s">
        <v>38</v>
      </c>
      <c r="AD796" t="s">
        <v>48</v>
      </c>
      <c r="AG796" t="str">
        <f>IF(AD796="United States", IFERROR(INDEX(Sheet2!$C:$C, MATCH(AE796&amp;AF796, Sheet2!$E:$E, 0)) &amp; ", " &amp; INDEX(Sheet2!$D:$D, MATCH(AE796&amp;AF796, Sheet2!$E:$E, 0)), ""), "-")</f>
        <v/>
      </c>
    </row>
    <row r="797" spans="1:33" x14ac:dyDescent="0.25">
      <c r="A797" t="s">
        <v>1666</v>
      </c>
      <c r="D797" t="s">
        <v>361</v>
      </c>
      <c r="E797" t="s">
        <v>1669</v>
      </c>
      <c r="F797">
        <v>1751</v>
      </c>
      <c r="G797">
        <v>2910</v>
      </c>
      <c r="H797">
        <v>87</v>
      </c>
      <c r="J797" t="s">
        <v>1668</v>
      </c>
      <c r="O797" t="s">
        <v>41</v>
      </c>
      <c r="R797" t="s">
        <v>89</v>
      </c>
      <c r="T797" t="s">
        <v>89</v>
      </c>
      <c r="V797" t="s">
        <v>1619</v>
      </c>
      <c r="W797" t="s">
        <v>92</v>
      </c>
      <c r="Y797" t="s">
        <v>38</v>
      </c>
      <c r="AA797" t="s">
        <v>38</v>
      </c>
      <c r="AB797" t="s">
        <v>38</v>
      </c>
      <c r="AC797" t="s">
        <v>38</v>
      </c>
      <c r="AD797" t="s">
        <v>48</v>
      </c>
      <c r="AG797" t="str">
        <f>IF(AD797="United States", IFERROR(INDEX(Sheet2!$C:$C, MATCH(AE797&amp;AF797, Sheet2!$E:$E, 0)) &amp; ", " &amp; INDEX(Sheet2!$D:$D, MATCH(AE797&amp;AF797, Sheet2!$E:$E, 0)), ""), "-")</f>
        <v/>
      </c>
    </row>
    <row r="798" spans="1:33" x14ac:dyDescent="0.25">
      <c r="A798" t="s">
        <v>1666</v>
      </c>
      <c r="D798" t="s">
        <v>1274</v>
      </c>
      <c r="E798" t="s">
        <v>1670</v>
      </c>
      <c r="F798">
        <v>1758</v>
      </c>
      <c r="G798">
        <v>2911</v>
      </c>
      <c r="H798">
        <v>87</v>
      </c>
      <c r="J798" t="s">
        <v>1668</v>
      </c>
      <c r="O798" t="s">
        <v>57</v>
      </c>
      <c r="R798" t="s">
        <v>89</v>
      </c>
      <c r="T798" t="s">
        <v>89</v>
      </c>
      <c r="V798" t="s">
        <v>1619</v>
      </c>
      <c r="W798" t="s">
        <v>92</v>
      </c>
      <c r="Y798" t="s">
        <v>38</v>
      </c>
      <c r="AA798" t="s">
        <v>38</v>
      </c>
      <c r="AB798" t="s">
        <v>38</v>
      </c>
      <c r="AC798" t="s">
        <v>38</v>
      </c>
      <c r="AD798" t="s">
        <v>48</v>
      </c>
      <c r="AG798" t="str">
        <f>IF(AD798="United States", IFERROR(INDEX(Sheet2!$C:$C, MATCH(AE798&amp;AF798, Sheet2!$E:$E, 0)) &amp; ", " &amp; INDEX(Sheet2!$D:$D, MATCH(AE798&amp;AF798, Sheet2!$E:$E, 0)), ""), "-")</f>
        <v/>
      </c>
    </row>
    <row r="799" spans="1:33" x14ac:dyDescent="0.25">
      <c r="A799" t="s">
        <v>1666</v>
      </c>
      <c r="D799" t="s">
        <v>390</v>
      </c>
      <c r="E799" t="s">
        <v>38</v>
      </c>
      <c r="F799">
        <v>1748</v>
      </c>
      <c r="G799">
        <v>2912</v>
      </c>
      <c r="H799">
        <v>87</v>
      </c>
      <c r="J799" t="s">
        <v>1668</v>
      </c>
      <c r="O799" t="s">
        <v>41</v>
      </c>
      <c r="R799" t="s">
        <v>89</v>
      </c>
      <c r="T799" t="s">
        <v>89</v>
      </c>
      <c r="V799" t="s">
        <v>1619</v>
      </c>
      <c r="W799" t="s">
        <v>92</v>
      </c>
      <c r="Y799" t="s">
        <v>38</v>
      </c>
      <c r="AA799" t="s">
        <v>38</v>
      </c>
      <c r="AB799" t="s">
        <v>38</v>
      </c>
      <c r="AC799" t="s">
        <v>38</v>
      </c>
      <c r="AD799" t="s">
        <v>48</v>
      </c>
      <c r="AG799" t="str">
        <f>IF(AD799="United States", IFERROR(INDEX(Sheet2!$C:$C, MATCH(AE799&amp;AF799, Sheet2!$E:$E, 0)) &amp; ", " &amp; INDEX(Sheet2!$D:$D, MATCH(AE799&amp;AF799, Sheet2!$E:$E, 0)), ""), "-")</f>
        <v/>
      </c>
    </row>
    <row r="800" spans="1:33" x14ac:dyDescent="0.25">
      <c r="A800" t="s">
        <v>1666</v>
      </c>
      <c r="D800" t="s">
        <v>101</v>
      </c>
      <c r="E800" t="s">
        <v>1671</v>
      </c>
      <c r="F800">
        <v>1757</v>
      </c>
      <c r="G800">
        <v>2913</v>
      </c>
      <c r="H800">
        <v>87</v>
      </c>
      <c r="J800" t="s">
        <v>1668</v>
      </c>
      <c r="O800" t="s">
        <v>41</v>
      </c>
      <c r="R800" t="s">
        <v>89</v>
      </c>
      <c r="T800" t="s">
        <v>89</v>
      </c>
      <c r="V800" t="s">
        <v>1619</v>
      </c>
      <c r="W800" t="s">
        <v>92</v>
      </c>
      <c r="Y800" t="s">
        <v>38</v>
      </c>
      <c r="AA800" t="s">
        <v>38</v>
      </c>
      <c r="AB800" t="s">
        <v>38</v>
      </c>
      <c r="AC800" t="s">
        <v>38</v>
      </c>
      <c r="AD800" t="s">
        <v>48</v>
      </c>
      <c r="AG800" t="str">
        <f>IF(AD800="United States", IFERROR(INDEX(Sheet2!$C:$C, MATCH(AE800&amp;AF800, Sheet2!$E:$E, 0)) &amp; ", " &amp; INDEX(Sheet2!$D:$D, MATCH(AE800&amp;AF800, Sheet2!$E:$E, 0)), ""), "-")</f>
        <v/>
      </c>
    </row>
    <row r="801" spans="1:33" x14ac:dyDescent="0.25">
      <c r="A801" t="s">
        <v>1666</v>
      </c>
      <c r="D801" t="s">
        <v>535</v>
      </c>
      <c r="E801" t="s">
        <v>1671</v>
      </c>
      <c r="F801">
        <v>1762</v>
      </c>
      <c r="G801">
        <v>2914</v>
      </c>
      <c r="H801">
        <v>87</v>
      </c>
      <c r="J801" t="s">
        <v>1668</v>
      </c>
      <c r="O801" t="s">
        <v>57</v>
      </c>
      <c r="R801" t="s">
        <v>89</v>
      </c>
      <c r="T801" t="s">
        <v>89</v>
      </c>
      <c r="V801" t="s">
        <v>1619</v>
      </c>
      <c r="W801" t="s">
        <v>92</v>
      </c>
      <c r="Y801" t="s">
        <v>38</v>
      </c>
      <c r="AA801" t="s">
        <v>38</v>
      </c>
      <c r="AB801" t="s">
        <v>38</v>
      </c>
      <c r="AC801" t="s">
        <v>38</v>
      </c>
      <c r="AD801" t="s">
        <v>48</v>
      </c>
      <c r="AG801" t="str">
        <f>IF(AD801="United States", IFERROR(INDEX(Sheet2!$C:$C, MATCH(AE801&amp;AF801, Sheet2!$E:$E, 0)) &amp; ", " &amp; INDEX(Sheet2!$D:$D, MATCH(AE801&amp;AF801, Sheet2!$E:$E, 0)), ""), "-")</f>
        <v/>
      </c>
    </row>
    <row r="802" spans="1:33" x14ac:dyDescent="0.25">
      <c r="A802" t="s">
        <v>1666</v>
      </c>
      <c r="D802" t="s">
        <v>458</v>
      </c>
      <c r="E802" t="s">
        <v>338</v>
      </c>
      <c r="F802">
        <v>1739</v>
      </c>
      <c r="G802">
        <v>2916</v>
      </c>
      <c r="H802">
        <v>87</v>
      </c>
      <c r="J802" t="s">
        <v>1668</v>
      </c>
      <c r="O802" t="s">
        <v>41</v>
      </c>
      <c r="R802" t="s">
        <v>89</v>
      </c>
      <c r="T802" t="s">
        <v>89</v>
      </c>
      <c r="V802" t="s">
        <v>1619</v>
      </c>
      <c r="W802" t="s">
        <v>92</v>
      </c>
      <c r="Y802" t="s">
        <v>38</v>
      </c>
      <c r="AA802" t="s">
        <v>38</v>
      </c>
      <c r="AB802" t="s">
        <v>38</v>
      </c>
      <c r="AC802" t="s">
        <v>38</v>
      </c>
      <c r="AD802" t="s">
        <v>48</v>
      </c>
      <c r="AG802" t="str">
        <f>IF(AD802="United States", IFERROR(INDEX(Sheet2!$C:$C, MATCH(AE802&amp;AF802, Sheet2!$E:$E, 0)) &amp; ", " &amp; INDEX(Sheet2!$D:$D, MATCH(AE802&amp;AF802, Sheet2!$E:$E, 0)), ""), "-")</f>
        <v/>
      </c>
    </row>
    <row r="803" spans="1:33" x14ac:dyDescent="0.25">
      <c r="A803" t="s">
        <v>1666</v>
      </c>
      <c r="D803" t="s">
        <v>621</v>
      </c>
      <c r="E803" t="s">
        <v>1672</v>
      </c>
      <c r="F803">
        <v>1740</v>
      </c>
      <c r="G803">
        <v>2909</v>
      </c>
      <c r="H803">
        <v>87</v>
      </c>
      <c r="J803" t="s">
        <v>1668</v>
      </c>
      <c r="O803" t="s">
        <v>41</v>
      </c>
      <c r="R803" t="s">
        <v>89</v>
      </c>
      <c r="T803" t="s">
        <v>89</v>
      </c>
      <c r="V803" t="s">
        <v>1619</v>
      </c>
      <c r="W803" t="s">
        <v>92</v>
      </c>
      <c r="Y803" t="s">
        <v>38</v>
      </c>
      <c r="AA803" t="s">
        <v>38</v>
      </c>
      <c r="AB803" t="s">
        <v>38</v>
      </c>
      <c r="AC803" t="s">
        <v>38</v>
      </c>
      <c r="AD803" t="s">
        <v>48</v>
      </c>
      <c r="AG803" t="str">
        <f>IF(AD803="United States", IFERROR(INDEX(Sheet2!$C:$C, MATCH(AE803&amp;AF803, Sheet2!$E:$E, 0)) &amp; ", " &amp; INDEX(Sheet2!$D:$D, MATCH(AE803&amp;AF803, Sheet2!$E:$E, 0)), ""), "-")</f>
        <v/>
      </c>
    </row>
    <row r="804" spans="1:33" x14ac:dyDescent="0.25">
      <c r="A804" t="s">
        <v>1666</v>
      </c>
      <c r="D804" t="s">
        <v>388</v>
      </c>
      <c r="E804" t="s">
        <v>1673</v>
      </c>
      <c r="F804">
        <v>1747</v>
      </c>
      <c r="G804">
        <v>2917</v>
      </c>
      <c r="H804">
        <v>87</v>
      </c>
      <c r="J804" t="s">
        <v>1668</v>
      </c>
      <c r="O804" t="s">
        <v>41</v>
      </c>
      <c r="R804" t="s">
        <v>89</v>
      </c>
      <c r="T804" t="s">
        <v>89</v>
      </c>
      <c r="V804" t="s">
        <v>1619</v>
      </c>
      <c r="W804" t="s">
        <v>92</v>
      </c>
      <c r="Y804" t="s">
        <v>38</v>
      </c>
      <c r="AA804" t="s">
        <v>38</v>
      </c>
      <c r="AB804" t="s">
        <v>38</v>
      </c>
      <c r="AC804" t="s">
        <v>38</v>
      </c>
      <c r="AD804" t="s">
        <v>48</v>
      </c>
      <c r="AG804" t="str">
        <f>IF(AD804="United States", IFERROR(INDEX(Sheet2!$C:$C, MATCH(AE804&amp;AF804, Sheet2!$E:$E, 0)) &amp; ", " &amp; INDEX(Sheet2!$D:$D, MATCH(AE804&amp;AF804, Sheet2!$E:$E, 0)), ""), "-")</f>
        <v/>
      </c>
    </row>
    <row r="805" spans="1:33" x14ac:dyDescent="0.25">
      <c r="A805" t="s">
        <v>1666</v>
      </c>
      <c r="D805" t="s">
        <v>263</v>
      </c>
      <c r="E805" t="s">
        <v>1673</v>
      </c>
      <c r="F805">
        <v>1757</v>
      </c>
      <c r="G805">
        <v>2918</v>
      </c>
      <c r="H805">
        <v>87</v>
      </c>
      <c r="J805" t="s">
        <v>1668</v>
      </c>
      <c r="O805" t="s">
        <v>57</v>
      </c>
      <c r="R805" t="s">
        <v>89</v>
      </c>
      <c r="T805" t="s">
        <v>89</v>
      </c>
      <c r="V805" t="s">
        <v>1619</v>
      </c>
      <c r="W805" t="s">
        <v>92</v>
      </c>
      <c r="Y805" t="s">
        <v>38</v>
      </c>
      <c r="AA805" t="s">
        <v>38</v>
      </c>
      <c r="AB805" t="s">
        <v>38</v>
      </c>
      <c r="AC805" t="s">
        <v>38</v>
      </c>
      <c r="AD805" t="s">
        <v>48</v>
      </c>
      <c r="AG805" t="str">
        <f>IF(AD805="United States", IFERROR(INDEX(Sheet2!$C:$C, MATCH(AE805&amp;AF805, Sheet2!$E:$E, 0)) &amp; ", " &amp; INDEX(Sheet2!$D:$D, MATCH(AE805&amp;AF805, Sheet2!$E:$E, 0)), ""), "-")</f>
        <v/>
      </c>
    </row>
    <row r="806" spans="1:33" x14ac:dyDescent="0.25">
      <c r="A806" t="s">
        <v>1666</v>
      </c>
      <c r="D806" t="s">
        <v>1674</v>
      </c>
      <c r="E806" t="s">
        <v>1673</v>
      </c>
      <c r="F806">
        <v>1781</v>
      </c>
      <c r="G806">
        <v>2919</v>
      </c>
      <c r="H806">
        <v>87</v>
      </c>
      <c r="J806" t="s">
        <v>1668</v>
      </c>
      <c r="O806" t="s">
        <v>74</v>
      </c>
      <c r="R806" t="s">
        <v>89</v>
      </c>
      <c r="T806" t="s">
        <v>89</v>
      </c>
      <c r="V806" t="s">
        <v>1619</v>
      </c>
      <c r="W806" t="s">
        <v>92</v>
      </c>
      <c r="Y806" t="s">
        <v>38</v>
      </c>
      <c r="AA806" t="s">
        <v>38</v>
      </c>
      <c r="AB806" t="s">
        <v>38</v>
      </c>
      <c r="AC806" t="s">
        <v>38</v>
      </c>
      <c r="AD806" t="s">
        <v>48</v>
      </c>
      <c r="AG806" t="str">
        <f>IF(AD806="United States", IFERROR(INDEX(Sheet2!$C:$C, MATCH(AE806&amp;AF806, Sheet2!$E:$E, 0)) &amp; ", " &amp; INDEX(Sheet2!$D:$D, MATCH(AE806&amp;AF806, Sheet2!$E:$E, 0)), ""), "-")</f>
        <v/>
      </c>
    </row>
    <row r="807" spans="1:33" x14ac:dyDescent="0.25">
      <c r="A807" t="s">
        <v>1666</v>
      </c>
      <c r="D807" t="s">
        <v>200</v>
      </c>
      <c r="E807" t="s">
        <v>1675</v>
      </c>
      <c r="F807">
        <v>1751</v>
      </c>
      <c r="G807">
        <v>2920</v>
      </c>
      <c r="H807">
        <v>87</v>
      </c>
      <c r="J807" t="s">
        <v>1668</v>
      </c>
      <c r="O807" t="s">
        <v>41</v>
      </c>
      <c r="R807" t="s">
        <v>89</v>
      </c>
      <c r="T807" t="s">
        <v>89</v>
      </c>
      <c r="V807" t="s">
        <v>1619</v>
      </c>
      <c r="W807" t="s">
        <v>92</v>
      </c>
      <c r="Y807" t="s">
        <v>38</v>
      </c>
      <c r="AA807" t="s">
        <v>38</v>
      </c>
      <c r="AB807" t="s">
        <v>38</v>
      </c>
      <c r="AC807" t="s">
        <v>38</v>
      </c>
      <c r="AD807" t="s">
        <v>48</v>
      </c>
      <c r="AG807" t="str">
        <f>IF(AD807="United States", IFERROR(INDEX(Sheet2!$C:$C, MATCH(AE807&amp;AF807, Sheet2!$E:$E, 0)) &amp; ", " &amp; INDEX(Sheet2!$D:$D, MATCH(AE807&amp;AF807, Sheet2!$E:$E, 0)), ""), "-")</f>
        <v/>
      </c>
    </row>
    <row r="808" spans="1:33" x14ac:dyDescent="0.25">
      <c r="A808" t="s">
        <v>1666</v>
      </c>
      <c r="D808" t="s">
        <v>980</v>
      </c>
      <c r="E808" t="s">
        <v>539</v>
      </c>
      <c r="F808">
        <v>1753</v>
      </c>
      <c r="G808">
        <v>2915</v>
      </c>
      <c r="H808">
        <v>87</v>
      </c>
      <c r="J808" t="s">
        <v>1668</v>
      </c>
      <c r="O808" t="s">
        <v>57</v>
      </c>
      <c r="R808" t="s">
        <v>89</v>
      </c>
      <c r="T808" t="s">
        <v>89</v>
      </c>
      <c r="V808" t="s">
        <v>1619</v>
      </c>
      <c r="W808" t="s">
        <v>92</v>
      </c>
      <c r="Y808" t="s">
        <v>38</v>
      </c>
      <c r="AA808" t="s">
        <v>38</v>
      </c>
      <c r="AB808" t="s">
        <v>38</v>
      </c>
      <c r="AC808" t="s">
        <v>38</v>
      </c>
      <c r="AD808" t="s">
        <v>48</v>
      </c>
      <c r="AG808" t="str">
        <f>IF(AD808="United States", IFERROR(INDEX(Sheet2!$C:$C, MATCH(AE808&amp;AF808, Sheet2!$E:$E, 0)) &amp; ", " &amp; INDEX(Sheet2!$D:$D, MATCH(AE808&amp;AF808, Sheet2!$E:$E, 0)), ""), "-")</f>
        <v/>
      </c>
    </row>
    <row r="809" spans="1:33" x14ac:dyDescent="0.25">
      <c r="A809" t="s">
        <v>1666</v>
      </c>
      <c r="D809" t="s">
        <v>835</v>
      </c>
      <c r="E809" t="s">
        <v>1676</v>
      </c>
      <c r="F809">
        <v>1782</v>
      </c>
      <c r="G809">
        <v>2908</v>
      </c>
      <c r="H809">
        <v>87</v>
      </c>
      <c r="J809" t="s">
        <v>1668</v>
      </c>
      <c r="O809" t="s">
        <v>74</v>
      </c>
      <c r="R809" t="s">
        <v>89</v>
      </c>
      <c r="T809" t="s">
        <v>89</v>
      </c>
      <c r="V809" t="s">
        <v>1619</v>
      </c>
      <c r="W809" t="s">
        <v>92</v>
      </c>
      <c r="Y809" t="s">
        <v>38</v>
      </c>
      <c r="AA809" t="s">
        <v>38</v>
      </c>
      <c r="AB809" t="s">
        <v>38</v>
      </c>
      <c r="AC809" t="s">
        <v>38</v>
      </c>
      <c r="AD809" t="s">
        <v>48</v>
      </c>
      <c r="AG809" t="str">
        <f>IF(AD809="United States", IFERROR(INDEX(Sheet2!$C:$C, MATCH(AE809&amp;AF809, Sheet2!$E:$E, 0)) &amp; ", " &amp; INDEX(Sheet2!$D:$D, MATCH(AE809&amp;AF809, Sheet2!$E:$E, 0)), ""), "-")</f>
        <v/>
      </c>
    </row>
    <row r="810" spans="1:33" x14ac:dyDescent="0.25">
      <c r="A810" t="s">
        <v>1666</v>
      </c>
      <c r="D810" t="s">
        <v>140</v>
      </c>
      <c r="E810" t="s">
        <v>1676</v>
      </c>
      <c r="F810">
        <v>1761</v>
      </c>
      <c r="G810">
        <v>2906</v>
      </c>
      <c r="H810">
        <v>87</v>
      </c>
      <c r="J810" t="s">
        <v>1668</v>
      </c>
      <c r="O810" t="s">
        <v>57</v>
      </c>
      <c r="R810" t="s">
        <v>89</v>
      </c>
      <c r="T810" t="s">
        <v>89</v>
      </c>
      <c r="V810" t="s">
        <v>1619</v>
      </c>
      <c r="W810" t="s">
        <v>92</v>
      </c>
      <c r="Y810" t="s">
        <v>38</v>
      </c>
      <c r="AA810" t="s">
        <v>38</v>
      </c>
      <c r="AB810" t="s">
        <v>38</v>
      </c>
      <c r="AC810" t="s">
        <v>38</v>
      </c>
      <c r="AD810" t="s">
        <v>48</v>
      </c>
      <c r="AG810" t="str">
        <f>IF(AD810="United States", IFERROR(INDEX(Sheet2!$C:$C, MATCH(AE810&amp;AF810, Sheet2!$E:$E, 0)) &amp; ", " &amp; INDEX(Sheet2!$D:$D, MATCH(AE810&amp;AF810, Sheet2!$E:$E, 0)), ""), "-")</f>
        <v/>
      </c>
    </row>
    <row r="811" spans="1:33" x14ac:dyDescent="0.25">
      <c r="A811" t="s">
        <v>1666</v>
      </c>
      <c r="D811" t="s">
        <v>803</v>
      </c>
      <c r="E811" t="s">
        <v>1091</v>
      </c>
      <c r="F811">
        <v>1755</v>
      </c>
      <c r="G811">
        <v>2921</v>
      </c>
      <c r="H811">
        <v>87</v>
      </c>
      <c r="J811" t="s">
        <v>1668</v>
      </c>
      <c r="O811" t="s">
        <v>57</v>
      </c>
      <c r="R811" t="s">
        <v>89</v>
      </c>
      <c r="T811" t="s">
        <v>89</v>
      </c>
      <c r="V811" t="s">
        <v>1619</v>
      </c>
      <c r="W811" t="s">
        <v>92</v>
      </c>
      <c r="Y811" t="s">
        <v>38</v>
      </c>
      <c r="AA811" t="s">
        <v>38</v>
      </c>
      <c r="AB811" t="s">
        <v>38</v>
      </c>
      <c r="AC811" t="s">
        <v>38</v>
      </c>
      <c r="AD811" t="s">
        <v>48</v>
      </c>
      <c r="AG811" t="str">
        <f>IF(AD811="United States", IFERROR(INDEX(Sheet2!$C:$C, MATCH(AE811&amp;AF811, Sheet2!$E:$E, 0)) &amp; ", " &amp; INDEX(Sheet2!$D:$D, MATCH(AE811&amp;AF811, Sheet2!$E:$E, 0)), ""), "-")</f>
        <v/>
      </c>
    </row>
    <row r="812" spans="1:33" x14ac:dyDescent="0.25">
      <c r="A812" t="s">
        <v>1666</v>
      </c>
      <c r="D812" t="s">
        <v>834</v>
      </c>
      <c r="E812" t="s">
        <v>629</v>
      </c>
      <c r="F812">
        <v>1759</v>
      </c>
      <c r="G812">
        <v>2905</v>
      </c>
      <c r="H812">
        <v>87</v>
      </c>
      <c r="J812" t="s">
        <v>1668</v>
      </c>
      <c r="O812" t="s">
        <v>57</v>
      </c>
      <c r="R812" t="s">
        <v>89</v>
      </c>
      <c r="T812" t="s">
        <v>89</v>
      </c>
      <c r="V812" t="s">
        <v>1619</v>
      </c>
      <c r="W812" t="s">
        <v>92</v>
      </c>
      <c r="Y812" t="s">
        <v>38</v>
      </c>
      <c r="AA812" t="s">
        <v>38</v>
      </c>
      <c r="AB812" t="s">
        <v>38</v>
      </c>
      <c r="AC812" t="s">
        <v>38</v>
      </c>
      <c r="AD812" t="s">
        <v>48</v>
      </c>
      <c r="AG812" t="str">
        <f>IF(AD812="United States", IFERROR(INDEX(Sheet2!$C:$C, MATCH(AE812&amp;AF812, Sheet2!$E:$E, 0)) &amp; ", " &amp; INDEX(Sheet2!$D:$D, MATCH(AE812&amp;AF812, Sheet2!$E:$E, 0)), ""), "-")</f>
        <v/>
      </c>
    </row>
    <row r="813" spans="1:33" x14ac:dyDescent="0.25">
      <c r="A813" t="s">
        <v>1666</v>
      </c>
      <c r="D813" t="s">
        <v>210</v>
      </c>
      <c r="E813" t="s">
        <v>629</v>
      </c>
      <c r="F813">
        <v>1773</v>
      </c>
      <c r="G813">
        <v>2904</v>
      </c>
      <c r="H813">
        <v>87</v>
      </c>
      <c r="J813" t="s">
        <v>1668</v>
      </c>
      <c r="O813" t="s">
        <v>54</v>
      </c>
      <c r="R813" t="s">
        <v>89</v>
      </c>
      <c r="T813" t="s">
        <v>89</v>
      </c>
      <c r="V813" t="s">
        <v>1619</v>
      </c>
      <c r="W813" t="s">
        <v>92</v>
      </c>
      <c r="Y813" t="s">
        <v>38</v>
      </c>
      <c r="AA813" t="s">
        <v>38</v>
      </c>
      <c r="AB813" t="s">
        <v>38</v>
      </c>
      <c r="AC813" t="s">
        <v>38</v>
      </c>
      <c r="AD813" t="s">
        <v>48</v>
      </c>
      <c r="AG813" t="str">
        <f>IF(AD813="United States", IFERROR(INDEX(Sheet2!$C:$C, MATCH(AE813&amp;AF813, Sheet2!$E:$E, 0)) &amp; ", " &amp; INDEX(Sheet2!$D:$D, MATCH(AE813&amp;AF813, Sheet2!$E:$E, 0)), ""), "-")</f>
        <v/>
      </c>
    </row>
    <row r="814" spans="1:33" x14ac:dyDescent="0.25">
      <c r="A814" t="s">
        <v>1666</v>
      </c>
      <c r="D814" t="s">
        <v>458</v>
      </c>
      <c r="E814" t="s">
        <v>629</v>
      </c>
      <c r="F814">
        <v>1757</v>
      </c>
      <c r="G814">
        <v>2903</v>
      </c>
      <c r="H814">
        <v>87</v>
      </c>
      <c r="J814" t="s">
        <v>1668</v>
      </c>
      <c r="O814" t="s">
        <v>41</v>
      </c>
      <c r="R814" t="s">
        <v>89</v>
      </c>
      <c r="T814" t="s">
        <v>89</v>
      </c>
      <c r="V814" t="s">
        <v>1619</v>
      </c>
      <c r="W814" t="s">
        <v>92</v>
      </c>
      <c r="Y814" t="s">
        <v>38</v>
      </c>
      <c r="AA814" t="s">
        <v>38</v>
      </c>
      <c r="AB814" t="s">
        <v>38</v>
      </c>
      <c r="AC814" t="s">
        <v>38</v>
      </c>
      <c r="AD814" t="s">
        <v>48</v>
      </c>
      <c r="AG814" t="str">
        <f>IF(AD814="United States", IFERROR(INDEX(Sheet2!$C:$C, MATCH(AE814&amp;AF814, Sheet2!$E:$E, 0)) &amp; ", " &amp; INDEX(Sheet2!$D:$D, MATCH(AE814&amp;AF814, Sheet2!$E:$E, 0)), ""), "-")</f>
        <v/>
      </c>
    </row>
    <row r="815" spans="1:33" x14ac:dyDescent="0.25">
      <c r="A815" t="s">
        <v>1666</v>
      </c>
      <c r="D815" t="s">
        <v>1677</v>
      </c>
      <c r="E815" t="s">
        <v>338</v>
      </c>
      <c r="F815">
        <v>1773</v>
      </c>
      <c r="G815">
        <v>2902</v>
      </c>
      <c r="H815">
        <v>87</v>
      </c>
      <c r="J815" t="s">
        <v>1668</v>
      </c>
      <c r="O815" t="s">
        <v>74</v>
      </c>
      <c r="R815" t="s">
        <v>89</v>
      </c>
      <c r="T815" t="s">
        <v>89</v>
      </c>
      <c r="V815" t="s">
        <v>1619</v>
      </c>
      <c r="W815" t="s">
        <v>92</v>
      </c>
      <c r="Y815" t="s">
        <v>38</v>
      </c>
      <c r="AA815" t="s">
        <v>38</v>
      </c>
      <c r="AB815" t="s">
        <v>38</v>
      </c>
      <c r="AC815" t="s">
        <v>38</v>
      </c>
      <c r="AD815" t="s">
        <v>48</v>
      </c>
      <c r="AG815" t="str">
        <f>IF(AD815="United States", IFERROR(INDEX(Sheet2!$C:$C, MATCH(AE815&amp;AF815, Sheet2!$E:$E, 0)) &amp; ", " &amp; INDEX(Sheet2!$D:$D, MATCH(AE815&amp;AF815, Sheet2!$E:$E, 0)), ""), "-")</f>
        <v/>
      </c>
    </row>
    <row r="816" spans="1:33" x14ac:dyDescent="0.25">
      <c r="A816" t="s">
        <v>1666</v>
      </c>
      <c r="D816" t="s">
        <v>140</v>
      </c>
      <c r="E816" t="s">
        <v>338</v>
      </c>
      <c r="F816">
        <v>1781</v>
      </c>
      <c r="G816">
        <v>2901</v>
      </c>
      <c r="H816">
        <v>87</v>
      </c>
      <c r="J816" t="s">
        <v>1668</v>
      </c>
      <c r="O816" t="s">
        <v>74</v>
      </c>
      <c r="R816" t="s">
        <v>89</v>
      </c>
      <c r="T816" t="s">
        <v>89</v>
      </c>
      <c r="V816" t="s">
        <v>1619</v>
      </c>
      <c r="W816" t="s">
        <v>92</v>
      </c>
      <c r="Y816" t="s">
        <v>38</v>
      </c>
      <c r="AA816" t="s">
        <v>38</v>
      </c>
      <c r="AB816" t="s">
        <v>38</v>
      </c>
      <c r="AC816" t="s">
        <v>38</v>
      </c>
      <c r="AD816" t="s">
        <v>48</v>
      </c>
      <c r="AG816" t="str">
        <f>IF(AD816="United States", IFERROR(INDEX(Sheet2!$C:$C, MATCH(AE816&amp;AF816, Sheet2!$E:$E, 0)) &amp; ", " &amp; INDEX(Sheet2!$D:$D, MATCH(AE816&amp;AF816, Sheet2!$E:$E, 0)), ""), "-")</f>
        <v/>
      </c>
    </row>
    <row r="817" spans="1:33" x14ac:dyDescent="0.25">
      <c r="A817" t="s">
        <v>1666</v>
      </c>
      <c r="D817" t="s">
        <v>1678</v>
      </c>
      <c r="E817" t="s">
        <v>338</v>
      </c>
      <c r="F817">
        <v>1763</v>
      </c>
      <c r="G817">
        <v>2900</v>
      </c>
      <c r="H817">
        <v>86</v>
      </c>
      <c r="J817" t="s">
        <v>1668</v>
      </c>
      <c r="O817" t="s">
        <v>57</v>
      </c>
      <c r="R817" t="s">
        <v>89</v>
      </c>
      <c r="T817" t="s">
        <v>89</v>
      </c>
      <c r="V817" t="s">
        <v>1619</v>
      </c>
      <c r="W817" t="s">
        <v>92</v>
      </c>
      <c r="Y817" t="s">
        <v>38</v>
      </c>
      <c r="AA817" t="s">
        <v>38</v>
      </c>
      <c r="AB817" t="s">
        <v>38</v>
      </c>
      <c r="AC817" t="s">
        <v>38</v>
      </c>
      <c r="AD817" t="s">
        <v>48</v>
      </c>
      <c r="AG817" t="str">
        <f>IF(AD817="United States", IFERROR(INDEX(Sheet2!$C:$C, MATCH(AE817&amp;AF817, Sheet2!$E:$E, 0)) &amp; ", " &amp; INDEX(Sheet2!$D:$D, MATCH(AE817&amp;AF817, Sheet2!$E:$E, 0)), ""), "-")</f>
        <v/>
      </c>
    </row>
    <row r="818" spans="1:33" x14ac:dyDescent="0.25">
      <c r="A818" t="s">
        <v>1666</v>
      </c>
      <c r="D818" t="s">
        <v>140</v>
      </c>
      <c r="E818" t="s">
        <v>1679</v>
      </c>
      <c r="F818">
        <v>1750</v>
      </c>
      <c r="G818">
        <v>2899</v>
      </c>
      <c r="H818">
        <v>86</v>
      </c>
      <c r="J818" t="s">
        <v>1668</v>
      </c>
      <c r="O818" t="s">
        <v>57</v>
      </c>
      <c r="R818" t="s">
        <v>89</v>
      </c>
      <c r="T818" t="s">
        <v>89</v>
      </c>
      <c r="V818" t="s">
        <v>1619</v>
      </c>
      <c r="W818" t="s">
        <v>92</v>
      </c>
      <c r="Y818" t="s">
        <v>38</v>
      </c>
      <c r="AA818" t="s">
        <v>38</v>
      </c>
      <c r="AB818" t="s">
        <v>38</v>
      </c>
      <c r="AC818" t="s">
        <v>38</v>
      </c>
      <c r="AD818" t="s">
        <v>48</v>
      </c>
      <c r="AG818" t="str">
        <f>IF(AD818="United States", IFERROR(INDEX(Sheet2!$C:$C, MATCH(AE818&amp;AF818, Sheet2!$E:$E, 0)) &amp; ", " &amp; INDEX(Sheet2!$D:$D, MATCH(AE818&amp;AF818, Sheet2!$E:$E, 0)), ""), "-")</f>
        <v/>
      </c>
    </row>
    <row r="819" spans="1:33" x14ac:dyDescent="0.25">
      <c r="A819" t="s">
        <v>1666</v>
      </c>
      <c r="D819" t="s">
        <v>220</v>
      </c>
      <c r="E819" t="s">
        <v>1679</v>
      </c>
      <c r="F819">
        <v>1749</v>
      </c>
      <c r="G819">
        <v>2898</v>
      </c>
      <c r="H819">
        <v>86</v>
      </c>
      <c r="J819" t="s">
        <v>1668</v>
      </c>
      <c r="O819" t="s">
        <v>41</v>
      </c>
      <c r="R819" t="s">
        <v>89</v>
      </c>
      <c r="T819" t="s">
        <v>89</v>
      </c>
      <c r="V819" t="s">
        <v>1619</v>
      </c>
      <c r="W819" t="s">
        <v>92</v>
      </c>
      <c r="Y819" t="s">
        <v>38</v>
      </c>
      <c r="AA819" t="s">
        <v>38</v>
      </c>
      <c r="AB819" t="s">
        <v>38</v>
      </c>
      <c r="AC819" t="s">
        <v>38</v>
      </c>
      <c r="AD819" t="s">
        <v>48</v>
      </c>
      <c r="AG819" t="str">
        <f>IF(AD819="United States", IFERROR(INDEX(Sheet2!$C:$C, MATCH(AE819&amp;AF819, Sheet2!$E:$E, 0)) &amp; ", " &amp; INDEX(Sheet2!$D:$D, MATCH(AE819&amp;AF819, Sheet2!$E:$E, 0)), ""), "-")</f>
        <v/>
      </c>
    </row>
    <row r="820" spans="1:33" x14ac:dyDescent="0.25">
      <c r="A820" t="s">
        <v>1666</v>
      </c>
      <c r="D820" t="s">
        <v>1089</v>
      </c>
      <c r="E820" t="s">
        <v>1680</v>
      </c>
      <c r="F820">
        <v>1762</v>
      </c>
      <c r="G820">
        <v>2897</v>
      </c>
      <c r="H820">
        <v>86</v>
      </c>
      <c r="J820" t="s">
        <v>1668</v>
      </c>
      <c r="O820" t="s">
        <v>41</v>
      </c>
      <c r="R820" t="s">
        <v>89</v>
      </c>
      <c r="T820" t="s">
        <v>89</v>
      </c>
      <c r="V820" t="s">
        <v>1619</v>
      </c>
      <c r="W820" t="s">
        <v>92</v>
      </c>
      <c r="Y820" t="s">
        <v>38</v>
      </c>
      <c r="AA820" t="s">
        <v>38</v>
      </c>
      <c r="AB820" t="s">
        <v>38</v>
      </c>
      <c r="AC820" t="s">
        <v>38</v>
      </c>
      <c r="AD820" t="s">
        <v>48</v>
      </c>
      <c r="AG820" t="str">
        <f>IF(AD820="United States", IFERROR(INDEX(Sheet2!$C:$C, MATCH(AE820&amp;AF820, Sheet2!$E:$E, 0)) &amp; ", " &amp; INDEX(Sheet2!$D:$D, MATCH(AE820&amp;AF820, Sheet2!$E:$E, 0)), ""), "-")</f>
        <v/>
      </c>
    </row>
    <row r="821" spans="1:33" x14ac:dyDescent="0.25">
      <c r="A821" t="s">
        <v>1666</v>
      </c>
      <c r="D821" t="s">
        <v>106</v>
      </c>
      <c r="E821" t="s">
        <v>1681</v>
      </c>
      <c r="F821">
        <v>1773</v>
      </c>
      <c r="G821">
        <v>2896</v>
      </c>
      <c r="H821">
        <v>86</v>
      </c>
      <c r="J821" t="s">
        <v>1668</v>
      </c>
      <c r="O821" t="s">
        <v>54</v>
      </c>
      <c r="R821" t="s">
        <v>89</v>
      </c>
      <c r="T821" t="s">
        <v>89</v>
      </c>
      <c r="V821" t="s">
        <v>1619</v>
      </c>
      <c r="W821" t="s">
        <v>92</v>
      </c>
      <c r="Y821" t="s">
        <v>38</v>
      </c>
      <c r="AA821" t="s">
        <v>38</v>
      </c>
      <c r="AB821" t="s">
        <v>38</v>
      </c>
      <c r="AC821" t="s">
        <v>38</v>
      </c>
      <c r="AD821" t="s">
        <v>48</v>
      </c>
      <c r="AG821" t="str">
        <f>IF(AD821="United States", IFERROR(INDEX(Sheet2!$C:$C, MATCH(AE821&amp;AF821, Sheet2!$E:$E, 0)) &amp; ", " &amp; INDEX(Sheet2!$D:$D, MATCH(AE821&amp;AF821, Sheet2!$E:$E, 0)), ""), "-")</f>
        <v/>
      </c>
    </row>
    <row r="822" spans="1:33" x14ac:dyDescent="0.25">
      <c r="A822" t="s">
        <v>1666</v>
      </c>
      <c r="D822" t="s">
        <v>1682</v>
      </c>
      <c r="E822" t="s">
        <v>1681</v>
      </c>
      <c r="F822">
        <v>1760</v>
      </c>
      <c r="G822">
        <v>2895</v>
      </c>
      <c r="H822">
        <v>86</v>
      </c>
      <c r="J822" t="s">
        <v>1668</v>
      </c>
      <c r="O822" t="s">
        <v>57</v>
      </c>
      <c r="R822" t="s">
        <v>89</v>
      </c>
      <c r="T822" t="s">
        <v>89</v>
      </c>
      <c r="V822" t="s">
        <v>1619</v>
      </c>
      <c r="W822" t="s">
        <v>92</v>
      </c>
      <c r="Y822" t="s">
        <v>38</v>
      </c>
      <c r="AA822" t="s">
        <v>38</v>
      </c>
      <c r="AB822" t="s">
        <v>38</v>
      </c>
      <c r="AC822" t="s">
        <v>38</v>
      </c>
      <c r="AD822" t="s">
        <v>48</v>
      </c>
      <c r="AG822" t="str">
        <f>IF(AD822="United States", IFERROR(INDEX(Sheet2!$C:$C, MATCH(AE822&amp;AF822, Sheet2!$E:$E, 0)) &amp; ", " &amp; INDEX(Sheet2!$D:$D, MATCH(AE822&amp;AF822, Sheet2!$E:$E, 0)), ""), "-")</f>
        <v/>
      </c>
    </row>
    <row r="823" spans="1:33" x14ac:dyDescent="0.25">
      <c r="A823" t="s">
        <v>1666</v>
      </c>
      <c r="D823" t="s">
        <v>210</v>
      </c>
      <c r="E823" t="s">
        <v>1676</v>
      </c>
      <c r="F823">
        <v>1761</v>
      </c>
      <c r="G823">
        <v>2907</v>
      </c>
      <c r="H823">
        <v>87</v>
      </c>
      <c r="J823" t="s">
        <v>1668</v>
      </c>
      <c r="O823" t="s">
        <v>41</v>
      </c>
      <c r="R823" t="s">
        <v>89</v>
      </c>
      <c r="T823" t="s">
        <v>89</v>
      </c>
      <c r="V823" t="s">
        <v>1619</v>
      </c>
      <c r="W823" t="s">
        <v>92</v>
      </c>
      <c r="Y823" t="s">
        <v>38</v>
      </c>
      <c r="AA823" t="s">
        <v>38</v>
      </c>
      <c r="AB823" t="s">
        <v>38</v>
      </c>
      <c r="AC823" t="s">
        <v>38</v>
      </c>
      <c r="AD823" t="s">
        <v>48</v>
      </c>
      <c r="AG823" t="str">
        <f>IF(AD823="United States", IFERROR(INDEX(Sheet2!$C:$C, MATCH(AE823&amp;AF823, Sheet2!$E:$E, 0)) &amp; ", " &amp; INDEX(Sheet2!$D:$D, MATCH(AE823&amp;AF823, Sheet2!$E:$E, 0)), ""), "-")</f>
        <v/>
      </c>
    </row>
    <row r="824" spans="1:33" x14ac:dyDescent="0.25">
      <c r="A824" t="s">
        <v>1666</v>
      </c>
      <c r="D824" t="s">
        <v>101</v>
      </c>
      <c r="E824" t="s">
        <v>1091</v>
      </c>
      <c r="F824">
        <v>1779</v>
      </c>
      <c r="G824">
        <v>2922</v>
      </c>
      <c r="H824">
        <v>87</v>
      </c>
      <c r="J824" t="s">
        <v>1668</v>
      </c>
      <c r="O824" t="s">
        <v>54</v>
      </c>
      <c r="R824" t="s">
        <v>89</v>
      </c>
      <c r="T824" t="s">
        <v>89</v>
      </c>
      <c r="V824" t="s">
        <v>1619</v>
      </c>
      <c r="W824" t="s">
        <v>92</v>
      </c>
      <c r="Y824" t="s">
        <v>38</v>
      </c>
      <c r="AA824" t="s">
        <v>38</v>
      </c>
      <c r="AB824" t="s">
        <v>38</v>
      </c>
      <c r="AC824" t="s">
        <v>38</v>
      </c>
      <c r="AD824" t="s">
        <v>48</v>
      </c>
      <c r="AG824" t="str">
        <f>IF(AD824="United States", IFERROR(INDEX(Sheet2!$C:$C, MATCH(AE824&amp;AF824, Sheet2!$E:$E, 0)) &amp; ", " &amp; INDEX(Sheet2!$D:$D, MATCH(AE824&amp;AF824, Sheet2!$E:$E, 0)), ""), "-")</f>
        <v/>
      </c>
    </row>
    <row r="825" spans="1:33" x14ac:dyDescent="0.25">
      <c r="A825" t="s">
        <v>1666</v>
      </c>
      <c r="D825" t="s">
        <v>1683</v>
      </c>
      <c r="E825" t="s">
        <v>1684</v>
      </c>
      <c r="F825">
        <v>1744</v>
      </c>
      <c r="G825">
        <v>2894</v>
      </c>
      <c r="H825">
        <v>86</v>
      </c>
      <c r="J825" t="s">
        <v>1668</v>
      </c>
      <c r="O825" t="s">
        <v>57</v>
      </c>
      <c r="R825" t="s">
        <v>89</v>
      </c>
      <c r="T825" t="s">
        <v>89</v>
      </c>
      <c r="V825" t="s">
        <v>1619</v>
      </c>
      <c r="W825" t="s">
        <v>92</v>
      </c>
      <c r="Y825" t="s">
        <v>38</v>
      </c>
      <c r="AA825" t="s">
        <v>38</v>
      </c>
      <c r="AB825" t="s">
        <v>38</v>
      </c>
      <c r="AC825" t="s">
        <v>38</v>
      </c>
      <c r="AD825" t="s">
        <v>48</v>
      </c>
      <c r="AG825" t="str">
        <f>IF(AD825="United States", IFERROR(INDEX(Sheet2!$C:$C, MATCH(AE825&amp;AF825, Sheet2!$E:$E, 0)) &amp; ", " &amp; INDEX(Sheet2!$D:$D, MATCH(AE825&amp;AF825, Sheet2!$E:$E, 0)), ""), "-")</f>
        <v/>
      </c>
    </row>
    <row r="826" spans="1:33" x14ac:dyDescent="0.25">
      <c r="A826" t="s">
        <v>1666</v>
      </c>
      <c r="D826" t="s">
        <v>615</v>
      </c>
      <c r="E826" t="s">
        <v>1685</v>
      </c>
      <c r="F826">
        <v>1755</v>
      </c>
      <c r="G826">
        <v>2924</v>
      </c>
      <c r="H826">
        <v>87</v>
      </c>
      <c r="J826" t="s">
        <v>1668</v>
      </c>
      <c r="O826" t="s">
        <v>41</v>
      </c>
      <c r="R826" t="s">
        <v>89</v>
      </c>
      <c r="T826" t="s">
        <v>89</v>
      </c>
      <c r="V826" t="s">
        <v>1619</v>
      </c>
      <c r="W826" t="s">
        <v>92</v>
      </c>
      <c r="Y826" t="s">
        <v>38</v>
      </c>
      <c r="AA826" t="s">
        <v>38</v>
      </c>
      <c r="AB826" t="s">
        <v>38</v>
      </c>
      <c r="AC826" t="s">
        <v>38</v>
      </c>
      <c r="AD826" t="s">
        <v>48</v>
      </c>
      <c r="AG826" t="str">
        <f>IF(AD826="United States", IFERROR(INDEX(Sheet2!$C:$C, MATCH(AE826&amp;AF826, Sheet2!$E:$E, 0)) &amp; ", " &amp; INDEX(Sheet2!$D:$D, MATCH(AE826&amp;AF826, Sheet2!$E:$E, 0)), ""), "-")</f>
        <v/>
      </c>
    </row>
    <row r="827" spans="1:33" x14ac:dyDescent="0.25">
      <c r="A827" t="s">
        <v>1666</v>
      </c>
      <c r="D827" t="s">
        <v>1686</v>
      </c>
      <c r="E827" t="s">
        <v>1685</v>
      </c>
      <c r="F827">
        <v>1764</v>
      </c>
      <c r="G827">
        <v>2925</v>
      </c>
      <c r="H827">
        <v>87</v>
      </c>
      <c r="J827" t="s">
        <v>1668</v>
      </c>
      <c r="O827" t="s">
        <v>57</v>
      </c>
      <c r="R827" t="s">
        <v>89</v>
      </c>
      <c r="T827" t="s">
        <v>89</v>
      </c>
      <c r="V827" t="s">
        <v>1619</v>
      </c>
      <c r="W827" t="s">
        <v>92</v>
      </c>
      <c r="Y827" t="s">
        <v>38</v>
      </c>
      <c r="AA827" t="s">
        <v>38</v>
      </c>
      <c r="AB827" t="s">
        <v>38</v>
      </c>
      <c r="AC827" t="s">
        <v>38</v>
      </c>
      <c r="AD827" t="s">
        <v>48</v>
      </c>
      <c r="AG827" t="str">
        <f>IF(AD827="United States", IFERROR(INDEX(Sheet2!$C:$C, MATCH(AE827&amp;AF827, Sheet2!$E:$E, 0)) &amp; ", " &amp; INDEX(Sheet2!$D:$D, MATCH(AE827&amp;AF827, Sheet2!$E:$E, 0)), ""), "-")</f>
        <v/>
      </c>
    </row>
    <row r="828" spans="1:33" x14ac:dyDescent="0.25">
      <c r="A828" t="s">
        <v>1666</v>
      </c>
      <c r="D828" t="s">
        <v>36</v>
      </c>
      <c r="E828" t="s">
        <v>1687</v>
      </c>
      <c r="F828">
        <v>1758</v>
      </c>
      <c r="G828">
        <v>2926</v>
      </c>
      <c r="H828">
        <v>87</v>
      </c>
      <c r="J828" t="s">
        <v>1668</v>
      </c>
      <c r="O828" t="s">
        <v>41</v>
      </c>
      <c r="R828" t="s">
        <v>89</v>
      </c>
      <c r="T828" t="s">
        <v>89</v>
      </c>
      <c r="V828" t="s">
        <v>1619</v>
      </c>
      <c r="W828" t="s">
        <v>92</v>
      </c>
      <c r="Y828" t="s">
        <v>38</v>
      </c>
      <c r="AA828" t="s">
        <v>38</v>
      </c>
      <c r="AB828" t="s">
        <v>38</v>
      </c>
      <c r="AC828" t="s">
        <v>38</v>
      </c>
      <c r="AD828" t="s">
        <v>48</v>
      </c>
      <c r="AG828" t="str">
        <f>IF(AD828="United States", IFERROR(INDEX(Sheet2!$C:$C, MATCH(AE828&amp;AF828, Sheet2!$E:$E, 0)) &amp; ", " &amp; INDEX(Sheet2!$D:$D, MATCH(AE828&amp;AF828, Sheet2!$E:$E, 0)), ""), "-")</f>
        <v/>
      </c>
    </row>
    <row r="829" spans="1:33" x14ac:dyDescent="0.25">
      <c r="A829" t="s">
        <v>1666</v>
      </c>
      <c r="D829" t="s">
        <v>1683</v>
      </c>
      <c r="E829" t="s">
        <v>1687</v>
      </c>
      <c r="F829">
        <v>1762</v>
      </c>
      <c r="G829">
        <v>2927</v>
      </c>
      <c r="H829">
        <v>87</v>
      </c>
      <c r="J829" t="s">
        <v>1668</v>
      </c>
      <c r="O829" t="s">
        <v>57</v>
      </c>
      <c r="R829" t="s">
        <v>89</v>
      </c>
      <c r="T829" t="s">
        <v>89</v>
      </c>
      <c r="V829" t="s">
        <v>1619</v>
      </c>
      <c r="W829" t="s">
        <v>92</v>
      </c>
      <c r="Y829" t="s">
        <v>38</v>
      </c>
      <c r="AA829" t="s">
        <v>38</v>
      </c>
      <c r="AB829" t="s">
        <v>38</v>
      </c>
      <c r="AC829" t="s">
        <v>38</v>
      </c>
      <c r="AD829" t="s">
        <v>48</v>
      </c>
      <c r="AG829" t="str">
        <f>IF(AD829="United States", IFERROR(INDEX(Sheet2!$C:$C, MATCH(AE829&amp;AF829, Sheet2!$E:$E, 0)) &amp; ", " &amp; INDEX(Sheet2!$D:$D, MATCH(AE829&amp;AF829, Sheet2!$E:$E, 0)), ""), "-")</f>
        <v/>
      </c>
    </row>
    <row r="830" spans="1:33" x14ac:dyDescent="0.25">
      <c r="A830" t="s">
        <v>1666</v>
      </c>
      <c r="D830" t="s">
        <v>1592</v>
      </c>
      <c r="E830" t="s">
        <v>1688</v>
      </c>
      <c r="F830">
        <v>1761</v>
      </c>
      <c r="G830">
        <v>2890</v>
      </c>
      <c r="H830">
        <v>86</v>
      </c>
      <c r="J830" t="s">
        <v>1668</v>
      </c>
      <c r="O830" t="s">
        <v>41</v>
      </c>
      <c r="R830" t="s">
        <v>89</v>
      </c>
      <c r="T830" t="s">
        <v>89</v>
      </c>
      <c r="V830" t="s">
        <v>1619</v>
      </c>
      <c r="W830" t="s">
        <v>92</v>
      </c>
      <c r="Y830" t="s">
        <v>38</v>
      </c>
      <c r="AA830" t="s">
        <v>38</v>
      </c>
      <c r="AB830" t="s">
        <v>38</v>
      </c>
      <c r="AC830" t="s">
        <v>38</v>
      </c>
      <c r="AD830" t="s">
        <v>48</v>
      </c>
      <c r="AG830" t="str">
        <f>IF(AD830="United States", IFERROR(INDEX(Sheet2!$C:$C, MATCH(AE830&amp;AF830, Sheet2!$E:$E, 0)) &amp; ", " &amp; INDEX(Sheet2!$D:$D, MATCH(AE830&amp;AF830, Sheet2!$E:$E, 0)), ""), "-")</f>
        <v/>
      </c>
    </row>
    <row r="831" spans="1:33" x14ac:dyDescent="0.25">
      <c r="A831" t="s">
        <v>1666</v>
      </c>
      <c r="D831" t="s">
        <v>1689</v>
      </c>
      <c r="E831" t="s">
        <v>1690</v>
      </c>
      <c r="F831">
        <v>1763</v>
      </c>
      <c r="G831">
        <v>2892</v>
      </c>
      <c r="H831">
        <v>86</v>
      </c>
      <c r="J831" t="s">
        <v>1668</v>
      </c>
      <c r="O831" t="s">
        <v>57</v>
      </c>
      <c r="R831" t="s">
        <v>89</v>
      </c>
      <c r="T831" t="s">
        <v>89</v>
      </c>
      <c r="V831" t="s">
        <v>1619</v>
      </c>
      <c r="W831" t="s">
        <v>92</v>
      </c>
      <c r="Y831" t="s">
        <v>38</v>
      </c>
      <c r="AA831" t="s">
        <v>38</v>
      </c>
      <c r="AB831" t="s">
        <v>38</v>
      </c>
      <c r="AC831" t="s">
        <v>38</v>
      </c>
      <c r="AD831" t="s">
        <v>48</v>
      </c>
      <c r="AG831" t="str">
        <f>IF(AD831="United States", IFERROR(INDEX(Sheet2!$C:$C, MATCH(AE831&amp;AF831, Sheet2!$E:$E, 0)) &amp; ", " &amp; INDEX(Sheet2!$D:$D, MATCH(AE831&amp;AF831, Sheet2!$E:$E, 0)), ""), "-")</f>
        <v/>
      </c>
    </row>
    <row r="832" spans="1:33" x14ac:dyDescent="0.25">
      <c r="A832" t="s">
        <v>1666</v>
      </c>
      <c r="D832" t="s">
        <v>210</v>
      </c>
      <c r="E832" t="s">
        <v>1690</v>
      </c>
      <c r="F832">
        <v>1762</v>
      </c>
      <c r="G832">
        <v>2891</v>
      </c>
      <c r="H832">
        <v>86</v>
      </c>
      <c r="J832" t="s">
        <v>1668</v>
      </c>
      <c r="O832" t="s">
        <v>41</v>
      </c>
      <c r="R832" t="s">
        <v>89</v>
      </c>
      <c r="T832" t="s">
        <v>89</v>
      </c>
      <c r="V832" t="s">
        <v>1619</v>
      </c>
      <c r="W832" t="s">
        <v>92</v>
      </c>
      <c r="Y832" t="s">
        <v>38</v>
      </c>
      <c r="AA832" t="s">
        <v>38</v>
      </c>
      <c r="AB832" t="s">
        <v>38</v>
      </c>
      <c r="AC832" t="s">
        <v>38</v>
      </c>
      <c r="AD832" t="s">
        <v>48</v>
      </c>
      <c r="AG832" t="str">
        <f>IF(AD832="United States", IFERROR(INDEX(Sheet2!$C:$C, MATCH(AE832&amp;AF832, Sheet2!$E:$E, 0)) &amp; ", " &amp; INDEX(Sheet2!$D:$D, MATCH(AE832&amp;AF832, Sheet2!$E:$E, 0)), ""), "-")</f>
        <v/>
      </c>
    </row>
    <row r="833" spans="1:33" x14ac:dyDescent="0.25">
      <c r="A833" t="s">
        <v>1666</v>
      </c>
      <c r="D833" t="s">
        <v>226</v>
      </c>
      <c r="E833" t="s">
        <v>1691</v>
      </c>
      <c r="F833">
        <v>1744</v>
      </c>
      <c r="G833">
        <v>2893</v>
      </c>
      <c r="H833">
        <v>86</v>
      </c>
      <c r="J833" t="s">
        <v>1668</v>
      </c>
      <c r="O833" t="s">
        <v>41</v>
      </c>
      <c r="R833" t="s">
        <v>89</v>
      </c>
      <c r="T833" t="s">
        <v>89</v>
      </c>
      <c r="V833" t="s">
        <v>1619</v>
      </c>
      <c r="W833" t="s">
        <v>92</v>
      </c>
      <c r="Y833" t="s">
        <v>38</v>
      </c>
      <c r="AA833" t="s">
        <v>38</v>
      </c>
      <c r="AB833" t="s">
        <v>38</v>
      </c>
      <c r="AC833" t="s">
        <v>38</v>
      </c>
      <c r="AD833" t="s">
        <v>48</v>
      </c>
      <c r="AG833" t="str">
        <f>IF(AD833="United States", IFERROR(INDEX(Sheet2!$C:$C, MATCH(AE833&amp;AF833, Sheet2!$E:$E, 0)) &amp; ", " &amp; INDEX(Sheet2!$D:$D, MATCH(AE833&amp;AF833, Sheet2!$E:$E, 0)), ""), "-")</f>
        <v/>
      </c>
    </row>
    <row r="834" spans="1:33" x14ac:dyDescent="0.25">
      <c r="A834" t="s">
        <v>1692</v>
      </c>
      <c r="B834" t="s">
        <v>1693</v>
      </c>
      <c r="C834" t="s">
        <v>1694</v>
      </c>
      <c r="D834" t="s">
        <v>1695</v>
      </c>
      <c r="E834" t="s">
        <v>1696</v>
      </c>
      <c r="F834">
        <v>1767</v>
      </c>
      <c r="G834">
        <v>2481</v>
      </c>
      <c r="H834" t="s">
        <v>38</v>
      </c>
      <c r="I834" t="s">
        <v>87</v>
      </c>
      <c r="J834" t="s">
        <v>38</v>
      </c>
      <c r="K834" t="s">
        <v>38</v>
      </c>
      <c r="L834" t="s">
        <v>38</v>
      </c>
      <c r="M834" t="s">
        <v>38</v>
      </c>
      <c r="N834" t="s">
        <v>38</v>
      </c>
      <c r="O834" t="s">
        <v>54</v>
      </c>
      <c r="P834" t="s">
        <v>42</v>
      </c>
      <c r="Q834" t="s">
        <v>43</v>
      </c>
      <c r="R834" t="s">
        <v>155</v>
      </c>
      <c r="S834" t="s">
        <v>153</v>
      </c>
      <c r="T834" t="s">
        <v>38</v>
      </c>
      <c r="U834" t="s">
        <v>38</v>
      </c>
      <c r="V834" t="s">
        <v>38</v>
      </c>
      <c r="W834" t="s">
        <v>38</v>
      </c>
      <c r="X834" t="s">
        <v>38</v>
      </c>
      <c r="Y834" t="s">
        <v>38</v>
      </c>
      <c r="Z834" t="s">
        <v>42</v>
      </c>
      <c r="AA834" t="s">
        <v>155</v>
      </c>
      <c r="AB834" t="s">
        <v>38</v>
      </c>
      <c r="AC834" t="s">
        <v>153</v>
      </c>
      <c r="AD834" t="s">
        <v>48</v>
      </c>
      <c r="AG834" t="str">
        <f>IF(AD834="United States", IFERROR(INDEX(Sheet2!$C:$C, MATCH(AE834&amp;AF834, Sheet2!$E:$E, 0)) &amp; ", " &amp; INDEX(Sheet2!$D:$D, MATCH(AE834&amp;AF834, Sheet2!$E:$E, 0)), ""), "-")</f>
        <v/>
      </c>
    </row>
    <row r="835" spans="1:33" x14ac:dyDescent="0.25">
      <c r="A835" t="s">
        <v>1692</v>
      </c>
      <c r="B835" t="s">
        <v>1697</v>
      </c>
      <c r="C835" t="s">
        <v>1694</v>
      </c>
      <c r="D835" t="s">
        <v>113</v>
      </c>
      <c r="E835" t="s">
        <v>1698</v>
      </c>
      <c r="F835">
        <v>1758</v>
      </c>
      <c r="G835">
        <v>2479</v>
      </c>
      <c r="H835" t="s">
        <v>38</v>
      </c>
      <c r="I835" t="s">
        <v>87</v>
      </c>
      <c r="J835" t="s">
        <v>38</v>
      </c>
      <c r="K835" t="s">
        <v>38</v>
      </c>
      <c r="L835" t="s">
        <v>38</v>
      </c>
      <c r="M835" t="s">
        <v>38</v>
      </c>
      <c r="N835" t="s">
        <v>38</v>
      </c>
      <c r="O835" t="s">
        <v>41</v>
      </c>
      <c r="P835" t="s">
        <v>42</v>
      </c>
      <c r="Q835" t="s">
        <v>43</v>
      </c>
      <c r="R835" t="s">
        <v>345</v>
      </c>
      <c r="S835" t="s">
        <v>201</v>
      </c>
      <c r="T835" t="s">
        <v>38</v>
      </c>
      <c r="U835" t="s">
        <v>38</v>
      </c>
      <c r="V835" t="s">
        <v>38</v>
      </c>
      <c r="W835" t="s">
        <v>38</v>
      </c>
      <c r="X835" t="s">
        <v>38</v>
      </c>
      <c r="Y835" t="s">
        <v>38</v>
      </c>
      <c r="Z835" t="s">
        <v>42</v>
      </c>
      <c r="AA835" t="s">
        <v>345</v>
      </c>
      <c r="AB835" t="s">
        <v>38</v>
      </c>
      <c r="AC835" t="s">
        <v>201</v>
      </c>
      <c r="AD835" t="s">
        <v>48</v>
      </c>
      <c r="AG835" t="str">
        <f>IF(AD835="United States", IFERROR(INDEX(Sheet2!$C:$C, MATCH(AE835&amp;AF835, Sheet2!$E:$E, 0)) &amp; ", " &amp; INDEX(Sheet2!$D:$D, MATCH(AE835&amp;AF835, Sheet2!$E:$E, 0)), ""), "-")</f>
        <v/>
      </c>
    </row>
    <row r="836" spans="1:33" x14ac:dyDescent="0.25">
      <c r="A836" t="s">
        <v>1692</v>
      </c>
      <c r="B836" t="s">
        <v>1699</v>
      </c>
      <c r="C836" t="s">
        <v>1694</v>
      </c>
      <c r="D836" t="s">
        <v>334</v>
      </c>
      <c r="E836" t="s">
        <v>1700</v>
      </c>
      <c r="F836">
        <v>1759</v>
      </c>
      <c r="G836">
        <v>2482</v>
      </c>
      <c r="H836" t="s">
        <v>38</v>
      </c>
      <c r="I836" t="s">
        <v>87</v>
      </c>
      <c r="J836" t="s">
        <v>38</v>
      </c>
      <c r="K836" t="s">
        <v>38</v>
      </c>
      <c r="L836" t="s">
        <v>38</v>
      </c>
      <c r="M836" t="s">
        <v>38</v>
      </c>
      <c r="N836" t="s">
        <v>38</v>
      </c>
      <c r="O836" t="s">
        <v>41</v>
      </c>
      <c r="P836" t="s">
        <v>42</v>
      </c>
      <c r="Q836" t="s">
        <v>43</v>
      </c>
      <c r="R836" t="s">
        <v>38</v>
      </c>
      <c r="S836" t="s">
        <v>38</v>
      </c>
      <c r="T836" t="s">
        <v>38</v>
      </c>
      <c r="U836" t="s">
        <v>38</v>
      </c>
      <c r="V836" t="s">
        <v>38</v>
      </c>
      <c r="W836" t="s">
        <v>38</v>
      </c>
      <c r="X836" t="s">
        <v>38</v>
      </c>
      <c r="Y836" t="s">
        <v>38</v>
      </c>
      <c r="Z836" t="s">
        <v>42</v>
      </c>
      <c r="AA836" t="s">
        <v>38</v>
      </c>
      <c r="AB836" t="s">
        <v>38</v>
      </c>
      <c r="AC836" t="s">
        <v>60</v>
      </c>
      <c r="AD836" t="s">
        <v>48</v>
      </c>
      <c r="AG836" t="str">
        <f>IF(AD836="United States", IFERROR(INDEX(Sheet2!$C:$C, MATCH(AE836&amp;AF836, Sheet2!$E:$E, 0)) &amp; ", " &amp; INDEX(Sheet2!$D:$D, MATCH(AE836&amp;AF836, Sheet2!$E:$E, 0)), ""), "-")</f>
        <v/>
      </c>
    </row>
    <row r="837" spans="1:33" x14ac:dyDescent="0.25">
      <c r="A837" t="s">
        <v>1692</v>
      </c>
      <c r="B837" t="s">
        <v>1701</v>
      </c>
      <c r="C837" t="s">
        <v>1694</v>
      </c>
      <c r="D837" t="s">
        <v>36</v>
      </c>
      <c r="E837" t="s">
        <v>38</v>
      </c>
      <c r="F837">
        <v>1769</v>
      </c>
      <c r="G837">
        <v>2483</v>
      </c>
      <c r="H837" t="s">
        <v>38</v>
      </c>
      <c r="I837" t="s">
        <v>87</v>
      </c>
      <c r="J837" t="s">
        <v>38</v>
      </c>
      <c r="K837" t="s">
        <v>38</v>
      </c>
      <c r="L837" t="s">
        <v>38</v>
      </c>
      <c r="M837" t="s">
        <v>38</v>
      </c>
      <c r="N837" t="s">
        <v>38</v>
      </c>
      <c r="O837" t="s">
        <v>54</v>
      </c>
      <c r="P837" t="s">
        <v>42</v>
      </c>
      <c r="Q837" t="s">
        <v>43</v>
      </c>
      <c r="R837" t="s">
        <v>155</v>
      </c>
      <c r="S837" t="s">
        <v>153</v>
      </c>
      <c r="T837" t="s">
        <v>38</v>
      </c>
      <c r="U837" t="s">
        <v>38</v>
      </c>
      <c r="V837" t="s">
        <v>38</v>
      </c>
      <c r="W837" t="s">
        <v>38</v>
      </c>
      <c r="X837" t="s">
        <v>38</v>
      </c>
      <c r="Y837" t="s">
        <v>38</v>
      </c>
      <c r="Z837" t="s">
        <v>42</v>
      </c>
      <c r="AA837" t="s">
        <v>155</v>
      </c>
      <c r="AB837" t="s">
        <v>38</v>
      </c>
      <c r="AC837" t="s">
        <v>153</v>
      </c>
      <c r="AD837" t="s">
        <v>48</v>
      </c>
      <c r="AG837" t="str">
        <f>IF(AD837="United States", IFERROR(INDEX(Sheet2!$C:$C, MATCH(AE837&amp;AF837, Sheet2!$E:$E, 0)) &amp; ", " &amp; INDEX(Sheet2!$D:$D, MATCH(AE837&amp;AF837, Sheet2!$E:$E, 0)), ""), "-")</f>
        <v/>
      </c>
    </row>
    <row r="838" spans="1:33" x14ac:dyDescent="0.25">
      <c r="A838" t="s">
        <v>1692</v>
      </c>
      <c r="B838" t="s">
        <v>1702</v>
      </c>
      <c r="C838" t="s">
        <v>1694</v>
      </c>
      <c r="D838" t="s">
        <v>200</v>
      </c>
      <c r="E838" t="s">
        <v>113</v>
      </c>
      <c r="F838">
        <v>1765</v>
      </c>
      <c r="G838">
        <v>2484</v>
      </c>
      <c r="H838" t="s">
        <v>38</v>
      </c>
      <c r="I838" t="s">
        <v>87</v>
      </c>
      <c r="J838" t="s">
        <v>38</v>
      </c>
      <c r="K838" t="s">
        <v>38</v>
      </c>
      <c r="L838" t="s">
        <v>38</v>
      </c>
      <c r="M838" t="s">
        <v>38</v>
      </c>
      <c r="N838" t="s">
        <v>38</v>
      </c>
      <c r="O838" t="s">
        <v>54</v>
      </c>
      <c r="P838" t="s">
        <v>42</v>
      </c>
      <c r="Q838" t="s">
        <v>43</v>
      </c>
      <c r="R838" t="s">
        <v>155</v>
      </c>
      <c r="S838" t="s">
        <v>153</v>
      </c>
      <c r="T838" t="s">
        <v>38</v>
      </c>
      <c r="U838" t="s">
        <v>38</v>
      </c>
      <c r="V838" t="s">
        <v>38</v>
      </c>
      <c r="W838" t="s">
        <v>38</v>
      </c>
      <c r="X838" t="s">
        <v>38</v>
      </c>
      <c r="Y838" t="s">
        <v>38</v>
      </c>
      <c r="Z838" t="s">
        <v>42</v>
      </c>
      <c r="AA838" t="s">
        <v>155</v>
      </c>
      <c r="AB838" t="s">
        <v>38</v>
      </c>
      <c r="AC838" t="s">
        <v>153</v>
      </c>
      <c r="AD838" t="s">
        <v>48</v>
      </c>
      <c r="AG838" t="str">
        <f>IF(AD838="United States", IFERROR(INDEX(Sheet2!$C:$C, MATCH(AE838&amp;AF838, Sheet2!$E:$E, 0)) &amp; ", " &amp; INDEX(Sheet2!$D:$D, MATCH(AE838&amp;AF838, Sheet2!$E:$E, 0)), ""), "-")</f>
        <v/>
      </c>
    </row>
    <row r="839" spans="1:33" x14ac:dyDescent="0.25">
      <c r="A839" t="s">
        <v>1692</v>
      </c>
      <c r="B839" t="s">
        <v>1703</v>
      </c>
      <c r="C839" t="s">
        <v>1694</v>
      </c>
      <c r="D839" t="s">
        <v>569</v>
      </c>
      <c r="E839" t="s">
        <v>1704</v>
      </c>
      <c r="F839">
        <v>1764</v>
      </c>
      <c r="G839">
        <v>2485</v>
      </c>
      <c r="H839" t="s">
        <v>38</v>
      </c>
      <c r="I839" t="s">
        <v>87</v>
      </c>
      <c r="J839" t="s">
        <v>38</v>
      </c>
      <c r="K839" t="s">
        <v>38</v>
      </c>
      <c r="L839" t="s">
        <v>38</v>
      </c>
      <c r="M839" t="s">
        <v>38</v>
      </c>
      <c r="N839" t="s">
        <v>38</v>
      </c>
      <c r="O839" t="s">
        <v>41</v>
      </c>
      <c r="P839" t="s">
        <v>42</v>
      </c>
      <c r="Q839" t="s">
        <v>43</v>
      </c>
      <c r="R839" t="s">
        <v>155</v>
      </c>
      <c r="S839" t="s">
        <v>153</v>
      </c>
      <c r="T839" t="s">
        <v>38</v>
      </c>
      <c r="U839" t="s">
        <v>38</v>
      </c>
      <c r="V839" t="s">
        <v>38</v>
      </c>
      <c r="W839" t="s">
        <v>38</v>
      </c>
      <c r="X839" t="s">
        <v>38</v>
      </c>
      <c r="Y839" t="s">
        <v>38</v>
      </c>
      <c r="Z839" t="s">
        <v>42</v>
      </c>
      <c r="AA839" t="s">
        <v>155</v>
      </c>
      <c r="AB839" t="s">
        <v>38</v>
      </c>
      <c r="AC839" t="s">
        <v>153</v>
      </c>
      <c r="AD839" t="s">
        <v>48</v>
      </c>
      <c r="AG839" t="str">
        <f>IF(AD839="United States", IFERROR(INDEX(Sheet2!$C:$C, MATCH(AE839&amp;AF839, Sheet2!$E:$E, 0)) &amp; ", " &amp; INDEX(Sheet2!$D:$D, MATCH(AE839&amp;AF839, Sheet2!$E:$E, 0)), ""), "-")</f>
        <v/>
      </c>
    </row>
    <row r="840" spans="1:33" x14ac:dyDescent="0.25">
      <c r="A840" t="s">
        <v>1692</v>
      </c>
      <c r="B840" t="s">
        <v>1705</v>
      </c>
      <c r="C840" t="s">
        <v>1706</v>
      </c>
      <c r="D840" t="s">
        <v>835</v>
      </c>
      <c r="E840" t="s">
        <v>268</v>
      </c>
      <c r="F840">
        <v>1766</v>
      </c>
      <c r="G840">
        <v>1948</v>
      </c>
      <c r="H840" t="s">
        <v>38</v>
      </c>
      <c r="I840" t="s">
        <v>80</v>
      </c>
      <c r="J840" t="s">
        <v>38</v>
      </c>
      <c r="K840" t="s">
        <v>38</v>
      </c>
      <c r="L840" t="s">
        <v>38</v>
      </c>
      <c r="M840" t="s">
        <v>38</v>
      </c>
      <c r="N840" t="s">
        <v>38</v>
      </c>
      <c r="O840" t="s">
        <v>74</v>
      </c>
      <c r="P840" t="s">
        <v>42</v>
      </c>
      <c r="Q840" t="s">
        <v>43</v>
      </c>
      <c r="R840" t="s">
        <v>1137</v>
      </c>
      <c r="S840" t="s">
        <v>45</v>
      </c>
      <c r="T840" t="s">
        <v>38</v>
      </c>
      <c r="U840" t="s">
        <v>38</v>
      </c>
      <c r="V840" t="s">
        <v>91</v>
      </c>
      <c r="W840" t="s">
        <v>38</v>
      </c>
      <c r="X840" t="s">
        <v>38</v>
      </c>
      <c r="Y840" t="s">
        <v>1707</v>
      </c>
      <c r="Z840" t="s">
        <v>42</v>
      </c>
      <c r="AA840" t="s">
        <v>1105</v>
      </c>
      <c r="AB840" t="s">
        <v>1137</v>
      </c>
      <c r="AC840" t="s">
        <v>45</v>
      </c>
      <c r="AD840" t="s">
        <v>48</v>
      </c>
      <c r="AG840" t="str">
        <f>IF(AD840="United States", IFERROR(INDEX(Sheet2!$C:$C, MATCH(AE840&amp;AF840, Sheet2!$E:$E, 0)) &amp; ", " &amp; INDEX(Sheet2!$D:$D, MATCH(AE840&amp;AF840, Sheet2!$E:$E, 0)), ""), "-")</f>
        <v/>
      </c>
    </row>
    <row r="841" spans="1:33" x14ac:dyDescent="0.25">
      <c r="A841" t="s">
        <v>1692</v>
      </c>
      <c r="B841" t="s">
        <v>1708</v>
      </c>
      <c r="C841" t="s">
        <v>1694</v>
      </c>
      <c r="D841" t="s">
        <v>1709</v>
      </c>
      <c r="E841" t="s">
        <v>1246</v>
      </c>
      <c r="F841">
        <v>1759</v>
      </c>
      <c r="G841">
        <v>2486</v>
      </c>
      <c r="H841" t="s">
        <v>38</v>
      </c>
      <c r="I841" t="s">
        <v>87</v>
      </c>
      <c r="J841" t="s">
        <v>38</v>
      </c>
      <c r="K841" t="s">
        <v>38</v>
      </c>
      <c r="L841" t="s">
        <v>38</v>
      </c>
      <c r="M841" t="s">
        <v>38</v>
      </c>
      <c r="N841" t="s">
        <v>38</v>
      </c>
      <c r="O841" t="s">
        <v>57</v>
      </c>
      <c r="P841" t="s">
        <v>42</v>
      </c>
      <c r="Q841" t="s">
        <v>43</v>
      </c>
      <c r="R841" t="s">
        <v>1322</v>
      </c>
      <c r="S841" t="s">
        <v>45</v>
      </c>
      <c r="T841" t="s">
        <v>38</v>
      </c>
      <c r="U841" t="s">
        <v>38</v>
      </c>
      <c r="V841" t="s">
        <v>38</v>
      </c>
      <c r="W841" t="s">
        <v>38</v>
      </c>
      <c r="X841" t="s">
        <v>38</v>
      </c>
      <c r="Y841" t="s">
        <v>38</v>
      </c>
      <c r="Z841" t="s">
        <v>42</v>
      </c>
      <c r="AA841" t="s">
        <v>38</v>
      </c>
      <c r="AB841" t="s">
        <v>38</v>
      </c>
      <c r="AC841" t="s">
        <v>45</v>
      </c>
      <c r="AD841" t="s">
        <v>48</v>
      </c>
      <c r="AG841" t="str">
        <f>IF(AD841="United States", IFERROR(INDEX(Sheet2!$C:$C, MATCH(AE841&amp;AF841, Sheet2!$E:$E, 0)) &amp; ", " &amp; INDEX(Sheet2!$D:$D, MATCH(AE841&amp;AF841, Sheet2!$E:$E, 0)), ""), "-")</f>
        <v/>
      </c>
    </row>
    <row r="842" spans="1:33" x14ac:dyDescent="0.25">
      <c r="A842" t="s">
        <v>1692</v>
      </c>
      <c r="B842" t="s">
        <v>1710</v>
      </c>
      <c r="C842" t="s">
        <v>1694</v>
      </c>
      <c r="D842" t="s">
        <v>210</v>
      </c>
      <c r="E842" t="s">
        <v>1711</v>
      </c>
      <c r="F842">
        <v>1763</v>
      </c>
      <c r="G842">
        <v>2487</v>
      </c>
      <c r="H842" t="s">
        <v>38</v>
      </c>
      <c r="I842" t="s">
        <v>87</v>
      </c>
      <c r="J842" t="s">
        <v>38</v>
      </c>
      <c r="K842" t="s">
        <v>38</v>
      </c>
      <c r="L842" t="s">
        <v>38</v>
      </c>
      <c r="M842" t="s">
        <v>38</v>
      </c>
      <c r="N842" t="s">
        <v>38</v>
      </c>
      <c r="O842" t="s">
        <v>41</v>
      </c>
      <c r="P842" t="s">
        <v>42</v>
      </c>
      <c r="Q842" t="s">
        <v>43</v>
      </c>
      <c r="R842" t="s">
        <v>1712</v>
      </c>
      <c r="S842" t="s">
        <v>153</v>
      </c>
      <c r="T842" t="s">
        <v>38</v>
      </c>
      <c r="U842" t="s">
        <v>38</v>
      </c>
      <c r="V842" t="s">
        <v>38</v>
      </c>
      <c r="W842" t="s">
        <v>38</v>
      </c>
      <c r="X842" t="s">
        <v>38</v>
      </c>
      <c r="Y842" t="s">
        <v>38</v>
      </c>
      <c r="Z842" t="s">
        <v>42</v>
      </c>
      <c r="AA842" t="s">
        <v>1712</v>
      </c>
      <c r="AB842" t="s">
        <v>38</v>
      </c>
      <c r="AC842" t="s">
        <v>153</v>
      </c>
      <c r="AD842" t="s">
        <v>48</v>
      </c>
      <c r="AG842" t="str">
        <f>IF(AD842="United States", IFERROR(INDEX(Sheet2!$C:$C, MATCH(AE842&amp;AF842, Sheet2!$E:$E, 0)) &amp; ", " &amp; INDEX(Sheet2!$D:$D, MATCH(AE842&amp;AF842, Sheet2!$E:$E, 0)), ""), "-")</f>
        <v/>
      </c>
    </row>
    <row r="843" spans="1:33" x14ac:dyDescent="0.25">
      <c r="A843" t="s">
        <v>1692</v>
      </c>
      <c r="B843" t="s">
        <v>1713</v>
      </c>
      <c r="C843" t="s">
        <v>1694</v>
      </c>
      <c r="D843" t="s">
        <v>50</v>
      </c>
      <c r="E843" t="s">
        <v>38</v>
      </c>
      <c r="F843">
        <v>1772</v>
      </c>
      <c r="G843">
        <v>2489</v>
      </c>
      <c r="H843" t="s">
        <v>38</v>
      </c>
      <c r="I843" t="s">
        <v>87</v>
      </c>
      <c r="J843" t="s">
        <v>38</v>
      </c>
      <c r="K843" t="s">
        <v>38</v>
      </c>
      <c r="L843" t="s">
        <v>38</v>
      </c>
      <c r="M843" t="s">
        <v>38</v>
      </c>
      <c r="N843" t="s">
        <v>38</v>
      </c>
      <c r="O843" t="s">
        <v>54</v>
      </c>
      <c r="P843" t="s">
        <v>42</v>
      </c>
      <c r="Q843" t="s">
        <v>43</v>
      </c>
      <c r="R843" t="s">
        <v>38</v>
      </c>
      <c r="S843" t="s">
        <v>38</v>
      </c>
      <c r="T843" t="s">
        <v>38</v>
      </c>
      <c r="U843" t="s">
        <v>38</v>
      </c>
      <c r="V843" t="s">
        <v>38</v>
      </c>
      <c r="W843" t="s">
        <v>38</v>
      </c>
      <c r="X843" t="s">
        <v>38</v>
      </c>
      <c r="Y843" t="s">
        <v>38</v>
      </c>
      <c r="Z843" t="s">
        <v>42</v>
      </c>
      <c r="AA843" t="s">
        <v>38</v>
      </c>
      <c r="AB843" t="s">
        <v>38</v>
      </c>
      <c r="AC843" t="s">
        <v>38</v>
      </c>
      <c r="AD843" t="s">
        <v>48</v>
      </c>
      <c r="AG843" t="str">
        <f>IF(AD843="United States", IFERROR(INDEX(Sheet2!$C:$C, MATCH(AE843&amp;AF843, Sheet2!$E:$E, 0)) &amp; ", " &amp; INDEX(Sheet2!$D:$D, MATCH(AE843&amp;AF843, Sheet2!$E:$E, 0)), ""), "-")</f>
        <v/>
      </c>
    </row>
    <row r="844" spans="1:33" x14ac:dyDescent="0.25">
      <c r="A844" t="s">
        <v>1692</v>
      </c>
      <c r="B844" t="s">
        <v>1714</v>
      </c>
      <c r="C844" t="s">
        <v>1694</v>
      </c>
      <c r="D844" t="s">
        <v>1238</v>
      </c>
      <c r="E844" t="s">
        <v>38</v>
      </c>
      <c r="F844">
        <v>1762</v>
      </c>
      <c r="G844">
        <v>2488</v>
      </c>
      <c r="H844" t="s">
        <v>38</v>
      </c>
      <c r="I844" t="s">
        <v>87</v>
      </c>
      <c r="J844" t="s">
        <v>38</v>
      </c>
      <c r="K844" t="s">
        <v>38</v>
      </c>
      <c r="L844" t="s">
        <v>38</v>
      </c>
      <c r="M844" t="s">
        <v>38</v>
      </c>
      <c r="N844" t="s">
        <v>38</v>
      </c>
      <c r="O844" t="s">
        <v>57</v>
      </c>
      <c r="P844" t="s">
        <v>42</v>
      </c>
      <c r="Q844" t="s">
        <v>43</v>
      </c>
      <c r="R844" t="s">
        <v>487</v>
      </c>
      <c r="S844" t="s">
        <v>153</v>
      </c>
      <c r="T844" t="s">
        <v>38</v>
      </c>
      <c r="U844" t="s">
        <v>38</v>
      </c>
      <c r="V844" t="s">
        <v>38</v>
      </c>
      <c r="W844" t="s">
        <v>38</v>
      </c>
      <c r="X844" t="s">
        <v>38</v>
      </c>
      <c r="Y844" t="s">
        <v>38</v>
      </c>
      <c r="Z844" t="s">
        <v>42</v>
      </c>
      <c r="AA844" t="s">
        <v>38</v>
      </c>
      <c r="AB844" t="s">
        <v>38</v>
      </c>
      <c r="AC844" t="s">
        <v>153</v>
      </c>
      <c r="AD844" t="s">
        <v>48</v>
      </c>
      <c r="AG844" t="str">
        <f>IF(AD844="United States", IFERROR(INDEX(Sheet2!$C:$C, MATCH(AE844&amp;AF844, Sheet2!$E:$E, 0)) &amp; ", " &amp; INDEX(Sheet2!$D:$D, MATCH(AE844&amp;AF844, Sheet2!$E:$E, 0)), ""), "-")</f>
        <v/>
      </c>
    </row>
    <row r="845" spans="1:33" x14ac:dyDescent="0.25">
      <c r="A845" t="s">
        <v>1692</v>
      </c>
      <c r="B845" t="s">
        <v>1715</v>
      </c>
      <c r="C845" t="s">
        <v>1694</v>
      </c>
      <c r="D845" t="s">
        <v>226</v>
      </c>
      <c r="E845" t="s">
        <v>1716</v>
      </c>
      <c r="F845">
        <v>1606</v>
      </c>
      <c r="G845">
        <v>2480</v>
      </c>
      <c r="H845" t="s">
        <v>38</v>
      </c>
      <c r="I845" t="s">
        <v>87</v>
      </c>
      <c r="J845" t="s">
        <v>38</v>
      </c>
      <c r="K845" t="s">
        <v>38</v>
      </c>
      <c r="L845" t="s">
        <v>38</v>
      </c>
      <c r="M845" t="s">
        <v>38</v>
      </c>
      <c r="N845" t="s">
        <v>38</v>
      </c>
      <c r="O845" t="s">
        <v>41</v>
      </c>
      <c r="P845" t="s">
        <v>42</v>
      </c>
      <c r="Q845" t="s">
        <v>43</v>
      </c>
      <c r="R845" t="s">
        <v>345</v>
      </c>
      <c r="S845" t="s">
        <v>201</v>
      </c>
      <c r="T845" t="s">
        <v>38</v>
      </c>
      <c r="U845" t="s">
        <v>38</v>
      </c>
      <c r="V845" t="s">
        <v>38</v>
      </c>
      <c r="W845" t="s">
        <v>38</v>
      </c>
      <c r="X845" t="s">
        <v>38</v>
      </c>
      <c r="Y845" t="s">
        <v>38</v>
      </c>
      <c r="Z845" t="s">
        <v>42</v>
      </c>
      <c r="AA845" t="s">
        <v>345</v>
      </c>
      <c r="AB845" t="s">
        <v>38</v>
      </c>
      <c r="AC845" t="s">
        <v>201</v>
      </c>
      <c r="AD845" t="s">
        <v>48</v>
      </c>
      <c r="AG845" t="str">
        <f>IF(AD845="United States", IFERROR(INDEX(Sheet2!$C:$C, MATCH(AE845&amp;AF845, Sheet2!$E:$E, 0)) &amp; ", " &amp; INDEX(Sheet2!$D:$D, MATCH(AE845&amp;AF845, Sheet2!$E:$E, 0)), ""), "-")</f>
        <v/>
      </c>
    </row>
    <row r="846" spans="1:33" x14ac:dyDescent="0.25">
      <c r="A846" t="s">
        <v>1717</v>
      </c>
      <c r="B846" t="s">
        <v>1718</v>
      </c>
      <c r="C846" t="s">
        <v>1719</v>
      </c>
      <c r="D846" t="s">
        <v>72</v>
      </c>
      <c r="E846" t="s">
        <v>485</v>
      </c>
      <c r="F846">
        <v>1757</v>
      </c>
      <c r="G846">
        <v>1934</v>
      </c>
      <c r="H846" t="s">
        <v>173</v>
      </c>
      <c r="I846" t="s">
        <v>80</v>
      </c>
      <c r="J846" t="s">
        <v>38</v>
      </c>
      <c r="K846" t="s">
        <v>38</v>
      </c>
      <c r="L846" t="s">
        <v>38</v>
      </c>
      <c r="M846" t="s">
        <v>38</v>
      </c>
      <c r="N846" t="s">
        <v>38</v>
      </c>
      <c r="O846" t="s">
        <v>57</v>
      </c>
      <c r="P846" t="s">
        <v>42</v>
      </c>
      <c r="Q846" t="s">
        <v>43</v>
      </c>
      <c r="R846" t="s">
        <v>89</v>
      </c>
      <c r="S846" t="s">
        <v>38</v>
      </c>
      <c r="T846" t="s">
        <v>89</v>
      </c>
      <c r="U846" t="s">
        <v>301</v>
      </c>
      <c r="V846" t="s">
        <v>91</v>
      </c>
      <c r="W846" t="s">
        <v>92</v>
      </c>
      <c r="X846" t="s">
        <v>302</v>
      </c>
      <c r="Y846" t="s">
        <v>1720</v>
      </c>
      <c r="Z846" t="s">
        <v>42</v>
      </c>
      <c r="AA846" t="s">
        <v>38</v>
      </c>
      <c r="AB846" t="s">
        <v>38</v>
      </c>
      <c r="AC846" t="s">
        <v>249</v>
      </c>
      <c r="AD846" t="s">
        <v>48</v>
      </c>
      <c r="AG846" t="str">
        <f>IF(AD846="United States", IFERROR(INDEX(Sheet2!$C:$C, MATCH(AE846&amp;AF846, Sheet2!$E:$E, 0)) &amp; ", " &amp; INDEX(Sheet2!$D:$D, MATCH(AE846&amp;AF846, Sheet2!$E:$E, 0)), ""), "-")</f>
        <v/>
      </c>
    </row>
    <row r="847" spans="1:33" x14ac:dyDescent="0.25">
      <c r="A847" t="s">
        <v>1717</v>
      </c>
      <c r="B847" t="s">
        <v>1721</v>
      </c>
      <c r="C847" t="s">
        <v>1719</v>
      </c>
      <c r="D847" t="s">
        <v>357</v>
      </c>
      <c r="E847" t="s">
        <v>268</v>
      </c>
      <c r="F847">
        <v>1767</v>
      </c>
      <c r="G847">
        <v>1943</v>
      </c>
      <c r="H847" t="s">
        <v>38</v>
      </c>
      <c r="I847" t="s">
        <v>80</v>
      </c>
      <c r="J847" t="s">
        <v>38</v>
      </c>
      <c r="K847" t="s">
        <v>38</v>
      </c>
      <c r="L847" t="s">
        <v>38</v>
      </c>
      <c r="M847" t="s">
        <v>38</v>
      </c>
      <c r="N847" t="s">
        <v>38</v>
      </c>
      <c r="O847" t="s">
        <v>54</v>
      </c>
      <c r="P847" t="s">
        <v>42</v>
      </c>
      <c r="Q847" t="s">
        <v>43</v>
      </c>
      <c r="R847" t="s">
        <v>155</v>
      </c>
      <c r="S847" t="s">
        <v>153</v>
      </c>
      <c r="T847" t="s">
        <v>38</v>
      </c>
      <c r="U847" t="s">
        <v>38</v>
      </c>
      <c r="V847" t="s">
        <v>91</v>
      </c>
      <c r="W847" t="s">
        <v>38</v>
      </c>
      <c r="X847" t="s">
        <v>38</v>
      </c>
      <c r="Y847" t="s">
        <v>1722</v>
      </c>
      <c r="Z847" t="s">
        <v>42</v>
      </c>
      <c r="AA847" t="s">
        <v>155</v>
      </c>
      <c r="AB847" t="s">
        <v>38</v>
      </c>
      <c r="AC847" t="s">
        <v>153</v>
      </c>
      <c r="AD847" t="s">
        <v>48</v>
      </c>
      <c r="AG847" t="str">
        <f>IF(AD847="United States", IFERROR(INDEX(Sheet2!$C:$C, MATCH(AE847&amp;AF847, Sheet2!$E:$E, 0)) &amp; ", " &amp; INDEX(Sheet2!$D:$D, MATCH(AE847&amp;AF847, Sheet2!$E:$E, 0)), ""), "-")</f>
        <v/>
      </c>
    </row>
    <row r="848" spans="1:33" x14ac:dyDescent="0.25">
      <c r="A848" t="s">
        <v>1717</v>
      </c>
      <c r="B848" t="s">
        <v>1723</v>
      </c>
      <c r="C848" t="s">
        <v>1719</v>
      </c>
      <c r="D848" t="s">
        <v>406</v>
      </c>
      <c r="E848" t="s">
        <v>1724</v>
      </c>
      <c r="F848">
        <v>1756</v>
      </c>
      <c r="G848">
        <v>1935</v>
      </c>
      <c r="H848" t="s">
        <v>173</v>
      </c>
      <c r="I848" t="s">
        <v>80</v>
      </c>
      <c r="J848" t="s">
        <v>38</v>
      </c>
      <c r="K848" t="s">
        <v>38</v>
      </c>
      <c r="L848" t="s">
        <v>38</v>
      </c>
      <c r="M848" t="s">
        <v>38</v>
      </c>
      <c r="N848" t="s">
        <v>38</v>
      </c>
      <c r="O848" t="s">
        <v>41</v>
      </c>
      <c r="P848" t="s">
        <v>42</v>
      </c>
      <c r="Q848" t="s">
        <v>43</v>
      </c>
      <c r="R848" t="s">
        <v>89</v>
      </c>
      <c r="S848" t="s">
        <v>38</v>
      </c>
      <c r="T848" t="s">
        <v>89</v>
      </c>
      <c r="U848" t="s">
        <v>301</v>
      </c>
      <c r="V848" t="s">
        <v>91</v>
      </c>
      <c r="W848" t="s">
        <v>92</v>
      </c>
      <c r="X848" t="s">
        <v>302</v>
      </c>
      <c r="Y848" t="s">
        <v>1725</v>
      </c>
      <c r="Z848" t="s">
        <v>42</v>
      </c>
      <c r="AA848" t="s">
        <v>1726</v>
      </c>
      <c r="AB848" t="s">
        <v>38</v>
      </c>
      <c r="AC848" t="s">
        <v>1727</v>
      </c>
      <c r="AD848" t="s">
        <v>48</v>
      </c>
      <c r="AG848" t="str">
        <f>IF(AD848="United States", IFERROR(INDEX(Sheet2!$C:$C, MATCH(AE848&amp;AF848, Sheet2!$E:$E, 0)) &amp; ", " &amp; INDEX(Sheet2!$D:$D, MATCH(AE848&amp;AF848, Sheet2!$E:$E, 0)), ""), "-")</f>
        <v/>
      </c>
    </row>
    <row r="849" spans="1:33" x14ac:dyDescent="0.25">
      <c r="A849" t="s">
        <v>1717</v>
      </c>
      <c r="B849" t="s">
        <v>1728</v>
      </c>
      <c r="C849" t="s">
        <v>1719</v>
      </c>
      <c r="D849" t="s">
        <v>513</v>
      </c>
      <c r="E849" t="s">
        <v>1729</v>
      </c>
      <c r="F849">
        <v>1769</v>
      </c>
      <c r="G849">
        <v>1936</v>
      </c>
      <c r="H849" t="s">
        <v>173</v>
      </c>
      <c r="I849" t="s">
        <v>80</v>
      </c>
      <c r="J849" t="s">
        <v>38</v>
      </c>
      <c r="K849" t="s">
        <v>38</v>
      </c>
      <c r="L849" t="s">
        <v>38</v>
      </c>
      <c r="M849" t="s">
        <v>38</v>
      </c>
      <c r="N849" t="s">
        <v>38</v>
      </c>
      <c r="O849" t="s">
        <v>54</v>
      </c>
      <c r="P849" t="s">
        <v>42</v>
      </c>
      <c r="Q849" t="s">
        <v>43</v>
      </c>
      <c r="R849" t="s">
        <v>89</v>
      </c>
      <c r="S849" t="s">
        <v>153</v>
      </c>
      <c r="T849" t="s">
        <v>89</v>
      </c>
      <c r="U849" t="s">
        <v>301</v>
      </c>
      <c r="V849" t="s">
        <v>91</v>
      </c>
      <c r="W849" t="s">
        <v>92</v>
      </c>
      <c r="X849" t="s">
        <v>302</v>
      </c>
      <c r="Y849" t="s">
        <v>1730</v>
      </c>
      <c r="Z849" t="s">
        <v>42</v>
      </c>
      <c r="AA849" t="s">
        <v>155</v>
      </c>
      <c r="AB849" t="s">
        <v>38</v>
      </c>
      <c r="AC849" t="s">
        <v>153</v>
      </c>
      <c r="AD849" t="s">
        <v>48</v>
      </c>
      <c r="AG849" t="str">
        <f>IF(AD849="United States", IFERROR(INDEX(Sheet2!$C:$C, MATCH(AE849&amp;AF849, Sheet2!$E:$E, 0)) &amp; ", " &amp; INDEX(Sheet2!$D:$D, MATCH(AE849&amp;AF849, Sheet2!$E:$E, 0)), ""), "-")</f>
        <v/>
      </c>
    </row>
    <row r="850" spans="1:33" x14ac:dyDescent="0.25">
      <c r="A850" t="s">
        <v>1717</v>
      </c>
      <c r="B850" t="s">
        <v>1731</v>
      </c>
      <c r="C850" t="s">
        <v>1719</v>
      </c>
      <c r="D850" t="s">
        <v>226</v>
      </c>
      <c r="E850" t="s">
        <v>268</v>
      </c>
      <c r="F850">
        <v>1753</v>
      </c>
      <c r="G850">
        <v>1937</v>
      </c>
      <c r="H850" t="s">
        <v>38</v>
      </c>
      <c r="I850" t="s">
        <v>80</v>
      </c>
      <c r="J850" t="s">
        <v>38</v>
      </c>
      <c r="K850" t="s">
        <v>38</v>
      </c>
      <c r="L850" t="s">
        <v>38</v>
      </c>
      <c r="M850" t="s">
        <v>38</v>
      </c>
      <c r="N850" t="s">
        <v>38</v>
      </c>
      <c r="O850" t="s">
        <v>41</v>
      </c>
      <c r="P850" t="s">
        <v>42</v>
      </c>
      <c r="Q850" t="s">
        <v>43</v>
      </c>
      <c r="R850" t="s">
        <v>1137</v>
      </c>
      <c r="S850" t="s">
        <v>45</v>
      </c>
      <c r="T850" t="s">
        <v>38</v>
      </c>
      <c r="U850" t="s">
        <v>38</v>
      </c>
      <c r="V850" t="s">
        <v>91</v>
      </c>
      <c r="W850" t="s">
        <v>38</v>
      </c>
      <c r="X850" t="s">
        <v>38</v>
      </c>
      <c r="Y850" t="s">
        <v>1732</v>
      </c>
      <c r="Z850" t="s">
        <v>42</v>
      </c>
      <c r="AA850" t="s">
        <v>1105</v>
      </c>
      <c r="AB850" t="s">
        <v>1137</v>
      </c>
      <c r="AC850" t="s">
        <v>45</v>
      </c>
      <c r="AD850" t="s">
        <v>48</v>
      </c>
      <c r="AG850" t="str">
        <f>IF(AD850="United States", IFERROR(INDEX(Sheet2!$C:$C, MATCH(AE850&amp;AF850, Sheet2!$E:$E, 0)) &amp; ", " &amp; INDEX(Sheet2!$D:$D, MATCH(AE850&amp;AF850, Sheet2!$E:$E, 0)), ""), "-")</f>
        <v/>
      </c>
    </row>
    <row r="851" spans="1:33" x14ac:dyDescent="0.25">
      <c r="A851" t="s">
        <v>1717</v>
      </c>
      <c r="B851" t="s">
        <v>1733</v>
      </c>
      <c r="C851" t="s">
        <v>1719</v>
      </c>
      <c r="D851" t="s">
        <v>1734</v>
      </c>
      <c r="E851" t="s">
        <v>560</v>
      </c>
      <c r="F851">
        <v>1774</v>
      </c>
      <c r="G851">
        <v>1938</v>
      </c>
      <c r="H851" t="s">
        <v>38</v>
      </c>
      <c r="I851" t="s">
        <v>80</v>
      </c>
      <c r="J851" t="s">
        <v>38</v>
      </c>
      <c r="K851" t="s">
        <v>38</v>
      </c>
      <c r="L851" t="s">
        <v>38</v>
      </c>
      <c r="M851" t="s">
        <v>38</v>
      </c>
      <c r="N851" t="s">
        <v>38</v>
      </c>
      <c r="O851" t="s">
        <v>54</v>
      </c>
      <c r="P851" t="s">
        <v>42</v>
      </c>
      <c r="Q851" t="s">
        <v>43</v>
      </c>
      <c r="R851" t="s">
        <v>1735</v>
      </c>
      <c r="S851" t="s">
        <v>201</v>
      </c>
      <c r="T851" t="s">
        <v>38</v>
      </c>
      <c r="U851" t="s">
        <v>38</v>
      </c>
      <c r="V851" t="s">
        <v>91</v>
      </c>
      <c r="W851" t="s">
        <v>38</v>
      </c>
      <c r="X851" t="s">
        <v>38</v>
      </c>
      <c r="Y851" t="s">
        <v>1736</v>
      </c>
      <c r="Z851" t="s">
        <v>42</v>
      </c>
      <c r="AA851" t="s">
        <v>1735</v>
      </c>
      <c r="AB851" t="s">
        <v>38</v>
      </c>
      <c r="AC851" t="s">
        <v>201</v>
      </c>
      <c r="AD851" t="s">
        <v>48</v>
      </c>
      <c r="AG851" t="str">
        <f>IF(AD851="United States", IFERROR(INDEX(Sheet2!$C:$C, MATCH(AE851&amp;AF851, Sheet2!$E:$E, 0)) &amp; ", " &amp; INDEX(Sheet2!$D:$D, MATCH(AE851&amp;AF851, Sheet2!$E:$E, 0)), ""), "-")</f>
        <v/>
      </c>
    </row>
    <row r="852" spans="1:33" x14ac:dyDescent="0.25">
      <c r="A852" t="s">
        <v>1717</v>
      </c>
      <c r="B852" t="s">
        <v>1737</v>
      </c>
      <c r="C852" t="s">
        <v>1719</v>
      </c>
      <c r="D852" t="s">
        <v>361</v>
      </c>
      <c r="E852" t="s">
        <v>38</v>
      </c>
      <c r="F852">
        <v>1743</v>
      </c>
      <c r="G852">
        <v>1933</v>
      </c>
      <c r="H852" t="s">
        <v>173</v>
      </c>
      <c r="I852" t="s">
        <v>80</v>
      </c>
      <c r="J852" t="s">
        <v>38</v>
      </c>
      <c r="K852" t="s">
        <v>38</v>
      </c>
      <c r="L852" t="s">
        <v>38</v>
      </c>
      <c r="M852" t="s">
        <v>38</v>
      </c>
      <c r="N852" t="s">
        <v>38</v>
      </c>
      <c r="O852" t="s">
        <v>41</v>
      </c>
      <c r="P852" t="s">
        <v>42</v>
      </c>
      <c r="Q852" t="s">
        <v>43</v>
      </c>
      <c r="R852" t="s">
        <v>89</v>
      </c>
      <c r="S852" t="s">
        <v>153</v>
      </c>
      <c r="T852" t="s">
        <v>89</v>
      </c>
      <c r="U852" t="s">
        <v>301</v>
      </c>
      <c r="V852" t="s">
        <v>91</v>
      </c>
      <c r="W852" t="s">
        <v>92</v>
      </c>
      <c r="X852" t="s">
        <v>302</v>
      </c>
      <c r="Y852" t="s">
        <v>1738</v>
      </c>
      <c r="Z852" t="s">
        <v>42</v>
      </c>
      <c r="AA852" t="s">
        <v>38</v>
      </c>
      <c r="AB852" t="s">
        <v>38</v>
      </c>
      <c r="AC852" t="s">
        <v>153</v>
      </c>
      <c r="AD852" t="s">
        <v>48</v>
      </c>
      <c r="AG852" t="str">
        <f>IF(AD852="United States", IFERROR(INDEX(Sheet2!$C:$C, MATCH(AE852&amp;AF852, Sheet2!$E:$E, 0)) &amp; ", " &amp; INDEX(Sheet2!$D:$D, MATCH(AE852&amp;AF852, Sheet2!$E:$E, 0)), ""), "-")</f>
        <v/>
      </c>
    </row>
    <row r="853" spans="1:33" x14ac:dyDescent="0.25">
      <c r="A853" t="s">
        <v>1717</v>
      </c>
      <c r="B853" t="s">
        <v>1739</v>
      </c>
      <c r="C853" t="s">
        <v>1719</v>
      </c>
      <c r="D853" t="s">
        <v>1740</v>
      </c>
      <c r="E853" t="s">
        <v>38</v>
      </c>
      <c r="F853">
        <v>1765</v>
      </c>
      <c r="G853">
        <v>1939</v>
      </c>
      <c r="H853" t="s">
        <v>173</v>
      </c>
      <c r="I853" t="s">
        <v>80</v>
      </c>
      <c r="J853" t="s">
        <v>38</v>
      </c>
      <c r="K853" t="s">
        <v>38</v>
      </c>
      <c r="L853" t="s">
        <v>38</v>
      </c>
      <c r="M853" t="s">
        <v>38</v>
      </c>
      <c r="N853" t="s">
        <v>38</v>
      </c>
      <c r="O853" t="s">
        <v>54</v>
      </c>
      <c r="P853" t="s">
        <v>42</v>
      </c>
      <c r="Q853" t="s">
        <v>43</v>
      </c>
      <c r="R853" t="s">
        <v>89</v>
      </c>
      <c r="S853" t="s">
        <v>38</v>
      </c>
      <c r="T853" t="s">
        <v>89</v>
      </c>
      <c r="U853" t="s">
        <v>301</v>
      </c>
      <c r="V853" t="s">
        <v>91</v>
      </c>
      <c r="W853" t="s">
        <v>92</v>
      </c>
      <c r="X853" t="s">
        <v>302</v>
      </c>
      <c r="Y853" t="s">
        <v>1741</v>
      </c>
      <c r="Z853" t="s">
        <v>42</v>
      </c>
      <c r="AA853" t="s">
        <v>38</v>
      </c>
      <c r="AB853" t="s">
        <v>38</v>
      </c>
      <c r="AC853" t="s">
        <v>38</v>
      </c>
      <c r="AD853" t="s">
        <v>48</v>
      </c>
      <c r="AG853" t="str">
        <f>IF(AD853="United States", IFERROR(INDEX(Sheet2!$C:$C, MATCH(AE853&amp;AF853, Sheet2!$E:$E, 0)) &amp; ", " &amp; INDEX(Sheet2!$D:$D, MATCH(AE853&amp;AF853, Sheet2!$E:$E, 0)), ""), "-")</f>
        <v/>
      </c>
    </row>
    <row r="854" spans="1:33" x14ac:dyDescent="0.25">
      <c r="A854" t="s">
        <v>1717</v>
      </c>
      <c r="B854" t="s">
        <v>1742</v>
      </c>
      <c r="C854" t="s">
        <v>1719</v>
      </c>
      <c r="D854" t="s">
        <v>1743</v>
      </c>
      <c r="F854">
        <v>1757</v>
      </c>
      <c r="G854">
        <v>2717</v>
      </c>
      <c r="I854" t="s">
        <v>80</v>
      </c>
      <c r="J854" t="s">
        <v>38</v>
      </c>
      <c r="O854" t="s">
        <v>41</v>
      </c>
      <c r="P854" t="s">
        <v>42</v>
      </c>
      <c r="Q854" t="s">
        <v>43</v>
      </c>
      <c r="V854" t="s">
        <v>91</v>
      </c>
      <c r="Y854" t="s">
        <v>1744</v>
      </c>
      <c r="Z854" t="s">
        <v>42</v>
      </c>
      <c r="AA854" t="s">
        <v>1743</v>
      </c>
      <c r="AB854" t="s">
        <v>38</v>
      </c>
      <c r="AC854" t="s">
        <v>166</v>
      </c>
      <c r="AD854" t="s">
        <v>48</v>
      </c>
      <c r="AG854" t="str">
        <f>IF(AD854="United States", IFERROR(INDEX(Sheet2!$C:$C, MATCH(AE854&amp;AF854, Sheet2!$E:$E, 0)) &amp; ", " &amp; INDEX(Sheet2!$D:$D, MATCH(AE854&amp;AF854, Sheet2!$E:$E, 0)), ""), "-")</f>
        <v/>
      </c>
    </row>
    <row r="855" spans="1:33" x14ac:dyDescent="0.25">
      <c r="A855" t="s">
        <v>1717</v>
      </c>
      <c r="B855" t="s">
        <v>1745</v>
      </c>
      <c r="C855" t="s">
        <v>1719</v>
      </c>
      <c r="D855" t="s">
        <v>1746</v>
      </c>
      <c r="E855" t="s">
        <v>1747</v>
      </c>
      <c r="F855" t="s">
        <v>38</v>
      </c>
      <c r="G855">
        <v>2718</v>
      </c>
      <c r="I855" t="s">
        <v>80</v>
      </c>
      <c r="J855" t="s">
        <v>38</v>
      </c>
      <c r="O855" t="s">
        <v>41</v>
      </c>
      <c r="P855" t="s">
        <v>42</v>
      </c>
      <c r="Q855" t="s">
        <v>43</v>
      </c>
      <c r="V855" t="s">
        <v>91</v>
      </c>
      <c r="Y855" t="s">
        <v>38</v>
      </c>
      <c r="Z855" t="s">
        <v>42</v>
      </c>
      <c r="AA855" t="s">
        <v>38</v>
      </c>
      <c r="AB855" t="s">
        <v>38</v>
      </c>
      <c r="AC855" t="s">
        <v>1746</v>
      </c>
      <c r="AD855" t="s">
        <v>48</v>
      </c>
      <c r="AG855" t="str">
        <f>IF(AD855="United States", IFERROR(INDEX(Sheet2!$C:$C, MATCH(AE855&amp;AF855, Sheet2!$E:$E, 0)) &amp; ", " &amp; INDEX(Sheet2!$D:$D, MATCH(AE855&amp;AF855, Sheet2!$E:$E, 0)), ""), "-")</f>
        <v/>
      </c>
    </row>
    <row r="856" spans="1:33" x14ac:dyDescent="0.25">
      <c r="A856" t="s">
        <v>1717</v>
      </c>
      <c r="B856" t="s">
        <v>1748</v>
      </c>
      <c r="C856" t="s">
        <v>1719</v>
      </c>
      <c r="D856" t="s">
        <v>210</v>
      </c>
      <c r="E856" t="s">
        <v>1749</v>
      </c>
      <c r="F856">
        <v>1765</v>
      </c>
      <c r="G856">
        <v>1941</v>
      </c>
      <c r="H856" t="s">
        <v>173</v>
      </c>
      <c r="I856" t="s">
        <v>80</v>
      </c>
      <c r="J856" t="s">
        <v>38</v>
      </c>
      <c r="K856" t="s">
        <v>38</v>
      </c>
      <c r="L856" t="s">
        <v>38</v>
      </c>
      <c r="M856" t="s">
        <v>38</v>
      </c>
      <c r="N856" t="s">
        <v>38</v>
      </c>
      <c r="O856" t="s">
        <v>41</v>
      </c>
      <c r="P856" t="s">
        <v>42</v>
      </c>
      <c r="Q856" t="s">
        <v>43</v>
      </c>
      <c r="R856" t="s">
        <v>89</v>
      </c>
      <c r="S856" t="s">
        <v>153</v>
      </c>
      <c r="T856" t="s">
        <v>89</v>
      </c>
      <c r="U856" t="s">
        <v>301</v>
      </c>
      <c r="V856" t="s">
        <v>91</v>
      </c>
      <c r="W856" t="s">
        <v>92</v>
      </c>
      <c r="X856" t="s">
        <v>302</v>
      </c>
      <c r="Y856" t="s">
        <v>1750</v>
      </c>
      <c r="Z856" t="s">
        <v>42</v>
      </c>
      <c r="AA856" t="s">
        <v>155</v>
      </c>
      <c r="AB856" t="s">
        <v>38</v>
      </c>
      <c r="AC856" t="s">
        <v>153</v>
      </c>
      <c r="AD856" t="s">
        <v>48</v>
      </c>
      <c r="AG856" t="str">
        <f>IF(AD856="United States", IFERROR(INDEX(Sheet2!$C:$C, MATCH(AE856&amp;AF856, Sheet2!$E:$E, 0)) &amp; ", " &amp; INDEX(Sheet2!$D:$D, MATCH(AE856&amp;AF856, Sheet2!$E:$E, 0)), ""), "-")</f>
        <v/>
      </c>
    </row>
    <row r="857" spans="1:33" x14ac:dyDescent="0.25">
      <c r="A857" t="s">
        <v>1717</v>
      </c>
      <c r="B857" t="s">
        <v>1751</v>
      </c>
      <c r="C857" t="s">
        <v>1719</v>
      </c>
      <c r="D857" t="s">
        <v>200</v>
      </c>
      <c r="E857" t="s">
        <v>191</v>
      </c>
      <c r="F857">
        <v>1759</v>
      </c>
      <c r="G857">
        <v>1942</v>
      </c>
      <c r="H857" t="s">
        <v>536</v>
      </c>
      <c r="I857" t="s">
        <v>80</v>
      </c>
      <c r="J857" t="s">
        <v>38</v>
      </c>
      <c r="K857" t="s">
        <v>38</v>
      </c>
      <c r="L857" t="s">
        <v>38</v>
      </c>
      <c r="M857" t="s">
        <v>38</v>
      </c>
      <c r="N857" t="s">
        <v>38</v>
      </c>
      <c r="O857" t="s">
        <v>41</v>
      </c>
      <c r="P857" t="s">
        <v>42</v>
      </c>
      <c r="Q857" t="s">
        <v>43</v>
      </c>
      <c r="R857" t="s">
        <v>89</v>
      </c>
      <c r="S857" t="s">
        <v>201</v>
      </c>
      <c r="T857" t="s">
        <v>89</v>
      </c>
      <c r="U857" t="s">
        <v>301</v>
      </c>
      <c r="V857" t="s">
        <v>91</v>
      </c>
      <c r="W857" t="s">
        <v>92</v>
      </c>
      <c r="X857" t="s">
        <v>302</v>
      </c>
      <c r="Y857" t="s">
        <v>1752</v>
      </c>
      <c r="Z857" t="s">
        <v>42</v>
      </c>
      <c r="AA857" t="s">
        <v>686</v>
      </c>
      <c r="AB857" t="s">
        <v>201</v>
      </c>
      <c r="AC857" t="s">
        <v>1753</v>
      </c>
      <c r="AD857" t="s">
        <v>48</v>
      </c>
      <c r="AG857" t="str">
        <f>IF(AD857="United States", IFERROR(INDEX(Sheet2!$C:$C, MATCH(AE857&amp;AF857, Sheet2!$E:$E, 0)) &amp; ", " &amp; INDEX(Sheet2!$D:$D, MATCH(AE857&amp;AF857, Sheet2!$E:$E, 0)), ""), "-")</f>
        <v/>
      </c>
    </row>
    <row r="858" spans="1:33" x14ac:dyDescent="0.25">
      <c r="A858" t="s">
        <v>1717</v>
      </c>
      <c r="B858" t="s">
        <v>1754</v>
      </c>
      <c r="C858" t="s">
        <v>1719</v>
      </c>
      <c r="D858" t="s">
        <v>132</v>
      </c>
      <c r="E858" t="s">
        <v>1755</v>
      </c>
      <c r="F858">
        <v>1765</v>
      </c>
      <c r="G858">
        <v>1944</v>
      </c>
      <c r="H858" t="s">
        <v>38</v>
      </c>
      <c r="I858" t="s">
        <v>80</v>
      </c>
      <c r="J858" t="s">
        <v>38</v>
      </c>
      <c r="K858" t="s">
        <v>38</v>
      </c>
      <c r="L858" t="s">
        <v>38</v>
      </c>
      <c r="M858" t="s">
        <v>38</v>
      </c>
      <c r="N858" t="s">
        <v>38</v>
      </c>
      <c r="O858" t="s">
        <v>41</v>
      </c>
      <c r="P858" t="s">
        <v>42</v>
      </c>
      <c r="Q858" t="s">
        <v>43</v>
      </c>
      <c r="R858" t="s">
        <v>597</v>
      </c>
      <c r="S858" t="s">
        <v>286</v>
      </c>
      <c r="T858" t="s">
        <v>38</v>
      </c>
      <c r="U858" t="s">
        <v>38</v>
      </c>
      <c r="V858" t="s">
        <v>91</v>
      </c>
      <c r="W858" t="s">
        <v>38</v>
      </c>
      <c r="X858" t="s">
        <v>38</v>
      </c>
      <c r="Y858" t="s">
        <v>1756</v>
      </c>
      <c r="Z858" t="s">
        <v>42</v>
      </c>
      <c r="AA858" t="s">
        <v>597</v>
      </c>
      <c r="AB858" t="s">
        <v>38</v>
      </c>
      <c r="AC858" t="s">
        <v>286</v>
      </c>
      <c r="AD858" t="s">
        <v>48</v>
      </c>
      <c r="AG858" t="str">
        <f>IF(AD858="United States", IFERROR(INDEX(Sheet2!$C:$C, MATCH(AE858&amp;AF858, Sheet2!$E:$E, 0)) &amp; ", " &amp; INDEX(Sheet2!$D:$D, MATCH(AE858&amp;AF858, Sheet2!$E:$E, 0)), ""), "-")</f>
        <v/>
      </c>
    </row>
    <row r="859" spans="1:33" x14ac:dyDescent="0.25">
      <c r="A859" t="s">
        <v>1717</v>
      </c>
      <c r="B859" t="s">
        <v>1757</v>
      </c>
      <c r="C859" t="s">
        <v>1719</v>
      </c>
      <c r="D859" t="s">
        <v>210</v>
      </c>
      <c r="E859" t="s">
        <v>1758</v>
      </c>
      <c r="F859">
        <v>1776</v>
      </c>
      <c r="G859">
        <v>1940</v>
      </c>
      <c r="H859" t="s">
        <v>173</v>
      </c>
      <c r="I859" t="s">
        <v>80</v>
      </c>
      <c r="J859" t="s">
        <v>38</v>
      </c>
      <c r="K859" t="s">
        <v>38</v>
      </c>
      <c r="L859" t="s">
        <v>38</v>
      </c>
      <c r="M859" t="s">
        <v>38</v>
      </c>
      <c r="N859" t="s">
        <v>38</v>
      </c>
      <c r="O859" t="s">
        <v>54</v>
      </c>
      <c r="P859" t="s">
        <v>42</v>
      </c>
      <c r="Q859" t="s">
        <v>43</v>
      </c>
      <c r="R859" t="s">
        <v>89</v>
      </c>
      <c r="S859" t="s">
        <v>38</v>
      </c>
      <c r="T859" t="s">
        <v>89</v>
      </c>
      <c r="U859" t="s">
        <v>301</v>
      </c>
      <c r="V859" t="s">
        <v>91</v>
      </c>
      <c r="W859" t="s">
        <v>92</v>
      </c>
      <c r="X859" t="s">
        <v>302</v>
      </c>
      <c r="Y859" t="s">
        <v>1759</v>
      </c>
      <c r="Z859" t="s">
        <v>42</v>
      </c>
      <c r="AA859" t="s">
        <v>38</v>
      </c>
      <c r="AB859" t="s">
        <v>38</v>
      </c>
      <c r="AC859" t="s">
        <v>38</v>
      </c>
      <c r="AD859" t="s">
        <v>48</v>
      </c>
      <c r="AG859" t="str">
        <f>IF(AD859="United States", IFERROR(INDEX(Sheet2!$C:$C, MATCH(AE859&amp;AF859, Sheet2!$E:$E, 0)) &amp; ", " &amp; INDEX(Sheet2!$D:$D, MATCH(AE859&amp;AF859, Sheet2!$E:$E, 0)), ""), "-")</f>
        <v/>
      </c>
    </row>
    <row r="860" spans="1:33" x14ac:dyDescent="0.25">
      <c r="A860" t="s">
        <v>1717</v>
      </c>
      <c r="B860" t="s">
        <v>1760</v>
      </c>
      <c r="C860" t="s">
        <v>1719</v>
      </c>
      <c r="D860" t="s">
        <v>62</v>
      </c>
      <c r="E860" t="s">
        <v>507</v>
      </c>
      <c r="F860">
        <v>1753</v>
      </c>
      <c r="G860">
        <v>1945</v>
      </c>
      <c r="H860" t="s">
        <v>38</v>
      </c>
      <c r="I860" t="s">
        <v>80</v>
      </c>
      <c r="J860" t="s">
        <v>38</v>
      </c>
      <c r="K860" t="s">
        <v>38</v>
      </c>
      <c r="L860" t="s">
        <v>38</v>
      </c>
      <c r="M860" t="s">
        <v>38</v>
      </c>
      <c r="N860" t="s">
        <v>38</v>
      </c>
      <c r="O860" t="s">
        <v>41</v>
      </c>
      <c r="P860" t="s">
        <v>42</v>
      </c>
      <c r="Q860" t="s">
        <v>43</v>
      </c>
      <c r="R860" t="s">
        <v>1761</v>
      </c>
      <c r="S860" t="s">
        <v>201</v>
      </c>
      <c r="T860" t="s">
        <v>38</v>
      </c>
      <c r="U860" t="s">
        <v>38</v>
      </c>
      <c r="V860" t="s">
        <v>91</v>
      </c>
      <c r="W860" t="s">
        <v>38</v>
      </c>
      <c r="X860" t="s">
        <v>38</v>
      </c>
      <c r="Y860" t="s">
        <v>1762</v>
      </c>
      <c r="Z860" t="s">
        <v>42</v>
      </c>
      <c r="AA860" t="s">
        <v>38</v>
      </c>
      <c r="AB860" t="s">
        <v>38</v>
      </c>
      <c r="AC860" t="s">
        <v>201</v>
      </c>
      <c r="AD860" t="s">
        <v>48</v>
      </c>
      <c r="AG860" t="str">
        <f>IF(AD860="United States", IFERROR(INDEX(Sheet2!$C:$C, MATCH(AE860&amp;AF860, Sheet2!$E:$E, 0)) &amp; ", " &amp; INDEX(Sheet2!$D:$D, MATCH(AE860&amp;AF860, Sheet2!$E:$E, 0)), ""), "-")</f>
        <v/>
      </c>
    </row>
    <row r="861" spans="1:33" x14ac:dyDescent="0.25">
      <c r="A861" t="s">
        <v>1717</v>
      </c>
      <c r="D861" t="s">
        <v>113</v>
      </c>
      <c r="E861" t="s">
        <v>1698</v>
      </c>
      <c r="F861">
        <v>1758</v>
      </c>
      <c r="G861">
        <v>2475</v>
      </c>
      <c r="H861">
        <v>76</v>
      </c>
      <c r="J861" t="s">
        <v>1763</v>
      </c>
      <c r="O861" t="s">
        <v>41</v>
      </c>
      <c r="R861" t="s">
        <v>89</v>
      </c>
      <c r="T861" t="s">
        <v>89</v>
      </c>
      <c r="U861" t="s">
        <v>301</v>
      </c>
      <c r="V861" t="s">
        <v>1764</v>
      </c>
      <c r="W861" t="s">
        <v>92</v>
      </c>
      <c r="X861" t="s">
        <v>302</v>
      </c>
      <c r="Y861" t="s">
        <v>38</v>
      </c>
      <c r="AA861" t="s">
        <v>38</v>
      </c>
      <c r="AB861" t="s">
        <v>38</v>
      </c>
      <c r="AC861" t="s">
        <v>38</v>
      </c>
      <c r="AD861" t="s">
        <v>48</v>
      </c>
      <c r="AG861" t="str">
        <f>IF(AD861="United States", IFERROR(INDEX(Sheet2!$C:$C, MATCH(AE861&amp;AF861, Sheet2!$E:$E, 0)) &amp; ", " &amp; INDEX(Sheet2!$D:$D, MATCH(AE861&amp;AF861, Sheet2!$E:$E, 0)), ""), "-")</f>
        <v/>
      </c>
    </row>
    <row r="862" spans="1:33" x14ac:dyDescent="0.25">
      <c r="A862" t="s">
        <v>1717</v>
      </c>
      <c r="D862" t="s">
        <v>1695</v>
      </c>
      <c r="E862" t="s">
        <v>1696</v>
      </c>
      <c r="F862">
        <v>1767</v>
      </c>
      <c r="G862">
        <v>2476</v>
      </c>
      <c r="H862">
        <v>76</v>
      </c>
      <c r="J862" t="s">
        <v>1763</v>
      </c>
      <c r="O862" t="s">
        <v>41</v>
      </c>
      <c r="R862" t="s">
        <v>89</v>
      </c>
      <c r="T862" t="s">
        <v>89</v>
      </c>
      <c r="U862" t="s">
        <v>301</v>
      </c>
      <c r="V862" t="s">
        <v>1764</v>
      </c>
      <c r="W862" t="s">
        <v>92</v>
      </c>
      <c r="X862" t="s">
        <v>302</v>
      </c>
      <c r="Y862" t="s">
        <v>38</v>
      </c>
      <c r="AA862" t="s">
        <v>38</v>
      </c>
      <c r="AB862" t="s">
        <v>38</v>
      </c>
      <c r="AC862" t="s">
        <v>38</v>
      </c>
      <c r="AD862" t="s">
        <v>48</v>
      </c>
      <c r="AG862" t="str">
        <f>IF(AD862="United States", IFERROR(INDEX(Sheet2!$C:$C, MATCH(AE862&amp;AF862, Sheet2!$E:$E, 0)) &amp; ", " &amp; INDEX(Sheet2!$D:$D, MATCH(AE862&amp;AF862, Sheet2!$E:$E, 0)), ""), "-")</f>
        <v/>
      </c>
    </row>
    <row r="863" spans="1:33" x14ac:dyDescent="0.25">
      <c r="A863" t="s">
        <v>1717</v>
      </c>
      <c r="D863" t="s">
        <v>334</v>
      </c>
      <c r="E863" t="s">
        <v>1765</v>
      </c>
      <c r="F863">
        <v>1759</v>
      </c>
      <c r="G863">
        <v>2477</v>
      </c>
      <c r="H863">
        <v>76</v>
      </c>
      <c r="J863" t="s">
        <v>1763</v>
      </c>
      <c r="O863" t="s">
        <v>41</v>
      </c>
      <c r="R863" t="s">
        <v>89</v>
      </c>
      <c r="T863" t="s">
        <v>89</v>
      </c>
      <c r="U863" t="s">
        <v>301</v>
      </c>
      <c r="V863" t="s">
        <v>1764</v>
      </c>
      <c r="W863" t="s">
        <v>92</v>
      </c>
      <c r="X863" t="s">
        <v>302</v>
      </c>
      <c r="Y863" t="s">
        <v>38</v>
      </c>
      <c r="AA863" t="s">
        <v>38</v>
      </c>
      <c r="AB863" t="s">
        <v>38</v>
      </c>
      <c r="AC863" t="s">
        <v>38</v>
      </c>
      <c r="AD863" t="s">
        <v>48</v>
      </c>
      <c r="AG863" t="str">
        <f>IF(AD863="United States", IFERROR(INDEX(Sheet2!$C:$C, MATCH(AE863&amp;AF863, Sheet2!$E:$E, 0)) &amp; ", " &amp; INDEX(Sheet2!$D:$D, MATCH(AE863&amp;AF863, Sheet2!$E:$E, 0)), ""), "-")</f>
        <v/>
      </c>
    </row>
    <row r="864" spans="1:33" x14ac:dyDescent="0.25">
      <c r="A864" t="s">
        <v>1717</v>
      </c>
      <c r="D864" t="s">
        <v>569</v>
      </c>
      <c r="E864" t="s">
        <v>1766</v>
      </c>
      <c r="F864">
        <v>1764</v>
      </c>
      <c r="G864">
        <v>2480</v>
      </c>
      <c r="H864">
        <v>76</v>
      </c>
      <c r="J864" t="s">
        <v>1763</v>
      </c>
      <c r="O864" t="s">
        <v>41</v>
      </c>
      <c r="R864" t="s">
        <v>89</v>
      </c>
      <c r="T864" t="s">
        <v>89</v>
      </c>
      <c r="U864" t="s">
        <v>301</v>
      </c>
      <c r="V864" t="s">
        <v>1764</v>
      </c>
      <c r="W864" t="s">
        <v>92</v>
      </c>
      <c r="X864" t="s">
        <v>302</v>
      </c>
      <c r="Y864" t="s">
        <v>38</v>
      </c>
      <c r="AA864" t="s">
        <v>38</v>
      </c>
      <c r="AB864" t="s">
        <v>38</v>
      </c>
      <c r="AC864" t="s">
        <v>38</v>
      </c>
      <c r="AD864" t="s">
        <v>48</v>
      </c>
      <c r="AG864" t="str">
        <f>IF(AD864="United States", IFERROR(INDEX(Sheet2!$C:$C, MATCH(AE864&amp;AF864, Sheet2!$E:$E, 0)) &amp; ", " &amp; INDEX(Sheet2!$D:$D, MATCH(AE864&amp;AF864, Sheet2!$E:$E, 0)), ""), "-")</f>
        <v/>
      </c>
    </row>
    <row r="865" spans="1:33" x14ac:dyDescent="0.25">
      <c r="A865" t="s">
        <v>1717</v>
      </c>
      <c r="D865" t="s">
        <v>1709</v>
      </c>
      <c r="E865" t="s">
        <v>1246</v>
      </c>
      <c r="F865">
        <v>1759</v>
      </c>
      <c r="G865">
        <v>2481</v>
      </c>
      <c r="H865">
        <v>76</v>
      </c>
      <c r="J865" t="s">
        <v>1763</v>
      </c>
      <c r="O865" t="s">
        <v>57</v>
      </c>
      <c r="R865" t="s">
        <v>89</v>
      </c>
      <c r="T865" t="s">
        <v>89</v>
      </c>
      <c r="U865" t="s">
        <v>301</v>
      </c>
      <c r="V865" t="s">
        <v>1764</v>
      </c>
      <c r="W865" t="s">
        <v>92</v>
      </c>
      <c r="X865" t="s">
        <v>302</v>
      </c>
      <c r="Y865" t="s">
        <v>38</v>
      </c>
      <c r="AA865" t="s">
        <v>38</v>
      </c>
      <c r="AB865" t="s">
        <v>38</v>
      </c>
      <c r="AC865" t="s">
        <v>38</v>
      </c>
      <c r="AD865" t="s">
        <v>48</v>
      </c>
      <c r="AG865" t="str">
        <f>IF(AD865="United States", IFERROR(INDEX(Sheet2!$C:$C, MATCH(AE865&amp;AF865, Sheet2!$E:$E, 0)) &amp; ", " &amp; INDEX(Sheet2!$D:$D, MATCH(AE865&amp;AF865, Sheet2!$E:$E, 0)), ""), "-")</f>
        <v/>
      </c>
    </row>
    <row r="866" spans="1:33" x14ac:dyDescent="0.25">
      <c r="A866" t="s">
        <v>1767</v>
      </c>
      <c r="B866" t="s">
        <v>1768</v>
      </c>
      <c r="C866" t="s">
        <v>1769</v>
      </c>
      <c r="D866" t="s">
        <v>210</v>
      </c>
      <c r="E866" t="s">
        <v>633</v>
      </c>
      <c r="F866">
        <v>1753</v>
      </c>
      <c r="G866">
        <v>2278</v>
      </c>
      <c r="H866" t="s">
        <v>1770</v>
      </c>
      <c r="I866" t="s">
        <v>87</v>
      </c>
      <c r="J866" t="s">
        <v>1771</v>
      </c>
      <c r="K866" t="s">
        <v>38</v>
      </c>
      <c r="L866" t="s">
        <v>38</v>
      </c>
      <c r="M866" t="s">
        <v>38</v>
      </c>
      <c r="N866" t="s">
        <v>38</v>
      </c>
      <c r="O866" t="s">
        <v>41</v>
      </c>
      <c r="P866" t="s">
        <v>42</v>
      </c>
      <c r="Q866" t="s">
        <v>43</v>
      </c>
      <c r="R866" t="s">
        <v>89</v>
      </c>
      <c r="S866" t="s">
        <v>153</v>
      </c>
      <c r="T866" t="s">
        <v>89</v>
      </c>
      <c r="U866" t="s">
        <v>38</v>
      </c>
      <c r="V866" t="s">
        <v>597</v>
      </c>
      <c r="W866" t="s">
        <v>92</v>
      </c>
      <c r="X866" t="s">
        <v>38</v>
      </c>
      <c r="Y866" t="s">
        <v>1772</v>
      </c>
      <c r="Z866" t="s">
        <v>42</v>
      </c>
      <c r="AA866" t="s">
        <v>155</v>
      </c>
      <c r="AB866" t="s">
        <v>38</v>
      </c>
      <c r="AC866" t="s">
        <v>153</v>
      </c>
      <c r="AD866" t="s">
        <v>48</v>
      </c>
      <c r="AG866" t="str">
        <f>IF(AD866="United States", IFERROR(INDEX(Sheet2!$C:$C, MATCH(AE866&amp;AF866, Sheet2!$E:$E, 0)) &amp; ", " &amp; INDEX(Sheet2!$D:$D, MATCH(AE866&amp;AF866, Sheet2!$E:$E, 0)), ""), "-")</f>
        <v/>
      </c>
    </row>
    <row r="867" spans="1:33" x14ac:dyDescent="0.25">
      <c r="A867" t="s">
        <v>1767</v>
      </c>
      <c r="B867" t="s">
        <v>1773</v>
      </c>
      <c r="C867" t="s">
        <v>1769</v>
      </c>
      <c r="D867" t="s">
        <v>1774</v>
      </c>
      <c r="E867" t="s">
        <v>38</v>
      </c>
      <c r="F867">
        <v>1758</v>
      </c>
      <c r="G867">
        <v>2279</v>
      </c>
      <c r="H867" t="s">
        <v>1770</v>
      </c>
      <c r="I867" t="s">
        <v>87</v>
      </c>
      <c r="J867" t="s">
        <v>1771</v>
      </c>
      <c r="K867" t="s">
        <v>38</v>
      </c>
      <c r="L867" t="s">
        <v>38</v>
      </c>
      <c r="M867" t="s">
        <v>38</v>
      </c>
      <c r="N867" t="s">
        <v>38</v>
      </c>
      <c r="O867" t="s">
        <v>41</v>
      </c>
      <c r="P867" t="s">
        <v>42</v>
      </c>
      <c r="Q867" t="s">
        <v>43</v>
      </c>
      <c r="R867" t="s">
        <v>89</v>
      </c>
      <c r="S867" t="s">
        <v>153</v>
      </c>
      <c r="T867" t="s">
        <v>89</v>
      </c>
      <c r="U867" t="s">
        <v>38</v>
      </c>
      <c r="V867" t="s">
        <v>597</v>
      </c>
      <c r="W867" t="s">
        <v>92</v>
      </c>
      <c r="X867" t="s">
        <v>38</v>
      </c>
      <c r="Y867" t="s">
        <v>1772</v>
      </c>
      <c r="Z867" t="s">
        <v>42</v>
      </c>
      <c r="AA867" t="s">
        <v>155</v>
      </c>
      <c r="AB867" t="s">
        <v>38</v>
      </c>
      <c r="AC867" t="s">
        <v>153</v>
      </c>
      <c r="AD867" t="s">
        <v>48</v>
      </c>
      <c r="AG867" t="str">
        <f>IF(AD867="United States", IFERROR(INDEX(Sheet2!$C:$C, MATCH(AE867&amp;AF867, Sheet2!$E:$E, 0)) &amp; ", " &amp; INDEX(Sheet2!$D:$D, MATCH(AE867&amp;AF867, Sheet2!$E:$E, 0)), ""), "-")</f>
        <v/>
      </c>
    </row>
    <row r="868" spans="1:33" x14ac:dyDescent="0.25">
      <c r="A868" t="s">
        <v>1767</v>
      </c>
      <c r="D868" t="s">
        <v>181</v>
      </c>
      <c r="E868" t="s">
        <v>352</v>
      </c>
      <c r="F868" t="s">
        <v>38</v>
      </c>
      <c r="G868">
        <v>808</v>
      </c>
      <c r="H868">
        <v>36</v>
      </c>
      <c r="J868" t="s">
        <v>1775</v>
      </c>
      <c r="O868" t="s">
        <v>183</v>
      </c>
      <c r="R868" t="s">
        <v>89</v>
      </c>
      <c r="T868" t="s">
        <v>89</v>
      </c>
      <c r="V868" t="s">
        <v>941</v>
      </c>
      <c r="W868" t="s">
        <v>92</v>
      </c>
      <c r="Y868" t="s">
        <v>38</v>
      </c>
      <c r="AA868" t="s">
        <v>38</v>
      </c>
      <c r="AB868" t="s">
        <v>38</v>
      </c>
      <c r="AC868" t="s">
        <v>38</v>
      </c>
      <c r="AD868" t="s">
        <v>48</v>
      </c>
      <c r="AG868" t="str">
        <f>IF(AD868="United States", IFERROR(INDEX(Sheet2!$C:$C, MATCH(AE868&amp;AF868, Sheet2!$E:$E, 0)) &amp; ", " &amp; INDEX(Sheet2!$D:$D, MATCH(AE868&amp;AF868, Sheet2!$E:$E, 0)), ""), "-")</f>
        <v/>
      </c>
    </row>
    <row r="869" spans="1:33" x14ac:dyDescent="0.25">
      <c r="A869" t="s">
        <v>1767</v>
      </c>
      <c r="D869" t="s">
        <v>181</v>
      </c>
      <c r="E869" t="s">
        <v>352</v>
      </c>
      <c r="F869" t="s">
        <v>38</v>
      </c>
      <c r="G869">
        <v>807</v>
      </c>
      <c r="H869">
        <v>36</v>
      </c>
      <c r="J869" t="s">
        <v>1775</v>
      </c>
      <c r="O869" t="s">
        <v>183</v>
      </c>
      <c r="R869" t="s">
        <v>89</v>
      </c>
      <c r="T869" t="s">
        <v>89</v>
      </c>
      <c r="V869" t="s">
        <v>941</v>
      </c>
      <c r="W869" t="s">
        <v>92</v>
      </c>
      <c r="Y869" t="s">
        <v>38</v>
      </c>
      <c r="AA869" t="s">
        <v>38</v>
      </c>
      <c r="AB869" t="s">
        <v>38</v>
      </c>
      <c r="AC869" t="s">
        <v>38</v>
      </c>
      <c r="AD869" t="s">
        <v>48</v>
      </c>
      <c r="AG869" t="str">
        <f>IF(AD869="United States", IFERROR(INDEX(Sheet2!$C:$C, MATCH(AE869&amp;AF869, Sheet2!$E:$E, 0)) &amp; ", " &amp; INDEX(Sheet2!$D:$D, MATCH(AE869&amp;AF869, Sheet2!$E:$E, 0)), ""), "-")</f>
        <v/>
      </c>
    </row>
    <row r="870" spans="1:33" x14ac:dyDescent="0.25">
      <c r="A870" t="s">
        <v>1767</v>
      </c>
      <c r="D870" t="s">
        <v>181</v>
      </c>
      <c r="E870" t="s">
        <v>352</v>
      </c>
      <c r="F870" t="s">
        <v>38</v>
      </c>
      <c r="G870">
        <v>809</v>
      </c>
      <c r="H870">
        <v>36</v>
      </c>
      <c r="J870" t="s">
        <v>1775</v>
      </c>
      <c r="O870" t="s">
        <v>183</v>
      </c>
      <c r="R870" t="s">
        <v>89</v>
      </c>
      <c r="T870" t="s">
        <v>89</v>
      </c>
      <c r="V870" t="s">
        <v>941</v>
      </c>
      <c r="W870" t="s">
        <v>92</v>
      </c>
      <c r="Y870" t="s">
        <v>38</v>
      </c>
      <c r="AA870" t="s">
        <v>38</v>
      </c>
      <c r="AB870" t="s">
        <v>38</v>
      </c>
      <c r="AC870" t="s">
        <v>38</v>
      </c>
      <c r="AD870" t="s">
        <v>48</v>
      </c>
      <c r="AG870" t="str">
        <f>IF(AD870="United States", IFERROR(INDEX(Sheet2!$C:$C, MATCH(AE870&amp;AF870, Sheet2!$E:$E, 0)) &amp; ", " &amp; INDEX(Sheet2!$D:$D, MATCH(AE870&amp;AF870, Sheet2!$E:$E, 0)), ""), "-")</f>
        <v/>
      </c>
    </row>
    <row r="871" spans="1:33" x14ac:dyDescent="0.25">
      <c r="A871" t="s">
        <v>1767</v>
      </c>
      <c r="B871" t="s">
        <v>1776</v>
      </c>
      <c r="C871" t="s">
        <v>1777</v>
      </c>
      <c r="D871" t="s">
        <v>1778</v>
      </c>
      <c r="E871" t="s">
        <v>1779</v>
      </c>
      <c r="F871">
        <v>1768</v>
      </c>
      <c r="G871">
        <v>2697</v>
      </c>
      <c r="I871" t="s">
        <v>39</v>
      </c>
      <c r="J871" t="s">
        <v>1771</v>
      </c>
      <c r="M871" t="s">
        <v>578</v>
      </c>
      <c r="N871" t="s">
        <v>1780</v>
      </c>
      <c r="O871" t="s">
        <v>74</v>
      </c>
      <c r="P871" t="s">
        <v>42</v>
      </c>
      <c r="Q871" t="s">
        <v>43</v>
      </c>
      <c r="R871" t="s">
        <v>1781</v>
      </c>
      <c r="S871" t="s">
        <v>89</v>
      </c>
      <c r="V871" t="s">
        <v>270</v>
      </c>
      <c r="Y871" t="s">
        <v>38</v>
      </c>
      <c r="Z871" t="s">
        <v>42</v>
      </c>
      <c r="AA871" t="s">
        <v>1782</v>
      </c>
      <c r="AB871" t="s">
        <v>1783</v>
      </c>
      <c r="AC871" t="s">
        <v>89</v>
      </c>
      <c r="AD871" t="s">
        <v>48</v>
      </c>
      <c r="AG871" t="str">
        <f>IF(AD871="United States", IFERROR(INDEX(Sheet2!$C:$C, MATCH(AE871&amp;AF871, Sheet2!$E:$E, 0)) &amp; ", " &amp; INDEX(Sheet2!$D:$D, MATCH(AE871&amp;AF871, Sheet2!$E:$E, 0)), ""), "-")</f>
        <v/>
      </c>
    </row>
    <row r="872" spans="1:33" x14ac:dyDescent="0.25">
      <c r="A872" t="s">
        <v>1767</v>
      </c>
      <c r="D872" t="s">
        <v>181</v>
      </c>
      <c r="E872" t="s">
        <v>352</v>
      </c>
      <c r="F872" t="s">
        <v>38</v>
      </c>
      <c r="G872">
        <v>805</v>
      </c>
      <c r="H872">
        <v>36</v>
      </c>
      <c r="J872" t="s">
        <v>1775</v>
      </c>
      <c r="O872" t="s">
        <v>183</v>
      </c>
      <c r="R872" t="s">
        <v>89</v>
      </c>
      <c r="T872" t="s">
        <v>89</v>
      </c>
      <c r="V872" t="s">
        <v>941</v>
      </c>
      <c r="W872" t="s">
        <v>92</v>
      </c>
      <c r="Y872" t="s">
        <v>38</v>
      </c>
      <c r="AA872" t="s">
        <v>38</v>
      </c>
      <c r="AB872" t="s">
        <v>38</v>
      </c>
      <c r="AC872" t="s">
        <v>38</v>
      </c>
      <c r="AD872" t="s">
        <v>48</v>
      </c>
      <c r="AG872" t="str">
        <f>IF(AD872="United States", IFERROR(INDEX(Sheet2!$C:$C, MATCH(AE872&amp;AF872, Sheet2!$E:$E, 0)) &amp; ", " &amp; INDEX(Sheet2!$D:$D, MATCH(AE872&amp;AF872, Sheet2!$E:$E, 0)), ""), "-")</f>
        <v/>
      </c>
    </row>
    <row r="873" spans="1:33" x14ac:dyDescent="0.25">
      <c r="A873" t="s">
        <v>1767</v>
      </c>
      <c r="D873" t="s">
        <v>181</v>
      </c>
      <c r="E873" t="s">
        <v>352</v>
      </c>
      <c r="F873" t="s">
        <v>38</v>
      </c>
      <c r="G873">
        <v>806</v>
      </c>
      <c r="H873">
        <v>36</v>
      </c>
      <c r="J873" t="s">
        <v>1775</v>
      </c>
      <c r="O873" t="s">
        <v>183</v>
      </c>
      <c r="R873" t="s">
        <v>89</v>
      </c>
      <c r="T873" t="s">
        <v>89</v>
      </c>
      <c r="V873" t="s">
        <v>941</v>
      </c>
      <c r="W873" t="s">
        <v>92</v>
      </c>
      <c r="Y873" t="s">
        <v>38</v>
      </c>
      <c r="AA873" t="s">
        <v>38</v>
      </c>
      <c r="AB873" t="s">
        <v>38</v>
      </c>
      <c r="AC873" t="s">
        <v>38</v>
      </c>
      <c r="AD873" t="s">
        <v>48</v>
      </c>
      <c r="AG873" t="str">
        <f>IF(AD873="United States", IFERROR(INDEX(Sheet2!$C:$C, MATCH(AE873&amp;AF873, Sheet2!$E:$E, 0)) &amp; ", " &amp; INDEX(Sheet2!$D:$D, MATCH(AE873&amp;AF873, Sheet2!$E:$E, 0)), ""), "-")</f>
        <v/>
      </c>
    </row>
    <row r="874" spans="1:33" x14ac:dyDescent="0.25">
      <c r="A874" t="s">
        <v>1767</v>
      </c>
      <c r="B874" t="s">
        <v>1784</v>
      </c>
      <c r="C874" t="s">
        <v>1777</v>
      </c>
      <c r="D874" t="s">
        <v>204</v>
      </c>
      <c r="E874" t="s">
        <v>1785</v>
      </c>
      <c r="F874">
        <v>1747</v>
      </c>
      <c r="G874">
        <v>732</v>
      </c>
      <c r="H874" t="s">
        <v>38</v>
      </c>
      <c r="I874" t="s">
        <v>39</v>
      </c>
      <c r="J874" t="s">
        <v>1771</v>
      </c>
      <c r="K874" t="s">
        <v>38</v>
      </c>
      <c r="L874" t="s">
        <v>38</v>
      </c>
      <c r="M874" t="s">
        <v>38</v>
      </c>
      <c r="N874" t="s">
        <v>38</v>
      </c>
      <c r="O874" t="s">
        <v>41</v>
      </c>
      <c r="P874" t="s">
        <v>42</v>
      </c>
      <c r="Q874" t="s">
        <v>43</v>
      </c>
      <c r="R874" t="s">
        <v>1786</v>
      </c>
      <c r="S874" t="s">
        <v>201</v>
      </c>
      <c r="T874" t="s">
        <v>38</v>
      </c>
      <c r="U874" t="s">
        <v>38</v>
      </c>
      <c r="V874" t="s">
        <v>270</v>
      </c>
      <c r="W874" t="s">
        <v>38</v>
      </c>
      <c r="X874" t="s">
        <v>38</v>
      </c>
      <c r="Y874" t="s">
        <v>1787</v>
      </c>
      <c r="Z874" t="s">
        <v>42</v>
      </c>
      <c r="AA874" t="s">
        <v>1788</v>
      </c>
      <c r="AB874" t="s">
        <v>38</v>
      </c>
      <c r="AC874" t="s">
        <v>201</v>
      </c>
      <c r="AD874" t="s">
        <v>48</v>
      </c>
      <c r="AG874" t="str">
        <f>IF(AD874="United States", IFERROR(INDEX(Sheet2!$C:$C, MATCH(AE874&amp;AF874, Sheet2!$E:$E, 0)) &amp; ", " &amp; INDEX(Sheet2!$D:$D, MATCH(AE874&amp;AF874, Sheet2!$E:$E, 0)), ""), "-")</f>
        <v/>
      </c>
    </row>
    <row r="875" spans="1:33" x14ac:dyDescent="0.25">
      <c r="A875" t="s">
        <v>1767</v>
      </c>
      <c r="B875" t="s">
        <v>1789</v>
      </c>
      <c r="C875" t="s">
        <v>1769</v>
      </c>
      <c r="D875" t="s">
        <v>36</v>
      </c>
      <c r="E875" t="s">
        <v>1790</v>
      </c>
      <c r="F875">
        <v>1738</v>
      </c>
      <c r="G875">
        <v>2277</v>
      </c>
      <c r="H875" t="s">
        <v>1770</v>
      </c>
      <c r="I875" t="s">
        <v>87</v>
      </c>
      <c r="J875" t="s">
        <v>1771</v>
      </c>
      <c r="K875" t="s">
        <v>38</v>
      </c>
      <c r="L875" t="s">
        <v>38</v>
      </c>
      <c r="M875" t="s">
        <v>38</v>
      </c>
      <c r="N875" t="s">
        <v>38</v>
      </c>
      <c r="O875" t="s">
        <v>41</v>
      </c>
      <c r="P875" t="s">
        <v>42</v>
      </c>
      <c r="Q875" t="s">
        <v>43</v>
      </c>
      <c r="R875" t="s">
        <v>89</v>
      </c>
      <c r="S875" t="s">
        <v>153</v>
      </c>
      <c r="T875" t="s">
        <v>89</v>
      </c>
      <c r="U875" t="s">
        <v>38</v>
      </c>
      <c r="V875" t="s">
        <v>597</v>
      </c>
      <c r="W875" t="s">
        <v>92</v>
      </c>
      <c r="X875" t="s">
        <v>38</v>
      </c>
      <c r="Y875" t="s">
        <v>1772</v>
      </c>
      <c r="Z875" t="s">
        <v>42</v>
      </c>
      <c r="AA875" t="s">
        <v>155</v>
      </c>
      <c r="AB875" t="s">
        <v>38</v>
      </c>
      <c r="AC875" t="s">
        <v>153</v>
      </c>
      <c r="AD875" t="s">
        <v>48</v>
      </c>
      <c r="AG875" t="str">
        <f>IF(AD875="United States", IFERROR(INDEX(Sheet2!$C:$C, MATCH(AE875&amp;AF875, Sheet2!$E:$E, 0)) &amp; ", " &amp; INDEX(Sheet2!$D:$D, MATCH(AE875&amp;AF875, Sheet2!$E:$E, 0)), ""), "-")</f>
        <v/>
      </c>
    </row>
    <row r="876" spans="1:33" x14ac:dyDescent="0.25">
      <c r="A876" t="s">
        <v>1767</v>
      </c>
      <c r="B876" t="s">
        <v>1791</v>
      </c>
      <c r="C876" t="s">
        <v>1777</v>
      </c>
      <c r="D876" t="s">
        <v>361</v>
      </c>
      <c r="E876" t="s">
        <v>1147</v>
      </c>
      <c r="F876">
        <v>1743</v>
      </c>
      <c r="G876">
        <v>731</v>
      </c>
      <c r="H876" t="s">
        <v>932</v>
      </c>
      <c r="I876" t="s">
        <v>39</v>
      </c>
      <c r="J876" t="s">
        <v>1771</v>
      </c>
      <c r="K876" t="s">
        <v>38</v>
      </c>
      <c r="L876" t="s">
        <v>38</v>
      </c>
      <c r="M876" t="s">
        <v>38</v>
      </c>
      <c r="N876" t="s">
        <v>38</v>
      </c>
      <c r="O876" t="s">
        <v>41</v>
      </c>
      <c r="P876" t="s">
        <v>42</v>
      </c>
      <c r="Q876" t="s">
        <v>43</v>
      </c>
      <c r="R876" t="s">
        <v>89</v>
      </c>
      <c r="S876" t="s">
        <v>45</v>
      </c>
      <c r="T876" t="s">
        <v>89</v>
      </c>
      <c r="U876" t="s">
        <v>38</v>
      </c>
      <c r="V876" t="s">
        <v>270</v>
      </c>
      <c r="W876" t="s">
        <v>92</v>
      </c>
      <c r="X876" t="s">
        <v>38</v>
      </c>
      <c r="Y876" t="s">
        <v>1792</v>
      </c>
      <c r="Z876" t="s">
        <v>42</v>
      </c>
      <c r="AA876" t="s">
        <v>169</v>
      </c>
      <c r="AB876" t="s">
        <v>38</v>
      </c>
      <c r="AC876" t="s">
        <v>45</v>
      </c>
      <c r="AD876" t="s">
        <v>48</v>
      </c>
      <c r="AG876" t="str">
        <f>IF(AD876="United States", IFERROR(INDEX(Sheet2!$C:$C, MATCH(AE876&amp;AF876, Sheet2!$E:$E, 0)) &amp; ", " &amp; INDEX(Sheet2!$D:$D, MATCH(AE876&amp;AF876, Sheet2!$E:$E, 0)), ""), "-")</f>
        <v/>
      </c>
    </row>
    <row r="877" spans="1:33" x14ac:dyDescent="0.25">
      <c r="A877" t="s">
        <v>1767</v>
      </c>
      <c r="B877" t="s">
        <v>1793</v>
      </c>
      <c r="C877" t="s">
        <v>1777</v>
      </c>
      <c r="D877" t="s">
        <v>352</v>
      </c>
      <c r="E877" t="s">
        <v>1794</v>
      </c>
      <c r="F877">
        <v>1778</v>
      </c>
      <c r="G877">
        <v>730</v>
      </c>
      <c r="H877" t="s">
        <v>932</v>
      </c>
      <c r="I877" t="s">
        <v>39</v>
      </c>
      <c r="J877" t="s">
        <v>1771</v>
      </c>
      <c r="K877" t="s">
        <v>38</v>
      </c>
      <c r="L877" t="s">
        <v>38</v>
      </c>
      <c r="M877" t="s">
        <v>38</v>
      </c>
      <c r="N877" t="s">
        <v>38</v>
      </c>
      <c r="O877" t="s">
        <v>74</v>
      </c>
      <c r="P877" t="s">
        <v>42</v>
      </c>
      <c r="Q877" t="s">
        <v>43</v>
      </c>
      <c r="R877" t="s">
        <v>89</v>
      </c>
      <c r="S877" t="s">
        <v>45</v>
      </c>
      <c r="T877" t="s">
        <v>89</v>
      </c>
      <c r="U877" t="s">
        <v>38</v>
      </c>
      <c r="V877" t="s">
        <v>270</v>
      </c>
      <c r="W877" t="s">
        <v>92</v>
      </c>
      <c r="X877" t="s">
        <v>38</v>
      </c>
      <c r="Y877" t="s">
        <v>1792</v>
      </c>
      <c r="Z877" t="s">
        <v>42</v>
      </c>
      <c r="AA877" t="s">
        <v>169</v>
      </c>
      <c r="AB877" t="s">
        <v>38</v>
      </c>
      <c r="AC877" t="s">
        <v>45</v>
      </c>
      <c r="AD877" t="s">
        <v>48</v>
      </c>
      <c r="AG877" t="str">
        <f>IF(AD877="United States", IFERROR(INDEX(Sheet2!$C:$C, MATCH(AE877&amp;AF877, Sheet2!$E:$E, 0)) &amp; ", " &amp; INDEX(Sheet2!$D:$D, MATCH(AE877&amp;AF877, Sheet2!$E:$E, 0)), ""), "-")</f>
        <v/>
      </c>
    </row>
    <row r="878" spans="1:33" x14ac:dyDescent="0.25">
      <c r="A878" t="s">
        <v>1767</v>
      </c>
      <c r="B878" t="s">
        <v>1795</v>
      </c>
      <c r="C878" t="s">
        <v>1777</v>
      </c>
      <c r="D878" t="s">
        <v>106</v>
      </c>
      <c r="E878" t="s">
        <v>38</v>
      </c>
      <c r="F878">
        <v>1749</v>
      </c>
      <c r="G878">
        <v>729</v>
      </c>
      <c r="H878" t="s">
        <v>932</v>
      </c>
      <c r="I878" t="s">
        <v>39</v>
      </c>
      <c r="J878" t="s">
        <v>1771</v>
      </c>
      <c r="K878" t="s">
        <v>38</v>
      </c>
      <c r="L878" t="s">
        <v>38</v>
      </c>
      <c r="M878" t="s">
        <v>38</v>
      </c>
      <c r="N878" t="s">
        <v>38</v>
      </c>
      <c r="O878" t="s">
        <v>41</v>
      </c>
      <c r="P878" t="s">
        <v>42</v>
      </c>
      <c r="Q878" t="s">
        <v>43</v>
      </c>
      <c r="R878" t="s">
        <v>89</v>
      </c>
      <c r="S878" t="s">
        <v>45</v>
      </c>
      <c r="T878" t="s">
        <v>89</v>
      </c>
      <c r="U878" t="s">
        <v>38</v>
      </c>
      <c r="V878" t="s">
        <v>270</v>
      </c>
      <c r="W878" t="s">
        <v>92</v>
      </c>
      <c r="X878" t="s">
        <v>38</v>
      </c>
      <c r="Y878" t="s">
        <v>1792</v>
      </c>
      <c r="Z878" t="s">
        <v>42</v>
      </c>
      <c r="AA878" t="s">
        <v>169</v>
      </c>
      <c r="AB878" t="s">
        <v>38</v>
      </c>
      <c r="AC878" t="s">
        <v>45</v>
      </c>
      <c r="AD878" t="s">
        <v>48</v>
      </c>
      <c r="AG878" t="str">
        <f>IF(AD878="United States", IFERROR(INDEX(Sheet2!$C:$C, MATCH(AE878&amp;AF878, Sheet2!$E:$E, 0)) &amp; ", " &amp; INDEX(Sheet2!$D:$D, MATCH(AE878&amp;AF878, Sheet2!$E:$E, 0)), ""), "-")</f>
        <v/>
      </c>
    </row>
    <row r="879" spans="1:33" x14ac:dyDescent="0.25">
      <c r="A879" t="s">
        <v>1767</v>
      </c>
      <c r="D879" t="s">
        <v>1796</v>
      </c>
      <c r="E879" t="s">
        <v>531</v>
      </c>
      <c r="F879">
        <v>1757</v>
      </c>
      <c r="G879">
        <v>804</v>
      </c>
      <c r="H879">
        <v>36</v>
      </c>
      <c r="J879" t="s">
        <v>1775</v>
      </c>
      <c r="O879" t="s">
        <v>57</v>
      </c>
      <c r="R879" t="s">
        <v>89</v>
      </c>
      <c r="T879" t="s">
        <v>89</v>
      </c>
      <c r="V879" t="s">
        <v>941</v>
      </c>
      <c r="W879" t="s">
        <v>92</v>
      </c>
      <c r="Y879" t="s">
        <v>38</v>
      </c>
      <c r="AA879" t="s">
        <v>38</v>
      </c>
      <c r="AB879" t="s">
        <v>38</v>
      </c>
      <c r="AC879" t="s">
        <v>38</v>
      </c>
      <c r="AD879" t="s">
        <v>48</v>
      </c>
      <c r="AG879" t="str">
        <f>IF(AD879="United States", IFERROR(INDEX(Sheet2!$C:$C, MATCH(AE879&amp;AF879, Sheet2!$E:$E, 0)) &amp; ", " &amp; INDEX(Sheet2!$D:$D, MATCH(AE879&amp;AF879, Sheet2!$E:$E, 0)), ""), "-")</f>
        <v/>
      </c>
    </row>
    <row r="880" spans="1:33" x14ac:dyDescent="0.25">
      <c r="A880" t="s">
        <v>1797</v>
      </c>
      <c r="B880" t="s">
        <v>1798</v>
      </c>
      <c r="C880" t="s">
        <v>1799</v>
      </c>
      <c r="D880" t="s">
        <v>1140</v>
      </c>
      <c r="E880" t="s">
        <v>38</v>
      </c>
      <c r="F880">
        <v>1778</v>
      </c>
      <c r="G880">
        <v>1915</v>
      </c>
      <c r="H880" t="s">
        <v>38</v>
      </c>
      <c r="I880" t="s">
        <v>80</v>
      </c>
      <c r="J880" t="s">
        <v>1800</v>
      </c>
      <c r="K880" t="s">
        <v>38</v>
      </c>
      <c r="L880" t="s">
        <v>38</v>
      </c>
      <c r="M880" t="s">
        <v>38</v>
      </c>
      <c r="N880" t="s">
        <v>38</v>
      </c>
      <c r="O880" t="s">
        <v>54</v>
      </c>
      <c r="P880" t="s">
        <v>42</v>
      </c>
      <c r="Q880" t="s">
        <v>43</v>
      </c>
      <c r="R880" t="s">
        <v>38</v>
      </c>
      <c r="S880" t="s">
        <v>38</v>
      </c>
      <c r="T880" t="s">
        <v>38</v>
      </c>
      <c r="U880" t="s">
        <v>38</v>
      </c>
      <c r="V880" t="s">
        <v>91</v>
      </c>
      <c r="W880" t="s">
        <v>38</v>
      </c>
      <c r="X880" t="s">
        <v>38</v>
      </c>
      <c r="Y880" t="s">
        <v>1801</v>
      </c>
      <c r="Z880" t="s">
        <v>42</v>
      </c>
      <c r="AA880" t="s">
        <v>38</v>
      </c>
      <c r="AB880" t="s">
        <v>38</v>
      </c>
      <c r="AC880" t="s">
        <v>38</v>
      </c>
      <c r="AD880" t="s">
        <v>48</v>
      </c>
      <c r="AG880" t="str">
        <f>IF(AD880="United States", IFERROR(INDEX(Sheet2!$C:$C, MATCH(AE880&amp;AF880, Sheet2!$E:$E, 0)) &amp; ", " &amp; INDEX(Sheet2!$D:$D, MATCH(AE880&amp;AF880, Sheet2!$E:$E, 0)), ""), "-")</f>
        <v/>
      </c>
    </row>
    <row r="881" spans="1:33" x14ac:dyDescent="0.25">
      <c r="A881" t="s">
        <v>1797</v>
      </c>
      <c r="B881" t="s">
        <v>1802</v>
      </c>
      <c r="C881" t="s">
        <v>1799</v>
      </c>
      <c r="D881" t="s">
        <v>1164</v>
      </c>
      <c r="E881" t="s">
        <v>38</v>
      </c>
      <c r="F881">
        <v>1767</v>
      </c>
      <c r="G881">
        <v>1914</v>
      </c>
      <c r="H881" t="s">
        <v>38</v>
      </c>
      <c r="I881" t="s">
        <v>80</v>
      </c>
      <c r="J881" t="s">
        <v>1800</v>
      </c>
      <c r="K881" t="s">
        <v>38</v>
      </c>
      <c r="L881" t="s">
        <v>38</v>
      </c>
      <c r="M881" t="s">
        <v>38</v>
      </c>
      <c r="N881" t="s">
        <v>38</v>
      </c>
      <c r="O881" t="s">
        <v>74</v>
      </c>
      <c r="P881" t="s">
        <v>125</v>
      </c>
      <c r="Q881" t="s">
        <v>124</v>
      </c>
      <c r="R881" t="s">
        <v>38</v>
      </c>
      <c r="S881" t="s">
        <v>38</v>
      </c>
      <c r="T881" t="s">
        <v>38</v>
      </c>
      <c r="U881" t="s">
        <v>38</v>
      </c>
      <c r="V881" t="s">
        <v>91</v>
      </c>
      <c r="W881" t="s">
        <v>38</v>
      </c>
      <c r="X881" t="s">
        <v>38</v>
      </c>
      <c r="Y881" t="s">
        <v>1803</v>
      </c>
      <c r="Z881" t="s">
        <v>125</v>
      </c>
      <c r="AA881" t="s">
        <v>38</v>
      </c>
      <c r="AB881" t="s">
        <v>38</v>
      </c>
      <c r="AC881" t="s">
        <v>38</v>
      </c>
      <c r="AD881" t="s">
        <v>48</v>
      </c>
      <c r="AG881" t="str">
        <f>IF(AD881="United States", IFERROR(INDEX(Sheet2!$C:$C, MATCH(AE881&amp;AF881, Sheet2!$E:$E, 0)) &amp; ", " &amp; INDEX(Sheet2!$D:$D, MATCH(AE881&amp;AF881, Sheet2!$E:$E, 0)), ""), "-")</f>
        <v/>
      </c>
    </row>
    <row r="882" spans="1:33" x14ac:dyDescent="0.25">
      <c r="A882" t="s">
        <v>1797</v>
      </c>
      <c r="D882" t="s">
        <v>181</v>
      </c>
      <c r="E882" t="s">
        <v>451</v>
      </c>
      <c r="F882" t="s">
        <v>38</v>
      </c>
      <c r="G882">
        <v>656</v>
      </c>
      <c r="H882">
        <v>31</v>
      </c>
      <c r="J882" t="s">
        <v>1804</v>
      </c>
      <c r="O882" t="s">
        <v>183</v>
      </c>
      <c r="R882" t="s">
        <v>89</v>
      </c>
      <c r="T882" t="s">
        <v>89</v>
      </c>
      <c r="U882" t="s">
        <v>301</v>
      </c>
      <c r="V882" t="s">
        <v>137</v>
      </c>
      <c r="W882" t="s">
        <v>92</v>
      </c>
      <c r="X882" t="s">
        <v>302</v>
      </c>
      <c r="Y882" t="s">
        <v>38</v>
      </c>
      <c r="AA882" t="s">
        <v>38</v>
      </c>
      <c r="AB882" t="s">
        <v>38</v>
      </c>
      <c r="AC882" t="s">
        <v>38</v>
      </c>
      <c r="AD882" t="s">
        <v>48</v>
      </c>
      <c r="AG882" t="str">
        <f>IF(AD882="United States", IFERROR(INDEX(Sheet2!$C:$C, MATCH(AE882&amp;AF882, Sheet2!$E:$E, 0)) &amp; ", " &amp; INDEX(Sheet2!$D:$D, MATCH(AE882&amp;AF882, Sheet2!$E:$E, 0)), ""), "-")</f>
        <v/>
      </c>
    </row>
    <row r="883" spans="1:33" x14ac:dyDescent="0.25">
      <c r="A883" t="s">
        <v>1797</v>
      </c>
      <c r="D883" t="s">
        <v>1805</v>
      </c>
      <c r="E883" t="s">
        <v>1806</v>
      </c>
      <c r="F883">
        <v>1760</v>
      </c>
      <c r="G883">
        <v>655</v>
      </c>
      <c r="H883">
        <v>31</v>
      </c>
      <c r="J883" t="s">
        <v>1804</v>
      </c>
      <c r="O883" t="s">
        <v>57</v>
      </c>
      <c r="R883" t="s">
        <v>89</v>
      </c>
      <c r="T883" t="s">
        <v>89</v>
      </c>
      <c r="U883" t="s">
        <v>301</v>
      </c>
      <c r="V883" t="s">
        <v>137</v>
      </c>
      <c r="W883" t="s">
        <v>92</v>
      </c>
      <c r="X883" t="s">
        <v>302</v>
      </c>
      <c r="Y883" t="s">
        <v>38</v>
      </c>
      <c r="AA883" t="s">
        <v>38</v>
      </c>
      <c r="AB883" t="s">
        <v>38</v>
      </c>
      <c r="AC883" t="s">
        <v>38</v>
      </c>
      <c r="AD883" t="s">
        <v>48</v>
      </c>
      <c r="AG883" t="str">
        <f>IF(AD883="United States", IFERROR(INDEX(Sheet2!$C:$C, MATCH(AE883&amp;AF883, Sheet2!$E:$E, 0)) &amp; ", " &amp; INDEX(Sheet2!$D:$D, MATCH(AE883&amp;AF883, Sheet2!$E:$E, 0)), ""), "-")</f>
        <v/>
      </c>
    </row>
    <row r="884" spans="1:33" x14ac:dyDescent="0.25">
      <c r="A884" t="s">
        <v>1797</v>
      </c>
      <c r="B884" t="s">
        <v>1807</v>
      </c>
      <c r="C884" t="s">
        <v>1808</v>
      </c>
      <c r="D884" t="s">
        <v>451</v>
      </c>
      <c r="E884" t="s">
        <v>1809</v>
      </c>
      <c r="F884">
        <v>1760</v>
      </c>
      <c r="G884">
        <v>592</v>
      </c>
      <c r="H884" t="s">
        <v>1810</v>
      </c>
      <c r="I884" t="s">
        <v>39</v>
      </c>
      <c r="J884" t="s">
        <v>1804</v>
      </c>
      <c r="K884" t="s">
        <v>38</v>
      </c>
      <c r="L884" t="s">
        <v>38</v>
      </c>
      <c r="M884" t="s">
        <v>38</v>
      </c>
      <c r="N884" t="s">
        <v>38</v>
      </c>
      <c r="O884" t="s">
        <v>74</v>
      </c>
      <c r="P884" t="s">
        <v>42</v>
      </c>
      <c r="Q884" t="s">
        <v>43</v>
      </c>
      <c r="R884" t="s">
        <v>89</v>
      </c>
      <c r="S884" t="s">
        <v>165</v>
      </c>
      <c r="T884" t="s">
        <v>89</v>
      </c>
      <c r="U884" t="s">
        <v>301</v>
      </c>
      <c r="V884" t="s">
        <v>137</v>
      </c>
      <c r="W884" t="s">
        <v>92</v>
      </c>
      <c r="X884" t="s">
        <v>302</v>
      </c>
      <c r="Y884" t="s">
        <v>1811</v>
      </c>
      <c r="Z884" t="s">
        <v>42</v>
      </c>
      <c r="AA884" t="s">
        <v>166</v>
      </c>
      <c r="AB884" t="s">
        <v>38</v>
      </c>
      <c r="AC884" t="s">
        <v>165</v>
      </c>
      <c r="AD884" t="s">
        <v>48</v>
      </c>
      <c r="AG884" t="str">
        <f>IF(AD884="United States", IFERROR(INDEX(Sheet2!$C:$C, MATCH(AE884&amp;AF884, Sheet2!$E:$E, 0)) &amp; ", " &amp; INDEX(Sheet2!$D:$D, MATCH(AE884&amp;AF884, Sheet2!$E:$E, 0)), ""), "-")</f>
        <v/>
      </c>
    </row>
    <row r="885" spans="1:33" x14ac:dyDescent="0.25">
      <c r="A885" t="s">
        <v>1797</v>
      </c>
      <c r="B885" t="s">
        <v>1812</v>
      </c>
      <c r="C885" t="s">
        <v>1808</v>
      </c>
      <c r="D885" t="s">
        <v>1813</v>
      </c>
      <c r="E885" t="s">
        <v>38</v>
      </c>
      <c r="F885">
        <v>1753</v>
      </c>
      <c r="G885">
        <v>591</v>
      </c>
      <c r="H885" t="s">
        <v>1810</v>
      </c>
      <c r="I885" t="s">
        <v>39</v>
      </c>
      <c r="J885" t="s">
        <v>1804</v>
      </c>
      <c r="K885" t="s">
        <v>38</v>
      </c>
      <c r="L885" t="s">
        <v>38</v>
      </c>
      <c r="M885" t="s">
        <v>38</v>
      </c>
      <c r="N885" t="s">
        <v>38</v>
      </c>
      <c r="O885" t="s">
        <v>41</v>
      </c>
      <c r="P885" t="s">
        <v>42</v>
      </c>
      <c r="Q885" t="s">
        <v>43</v>
      </c>
      <c r="R885" t="s">
        <v>89</v>
      </c>
      <c r="S885" t="s">
        <v>38</v>
      </c>
      <c r="T885" t="s">
        <v>89</v>
      </c>
      <c r="U885" t="s">
        <v>301</v>
      </c>
      <c r="V885" t="s">
        <v>137</v>
      </c>
      <c r="W885" t="s">
        <v>92</v>
      </c>
      <c r="X885" t="s">
        <v>302</v>
      </c>
      <c r="Y885" t="s">
        <v>1814</v>
      </c>
      <c r="Z885" t="s">
        <v>42</v>
      </c>
      <c r="AA885" t="s">
        <v>38</v>
      </c>
      <c r="AB885" t="s">
        <v>38</v>
      </c>
      <c r="AC885" t="s">
        <v>1813</v>
      </c>
      <c r="AD885" t="s">
        <v>48</v>
      </c>
      <c r="AG885" t="str">
        <f>IF(AD885="United States", IFERROR(INDEX(Sheet2!$C:$C, MATCH(AE885&amp;AF885, Sheet2!$E:$E, 0)) &amp; ", " &amp; INDEX(Sheet2!$D:$D, MATCH(AE885&amp;AF885, Sheet2!$E:$E, 0)), ""), "-")</f>
        <v/>
      </c>
    </row>
    <row r="886" spans="1:33" x14ac:dyDescent="0.25">
      <c r="A886" t="s">
        <v>1797</v>
      </c>
      <c r="B886" t="s">
        <v>1815</v>
      </c>
      <c r="C886" t="s">
        <v>1808</v>
      </c>
      <c r="D886" t="s">
        <v>927</v>
      </c>
      <c r="E886" t="s">
        <v>38</v>
      </c>
      <c r="F886">
        <v>1771</v>
      </c>
      <c r="G886">
        <v>589</v>
      </c>
      <c r="H886" t="s">
        <v>1810</v>
      </c>
      <c r="I886" t="s">
        <v>39</v>
      </c>
      <c r="J886" t="s">
        <v>1804</v>
      </c>
      <c r="K886" t="s">
        <v>38</v>
      </c>
      <c r="L886" t="s">
        <v>38</v>
      </c>
      <c r="M886" t="s">
        <v>38</v>
      </c>
      <c r="N886" t="s">
        <v>38</v>
      </c>
      <c r="O886" t="s">
        <v>54</v>
      </c>
      <c r="P886" t="s">
        <v>42</v>
      </c>
      <c r="Q886" t="s">
        <v>43</v>
      </c>
      <c r="R886" t="s">
        <v>89</v>
      </c>
      <c r="S886" t="s">
        <v>38</v>
      </c>
      <c r="T886" t="s">
        <v>89</v>
      </c>
      <c r="U886" t="s">
        <v>301</v>
      </c>
      <c r="V886" t="s">
        <v>137</v>
      </c>
      <c r="W886" t="s">
        <v>92</v>
      </c>
      <c r="X886" t="s">
        <v>302</v>
      </c>
      <c r="Y886" t="s">
        <v>1816</v>
      </c>
      <c r="Z886" t="s">
        <v>42</v>
      </c>
      <c r="AA886" t="s">
        <v>38</v>
      </c>
      <c r="AB886" t="s">
        <v>38</v>
      </c>
      <c r="AC886" t="s">
        <v>38</v>
      </c>
      <c r="AD886" t="s">
        <v>48</v>
      </c>
      <c r="AG886" t="str">
        <f>IF(AD886="United States", IFERROR(INDEX(Sheet2!$C:$C, MATCH(AE886&amp;AF886, Sheet2!$E:$E, 0)) &amp; ", " &amp; INDEX(Sheet2!$D:$D, MATCH(AE886&amp;AF886, Sheet2!$E:$E, 0)), ""), "-")</f>
        <v/>
      </c>
    </row>
    <row r="887" spans="1:33" x14ac:dyDescent="0.25">
      <c r="A887" t="s">
        <v>1797</v>
      </c>
      <c r="B887" t="s">
        <v>1817</v>
      </c>
      <c r="C887" t="s">
        <v>1808</v>
      </c>
      <c r="D887" t="s">
        <v>1592</v>
      </c>
      <c r="E887" t="s">
        <v>38</v>
      </c>
      <c r="F887">
        <v>1758</v>
      </c>
      <c r="G887">
        <v>590</v>
      </c>
      <c r="H887" t="s">
        <v>1810</v>
      </c>
      <c r="I887" t="s">
        <v>39</v>
      </c>
      <c r="J887" t="s">
        <v>1804</v>
      </c>
      <c r="K887" t="s">
        <v>38</v>
      </c>
      <c r="L887" t="s">
        <v>38</v>
      </c>
      <c r="M887" t="s">
        <v>38</v>
      </c>
      <c r="N887" t="s">
        <v>38</v>
      </c>
      <c r="O887" t="s">
        <v>41</v>
      </c>
      <c r="P887" t="s">
        <v>42</v>
      </c>
      <c r="Q887" t="s">
        <v>43</v>
      </c>
      <c r="R887" t="s">
        <v>89</v>
      </c>
      <c r="S887" t="s">
        <v>165</v>
      </c>
      <c r="T887" t="s">
        <v>89</v>
      </c>
      <c r="U887" t="s">
        <v>301</v>
      </c>
      <c r="V887" t="s">
        <v>137</v>
      </c>
      <c r="W887" t="s">
        <v>92</v>
      </c>
      <c r="X887" t="s">
        <v>302</v>
      </c>
      <c r="Y887" t="s">
        <v>1811</v>
      </c>
      <c r="Z887" t="s">
        <v>42</v>
      </c>
      <c r="AA887" t="s">
        <v>166</v>
      </c>
      <c r="AB887" t="s">
        <v>38</v>
      </c>
      <c r="AC887" t="s">
        <v>165</v>
      </c>
      <c r="AD887" t="s">
        <v>48</v>
      </c>
      <c r="AG887" t="str">
        <f>IF(AD887="United States", IFERROR(INDEX(Sheet2!$C:$C, MATCH(AE887&amp;AF887, Sheet2!$E:$E, 0)) &amp; ", " &amp; INDEX(Sheet2!$D:$D, MATCH(AE887&amp;AF887, Sheet2!$E:$E, 0)), ""), "-")</f>
        <v/>
      </c>
    </row>
    <row r="888" spans="1:33" x14ac:dyDescent="0.25">
      <c r="A888" t="s">
        <v>1818</v>
      </c>
      <c r="B888" t="s">
        <v>1819</v>
      </c>
      <c r="C888" t="s">
        <v>1820</v>
      </c>
      <c r="D888" t="s">
        <v>140</v>
      </c>
      <c r="E888" t="s">
        <v>1327</v>
      </c>
      <c r="F888">
        <v>1758</v>
      </c>
      <c r="G888">
        <v>2396</v>
      </c>
      <c r="H888" t="s">
        <v>1821</v>
      </c>
      <c r="I888" t="s">
        <v>87</v>
      </c>
      <c r="J888" t="s">
        <v>38</v>
      </c>
      <c r="K888" t="s">
        <v>38</v>
      </c>
      <c r="L888" t="s">
        <v>38</v>
      </c>
      <c r="M888" t="s">
        <v>38</v>
      </c>
      <c r="N888" t="s">
        <v>38</v>
      </c>
      <c r="O888" t="s">
        <v>57</v>
      </c>
      <c r="P888" t="s">
        <v>42</v>
      </c>
      <c r="Q888" t="s">
        <v>43</v>
      </c>
      <c r="R888" t="s">
        <v>89</v>
      </c>
      <c r="S888" t="s">
        <v>38</v>
      </c>
      <c r="T888" t="s">
        <v>89</v>
      </c>
      <c r="U888" t="s">
        <v>38</v>
      </c>
      <c r="V888" t="s">
        <v>38</v>
      </c>
      <c r="W888" t="s">
        <v>92</v>
      </c>
      <c r="X888" t="s">
        <v>38</v>
      </c>
      <c r="Y888" t="s">
        <v>38</v>
      </c>
      <c r="Z888" t="s">
        <v>42</v>
      </c>
      <c r="AA888" t="s">
        <v>38</v>
      </c>
      <c r="AB888" t="s">
        <v>38</v>
      </c>
      <c r="AC888" t="s">
        <v>38</v>
      </c>
      <c r="AD888" t="s">
        <v>48</v>
      </c>
      <c r="AG888" t="str">
        <f>IF(AD888="United States", IFERROR(INDEX(Sheet2!$C:$C, MATCH(AE888&amp;AF888, Sheet2!$E:$E, 0)) &amp; ", " &amp; INDEX(Sheet2!$D:$D, MATCH(AE888&amp;AF888, Sheet2!$E:$E, 0)), ""), "-")</f>
        <v/>
      </c>
    </row>
    <row r="889" spans="1:33" x14ac:dyDescent="0.25">
      <c r="A889" t="s">
        <v>1818</v>
      </c>
      <c r="B889" t="s">
        <v>1822</v>
      </c>
      <c r="C889" t="s">
        <v>1820</v>
      </c>
      <c r="D889" t="s">
        <v>82</v>
      </c>
      <c r="E889" t="s">
        <v>1823</v>
      </c>
      <c r="F889">
        <v>1759</v>
      </c>
      <c r="G889">
        <v>2392</v>
      </c>
      <c r="H889" t="s">
        <v>38</v>
      </c>
      <c r="I889" t="s">
        <v>87</v>
      </c>
      <c r="J889" t="s">
        <v>38</v>
      </c>
      <c r="K889" t="s">
        <v>38</v>
      </c>
      <c r="L889" t="s">
        <v>38</v>
      </c>
      <c r="M889" t="s">
        <v>38</v>
      </c>
      <c r="N889" t="s">
        <v>38</v>
      </c>
      <c r="O889" t="s">
        <v>41</v>
      </c>
      <c r="P889" t="s">
        <v>42</v>
      </c>
      <c r="Q889" t="s">
        <v>43</v>
      </c>
      <c r="R889" t="s">
        <v>38</v>
      </c>
      <c r="S889" t="s">
        <v>38</v>
      </c>
      <c r="T889" t="s">
        <v>38</v>
      </c>
      <c r="U889" t="s">
        <v>38</v>
      </c>
      <c r="V889" t="s">
        <v>38</v>
      </c>
      <c r="W889" t="s">
        <v>38</v>
      </c>
      <c r="X889" t="s">
        <v>38</v>
      </c>
      <c r="Y889" t="s">
        <v>38</v>
      </c>
      <c r="Z889" t="s">
        <v>42</v>
      </c>
      <c r="AA889" t="s">
        <v>38</v>
      </c>
      <c r="AB889" t="s">
        <v>38</v>
      </c>
      <c r="AC889" t="s">
        <v>1824</v>
      </c>
      <c r="AD889" t="s">
        <v>48</v>
      </c>
      <c r="AG889" t="str">
        <f>IF(AD889="United States", IFERROR(INDEX(Sheet2!$C:$C, MATCH(AE889&amp;AF889, Sheet2!$E:$E, 0)) &amp; ", " &amp; INDEX(Sheet2!$D:$D, MATCH(AE889&amp;AF889, Sheet2!$E:$E, 0)), ""), "-")</f>
        <v/>
      </c>
    </row>
    <row r="890" spans="1:33" x14ac:dyDescent="0.25">
      <c r="A890" t="s">
        <v>1818</v>
      </c>
      <c r="B890" t="s">
        <v>1825</v>
      </c>
      <c r="C890" t="s">
        <v>1820</v>
      </c>
      <c r="D890" t="s">
        <v>62</v>
      </c>
      <c r="E890" t="s">
        <v>1141</v>
      </c>
      <c r="F890">
        <v>1723</v>
      </c>
      <c r="G890">
        <v>2394</v>
      </c>
      <c r="H890" t="s">
        <v>1821</v>
      </c>
      <c r="I890" t="s">
        <v>87</v>
      </c>
      <c r="J890" t="s">
        <v>38</v>
      </c>
      <c r="K890" t="s">
        <v>38</v>
      </c>
      <c r="L890" t="s">
        <v>38</v>
      </c>
      <c r="M890" t="s">
        <v>38</v>
      </c>
      <c r="N890" t="s">
        <v>38</v>
      </c>
      <c r="O890" t="s">
        <v>41</v>
      </c>
      <c r="P890" t="s">
        <v>42</v>
      </c>
      <c r="Q890" t="s">
        <v>43</v>
      </c>
      <c r="R890" t="s">
        <v>89</v>
      </c>
      <c r="S890" t="s">
        <v>45</v>
      </c>
      <c r="T890" t="s">
        <v>89</v>
      </c>
      <c r="U890" t="s">
        <v>38</v>
      </c>
      <c r="V890" t="s">
        <v>38</v>
      </c>
      <c r="W890" t="s">
        <v>92</v>
      </c>
      <c r="X890" t="s">
        <v>38</v>
      </c>
      <c r="Y890" t="s">
        <v>38</v>
      </c>
      <c r="Z890" t="s">
        <v>42</v>
      </c>
      <c r="AA890" t="s">
        <v>241</v>
      </c>
      <c r="AB890" t="s">
        <v>38</v>
      </c>
      <c r="AC890" t="s">
        <v>45</v>
      </c>
      <c r="AD890" t="s">
        <v>48</v>
      </c>
      <c r="AG890" t="str">
        <f>IF(AD890="United States", IFERROR(INDEX(Sheet2!$C:$C, MATCH(AE890&amp;AF890, Sheet2!$E:$E, 0)) &amp; ", " &amp; INDEX(Sheet2!$D:$D, MATCH(AE890&amp;AF890, Sheet2!$E:$E, 0)), ""), "-")</f>
        <v/>
      </c>
    </row>
    <row r="891" spans="1:33" x14ac:dyDescent="0.25">
      <c r="A891" t="s">
        <v>1818</v>
      </c>
      <c r="B891" t="s">
        <v>1826</v>
      </c>
      <c r="C891" t="s">
        <v>1820</v>
      </c>
      <c r="D891" t="s">
        <v>463</v>
      </c>
      <c r="E891" t="s">
        <v>1827</v>
      </c>
      <c r="F891">
        <v>1763</v>
      </c>
      <c r="G891">
        <v>2393</v>
      </c>
      <c r="H891" t="s">
        <v>1821</v>
      </c>
      <c r="I891" t="s">
        <v>87</v>
      </c>
      <c r="J891" t="s">
        <v>38</v>
      </c>
      <c r="K891" t="s">
        <v>38</v>
      </c>
      <c r="L891" t="s">
        <v>38</v>
      </c>
      <c r="M891" t="s">
        <v>38</v>
      </c>
      <c r="N891" t="s">
        <v>38</v>
      </c>
      <c r="O891" t="s">
        <v>41</v>
      </c>
      <c r="P891" t="s">
        <v>42</v>
      </c>
      <c r="Q891" t="s">
        <v>43</v>
      </c>
      <c r="R891" t="s">
        <v>89</v>
      </c>
      <c r="S891" t="s">
        <v>45</v>
      </c>
      <c r="T891" t="s">
        <v>89</v>
      </c>
      <c r="U891" t="s">
        <v>38</v>
      </c>
      <c r="V891" t="s">
        <v>38</v>
      </c>
      <c r="W891" t="s">
        <v>92</v>
      </c>
      <c r="X891" t="s">
        <v>38</v>
      </c>
      <c r="Y891" t="s">
        <v>38</v>
      </c>
      <c r="Z891" t="s">
        <v>42</v>
      </c>
      <c r="AA891" t="s">
        <v>38</v>
      </c>
      <c r="AB891" t="s">
        <v>38</v>
      </c>
      <c r="AC891" t="s">
        <v>45</v>
      </c>
      <c r="AD891" t="s">
        <v>48</v>
      </c>
      <c r="AG891" t="str">
        <f>IF(AD891="United States", IFERROR(INDEX(Sheet2!$C:$C, MATCH(AE891&amp;AF891, Sheet2!$E:$E, 0)) &amp; ", " &amp; INDEX(Sheet2!$D:$D, MATCH(AE891&amp;AF891, Sheet2!$E:$E, 0)), ""), "-")</f>
        <v/>
      </c>
    </row>
    <row r="892" spans="1:33" x14ac:dyDescent="0.25">
      <c r="A892" t="s">
        <v>1818</v>
      </c>
      <c r="B892" t="s">
        <v>1828</v>
      </c>
      <c r="C892" t="s">
        <v>1820</v>
      </c>
      <c r="D892" t="s">
        <v>1164</v>
      </c>
      <c r="E892" t="s">
        <v>37</v>
      </c>
      <c r="F892">
        <v>1758</v>
      </c>
      <c r="G892">
        <v>2397</v>
      </c>
      <c r="H892" t="s">
        <v>1821</v>
      </c>
      <c r="I892" t="s">
        <v>87</v>
      </c>
      <c r="J892" t="s">
        <v>38</v>
      </c>
      <c r="K892" t="s">
        <v>38</v>
      </c>
      <c r="L892" t="s">
        <v>38</v>
      </c>
      <c r="M892" t="s">
        <v>38</v>
      </c>
      <c r="N892" t="s">
        <v>38</v>
      </c>
      <c r="O892" t="s">
        <v>57</v>
      </c>
      <c r="P892" t="s">
        <v>42</v>
      </c>
      <c r="Q892" t="s">
        <v>43</v>
      </c>
      <c r="R892" t="s">
        <v>89</v>
      </c>
      <c r="S892" t="s">
        <v>38</v>
      </c>
      <c r="T892" t="s">
        <v>89</v>
      </c>
      <c r="U892" t="s">
        <v>38</v>
      </c>
      <c r="V892" t="s">
        <v>38</v>
      </c>
      <c r="W892" t="s">
        <v>92</v>
      </c>
      <c r="X892" t="s">
        <v>38</v>
      </c>
      <c r="Y892" t="s">
        <v>38</v>
      </c>
      <c r="Z892" t="s">
        <v>42</v>
      </c>
      <c r="AA892" t="s">
        <v>38</v>
      </c>
      <c r="AB892" t="s">
        <v>38</v>
      </c>
      <c r="AC892" t="s">
        <v>233</v>
      </c>
      <c r="AD892" t="s">
        <v>48</v>
      </c>
      <c r="AG892" t="str">
        <f>IF(AD892="United States", IFERROR(INDEX(Sheet2!$C:$C, MATCH(AE892&amp;AF892, Sheet2!$E:$E, 0)) &amp; ", " &amp; INDEX(Sheet2!$D:$D, MATCH(AE892&amp;AF892, Sheet2!$E:$E, 0)), ""), "-")</f>
        <v/>
      </c>
    </row>
    <row r="893" spans="1:33" x14ac:dyDescent="0.25">
      <c r="A893" t="s">
        <v>1818</v>
      </c>
      <c r="B893" t="s">
        <v>1829</v>
      </c>
      <c r="C893" t="s">
        <v>1820</v>
      </c>
      <c r="D893" t="s">
        <v>357</v>
      </c>
      <c r="E893" t="s">
        <v>1175</v>
      </c>
      <c r="F893">
        <v>1763</v>
      </c>
      <c r="G893">
        <v>2395</v>
      </c>
      <c r="H893" t="s">
        <v>1821</v>
      </c>
      <c r="I893" t="s">
        <v>87</v>
      </c>
      <c r="J893" t="s">
        <v>38</v>
      </c>
      <c r="K893" t="s">
        <v>38</v>
      </c>
      <c r="L893" t="s">
        <v>38</v>
      </c>
      <c r="M893" t="s">
        <v>38</v>
      </c>
      <c r="N893" t="s">
        <v>38</v>
      </c>
      <c r="O893" t="s">
        <v>41</v>
      </c>
      <c r="P893" t="s">
        <v>42</v>
      </c>
      <c r="Q893" t="s">
        <v>43</v>
      </c>
      <c r="R893" t="s">
        <v>89</v>
      </c>
      <c r="S893" t="s">
        <v>45</v>
      </c>
      <c r="T893" t="s">
        <v>89</v>
      </c>
      <c r="U893" t="s">
        <v>38</v>
      </c>
      <c r="V893" t="s">
        <v>38</v>
      </c>
      <c r="W893" t="s">
        <v>92</v>
      </c>
      <c r="X893" t="s">
        <v>38</v>
      </c>
      <c r="Y893" t="s">
        <v>38</v>
      </c>
      <c r="Z893" t="s">
        <v>42</v>
      </c>
      <c r="AA893" t="s">
        <v>1485</v>
      </c>
      <c r="AB893" t="s">
        <v>38</v>
      </c>
      <c r="AC893" t="s">
        <v>45</v>
      </c>
      <c r="AD893" t="s">
        <v>48</v>
      </c>
      <c r="AG893" t="str">
        <f>IF(AD893="United States", IFERROR(INDEX(Sheet2!$C:$C, MATCH(AE893&amp;AF893, Sheet2!$E:$E, 0)) &amp; ", " &amp; INDEX(Sheet2!$D:$D, MATCH(AE893&amp;AF893, Sheet2!$E:$E, 0)), ""), "-")</f>
        <v/>
      </c>
    </row>
    <row r="894" spans="1:33" x14ac:dyDescent="0.25">
      <c r="A894" t="s">
        <v>1818</v>
      </c>
      <c r="B894" t="s">
        <v>1830</v>
      </c>
      <c r="C894" t="s">
        <v>1820</v>
      </c>
      <c r="D894" t="s">
        <v>803</v>
      </c>
      <c r="E894" t="s">
        <v>1831</v>
      </c>
      <c r="F894">
        <v>1761</v>
      </c>
      <c r="G894">
        <v>2398</v>
      </c>
      <c r="H894" t="s">
        <v>1821</v>
      </c>
      <c r="I894" t="s">
        <v>87</v>
      </c>
      <c r="J894" t="s">
        <v>38</v>
      </c>
      <c r="K894" t="s">
        <v>38</v>
      </c>
      <c r="L894" t="s">
        <v>38</v>
      </c>
      <c r="M894" t="s">
        <v>38</v>
      </c>
      <c r="N894" t="s">
        <v>38</v>
      </c>
      <c r="O894" t="s">
        <v>57</v>
      </c>
      <c r="P894" t="s">
        <v>42</v>
      </c>
      <c r="Q894" t="s">
        <v>43</v>
      </c>
      <c r="R894" t="s">
        <v>89</v>
      </c>
      <c r="S894" t="s">
        <v>45</v>
      </c>
      <c r="T894" t="s">
        <v>89</v>
      </c>
      <c r="U894" t="s">
        <v>38</v>
      </c>
      <c r="V894" t="s">
        <v>38</v>
      </c>
      <c r="W894" t="s">
        <v>92</v>
      </c>
      <c r="X894" t="s">
        <v>38</v>
      </c>
      <c r="Y894" t="s">
        <v>38</v>
      </c>
      <c r="Z894" t="s">
        <v>42</v>
      </c>
      <c r="AA894" t="s">
        <v>878</v>
      </c>
      <c r="AB894" t="s">
        <v>38</v>
      </c>
      <c r="AC894" t="s">
        <v>45</v>
      </c>
      <c r="AD894" t="s">
        <v>48</v>
      </c>
      <c r="AG894" t="str">
        <f>IF(AD894="United States", IFERROR(INDEX(Sheet2!$C:$C, MATCH(AE894&amp;AF894, Sheet2!$E:$E, 0)) &amp; ", " &amp; INDEX(Sheet2!$D:$D, MATCH(AE894&amp;AF894, Sheet2!$E:$E, 0)), ""), "-")</f>
        <v/>
      </c>
    </row>
    <row r="895" spans="1:33" x14ac:dyDescent="0.25">
      <c r="A895" t="s">
        <v>1818</v>
      </c>
      <c r="B895" t="s">
        <v>1832</v>
      </c>
      <c r="C895" t="s">
        <v>1820</v>
      </c>
      <c r="D895" t="s">
        <v>1230</v>
      </c>
      <c r="E895" t="s">
        <v>1833</v>
      </c>
      <c r="F895">
        <v>1770</v>
      </c>
      <c r="G895">
        <v>2408</v>
      </c>
      <c r="H895" t="s">
        <v>1821</v>
      </c>
      <c r="I895" t="s">
        <v>87</v>
      </c>
      <c r="J895" t="s">
        <v>38</v>
      </c>
      <c r="K895" t="s">
        <v>38</v>
      </c>
      <c r="L895" t="s">
        <v>38</v>
      </c>
      <c r="M895" t="s">
        <v>38</v>
      </c>
      <c r="N895" t="s">
        <v>38</v>
      </c>
      <c r="O895" t="s">
        <v>74</v>
      </c>
      <c r="P895" t="s">
        <v>42</v>
      </c>
      <c r="Q895" t="s">
        <v>43</v>
      </c>
      <c r="R895" t="s">
        <v>89</v>
      </c>
      <c r="S895" t="s">
        <v>38</v>
      </c>
      <c r="T895" t="s">
        <v>89</v>
      </c>
      <c r="U895" t="s">
        <v>38</v>
      </c>
      <c r="V895" t="s">
        <v>38</v>
      </c>
      <c r="W895" t="s">
        <v>92</v>
      </c>
      <c r="X895" t="s">
        <v>38</v>
      </c>
      <c r="Y895" t="s">
        <v>38</v>
      </c>
      <c r="Z895" t="s">
        <v>42</v>
      </c>
      <c r="AA895" t="s">
        <v>38</v>
      </c>
      <c r="AB895" t="s">
        <v>38</v>
      </c>
      <c r="AC895" t="s">
        <v>38</v>
      </c>
      <c r="AD895" t="s">
        <v>48</v>
      </c>
      <c r="AG895" t="str">
        <f>IF(AD895="United States", IFERROR(INDEX(Sheet2!$C:$C, MATCH(AE895&amp;AF895, Sheet2!$E:$E, 0)) &amp; ", " &amp; INDEX(Sheet2!$D:$D, MATCH(AE895&amp;AF895, Sheet2!$E:$E, 0)), ""), "-")</f>
        <v/>
      </c>
    </row>
    <row r="896" spans="1:33" x14ac:dyDescent="0.25">
      <c r="A896" t="s">
        <v>1818</v>
      </c>
      <c r="B896" t="s">
        <v>1834</v>
      </c>
      <c r="C896" t="s">
        <v>1820</v>
      </c>
      <c r="D896" t="s">
        <v>263</v>
      </c>
      <c r="E896" t="s">
        <v>1141</v>
      </c>
      <c r="F896">
        <v>1729</v>
      </c>
      <c r="G896">
        <v>2400</v>
      </c>
      <c r="H896" t="s">
        <v>1821</v>
      </c>
      <c r="I896" t="s">
        <v>87</v>
      </c>
      <c r="J896" t="s">
        <v>38</v>
      </c>
      <c r="K896" t="s">
        <v>38</v>
      </c>
      <c r="L896" t="s">
        <v>38</v>
      </c>
      <c r="M896" t="s">
        <v>38</v>
      </c>
      <c r="N896" t="s">
        <v>38</v>
      </c>
      <c r="O896" t="s">
        <v>57</v>
      </c>
      <c r="P896" t="s">
        <v>42</v>
      </c>
      <c r="Q896" t="s">
        <v>43</v>
      </c>
      <c r="R896" t="s">
        <v>89</v>
      </c>
      <c r="S896" t="s">
        <v>45</v>
      </c>
      <c r="T896" t="s">
        <v>89</v>
      </c>
      <c r="U896" t="s">
        <v>38</v>
      </c>
      <c r="V896" t="s">
        <v>38</v>
      </c>
      <c r="W896" t="s">
        <v>92</v>
      </c>
      <c r="X896" t="s">
        <v>38</v>
      </c>
      <c r="Y896" t="s">
        <v>38</v>
      </c>
      <c r="Z896" t="s">
        <v>42</v>
      </c>
      <c r="AA896" t="s">
        <v>38</v>
      </c>
      <c r="AB896" t="s">
        <v>38</v>
      </c>
      <c r="AC896" t="s">
        <v>45</v>
      </c>
      <c r="AD896" t="s">
        <v>48</v>
      </c>
      <c r="AG896" t="str">
        <f>IF(AD896="United States", IFERROR(INDEX(Sheet2!$C:$C, MATCH(AE896&amp;AF896, Sheet2!$E:$E, 0)) &amp; ", " &amp; INDEX(Sheet2!$D:$D, MATCH(AE896&amp;AF896, Sheet2!$E:$E, 0)), ""), "-")</f>
        <v/>
      </c>
    </row>
    <row r="897" spans="1:33" x14ac:dyDescent="0.25">
      <c r="A897" t="s">
        <v>1818</v>
      </c>
      <c r="B897" t="s">
        <v>1835</v>
      </c>
      <c r="C897" t="s">
        <v>1820</v>
      </c>
      <c r="D897" t="s">
        <v>834</v>
      </c>
      <c r="E897" t="s">
        <v>1836</v>
      </c>
      <c r="F897">
        <v>1759</v>
      </c>
      <c r="G897">
        <v>2401</v>
      </c>
      <c r="H897" t="s">
        <v>38</v>
      </c>
      <c r="I897" t="s">
        <v>87</v>
      </c>
      <c r="J897" t="s">
        <v>38</v>
      </c>
      <c r="K897" t="s">
        <v>38</v>
      </c>
      <c r="L897" t="s">
        <v>38</v>
      </c>
      <c r="M897" t="s">
        <v>38</v>
      </c>
      <c r="N897" t="s">
        <v>38</v>
      </c>
      <c r="O897" t="s">
        <v>57</v>
      </c>
      <c r="P897" t="s">
        <v>42</v>
      </c>
      <c r="Q897" t="s">
        <v>43</v>
      </c>
      <c r="R897" t="s">
        <v>1135</v>
      </c>
      <c r="S897" t="s">
        <v>45</v>
      </c>
      <c r="T897" t="s">
        <v>38</v>
      </c>
      <c r="U897" t="s">
        <v>38</v>
      </c>
      <c r="V897" t="s">
        <v>38</v>
      </c>
      <c r="W897" t="s">
        <v>38</v>
      </c>
      <c r="X897" t="s">
        <v>38</v>
      </c>
      <c r="Y897" t="s">
        <v>38</v>
      </c>
      <c r="Z897" t="s">
        <v>42</v>
      </c>
      <c r="AA897" t="s">
        <v>1135</v>
      </c>
      <c r="AB897" t="s">
        <v>38</v>
      </c>
      <c r="AC897" t="s">
        <v>45</v>
      </c>
      <c r="AD897" t="s">
        <v>48</v>
      </c>
      <c r="AG897" t="str">
        <f>IF(AD897="United States", IFERROR(INDEX(Sheet2!$C:$C, MATCH(AE897&amp;AF897, Sheet2!$E:$E, 0)) &amp; ", " &amp; INDEX(Sheet2!$D:$D, MATCH(AE897&amp;AF897, Sheet2!$E:$E, 0)), ""), "-")</f>
        <v/>
      </c>
    </row>
    <row r="898" spans="1:33" x14ac:dyDescent="0.25">
      <c r="A898" t="s">
        <v>1818</v>
      </c>
      <c r="B898" t="s">
        <v>1837</v>
      </c>
      <c r="C898" t="s">
        <v>1820</v>
      </c>
      <c r="D898" t="s">
        <v>245</v>
      </c>
      <c r="E898" t="s">
        <v>1838</v>
      </c>
      <c r="F898">
        <v>1755</v>
      </c>
      <c r="G898">
        <v>2402</v>
      </c>
      <c r="H898" t="s">
        <v>1821</v>
      </c>
      <c r="I898" t="s">
        <v>87</v>
      </c>
      <c r="J898" t="s">
        <v>38</v>
      </c>
      <c r="K898" t="s">
        <v>38</v>
      </c>
      <c r="L898" t="s">
        <v>38</v>
      </c>
      <c r="M898" t="s">
        <v>38</v>
      </c>
      <c r="N898" t="s">
        <v>38</v>
      </c>
      <c r="O898" t="s">
        <v>57</v>
      </c>
      <c r="P898" t="s">
        <v>42</v>
      </c>
      <c r="Q898" t="s">
        <v>43</v>
      </c>
      <c r="R898" t="s">
        <v>89</v>
      </c>
      <c r="S898" t="s">
        <v>38</v>
      </c>
      <c r="T898" t="s">
        <v>89</v>
      </c>
      <c r="U898" t="s">
        <v>38</v>
      </c>
      <c r="V898" t="s">
        <v>38</v>
      </c>
      <c r="W898" t="s">
        <v>92</v>
      </c>
      <c r="X898" t="s">
        <v>38</v>
      </c>
      <c r="Y898" t="s">
        <v>38</v>
      </c>
      <c r="Z898" t="s">
        <v>42</v>
      </c>
      <c r="AA898" t="s">
        <v>38</v>
      </c>
      <c r="AB898" t="s">
        <v>38</v>
      </c>
      <c r="AC898" t="s">
        <v>38</v>
      </c>
      <c r="AD898" t="s">
        <v>48</v>
      </c>
      <c r="AG898" t="str">
        <f>IF(AD898="United States", IFERROR(INDEX(Sheet2!$C:$C, MATCH(AE898&amp;AF898, Sheet2!$E:$E, 0)) &amp; ", " &amp; INDEX(Sheet2!$D:$D, MATCH(AE898&amp;AF898, Sheet2!$E:$E, 0)), ""), "-")</f>
        <v/>
      </c>
    </row>
    <row r="899" spans="1:33" x14ac:dyDescent="0.25">
      <c r="A899" t="s">
        <v>1818</v>
      </c>
      <c r="B899" t="s">
        <v>1839</v>
      </c>
      <c r="C899" t="s">
        <v>1820</v>
      </c>
      <c r="D899" t="s">
        <v>1840</v>
      </c>
      <c r="E899" t="s">
        <v>191</v>
      </c>
      <c r="F899">
        <v>1760</v>
      </c>
      <c r="G899">
        <v>2403</v>
      </c>
      <c r="H899" t="s">
        <v>1821</v>
      </c>
      <c r="I899" t="s">
        <v>87</v>
      </c>
      <c r="J899" t="s">
        <v>38</v>
      </c>
      <c r="K899" t="s">
        <v>38</v>
      </c>
      <c r="L899" t="s">
        <v>38</v>
      </c>
      <c r="M899" t="s">
        <v>38</v>
      </c>
      <c r="N899" t="s">
        <v>38</v>
      </c>
      <c r="O899" t="s">
        <v>57</v>
      </c>
      <c r="P899" t="s">
        <v>42</v>
      </c>
      <c r="Q899" t="s">
        <v>43</v>
      </c>
      <c r="R899" t="s">
        <v>89</v>
      </c>
      <c r="S899" t="s">
        <v>38</v>
      </c>
      <c r="T899" t="s">
        <v>89</v>
      </c>
      <c r="U899" t="s">
        <v>38</v>
      </c>
      <c r="V899" t="s">
        <v>38</v>
      </c>
      <c r="W899" t="s">
        <v>92</v>
      </c>
      <c r="X899" t="s">
        <v>38</v>
      </c>
      <c r="Y899" t="s">
        <v>38</v>
      </c>
      <c r="Z899" t="s">
        <v>42</v>
      </c>
      <c r="AA899" t="s">
        <v>38</v>
      </c>
      <c r="AB899" t="s">
        <v>38</v>
      </c>
      <c r="AC899" t="s">
        <v>233</v>
      </c>
      <c r="AD899" t="s">
        <v>48</v>
      </c>
      <c r="AG899" t="str">
        <f>IF(AD899="United States", IFERROR(INDEX(Sheet2!$C:$C, MATCH(AE899&amp;AF899, Sheet2!$E:$E, 0)) &amp; ", " &amp; INDEX(Sheet2!$D:$D, MATCH(AE899&amp;AF899, Sheet2!$E:$E, 0)), ""), "-")</f>
        <v/>
      </c>
    </row>
    <row r="900" spans="1:33" x14ac:dyDescent="0.25">
      <c r="A900" t="s">
        <v>1818</v>
      </c>
      <c r="B900" t="s">
        <v>1841</v>
      </c>
      <c r="C900" t="s">
        <v>1820</v>
      </c>
      <c r="D900" t="s">
        <v>1103</v>
      </c>
      <c r="E900" t="s">
        <v>1823</v>
      </c>
      <c r="F900">
        <v>1767</v>
      </c>
      <c r="G900">
        <v>2404</v>
      </c>
      <c r="H900" t="s">
        <v>1821</v>
      </c>
      <c r="I900" t="s">
        <v>87</v>
      </c>
      <c r="J900" t="s">
        <v>38</v>
      </c>
      <c r="K900" t="s">
        <v>38</v>
      </c>
      <c r="L900" t="s">
        <v>38</v>
      </c>
      <c r="M900" t="s">
        <v>38</v>
      </c>
      <c r="N900" t="s">
        <v>38</v>
      </c>
      <c r="O900" t="s">
        <v>74</v>
      </c>
      <c r="P900" t="s">
        <v>42</v>
      </c>
      <c r="Q900" t="s">
        <v>43</v>
      </c>
      <c r="R900" t="s">
        <v>89</v>
      </c>
      <c r="S900" t="s">
        <v>45</v>
      </c>
      <c r="T900" t="s">
        <v>89</v>
      </c>
      <c r="U900" t="s">
        <v>38</v>
      </c>
      <c r="V900" t="s">
        <v>38</v>
      </c>
      <c r="W900" t="s">
        <v>92</v>
      </c>
      <c r="X900" t="s">
        <v>38</v>
      </c>
      <c r="Y900" t="s">
        <v>38</v>
      </c>
      <c r="Z900" t="s">
        <v>42</v>
      </c>
      <c r="AA900" t="s">
        <v>38</v>
      </c>
      <c r="AB900" t="s">
        <v>38</v>
      </c>
      <c r="AC900" t="s">
        <v>45</v>
      </c>
      <c r="AD900" t="s">
        <v>48</v>
      </c>
      <c r="AG900" t="str">
        <f>IF(AD900="United States", IFERROR(INDEX(Sheet2!$C:$C, MATCH(AE900&amp;AF900, Sheet2!$E:$E, 0)) &amp; ", " &amp; INDEX(Sheet2!$D:$D, MATCH(AE900&amp;AF900, Sheet2!$E:$E, 0)), ""), "-")</f>
        <v/>
      </c>
    </row>
    <row r="901" spans="1:33" x14ac:dyDescent="0.25">
      <c r="A901" t="s">
        <v>1818</v>
      </c>
      <c r="B901" t="s">
        <v>1842</v>
      </c>
      <c r="C901" t="s">
        <v>1820</v>
      </c>
      <c r="D901" t="s">
        <v>1230</v>
      </c>
      <c r="E901" t="s">
        <v>1141</v>
      </c>
      <c r="F901">
        <v>1766</v>
      </c>
      <c r="G901">
        <v>2405</v>
      </c>
      <c r="H901" t="s">
        <v>1821</v>
      </c>
      <c r="I901" t="s">
        <v>87</v>
      </c>
      <c r="J901" t="s">
        <v>38</v>
      </c>
      <c r="K901" t="s">
        <v>38</v>
      </c>
      <c r="L901" t="s">
        <v>38</v>
      </c>
      <c r="M901" t="s">
        <v>38</v>
      </c>
      <c r="N901" t="s">
        <v>38</v>
      </c>
      <c r="O901" t="s">
        <v>74</v>
      </c>
      <c r="P901" t="s">
        <v>42</v>
      </c>
      <c r="Q901" t="s">
        <v>43</v>
      </c>
      <c r="R901" t="s">
        <v>89</v>
      </c>
      <c r="S901" t="s">
        <v>45</v>
      </c>
      <c r="T901" t="s">
        <v>89</v>
      </c>
      <c r="U901" t="s">
        <v>38</v>
      </c>
      <c r="V901" t="s">
        <v>38</v>
      </c>
      <c r="W901" t="s">
        <v>92</v>
      </c>
      <c r="X901" t="s">
        <v>38</v>
      </c>
      <c r="Y901" t="s">
        <v>38</v>
      </c>
      <c r="Z901" t="s">
        <v>42</v>
      </c>
      <c r="AA901" t="s">
        <v>1485</v>
      </c>
      <c r="AB901" t="s">
        <v>38</v>
      </c>
      <c r="AC901" t="s">
        <v>45</v>
      </c>
      <c r="AD901" t="s">
        <v>48</v>
      </c>
      <c r="AG901" t="str">
        <f>IF(AD901="United States", IFERROR(INDEX(Sheet2!$C:$C, MATCH(AE901&amp;AF901, Sheet2!$E:$E, 0)) &amp; ", " &amp; INDEX(Sheet2!$D:$D, MATCH(AE901&amp;AF901, Sheet2!$E:$E, 0)), ""), "-")</f>
        <v/>
      </c>
    </row>
    <row r="902" spans="1:33" x14ac:dyDescent="0.25">
      <c r="A902" t="s">
        <v>1818</v>
      </c>
      <c r="B902" t="s">
        <v>1843</v>
      </c>
      <c r="C902" t="s">
        <v>1820</v>
      </c>
      <c r="D902" t="s">
        <v>803</v>
      </c>
      <c r="E902" t="s">
        <v>391</v>
      </c>
      <c r="F902">
        <v>1757</v>
      </c>
      <c r="G902">
        <v>2406</v>
      </c>
      <c r="H902" t="s">
        <v>1821</v>
      </c>
      <c r="I902" t="s">
        <v>87</v>
      </c>
      <c r="J902" t="s">
        <v>38</v>
      </c>
      <c r="K902" t="s">
        <v>38</v>
      </c>
      <c r="L902" t="s">
        <v>38</v>
      </c>
      <c r="M902" t="s">
        <v>38</v>
      </c>
      <c r="N902" t="s">
        <v>38</v>
      </c>
      <c r="O902" t="s">
        <v>57</v>
      </c>
      <c r="P902" t="s">
        <v>42</v>
      </c>
      <c r="Q902" t="s">
        <v>43</v>
      </c>
      <c r="R902" t="s">
        <v>89</v>
      </c>
      <c r="S902" t="s">
        <v>38</v>
      </c>
      <c r="T902" t="s">
        <v>89</v>
      </c>
      <c r="U902" t="s">
        <v>38</v>
      </c>
      <c r="V902" t="s">
        <v>38</v>
      </c>
      <c r="W902" t="s">
        <v>92</v>
      </c>
      <c r="X902" t="s">
        <v>38</v>
      </c>
      <c r="Y902" t="s">
        <v>38</v>
      </c>
      <c r="Z902" t="s">
        <v>42</v>
      </c>
      <c r="AA902" t="s">
        <v>38</v>
      </c>
      <c r="AB902" t="s">
        <v>38</v>
      </c>
      <c r="AC902" t="s">
        <v>38</v>
      </c>
      <c r="AD902" t="s">
        <v>48</v>
      </c>
      <c r="AG902" t="str">
        <f>IF(AD902="United States", IFERROR(INDEX(Sheet2!$C:$C, MATCH(AE902&amp;AF902, Sheet2!$E:$E, 0)) &amp; ", " &amp; INDEX(Sheet2!$D:$D, MATCH(AE902&amp;AF902, Sheet2!$E:$E, 0)), ""), "-")</f>
        <v/>
      </c>
    </row>
    <row r="903" spans="1:33" x14ac:dyDescent="0.25">
      <c r="A903" t="s">
        <v>1818</v>
      </c>
      <c r="B903" t="s">
        <v>1844</v>
      </c>
      <c r="C903" t="s">
        <v>1820</v>
      </c>
      <c r="D903" t="s">
        <v>1845</v>
      </c>
      <c r="E903" t="s">
        <v>1833</v>
      </c>
      <c r="F903">
        <v>1729</v>
      </c>
      <c r="G903">
        <v>2407</v>
      </c>
      <c r="H903" t="s">
        <v>38</v>
      </c>
      <c r="I903" t="s">
        <v>87</v>
      </c>
      <c r="J903" t="s">
        <v>38</v>
      </c>
      <c r="K903" t="s">
        <v>38</v>
      </c>
      <c r="L903" t="s">
        <v>38</v>
      </c>
      <c r="M903" t="s">
        <v>38</v>
      </c>
      <c r="N903" t="s">
        <v>38</v>
      </c>
      <c r="O903" t="s">
        <v>57</v>
      </c>
      <c r="P903" t="s">
        <v>42</v>
      </c>
      <c r="Q903" t="s">
        <v>43</v>
      </c>
      <c r="R903" t="s">
        <v>38</v>
      </c>
      <c r="S903" t="s">
        <v>38</v>
      </c>
      <c r="T903" t="s">
        <v>38</v>
      </c>
      <c r="U903" t="s">
        <v>38</v>
      </c>
      <c r="V903" t="s">
        <v>38</v>
      </c>
      <c r="W903" t="s">
        <v>38</v>
      </c>
      <c r="X903" t="s">
        <v>38</v>
      </c>
      <c r="Y903" t="s">
        <v>38</v>
      </c>
      <c r="Z903" t="s">
        <v>42</v>
      </c>
      <c r="AA903" t="s">
        <v>38</v>
      </c>
      <c r="AB903" t="s">
        <v>38</v>
      </c>
      <c r="AC903" t="s">
        <v>38</v>
      </c>
      <c r="AD903" t="s">
        <v>48</v>
      </c>
      <c r="AG903" t="str">
        <f>IF(AD903="United States", IFERROR(INDEX(Sheet2!$C:$C, MATCH(AE903&amp;AF903, Sheet2!$E:$E, 0)) &amp; ", " &amp; INDEX(Sheet2!$D:$D, MATCH(AE903&amp;AF903, Sheet2!$E:$E, 0)), ""), "-")</f>
        <v/>
      </c>
    </row>
    <row r="904" spans="1:33" x14ac:dyDescent="0.25">
      <c r="A904" t="s">
        <v>1818</v>
      </c>
      <c r="B904" t="s">
        <v>1846</v>
      </c>
      <c r="C904" t="s">
        <v>1820</v>
      </c>
      <c r="D904" t="s">
        <v>774</v>
      </c>
      <c r="E904" t="s">
        <v>1847</v>
      </c>
      <c r="F904">
        <v>1762</v>
      </c>
      <c r="G904">
        <v>2391</v>
      </c>
      <c r="H904" t="s">
        <v>1821</v>
      </c>
      <c r="I904" t="s">
        <v>87</v>
      </c>
      <c r="J904" t="s">
        <v>38</v>
      </c>
      <c r="K904" t="s">
        <v>38</v>
      </c>
      <c r="L904" t="s">
        <v>38</v>
      </c>
      <c r="M904" t="s">
        <v>38</v>
      </c>
      <c r="N904" t="s">
        <v>38</v>
      </c>
      <c r="O904" t="s">
        <v>41</v>
      </c>
      <c r="P904" t="s">
        <v>42</v>
      </c>
      <c r="Q904" t="s">
        <v>43</v>
      </c>
      <c r="R904" t="s">
        <v>89</v>
      </c>
      <c r="S904" t="s">
        <v>153</v>
      </c>
      <c r="T904" t="s">
        <v>89</v>
      </c>
      <c r="U904" t="s">
        <v>38</v>
      </c>
      <c r="V904" t="s">
        <v>38</v>
      </c>
      <c r="W904" t="s">
        <v>92</v>
      </c>
      <c r="X904" t="s">
        <v>38</v>
      </c>
      <c r="Y904" t="s">
        <v>38</v>
      </c>
      <c r="Z904" t="s">
        <v>42</v>
      </c>
      <c r="AA904" t="s">
        <v>155</v>
      </c>
      <c r="AB904" t="s">
        <v>153</v>
      </c>
      <c r="AC904" t="s">
        <v>153</v>
      </c>
      <c r="AD904" t="s">
        <v>48</v>
      </c>
      <c r="AG904" t="str">
        <f>IF(AD904="United States", IFERROR(INDEX(Sheet2!$C:$C, MATCH(AE904&amp;AF904, Sheet2!$E:$E, 0)) &amp; ", " &amp; INDEX(Sheet2!$D:$D, MATCH(AE904&amp;AF904, Sheet2!$E:$E, 0)), ""), "-")</f>
        <v/>
      </c>
    </row>
    <row r="905" spans="1:33" x14ac:dyDescent="0.25">
      <c r="A905" t="s">
        <v>1818</v>
      </c>
      <c r="B905" t="s">
        <v>1848</v>
      </c>
      <c r="C905" t="s">
        <v>1820</v>
      </c>
      <c r="D905" t="s">
        <v>72</v>
      </c>
      <c r="E905" t="s">
        <v>1849</v>
      </c>
      <c r="F905">
        <v>1749</v>
      </c>
      <c r="G905">
        <v>2409</v>
      </c>
      <c r="H905" t="s">
        <v>1821</v>
      </c>
      <c r="I905" t="s">
        <v>87</v>
      </c>
      <c r="J905" t="s">
        <v>38</v>
      </c>
      <c r="K905" t="s">
        <v>38</v>
      </c>
      <c r="L905" t="s">
        <v>38</v>
      </c>
      <c r="M905" t="s">
        <v>38</v>
      </c>
      <c r="N905" t="s">
        <v>38</v>
      </c>
      <c r="O905" t="s">
        <v>57</v>
      </c>
      <c r="P905" t="s">
        <v>42</v>
      </c>
      <c r="Q905" t="s">
        <v>43</v>
      </c>
      <c r="R905" t="s">
        <v>89</v>
      </c>
      <c r="S905" t="s">
        <v>153</v>
      </c>
      <c r="T905" t="s">
        <v>89</v>
      </c>
      <c r="U905" t="s">
        <v>38</v>
      </c>
      <c r="V905" t="s">
        <v>38</v>
      </c>
      <c r="W905" t="s">
        <v>92</v>
      </c>
      <c r="X905" t="s">
        <v>38</v>
      </c>
      <c r="Y905" t="s">
        <v>38</v>
      </c>
      <c r="Z905" t="s">
        <v>42</v>
      </c>
      <c r="AA905" t="s">
        <v>155</v>
      </c>
      <c r="AB905" t="s">
        <v>38</v>
      </c>
      <c r="AC905" t="s">
        <v>153</v>
      </c>
      <c r="AD905" t="s">
        <v>48</v>
      </c>
      <c r="AG905" t="str">
        <f>IF(AD905="United States", IFERROR(INDEX(Sheet2!$C:$C, MATCH(AE905&amp;AF905, Sheet2!$E:$E, 0)) &amp; ", " &amp; INDEX(Sheet2!$D:$D, MATCH(AE905&amp;AF905, Sheet2!$E:$E, 0)), ""), "-")</f>
        <v/>
      </c>
    </row>
    <row r="906" spans="1:33" x14ac:dyDescent="0.25">
      <c r="A906" t="s">
        <v>1818</v>
      </c>
      <c r="B906" t="s">
        <v>1850</v>
      </c>
      <c r="C906" t="s">
        <v>1820</v>
      </c>
      <c r="D906" t="s">
        <v>1851</v>
      </c>
      <c r="E906" t="s">
        <v>37</v>
      </c>
      <c r="F906">
        <v>1764</v>
      </c>
      <c r="G906">
        <v>2410</v>
      </c>
      <c r="H906" t="s">
        <v>1821</v>
      </c>
      <c r="I906" t="s">
        <v>87</v>
      </c>
      <c r="J906" t="s">
        <v>38</v>
      </c>
      <c r="K906" t="s">
        <v>38</v>
      </c>
      <c r="L906" t="s">
        <v>38</v>
      </c>
      <c r="M906" t="s">
        <v>38</v>
      </c>
      <c r="N906" t="s">
        <v>38</v>
      </c>
      <c r="O906" t="s">
        <v>74</v>
      </c>
      <c r="P906" t="s">
        <v>42</v>
      </c>
      <c r="Q906" t="s">
        <v>43</v>
      </c>
      <c r="R906" t="s">
        <v>89</v>
      </c>
      <c r="S906" t="s">
        <v>38</v>
      </c>
      <c r="T906" t="s">
        <v>89</v>
      </c>
      <c r="U906" t="s">
        <v>38</v>
      </c>
      <c r="V906" t="s">
        <v>38</v>
      </c>
      <c r="W906" t="s">
        <v>92</v>
      </c>
      <c r="X906" t="s">
        <v>38</v>
      </c>
      <c r="Y906" t="s">
        <v>38</v>
      </c>
      <c r="Z906" t="s">
        <v>42</v>
      </c>
      <c r="AA906" t="s">
        <v>1852</v>
      </c>
      <c r="AB906" t="s">
        <v>38</v>
      </c>
      <c r="AC906" t="s">
        <v>60</v>
      </c>
      <c r="AD906" t="s">
        <v>48</v>
      </c>
      <c r="AG906" t="str">
        <f>IF(AD906="United States", IFERROR(INDEX(Sheet2!$C:$C, MATCH(AE906&amp;AF906, Sheet2!$E:$E, 0)) &amp; ", " &amp; INDEX(Sheet2!$D:$D, MATCH(AE906&amp;AF906, Sheet2!$E:$E, 0)), ""), "-")</f>
        <v/>
      </c>
    </row>
    <row r="907" spans="1:33" x14ac:dyDescent="0.25">
      <c r="A907" t="s">
        <v>1818</v>
      </c>
      <c r="D907" t="s">
        <v>1853</v>
      </c>
      <c r="E907" t="s">
        <v>1854</v>
      </c>
      <c r="F907">
        <v>1761</v>
      </c>
      <c r="G907">
        <v>2440</v>
      </c>
      <c r="H907">
        <v>75</v>
      </c>
      <c r="J907" t="s">
        <v>1855</v>
      </c>
      <c r="O907" t="s">
        <v>57</v>
      </c>
      <c r="R907" t="s">
        <v>89</v>
      </c>
      <c r="T907" t="s">
        <v>89</v>
      </c>
      <c r="V907" t="s">
        <v>1619</v>
      </c>
      <c r="W907" t="s">
        <v>92</v>
      </c>
      <c r="Y907" t="s">
        <v>38</v>
      </c>
      <c r="AA907" t="s">
        <v>38</v>
      </c>
      <c r="AB907" t="s">
        <v>38</v>
      </c>
      <c r="AC907" t="s">
        <v>38</v>
      </c>
      <c r="AD907" t="s">
        <v>48</v>
      </c>
      <c r="AG907" t="str">
        <f>IF(AD907="United States", IFERROR(INDEX(Sheet2!$C:$C, MATCH(AE907&amp;AF907, Sheet2!$E:$E, 0)) &amp; ", " &amp; INDEX(Sheet2!$D:$D, MATCH(AE907&amp;AF907, Sheet2!$E:$E, 0)), ""), "-")</f>
        <v/>
      </c>
    </row>
    <row r="908" spans="1:33" x14ac:dyDescent="0.25">
      <c r="A908" t="s">
        <v>1818</v>
      </c>
      <c r="B908" t="s">
        <v>1856</v>
      </c>
      <c r="C908" t="s">
        <v>1820</v>
      </c>
      <c r="D908" t="s">
        <v>1857</v>
      </c>
      <c r="E908" t="s">
        <v>1858</v>
      </c>
      <c r="F908">
        <v>1721</v>
      </c>
      <c r="G908">
        <v>2411</v>
      </c>
      <c r="H908" t="s">
        <v>1821</v>
      </c>
      <c r="I908" t="s">
        <v>87</v>
      </c>
      <c r="J908" t="s">
        <v>38</v>
      </c>
      <c r="K908" t="s">
        <v>38</v>
      </c>
      <c r="L908" t="s">
        <v>38</v>
      </c>
      <c r="M908" t="s">
        <v>38</v>
      </c>
      <c r="N908" t="s">
        <v>38</v>
      </c>
      <c r="O908" t="s">
        <v>57</v>
      </c>
      <c r="P908" t="s">
        <v>42</v>
      </c>
      <c r="Q908" t="s">
        <v>43</v>
      </c>
      <c r="R908" t="s">
        <v>89</v>
      </c>
      <c r="S908" t="s">
        <v>45</v>
      </c>
      <c r="T908" t="s">
        <v>89</v>
      </c>
      <c r="U908" t="s">
        <v>38</v>
      </c>
      <c r="V908" t="s">
        <v>38</v>
      </c>
      <c r="W908" t="s">
        <v>92</v>
      </c>
      <c r="X908" t="s">
        <v>38</v>
      </c>
      <c r="Y908" t="s">
        <v>38</v>
      </c>
      <c r="Z908" t="s">
        <v>42</v>
      </c>
      <c r="AA908" t="s">
        <v>169</v>
      </c>
      <c r="AB908" t="s">
        <v>38</v>
      </c>
      <c r="AC908" t="s">
        <v>45</v>
      </c>
      <c r="AD908" t="s">
        <v>48</v>
      </c>
      <c r="AG908" t="str">
        <f>IF(AD908="United States", IFERROR(INDEX(Sheet2!$C:$C, MATCH(AE908&amp;AF908, Sheet2!$E:$E, 0)) &amp; ", " &amp; INDEX(Sheet2!$D:$D, MATCH(AE908&amp;AF908, Sheet2!$E:$E, 0)), ""), "-")</f>
        <v/>
      </c>
    </row>
    <row r="909" spans="1:33" x14ac:dyDescent="0.25">
      <c r="A909" t="s">
        <v>1818</v>
      </c>
      <c r="B909" t="s">
        <v>1859</v>
      </c>
      <c r="C909" t="s">
        <v>1820</v>
      </c>
      <c r="D909" t="s">
        <v>222</v>
      </c>
      <c r="E909" t="s">
        <v>37</v>
      </c>
      <c r="F909">
        <v>1729</v>
      </c>
      <c r="G909">
        <v>2412</v>
      </c>
      <c r="H909" t="s">
        <v>1821</v>
      </c>
      <c r="I909" t="s">
        <v>87</v>
      </c>
      <c r="J909" t="s">
        <v>38</v>
      </c>
      <c r="K909" t="s">
        <v>38</v>
      </c>
      <c r="L909" t="s">
        <v>38</v>
      </c>
      <c r="M909" t="s">
        <v>1857</v>
      </c>
      <c r="N909" t="s">
        <v>1858</v>
      </c>
      <c r="O909" t="s">
        <v>57</v>
      </c>
      <c r="P909" t="s">
        <v>42</v>
      </c>
      <c r="Q909" t="s">
        <v>43</v>
      </c>
      <c r="R909" t="s">
        <v>89</v>
      </c>
      <c r="S909" t="s">
        <v>89</v>
      </c>
      <c r="T909" t="s">
        <v>89</v>
      </c>
      <c r="U909" t="s">
        <v>38</v>
      </c>
      <c r="V909" t="s">
        <v>38</v>
      </c>
      <c r="W909" t="s">
        <v>92</v>
      </c>
      <c r="X909" t="s">
        <v>38</v>
      </c>
      <c r="Y909" t="s">
        <v>38</v>
      </c>
      <c r="Z909" t="s">
        <v>42</v>
      </c>
      <c r="AA909" t="s">
        <v>38</v>
      </c>
      <c r="AB909" t="s">
        <v>38</v>
      </c>
      <c r="AC909" t="s">
        <v>89</v>
      </c>
      <c r="AD909" t="s">
        <v>48</v>
      </c>
      <c r="AG909" t="str">
        <f>IF(AD909="United States", IFERROR(INDEX(Sheet2!$C:$C, MATCH(AE909&amp;AF909, Sheet2!$E:$E, 0)) &amp; ", " &amp; INDEX(Sheet2!$D:$D, MATCH(AE909&amp;AF909, Sheet2!$E:$E, 0)), ""), "-")</f>
        <v/>
      </c>
    </row>
    <row r="910" spans="1:33" x14ac:dyDescent="0.25">
      <c r="A910" t="s">
        <v>1818</v>
      </c>
      <c r="B910" t="s">
        <v>1860</v>
      </c>
      <c r="C910" t="s">
        <v>1820</v>
      </c>
      <c r="D910" t="s">
        <v>1168</v>
      </c>
      <c r="E910" t="s">
        <v>1861</v>
      </c>
      <c r="F910">
        <v>1763</v>
      </c>
      <c r="G910">
        <v>2399</v>
      </c>
      <c r="H910" t="s">
        <v>1821</v>
      </c>
      <c r="I910" t="s">
        <v>87</v>
      </c>
      <c r="J910" t="s">
        <v>38</v>
      </c>
      <c r="K910" t="s">
        <v>38</v>
      </c>
      <c r="L910" t="s">
        <v>38</v>
      </c>
      <c r="M910" t="s">
        <v>803</v>
      </c>
      <c r="N910" t="s">
        <v>1831</v>
      </c>
      <c r="O910" t="s">
        <v>57</v>
      </c>
      <c r="P910" t="s">
        <v>42</v>
      </c>
      <c r="Q910" t="s">
        <v>43</v>
      </c>
      <c r="R910" t="s">
        <v>89</v>
      </c>
      <c r="S910" t="s">
        <v>45</v>
      </c>
      <c r="T910" t="s">
        <v>89</v>
      </c>
      <c r="U910" t="s">
        <v>38</v>
      </c>
      <c r="V910" t="s">
        <v>38</v>
      </c>
      <c r="W910" t="s">
        <v>92</v>
      </c>
      <c r="X910" t="s">
        <v>38</v>
      </c>
      <c r="Y910" t="s">
        <v>38</v>
      </c>
      <c r="Z910" t="s">
        <v>42</v>
      </c>
      <c r="AA910" t="s">
        <v>38</v>
      </c>
      <c r="AB910" t="s">
        <v>38</v>
      </c>
      <c r="AC910" t="s">
        <v>45</v>
      </c>
      <c r="AD910" t="s">
        <v>48</v>
      </c>
      <c r="AG910" t="str">
        <f>IF(AD910="United States", IFERROR(INDEX(Sheet2!$C:$C, MATCH(AE910&amp;AF910, Sheet2!$E:$E, 0)) &amp; ", " &amp; INDEX(Sheet2!$D:$D, MATCH(AE910&amp;AF910, Sheet2!$E:$E, 0)), ""), "-")</f>
        <v/>
      </c>
    </row>
    <row r="911" spans="1:33" x14ac:dyDescent="0.25">
      <c r="A911" t="s">
        <v>1818</v>
      </c>
      <c r="B911" t="s">
        <v>1862</v>
      </c>
      <c r="C911" t="s">
        <v>1820</v>
      </c>
      <c r="D911" t="s">
        <v>101</v>
      </c>
      <c r="E911" t="s">
        <v>1863</v>
      </c>
      <c r="F911">
        <v>1759</v>
      </c>
      <c r="G911">
        <v>2390</v>
      </c>
      <c r="H911" t="s">
        <v>1821</v>
      </c>
      <c r="I911" t="s">
        <v>87</v>
      </c>
      <c r="J911" t="s">
        <v>38</v>
      </c>
      <c r="K911" t="s">
        <v>38</v>
      </c>
      <c r="L911" t="s">
        <v>38</v>
      </c>
      <c r="M911" t="s">
        <v>38</v>
      </c>
      <c r="N911" t="s">
        <v>38</v>
      </c>
      <c r="O911" t="s">
        <v>41</v>
      </c>
      <c r="P911" t="s">
        <v>42</v>
      </c>
      <c r="Q911" t="s">
        <v>43</v>
      </c>
      <c r="R911" t="s">
        <v>89</v>
      </c>
      <c r="S911" t="s">
        <v>45</v>
      </c>
      <c r="T911" t="s">
        <v>89</v>
      </c>
      <c r="U911" t="s">
        <v>38</v>
      </c>
      <c r="V911" t="s">
        <v>38</v>
      </c>
      <c r="W911" t="s">
        <v>92</v>
      </c>
      <c r="X911" t="s">
        <v>38</v>
      </c>
      <c r="Y911" t="s">
        <v>38</v>
      </c>
      <c r="Z911" t="s">
        <v>42</v>
      </c>
      <c r="AA911" t="s">
        <v>878</v>
      </c>
      <c r="AB911" t="s">
        <v>38</v>
      </c>
      <c r="AC911" t="s">
        <v>45</v>
      </c>
      <c r="AD911" t="s">
        <v>48</v>
      </c>
      <c r="AG911" t="str">
        <f>IF(AD911="United States", IFERROR(INDEX(Sheet2!$C:$C, MATCH(AE911&amp;AF911, Sheet2!$E:$E, 0)) &amp; ", " &amp; INDEX(Sheet2!$D:$D, MATCH(AE911&amp;AF911, Sheet2!$E:$E, 0)), ""), "-")</f>
        <v/>
      </c>
    </row>
    <row r="912" spans="1:33" x14ac:dyDescent="0.25">
      <c r="A912" t="s">
        <v>1818</v>
      </c>
      <c r="B912" t="s">
        <v>1864</v>
      </c>
      <c r="C912" t="s">
        <v>1820</v>
      </c>
      <c r="D912" t="s">
        <v>334</v>
      </c>
      <c r="E912" t="s">
        <v>1865</v>
      </c>
      <c r="F912">
        <v>1761</v>
      </c>
      <c r="G912">
        <v>2383</v>
      </c>
      <c r="H912" t="s">
        <v>1821</v>
      </c>
      <c r="I912" t="s">
        <v>87</v>
      </c>
      <c r="J912" t="s">
        <v>38</v>
      </c>
      <c r="K912" t="s">
        <v>38</v>
      </c>
      <c r="L912" t="s">
        <v>38</v>
      </c>
      <c r="M912" t="s">
        <v>38</v>
      </c>
      <c r="N912" t="s">
        <v>38</v>
      </c>
      <c r="O912" t="s">
        <v>41</v>
      </c>
      <c r="P912" t="s">
        <v>42</v>
      </c>
      <c r="Q912" t="s">
        <v>43</v>
      </c>
      <c r="R912" t="s">
        <v>89</v>
      </c>
      <c r="S912" t="s">
        <v>45</v>
      </c>
      <c r="T912" t="s">
        <v>89</v>
      </c>
      <c r="U912" t="s">
        <v>38</v>
      </c>
      <c r="V912" t="s">
        <v>38</v>
      </c>
      <c r="W912" t="s">
        <v>92</v>
      </c>
      <c r="X912" t="s">
        <v>38</v>
      </c>
      <c r="Y912" t="s">
        <v>38</v>
      </c>
      <c r="Z912" t="s">
        <v>42</v>
      </c>
      <c r="AA912" t="s">
        <v>241</v>
      </c>
      <c r="AB912" t="s">
        <v>38</v>
      </c>
      <c r="AC912" t="s">
        <v>45</v>
      </c>
      <c r="AD912" t="s">
        <v>48</v>
      </c>
      <c r="AG912" t="str">
        <f>IF(AD912="United States", IFERROR(INDEX(Sheet2!$C:$C, MATCH(AE912&amp;AF912, Sheet2!$E:$E, 0)) &amp; ", " &amp; INDEX(Sheet2!$D:$D, MATCH(AE912&amp;AF912, Sheet2!$E:$E, 0)), ""), "-")</f>
        <v/>
      </c>
    </row>
    <row r="913" spans="1:33" x14ac:dyDescent="0.25">
      <c r="A913" t="s">
        <v>1818</v>
      </c>
      <c r="B913" t="s">
        <v>1866</v>
      </c>
      <c r="C913" t="s">
        <v>1820</v>
      </c>
      <c r="D913" t="s">
        <v>463</v>
      </c>
      <c r="E913" t="s">
        <v>1867</v>
      </c>
      <c r="F913">
        <v>1758</v>
      </c>
      <c r="G913">
        <v>2388</v>
      </c>
      <c r="H913" t="s">
        <v>1821</v>
      </c>
      <c r="I913" t="s">
        <v>87</v>
      </c>
      <c r="J913" t="s">
        <v>38</v>
      </c>
      <c r="K913" t="s">
        <v>38</v>
      </c>
      <c r="L913" t="s">
        <v>38</v>
      </c>
      <c r="M913" t="s">
        <v>38</v>
      </c>
      <c r="N913" t="s">
        <v>38</v>
      </c>
      <c r="O913" t="s">
        <v>41</v>
      </c>
      <c r="P913" t="s">
        <v>42</v>
      </c>
      <c r="Q913" t="s">
        <v>43</v>
      </c>
      <c r="R913" t="s">
        <v>89</v>
      </c>
      <c r="S913" t="s">
        <v>45</v>
      </c>
      <c r="T913" t="s">
        <v>89</v>
      </c>
      <c r="U913" t="s">
        <v>38</v>
      </c>
      <c r="V913" t="s">
        <v>38</v>
      </c>
      <c r="W913" t="s">
        <v>92</v>
      </c>
      <c r="X913" t="s">
        <v>38</v>
      </c>
      <c r="Y913" t="s">
        <v>38</v>
      </c>
      <c r="Z913" t="s">
        <v>42</v>
      </c>
      <c r="AA913" t="s">
        <v>38</v>
      </c>
      <c r="AB913" t="s">
        <v>38</v>
      </c>
      <c r="AC913" t="s">
        <v>45</v>
      </c>
      <c r="AD913" t="s">
        <v>48</v>
      </c>
      <c r="AG913" t="str">
        <f>IF(AD913="United States", IFERROR(INDEX(Sheet2!$C:$C, MATCH(AE913&amp;AF913, Sheet2!$E:$E, 0)) &amp; ", " &amp; INDEX(Sheet2!$D:$D, MATCH(AE913&amp;AF913, Sheet2!$E:$E, 0)), ""), "-")</f>
        <v/>
      </c>
    </row>
    <row r="914" spans="1:33" x14ac:dyDescent="0.25">
      <c r="A914" t="s">
        <v>1818</v>
      </c>
      <c r="B914" t="s">
        <v>1868</v>
      </c>
      <c r="C914" t="s">
        <v>1820</v>
      </c>
      <c r="D914" t="s">
        <v>1413</v>
      </c>
      <c r="E914" t="s">
        <v>1869</v>
      </c>
      <c r="F914">
        <v>1762</v>
      </c>
      <c r="G914">
        <v>2413</v>
      </c>
      <c r="H914" t="s">
        <v>38</v>
      </c>
      <c r="I914" t="s">
        <v>87</v>
      </c>
      <c r="J914" t="s">
        <v>38</v>
      </c>
      <c r="K914" t="s">
        <v>38</v>
      </c>
      <c r="L914" t="s">
        <v>38</v>
      </c>
      <c r="M914" t="s">
        <v>38</v>
      </c>
      <c r="N914" t="s">
        <v>38</v>
      </c>
      <c r="O914" t="s">
        <v>57</v>
      </c>
      <c r="P914" t="s">
        <v>42</v>
      </c>
      <c r="Q914" t="s">
        <v>43</v>
      </c>
      <c r="R914" t="s">
        <v>38</v>
      </c>
      <c r="S914" t="s">
        <v>38</v>
      </c>
      <c r="T914" t="s">
        <v>38</v>
      </c>
      <c r="U914" t="s">
        <v>38</v>
      </c>
      <c r="V914" t="s">
        <v>38</v>
      </c>
      <c r="W914" t="s">
        <v>38</v>
      </c>
      <c r="X914" t="s">
        <v>38</v>
      </c>
      <c r="Y914" t="s">
        <v>38</v>
      </c>
      <c r="Z914" t="s">
        <v>42</v>
      </c>
      <c r="AA914" t="s">
        <v>38</v>
      </c>
      <c r="AB914" t="s">
        <v>38</v>
      </c>
      <c r="AC914" t="s">
        <v>38</v>
      </c>
      <c r="AD914" t="s">
        <v>48</v>
      </c>
      <c r="AG914" t="str">
        <f>IF(AD914="United States", IFERROR(INDEX(Sheet2!$C:$C, MATCH(AE914&amp;AF914, Sheet2!$E:$E, 0)) &amp; ", " &amp; INDEX(Sheet2!$D:$D, MATCH(AE914&amp;AF914, Sheet2!$E:$E, 0)), ""), "-")</f>
        <v/>
      </c>
    </row>
    <row r="915" spans="1:33" x14ac:dyDescent="0.25">
      <c r="A915" t="s">
        <v>1818</v>
      </c>
      <c r="B915" t="s">
        <v>1870</v>
      </c>
      <c r="C915" t="s">
        <v>1820</v>
      </c>
      <c r="D915" t="s">
        <v>1871</v>
      </c>
      <c r="E915" t="s">
        <v>1872</v>
      </c>
      <c r="F915">
        <v>1740</v>
      </c>
      <c r="G915">
        <v>2366</v>
      </c>
      <c r="H915" t="s">
        <v>1873</v>
      </c>
      <c r="I915" t="s">
        <v>87</v>
      </c>
      <c r="J915" t="s">
        <v>38</v>
      </c>
      <c r="K915" t="s">
        <v>38</v>
      </c>
      <c r="L915" t="s">
        <v>38</v>
      </c>
      <c r="M915" t="s">
        <v>38</v>
      </c>
      <c r="N915" t="s">
        <v>38</v>
      </c>
      <c r="O915" t="s">
        <v>41</v>
      </c>
      <c r="P915" t="s">
        <v>42</v>
      </c>
      <c r="Q915" t="s">
        <v>43</v>
      </c>
      <c r="R915" t="s">
        <v>89</v>
      </c>
      <c r="S915" t="s">
        <v>38</v>
      </c>
      <c r="T915" t="s">
        <v>89</v>
      </c>
      <c r="U915" t="s">
        <v>38</v>
      </c>
      <c r="V915" t="s">
        <v>38</v>
      </c>
      <c r="W915" t="s">
        <v>92</v>
      </c>
      <c r="X915" t="s">
        <v>38</v>
      </c>
      <c r="Y915" t="s">
        <v>1874</v>
      </c>
      <c r="Z915" t="s">
        <v>42</v>
      </c>
      <c r="AA915" t="s">
        <v>38</v>
      </c>
      <c r="AB915" t="s">
        <v>38</v>
      </c>
      <c r="AC915" t="s">
        <v>38</v>
      </c>
      <c r="AD915" t="s">
        <v>48</v>
      </c>
      <c r="AG915" t="str">
        <f>IF(AD915="United States", IFERROR(INDEX(Sheet2!$C:$C, MATCH(AE915&amp;AF915, Sheet2!$E:$E, 0)) &amp; ", " &amp; INDEX(Sheet2!$D:$D, MATCH(AE915&amp;AF915, Sheet2!$E:$E, 0)), ""), "-")</f>
        <v/>
      </c>
    </row>
    <row r="916" spans="1:33" x14ac:dyDescent="0.25">
      <c r="A916" t="s">
        <v>1818</v>
      </c>
      <c r="B916" t="s">
        <v>1875</v>
      </c>
      <c r="C916" t="s">
        <v>1820</v>
      </c>
      <c r="D916" t="s">
        <v>1876</v>
      </c>
      <c r="E916" t="s">
        <v>279</v>
      </c>
      <c r="F916">
        <v>1746</v>
      </c>
      <c r="G916">
        <v>2367</v>
      </c>
      <c r="H916" t="s">
        <v>38</v>
      </c>
      <c r="I916" t="s">
        <v>87</v>
      </c>
      <c r="J916" t="s">
        <v>38</v>
      </c>
      <c r="K916" t="s">
        <v>38</v>
      </c>
      <c r="L916" t="s">
        <v>38</v>
      </c>
      <c r="M916" t="s">
        <v>38</v>
      </c>
      <c r="N916" t="s">
        <v>38</v>
      </c>
      <c r="O916" t="s">
        <v>41</v>
      </c>
      <c r="P916" t="s">
        <v>42</v>
      </c>
      <c r="Q916" t="s">
        <v>43</v>
      </c>
      <c r="R916" t="s">
        <v>1877</v>
      </c>
      <c r="S916" t="s">
        <v>45</v>
      </c>
      <c r="T916" t="s">
        <v>38</v>
      </c>
      <c r="U916" t="s">
        <v>38</v>
      </c>
      <c r="V916" t="s">
        <v>38</v>
      </c>
      <c r="W916" t="s">
        <v>38</v>
      </c>
      <c r="X916" t="s">
        <v>38</v>
      </c>
      <c r="Y916" t="s">
        <v>1874</v>
      </c>
      <c r="Z916" t="s">
        <v>42</v>
      </c>
      <c r="AA916" t="s">
        <v>1877</v>
      </c>
      <c r="AB916" t="s">
        <v>38</v>
      </c>
      <c r="AC916" t="s">
        <v>45</v>
      </c>
      <c r="AD916" t="s">
        <v>48</v>
      </c>
      <c r="AG916" t="str">
        <f>IF(AD916="United States", IFERROR(INDEX(Sheet2!$C:$C, MATCH(AE916&amp;AF916, Sheet2!$E:$E, 0)) &amp; ", " &amp; INDEX(Sheet2!$D:$D, MATCH(AE916&amp;AF916, Sheet2!$E:$E, 0)), ""), "-")</f>
        <v/>
      </c>
    </row>
    <row r="917" spans="1:33" x14ac:dyDescent="0.25">
      <c r="A917" t="s">
        <v>1818</v>
      </c>
      <c r="B917" t="s">
        <v>1878</v>
      </c>
      <c r="C917" t="s">
        <v>1820</v>
      </c>
      <c r="D917" t="s">
        <v>36</v>
      </c>
      <c r="E917" t="s">
        <v>1879</v>
      </c>
      <c r="F917">
        <v>1753</v>
      </c>
      <c r="G917">
        <v>2368</v>
      </c>
      <c r="H917" t="s">
        <v>1873</v>
      </c>
      <c r="I917" t="s">
        <v>87</v>
      </c>
      <c r="J917" t="s">
        <v>38</v>
      </c>
      <c r="K917" t="s">
        <v>38</v>
      </c>
      <c r="L917" t="s">
        <v>38</v>
      </c>
      <c r="M917" t="s">
        <v>38</v>
      </c>
      <c r="N917" t="s">
        <v>38</v>
      </c>
      <c r="O917" t="s">
        <v>41</v>
      </c>
      <c r="P917" t="s">
        <v>42</v>
      </c>
      <c r="Q917" t="s">
        <v>43</v>
      </c>
      <c r="R917" t="s">
        <v>89</v>
      </c>
      <c r="S917" t="s">
        <v>45</v>
      </c>
      <c r="T917" t="s">
        <v>89</v>
      </c>
      <c r="U917" t="s">
        <v>38</v>
      </c>
      <c r="V917" t="s">
        <v>38</v>
      </c>
      <c r="W917" t="s">
        <v>92</v>
      </c>
      <c r="X917" t="s">
        <v>38</v>
      </c>
      <c r="Y917" t="s">
        <v>1874</v>
      </c>
      <c r="Z917" t="s">
        <v>42</v>
      </c>
      <c r="AA917" t="s">
        <v>682</v>
      </c>
      <c r="AB917" t="s">
        <v>38</v>
      </c>
      <c r="AC917" t="s">
        <v>45</v>
      </c>
      <c r="AD917" t="s">
        <v>48</v>
      </c>
      <c r="AG917" t="str">
        <f>IF(AD917="United States", IFERROR(INDEX(Sheet2!$C:$C, MATCH(AE917&amp;AF917, Sheet2!$E:$E, 0)) &amp; ", " &amp; INDEX(Sheet2!$D:$D, MATCH(AE917&amp;AF917, Sheet2!$E:$E, 0)), ""), "-")</f>
        <v/>
      </c>
    </row>
    <row r="918" spans="1:33" x14ac:dyDescent="0.25">
      <c r="A918" t="s">
        <v>1818</v>
      </c>
      <c r="B918" t="s">
        <v>1880</v>
      </c>
      <c r="C918" t="s">
        <v>1820</v>
      </c>
      <c r="D918" t="s">
        <v>1881</v>
      </c>
      <c r="E918" t="s">
        <v>728</v>
      </c>
      <c r="F918">
        <v>1743</v>
      </c>
      <c r="G918">
        <v>2369</v>
      </c>
      <c r="H918" t="s">
        <v>1873</v>
      </c>
      <c r="I918" t="s">
        <v>87</v>
      </c>
      <c r="J918" t="s">
        <v>38</v>
      </c>
      <c r="K918" t="s">
        <v>38</v>
      </c>
      <c r="L918" t="s">
        <v>38</v>
      </c>
      <c r="M918" t="s">
        <v>38</v>
      </c>
      <c r="N918" t="s">
        <v>38</v>
      </c>
      <c r="O918" t="s">
        <v>41</v>
      </c>
      <c r="P918" t="s">
        <v>42</v>
      </c>
      <c r="Q918" t="s">
        <v>43</v>
      </c>
      <c r="R918" t="s">
        <v>89</v>
      </c>
      <c r="S918" t="s">
        <v>153</v>
      </c>
      <c r="T918" t="s">
        <v>89</v>
      </c>
      <c r="U918" t="s">
        <v>38</v>
      </c>
      <c r="V918" t="s">
        <v>38</v>
      </c>
      <c r="W918" t="s">
        <v>92</v>
      </c>
      <c r="X918" t="s">
        <v>38</v>
      </c>
      <c r="Y918" t="s">
        <v>1874</v>
      </c>
      <c r="Z918" t="s">
        <v>42</v>
      </c>
      <c r="AA918" t="s">
        <v>1882</v>
      </c>
      <c r="AB918" t="s">
        <v>38</v>
      </c>
      <c r="AC918" t="s">
        <v>153</v>
      </c>
      <c r="AD918" t="s">
        <v>48</v>
      </c>
      <c r="AG918" t="str">
        <f>IF(AD918="United States", IFERROR(INDEX(Sheet2!$C:$C, MATCH(AE918&amp;AF918, Sheet2!$E:$E, 0)) &amp; ", " &amp; INDEX(Sheet2!$D:$D, MATCH(AE918&amp;AF918, Sheet2!$E:$E, 0)), ""), "-")</f>
        <v/>
      </c>
    </row>
    <row r="919" spans="1:33" x14ac:dyDescent="0.25">
      <c r="A919" t="s">
        <v>1818</v>
      </c>
      <c r="B919" t="s">
        <v>1883</v>
      </c>
      <c r="C919" t="s">
        <v>1820</v>
      </c>
      <c r="D919" t="s">
        <v>552</v>
      </c>
      <c r="E919" t="s">
        <v>37</v>
      </c>
      <c r="F919">
        <v>1762</v>
      </c>
      <c r="G919">
        <v>2370</v>
      </c>
      <c r="H919" t="s">
        <v>1873</v>
      </c>
      <c r="I919" t="s">
        <v>87</v>
      </c>
      <c r="J919" t="s">
        <v>38</v>
      </c>
      <c r="K919" t="s">
        <v>38</v>
      </c>
      <c r="L919" t="s">
        <v>38</v>
      </c>
      <c r="M919" t="s">
        <v>38</v>
      </c>
      <c r="N919" t="s">
        <v>38</v>
      </c>
      <c r="O919" t="s">
        <v>41</v>
      </c>
      <c r="P919" t="s">
        <v>42</v>
      </c>
      <c r="Q919" t="s">
        <v>43</v>
      </c>
      <c r="R919" t="s">
        <v>89</v>
      </c>
      <c r="S919" t="s">
        <v>201</v>
      </c>
      <c r="T919" t="s">
        <v>89</v>
      </c>
      <c r="U919" t="s">
        <v>38</v>
      </c>
      <c r="V919" t="s">
        <v>38</v>
      </c>
      <c r="W919" t="s">
        <v>92</v>
      </c>
      <c r="X919" t="s">
        <v>38</v>
      </c>
      <c r="Y919" t="s">
        <v>1874</v>
      </c>
      <c r="Z919" t="s">
        <v>42</v>
      </c>
      <c r="AA919" t="s">
        <v>38</v>
      </c>
      <c r="AB919" t="s">
        <v>38</v>
      </c>
      <c r="AC919" t="s">
        <v>201</v>
      </c>
      <c r="AD919" t="s">
        <v>48</v>
      </c>
      <c r="AG919" t="str">
        <f>IF(AD919="United States", IFERROR(INDEX(Sheet2!$C:$C, MATCH(AE919&amp;AF919, Sheet2!$E:$E, 0)) &amp; ", " &amp; INDEX(Sheet2!$D:$D, MATCH(AE919&amp;AF919, Sheet2!$E:$E, 0)), ""), "-")</f>
        <v/>
      </c>
    </row>
    <row r="920" spans="1:33" x14ac:dyDescent="0.25">
      <c r="A920" t="s">
        <v>1818</v>
      </c>
      <c r="B920" t="s">
        <v>1884</v>
      </c>
      <c r="C920" t="s">
        <v>1820</v>
      </c>
      <c r="D920" t="s">
        <v>210</v>
      </c>
      <c r="E920" t="s">
        <v>1387</v>
      </c>
      <c r="F920">
        <v>1758</v>
      </c>
      <c r="G920">
        <v>2371</v>
      </c>
      <c r="H920" t="s">
        <v>1873</v>
      </c>
      <c r="I920" t="s">
        <v>87</v>
      </c>
      <c r="J920" t="s">
        <v>38</v>
      </c>
      <c r="K920" t="s">
        <v>38</v>
      </c>
      <c r="L920" t="s">
        <v>38</v>
      </c>
      <c r="M920" t="s">
        <v>38</v>
      </c>
      <c r="N920" t="s">
        <v>38</v>
      </c>
      <c r="O920" t="s">
        <v>41</v>
      </c>
      <c r="P920" t="s">
        <v>42</v>
      </c>
      <c r="Q920" t="s">
        <v>43</v>
      </c>
      <c r="R920" t="s">
        <v>89</v>
      </c>
      <c r="S920" t="s">
        <v>45</v>
      </c>
      <c r="T920" t="s">
        <v>89</v>
      </c>
      <c r="U920" t="s">
        <v>38</v>
      </c>
      <c r="V920" t="s">
        <v>38</v>
      </c>
      <c r="W920" t="s">
        <v>92</v>
      </c>
      <c r="X920" t="s">
        <v>38</v>
      </c>
      <c r="Y920" t="s">
        <v>1874</v>
      </c>
      <c r="Z920" t="s">
        <v>42</v>
      </c>
      <c r="AA920" t="s">
        <v>143</v>
      </c>
      <c r="AB920" t="s">
        <v>38</v>
      </c>
      <c r="AC920" t="s">
        <v>45</v>
      </c>
      <c r="AD920" t="s">
        <v>48</v>
      </c>
      <c r="AG920" t="str">
        <f>IF(AD920="United States", IFERROR(INDEX(Sheet2!$C:$C, MATCH(AE920&amp;AF920, Sheet2!$E:$E, 0)) &amp; ", " &amp; INDEX(Sheet2!$D:$D, MATCH(AE920&amp;AF920, Sheet2!$E:$E, 0)), ""), "-")</f>
        <v/>
      </c>
    </row>
    <row r="921" spans="1:33" x14ac:dyDescent="0.25">
      <c r="A921" t="s">
        <v>1818</v>
      </c>
      <c r="B921" t="s">
        <v>1885</v>
      </c>
      <c r="C921" t="s">
        <v>1820</v>
      </c>
      <c r="D921" t="s">
        <v>1886</v>
      </c>
      <c r="E921" t="s">
        <v>973</v>
      </c>
      <c r="F921">
        <v>1753</v>
      </c>
      <c r="G921">
        <v>2372</v>
      </c>
      <c r="H921" t="s">
        <v>1873</v>
      </c>
      <c r="I921" t="s">
        <v>87</v>
      </c>
      <c r="J921" t="s">
        <v>38</v>
      </c>
      <c r="K921" t="s">
        <v>38</v>
      </c>
      <c r="L921" t="s">
        <v>38</v>
      </c>
      <c r="M921" t="s">
        <v>38</v>
      </c>
      <c r="N921" t="s">
        <v>38</v>
      </c>
      <c r="O921" t="s">
        <v>41</v>
      </c>
      <c r="P921" t="s">
        <v>42</v>
      </c>
      <c r="Q921" t="s">
        <v>43</v>
      </c>
      <c r="R921" t="s">
        <v>89</v>
      </c>
      <c r="S921" t="s">
        <v>45</v>
      </c>
      <c r="T921" t="s">
        <v>89</v>
      </c>
      <c r="U921" t="s">
        <v>38</v>
      </c>
      <c r="V921" t="s">
        <v>38</v>
      </c>
      <c r="W921" t="s">
        <v>92</v>
      </c>
      <c r="X921" t="s">
        <v>38</v>
      </c>
      <c r="Y921" t="s">
        <v>1874</v>
      </c>
      <c r="Z921" t="s">
        <v>42</v>
      </c>
      <c r="AA921" t="s">
        <v>1887</v>
      </c>
      <c r="AB921" t="s">
        <v>38</v>
      </c>
      <c r="AC921" t="s">
        <v>45</v>
      </c>
      <c r="AD921" t="s">
        <v>48</v>
      </c>
      <c r="AG921" t="str">
        <f>IF(AD921="United States", IFERROR(INDEX(Sheet2!$C:$C, MATCH(AE921&amp;AF921, Sheet2!$E:$E, 0)) &amp; ", " &amp; INDEX(Sheet2!$D:$D, MATCH(AE921&amp;AF921, Sheet2!$E:$E, 0)), ""), "-")</f>
        <v/>
      </c>
    </row>
    <row r="922" spans="1:33" x14ac:dyDescent="0.25">
      <c r="A922" t="s">
        <v>1818</v>
      </c>
      <c r="B922" t="s">
        <v>1888</v>
      </c>
      <c r="C922" t="s">
        <v>1820</v>
      </c>
      <c r="D922" t="s">
        <v>36</v>
      </c>
      <c r="E922" t="s">
        <v>1858</v>
      </c>
      <c r="F922">
        <v>1721</v>
      </c>
      <c r="G922">
        <v>2373</v>
      </c>
      <c r="H922" t="s">
        <v>1873</v>
      </c>
      <c r="I922" t="s">
        <v>87</v>
      </c>
      <c r="J922" t="s">
        <v>38</v>
      </c>
      <c r="K922" t="s">
        <v>38</v>
      </c>
      <c r="L922" t="s">
        <v>38</v>
      </c>
      <c r="M922" t="s">
        <v>38</v>
      </c>
      <c r="N922" t="s">
        <v>38</v>
      </c>
      <c r="O922" t="s">
        <v>41</v>
      </c>
      <c r="P922" t="s">
        <v>42</v>
      </c>
      <c r="Q922" t="s">
        <v>43</v>
      </c>
      <c r="R922" t="s">
        <v>89</v>
      </c>
      <c r="S922" t="s">
        <v>45</v>
      </c>
      <c r="T922" t="s">
        <v>89</v>
      </c>
      <c r="U922" t="s">
        <v>38</v>
      </c>
      <c r="V922" t="s">
        <v>38</v>
      </c>
      <c r="W922" t="s">
        <v>92</v>
      </c>
      <c r="X922" t="s">
        <v>38</v>
      </c>
      <c r="Y922" t="s">
        <v>1874</v>
      </c>
      <c r="Z922" t="s">
        <v>42</v>
      </c>
      <c r="AA922" t="s">
        <v>1485</v>
      </c>
      <c r="AB922" t="s">
        <v>38</v>
      </c>
      <c r="AC922" t="s">
        <v>45</v>
      </c>
      <c r="AD922" t="s">
        <v>48</v>
      </c>
      <c r="AG922" t="str">
        <f>IF(AD922="United States", IFERROR(INDEX(Sheet2!$C:$C, MATCH(AE922&amp;AF922, Sheet2!$E:$E, 0)) &amp; ", " &amp; INDEX(Sheet2!$D:$D, MATCH(AE922&amp;AF922, Sheet2!$E:$E, 0)), ""), "-")</f>
        <v/>
      </c>
    </row>
    <row r="923" spans="1:33" x14ac:dyDescent="0.25">
      <c r="A923" t="s">
        <v>1818</v>
      </c>
      <c r="B923" t="s">
        <v>1889</v>
      </c>
      <c r="C923" t="s">
        <v>1820</v>
      </c>
      <c r="D923" t="s">
        <v>1890</v>
      </c>
      <c r="E923" t="s">
        <v>37</v>
      </c>
      <c r="F923">
        <v>1757</v>
      </c>
      <c r="G923">
        <v>2374</v>
      </c>
      <c r="H923" t="s">
        <v>1873</v>
      </c>
      <c r="I923" t="s">
        <v>87</v>
      </c>
      <c r="J923" t="s">
        <v>38</v>
      </c>
      <c r="K923" t="s">
        <v>38</v>
      </c>
      <c r="L923" t="s">
        <v>38</v>
      </c>
      <c r="M923" t="s">
        <v>38</v>
      </c>
      <c r="N923" t="s">
        <v>38</v>
      </c>
      <c r="O923" t="s">
        <v>41</v>
      </c>
      <c r="P923" t="s">
        <v>42</v>
      </c>
      <c r="Q923" t="s">
        <v>43</v>
      </c>
      <c r="R923" t="s">
        <v>89</v>
      </c>
      <c r="S923" t="s">
        <v>45</v>
      </c>
      <c r="T923" t="s">
        <v>89</v>
      </c>
      <c r="U923" t="s">
        <v>38</v>
      </c>
      <c r="V923" t="s">
        <v>38</v>
      </c>
      <c r="W923" t="s">
        <v>92</v>
      </c>
      <c r="X923" t="s">
        <v>38</v>
      </c>
      <c r="Y923" t="s">
        <v>1874</v>
      </c>
      <c r="Z923" t="s">
        <v>42</v>
      </c>
      <c r="AA923" t="s">
        <v>1891</v>
      </c>
      <c r="AB923" t="s">
        <v>38</v>
      </c>
      <c r="AC923" t="s">
        <v>45</v>
      </c>
      <c r="AD923" t="s">
        <v>48</v>
      </c>
      <c r="AG923" t="str">
        <f>IF(AD923="United States", IFERROR(INDEX(Sheet2!$C:$C, MATCH(AE923&amp;AF923, Sheet2!$E:$E, 0)) &amp; ", " &amp; INDEX(Sheet2!$D:$D, MATCH(AE923&amp;AF923, Sheet2!$E:$E, 0)), ""), "-")</f>
        <v/>
      </c>
    </row>
    <row r="924" spans="1:33" x14ac:dyDescent="0.25">
      <c r="A924" t="s">
        <v>1818</v>
      </c>
      <c r="B924" t="s">
        <v>1892</v>
      </c>
      <c r="C924" t="s">
        <v>1820</v>
      </c>
      <c r="D924" t="s">
        <v>113</v>
      </c>
      <c r="E924" t="s">
        <v>391</v>
      </c>
      <c r="F924">
        <v>1753</v>
      </c>
      <c r="G924">
        <v>2389</v>
      </c>
      <c r="H924" t="s">
        <v>1821</v>
      </c>
      <c r="I924" t="s">
        <v>87</v>
      </c>
      <c r="J924" t="s">
        <v>38</v>
      </c>
      <c r="K924" t="s">
        <v>38</v>
      </c>
      <c r="L924" t="s">
        <v>38</v>
      </c>
      <c r="M924" t="s">
        <v>38</v>
      </c>
      <c r="N924" t="s">
        <v>38</v>
      </c>
      <c r="O924" t="s">
        <v>41</v>
      </c>
      <c r="P924" t="s">
        <v>42</v>
      </c>
      <c r="Q924" t="s">
        <v>43</v>
      </c>
      <c r="R924" t="s">
        <v>89</v>
      </c>
      <c r="S924" t="s">
        <v>45</v>
      </c>
      <c r="T924" t="s">
        <v>89</v>
      </c>
      <c r="U924" t="s">
        <v>38</v>
      </c>
      <c r="V924" t="s">
        <v>38</v>
      </c>
      <c r="W924" t="s">
        <v>92</v>
      </c>
      <c r="X924" t="s">
        <v>38</v>
      </c>
      <c r="Y924" t="s">
        <v>38</v>
      </c>
      <c r="Z924" t="s">
        <v>42</v>
      </c>
      <c r="AA924" t="s">
        <v>169</v>
      </c>
      <c r="AB924" t="s">
        <v>38</v>
      </c>
      <c r="AC924" t="s">
        <v>45</v>
      </c>
      <c r="AD924" t="s">
        <v>48</v>
      </c>
      <c r="AG924" t="str">
        <f>IF(AD924="United States", IFERROR(INDEX(Sheet2!$C:$C, MATCH(AE924&amp;AF924, Sheet2!$E:$E, 0)) &amp; ", " &amp; INDEX(Sheet2!$D:$D, MATCH(AE924&amp;AF924, Sheet2!$E:$E, 0)), ""), "-")</f>
        <v/>
      </c>
    </row>
    <row r="925" spans="1:33" x14ac:dyDescent="0.25">
      <c r="A925" t="s">
        <v>1818</v>
      </c>
      <c r="B925" t="s">
        <v>1893</v>
      </c>
      <c r="C925" t="s">
        <v>1820</v>
      </c>
      <c r="D925" t="s">
        <v>210</v>
      </c>
      <c r="E925" t="s">
        <v>1894</v>
      </c>
      <c r="F925">
        <v>1745</v>
      </c>
      <c r="G925">
        <v>2375</v>
      </c>
      <c r="H925" t="s">
        <v>1873</v>
      </c>
      <c r="I925" t="s">
        <v>87</v>
      </c>
      <c r="J925" t="s">
        <v>38</v>
      </c>
      <c r="K925" t="s">
        <v>38</v>
      </c>
      <c r="L925" t="s">
        <v>38</v>
      </c>
      <c r="M925" t="s">
        <v>38</v>
      </c>
      <c r="N925" t="s">
        <v>38</v>
      </c>
      <c r="O925" t="s">
        <v>41</v>
      </c>
      <c r="P925" t="s">
        <v>42</v>
      </c>
      <c r="Q925" t="s">
        <v>43</v>
      </c>
      <c r="R925" t="s">
        <v>89</v>
      </c>
      <c r="S925" t="s">
        <v>38</v>
      </c>
      <c r="T925" t="s">
        <v>89</v>
      </c>
      <c r="U925" t="s">
        <v>38</v>
      </c>
      <c r="V925" t="s">
        <v>38</v>
      </c>
      <c r="W925" t="s">
        <v>92</v>
      </c>
      <c r="X925" t="s">
        <v>38</v>
      </c>
      <c r="Y925" t="s">
        <v>1874</v>
      </c>
      <c r="Z925" t="s">
        <v>42</v>
      </c>
      <c r="AA925" t="s">
        <v>38</v>
      </c>
      <c r="AB925" t="s">
        <v>38</v>
      </c>
      <c r="AC925" t="s">
        <v>38</v>
      </c>
      <c r="AD925" t="s">
        <v>48</v>
      </c>
      <c r="AG925" t="str">
        <f>IF(AD925="United States", IFERROR(INDEX(Sheet2!$C:$C, MATCH(AE925&amp;AF925, Sheet2!$E:$E, 0)) &amp; ", " &amp; INDEX(Sheet2!$D:$D, MATCH(AE925&amp;AF925, Sheet2!$E:$E, 0)), ""), "-")</f>
        <v/>
      </c>
    </row>
    <row r="926" spans="1:33" x14ac:dyDescent="0.25">
      <c r="A926" t="s">
        <v>1818</v>
      </c>
      <c r="B926" t="s">
        <v>1895</v>
      </c>
      <c r="C926" t="s">
        <v>1820</v>
      </c>
      <c r="D926" t="s">
        <v>63</v>
      </c>
      <c r="E926" t="s">
        <v>1134</v>
      </c>
      <c r="F926">
        <v>1761</v>
      </c>
      <c r="G926">
        <v>2377</v>
      </c>
      <c r="H926" t="s">
        <v>1873</v>
      </c>
      <c r="I926" t="s">
        <v>87</v>
      </c>
      <c r="J926" t="s">
        <v>38</v>
      </c>
      <c r="K926" t="s">
        <v>38</v>
      </c>
      <c r="L926" t="s">
        <v>38</v>
      </c>
      <c r="M926" t="s">
        <v>38</v>
      </c>
      <c r="N926" t="s">
        <v>38</v>
      </c>
      <c r="O926" t="s">
        <v>41</v>
      </c>
      <c r="P926" t="s">
        <v>42</v>
      </c>
      <c r="Q926" t="s">
        <v>43</v>
      </c>
      <c r="R926" t="s">
        <v>89</v>
      </c>
      <c r="S926" t="s">
        <v>45</v>
      </c>
      <c r="T926" t="s">
        <v>89</v>
      </c>
      <c r="U926" t="s">
        <v>38</v>
      </c>
      <c r="V926" t="s">
        <v>38</v>
      </c>
      <c r="W926" t="s">
        <v>92</v>
      </c>
      <c r="X926" t="s">
        <v>38</v>
      </c>
      <c r="Y926" t="s">
        <v>1874</v>
      </c>
      <c r="Z926" t="s">
        <v>42</v>
      </c>
      <c r="AA926" t="s">
        <v>169</v>
      </c>
      <c r="AB926" t="s">
        <v>38</v>
      </c>
      <c r="AC926" t="s">
        <v>45</v>
      </c>
      <c r="AD926" t="s">
        <v>48</v>
      </c>
      <c r="AG926" t="str">
        <f>IF(AD926="United States", IFERROR(INDEX(Sheet2!$C:$C, MATCH(AE926&amp;AF926, Sheet2!$E:$E, 0)) &amp; ", " &amp; INDEX(Sheet2!$D:$D, MATCH(AE926&amp;AF926, Sheet2!$E:$E, 0)), ""), "-")</f>
        <v/>
      </c>
    </row>
    <row r="927" spans="1:33" x14ac:dyDescent="0.25">
      <c r="A927" t="s">
        <v>1818</v>
      </c>
      <c r="B927" t="s">
        <v>1896</v>
      </c>
      <c r="C927" t="s">
        <v>1820</v>
      </c>
      <c r="D927" t="s">
        <v>230</v>
      </c>
      <c r="E927" t="s">
        <v>1897</v>
      </c>
      <c r="F927">
        <v>1756</v>
      </c>
      <c r="G927">
        <v>2378</v>
      </c>
      <c r="H927" t="s">
        <v>1873</v>
      </c>
      <c r="I927" t="s">
        <v>87</v>
      </c>
      <c r="J927" t="s">
        <v>38</v>
      </c>
      <c r="K927" t="s">
        <v>38</v>
      </c>
      <c r="L927" t="s">
        <v>38</v>
      </c>
      <c r="M927" t="s">
        <v>38</v>
      </c>
      <c r="N927" t="s">
        <v>38</v>
      </c>
      <c r="O927" t="s">
        <v>41</v>
      </c>
      <c r="P927" t="s">
        <v>42</v>
      </c>
      <c r="Q927" t="s">
        <v>43</v>
      </c>
      <c r="R927" t="s">
        <v>89</v>
      </c>
      <c r="S927" t="s">
        <v>45</v>
      </c>
      <c r="T927" t="s">
        <v>89</v>
      </c>
      <c r="U927" t="s">
        <v>38</v>
      </c>
      <c r="V927" t="s">
        <v>38</v>
      </c>
      <c r="W927" t="s">
        <v>92</v>
      </c>
      <c r="X927" t="s">
        <v>38</v>
      </c>
      <c r="Y927" t="s">
        <v>38</v>
      </c>
      <c r="Z927" t="s">
        <v>42</v>
      </c>
      <c r="AA927" t="s">
        <v>1898</v>
      </c>
      <c r="AB927" t="s">
        <v>38</v>
      </c>
      <c r="AC927" t="s">
        <v>45</v>
      </c>
      <c r="AD927" t="s">
        <v>48</v>
      </c>
      <c r="AG927" t="str">
        <f>IF(AD927="United States", IFERROR(INDEX(Sheet2!$C:$C, MATCH(AE927&amp;AF927, Sheet2!$E:$E, 0)) &amp; ", " &amp; INDEX(Sheet2!$D:$D, MATCH(AE927&amp;AF927, Sheet2!$E:$E, 0)), ""), "-")</f>
        <v/>
      </c>
    </row>
    <row r="928" spans="1:33" x14ac:dyDescent="0.25">
      <c r="A928" t="s">
        <v>1818</v>
      </c>
      <c r="B928" t="s">
        <v>1899</v>
      </c>
      <c r="C928" t="s">
        <v>1820</v>
      </c>
      <c r="D928" t="s">
        <v>113</v>
      </c>
      <c r="E928" t="s">
        <v>1900</v>
      </c>
      <c r="F928">
        <v>1743</v>
      </c>
      <c r="G928">
        <v>2379</v>
      </c>
      <c r="H928" t="s">
        <v>1821</v>
      </c>
      <c r="I928" t="s">
        <v>87</v>
      </c>
      <c r="J928" t="s">
        <v>38</v>
      </c>
      <c r="K928" t="s">
        <v>38</v>
      </c>
      <c r="L928" t="s">
        <v>38</v>
      </c>
      <c r="M928" t="s">
        <v>38</v>
      </c>
      <c r="N928" t="s">
        <v>38</v>
      </c>
      <c r="O928" t="s">
        <v>41</v>
      </c>
      <c r="P928" t="s">
        <v>42</v>
      </c>
      <c r="Q928" t="s">
        <v>43</v>
      </c>
      <c r="R928" t="s">
        <v>89</v>
      </c>
      <c r="S928" t="s">
        <v>153</v>
      </c>
      <c r="T928" t="s">
        <v>89</v>
      </c>
      <c r="U928" t="s">
        <v>38</v>
      </c>
      <c r="V928" t="s">
        <v>38</v>
      </c>
      <c r="W928" t="s">
        <v>92</v>
      </c>
      <c r="X928" t="s">
        <v>38</v>
      </c>
      <c r="Y928" t="s">
        <v>38</v>
      </c>
      <c r="Z928" t="s">
        <v>42</v>
      </c>
      <c r="AA928" t="s">
        <v>155</v>
      </c>
      <c r="AB928" t="s">
        <v>38</v>
      </c>
      <c r="AC928" t="s">
        <v>153</v>
      </c>
      <c r="AD928" t="s">
        <v>48</v>
      </c>
      <c r="AG928" t="str">
        <f>IF(AD928="United States", IFERROR(INDEX(Sheet2!$C:$C, MATCH(AE928&amp;AF928, Sheet2!$E:$E, 0)) &amp; ", " &amp; INDEX(Sheet2!$D:$D, MATCH(AE928&amp;AF928, Sheet2!$E:$E, 0)), ""), "-")</f>
        <v/>
      </c>
    </row>
    <row r="929" spans="1:33" x14ac:dyDescent="0.25">
      <c r="A929" t="s">
        <v>1818</v>
      </c>
      <c r="B929" t="s">
        <v>1901</v>
      </c>
      <c r="C929" t="s">
        <v>1820</v>
      </c>
      <c r="D929" t="s">
        <v>226</v>
      </c>
      <c r="E929" t="s">
        <v>848</v>
      </c>
      <c r="F929">
        <v>1752</v>
      </c>
      <c r="G929">
        <v>2380</v>
      </c>
      <c r="H929" t="s">
        <v>1821</v>
      </c>
      <c r="I929" t="s">
        <v>87</v>
      </c>
      <c r="J929" t="s">
        <v>38</v>
      </c>
      <c r="K929" t="s">
        <v>38</v>
      </c>
      <c r="L929" t="s">
        <v>38</v>
      </c>
      <c r="M929" t="s">
        <v>38</v>
      </c>
      <c r="N929" t="s">
        <v>38</v>
      </c>
      <c r="O929" t="s">
        <v>41</v>
      </c>
      <c r="P929" t="s">
        <v>42</v>
      </c>
      <c r="Q929" t="s">
        <v>43</v>
      </c>
      <c r="R929" t="s">
        <v>89</v>
      </c>
      <c r="S929" t="s">
        <v>45</v>
      </c>
      <c r="T929" t="s">
        <v>89</v>
      </c>
      <c r="U929" t="s">
        <v>38</v>
      </c>
      <c r="V929" t="s">
        <v>38</v>
      </c>
      <c r="W929" t="s">
        <v>92</v>
      </c>
      <c r="X929" t="s">
        <v>38</v>
      </c>
      <c r="Y929" t="s">
        <v>38</v>
      </c>
      <c r="Z929" t="s">
        <v>42</v>
      </c>
      <c r="AA929" t="s">
        <v>1902</v>
      </c>
      <c r="AB929" t="s">
        <v>38</v>
      </c>
      <c r="AC929" t="s">
        <v>45</v>
      </c>
      <c r="AD929" t="s">
        <v>48</v>
      </c>
      <c r="AG929" t="str">
        <f>IF(AD929="United States", IFERROR(INDEX(Sheet2!$C:$C, MATCH(AE929&amp;AF929, Sheet2!$E:$E, 0)) &amp; ", " &amp; INDEX(Sheet2!$D:$D, MATCH(AE929&amp;AF929, Sheet2!$E:$E, 0)), ""), "-")</f>
        <v/>
      </c>
    </row>
    <row r="930" spans="1:33" x14ac:dyDescent="0.25">
      <c r="A930" t="s">
        <v>1818</v>
      </c>
      <c r="B930" t="s">
        <v>1903</v>
      </c>
      <c r="C930" t="s">
        <v>1820</v>
      </c>
      <c r="D930" t="s">
        <v>200</v>
      </c>
      <c r="E930" t="s">
        <v>133</v>
      </c>
      <c r="F930">
        <v>1759</v>
      </c>
      <c r="G930">
        <v>2381</v>
      </c>
      <c r="H930" t="s">
        <v>1821</v>
      </c>
      <c r="I930" t="s">
        <v>87</v>
      </c>
      <c r="J930" t="s">
        <v>38</v>
      </c>
      <c r="K930" t="s">
        <v>38</v>
      </c>
      <c r="L930" t="s">
        <v>38</v>
      </c>
      <c r="M930" t="s">
        <v>38</v>
      </c>
      <c r="N930" t="s">
        <v>38</v>
      </c>
      <c r="O930" t="s">
        <v>41</v>
      </c>
      <c r="P930" t="s">
        <v>42</v>
      </c>
      <c r="Q930" t="s">
        <v>43</v>
      </c>
      <c r="R930" t="s">
        <v>89</v>
      </c>
      <c r="S930" t="s">
        <v>89</v>
      </c>
      <c r="T930" t="s">
        <v>89</v>
      </c>
      <c r="U930" t="s">
        <v>38</v>
      </c>
      <c r="V930" t="s">
        <v>38</v>
      </c>
      <c r="W930" t="s">
        <v>92</v>
      </c>
      <c r="X930" t="s">
        <v>38</v>
      </c>
      <c r="Y930" t="s">
        <v>38</v>
      </c>
      <c r="Z930" t="s">
        <v>42</v>
      </c>
      <c r="AA930" t="s">
        <v>38</v>
      </c>
      <c r="AB930" t="s">
        <v>38</v>
      </c>
      <c r="AC930" t="s">
        <v>89</v>
      </c>
      <c r="AD930" t="s">
        <v>48</v>
      </c>
      <c r="AG930" t="str">
        <f>IF(AD930="United States", IFERROR(INDEX(Sheet2!$C:$C, MATCH(AE930&amp;AF930, Sheet2!$E:$E, 0)) &amp; ", " &amp; INDEX(Sheet2!$D:$D, MATCH(AE930&amp;AF930, Sheet2!$E:$E, 0)), ""), "-")</f>
        <v/>
      </c>
    </row>
    <row r="931" spans="1:33" x14ac:dyDescent="0.25">
      <c r="A931" t="s">
        <v>1818</v>
      </c>
      <c r="B931" t="s">
        <v>1904</v>
      </c>
      <c r="C931" t="s">
        <v>1820</v>
      </c>
      <c r="D931" t="s">
        <v>481</v>
      </c>
      <c r="E931" t="s">
        <v>1437</v>
      </c>
      <c r="F931">
        <v>1726</v>
      </c>
      <c r="G931">
        <v>2382</v>
      </c>
      <c r="H931" t="s">
        <v>1821</v>
      </c>
      <c r="I931" t="s">
        <v>87</v>
      </c>
      <c r="J931" t="s">
        <v>38</v>
      </c>
      <c r="K931" t="s">
        <v>38</v>
      </c>
      <c r="L931" t="s">
        <v>38</v>
      </c>
      <c r="M931" t="s">
        <v>38</v>
      </c>
      <c r="N931" t="s">
        <v>38</v>
      </c>
      <c r="O931" t="s">
        <v>41</v>
      </c>
      <c r="P931" t="s">
        <v>42</v>
      </c>
      <c r="Q931" t="s">
        <v>43</v>
      </c>
      <c r="R931" t="s">
        <v>89</v>
      </c>
      <c r="S931" t="s">
        <v>38</v>
      </c>
      <c r="T931" t="s">
        <v>89</v>
      </c>
      <c r="U931" t="s">
        <v>38</v>
      </c>
      <c r="V931" t="s">
        <v>38</v>
      </c>
      <c r="W931" t="s">
        <v>92</v>
      </c>
      <c r="X931" t="s">
        <v>38</v>
      </c>
      <c r="Y931" t="s">
        <v>38</v>
      </c>
      <c r="Z931" t="s">
        <v>42</v>
      </c>
      <c r="AA931" t="s">
        <v>38</v>
      </c>
      <c r="AB931" t="s">
        <v>38</v>
      </c>
      <c r="AC931" t="s">
        <v>38</v>
      </c>
      <c r="AD931" t="s">
        <v>48</v>
      </c>
      <c r="AG931" t="str">
        <f>IF(AD931="United States", IFERROR(INDEX(Sheet2!$C:$C, MATCH(AE931&amp;AF931, Sheet2!$E:$E, 0)) &amp; ", " &amp; INDEX(Sheet2!$D:$D, MATCH(AE931&amp;AF931, Sheet2!$E:$E, 0)), ""), "-")</f>
        <v/>
      </c>
    </row>
    <row r="932" spans="1:33" x14ac:dyDescent="0.25">
      <c r="A932" t="s">
        <v>1818</v>
      </c>
      <c r="B932" t="s">
        <v>1905</v>
      </c>
      <c r="C932" t="s">
        <v>1820</v>
      </c>
      <c r="D932" t="s">
        <v>132</v>
      </c>
      <c r="E932" t="s">
        <v>1906</v>
      </c>
      <c r="F932">
        <v>1759</v>
      </c>
      <c r="G932">
        <v>2384</v>
      </c>
      <c r="H932" t="s">
        <v>1821</v>
      </c>
      <c r="I932" t="s">
        <v>87</v>
      </c>
      <c r="J932" t="s">
        <v>38</v>
      </c>
      <c r="K932" t="s">
        <v>38</v>
      </c>
      <c r="L932" t="s">
        <v>38</v>
      </c>
      <c r="M932" t="s">
        <v>38</v>
      </c>
      <c r="N932" t="s">
        <v>38</v>
      </c>
      <c r="O932" t="s">
        <v>41</v>
      </c>
      <c r="P932" t="s">
        <v>42</v>
      </c>
      <c r="Q932" t="s">
        <v>43</v>
      </c>
      <c r="R932" t="s">
        <v>89</v>
      </c>
      <c r="S932" t="s">
        <v>45</v>
      </c>
      <c r="T932" t="s">
        <v>89</v>
      </c>
      <c r="U932" t="s">
        <v>38</v>
      </c>
      <c r="V932" t="s">
        <v>38</v>
      </c>
      <c r="W932" t="s">
        <v>92</v>
      </c>
      <c r="X932" t="s">
        <v>38</v>
      </c>
      <c r="Y932" t="s">
        <v>38</v>
      </c>
      <c r="Z932" t="s">
        <v>42</v>
      </c>
      <c r="AA932" t="s">
        <v>1247</v>
      </c>
      <c r="AB932" t="s">
        <v>38</v>
      </c>
      <c r="AC932" t="s">
        <v>45</v>
      </c>
      <c r="AD932" t="s">
        <v>48</v>
      </c>
      <c r="AG932" t="str">
        <f>IF(AD932="United States", IFERROR(INDEX(Sheet2!$C:$C, MATCH(AE932&amp;AF932, Sheet2!$E:$E, 0)) &amp; ", " &amp; INDEX(Sheet2!$D:$D, MATCH(AE932&amp;AF932, Sheet2!$E:$E, 0)), ""), "-")</f>
        <v/>
      </c>
    </row>
    <row r="933" spans="1:33" x14ac:dyDescent="0.25">
      <c r="A933" t="s">
        <v>1818</v>
      </c>
      <c r="B933" t="s">
        <v>1907</v>
      </c>
      <c r="C933" t="s">
        <v>1820</v>
      </c>
      <c r="D933" t="s">
        <v>101</v>
      </c>
      <c r="E933" t="s">
        <v>1908</v>
      </c>
      <c r="F933">
        <v>1764</v>
      </c>
      <c r="G933">
        <v>2385</v>
      </c>
      <c r="H933" t="s">
        <v>1821</v>
      </c>
      <c r="I933" t="s">
        <v>87</v>
      </c>
      <c r="J933" t="s">
        <v>38</v>
      </c>
      <c r="K933" t="s">
        <v>38</v>
      </c>
      <c r="L933" t="s">
        <v>38</v>
      </c>
      <c r="M933" t="s">
        <v>38</v>
      </c>
      <c r="N933" t="s">
        <v>38</v>
      </c>
      <c r="O933" t="s">
        <v>41</v>
      </c>
      <c r="P933" t="s">
        <v>42</v>
      </c>
      <c r="Q933" t="s">
        <v>43</v>
      </c>
      <c r="R933" t="s">
        <v>89</v>
      </c>
      <c r="S933" t="s">
        <v>45</v>
      </c>
      <c r="T933" t="s">
        <v>89</v>
      </c>
      <c r="U933" t="s">
        <v>38</v>
      </c>
      <c r="V933" t="s">
        <v>38</v>
      </c>
      <c r="W933" t="s">
        <v>92</v>
      </c>
      <c r="X933" t="s">
        <v>38</v>
      </c>
      <c r="Y933" t="s">
        <v>38</v>
      </c>
      <c r="Z933" t="s">
        <v>42</v>
      </c>
      <c r="AA933" t="s">
        <v>1909</v>
      </c>
      <c r="AB933" t="s">
        <v>38</v>
      </c>
      <c r="AC933" t="s">
        <v>45</v>
      </c>
      <c r="AD933" t="s">
        <v>48</v>
      </c>
      <c r="AG933" t="str">
        <f>IF(AD933="United States", IFERROR(INDEX(Sheet2!$C:$C, MATCH(AE933&amp;AF933, Sheet2!$E:$E, 0)) &amp; ", " &amp; INDEX(Sheet2!$D:$D, MATCH(AE933&amp;AF933, Sheet2!$E:$E, 0)), ""), "-")</f>
        <v/>
      </c>
    </row>
    <row r="934" spans="1:33" x14ac:dyDescent="0.25">
      <c r="A934" t="s">
        <v>1818</v>
      </c>
      <c r="B934" t="s">
        <v>1910</v>
      </c>
      <c r="C934" t="s">
        <v>1820</v>
      </c>
      <c r="D934" t="s">
        <v>867</v>
      </c>
      <c r="E934" t="s">
        <v>868</v>
      </c>
      <c r="F934">
        <v>1757</v>
      </c>
      <c r="G934">
        <v>2386</v>
      </c>
      <c r="H934" t="s">
        <v>1821</v>
      </c>
      <c r="I934" t="s">
        <v>87</v>
      </c>
      <c r="J934" t="s">
        <v>38</v>
      </c>
      <c r="K934" t="s">
        <v>38</v>
      </c>
      <c r="L934" t="s">
        <v>38</v>
      </c>
      <c r="M934" t="s">
        <v>38</v>
      </c>
      <c r="N934" t="s">
        <v>38</v>
      </c>
      <c r="O934" t="s">
        <v>41</v>
      </c>
      <c r="P934" t="s">
        <v>42</v>
      </c>
      <c r="Q934" t="s">
        <v>43</v>
      </c>
      <c r="R934" t="s">
        <v>89</v>
      </c>
      <c r="S934" t="s">
        <v>45</v>
      </c>
      <c r="T934" t="s">
        <v>89</v>
      </c>
      <c r="U934" t="s">
        <v>38</v>
      </c>
      <c r="V934" t="s">
        <v>38</v>
      </c>
      <c r="W934" t="s">
        <v>92</v>
      </c>
      <c r="X934" t="s">
        <v>38</v>
      </c>
      <c r="Y934" t="s">
        <v>38</v>
      </c>
      <c r="Z934" t="s">
        <v>42</v>
      </c>
      <c r="AA934" t="s">
        <v>169</v>
      </c>
      <c r="AB934" t="s">
        <v>38</v>
      </c>
      <c r="AC934" t="s">
        <v>45</v>
      </c>
      <c r="AD934" t="s">
        <v>48</v>
      </c>
      <c r="AG934" t="str">
        <f>IF(AD934="United States", IFERROR(INDEX(Sheet2!$C:$C, MATCH(AE934&amp;AF934, Sheet2!$E:$E, 0)) &amp; ", " &amp; INDEX(Sheet2!$D:$D, MATCH(AE934&amp;AF934, Sheet2!$E:$E, 0)), ""), "-")</f>
        <v/>
      </c>
    </row>
    <row r="935" spans="1:33" x14ac:dyDescent="0.25">
      <c r="A935" t="s">
        <v>1818</v>
      </c>
      <c r="B935" t="s">
        <v>1911</v>
      </c>
      <c r="C935" t="s">
        <v>1820</v>
      </c>
      <c r="D935" t="s">
        <v>113</v>
      </c>
      <c r="E935" t="s">
        <v>37</v>
      </c>
      <c r="F935">
        <v>1754</v>
      </c>
      <c r="G935">
        <v>2387</v>
      </c>
      <c r="H935" t="s">
        <v>1821</v>
      </c>
      <c r="I935" t="s">
        <v>87</v>
      </c>
      <c r="J935" t="s">
        <v>38</v>
      </c>
      <c r="K935" t="s">
        <v>867</v>
      </c>
      <c r="L935" t="s">
        <v>868</v>
      </c>
      <c r="M935" t="s">
        <v>38</v>
      </c>
      <c r="N935" t="s">
        <v>38</v>
      </c>
      <c r="O935" t="s">
        <v>41</v>
      </c>
      <c r="P935" t="s">
        <v>42</v>
      </c>
      <c r="Q935" t="s">
        <v>43</v>
      </c>
      <c r="R935" t="s">
        <v>89</v>
      </c>
      <c r="S935" t="s">
        <v>38</v>
      </c>
      <c r="T935" t="s">
        <v>89</v>
      </c>
      <c r="U935" t="s">
        <v>38</v>
      </c>
      <c r="V935" t="s">
        <v>38</v>
      </c>
      <c r="W935" t="s">
        <v>92</v>
      </c>
      <c r="X935" t="s">
        <v>38</v>
      </c>
      <c r="Y935" t="s">
        <v>38</v>
      </c>
      <c r="Z935" t="s">
        <v>42</v>
      </c>
      <c r="AA935" t="s">
        <v>38</v>
      </c>
      <c r="AB935" t="s">
        <v>38</v>
      </c>
      <c r="AC935" t="s">
        <v>1912</v>
      </c>
      <c r="AD935" t="s">
        <v>48</v>
      </c>
      <c r="AG935" t="str">
        <f>IF(AD935="United States", IFERROR(INDEX(Sheet2!$C:$C, MATCH(AE935&amp;AF935, Sheet2!$E:$E, 0)) &amp; ", " &amp; INDEX(Sheet2!$D:$D, MATCH(AE935&amp;AF935, Sheet2!$E:$E, 0)), ""), "-")</f>
        <v/>
      </c>
    </row>
    <row r="936" spans="1:33" x14ac:dyDescent="0.25">
      <c r="A936" t="s">
        <v>1818</v>
      </c>
      <c r="B936" t="s">
        <v>1913</v>
      </c>
      <c r="C936" t="s">
        <v>1820</v>
      </c>
      <c r="D936" t="s">
        <v>230</v>
      </c>
      <c r="E936" t="s">
        <v>1914</v>
      </c>
      <c r="F936">
        <v>1757</v>
      </c>
      <c r="G936">
        <v>2376</v>
      </c>
      <c r="H936" t="s">
        <v>1873</v>
      </c>
      <c r="I936" t="s">
        <v>87</v>
      </c>
      <c r="J936" t="s">
        <v>38</v>
      </c>
      <c r="K936" t="s">
        <v>38</v>
      </c>
      <c r="L936" t="s">
        <v>38</v>
      </c>
      <c r="M936" t="s">
        <v>38</v>
      </c>
      <c r="N936" t="s">
        <v>38</v>
      </c>
      <c r="O936" t="s">
        <v>41</v>
      </c>
      <c r="P936" t="s">
        <v>42</v>
      </c>
      <c r="Q936" t="s">
        <v>43</v>
      </c>
      <c r="R936" t="s">
        <v>89</v>
      </c>
      <c r="S936" t="s">
        <v>45</v>
      </c>
      <c r="T936" t="s">
        <v>89</v>
      </c>
      <c r="U936" t="s">
        <v>38</v>
      </c>
      <c r="V936" t="s">
        <v>38</v>
      </c>
      <c r="W936" t="s">
        <v>92</v>
      </c>
      <c r="X936" t="s">
        <v>38</v>
      </c>
      <c r="Y936" t="s">
        <v>1874</v>
      </c>
      <c r="Z936" t="s">
        <v>42</v>
      </c>
      <c r="AA936" t="s">
        <v>1891</v>
      </c>
      <c r="AB936" t="s">
        <v>38</v>
      </c>
      <c r="AC936" t="s">
        <v>45</v>
      </c>
      <c r="AD936" t="s">
        <v>48</v>
      </c>
      <c r="AG936" t="str">
        <f>IF(AD936="United States", IFERROR(INDEX(Sheet2!$C:$C, MATCH(AE936&amp;AF936, Sheet2!$E:$E, 0)) &amp; ", " &amp; INDEX(Sheet2!$D:$D, MATCH(AE936&amp;AF936, Sheet2!$E:$E, 0)), ""), "-")</f>
        <v/>
      </c>
    </row>
    <row r="937" spans="1:33" x14ac:dyDescent="0.25">
      <c r="A937" t="s">
        <v>1818</v>
      </c>
      <c r="B937" t="s">
        <v>1915</v>
      </c>
      <c r="C937" t="s">
        <v>1820</v>
      </c>
      <c r="D937" t="s">
        <v>1085</v>
      </c>
      <c r="E937" t="s">
        <v>1916</v>
      </c>
      <c r="F937">
        <v>1779</v>
      </c>
      <c r="G937">
        <v>2414</v>
      </c>
      <c r="H937" t="s">
        <v>1821</v>
      </c>
      <c r="I937" t="s">
        <v>87</v>
      </c>
      <c r="J937" t="s">
        <v>38</v>
      </c>
      <c r="K937" t="s">
        <v>38</v>
      </c>
      <c r="L937" t="s">
        <v>38</v>
      </c>
      <c r="M937" t="s">
        <v>38</v>
      </c>
      <c r="N937" t="s">
        <v>38</v>
      </c>
      <c r="O937" t="s">
        <v>54</v>
      </c>
      <c r="P937" t="s">
        <v>42</v>
      </c>
      <c r="Q937" t="s">
        <v>43</v>
      </c>
      <c r="R937" t="s">
        <v>89</v>
      </c>
      <c r="S937" t="s">
        <v>38</v>
      </c>
      <c r="T937" t="s">
        <v>89</v>
      </c>
      <c r="U937" t="s">
        <v>38</v>
      </c>
      <c r="V937" t="s">
        <v>38</v>
      </c>
      <c r="W937" t="s">
        <v>92</v>
      </c>
      <c r="X937" t="s">
        <v>38</v>
      </c>
      <c r="Y937" t="s">
        <v>38</v>
      </c>
      <c r="Z937" t="s">
        <v>42</v>
      </c>
      <c r="AA937" t="s">
        <v>38</v>
      </c>
      <c r="AB937" t="s">
        <v>38</v>
      </c>
      <c r="AC937" t="s">
        <v>38</v>
      </c>
      <c r="AD937" t="s">
        <v>48</v>
      </c>
      <c r="AG937" t="str">
        <f>IF(AD937="United States", IFERROR(INDEX(Sheet2!$C:$C, MATCH(AE937&amp;AF937, Sheet2!$E:$E, 0)) &amp; ", " &amp; INDEX(Sheet2!$D:$D, MATCH(AE937&amp;AF937, Sheet2!$E:$E, 0)), ""), "-")</f>
        <v/>
      </c>
    </row>
    <row r="938" spans="1:33" x14ac:dyDescent="0.25">
      <c r="A938" t="s">
        <v>1818</v>
      </c>
      <c r="B938" t="s">
        <v>1917</v>
      </c>
      <c r="C938" t="s">
        <v>1820</v>
      </c>
      <c r="D938" t="s">
        <v>867</v>
      </c>
      <c r="E938" t="s">
        <v>38</v>
      </c>
      <c r="F938" t="s">
        <v>38</v>
      </c>
      <c r="G938">
        <v>2419</v>
      </c>
      <c r="H938" t="s">
        <v>1821</v>
      </c>
      <c r="I938" t="s">
        <v>87</v>
      </c>
      <c r="J938" t="s">
        <v>38</v>
      </c>
      <c r="K938" t="s">
        <v>38</v>
      </c>
      <c r="L938" t="s">
        <v>38</v>
      </c>
      <c r="M938" t="s">
        <v>38</v>
      </c>
      <c r="N938" t="s">
        <v>38</v>
      </c>
      <c r="O938" t="s">
        <v>54</v>
      </c>
      <c r="P938" t="s">
        <v>42</v>
      </c>
      <c r="Q938" t="s">
        <v>43</v>
      </c>
      <c r="R938" t="s">
        <v>89</v>
      </c>
      <c r="S938" t="s">
        <v>38</v>
      </c>
      <c r="T938" t="s">
        <v>89</v>
      </c>
      <c r="U938" t="s">
        <v>38</v>
      </c>
      <c r="V938" t="s">
        <v>38</v>
      </c>
      <c r="W938" t="s">
        <v>92</v>
      </c>
      <c r="X938" t="s">
        <v>38</v>
      </c>
      <c r="Y938" t="s">
        <v>38</v>
      </c>
      <c r="Z938" t="s">
        <v>42</v>
      </c>
      <c r="AA938" t="s">
        <v>38</v>
      </c>
      <c r="AB938" t="s">
        <v>38</v>
      </c>
      <c r="AC938" t="s">
        <v>38</v>
      </c>
      <c r="AD938" t="s">
        <v>48</v>
      </c>
      <c r="AG938" t="str">
        <f>IF(AD938="United States", IFERROR(INDEX(Sheet2!$C:$C, MATCH(AE938&amp;AF938, Sheet2!$E:$E, 0)) &amp; ", " &amp; INDEX(Sheet2!$D:$D, MATCH(AE938&amp;AF938, Sheet2!$E:$E, 0)), ""), "-")</f>
        <v/>
      </c>
    </row>
    <row r="939" spans="1:33" x14ac:dyDescent="0.25">
      <c r="A939" t="s">
        <v>1818</v>
      </c>
      <c r="B939" t="s">
        <v>1918</v>
      </c>
      <c r="C939" t="s">
        <v>1820</v>
      </c>
      <c r="D939" t="s">
        <v>463</v>
      </c>
      <c r="E939" t="s">
        <v>1437</v>
      </c>
      <c r="F939">
        <v>1772</v>
      </c>
      <c r="G939">
        <v>2416</v>
      </c>
      <c r="H939" t="s">
        <v>1821</v>
      </c>
      <c r="I939" t="s">
        <v>87</v>
      </c>
      <c r="J939" t="s">
        <v>38</v>
      </c>
      <c r="K939" t="s">
        <v>38</v>
      </c>
      <c r="L939" t="s">
        <v>38</v>
      </c>
      <c r="M939" t="s">
        <v>38</v>
      </c>
      <c r="N939" t="s">
        <v>38</v>
      </c>
      <c r="O939" t="s">
        <v>54</v>
      </c>
      <c r="P939" t="s">
        <v>42</v>
      </c>
      <c r="Q939" t="s">
        <v>43</v>
      </c>
      <c r="R939" t="s">
        <v>89</v>
      </c>
      <c r="S939" t="s">
        <v>153</v>
      </c>
      <c r="T939" t="s">
        <v>89</v>
      </c>
      <c r="U939" t="s">
        <v>38</v>
      </c>
      <c r="V939" t="s">
        <v>38</v>
      </c>
      <c r="W939" t="s">
        <v>92</v>
      </c>
      <c r="X939" t="s">
        <v>38</v>
      </c>
      <c r="Y939" t="s">
        <v>38</v>
      </c>
      <c r="Z939" t="s">
        <v>42</v>
      </c>
      <c r="AA939" t="s">
        <v>1919</v>
      </c>
      <c r="AB939" t="s">
        <v>38</v>
      </c>
      <c r="AC939" t="s">
        <v>153</v>
      </c>
      <c r="AD939" t="s">
        <v>48</v>
      </c>
      <c r="AG939" t="str">
        <f>IF(AD939="United States", IFERROR(INDEX(Sheet2!$C:$C, MATCH(AE939&amp;AF939, Sheet2!$E:$E, 0)) &amp; ", " &amp; INDEX(Sheet2!$D:$D, MATCH(AE939&amp;AF939, Sheet2!$E:$E, 0)), ""), "-")</f>
        <v/>
      </c>
    </row>
    <row r="940" spans="1:33" x14ac:dyDescent="0.25">
      <c r="A940" t="s">
        <v>1818</v>
      </c>
      <c r="B940" t="s">
        <v>1920</v>
      </c>
      <c r="C940" t="s">
        <v>1820</v>
      </c>
      <c r="D940" t="s">
        <v>1168</v>
      </c>
      <c r="E940" t="s">
        <v>1921</v>
      </c>
      <c r="F940">
        <v>1774</v>
      </c>
      <c r="G940">
        <v>2447</v>
      </c>
      <c r="H940" t="s">
        <v>1821</v>
      </c>
      <c r="I940" t="s">
        <v>87</v>
      </c>
      <c r="J940" t="s">
        <v>38</v>
      </c>
      <c r="K940" t="s">
        <v>38</v>
      </c>
      <c r="L940" t="s">
        <v>38</v>
      </c>
      <c r="M940" t="s">
        <v>38</v>
      </c>
      <c r="N940" t="s">
        <v>38</v>
      </c>
      <c r="O940" t="s">
        <v>54</v>
      </c>
      <c r="P940" t="s">
        <v>42</v>
      </c>
      <c r="Q940" t="s">
        <v>43</v>
      </c>
      <c r="R940" t="s">
        <v>89</v>
      </c>
      <c r="S940" t="s">
        <v>45</v>
      </c>
      <c r="T940" t="s">
        <v>89</v>
      </c>
      <c r="U940" t="s">
        <v>38</v>
      </c>
      <c r="V940" t="s">
        <v>38</v>
      </c>
      <c r="W940" t="s">
        <v>92</v>
      </c>
      <c r="X940" t="s">
        <v>38</v>
      </c>
      <c r="Y940" t="s">
        <v>38</v>
      </c>
      <c r="Z940" t="s">
        <v>42</v>
      </c>
      <c r="AA940" t="s">
        <v>169</v>
      </c>
      <c r="AB940" t="s">
        <v>38</v>
      </c>
      <c r="AC940" t="s">
        <v>45</v>
      </c>
      <c r="AD940" t="s">
        <v>48</v>
      </c>
      <c r="AG940" t="str">
        <f>IF(AD940="United States", IFERROR(INDEX(Sheet2!$C:$C, MATCH(AE940&amp;AF940, Sheet2!$E:$E, 0)) &amp; ", " &amp; INDEX(Sheet2!$D:$D, MATCH(AE940&amp;AF940, Sheet2!$E:$E, 0)), ""), "-")</f>
        <v/>
      </c>
    </row>
    <row r="941" spans="1:33" x14ac:dyDescent="0.25">
      <c r="A941" t="s">
        <v>1818</v>
      </c>
      <c r="B941" t="s">
        <v>1922</v>
      </c>
      <c r="C941" t="s">
        <v>1820</v>
      </c>
      <c r="D941" t="s">
        <v>1603</v>
      </c>
      <c r="E941" t="s">
        <v>1921</v>
      </c>
      <c r="F941">
        <v>1753</v>
      </c>
      <c r="G941">
        <v>2446</v>
      </c>
      <c r="H941" t="s">
        <v>1923</v>
      </c>
      <c r="I941" t="s">
        <v>87</v>
      </c>
      <c r="J941" t="s">
        <v>38</v>
      </c>
      <c r="K941" t="s">
        <v>38</v>
      </c>
      <c r="L941" t="s">
        <v>38</v>
      </c>
      <c r="M941" t="s">
        <v>38</v>
      </c>
      <c r="N941" t="s">
        <v>38</v>
      </c>
      <c r="O941" t="s">
        <v>57</v>
      </c>
      <c r="P941" t="s">
        <v>42</v>
      </c>
      <c r="Q941" t="s">
        <v>43</v>
      </c>
      <c r="R941" t="s">
        <v>89</v>
      </c>
      <c r="S941" t="s">
        <v>45</v>
      </c>
      <c r="T941" t="s">
        <v>89</v>
      </c>
      <c r="U941" t="s">
        <v>38</v>
      </c>
      <c r="V941" t="s">
        <v>38</v>
      </c>
      <c r="W941" t="s">
        <v>92</v>
      </c>
      <c r="X941" t="s">
        <v>38</v>
      </c>
      <c r="Y941" t="s">
        <v>38</v>
      </c>
      <c r="Z941" t="s">
        <v>42</v>
      </c>
      <c r="AA941" t="s">
        <v>169</v>
      </c>
      <c r="AB941" t="s">
        <v>38</v>
      </c>
      <c r="AC941" t="s">
        <v>45</v>
      </c>
      <c r="AD941" t="s">
        <v>48</v>
      </c>
      <c r="AG941" t="str">
        <f>IF(AD941="United States", IFERROR(INDEX(Sheet2!$C:$C, MATCH(AE941&amp;AF941, Sheet2!$E:$E, 0)) &amp; ", " &amp; INDEX(Sheet2!$D:$D, MATCH(AE941&amp;AF941, Sheet2!$E:$E, 0)), ""), "-")</f>
        <v/>
      </c>
    </row>
    <row r="942" spans="1:33" x14ac:dyDescent="0.25">
      <c r="A942" t="s">
        <v>1818</v>
      </c>
      <c r="B942" t="s">
        <v>1924</v>
      </c>
      <c r="C942" t="s">
        <v>1820</v>
      </c>
      <c r="D942" t="s">
        <v>1925</v>
      </c>
      <c r="E942" t="s">
        <v>1337</v>
      </c>
      <c r="F942">
        <v>1775</v>
      </c>
      <c r="G942">
        <v>2445</v>
      </c>
      <c r="H942" t="s">
        <v>1923</v>
      </c>
      <c r="I942" t="s">
        <v>87</v>
      </c>
      <c r="J942" t="s">
        <v>38</v>
      </c>
      <c r="K942" t="s">
        <v>1926</v>
      </c>
      <c r="L942" t="s">
        <v>1437</v>
      </c>
      <c r="M942" t="s">
        <v>38</v>
      </c>
      <c r="N942" t="s">
        <v>38</v>
      </c>
      <c r="O942" t="s">
        <v>54</v>
      </c>
      <c r="P942" t="s">
        <v>42</v>
      </c>
      <c r="Q942" t="s">
        <v>43</v>
      </c>
      <c r="R942" t="s">
        <v>89</v>
      </c>
      <c r="S942" t="s">
        <v>45</v>
      </c>
      <c r="T942" t="s">
        <v>89</v>
      </c>
      <c r="U942" t="s">
        <v>38</v>
      </c>
      <c r="V942" t="s">
        <v>38</v>
      </c>
      <c r="W942" t="s">
        <v>92</v>
      </c>
      <c r="X942" t="s">
        <v>38</v>
      </c>
      <c r="Y942" t="s">
        <v>38</v>
      </c>
      <c r="Z942" t="s">
        <v>42</v>
      </c>
      <c r="AA942" t="s">
        <v>45</v>
      </c>
      <c r="AB942" t="s">
        <v>38</v>
      </c>
      <c r="AC942" t="s">
        <v>1824</v>
      </c>
      <c r="AD942" t="s">
        <v>48</v>
      </c>
      <c r="AG942" t="str">
        <f>IF(AD942="United States", IFERROR(INDEX(Sheet2!$C:$C, MATCH(AE942&amp;AF942, Sheet2!$E:$E, 0)) &amp; ", " &amp; INDEX(Sheet2!$D:$D, MATCH(AE942&amp;AF942, Sheet2!$E:$E, 0)), ""), "-")</f>
        <v/>
      </c>
    </row>
    <row r="943" spans="1:33" x14ac:dyDescent="0.25">
      <c r="A943" t="s">
        <v>1818</v>
      </c>
      <c r="B943" t="s">
        <v>1927</v>
      </c>
      <c r="C943" t="s">
        <v>1820</v>
      </c>
      <c r="D943" t="s">
        <v>114</v>
      </c>
      <c r="E943" t="s">
        <v>1928</v>
      </c>
      <c r="F943">
        <v>1761</v>
      </c>
      <c r="G943">
        <v>2444</v>
      </c>
      <c r="H943" t="s">
        <v>1821</v>
      </c>
      <c r="I943" t="s">
        <v>87</v>
      </c>
      <c r="J943" t="s">
        <v>38</v>
      </c>
      <c r="K943" t="s">
        <v>38</v>
      </c>
      <c r="L943" t="s">
        <v>38</v>
      </c>
      <c r="M943" t="s">
        <v>52</v>
      </c>
      <c r="N943" t="s">
        <v>1929</v>
      </c>
      <c r="O943" t="s">
        <v>57</v>
      </c>
      <c r="P943" t="s">
        <v>42</v>
      </c>
      <c r="Q943" t="s">
        <v>43</v>
      </c>
      <c r="R943" t="s">
        <v>89</v>
      </c>
      <c r="S943" t="s">
        <v>45</v>
      </c>
      <c r="T943" t="s">
        <v>89</v>
      </c>
      <c r="U943" t="s">
        <v>38</v>
      </c>
      <c r="V943" t="s">
        <v>38</v>
      </c>
      <c r="W943" t="s">
        <v>92</v>
      </c>
      <c r="X943" t="s">
        <v>38</v>
      </c>
      <c r="Y943" t="s">
        <v>38</v>
      </c>
      <c r="Z943" t="s">
        <v>42</v>
      </c>
      <c r="AA943" t="s">
        <v>45</v>
      </c>
      <c r="AB943" t="s">
        <v>38</v>
      </c>
      <c r="AC943" t="s">
        <v>1824</v>
      </c>
      <c r="AD943" t="s">
        <v>48</v>
      </c>
      <c r="AG943" t="str">
        <f>IF(AD943="United States", IFERROR(INDEX(Sheet2!$C:$C, MATCH(AE943&amp;AF943, Sheet2!$E:$E, 0)) &amp; ", " &amp; INDEX(Sheet2!$D:$D, MATCH(AE943&amp;AF943, Sheet2!$E:$E, 0)), ""), "-")</f>
        <v/>
      </c>
    </row>
    <row r="944" spans="1:33" x14ac:dyDescent="0.25">
      <c r="A944" t="s">
        <v>1818</v>
      </c>
      <c r="B944" t="s">
        <v>1930</v>
      </c>
      <c r="C944" t="s">
        <v>1820</v>
      </c>
      <c r="D944" t="s">
        <v>52</v>
      </c>
      <c r="E944" t="s">
        <v>1929</v>
      </c>
      <c r="F944">
        <v>1733</v>
      </c>
      <c r="G944">
        <v>2443</v>
      </c>
      <c r="H944" t="s">
        <v>1923</v>
      </c>
      <c r="I944" t="s">
        <v>87</v>
      </c>
      <c r="J944" t="s">
        <v>38</v>
      </c>
      <c r="K944" t="s">
        <v>38</v>
      </c>
      <c r="L944" t="s">
        <v>38</v>
      </c>
      <c r="M944" t="s">
        <v>38</v>
      </c>
      <c r="N944" t="s">
        <v>38</v>
      </c>
      <c r="O944" t="s">
        <v>57</v>
      </c>
      <c r="P944" t="s">
        <v>42</v>
      </c>
      <c r="Q944" t="s">
        <v>43</v>
      </c>
      <c r="R944" t="s">
        <v>89</v>
      </c>
      <c r="S944" t="s">
        <v>38</v>
      </c>
      <c r="T944" t="s">
        <v>89</v>
      </c>
      <c r="U944" t="s">
        <v>38</v>
      </c>
      <c r="V944" t="s">
        <v>38</v>
      </c>
      <c r="W944" t="s">
        <v>92</v>
      </c>
      <c r="X944" t="s">
        <v>38</v>
      </c>
      <c r="Y944" t="s">
        <v>38</v>
      </c>
      <c r="Z944" t="s">
        <v>42</v>
      </c>
      <c r="AA944" t="s">
        <v>38</v>
      </c>
      <c r="AB944" t="s">
        <v>38</v>
      </c>
      <c r="AC944" t="s">
        <v>38</v>
      </c>
      <c r="AD944" t="s">
        <v>48</v>
      </c>
      <c r="AG944" t="str">
        <f>IF(AD944="United States", IFERROR(INDEX(Sheet2!$C:$C, MATCH(AE944&amp;AF944, Sheet2!$E:$E, 0)) &amp; ", " &amp; INDEX(Sheet2!$D:$D, MATCH(AE944&amp;AF944, Sheet2!$E:$E, 0)), ""), "-")</f>
        <v/>
      </c>
    </row>
    <row r="945" spans="1:33" x14ac:dyDescent="0.25">
      <c r="A945" t="s">
        <v>1818</v>
      </c>
      <c r="B945" t="s">
        <v>1931</v>
      </c>
      <c r="C945" t="s">
        <v>1820</v>
      </c>
      <c r="D945" t="s">
        <v>1078</v>
      </c>
      <c r="E945" t="s">
        <v>1929</v>
      </c>
      <c r="F945">
        <v>1755</v>
      </c>
      <c r="G945">
        <v>2442</v>
      </c>
      <c r="H945" t="s">
        <v>1923</v>
      </c>
      <c r="I945" t="s">
        <v>87</v>
      </c>
      <c r="J945" t="s">
        <v>38</v>
      </c>
      <c r="K945" t="s">
        <v>38</v>
      </c>
      <c r="L945" t="s">
        <v>38</v>
      </c>
      <c r="M945" t="s">
        <v>38</v>
      </c>
      <c r="N945" t="s">
        <v>38</v>
      </c>
      <c r="O945" t="s">
        <v>57</v>
      </c>
      <c r="P945" t="s">
        <v>42</v>
      </c>
      <c r="Q945" t="s">
        <v>43</v>
      </c>
      <c r="R945" t="s">
        <v>89</v>
      </c>
      <c r="S945" t="s">
        <v>38</v>
      </c>
      <c r="T945" t="s">
        <v>89</v>
      </c>
      <c r="U945" t="s">
        <v>38</v>
      </c>
      <c r="V945" t="s">
        <v>38</v>
      </c>
      <c r="W945" t="s">
        <v>92</v>
      </c>
      <c r="X945" t="s">
        <v>38</v>
      </c>
      <c r="Y945" t="s">
        <v>38</v>
      </c>
      <c r="Z945" t="s">
        <v>42</v>
      </c>
      <c r="AA945" t="s">
        <v>38</v>
      </c>
      <c r="AB945" t="s">
        <v>38</v>
      </c>
      <c r="AC945" t="s">
        <v>38</v>
      </c>
      <c r="AD945" t="s">
        <v>48</v>
      </c>
      <c r="AG945" t="str">
        <f>IF(AD945="United States", IFERROR(INDEX(Sheet2!$C:$C, MATCH(AE945&amp;AF945, Sheet2!$E:$E, 0)) &amp; ", " &amp; INDEX(Sheet2!$D:$D, MATCH(AE945&amp;AF945, Sheet2!$E:$E, 0)), ""), "-")</f>
        <v/>
      </c>
    </row>
    <row r="946" spans="1:33" x14ac:dyDescent="0.25">
      <c r="A946" t="s">
        <v>1818</v>
      </c>
      <c r="B946" t="s">
        <v>1932</v>
      </c>
      <c r="C946" t="s">
        <v>1820</v>
      </c>
      <c r="D946" t="s">
        <v>458</v>
      </c>
      <c r="F946">
        <v>1760</v>
      </c>
      <c r="G946">
        <v>2739</v>
      </c>
      <c r="I946" t="s">
        <v>87</v>
      </c>
      <c r="J946" t="s">
        <v>38</v>
      </c>
      <c r="O946" t="s">
        <v>41</v>
      </c>
      <c r="P946" t="s">
        <v>42</v>
      </c>
      <c r="Q946" t="s">
        <v>43</v>
      </c>
      <c r="S946" t="s">
        <v>89</v>
      </c>
      <c r="V946" t="s">
        <v>1933</v>
      </c>
      <c r="Y946" t="s">
        <v>1874</v>
      </c>
      <c r="Z946" t="s">
        <v>42</v>
      </c>
      <c r="AA946" t="s">
        <v>38</v>
      </c>
      <c r="AB946" t="s">
        <v>38</v>
      </c>
      <c r="AC946" t="s">
        <v>38</v>
      </c>
      <c r="AD946" t="s">
        <v>48</v>
      </c>
      <c r="AG946" t="str">
        <f>IF(AD946="United States", IFERROR(INDEX(Sheet2!$C:$C, MATCH(AE946&amp;AF946, Sheet2!$E:$E, 0)) &amp; ", " &amp; INDEX(Sheet2!$D:$D, MATCH(AE946&amp;AF946, Sheet2!$E:$E, 0)), ""), "-")</f>
        <v/>
      </c>
    </row>
    <row r="947" spans="1:33" x14ac:dyDescent="0.25">
      <c r="A947" t="s">
        <v>1818</v>
      </c>
      <c r="B947" t="s">
        <v>1934</v>
      </c>
      <c r="C947" t="s">
        <v>1820</v>
      </c>
      <c r="D947" t="s">
        <v>114</v>
      </c>
      <c r="E947" t="s">
        <v>1437</v>
      </c>
      <c r="F947" t="s">
        <v>38</v>
      </c>
      <c r="G947">
        <v>2740</v>
      </c>
      <c r="I947" t="s">
        <v>87</v>
      </c>
      <c r="J947" t="s">
        <v>38</v>
      </c>
      <c r="O947" t="s">
        <v>41</v>
      </c>
      <c r="P947" t="s">
        <v>42</v>
      </c>
      <c r="Q947" t="s">
        <v>43</v>
      </c>
      <c r="V947" t="s">
        <v>1933</v>
      </c>
      <c r="Y947" t="s">
        <v>38</v>
      </c>
      <c r="Z947" t="s">
        <v>42</v>
      </c>
      <c r="AA947" t="s">
        <v>38</v>
      </c>
      <c r="AB947" t="s">
        <v>38</v>
      </c>
      <c r="AC947" t="s">
        <v>38</v>
      </c>
      <c r="AD947" t="s">
        <v>48</v>
      </c>
      <c r="AG947" t="str">
        <f>IF(AD947="United States", IFERROR(INDEX(Sheet2!$C:$C, MATCH(AE947&amp;AF947, Sheet2!$E:$E, 0)) &amp; ", " &amp; INDEX(Sheet2!$D:$D, MATCH(AE947&amp;AF947, Sheet2!$E:$E, 0)), ""), "-")</f>
        <v/>
      </c>
    </row>
    <row r="948" spans="1:33" x14ac:dyDescent="0.25">
      <c r="A948" t="s">
        <v>1818</v>
      </c>
      <c r="B948" t="s">
        <v>1935</v>
      </c>
      <c r="C948" t="s">
        <v>1820</v>
      </c>
      <c r="D948" t="s">
        <v>52</v>
      </c>
      <c r="E948" t="s">
        <v>1936</v>
      </c>
      <c r="F948">
        <v>1779</v>
      </c>
      <c r="G948">
        <v>2441</v>
      </c>
      <c r="H948" t="s">
        <v>1923</v>
      </c>
      <c r="I948" t="s">
        <v>87</v>
      </c>
      <c r="J948" t="s">
        <v>38</v>
      </c>
      <c r="K948" t="s">
        <v>38</v>
      </c>
      <c r="L948" t="s">
        <v>38</v>
      </c>
      <c r="M948" t="s">
        <v>38</v>
      </c>
      <c r="N948" t="s">
        <v>38</v>
      </c>
      <c r="O948" t="s">
        <v>54</v>
      </c>
      <c r="P948" t="s">
        <v>42</v>
      </c>
      <c r="Q948" t="s">
        <v>43</v>
      </c>
      <c r="R948" t="s">
        <v>89</v>
      </c>
      <c r="S948" t="s">
        <v>38</v>
      </c>
      <c r="T948" t="s">
        <v>89</v>
      </c>
      <c r="U948" t="s">
        <v>38</v>
      </c>
      <c r="V948" t="s">
        <v>38</v>
      </c>
      <c r="W948" t="s">
        <v>92</v>
      </c>
      <c r="X948" t="s">
        <v>38</v>
      </c>
      <c r="Y948" t="s">
        <v>38</v>
      </c>
      <c r="Z948" t="s">
        <v>42</v>
      </c>
      <c r="AA948" t="s">
        <v>38</v>
      </c>
      <c r="AB948" t="s">
        <v>38</v>
      </c>
      <c r="AC948" t="s">
        <v>38</v>
      </c>
      <c r="AD948" t="s">
        <v>48</v>
      </c>
      <c r="AG948" t="str">
        <f>IF(AD948="United States", IFERROR(INDEX(Sheet2!$C:$C, MATCH(AE948&amp;AF948, Sheet2!$E:$E, 0)) &amp; ", " &amp; INDEX(Sheet2!$D:$D, MATCH(AE948&amp;AF948, Sheet2!$E:$E, 0)), ""), "-")</f>
        <v/>
      </c>
    </row>
    <row r="949" spans="1:33" x14ac:dyDescent="0.25">
      <c r="A949" t="s">
        <v>1818</v>
      </c>
      <c r="B949" t="s">
        <v>1937</v>
      </c>
      <c r="C949" t="s">
        <v>1820</v>
      </c>
      <c r="D949" t="s">
        <v>52</v>
      </c>
      <c r="E949" t="s">
        <v>1936</v>
      </c>
      <c r="F949">
        <v>1757</v>
      </c>
      <c r="G949">
        <v>2440</v>
      </c>
      <c r="H949" t="s">
        <v>1923</v>
      </c>
      <c r="I949" t="s">
        <v>87</v>
      </c>
      <c r="J949" t="s">
        <v>38</v>
      </c>
      <c r="K949" t="s">
        <v>38</v>
      </c>
      <c r="L949" t="s">
        <v>38</v>
      </c>
      <c r="M949" t="s">
        <v>38</v>
      </c>
      <c r="N949" t="s">
        <v>38</v>
      </c>
      <c r="O949" t="s">
        <v>57</v>
      </c>
      <c r="P949" t="s">
        <v>42</v>
      </c>
      <c r="Q949" t="s">
        <v>43</v>
      </c>
      <c r="R949" t="s">
        <v>89</v>
      </c>
      <c r="S949" t="s">
        <v>38</v>
      </c>
      <c r="T949" t="s">
        <v>89</v>
      </c>
      <c r="U949" t="s">
        <v>38</v>
      </c>
      <c r="V949" t="s">
        <v>38</v>
      </c>
      <c r="W949" t="s">
        <v>92</v>
      </c>
      <c r="X949" t="s">
        <v>38</v>
      </c>
      <c r="Y949" t="s">
        <v>38</v>
      </c>
      <c r="Z949" t="s">
        <v>42</v>
      </c>
      <c r="AA949" t="s">
        <v>38</v>
      </c>
      <c r="AB949" t="s">
        <v>38</v>
      </c>
      <c r="AC949" t="s">
        <v>38</v>
      </c>
      <c r="AD949" t="s">
        <v>48</v>
      </c>
      <c r="AG949" t="str">
        <f>IF(AD949="United States", IFERROR(INDEX(Sheet2!$C:$C, MATCH(AE949&amp;AF949, Sheet2!$E:$E, 0)) &amp; ", " &amp; INDEX(Sheet2!$D:$D, MATCH(AE949&amp;AF949, Sheet2!$E:$E, 0)), ""), "-")</f>
        <v/>
      </c>
    </row>
    <row r="950" spans="1:33" x14ac:dyDescent="0.25">
      <c r="A950" t="s">
        <v>1818</v>
      </c>
      <c r="B950" t="s">
        <v>1938</v>
      </c>
      <c r="C950" t="s">
        <v>1820</v>
      </c>
      <c r="D950" t="s">
        <v>1603</v>
      </c>
      <c r="E950" t="s">
        <v>1437</v>
      </c>
      <c r="F950">
        <v>1743</v>
      </c>
      <c r="G950">
        <v>2439</v>
      </c>
      <c r="H950" t="s">
        <v>1923</v>
      </c>
      <c r="I950" t="s">
        <v>87</v>
      </c>
      <c r="J950" t="s">
        <v>38</v>
      </c>
      <c r="K950" t="s">
        <v>38</v>
      </c>
      <c r="L950" t="s">
        <v>38</v>
      </c>
      <c r="M950" t="s">
        <v>38</v>
      </c>
      <c r="N950" t="s">
        <v>38</v>
      </c>
      <c r="O950" t="s">
        <v>57</v>
      </c>
      <c r="P950" t="s">
        <v>42</v>
      </c>
      <c r="Q950" t="s">
        <v>43</v>
      </c>
      <c r="R950" t="s">
        <v>89</v>
      </c>
      <c r="S950" t="s">
        <v>38</v>
      </c>
      <c r="T950" t="s">
        <v>89</v>
      </c>
      <c r="U950" t="s">
        <v>38</v>
      </c>
      <c r="V950" t="s">
        <v>38</v>
      </c>
      <c r="W950" t="s">
        <v>92</v>
      </c>
      <c r="X950" t="s">
        <v>38</v>
      </c>
      <c r="Y950" t="s">
        <v>38</v>
      </c>
      <c r="Z950" t="s">
        <v>42</v>
      </c>
      <c r="AA950" t="s">
        <v>38</v>
      </c>
      <c r="AB950" t="s">
        <v>38</v>
      </c>
      <c r="AC950" t="s">
        <v>38</v>
      </c>
      <c r="AD950" t="s">
        <v>48</v>
      </c>
      <c r="AG950" t="str">
        <f>IF(AD950="United States", IFERROR(INDEX(Sheet2!$C:$C, MATCH(AE950&amp;AF950, Sheet2!$E:$E, 0)) &amp; ", " &amp; INDEX(Sheet2!$D:$D, MATCH(AE950&amp;AF950, Sheet2!$E:$E, 0)), ""), "-")</f>
        <v/>
      </c>
    </row>
    <row r="951" spans="1:33" x14ac:dyDescent="0.25">
      <c r="A951" t="s">
        <v>1818</v>
      </c>
      <c r="B951" t="s">
        <v>1939</v>
      </c>
      <c r="C951" t="s">
        <v>1820</v>
      </c>
      <c r="D951" t="s">
        <v>1413</v>
      </c>
      <c r="E951" t="s">
        <v>1249</v>
      </c>
      <c r="F951">
        <v>1753</v>
      </c>
      <c r="G951">
        <v>2437</v>
      </c>
      <c r="H951" t="s">
        <v>38</v>
      </c>
      <c r="I951" t="s">
        <v>87</v>
      </c>
      <c r="J951" t="s">
        <v>38</v>
      </c>
      <c r="K951" t="s">
        <v>38</v>
      </c>
      <c r="L951" t="s">
        <v>38</v>
      </c>
      <c r="M951" t="s">
        <v>38</v>
      </c>
      <c r="N951" t="s">
        <v>38</v>
      </c>
      <c r="O951" t="s">
        <v>57</v>
      </c>
      <c r="P951" t="s">
        <v>42</v>
      </c>
      <c r="Q951" t="s">
        <v>43</v>
      </c>
      <c r="R951" t="s">
        <v>38</v>
      </c>
      <c r="S951" t="s">
        <v>38</v>
      </c>
      <c r="T951" t="s">
        <v>38</v>
      </c>
      <c r="U951" t="s">
        <v>38</v>
      </c>
      <c r="V951" t="s">
        <v>38</v>
      </c>
      <c r="W951" t="s">
        <v>38</v>
      </c>
      <c r="X951" t="s">
        <v>38</v>
      </c>
      <c r="Y951" t="s">
        <v>38</v>
      </c>
      <c r="Z951" t="s">
        <v>42</v>
      </c>
      <c r="AA951" t="s">
        <v>38</v>
      </c>
      <c r="AB951" t="s">
        <v>38</v>
      </c>
      <c r="AC951" t="s">
        <v>38</v>
      </c>
      <c r="AD951" t="s">
        <v>48</v>
      </c>
      <c r="AG951" t="str">
        <f>IF(AD951="United States", IFERROR(INDEX(Sheet2!$C:$C, MATCH(AE951&amp;AF951, Sheet2!$E:$E, 0)) &amp; ", " &amp; INDEX(Sheet2!$D:$D, MATCH(AE951&amp;AF951, Sheet2!$E:$E, 0)), ""), "-")</f>
        <v/>
      </c>
    </row>
    <row r="952" spans="1:33" x14ac:dyDescent="0.25">
      <c r="A952" t="s">
        <v>1818</v>
      </c>
      <c r="B952" t="s">
        <v>1940</v>
      </c>
      <c r="C952" t="s">
        <v>1820</v>
      </c>
      <c r="D952" t="s">
        <v>132</v>
      </c>
      <c r="E952" t="s">
        <v>1941</v>
      </c>
      <c r="F952">
        <v>1774</v>
      </c>
      <c r="G952">
        <v>2436</v>
      </c>
      <c r="H952" t="s">
        <v>1821</v>
      </c>
      <c r="I952" t="s">
        <v>87</v>
      </c>
      <c r="J952" t="s">
        <v>38</v>
      </c>
      <c r="K952" t="s">
        <v>38</v>
      </c>
      <c r="L952" t="s">
        <v>38</v>
      </c>
      <c r="M952" t="s">
        <v>38</v>
      </c>
      <c r="N952" t="s">
        <v>38</v>
      </c>
      <c r="O952" t="s">
        <v>54</v>
      </c>
      <c r="P952" t="s">
        <v>42</v>
      </c>
      <c r="Q952" t="s">
        <v>43</v>
      </c>
      <c r="R952" t="s">
        <v>89</v>
      </c>
      <c r="S952" t="s">
        <v>38</v>
      </c>
      <c r="T952" t="s">
        <v>89</v>
      </c>
      <c r="U952" t="s">
        <v>38</v>
      </c>
      <c r="V952" t="s">
        <v>38</v>
      </c>
      <c r="W952" t="s">
        <v>92</v>
      </c>
      <c r="X952" t="s">
        <v>38</v>
      </c>
      <c r="Y952" t="s">
        <v>38</v>
      </c>
      <c r="Z952" t="s">
        <v>42</v>
      </c>
      <c r="AA952" t="s">
        <v>38</v>
      </c>
      <c r="AB952" t="s">
        <v>38</v>
      </c>
      <c r="AC952" t="s">
        <v>38</v>
      </c>
      <c r="AD952" t="s">
        <v>48</v>
      </c>
      <c r="AG952" t="str">
        <f>IF(AD952="United States", IFERROR(INDEX(Sheet2!$C:$C, MATCH(AE952&amp;AF952, Sheet2!$E:$E, 0)) &amp; ", " &amp; INDEX(Sheet2!$D:$D, MATCH(AE952&amp;AF952, Sheet2!$E:$E, 0)), ""), "-")</f>
        <v/>
      </c>
    </row>
    <row r="953" spans="1:33" x14ac:dyDescent="0.25">
      <c r="A953" t="s">
        <v>1818</v>
      </c>
      <c r="B953" t="s">
        <v>1942</v>
      </c>
      <c r="C953" t="s">
        <v>1820</v>
      </c>
      <c r="D953" t="s">
        <v>1943</v>
      </c>
      <c r="E953" t="s">
        <v>38</v>
      </c>
      <c r="F953">
        <v>1766</v>
      </c>
      <c r="G953">
        <v>2435</v>
      </c>
      <c r="H953" t="s">
        <v>38</v>
      </c>
      <c r="I953" t="s">
        <v>87</v>
      </c>
      <c r="J953" t="s">
        <v>38</v>
      </c>
      <c r="K953" t="s">
        <v>38</v>
      </c>
      <c r="L953" t="s">
        <v>38</v>
      </c>
      <c r="M953" t="s">
        <v>38</v>
      </c>
      <c r="N953" t="s">
        <v>38</v>
      </c>
      <c r="O953" t="s">
        <v>74</v>
      </c>
      <c r="P953" t="s">
        <v>42</v>
      </c>
      <c r="Q953" t="s">
        <v>43</v>
      </c>
      <c r="R953" t="s">
        <v>1944</v>
      </c>
      <c r="S953" t="s">
        <v>153</v>
      </c>
      <c r="T953" t="s">
        <v>38</v>
      </c>
      <c r="U953" t="s">
        <v>38</v>
      </c>
      <c r="V953" t="s">
        <v>38</v>
      </c>
      <c r="W953" t="s">
        <v>38</v>
      </c>
      <c r="X953" t="s">
        <v>38</v>
      </c>
      <c r="Y953" t="s">
        <v>38</v>
      </c>
      <c r="Z953" t="s">
        <v>42</v>
      </c>
      <c r="AA953" t="s">
        <v>1882</v>
      </c>
      <c r="AB953" t="s">
        <v>38</v>
      </c>
      <c r="AC953" t="s">
        <v>153</v>
      </c>
      <c r="AD953" t="s">
        <v>48</v>
      </c>
      <c r="AG953" t="str">
        <f>IF(AD953="United States", IFERROR(INDEX(Sheet2!$C:$C, MATCH(AE953&amp;AF953, Sheet2!$E:$E, 0)) &amp; ", " &amp; INDEX(Sheet2!$D:$D, MATCH(AE953&amp;AF953, Sheet2!$E:$E, 0)), ""), "-")</f>
        <v/>
      </c>
    </row>
    <row r="954" spans="1:33" x14ac:dyDescent="0.25">
      <c r="A954" t="s">
        <v>1818</v>
      </c>
      <c r="B954" t="s">
        <v>1945</v>
      </c>
      <c r="C954" t="s">
        <v>1820</v>
      </c>
      <c r="D954" t="s">
        <v>190</v>
      </c>
      <c r="E954" t="s">
        <v>38</v>
      </c>
      <c r="F954">
        <v>1774</v>
      </c>
      <c r="G954">
        <v>2434</v>
      </c>
      <c r="H954" t="s">
        <v>1923</v>
      </c>
      <c r="I954" t="s">
        <v>87</v>
      </c>
      <c r="J954" t="s">
        <v>38</v>
      </c>
      <c r="K954" t="s">
        <v>38</v>
      </c>
      <c r="L954" t="s">
        <v>38</v>
      </c>
      <c r="M954" t="s">
        <v>38</v>
      </c>
      <c r="N954" t="s">
        <v>38</v>
      </c>
      <c r="O954" t="s">
        <v>54</v>
      </c>
      <c r="P954" t="s">
        <v>42</v>
      </c>
      <c r="Q954" t="s">
        <v>43</v>
      </c>
      <c r="R954" t="s">
        <v>89</v>
      </c>
      <c r="S954" t="s">
        <v>38</v>
      </c>
      <c r="T954" t="s">
        <v>89</v>
      </c>
      <c r="U954" t="s">
        <v>38</v>
      </c>
      <c r="V954" t="s">
        <v>38</v>
      </c>
      <c r="W954" t="s">
        <v>92</v>
      </c>
      <c r="X954" t="s">
        <v>38</v>
      </c>
      <c r="Y954" t="s">
        <v>38</v>
      </c>
      <c r="Z954" t="s">
        <v>42</v>
      </c>
      <c r="AA954" t="s">
        <v>38</v>
      </c>
      <c r="AB954" t="s">
        <v>38</v>
      </c>
      <c r="AC954" t="s">
        <v>38</v>
      </c>
      <c r="AD954" t="s">
        <v>48</v>
      </c>
      <c r="AG954" t="str">
        <f>IF(AD954="United States", IFERROR(INDEX(Sheet2!$C:$C, MATCH(AE954&amp;AF954, Sheet2!$E:$E, 0)) &amp; ", " &amp; INDEX(Sheet2!$D:$D, MATCH(AE954&amp;AF954, Sheet2!$E:$E, 0)), ""), "-")</f>
        <v/>
      </c>
    </row>
    <row r="955" spans="1:33" x14ac:dyDescent="0.25">
      <c r="A955" t="s">
        <v>1818</v>
      </c>
      <c r="B955" t="s">
        <v>1946</v>
      </c>
      <c r="C955" t="s">
        <v>1820</v>
      </c>
      <c r="D955" t="s">
        <v>445</v>
      </c>
      <c r="E955" t="s">
        <v>38</v>
      </c>
      <c r="F955">
        <v>1769</v>
      </c>
      <c r="G955">
        <v>2438</v>
      </c>
      <c r="H955" t="s">
        <v>38</v>
      </c>
      <c r="I955" t="s">
        <v>87</v>
      </c>
      <c r="J955" t="s">
        <v>38</v>
      </c>
      <c r="K955" t="s">
        <v>38</v>
      </c>
      <c r="L955" t="s">
        <v>38</v>
      </c>
      <c r="M955" t="s">
        <v>38</v>
      </c>
      <c r="N955" t="s">
        <v>38</v>
      </c>
      <c r="O955" t="s">
        <v>74</v>
      </c>
      <c r="P955" t="s">
        <v>42</v>
      </c>
      <c r="Q955" t="s">
        <v>43</v>
      </c>
      <c r="R955" t="s">
        <v>38</v>
      </c>
      <c r="S955" t="s">
        <v>38</v>
      </c>
      <c r="T955" t="s">
        <v>38</v>
      </c>
      <c r="U955" t="s">
        <v>38</v>
      </c>
      <c r="V955" t="s">
        <v>38</v>
      </c>
      <c r="W955" t="s">
        <v>38</v>
      </c>
      <c r="X955" t="s">
        <v>38</v>
      </c>
      <c r="Y955" t="s">
        <v>38</v>
      </c>
      <c r="Z955" t="s">
        <v>42</v>
      </c>
      <c r="AA955" t="s">
        <v>38</v>
      </c>
      <c r="AB955" t="s">
        <v>38</v>
      </c>
      <c r="AC955" t="s">
        <v>38</v>
      </c>
      <c r="AD955" t="s">
        <v>48</v>
      </c>
      <c r="AG955" t="str">
        <f>IF(AD955="United States", IFERROR(INDEX(Sheet2!$C:$C, MATCH(AE955&amp;AF955, Sheet2!$E:$E, 0)) &amp; ", " &amp; INDEX(Sheet2!$D:$D, MATCH(AE955&amp;AF955, Sheet2!$E:$E, 0)), ""), "-")</f>
        <v/>
      </c>
    </row>
    <row r="956" spans="1:33" x14ac:dyDescent="0.25">
      <c r="A956" t="s">
        <v>1818</v>
      </c>
      <c r="B956" t="s">
        <v>1947</v>
      </c>
      <c r="C956" t="s">
        <v>1820</v>
      </c>
      <c r="D956" t="s">
        <v>50</v>
      </c>
      <c r="E956" t="s">
        <v>1948</v>
      </c>
      <c r="F956">
        <v>1761</v>
      </c>
      <c r="G956">
        <v>2432</v>
      </c>
      <c r="H956" t="s">
        <v>1923</v>
      </c>
      <c r="I956" t="s">
        <v>87</v>
      </c>
      <c r="J956" t="s">
        <v>38</v>
      </c>
      <c r="K956" t="s">
        <v>38</v>
      </c>
      <c r="L956" t="s">
        <v>38</v>
      </c>
      <c r="M956" t="s">
        <v>38</v>
      </c>
      <c r="N956" t="s">
        <v>38</v>
      </c>
      <c r="O956" t="s">
        <v>57</v>
      </c>
      <c r="P956" t="s">
        <v>42</v>
      </c>
      <c r="Q956" t="s">
        <v>43</v>
      </c>
      <c r="R956" t="s">
        <v>89</v>
      </c>
      <c r="S956" t="s">
        <v>45</v>
      </c>
      <c r="T956" t="s">
        <v>89</v>
      </c>
      <c r="U956" t="s">
        <v>38</v>
      </c>
      <c r="V956" t="s">
        <v>38</v>
      </c>
      <c r="W956" t="s">
        <v>92</v>
      </c>
      <c r="X956" t="s">
        <v>38</v>
      </c>
      <c r="Y956" t="s">
        <v>38</v>
      </c>
      <c r="Z956" t="s">
        <v>42</v>
      </c>
      <c r="AA956" t="s">
        <v>241</v>
      </c>
      <c r="AB956" t="s">
        <v>38</v>
      </c>
      <c r="AC956" t="s">
        <v>45</v>
      </c>
      <c r="AD956" t="s">
        <v>48</v>
      </c>
      <c r="AG956" t="str">
        <f>IF(AD956="United States", IFERROR(INDEX(Sheet2!$C:$C, MATCH(AE956&amp;AF956, Sheet2!$E:$E, 0)) &amp; ", " &amp; INDEX(Sheet2!$D:$D, MATCH(AE956&amp;AF956, Sheet2!$E:$E, 0)), ""), "-")</f>
        <v/>
      </c>
    </row>
    <row r="957" spans="1:33" x14ac:dyDescent="0.25">
      <c r="A957" t="s">
        <v>1818</v>
      </c>
      <c r="B957" t="s">
        <v>1949</v>
      </c>
      <c r="C957" t="s">
        <v>1820</v>
      </c>
      <c r="D957" t="s">
        <v>114</v>
      </c>
      <c r="E957" t="s">
        <v>868</v>
      </c>
      <c r="F957">
        <v>1757</v>
      </c>
      <c r="G957">
        <v>2417</v>
      </c>
      <c r="H957" t="s">
        <v>1821</v>
      </c>
      <c r="I957" t="s">
        <v>87</v>
      </c>
      <c r="J957" t="s">
        <v>38</v>
      </c>
      <c r="K957" t="s">
        <v>38</v>
      </c>
      <c r="L957" t="s">
        <v>38</v>
      </c>
      <c r="M957" t="s">
        <v>38</v>
      </c>
      <c r="N957" t="s">
        <v>38</v>
      </c>
      <c r="O957" t="s">
        <v>57</v>
      </c>
      <c r="P957" t="s">
        <v>42</v>
      </c>
      <c r="Q957" t="s">
        <v>43</v>
      </c>
      <c r="R957" t="s">
        <v>89</v>
      </c>
      <c r="S957" t="s">
        <v>38</v>
      </c>
      <c r="T957" t="s">
        <v>89</v>
      </c>
      <c r="U957" t="s">
        <v>38</v>
      </c>
      <c r="V957" t="s">
        <v>38</v>
      </c>
      <c r="W957" t="s">
        <v>92</v>
      </c>
      <c r="X957" t="s">
        <v>38</v>
      </c>
      <c r="Y957" t="s">
        <v>38</v>
      </c>
      <c r="Z957" t="s">
        <v>42</v>
      </c>
      <c r="AA957" t="s">
        <v>672</v>
      </c>
      <c r="AB957" t="s">
        <v>38</v>
      </c>
      <c r="AC957" t="s">
        <v>60</v>
      </c>
      <c r="AD957" t="s">
        <v>672</v>
      </c>
      <c r="AG957" t="str">
        <f>IF(AD957="United States", IFERROR(INDEX(Sheet2!$C:$C, MATCH(AE957&amp;AF957, Sheet2!$E:$E, 0)) &amp; ", " &amp; INDEX(Sheet2!$D:$D, MATCH(AE957&amp;AF957, Sheet2!$E:$E, 0)), ""), "18.1850507, -77.3947693")</f>
        <v>18.1850507, -77.3947693</v>
      </c>
    </row>
    <row r="958" spans="1:33" x14ac:dyDescent="0.25">
      <c r="A958" t="s">
        <v>1818</v>
      </c>
      <c r="B958" t="s">
        <v>1950</v>
      </c>
      <c r="C958" t="s">
        <v>1820</v>
      </c>
      <c r="D958" t="s">
        <v>1951</v>
      </c>
      <c r="E958" t="s">
        <v>38</v>
      </c>
      <c r="F958">
        <v>1774</v>
      </c>
      <c r="G958">
        <v>2418</v>
      </c>
      <c r="H958" t="s">
        <v>38</v>
      </c>
      <c r="I958" t="s">
        <v>87</v>
      </c>
      <c r="J958" t="s">
        <v>38</v>
      </c>
      <c r="K958" t="s">
        <v>38</v>
      </c>
      <c r="L958" t="s">
        <v>38</v>
      </c>
      <c r="M958" t="s">
        <v>38</v>
      </c>
      <c r="N958" t="s">
        <v>38</v>
      </c>
      <c r="O958" t="s">
        <v>54</v>
      </c>
      <c r="P958" t="s">
        <v>42</v>
      </c>
      <c r="Q958" t="s">
        <v>43</v>
      </c>
      <c r="R958" t="s">
        <v>38</v>
      </c>
      <c r="S958" t="s">
        <v>38</v>
      </c>
      <c r="T958" t="s">
        <v>38</v>
      </c>
      <c r="U958" t="s">
        <v>38</v>
      </c>
      <c r="V958" t="s">
        <v>38</v>
      </c>
      <c r="W958" t="s">
        <v>38</v>
      </c>
      <c r="X958" t="s">
        <v>38</v>
      </c>
      <c r="Y958" t="s">
        <v>38</v>
      </c>
      <c r="Z958" t="s">
        <v>42</v>
      </c>
      <c r="AA958" t="s">
        <v>38</v>
      </c>
      <c r="AB958" t="s">
        <v>38</v>
      </c>
      <c r="AC958" t="s">
        <v>38</v>
      </c>
      <c r="AD958" t="s">
        <v>48</v>
      </c>
      <c r="AG958" t="str">
        <f>IF(AD958="United States", IFERROR(INDEX(Sheet2!$C:$C, MATCH(AE958&amp;AF958, Sheet2!$E:$E, 0)) &amp; ", " &amp; INDEX(Sheet2!$D:$D, MATCH(AE958&amp;AF958, Sheet2!$E:$E, 0)), ""), "-")</f>
        <v/>
      </c>
    </row>
    <row r="959" spans="1:33" x14ac:dyDescent="0.25">
      <c r="A959" t="s">
        <v>1818</v>
      </c>
      <c r="B959" t="s">
        <v>1952</v>
      </c>
      <c r="C959" t="s">
        <v>1820</v>
      </c>
      <c r="D959" t="s">
        <v>98</v>
      </c>
      <c r="E959" t="s">
        <v>704</v>
      </c>
      <c r="F959">
        <v>1755</v>
      </c>
      <c r="G959">
        <v>2420</v>
      </c>
      <c r="H959" t="s">
        <v>38</v>
      </c>
      <c r="I959" t="s">
        <v>87</v>
      </c>
      <c r="J959" t="s">
        <v>38</v>
      </c>
      <c r="K959" t="s">
        <v>38</v>
      </c>
      <c r="L959" t="s">
        <v>38</v>
      </c>
      <c r="M959" t="s">
        <v>38</v>
      </c>
      <c r="N959" t="s">
        <v>38</v>
      </c>
      <c r="O959" t="s">
        <v>57</v>
      </c>
      <c r="P959" t="s">
        <v>42</v>
      </c>
      <c r="Q959" t="s">
        <v>43</v>
      </c>
      <c r="R959" t="s">
        <v>38</v>
      </c>
      <c r="S959" t="s">
        <v>38</v>
      </c>
      <c r="T959" t="s">
        <v>38</v>
      </c>
      <c r="U959" t="s">
        <v>38</v>
      </c>
      <c r="V959" t="s">
        <v>38</v>
      </c>
      <c r="W959" t="s">
        <v>38</v>
      </c>
      <c r="X959" t="s">
        <v>38</v>
      </c>
      <c r="Y959" t="s">
        <v>38</v>
      </c>
      <c r="Z959" t="s">
        <v>42</v>
      </c>
      <c r="AA959" t="s">
        <v>38</v>
      </c>
      <c r="AB959" t="s">
        <v>38</v>
      </c>
      <c r="AC959" t="s">
        <v>38</v>
      </c>
      <c r="AD959" t="s">
        <v>48</v>
      </c>
      <c r="AG959" t="str">
        <f>IF(AD959="United States", IFERROR(INDEX(Sheet2!$C:$C, MATCH(AE959&amp;AF959, Sheet2!$E:$E, 0)) &amp; ", " &amp; INDEX(Sheet2!$D:$D, MATCH(AE959&amp;AF959, Sheet2!$E:$E, 0)), ""), "-")</f>
        <v/>
      </c>
    </row>
    <row r="960" spans="1:33" x14ac:dyDescent="0.25">
      <c r="A960" t="s">
        <v>1818</v>
      </c>
      <c r="B960" t="s">
        <v>1953</v>
      </c>
      <c r="C960" t="s">
        <v>1820</v>
      </c>
      <c r="D960" t="s">
        <v>1954</v>
      </c>
      <c r="E960" t="s">
        <v>704</v>
      </c>
      <c r="F960">
        <v>1773</v>
      </c>
      <c r="G960">
        <v>2421</v>
      </c>
      <c r="H960" t="s">
        <v>1923</v>
      </c>
      <c r="I960" t="s">
        <v>87</v>
      </c>
      <c r="J960" t="s">
        <v>38</v>
      </c>
      <c r="K960" t="s">
        <v>38</v>
      </c>
      <c r="L960" t="s">
        <v>38</v>
      </c>
      <c r="M960" t="s">
        <v>38</v>
      </c>
      <c r="N960" t="s">
        <v>38</v>
      </c>
      <c r="O960" t="s">
        <v>74</v>
      </c>
      <c r="P960" t="s">
        <v>42</v>
      </c>
      <c r="Q960" t="s">
        <v>43</v>
      </c>
      <c r="R960" t="s">
        <v>89</v>
      </c>
      <c r="S960" t="s">
        <v>38</v>
      </c>
      <c r="T960" t="s">
        <v>89</v>
      </c>
      <c r="U960" t="s">
        <v>38</v>
      </c>
      <c r="V960" t="s">
        <v>38</v>
      </c>
      <c r="W960" t="s">
        <v>92</v>
      </c>
      <c r="X960" t="s">
        <v>38</v>
      </c>
      <c r="Y960" t="s">
        <v>38</v>
      </c>
      <c r="Z960" t="s">
        <v>42</v>
      </c>
      <c r="AA960" t="s">
        <v>38</v>
      </c>
      <c r="AB960" t="s">
        <v>38</v>
      </c>
      <c r="AC960" t="s">
        <v>38</v>
      </c>
      <c r="AD960" t="s">
        <v>48</v>
      </c>
      <c r="AG960" t="str">
        <f>IF(AD960="United States", IFERROR(INDEX(Sheet2!$C:$C, MATCH(AE960&amp;AF960, Sheet2!$E:$E, 0)) &amp; ", " &amp; INDEX(Sheet2!$D:$D, MATCH(AE960&amp;AF960, Sheet2!$E:$E, 0)), ""), "-")</f>
        <v/>
      </c>
    </row>
    <row r="961" spans="1:33" x14ac:dyDescent="0.25">
      <c r="A961" t="s">
        <v>1818</v>
      </c>
      <c r="B961" t="s">
        <v>1955</v>
      </c>
      <c r="C961" t="s">
        <v>1820</v>
      </c>
      <c r="D961" t="s">
        <v>803</v>
      </c>
      <c r="E961" t="s">
        <v>1906</v>
      </c>
      <c r="F961">
        <v>1758</v>
      </c>
      <c r="G961">
        <v>2422</v>
      </c>
      <c r="H961" t="s">
        <v>1821</v>
      </c>
      <c r="I961" t="s">
        <v>87</v>
      </c>
      <c r="J961" t="s">
        <v>38</v>
      </c>
      <c r="K961" t="s">
        <v>38</v>
      </c>
      <c r="L961" t="s">
        <v>38</v>
      </c>
      <c r="M961" t="s">
        <v>38</v>
      </c>
      <c r="N961" t="s">
        <v>38</v>
      </c>
      <c r="O961" t="s">
        <v>57</v>
      </c>
      <c r="P961" t="s">
        <v>42</v>
      </c>
      <c r="Q961" t="s">
        <v>43</v>
      </c>
      <c r="R961" t="s">
        <v>89</v>
      </c>
      <c r="S961" t="s">
        <v>45</v>
      </c>
      <c r="T961" t="s">
        <v>89</v>
      </c>
      <c r="U961" t="s">
        <v>38</v>
      </c>
      <c r="V961" t="s">
        <v>38</v>
      </c>
      <c r="W961" t="s">
        <v>92</v>
      </c>
      <c r="X961" t="s">
        <v>38</v>
      </c>
      <c r="Y961" t="s">
        <v>38</v>
      </c>
      <c r="Z961" t="s">
        <v>42</v>
      </c>
      <c r="AA961" t="s">
        <v>169</v>
      </c>
      <c r="AB961" t="s">
        <v>38</v>
      </c>
      <c r="AC961" t="s">
        <v>45</v>
      </c>
      <c r="AD961" t="s">
        <v>48</v>
      </c>
      <c r="AG961" t="str">
        <f>IF(AD961="United States", IFERROR(INDEX(Sheet2!$C:$C, MATCH(AE961&amp;AF961, Sheet2!$E:$E, 0)) &amp; ", " &amp; INDEX(Sheet2!$D:$D, MATCH(AE961&amp;AF961, Sheet2!$E:$E, 0)), ""), "-")</f>
        <v/>
      </c>
    </row>
    <row r="962" spans="1:33" x14ac:dyDescent="0.25">
      <c r="A962" t="s">
        <v>1818</v>
      </c>
      <c r="B962" t="s">
        <v>1956</v>
      </c>
      <c r="C962" t="s">
        <v>1820</v>
      </c>
      <c r="D962" t="s">
        <v>1926</v>
      </c>
      <c r="E962" t="s">
        <v>1437</v>
      </c>
      <c r="F962">
        <v>1762</v>
      </c>
      <c r="G962">
        <v>2423</v>
      </c>
      <c r="H962" t="s">
        <v>1923</v>
      </c>
      <c r="I962" t="s">
        <v>87</v>
      </c>
      <c r="J962" t="s">
        <v>38</v>
      </c>
      <c r="K962" t="s">
        <v>38</v>
      </c>
      <c r="L962" t="s">
        <v>38</v>
      </c>
      <c r="M962" t="s">
        <v>38</v>
      </c>
      <c r="N962" t="s">
        <v>38</v>
      </c>
      <c r="O962" t="s">
        <v>41</v>
      </c>
      <c r="P962" t="s">
        <v>42</v>
      </c>
      <c r="Q962" t="s">
        <v>43</v>
      </c>
      <c r="R962" t="s">
        <v>89</v>
      </c>
      <c r="S962" t="s">
        <v>153</v>
      </c>
      <c r="T962" t="s">
        <v>89</v>
      </c>
      <c r="U962" t="s">
        <v>38</v>
      </c>
      <c r="V962" t="s">
        <v>38</v>
      </c>
      <c r="W962" t="s">
        <v>92</v>
      </c>
      <c r="X962" t="s">
        <v>38</v>
      </c>
      <c r="Y962" t="s">
        <v>38</v>
      </c>
      <c r="Z962" t="s">
        <v>42</v>
      </c>
      <c r="AA962" t="s">
        <v>155</v>
      </c>
      <c r="AB962" t="s">
        <v>38</v>
      </c>
      <c r="AC962" t="s">
        <v>153</v>
      </c>
      <c r="AD962" t="s">
        <v>48</v>
      </c>
      <c r="AG962" t="str">
        <f>IF(AD962="United States", IFERROR(INDEX(Sheet2!$C:$C, MATCH(AE962&amp;AF962, Sheet2!$E:$E, 0)) &amp; ", " &amp; INDEX(Sheet2!$D:$D, MATCH(AE962&amp;AF962, Sheet2!$E:$E, 0)), ""), "-")</f>
        <v/>
      </c>
    </row>
    <row r="963" spans="1:33" x14ac:dyDescent="0.25">
      <c r="A963" t="s">
        <v>1818</v>
      </c>
      <c r="B963" t="s">
        <v>1957</v>
      </c>
      <c r="C963" t="s">
        <v>1820</v>
      </c>
      <c r="D963" t="s">
        <v>52</v>
      </c>
      <c r="E963" t="s">
        <v>38</v>
      </c>
      <c r="F963">
        <v>1756</v>
      </c>
      <c r="G963">
        <v>2433</v>
      </c>
      <c r="H963" t="s">
        <v>1923</v>
      </c>
      <c r="I963" t="s">
        <v>87</v>
      </c>
      <c r="J963" t="s">
        <v>38</v>
      </c>
      <c r="K963" t="s">
        <v>38</v>
      </c>
      <c r="L963" t="s">
        <v>38</v>
      </c>
      <c r="M963" t="s">
        <v>38</v>
      </c>
      <c r="N963" t="s">
        <v>38</v>
      </c>
      <c r="O963" t="s">
        <v>57</v>
      </c>
      <c r="P963" t="s">
        <v>42</v>
      </c>
      <c r="Q963" t="s">
        <v>43</v>
      </c>
      <c r="R963" t="s">
        <v>89</v>
      </c>
      <c r="S963" t="s">
        <v>38</v>
      </c>
      <c r="T963" t="s">
        <v>89</v>
      </c>
      <c r="U963" t="s">
        <v>38</v>
      </c>
      <c r="V963" t="s">
        <v>38</v>
      </c>
      <c r="W963" t="s">
        <v>92</v>
      </c>
      <c r="X963" t="s">
        <v>38</v>
      </c>
      <c r="Y963" t="s">
        <v>38</v>
      </c>
      <c r="Z963" t="s">
        <v>42</v>
      </c>
      <c r="AA963" t="s">
        <v>38</v>
      </c>
      <c r="AB963" t="s">
        <v>38</v>
      </c>
      <c r="AC963" t="s">
        <v>128</v>
      </c>
      <c r="AD963" t="s">
        <v>48</v>
      </c>
      <c r="AG963" t="str">
        <f>IF(AD963="United States", IFERROR(INDEX(Sheet2!$C:$C, MATCH(AE963&amp;AF963, Sheet2!$E:$E, 0)) &amp; ", " &amp; INDEX(Sheet2!$D:$D, MATCH(AE963&amp;AF963, Sheet2!$E:$E, 0)), ""), "-")</f>
        <v/>
      </c>
    </row>
    <row r="964" spans="1:33" x14ac:dyDescent="0.25">
      <c r="A964" t="s">
        <v>1818</v>
      </c>
      <c r="B964" t="s">
        <v>1958</v>
      </c>
      <c r="C964" t="s">
        <v>1820</v>
      </c>
      <c r="D964" t="s">
        <v>1238</v>
      </c>
      <c r="E964" t="s">
        <v>38</v>
      </c>
      <c r="F964">
        <v>1760</v>
      </c>
      <c r="G964">
        <v>2425</v>
      </c>
      <c r="H964" t="s">
        <v>38</v>
      </c>
      <c r="I964" t="s">
        <v>87</v>
      </c>
      <c r="J964" t="s">
        <v>38</v>
      </c>
      <c r="K964" t="s">
        <v>38</v>
      </c>
      <c r="L964" t="s">
        <v>38</v>
      </c>
      <c r="M964" t="s">
        <v>38</v>
      </c>
      <c r="N964" t="s">
        <v>38</v>
      </c>
      <c r="O964" t="s">
        <v>57</v>
      </c>
      <c r="P964" t="s">
        <v>42</v>
      </c>
      <c r="Q964" t="s">
        <v>43</v>
      </c>
      <c r="R964" t="s">
        <v>169</v>
      </c>
      <c r="S964" t="s">
        <v>45</v>
      </c>
      <c r="T964" t="s">
        <v>38</v>
      </c>
      <c r="U964" t="s">
        <v>38</v>
      </c>
      <c r="V964" t="s">
        <v>38</v>
      </c>
      <c r="W964" t="s">
        <v>38</v>
      </c>
      <c r="X964" t="s">
        <v>38</v>
      </c>
      <c r="Y964" t="s">
        <v>38</v>
      </c>
      <c r="Z964" t="s">
        <v>42</v>
      </c>
      <c r="AA964" t="s">
        <v>169</v>
      </c>
      <c r="AB964" t="s">
        <v>38</v>
      </c>
      <c r="AC964" t="s">
        <v>45</v>
      </c>
      <c r="AD964" t="s">
        <v>48</v>
      </c>
      <c r="AG964" t="str">
        <f>IF(AD964="United States", IFERROR(INDEX(Sheet2!$C:$C, MATCH(AE964&amp;AF964, Sheet2!$E:$E, 0)) &amp; ", " &amp; INDEX(Sheet2!$D:$D, MATCH(AE964&amp;AF964, Sheet2!$E:$E, 0)), ""), "-")</f>
        <v/>
      </c>
    </row>
    <row r="965" spans="1:33" x14ac:dyDescent="0.25">
      <c r="A965" t="s">
        <v>1818</v>
      </c>
      <c r="B965" t="s">
        <v>1959</v>
      </c>
      <c r="C965" t="s">
        <v>1820</v>
      </c>
      <c r="D965" t="s">
        <v>1274</v>
      </c>
      <c r="E965" t="s">
        <v>1437</v>
      </c>
      <c r="F965">
        <v>1780</v>
      </c>
      <c r="G965">
        <v>2424</v>
      </c>
      <c r="H965" t="s">
        <v>1923</v>
      </c>
      <c r="I965" t="s">
        <v>87</v>
      </c>
      <c r="J965" t="s">
        <v>38</v>
      </c>
      <c r="K965" t="s">
        <v>38</v>
      </c>
      <c r="L965" t="s">
        <v>38</v>
      </c>
      <c r="M965" t="s">
        <v>38</v>
      </c>
      <c r="N965" t="s">
        <v>38</v>
      </c>
      <c r="O965" t="s">
        <v>54</v>
      </c>
      <c r="P965" t="s">
        <v>42</v>
      </c>
      <c r="Q965" t="s">
        <v>43</v>
      </c>
      <c r="R965" t="s">
        <v>89</v>
      </c>
      <c r="S965" t="s">
        <v>38</v>
      </c>
      <c r="T965" t="s">
        <v>89</v>
      </c>
      <c r="U965" t="s">
        <v>38</v>
      </c>
      <c r="V965" t="s">
        <v>38</v>
      </c>
      <c r="W965" t="s">
        <v>92</v>
      </c>
      <c r="X965" t="s">
        <v>38</v>
      </c>
      <c r="Y965" t="s">
        <v>38</v>
      </c>
      <c r="Z965" t="s">
        <v>42</v>
      </c>
      <c r="AA965" t="s">
        <v>38</v>
      </c>
      <c r="AB965" t="s">
        <v>38</v>
      </c>
      <c r="AC965" t="s">
        <v>38</v>
      </c>
      <c r="AD965" t="s">
        <v>48</v>
      </c>
      <c r="AG965" t="str">
        <f>IF(AD965="United States", IFERROR(INDEX(Sheet2!$C:$C, MATCH(AE965&amp;AF965, Sheet2!$E:$E, 0)) &amp; ", " &amp; INDEX(Sheet2!$D:$D, MATCH(AE965&amp;AF965, Sheet2!$E:$E, 0)), ""), "-")</f>
        <v/>
      </c>
    </row>
    <row r="966" spans="1:33" x14ac:dyDescent="0.25">
      <c r="A966" t="s">
        <v>1818</v>
      </c>
      <c r="B966" t="s">
        <v>1960</v>
      </c>
      <c r="C966" t="s">
        <v>1820</v>
      </c>
      <c r="D966" t="s">
        <v>1961</v>
      </c>
      <c r="E966" t="s">
        <v>38</v>
      </c>
      <c r="F966">
        <v>1778</v>
      </c>
      <c r="G966">
        <v>2426</v>
      </c>
      <c r="H966" t="s">
        <v>1923</v>
      </c>
      <c r="I966" t="s">
        <v>87</v>
      </c>
      <c r="J966" t="s">
        <v>38</v>
      </c>
      <c r="K966" t="s">
        <v>38</v>
      </c>
      <c r="L966" t="s">
        <v>38</v>
      </c>
      <c r="M966" t="s">
        <v>38</v>
      </c>
      <c r="N966" t="s">
        <v>38</v>
      </c>
      <c r="O966" t="s">
        <v>54</v>
      </c>
      <c r="P966" t="s">
        <v>42</v>
      </c>
      <c r="Q966" t="s">
        <v>43</v>
      </c>
      <c r="R966" t="s">
        <v>89</v>
      </c>
      <c r="S966" t="s">
        <v>45</v>
      </c>
      <c r="T966" t="s">
        <v>89</v>
      </c>
      <c r="U966" t="s">
        <v>38</v>
      </c>
      <c r="V966" t="s">
        <v>38</v>
      </c>
      <c r="W966" t="s">
        <v>92</v>
      </c>
      <c r="X966" t="s">
        <v>38</v>
      </c>
      <c r="Y966" t="s">
        <v>38</v>
      </c>
      <c r="Z966" t="s">
        <v>42</v>
      </c>
      <c r="AA966" t="s">
        <v>169</v>
      </c>
      <c r="AB966" t="s">
        <v>38</v>
      </c>
      <c r="AC966" t="s">
        <v>45</v>
      </c>
      <c r="AD966" t="s">
        <v>48</v>
      </c>
      <c r="AG966" t="str">
        <f>IF(AD966="United States", IFERROR(INDEX(Sheet2!$C:$C, MATCH(AE966&amp;AF966, Sheet2!$E:$E, 0)) &amp; ", " &amp; INDEX(Sheet2!$D:$D, MATCH(AE966&amp;AF966, Sheet2!$E:$E, 0)), ""), "-")</f>
        <v/>
      </c>
    </row>
    <row r="967" spans="1:33" x14ac:dyDescent="0.25">
      <c r="A967" t="s">
        <v>1818</v>
      </c>
      <c r="B967" t="s">
        <v>1962</v>
      </c>
      <c r="C967" t="s">
        <v>1820</v>
      </c>
      <c r="D967" t="s">
        <v>1382</v>
      </c>
      <c r="E967" t="s">
        <v>38</v>
      </c>
      <c r="F967">
        <v>1760</v>
      </c>
      <c r="G967">
        <v>2427</v>
      </c>
      <c r="H967" t="s">
        <v>1923</v>
      </c>
      <c r="I967" t="s">
        <v>87</v>
      </c>
      <c r="J967" t="s">
        <v>38</v>
      </c>
      <c r="K967" t="s">
        <v>38</v>
      </c>
      <c r="L967" t="s">
        <v>38</v>
      </c>
      <c r="M967" t="s">
        <v>38</v>
      </c>
      <c r="N967" t="s">
        <v>38</v>
      </c>
      <c r="O967" t="s">
        <v>57</v>
      </c>
      <c r="P967" t="s">
        <v>42</v>
      </c>
      <c r="Q967" t="s">
        <v>43</v>
      </c>
      <c r="R967" t="s">
        <v>89</v>
      </c>
      <c r="S967" t="s">
        <v>45</v>
      </c>
      <c r="T967" t="s">
        <v>89</v>
      </c>
      <c r="U967" t="s">
        <v>38</v>
      </c>
      <c r="V967" t="s">
        <v>38</v>
      </c>
      <c r="W967" t="s">
        <v>92</v>
      </c>
      <c r="X967" t="s">
        <v>38</v>
      </c>
      <c r="Y967" t="s">
        <v>38</v>
      </c>
      <c r="Z967" t="s">
        <v>42</v>
      </c>
      <c r="AA967" t="s">
        <v>241</v>
      </c>
      <c r="AB967" t="s">
        <v>38</v>
      </c>
      <c r="AC967" t="s">
        <v>45</v>
      </c>
      <c r="AD967" t="s">
        <v>48</v>
      </c>
      <c r="AG967" t="str">
        <f>IF(AD967="United States", IFERROR(INDEX(Sheet2!$C:$C, MATCH(AE967&amp;AF967, Sheet2!$E:$E, 0)) &amp; ", " &amp; INDEX(Sheet2!$D:$D, MATCH(AE967&amp;AF967, Sheet2!$E:$E, 0)), ""), "-")</f>
        <v/>
      </c>
    </row>
    <row r="968" spans="1:33" x14ac:dyDescent="0.25">
      <c r="A968" t="s">
        <v>1818</v>
      </c>
      <c r="B968" t="s">
        <v>1963</v>
      </c>
      <c r="C968" t="s">
        <v>1820</v>
      </c>
      <c r="D968" t="s">
        <v>1964</v>
      </c>
      <c r="E968" t="s">
        <v>38</v>
      </c>
      <c r="F968">
        <v>1762</v>
      </c>
      <c r="G968">
        <v>2428</v>
      </c>
      <c r="H968" t="s">
        <v>1923</v>
      </c>
      <c r="I968" t="s">
        <v>87</v>
      </c>
      <c r="J968" t="s">
        <v>38</v>
      </c>
      <c r="K968" t="s">
        <v>38</v>
      </c>
      <c r="L968" t="s">
        <v>38</v>
      </c>
      <c r="M968" t="s">
        <v>38</v>
      </c>
      <c r="N968" t="s">
        <v>38</v>
      </c>
      <c r="O968" t="s">
        <v>57</v>
      </c>
      <c r="P968" t="s">
        <v>42</v>
      </c>
      <c r="Q968" t="s">
        <v>43</v>
      </c>
      <c r="R968" t="s">
        <v>89</v>
      </c>
      <c r="S968" t="s">
        <v>45</v>
      </c>
      <c r="T968" t="s">
        <v>89</v>
      </c>
      <c r="U968" t="s">
        <v>38</v>
      </c>
      <c r="V968" t="s">
        <v>38</v>
      </c>
      <c r="W968" t="s">
        <v>92</v>
      </c>
      <c r="X968" t="s">
        <v>38</v>
      </c>
      <c r="Y968" t="s">
        <v>38</v>
      </c>
      <c r="Z968" t="s">
        <v>42</v>
      </c>
      <c r="AA968" t="s">
        <v>1135</v>
      </c>
      <c r="AB968" t="s">
        <v>38</v>
      </c>
      <c r="AC968" t="s">
        <v>45</v>
      </c>
      <c r="AD968" t="s">
        <v>48</v>
      </c>
      <c r="AG968" t="str">
        <f>IF(AD968="United States", IFERROR(INDEX(Sheet2!$C:$C, MATCH(AE968&amp;AF968, Sheet2!$E:$E, 0)) &amp; ", " &amp; INDEX(Sheet2!$D:$D, MATCH(AE968&amp;AF968, Sheet2!$E:$E, 0)), ""), "-")</f>
        <v/>
      </c>
    </row>
    <row r="969" spans="1:33" x14ac:dyDescent="0.25">
      <c r="A969" t="s">
        <v>1818</v>
      </c>
      <c r="B969" t="s">
        <v>1965</v>
      </c>
      <c r="C969" t="s">
        <v>1820</v>
      </c>
      <c r="D969" t="s">
        <v>1966</v>
      </c>
      <c r="E969" t="s">
        <v>38</v>
      </c>
      <c r="F969">
        <v>1721</v>
      </c>
      <c r="G969">
        <v>2429</v>
      </c>
      <c r="H969" t="s">
        <v>1923</v>
      </c>
      <c r="I969" t="s">
        <v>87</v>
      </c>
      <c r="J969" t="s">
        <v>38</v>
      </c>
      <c r="K969" t="s">
        <v>38</v>
      </c>
      <c r="L969" t="s">
        <v>38</v>
      </c>
      <c r="M969" t="s">
        <v>38</v>
      </c>
      <c r="N969" t="s">
        <v>38</v>
      </c>
      <c r="O969" t="s">
        <v>57</v>
      </c>
      <c r="P969" t="s">
        <v>42</v>
      </c>
      <c r="Q969" t="s">
        <v>43</v>
      </c>
      <c r="R969" t="s">
        <v>89</v>
      </c>
      <c r="S969" t="s">
        <v>153</v>
      </c>
      <c r="T969" t="s">
        <v>89</v>
      </c>
      <c r="U969" t="s">
        <v>38</v>
      </c>
      <c r="V969" t="s">
        <v>38</v>
      </c>
      <c r="W969" t="s">
        <v>92</v>
      </c>
      <c r="X969" t="s">
        <v>38</v>
      </c>
      <c r="Y969" t="s">
        <v>38</v>
      </c>
      <c r="Z969" t="s">
        <v>42</v>
      </c>
      <c r="AA969" t="s">
        <v>1966</v>
      </c>
      <c r="AB969" t="s">
        <v>155</v>
      </c>
      <c r="AC969" t="s">
        <v>153</v>
      </c>
      <c r="AD969" t="s">
        <v>48</v>
      </c>
      <c r="AG969" t="str">
        <f>IF(AD969="United States", IFERROR(INDEX(Sheet2!$C:$C, MATCH(AE969&amp;AF969, Sheet2!$E:$E, 0)) &amp; ", " &amp; INDEX(Sheet2!$D:$D, MATCH(AE969&amp;AF969, Sheet2!$E:$E, 0)), ""), "-")</f>
        <v/>
      </c>
    </row>
    <row r="970" spans="1:33" x14ac:dyDescent="0.25">
      <c r="A970" t="s">
        <v>1818</v>
      </c>
      <c r="B970" t="s">
        <v>1967</v>
      </c>
      <c r="C970" t="s">
        <v>1820</v>
      </c>
      <c r="D970" t="s">
        <v>245</v>
      </c>
      <c r="E970" t="s">
        <v>37</v>
      </c>
      <c r="F970">
        <v>1747</v>
      </c>
      <c r="G970">
        <v>2430</v>
      </c>
      <c r="H970" t="s">
        <v>1821</v>
      </c>
      <c r="I970" t="s">
        <v>87</v>
      </c>
      <c r="J970" t="s">
        <v>38</v>
      </c>
      <c r="K970" t="s">
        <v>38</v>
      </c>
      <c r="L970" t="s">
        <v>38</v>
      </c>
      <c r="M970" t="s">
        <v>38</v>
      </c>
      <c r="N970" t="s">
        <v>38</v>
      </c>
      <c r="O970" t="s">
        <v>57</v>
      </c>
      <c r="P970" t="s">
        <v>42</v>
      </c>
      <c r="Q970" t="s">
        <v>43</v>
      </c>
      <c r="R970" t="s">
        <v>89</v>
      </c>
      <c r="S970" t="s">
        <v>45</v>
      </c>
      <c r="T970" t="s">
        <v>89</v>
      </c>
      <c r="U970" t="s">
        <v>38</v>
      </c>
      <c r="V970" t="s">
        <v>38</v>
      </c>
      <c r="W970" t="s">
        <v>92</v>
      </c>
      <c r="X970" t="s">
        <v>38</v>
      </c>
      <c r="Y970" t="s">
        <v>38</v>
      </c>
      <c r="Z970" t="s">
        <v>42</v>
      </c>
      <c r="AA970" t="s">
        <v>1511</v>
      </c>
      <c r="AB970" t="s">
        <v>38</v>
      </c>
      <c r="AC970" t="s">
        <v>45</v>
      </c>
      <c r="AD970" t="s">
        <v>48</v>
      </c>
      <c r="AG970" t="str">
        <f>IF(AD970="United States", IFERROR(INDEX(Sheet2!$C:$C, MATCH(AE970&amp;AF970, Sheet2!$E:$E, 0)) &amp; ", " &amp; INDEX(Sheet2!$D:$D, MATCH(AE970&amp;AF970, Sheet2!$E:$E, 0)), ""), "-")</f>
        <v/>
      </c>
    </row>
    <row r="971" spans="1:33" x14ac:dyDescent="0.25">
      <c r="A971" t="s">
        <v>1818</v>
      </c>
      <c r="B971" t="s">
        <v>1968</v>
      </c>
      <c r="C971" t="s">
        <v>1820</v>
      </c>
      <c r="D971" t="s">
        <v>182</v>
      </c>
      <c r="E971" t="s">
        <v>38</v>
      </c>
      <c r="F971">
        <v>1748</v>
      </c>
      <c r="G971">
        <v>2431</v>
      </c>
      <c r="H971" t="s">
        <v>38</v>
      </c>
      <c r="I971" t="s">
        <v>87</v>
      </c>
      <c r="J971" t="s">
        <v>38</v>
      </c>
      <c r="K971" t="s">
        <v>38</v>
      </c>
      <c r="L971" t="s">
        <v>38</v>
      </c>
      <c r="M971" t="s">
        <v>38</v>
      </c>
      <c r="N971" t="s">
        <v>38</v>
      </c>
      <c r="O971" t="s">
        <v>57</v>
      </c>
      <c r="P971" t="s">
        <v>42</v>
      </c>
      <c r="Q971" t="s">
        <v>43</v>
      </c>
      <c r="R971" t="s">
        <v>1969</v>
      </c>
      <c r="S971" t="s">
        <v>89</v>
      </c>
      <c r="T971" t="s">
        <v>38</v>
      </c>
      <c r="U971" t="s">
        <v>38</v>
      </c>
      <c r="V971" t="s">
        <v>38</v>
      </c>
      <c r="W971" t="s">
        <v>38</v>
      </c>
      <c r="X971" t="s">
        <v>38</v>
      </c>
      <c r="Y971" t="s">
        <v>38</v>
      </c>
      <c r="Z971" t="s">
        <v>42</v>
      </c>
      <c r="AA971" t="s">
        <v>38</v>
      </c>
      <c r="AB971" t="s">
        <v>38</v>
      </c>
      <c r="AC971" t="s">
        <v>89</v>
      </c>
      <c r="AD971" t="s">
        <v>48</v>
      </c>
      <c r="AG971" t="str">
        <f>IF(AD971="United States", IFERROR(INDEX(Sheet2!$C:$C, MATCH(AE971&amp;AF971, Sheet2!$E:$E, 0)) &amp; ", " &amp; INDEX(Sheet2!$D:$D, MATCH(AE971&amp;AF971, Sheet2!$E:$E, 0)), ""), "-")</f>
        <v/>
      </c>
    </row>
    <row r="972" spans="1:33" x14ac:dyDescent="0.25">
      <c r="A972" t="s">
        <v>1818</v>
      </c>
      <c r="B972" t="s">
        <v>1970</v>
      </c>
      <c r="C972" t="s">
        <v>1820</v>
      </c>
      <c r="D972" t="s">
        <v>1103</v>
      </c>
      <c r="E972" t="s">
        <v>1437</v>
      </c>
      <c r="F972">
        <v>1763</v>
      </c>
      <c r="G972">
        <v>2415</v>
      </c>
      <c r="H972" t="s">
        <v>1821</v>
      </c>
      <c r="I972" t="s">
        <v>87</v>
      </c>
      <c r="J972" t="s">
        <v>38</v>
      </c>
      <c r="K972" t="s">
        <v>38</v>
      </c>
      <c r="L972" t="s">
        <v>38</v>
      </c>
      <c r="M972" t="s">
        <v>38</v>
      </c>
      <c r="N972" t="s">
        <v>38</v>
      </c>
      <c r="O972" t="s">
        <v>57</v>
      </c>
      <c r="P972" t="s">
        <v>42</v>
      </c>
      <c r="Q972" t="s">
        <v>43</v>
      </c>
      <c r="R972" t="s">
        <v>89</v>
      </c>
      <c r="S972" t="s">
        <v>153</v>
      </c>
      <c r="T972" t="s">
        <v>89</v>
      </c>
      <c r="U972" t="s">
        <v>38</v>
      </c>
      <c r="V972" t="s">
        <v>38</v>
      </c>
      <c r="W972" t="s">
        <v>92</v>
      </c>
      <c r="X972" t="s">
        <v>38</v>
      </c>
      <c r="Y972" t="s">
        <v>38</v>
      </c>
      <c r="Z972" t="s">
        <v>42</v>
      </c>
      <c r="AA972" t="s">
        <v>1919</v>
      </c>
      <c r="AB972" t="s">
        <v>38</v>
      </c>
      <c r="AC972" t="s">
        <v>153</v>
      </c>
      <c r="AD972" t="s">
        <v>48</v>
      </c>
      <c r="AG972" t="str">
        <f>IF(AD972="United States", IFERROR(INDEX(Sheet2!$C:$C, MATCH(AE972&amp;AF972, Sheet2!$E:$E, 0)) &amp; ", " &amp; INDEX(Sheet2!$D:$D, MATCH(AE972&amp;AF972, Sheet2!$E:$E, 0)), ""), "-")</f>
        <v/>
      </c>
    </row>
    <row r="973" spans="1:33" x14ac:dyDescent="0.25">
      <c r="A973" t="s">
        <v>52</v>
      </c>
      <c r="B973" t="s">
        <v>1971</v>
      </c>
      <c r="C973" t="s">
        <v>1972</v>
      </c>
      <c r="D973" t="s">
        <v>150</v>
      </c>
      <c r="E973" t="s">
        <v>38</v>
      </c>
      <c r="F973">
        <v>1742</v>
      </c>
      <c r="G973">
        <v>2461</v>
      </c>
      <c r="H973" t="s">
        <v>1923</v>
      </c>
      <c r="I973" t="s">
        <v>87</v>
      </c>
      <c r="J973" t="s">
        <v>38</v>
      </c>
      <c r="K973" t="s">
        <v>38</v>
      </c>
      <c r="L973" t="s">
        <v>38</v>
      </c>
      <c r="M973" t="s">
        <v>38</v>
      </c>
      <c r="N973" t="s">
        <v>38</v>
      </c>
      <c r="O973" t="s">
        <v>41</v>
      </c>
      <c r="P973" t="s">
        <v>42</v>
      </c>
      <c r="Q973" t="s">
        <v>43</v>
      </c>
      <c r="R973" t="s">
        <v>89</v>
      </c>
      <c r="S973" t="s">
        <v>153</v>
      </c>
      <c r="T973" t="s">
        <v>89</v>
      </c>
      <c r="U973" t="s">
        <v>301</v>
      </c>
      <c r="V973" t="s">
        <v>38</v>
      </c>
      <c r="W973" t="s">
        <v>92</v>
      </c>
      <c r="X973" t="s">
        <v>302</v>
      </c>
      <c r="Y973" t="s">
        <v>1973</v>
      </c>
      <c r="Z973" t="s">
        <v>42</v>
      </c>
      <c r="AA973" t="s">
        <v>155</v>
      </c>
      <c r="AB973" t="s">
        <v>38</v>
      </c>
      <c r="AC973" t="s">
        <v>153</v>
      </c>
      <c r="AD973" t="s">
        <v>48</v>
      </c>
      <c r="AG973" t="str">
        <f>IF(AD973="United States", IFERROR(INDEX(Sheet2!$C:$C, MATCH(AE973&amp;AF973, Sheet2!$E:$E, 0)) &amp; ", " &amp; INDEX(Sheet2!$D:$D, MATCH(AE973&amp;AF973, Sheet2!$E:$E, 0)), ""), "-")</f>
        <v/>
      </c>
    </row>
    <row r="974" spans="1:33" x14ac:dyDescent="0.25">
      <c r="A974" t="s">
        <v>52</v>
      </c>
      <c r="B974" t="s">
        <v>1974</v>
      </c>
      <c r="C974" t="s">
        <v>1972</v>
      </c>
      <c r="D974" t="s">
        <v>1975</v>
      </c>
      <c r="E974" t="s">
        <v>38</v>
      </c>
      <c r="F974">
        <v>1745</v>
      </c>
      <c r="G974">
        <v>2463</v>
      </c>
      <c r="H974" t="s">
        <v>38</v>
      </c>
      <c r="I974" t="s">
        <v>87</v>
      </c>
      <c r="J974" t="s">
        <v>38</v>
      </c>
      <c r="K974" t="s">
        <v>38</v>
      </c>
      <c r="L974" t="s">
        <v>38</v>
      </c>
      <c r="M974" t="s">
        <v>38</v>
      </c>
      <c r="N974" t="s">
        <v>38</v>
      </c>
      <c r="O974" t="s">
        <v>41</v>
      </c>
      <c r="P974" t="s">
        <v>42</v>
      </c>
      <c r="Q974" t="s">
        <v>43</v>
      </c>
      <c r="R974" t="s">
        <v>38</v>
      </c>
      <c r="S974" t="s">
        <v>38</v>
      </c>
      <c r="T974" t="s">
        <v>38</v>
      </c>
      <c r="U974" t="s">
        <v>38</v>
      </c>
      <c r="V974" t="s">
        <v>38</v>
      </c>
      <c r="W974" t="s">
        <v>38</v>
      </c>
      <c r="X974" t="s">
        <v>38</v>
      </c>
      <c r="Y974" t="s">
        <v>1976</v>
      </c>
      <c r="Z974" t="s">
        <v>42</v>
      </c>
      <c r="AA974" t="s">
        <v>38</v>
      </c>
      <c r="AB974" t="s">
        <v>38</v>
      </c>
      <c r="AC974" t="s">
        <v>38</v>
      </c>
      <c r="AD974" t="s">
        <v>48</v>
      </c>
      <c r="AG974" t="str">
        <f>IF(AD974="United States", IFERROR(INDEX(Sheet2!$C:$C, MATCH(AE974&amp;AF974, Sheet2!$E:$E, 0)) &amp; ", " &amp; INDEX(Sheet2!$D:$D, MATCH(AE974&amp;AF974, Sheet2!$E:$E, 0)), ""), "-")</f>
        <v/>
      </c>
    </row>
    <row r="975" spans="1:33" x14ac:dyDescent="0.25">
      <c r="A975" t="s">
        <v>52</v>
      </c>
      <c r="B975" t="s">
        <v>1977</v>
      </c>
      <c r="C975" t="s">
        <v>1972</v>
      </c>
      <c r="D975" t="s">
        <v>1382</v>
      </c>
      <c r="E975" t="s">
        <v>38</v>
      </c>
      <c r="F975">
        <v>1782</v>
      </c>
      <c r="G975">
        <v>2460</v>
      </c>
      <c r="H975" t="s">
        <v>398</v>
      </c>
      <c r="I975" t="s">
        <v>87</v>
      </c>
      <c r="J975" t="s">
        <v>38</v>
      </c>
      <c r="K975" t="s">
        <v>38</v>
      </c>
      <c r="L975" t="s">
        <v>38</v>
      </c>
      <c r="M975" t="s">
        <v>38</v>
      </c>
      <c r="N975" t="s">
        <v>38</v>
      </c>
      <c r="O975" t="s">
        <v>54</v>
      </c>
      <c r="P975" t="s">
        <v>42</v>
      </c>
      <c r="Q975" t="s">
        <v>43</v>
      </c>
      <c r="R975" t="s">
        <v>89</v>
      </c>
      <c r="S975" t="s">
        <v>38</v>
      </c>
      <c r="T975" t="s">
        <v>89</v>
      </c>
      <c r="U975" t="s">
        <v>301</v>
      </c>
      <c r="V975" t="s">
        <v>38</v>
      </c>
      <c r="W975" t="s">
        <v>92</v>
      </c>
      <c r="X975" t="s">
        <v>302</v>
      </c>
      <c r="Y975" t="s">
        <v>1973</v>
      </c>
      <c r="Z975" t="s">
        <v>42</v>
      </c>
      <c r="AA975" t="s">
        <v>38</v>
      </c>
      <c r="AB975" t="s">
        <v>38</v>
      </c>
      <c r="AC975" t="s">
        <v>38</v>
      </c>
      <c r="AD975" t="s">
        <v>48</v>
      </c>
      <c r="AG975" t="str">
        <f>IF(AD975="United States", IFERROR(INDEX(Sheet2!$C:$C, MATCH(AE975&amp;AF975, Sheet2!$E:$E, 0)) &amp; ", " &amp; INDEX(Sheet2!$D:$D, MATCH(AE975&amp;AF975, Sheet2!$E:$E, 0)), ""), "-")</f>
        <v/>
      </c>
    </row>
    <row r="976" spans="1:33" x14ac:dyDescent="0.25">
      <c r="A976" t="s">
        <v>52</v>
      </c>
      <c r="B976" t="s">
        <v>1978</v>
      </c>
      <c r="C976" t="s">
        <v>1972</v>
      </c>
      <c r="D976" t="s">
        <v>352</v>
      </c>
      <c r="E976" t="s">
        <v>38</v>
      </c>
      <c r="F976">
        <v>1779</v>
      </c>
      <c r="G976">
        <v>2459</v>
      </c>
      <c r="H976" t="s">
        <v>1979</v>
      </c>
      <c r="I976" t="s">
        <v>87</v>
      </c>
      <c r="J976" t="s">
        <v>38</v>
      </c>
      <c r="K976" t="s">
        <v>38</v>
      </c>
      <c r="L976" t="s">
        <v>38</v>
      </c>
      <c r="M976" t="s">
        <v>38</v>
      </c>
      <c r="N976" t="s">
        <v>38</v>
      </c>
      <c r="O976" t="s">
        <v>54</v>
      </c>
      <c r="P976" t="s">
        <v>42</v>
      </c>
      <c r="Q976" t="s">
        <v>43</v>
      </c>
      <c r="R976" t="s">
        <v>89</v>
      </c>
      <c r="S976" t="s">
        <v>38</v>
      </c>
      <c r="T976" t="s">
        <v>89</v>
      </c>
      <c r="U976" t="s">
        <v>301</v>
      </c>
      <c r="V976" t="s">
        <v>38</v>
      </c>
      <c r="W976" t="s">
        <v>92</v>
      </c>
      <c r="X976" t="s">
        <v>302</v>
      </c>
      <c r="Y976" t="s">
        <v>1973</v>
      </c>
      <c r="Z976" t="s">
        <v>42</v>
      </c>
      <c r="AA976" t="s">
        <v>38</v>
      </c>
      <c r="AB976" t="s">
        <v>38</v>
      </c>
      <c r="AC976" t="s">
        <v>38</v>
      </c>
      <c r="AD976" t="s">
        <v>48</v>
      </c>
      <c r="AG976" t="str">
        <f>IF(AD976="United States", IFERROR(INDEX(Sheet2!$C:$C, MATCH(AE976&amp;AF976, Sheet2!$E:$E, 0)) &amp; ", " &amp; INDEX(Sheet2!$D:$D, MATCH(AE976&amp;AF976, Sheet2!$E:$E, 0)), ""), "-")</f>
        <v/>
      </c>
    </row>
    <row r="977" spans="1:33" x14ac:dyDescent="0.25">
      <c r="A977" t="s">
        <v>52</v>
      </c>
      <c r="B977" t="s">
        <v>1980</v>
      </c>
      <c r="C977" t="s">
        <v>1972</v>
      </c>
      <c r="D977" t="s">
        <v>1981</v>
      </c>
      <c r="E977" t="s">
        <v>38</v>
      </c>
      <c r="F977">
        <v>1778</v>
      </c>
      <c r="G977">
        <v>2458</v>
      </c>
      <c r="H977" t="s">
        <v>1923</v>
      </c>
      <c r="I977" t="s">
        <v>87</v>
      </c>
      <c r="J977" t="s">
        <v>38</v>
      </c>
      <c r="K977" t="s">
        <v>38</v>
      </c>
      <c r="L977" t="s">
        <v>38</v>
      </c>
      <c r="M977" t="s">
        <v>38</v>
      </c>
      <c r="N977" t="s">
        <v>38</v>
      </c>
      <c r="O977" t="s">
        <v>54</v>
      </c>
      <c r="P977" t="s">
        <v>42</v>
      </c>
      <c r="Q977" t="s">
        <v>43</v>
      </c>
      <c r="R977" t="s">
        <v>89</v>
      </c>
      <c r="S977" t="s">
        <v>38</v>
      </c>
      <c r="T977" t="s">
        <v>89</v>
      </c>
      <c r="U977" t="s">
        <v>301</v>
      </c>
      <c r="V977" t="s">
        <v>38</v>
      </c>
      <c r="W977" t="s">
        <v>92</v>
      </c>
      <c r="X977" t="s">
        <v>302</v>
      </c>
      <c r="Y977" t="s">
        <v>1973</v>
      </c>
      <c r="Z977" t="s">
        <v>42</v>
      </c>
      <c r="AA977" t="s">
        <v>38</v>
      </c>
      <c r="AB977" t="s">
        <v>38</v>
      </c>
      <c r="AC977" t="s">
        <v>1981</v>
      </c>
      <c r="AD977" t="s">
        <v>48</v>
      </c>
      <c r="AG977" t="str">
        <f>IF(AD977="United States", IFERROR(INDEX(Sheet2!$C:$C, MATCH(AE977&amp;AF977, Sheet2!$E:$E, 0)) &amp; ", " &amp; INDEX(Sheet2!$D:$D, MATCH(AE977&amp;AF977, Sheet2!$E:$E, 0)), ""), "-")</f>
        <v/>
      </c>
    </row>
    <row r="978" spans="1:33" x14ac:dyDescent="0.25">
      <c r="A978" t="s">
        <v>52</v>
      </c>
      <c r="B978" t="s">
        <v>1982</v>
      </c>
      <c r="C978" t="s">
        <v>1983</v>
      </c>
      <c r="D978" t="s">
        <v>1984</v>
      </c>
      <c r="E978" t="s">
        <v>38</v>
      </c>
      <c r="F978">
        <v>1772</v>
      </c>
      <c r="G978">
        <v>1951</v>
      </c>
      <c r="H978" t="s">
        <v>398</v>
      </c>
      <c r="I978" t="s">
        <v>80</v>
      </c>
      <c r="J978" t="s">
        <v>1897</v>
      </c>
      <c r="K978" t="s">
        <v>38</v>
      </c>
      <c r="L978" t="s">
        <v>38</v>
      </c>
      <c r="M978" t="s">
        <v>38</v>
      </c>
      <c r="N978" t="s">
        <v>38</v>
      </c>
      <c r="O978" t="s">
        <v>74</v>
      </c>
      <c r="P978" t="s">
        <v>42</v>
      </c>
      <c r="Q978" t="s">
        <v>43</v>
      </c>
      <c r="R978" t="s">
        <v>89</v>
      </c>
      <c r="S978" t="s">
        <v>38</v>
      </c>
      <c r="T978" t="s">
        <v>89</v>
      </c>
      <c r="U978" t="s">
        <v>301</v>
      </c>
      <c r="V978" t="s">
        <v>91</v>
      </c>
      <c r="W978" t="s">
        <v>92</v>
      </c>
      <c r="X978" t="s">
        <v>302</v>
      </c>
      <c r="Y978" t="s">
        <v>1985</v>
      </c>
      <c r="Z978" t="s">
        <v>42</v>
      </c>
      <c r="AA978" t="s">
        <v>38</v>
      </c>
      <c r="AB978" t="s">
        <v>38</v>
      </c>
      <c r="AC978" t="s">
        <v>38</v>
      </c>
      <c r="AD978" t="s">
        <v>48</v>
      </c>
      <c r="AG978" t="str">
        <f>IF(AD978="United States", IFERROR(INDEX(Sheet2!$C:$C, MATCH(AE978&amp;AF978, Sheet2!$E:$E, 0)) &amp; ", " &amp; INDEX(Sheet2!$D:$D, MATCH(AE978&amp;AF978, Sheet2!$E:$E, 0)), ""), "-")</f>
        <v/>
      </c>
    </row>
    <row r="979" spans="1:33" x14ac:dyDescent="0.25">
      <c r="A979" t="s">
        <v>52</v>
      </c>
      <c r="B979" t="s">
        <v>1986</v>
      </c>
      <c r="C979" t="s">
        <v>1983</v>
      </c>
      <c r="D979" t="s">
        <v>1382</v>
      </c>
      <c r="E979" t="s">
        <v>38</v>
      </c>
      <c r="F979">
        <v>1764</v>
      </c>
      <c r="G979">
        <v>1953</v>
      </c>
      <c r="H979" t="s">
        <v>398</v>
      </c>
      <c r="I979" t="s">
        <v>80</v>
      </c>
      <c r="J979" t="s">
        <v>1897</v>
      </c>
      <c r="K979" t="s">
        <v>38</v>
      </c>
      <c r="L979" t="s">
        <v>38</v>
      </c>
      <c r="M979" t="s">
        <v>38</v>
      </c>
      <c r="N979" t="s">
        <v>38</v>
      </c>
      <c r="O979" t="s">
        <v>74</v>
      </c>
      <c r="P979" t="s">
        <v>42</v>
      </c>
      <c r="Q979" t="s">
        <v>43</v>
      </c>
      <c r="R979" t="s">
        <v>89</v>
      </c>
      <c r="S979" t="s">
        <v>153</v>
      </c>
      <c r="T979" t="s">
        <v>89</v>
      </c>
      <c r="U979" t="s">
        <v>301</v>
      </c>
      <c r="V979" t="s">
        <v>91</v>
      </c>
      <c r="W979" t="s">
        <v>92</v>
      </c>
      <c r="X979" t="s">
        <v>302</v>
      </c>
      <c r="Y979" t="s">
        <v>1987</v>
      </c>
      <c r="Z979" t="s">
        <v>42</v>
      </c>
      <c r="AA979" t="s">
        <v>155</v>
      </c>
      <c r="AB979" t="s">
        <v>38</v>
      </c>
      <c r="AC979" t="s">
        <v>153</v>
      </c>
      <c r="AD979" t="s">
        <v>48</v>
      </c>
      <c r="AG979" t="str">
        <f>IF(AD979="United States", IFERROR(INDEX(Sheet2!$C:$C, MATCH(AE979&amp;AF979, Sheet2!$E:$E, 0)) &amp; ", " &amp; INDEX(Sheet2!$D:$D, MATCH(AE979&amp;AF979, Sheet2!$E:$E, 0)), ""), "-")</f>
        <v/>
      </c>
    </row>
    <row r="980" spans="1:33" x14ac:dyDescent="0.25">
      <c r="A980" t="s">
        <v>52</v>
      </c>
      <c r="B980" t="s">
        <v>1988</v>
      </c>
      <c r="C980" t="s">
        <v>1983</v>
      </c>
      <c r="D980" t="s">
        <v>1989</v>
      </c>
      <c r="E980" t="s">
        <v>38</v>
      </c>
      <c r="F980">
        <v>1772</v>
      </c>
      <c r="G980">
        <v>1952</v>
      </c>
      <c r="H980" t="s">
        <v>398</v>
      </c>
      <c r="I980" t="s">
        <v>80</v>
      </c>
      <c r="J980" t="s">
        <v>1897</v>
      </c>
      <c r="K980" t="s">
        <v>38</v>
      </c>
      <c r="L980" t="s">
        <v>38</v>
      </c>
      <c r="M980" t="s">
        <v>38</v>
      </c>
      <c r="N980" t="s">
        <v>38</v>
      </c>
      <c r="O980" t="s">
        <v>54</v>
      </c>
      <c r="P980" t="s">
        <v>42</v>
      </c>
      <c r="Q980" t="s">
        <v>43</v>
      </c>
      <c r="R980" t="s">
        <v>89</v>
      </c>
      <c r="S980" t="s">
        <v>38</v>
      </c>
      <c r="T980" t="s">
        <v>89</v>
      </c>
      <c r="U980" t="s">
        <v>301</v>
      </c>
      <c r="V980" t="s">
        <v>91</v>
      </c>
      <c r="W980" t="s">
        <v>92</v>
      </c>
      <c r="X980" t="s">
        <v>302</v>
      </c>
      <c r="Y980" t="s">
        <v>1985</v>
      </c>
      <c r="Z980" t="s">
        <v>42</v>
      </c>
      <c r="AA980" t="s">
        <v>38</v>
      </c>
      <c r="AB980" t="s">
        <v>38</v>
      </c>
      <c r="AC980" t="s">
        <v>1989</v>
      </c>
      <c r="AD980" t="s">
        <v>48</v>
      </c>
      <c r="AG980" t="str">
        <f>IF(AD980="United States", IFERROR(INDEX(Sheet2!$C:$C, MATCH(AE980&amp;AF980, Sheet2!$E:$E, 0)) &amp; ", " &amp; INDEX(Sheet2!$D:$D, MATCH(AE980&amp;AF980, Sheet2!$E:$E, 0)), ""), "-")</f>
        <v/>
      </c>
    </row>
    <row r="981" spans="1:33" x14ac:dyDescent="0.25">
      <c r="A981" t="s">
        <v>52</v>
      </c>
      <c r="B981" t="s">
        <v>1990</v>
      </c>
      <c r="C981" t="s">
        <v>1972</v>
      </c>
      <c r="D981" t="s">
        <v>195</v>
      </c>
      <c r="E981" t="s">
        <v>338</v>
      </c>
      <c r="F981">
        <v>1750</v>
      </c>
      <c r="G981">
        <v>2462</v>
      </c>
      <c r="H981" t="s">
        <v>1979</v>
      </c>
      <c r="I981" t="s">
        <v>87</v>
      </c>
      <c r="J981" t="s">
        <v>38</v>
      </c>
      <c r="K981" t="s">
        <v>38</v>
      </c>
      <c r="L981" t="s">
        <v>38</v>
      </c>
      <c r="M981" t="s">
        <v>38</v>
      </c>
      <c r="N981" t="s">
        <v>38</v>
      </c>
      <c r="O981" t="s">
        <v>41</v>
      </c>
      <c r="P981" t="s">
        <v>42</v>
      </c>
      <c r="Q981" t="s">
        <v>43</v>
      </c>
      <c r="R981" t="s">
        <v>89</v>
      </c>
      <c r="S981" t="s">
        <v>38</v>
      </c>
      <c r="T981" t="s">
        <v>89</v>
      </c>
      <c r="U981" t="s">
        <v>301</v>
      </c>
      <c r="V981" t="s">
        <v>38</v>
      </c>
      <c r="W981" t="s">
        <v>92</v>
      </c>
      <c r="X981" t="s">
        <v>302</v>
      </c>
      <c r="Y981" t="s">
        <v>1973</v>
      </c>
      <c r="Z981" t="s">
        <v>42</v>
      </c>
      <c r="AA981" t="s">
        <v>38</v>
      </c>
      <c r="AB981" t="s">
        <v>38</v>
      </c>
      <c r="AC981" t="s">
        <v>593</v>
      </c>
      <c r="AD981" t="s">
        <v>48</v>
      </c>
      <c r="AG981" t="str">
        <f>IF(AD981="United States", IFERROR(INDEX(Sheet2!$C:$C, MATCH(AE981&amp;AF981, Sheet2!$E:$E, 0)) &amp; ", " &amp; INDEX(Sheet2!$D:$D, MATCH(AE981&amp;AF981, Sheet2!$E:$E, 0)), ""), "-")</f>
        <v/>
      </c>
    </row>
    <row r="982" spans="1:33" x14ac:dyDescent="0.25">
      <c r="A982" t="s">
        <v>52</v>
      </c>
      <c r="B982" t="s">
        <v>1991</v>
      </c>
      <c r="C982" t="s">
        <v>1992</v>
      </c>
      <c r="D982" t="s">
        <v>1174</v>
      </c>
      <c r="E982" t="s">
        <v>1993</v>
      </c>
      <c r="F982">
        <v>1741</v>
      </c>
      <c r="G982">
        <v>1127</v>
      </c>
      <c r="H982" t="s">
        <v>269</v>
      </c>
      <c r="I982" t="s">
        <v>80</v>
      </c>
      <c r="J982" t="s">
        <v>1994</v>
      </c>
      <c r="K982" t="s">
        <v>38</v>
      </c>
      <c r="L982" t="s">
        <v>38</v>
      </c>
      <c r="M982" t="s">
        <v>38</v>
      </c>
      <c r="N982" t="s">
        <v>38</v>
      </c>
      <c r="O982" t="s">
        <v>41</v>
      </c>
      <c r="P982" t="s">
        <v>42</v>
      </c>
      <c r="Q982" t="s">
        <v>43</v>
      </c>
      <c r="R982" t="s">
        <v>89</v>
      </c>
      <c r="S982" t="s">
        <v>38</v>
      </c>
      <c r="T982" t="s">
        <v>89</v>
      </c>
      <c r="U982" t="s">
        <v>301</v>
      </c>
      <c r="V982" t="s">
        <v>46</v>
      </c>
      <c r="W982" t="s">
        <v>92</v>
      </c>
      <c r="X982" t="s">
        <v>302</v>
      </c>
      <c r="Y982" t="s">
        <v>1995</v>
      </c>
      <c r="Z982" t="s">
        <v>42</v>
      </c>
      <c r="AA982" t="s">
        <v>38</v>
      </c>
      <c r="AB982" t="s">
        <v>38</v>
      </c>
      <c r="AC982" t="s">
        <v>593</v>
      </c>
      <c r="AD982" t="s">
        <v>48</v>
      </c>
      <c r="AG982" t="str">
        <f>IF(AD982="United States", IFERROR(INDEX(Sheet2!$C:$C, MATCH(AE982&amp;AF982, Sheet2!$E:$E, 0)) &amp; ", " &amp; INDEX(Sheet2!$D:$D, MATCH(AE982&amp;AF982, Sheet2!$E:$E, 0)), ""), "-")</f>
        <v/>
      </c>
    </row>
    <row r="983" spans="1:33" x14ac:dyDescent="0.25">
      <c r="A983" t="s">
        <v>52</v>
      </c>
      <c r="B983" t="s">
        <v>1996</v>
      </c>
      <c r="C983" t="s">
        <v>1983</v>
      </c>
      <c r="D983" t="s">
        <v>1997</v>
      </c>
      <c r="E983" t="s">
        <v>1684</v>
      </c>
      <c r="F983">
        <v>1761</v>
      </c>
      <c r="G983">
        <v>1949</v>
      </c>
      <c r="H983" t="s">
        <v>38</v>
      </c>
      <c r="I983" t="s">
        <v>80</v>
      </c>
      <c r="J983" t="s">
        <v>1897</v>
      </c>
      <c r="K983" t="s">
        <v>38</v>
      </c>
      <c r="L983" t="s">
        <v>38</v>
      </c>
      <c r="M983" t="s">
        <v>38</v>
      </c>
      <c r="N983" t="s">
        <v>38</v>
      </c>
      <c r="O983" t="s">
        <v>41</v>
      </c>
      <c r="P983" t="s">
        <v>42</v>
      </c>
      <c r="Q983" t="s">
        <v>43</v>
      </c>
      <c r="R983" t="s">
        <v>1998</v>
      </c>
      <c r="S983" t="s">
        <v>45</v>
      </c>
      <c r="T983" t="s">
        <v>38</v>
      </c>
      <c r="U983" t="s">
        <v>38</v>
      </c>
      <c r="V983" t="s">
        <v>91</v>
      </c>
      <c r="W983" t="s">
        <v>38</v>
      </c>
      <c r="X983" t="s">
        <v>38</v>
      </c>
      <c r="Y983" t="s">
        <v>1999</v>
      </c>
      <c r="Z983" t="s">
        <v>42</v>
      </c>
      <c r="AA983" t="s">
        <v>38</v>
      </c>
      <c r="AB983" t="s">
        <v>38</v>
      </c>
      <c r="AC983" t="s">
        <v>45</v>
      </c>
      <c r="AD983" t="s">
        <v>48</v>
      </c>
      <c r="AG983" t="str">
        <f>IF(AD983="United States", IFERROR(INDEX(Sheet2!$C:$C, MATCH(AE983&amp;AF983, Sheet2!$E:$E, 0)) &amp; ", " &amp; INDEX(Sheet2!$D:$D, MATCH(AE983&amp;AF983, Sheet2!$E:$E, 0)), ""), "-")</f>
        <v/>
      </c>
    </row>
    <row r="984" spans="1:33" x14ac:dyDescent="0.25">
      <c r="A984" t="s">
        <v>52</v>
      </c>
      <c r="B984" t="s">
        <v>2000</v>
      </c>
      <c r="C984" t="s">
        <v>1992</v>
      </c>
      <c r="D984" t="s">
        <v>220</v>
      </c>
      <c r="E984" t="s">
        <v>2001</v>
      </c>
      <c r="F984">
        <v>1757</v>
      </c>
      <c r="G984">
        <v>1132</v>
      </c>
      <c r="H984" t="s">
        <v>634</v>
      </c>
      <c r="I984" t="s">
        <v>80</v>
      </c>
      <c r="J984" t="s">
        <v>1994</v>
      </c>
      <c r="K984" t="s">
        <v>38</v>
      </c>
      <c r="L984" t="s">
        <v>38</v>
      </c>
      <c r="M984" t="s">
        <v>38</v>
      </c>
      <c r="N984" t="s">
        <v>38</v>
      </c>
      <c r="O984" t="s">
        <v>41</v>
      </c>
      <c r="P984" t="s">
        <v>42</v>
      </c>
      <c r="Q984" t="s">
        <v>43</v>
      </c>
      <c r="R984" t="s">
        <v>89</v>
      </c>
      <c r="S984" t="s">
        <v>153</v>
      </c>
      <c r="T984" t="s">
        <v>89</v>
      </c>
      <c r="U984" t="s">
        <v>301</v>
      </c>
      <c r="V984" t="s">
        <v>46</v>
      </c>
      <c r="W984" t="s">
        <v>92</v>
      </c>
      <c r="X984" t="s">
        <v>302</v>
      </c>
      <c r="Y984" t="s">
        <v>2002</v>
      </c>
      <c r="Z984" t="s">
        <v>42</v>
      </c>
      <c r="AA984" t="s">
        <v>155</v>
      </c>
      <c r="AB984" t="s">
        <v>38</v>
      </c>
      <c r="AC984" t="s">
        <v>153</v>
      </c>
      <c r="AD984" t="s">
        <v>48</v>
      </c>
      <c r="AG984" t="str">
        <f>IF(AD984="United States", IFERROR(INDEX(Sheet2!$C:$C, MATCH(AE984&amp;AF984, Sheet2!$E:$E, 0)) &amp; ", " &amp; INDEX(Sheet2!$D:$D, MATCH(AE984&amp;AF984, Sheet2!$E:$E, 0)), ""), "-")</f>
        <v/>
      </c>
    </row>
    <row r="985" spans="1:33" x14ac:dyDescent="0.25">
      <c r="A985" t="s">
        <v>52</v>
      </c>
      <c r="B985" t="s">
        <v>2003</v>
      </c>
      <c r="C985" t="s">
        <v>1992</v>
      </c>
      <c r="D985" t="s">
        <v>1638</v>
      </c>
      <c r="E985" t="s">
        <v>38</v>
      </c>
      <c r="F985">
        <v>1773</v>
      </c>
      <c r="G985">
        <v>1131</v>
      </c>
      <c r="H985" t="s">
        <v>634</v>
      </c>
      <c r="I985" t="s">
        <v>80</v>
      </c>
      <c r="J985" t="s">
        <v>1994</v>
      </c>
      <c r="K985" t="s">
        <v>38</v>
      </c>
      <c r="L985" t="s">
        <v>38</v>
      </c>
      <c r="M985" t="s">
        <v>245</v>
      </c>
      <c r="N985" t="s">
        <v>38</v>
      </c>
      <c r="O985" t="s">
        <v>54</v>
      </c>
      <c r="P985" t="s">
        <v>42</v>
      </c>
      <c r="Q985" t="s">
        <v>43</v>
      </c>
      <c r="R985" t="s">
        <v>89</v>
      </c>
      <c r="S985" t="s">
        <v>38</v>
      </c>
      <c r="T985" t="s">
        <v>89</v>
      </c>
      <c r="U985" t="s">
        <v>301</v>
      </c>
      <c r="V985" t="s">
        <v>46</v>
      </c>
      <c r="W985" t="s">
        <v>92</v>
      </c>
      <c r="X985" t="s">
        <v>302</v>
      </c>
      <c r="Y985" t="s">
        <v>2004</v>
      </c>
      <c r="Z985" t="s">
        <v>42</v>
      </c>
      <c r="AA985" t="s">
        <v>38</v>
      </c>
      <c r="AB985" t="s">
        <v>38</v>
      </c>
      <c r="AC985" t="s">
        <v>38</v>
      </c>
      <c r="AD985" t="s">
        <v>48</v>
      </c>
      <c r="AG985" t="str">
        <f>IF(AD985="United States", IFERROR(INDEX(Sheet2!$C:$C, MATCH(AE985&amp;AF985, Sheet2!$E:$E, 0)) &amp; ", " &amp; INDEX(Sheet2!$D:$D, MATCH(AE985&amp;AF985, Sheet2!$E:$E, 0)), ""), "-")</f>
        <v/>
      </c>
    </row>
    <row r="986" spans="1:33" x14ac:dyDescent="0.25">
      <c r="A986" t="s">
        <v>52</v>
      </c>
      <c r="B986" t="s">
        <v>2005</v>
      </c>
      <c r="C986" t="s">
        <v>1992</v>
      </c>
      <c r="D986" t="s">
        <v>2006</v>
      </c>
      <c r="E986" t="s">
        <v>2007</v>
      </c>
      <c r="F986">
        <v>1760</v>
      </c>
      <c r="G986">
        <v>1130</v>
      </c>
      <c r="H986" t="s">
        <v>634</v>
      </c>
      <c r="I986" t="s">
        <v>80</v>
      </c>
      <c r="J986" t="s">
        <v>1994</v>
      </c>
      <c r="K986" t="s">
        <v>38</v>
      </c>
      <c r="L986" t="s">
        <v>38</v>
      </c>
      <c r="M986" t="s">
        <v>38</v>
      </c>
      <c r="N986" t="s">
        <v>38</v>
      </c>
      <c r="O986" t="s">
        <v>41</v>
      </c>
      <c r="P986" t="s">
        <v>42</v>
      </c>
      <c r="Q986" t="s">
        <v>43</v>
      </c>
      <c r="R986" t="s">
        <v>89</v>
      </c>
      <c r="S986" t="s">
        <v>153</v>
      </c>
      <c r="T986" t="s">
        <v>89</v>
      </c>
      <c r="U986" t="s">
        <v>301</v>
      </c>
      <c r="V986" t="s">
        <v>46</v>
      </c>
      <c r="W986" t="s">
        <v>92</v>
      </c>
      <c r="X986" t="s">
        <v>302</v>
      </c>
      <c r="Y986" t="s">
        <v>1995</v>
      </c>
      <c r="Z986" t="s">
        <v>42</v>
      </c>
      <c r="AA986" t="s">
        <v>2008</v>
      </c>
      <c r="AB986" t="s">
        <v>38</v>
      </c>
      <c r="AC986" t="s">
        <v>153</v>
      </c>
      <c r="AD986" t="s">
        <v>48</v>
      </c>
      <c r="AG986" t="str">
        <f>IF(AD986="United States", IFERROR(INDEX(Sheet2!$C:$C, MATCH(AE986&amp;AF986, Sheet2!$E:$E, 0)) &amp; ", " &amp; INDEX(Sheet2!$D:$D, MATCH(AE986&amp;AF986, Sheet2!$E:$E, 0)), ""), "-")</f>
        <v/>
      </c>
    </row>
    <row r="987" spans="1:33" x14ac:dyDescent="0.25">
      <c r="A987" t="s">
        <v>52</v>
      </c>
      <c r="B987" t="s">
        <v>2009</v>
      </c>
      <c r="C987" t="s">
        <v>1992</v>
      </c>
      <c r="D987" t="s">
        <v>1491</v>
      </c>
      <c r="E987" t="s">
        <v>38</v>
      </c>
      <c r="F987">
        <v>1776</v>
      </c>
      <c r="G987">
        <v>1129</v>
      </c>
      <c r="H987" t="s">
        <v>634</v>
      </c>
      <c r="I987" t="s">
        <v>80</v>
      </c>
      <c r="J987" t="s">
        <v>1994</v>
      </c>
      <c r="K987" t="s">
        <v>38</v>
      </c>
      <c r="L987" t="s">
        <v>38</v>
      </c>
      <c r="M987" t="s">
        <v>38</v>
      </c>
      <c r="N987" t="s">
        <v>38</v>
      </c>
      <c r="O987" t="s">
        <v>54</v>
      </c>
      <c r="P987" t="s">
        <v>42</v>
      </c>
      <c r="Q987" t="s">
        <v>43</v>
      </c>
      <c r="R987" t="s">
        <v>89</v>
      </c>
      <c r="S987" t="s">
        <v>38</v>
      </c>
      <c r="T987" t="s">
        <v>89</v>
      </c>
      <c r="U987" t="s">
        <v>301</v>
      </c>
      <c r="V987" t="s">
        <v>46</v>
      </c>
      <c r="W987" t="s">
        <v>92</v>
      </c>
      <c r="X987" t="s">
        <v>302</v>
      </c>
      <c r="Y987" t="s">
        <v>2010</v>
      </c>
      <c r="Z987" t="s">
        <v>42</v>
      </c>
      <c r="AA987" t="s">
        <v>38</v>
      </c>
      <c r="AB987" t="s">
        <v>38</v>
      </c>
      <c r="AC987" t="s">
        <v>38</v>
      </c>
      <c r="AD987" t="s">
        <v>48</v>
      </c>
      <c r="AG987" t="str">
        <f>IF(AD987="United States", IFERROR(INDEX(Sheet2!$C:$C, MATCH(AE987&amp;AF987, Sheet2!$E:$E, 0)) &amp; ", " &amp; INDEX(Sheet2!$D:$D, MATCH(AE987&amp;AF987, Sheet2!$E:$E, 0)), ""), "-")</f>
        <v/>
      </c>
    </row>
    <row r="988" spans="1:33" x14ac:dyDescent="0.25">
      <c r="A988" t="s">
        <v>52</v>
      </c>
      <c r="B988" t="s">
        <v>2011</v>
      </c>
      <c r="C988" t="s">
        <v>1992</v>
      </c>
      <c r="D988" t="s">
        <v>245</v>
      </c>
      <c r="E988" t="s">
        <v>38</v>
      </c>
      <c r="F988">
        <v>1743</v>
      </c>
      <c r="G988">
        <v>1128</v>
      </c>
      <c r="H988" t="s">
        <v>634</v>
      </c>
      <c r="I988" t="s">
        <v>80</v>
      </c>
      <c r="J988" t="s">
        <v>1994</v>
      </c>
      <c r="K988" t="s">
        <v>38</v>
      </c>
      <c r="L988" t="s">
        <v>38</v>
      </c>
      <c r="M988" t="s">
        <v>38</v>
      </c>
      <c r="N988" t="s">
        <v>38</v>
      </c>
      <c r="O988" t="s">
        <v>57</v>
      </c>
      <c r="P988" t="s">
        <v>42</v>
      </c>
      <c r="Q988" t="s">
        <v>43</v>
      </c>
      <c r="R988" t="s">
        <v>89</v>
      </c>
      <c r="S988" t="s">
        <v>38</v>
      </c>
      <c r="T988" t="s">
        <v>89</v>
      </c>
      <c r="U988" t="s">
        <v>301</v>
      </c>
      <c r="V988" t="s">
        <v>46</v>
      </c>
      <c r="W988" t="s">
        <v>92</v>
      </c>
      <c r="X988" t="s">
        <v>302</v>
      </c>
      <c r="Y988" t="s">
        <v>1995</v>
      </c>
      <c r="Z988" t="s">
        <v>42</v>
      </c>
      <c r="AA988" t="s">
        <v>38</v>
      </c>
      <c r="AB988" t="s">
        <v>38</v>
      </c>
      <c r="AC988" t="s">
        <v>38</v>
      </c>
      <c r="AD988" t="s">
        <v>48</v>
      </c>
      <c r="AG988" t="str">
        <f>IF(AD988="United States", IFERROR(INDEX(Sheet2!$C:$C, MATCH(AE988&amp;AF988, Sheet2!$E:$E, 0)) &amp; ", " &amp; INDEX(Sheet2!$D:$D, MATCH(AE988&amp;AF988, Sheet2!$E:$E, 0)), ""), "-")</f>
        <v/>
      </c>
    </row>
    <row r="989" spans="1:33" x14ac:dyDescent="0.25">
      <c r="A989" t="s">
        <v>52</v>
      </c>
      <c r="B989" t="s">
        <v>2012</v>
      </c>
      <c r="C989" t="s">
        <v>1972</v>
      </c>
      <c r="D989" t="s">
        <v>352</v>
      </c>
      <c r="E989" t="s">
        <v>38</v>
      </c>
      <c r="F989">
        <v>1753</v>
      </c>
      <c r="G989">
        <v>2464</v>
      </c>
      <c r="H989" t="s">
        <v>1979</v>
      </c>
      <c r="I989" t="s">
        <v>87</v>
      </c>
      <c r="J989" t="s">
        <v>38</v>
      </c>
      <c r="K989" t="s">
        <v>38</v>
      </c>
      <c r="L989" t="s">
        <v>38</v>
      </c>
      <c r="M989" t="s">
        <v>38</v>
      </c>
      <c r="N989" t="s">
        <v>38</v>
      </c>
      <c r="O989" t="s">
        <v>57</v>
      </c>
      <c r="P989" t="s">
        <v>42</v>
      </c>
      <c r="Q989" t="s">
        <v>43</v>
      </c>
      <c r="R989" t="s">
        <v>89</v>
      </c>
      <c r="S989" t="s">
        <v>38</v>
      </c>
      <c r="T989" t="s">
        <v>89</v>
      </c>
      <c r="U989" t="s">
        <v>301</v>
      </c>
      <c r="V989" t="s">
        <v>38</v>
      </c>
      <c r="W989" t="s">
        <v>92</v>
      </c>
      <c r="X989" t="s">
        <v>302</v>
      </c>
      <c r="Y989" t="s">
        <v>2013</v>
      </c>
      <c r="Z989" t="s">
        <v>42</v>
      </c>
      <c r="AA989" t="s">
        <v>38</v>
      </c>
      <c r="AB989" t="s">
        <v>38</v>
      </c>
      <c r="AC989" t="s">
        <v>120</v>
      </c>
      <c r="AD989" t="s">
        <v>48</v>
      </c>
      <c r="AG989" t="str">
        <f>IF(AD989="United States", IFERROR(INDEX(Sheet2!$C:$C, MATCH(AE989&amp;AF989, Sheet2!$E:$E, 0)) &amp; ", " &amp; INDEX(Sheet2!$D:$D, MATCH(AE989&amp;AF989, Sheet2!$E:$E, 0)), ""), "-")</f>
        <v/>
      </c>
    </row>
    <row r="990" spans="1:33" x14ac:dyDescent="0.25">
      <c r="A990" t="s">
        <v>52</v>
      </c>
      <c r="B990" t="s">
        <v>1991</v>
      </c>
      <c r="C990" t="s">
        <v>1992</v>
      </c>
      <c r="D990" t="s">
        <v>1174</v>
      </c>
      <c r="E990" t="s">
        <v>1993</v>
      </c>
      <c r="F990">
        <v>1741</v>
      </c>
      <c r="G990">
        <v>851</v>
      </c>
      <c r="H990" t="s">
        <v>269</v>
      </c>
      <c r="I990" t="s">
        <v>80</v>
      </c>
      <c r="J990" t="s">
        <v>1994</v>
      </c>
      <c r="K990" t="s">
        <v>38</v>
      </c>
      <c r="L990" t="s">
        <v>38</v>
      </c>
      <c r="M990" t="s">
        <v>38</v>
      </c>
      <c r="N990" t="s">
        <v>38</v>
      </c>
      <c r="O990" t="s">
        <v>41</v>
      </c>
      <c r="P990" t="s">
        <v>42</v>
      </c>
      <c r="Q990" t="s">
        <v>43</v>
      </c>
      <c r="R990" t="s">
        <v>89</v>
      </c>
      <c r="S990" t="s">
        <v>38</v>
      </c>
      <c r="T990" t="s">
        <v>89</v>
      </c>
      <c r="U990" t="s">
        <v>301</v>
      </c>
      <c r="V990" t="s">
        <v>46</v>
      </c>
      <c r="W990" t="s">
        <v>92</v>
      </c>
      <c r="X990" t="s">
        <v>302</v>
      </c>
      <c r="Y990" t="s">
        <v>1995</v>
      </c>
      <c r="Z990" t="s">
        <v>42</v>
      </c>
      <c r="AA990" t="s">
        <v>38</v>
      </c>
      <c r="AB990" t="s">
        <v>38</v>
      </c>
      <c r="AC990" t="s">
        <v>593</v>
      </c>
      <c r="AD990" t="s">
        <v>48</v>
      </c>
      <c r="AG990" t="str">
        <f>IF(AD990="United States", IFERROR(INDEX(Sheet2!$C:$C, MATCH(AE990&amp;AF990, Sheet2!$E:$E, 0)) &amp; ", " &amp; INDEX(Sheet2!$D:$D, MATCH(AE990&amp;AF990, Sheet2!$E:$E, 0)), ""), "-")</f>
        <v/>
      </c>
    </row>
    <row r="991" spans="1:33" x14ac:dyDescent="0.25">
      <c r="A991" t="s">
        <v>52</v>
      </c>
      <c r="B991" t="s">
        <v>2011</v>
      </c>
      <c r="C991" t="s">
        <v>1992</v>
      </c>
      <c r="D991" t="s">
        <v>245</v>
      </c>
      <c r="E991" t="s">
        <v>38</v>
      </c>
      <c r="F991">
        <v>1743</v>
      </c>
      <c r="G991">
        <v>852</v>
      </c>
      <c r="H991" t="s">
        <v>634</v>
      </c>
      <c r="I991" t="s">
        <v>80</v>
      </c>
      <c r="J991" t="s">
        <v>1994</v>
      </c>
      <c r="K991" t="s">
        <v>38</v>
      </c>
      <c r="L991" t="s">
        <v>38</v>
      </c>
      <c r="M991" t="s">
        <v>38</v>
      </c>
      <c r="N991" t="s">
        <v>38</v>
      </c>
      <c r="O991" t="s">
        <v>57</v>
      </c>
      <c r="P991" t="s">
        <v>42</v>
      </c>
      <c r="Q991" t="s">
        <v>43</v>
      </c>
      <c r="R991" t="s">
        <v>89</v>
      </c>
      <c r="S991" t="s">
        <v>38</v>
      </c>
      <c r="T991" t="s">
        <v>89</v>
      </c>
      <c r="U991" t="s">
        <v>301</v>
      </c>
      <c r="V991" t="s">
        <v>46</v>
      </c>
      <c r="W991" t="s">
        <v>92</v>
      </c>
      <c r="X991" t="s">
        <v>302</v>
      </c>
      <c r="Y991" t="s">
        <v>1995</v>
      </c>
      <c r="Z991" t="s">
        <v>42</v>
      </c>
      <c r="AA991" t="s">
        <v>38</v>
      </c>
      <c r="AB991" t="s">
        <v>38</v>
      </c>
      <c r="AC991" t="s">
        <v>38</v>
      </c>
      <c r="AD991" t="s">
        <v>48</v>
      </c>
      <c r="AG991" t="str">
        <f>IF(AD991="United States", IFERROR(INDEX(Sheet2!$C:$C, MATCH(AE991&amp;AF991, Sheet2!$E:$E, 0)) &amp; ", " &amp; INDEX(Sheet2!$D:$D, MATCH(AE991&amp;AF991, Sheet2!$E:$E, 0)), ""), "-")</f>
        <v/>
      </c>
    </row>
    <row r="992" spans="1:33" x14ac:dyDescent="0.25">
      <c r="A992" t="s">
        <v>52</v>
      </c>
      <c r="B992" t="s">
        <v>2014</v>
      </c>
      <c r="C992" t="s">
        <v>1983</v>
      </c>
      <c r="D992" t="s">
        <v>927</v>
      </c>
      <c r="E992" t="s">
        <v>37</v>
      </c>
      <c r="F992">
        <v>1767</v>
      </c>
      <c r="G992">
        <v>1950</v>
      </c>
      <c r="H992" t="s">
        <v>398</v>
      </c>
      <c r="I992" t="s">
        <v>80</v>
      </c>
      <c r="J992" t="s">
        <v>1897</v>
      </c>
      <c r="K992" t="s">
        <v>38</v>
      </c>
      <c r="L992" t="s">
        <v>38</v>
      </c>
      <c r="M992" t="s">
        <v>38</v>
      </c>
      <c r="N992" t="s">
        <v>38</v>
      </c>
      <c r="O992" t="s">
        <v>54</v>
      </c>
      <c r="P992" t="s">
        <v>42</v>
      </c>
      <c r="Q992" t="s">
        <v>43</v>
      </c>
      <c r="R992" t="s">
        <v>89</v>
      </c>
      <c r="S992" t="s">
        <v>45</v>
      </c>
      <c r="T992" t="s">
        <v>89</v>
      </c>
      <c r="U992" t="s">
        <v>301</v>
      </c>
      <c r="V992" t="s">
        <v>91</v>
      </c>
      <c r="W992" t="s">
        <v>92</v>
      </c>
      <c r="X992" t="s">
        <v>302</v>
      </c>
      <c r="Y992" t="s">
        <v>1999</v>
      </c>
      <c r="Z992" t="s">
        <v>42</v>
      </c>
      <c r="AA992" t="s">
        <v>878</v>
      </c>
      <c r="AB992" t="s">
        <v>38</v>
      </c>
      <c r="AC992" t="s">
        <v>45</v>
      </c>
      <c r="AD992" t="s">
        <v>48</v>
      </c>
      <c r="AG992" t="str">
        <f>IF(AD992="United States", IFERROR(INDEX(Sheet2!$C:$C, MATCH(AE992&amp;AF992, Sheet2!$E:$E, 0)) &amp; ", " &amp; INDEX(Sheet2!$D:$D, MATCH(AE992&amp;AF992, Sheet2!$E:$E, 0)), ""), "-")</f>
        <v/>
      </c>
    </row>
    <row r="993" spans="1:33" x14ac:dyDescent="0.25">
      <c r="A993" t="s">
        <v>52</v>
      </c>
      <c r="B993" t="s">
        <v>2015</v>
      </c>
      <c r="C993" t="s">
        <v>1972</v>
      </c>
      <c r="D993" t="s">
        <v>2016</v>
      </c>
      <c r="E993" t="s">
        <v>2017</v>
      </c>
      <c r="F993">
        <v>1743</v>
      </c>
      <c r="G993">
        <v>2465</v>
      </c>
      <c r="H993" t="s">
        <v>536</v>
      </c>
      <c r="I993" t="s">
        <v>87</v>
      </c>
      <c r="J993" t="s">
        <v>38</v>
      </c>
      <c r="K993" t="s">
        <v>38</v>
      </c>
      <c r="L993" t="s">
        <v>38</v>
      </c>
      <c r="M993" t="s">
        <v>38</v>
      </c>
      <c r="N993" t="s">
        <v>38</v>
      </c>
      <c r="O993" t="s">
        <v>41</v>
      </c>
      <c r="P993" t="s">
        <v>42</v>
      </c>
      <c r="Q993" t="s">
        <v>43</v>
      </c>
      <c r="R993" t="s">
        <v>89</v>
      </c>
      <c r="S993" t="s">
        <v>38</v>
      </c>
      <c r="T993" t="s">
        <v>89</v>
      </c>
      <c r="U993" t="s">
        <v>301</v>
      </c>
      <c r="V993" t="s">
        <v>38</v>
      </c>
      <c r="W993" t="s">
        <v>92</v>
      </c>
      <c r="X993" t="s">
        <v>302</v>
      </c>
      <c r="Y993" t="s">
        <v>2018</v>
      </c>
      <c r="Z993" t="s">
        <v>42</v>
      </c>
      <c r="AA993" t="s">
        <v>38</v>
      </c>
      <c r="AB993" t="s">
        <v>38</v>
      </c>
      <c r="AC993" t="s">
        <v>850</v>
      </c>
      <c r="AD993" t="s">
        <v>48</v>
      </c>
      <c r="AG993" t="str">
        <f>IF(AD993="United States", IFERROR(INDEX(Sheet2!$C:$C, MATCH(AE993&amp;AF993, Sheet2!$E:$E, 0)) &amp; ", " &amp; INDEX(Sheet2!$D:$D, MATCH(AE993&amp;AF993, Sheet2!$E:$E, 0)), ""), "-")</f>
        <v/>
      </c>
    </row>
    <row r="994" spans="1:33" x14ac:dyDescent="0.25">
      <c r="A994" t="s">
        <v>52</v>
      </c>
      <c r="B994" t="s">
        <v>2019</v>
      </c>
      <c r="C994" t="s">
        <v>2020</v>
      </c>
      <c r="D994" t="s">
        <v>334</v>
      </c>
      <c r="E994" t="s">
        <v>1334</v>
      </c>
      <c r="F994">
        <v>1750</v>
      </c>
      <c r="G994">
        <v>799</v>
      </c>
      <c r="H994" t="s">
        <v>269</v>
      </c>
      <c r="I994" t="s">
        <v>39</v>
      </c>
      <c r="J994" t="s">
        <v>1994</v>
      </c>
      <c r="K994" t="s">
        <v>38</v>
      </c>
      <c r="L994" t="s">
        <v>38</v>
      </c>
      <c r="M994" t="s">
        <v>834</v>
      </c>
      <c r="N994" t="s">
        <v>1334</v>
      </c>
      <c r="O994" t="s">
        <v>41</v>
      </c>
      <c r="P994" t="s">
        <v>42</v>
      </c>
      <c r="Q994" t="s">
        <v>43</v>
      </c>
      <c r="R994" t="s">
        <v>89</v>
      </c>
      <c r="S994" t="s">
        <v>201</v>
      </c>
      <c r="T994" t="s">
        <v>89</v>
      </c>
      <c r="U994" t="s">
        <v>301</v>
      </c>
      <c r="V994" t="s">
        <v>270</v>
      </c>
      <c r="W994" t="s">
        <v>92</v>
      </c>
      <c r="X994" t="s">
        <v>302</v>
      </c>
      <c r="Y994" t="s">
        <v>2021</v>
      </c>
      <c r="Z994" t="s">
        <v>42</v>
      </c>
      <c r="AA994" t="s">
        <v>38</v>
      </c>
      <c r="AB994" t="s">
        <v>38</v>
      </c>
      <c r="AC994" t="s">
        <v>201</v>
      </c>
      <c r="AD994" t="s">
        <v>48</v>
      </c>
      <c r="AG994" t="str">
        <f>IF(AD994="United States", IFERROR(INDEX(Sheet2!$C:$C, MATCH(AE994&amp;AF994, Sheet2!$E:$E, 0)) &amp; ", " &amp; INDEX(Sheet2!$D:$D, MATCH(AE994&amp;AF994, Sheet2!$E:$E, 0)), ""), "-")</f>
        <v/>
      </c>
    </row>
    <row r="995" spans="1:33" x14ac:dyDescent="0.25">
      <c r="A995" t="s">
        <v>52</v>
      </c>
      <c r="B995" t="s">
        <v>2022</v>
      </c>
      <c r="C995" t="s">
        <v>1972</v>
      </c>
      <c r="D995" t="s">
        <v>334</v>
      </c>
      <c r="E995" t="s">
        <v>807</v>
      </c>
      <c r="F995">
        <v>1736</v>
      </c>
      <c r="G995">
        <v>2467</v>
      </c>
      <c r="H995" t="s">
        <v>269</v>
      </c>
      <c r="I995" t="s">
        <v>87</v>
      </c>
      <c r="J995" t="s">
        <v>38</v>
      </c>
      <c r="K995" t="s">
        <v>38</v>
      </c>
      <c r="L995" t="s">
        <v>38</v>
      </c>
      <c r="M995" t="s">
        <v>38</v>
      </c>
      <c r="N995" t="s">
        <v>38</v>
      </c>
      <c r="O995" t="s">
        <v>41</v>
      </c>
      <c r="P995" t="s">
        <v>42</v>
      </c>
      <c r="Q995" t="s">
        <v>43</v>
      </c>
      <c r="R995" t="s">
        <v>89</v>
      </c>
      <c r="S995" t="s">
        <v>45</v>
      </c>
      <c r="T995" t="s">
        <v>89</v>
      </c>
      <c r="U995" t="s">
        <v>301</v>
      </c>
      <c r="V995" t="s">
        <v>38</v>
      </c>
      <c r="W995" t="s">
        <v>92</v>
      </c>
      <c r="X995" t="s">
        <v>302</v>
      </c>
      <c r="Y995" t="s">
        <v>2023</v>
      </c>
      <c r="Z995" t="s">
        <v>42</v>
      </c>
      <c r="AA995" t="s">
        <v>38</v>
      </c>
      <c r="AB995" t="s">
        <v>38</v>
      </c>
      <c r="AC995" t="s">
        <v>45</v>
      </c>
      <c r="AD995" t="s">
        <v>48</v>
      </c>
      <c r="AG995" t="str">
        <f>IF(AD995="United States", IFERROR(INDEX(Sheet2!$C:$C, MATCH(AE995&amp;AF995, Sheet2!$E:$E, 0)) &amp; ", " &amp; INDEX(Sheet2!$D:$D, MATCH(AE995&amp;AF995, Sheet2!$E:$E, 0)), ""), "-")</f>
        <v/>
      </c>
    </row>
    <row r="996" spans="1:33" x14ac:dyDescent="0.25">
      <c r="A996" t="s">
        <v>52</v>
      </c>
      <c r="D996" t="s">
        <v>2024</v>
      </c>
      <c r="E996" t="s">
        <v>2025</v>
      </c>
      <c r="F996">
        <v>1753</v>
      </c>
      <c r="G996">
        <v>407</v>
      </c>
      <c r="H996">
        <v>26</v>
      </c>
      <c r="J996" t="s">
        <v>2026</v>
      </c>
      <c r="O996" t="s">
        <v>41</v>
      </c>
      <c r="R996" t="s">
        <v>89</v>
      </c>
      <c r="T996" t="s">
        <v>89</v>
      </c>
      <c r="U996" t="s">
        <v>301</v>
      </c>
      <c r="V996" t="s">
        <v>137</v>
      </c>
      <c r="W996" t="s">
        <v>92</v>
      </c>
      <c r="X996" t="s">
        <v>302</v>
      </c>
      <c r="Y996" t="s">
        <v>38</v>
      </c>
      <c r="AA996" t="s">
        <v>38</v>
      </c>
      <c r="AB996" t="s">
        <v>38</v>
      </c>
      <c r="AC996" t="s">
        <v>38</v>
      </c>
      <c r="AD996" t="s">
        <v>48</v>
      </c>
      <c r="AG996" t="str">
        <f>IF(AD996="United States", IFERROR(INDEX(Sheet2!$C:$C, MATCH(AE996&amp;AF996, Sheet2!$E:$E, 0)) &amp; ", " &amp; INDEX(Sheet2!$D:$D, MATCH(AE996&amp;AF996, Sheet2!$E:$E, 0)), ""), "-")</f>
        <v/>
      </c>
    </row>
    <row r="997" spans="1:33" x14ac:dyDescent="0.25">
      <c r="A997" t="s">
        <v>52</v>
      </c>
      <c r="B997" t="s">
        <v>2027</v>
      </c>
      <c r="C997" t="s">
        <v>2020</v>
      </c>
      <c r="D997" t="s">
        <v>113</v>
      </c>
      <c r="E997" t="s">
        <v>2028</v>
      </c>
      <c r="F997">
        <v>1761</v>
      </c>
      <c r="G997">
        <v>794</v>
      </c>
      <c r="H997" t="s">
        <v>269</v>
      </c>
      <c r="I997" t="s">
        <v>39</v>
      </c>
      <c r="J997" t="s">
        <v>1994</v>
      </c>
      <c r="K997" t="s">
        <v>38</v>
      </c>
      <c r="L997" t="s">
        <v>38</v>
      </c>
      <c r="M997" t="s">
        <v>38</v>
      </c>
      <c r="N997" t="s">
        <v>38</v>
      </c>
      <c r="O997" t="s">
        <v>41</v>
      </c>
      <c r="P997" t="s">
        <v>42</v>
      </c>
      <c r="Q997" t="s">
        <v>43</v>
      </c>
      <c r="R997" t="s">
        <v>89</v>
      </c>
      <c r="S997" t="s">
        <v>45</v>
      </c>
      <c r="T997" t="s">
        <v>89</v>
      </c>
      <c r="U997" t="s">
        <v>301</v>
      </c>
      <c r="V997" t="s">
        <v>270</v>
      </c>
      <c r="W997" t="s">
        <v>92</v>
      </c>
      <c r="X997" t="s">
        <v>302</v>
      </c>
      <c r="Y997" t="s">
        <v>2029</v>
      </c>
      <c r="Z997" t="s">
        <v>42</v>
      </c>
      <c r="AA997" t="s">
        <v>241</v>
      </c>
      <c r="AB997" t="s">
        <v>45</v>
      </c>
      <c r="AC997" t="s">
        <v>89</v>
      </c>
      <c r="AD997" t="s">
        <v>48</v>
      </c>
      <c r="AG997" t="str">
        <f>IF(AD997="United States", IFERROR(INDEX(Sheet2!$C:$C, MATCH(AE997&amp;AF997, Sheet2!$E:$E, 0)) &amp; ", " &amp; INDEX(Sheet2!$D:$D, MATCH(AE997&amp;AF997, Sheet2!$E:$E, 0)), ""), "-")</f>
        <v/>
      </c>
    </row>
    <row r="998" spans="1:33" x14ac:dyDescent="0.25">
      <c r="A998" t="s">
        <v>52</v>
      </c>
      <c r="B998" t="s">
        <v>2030</v>
      </c>
      <c r="C998" t="s">
        <v>2020</v>
      </c>
      <c r="D998" t="s">
        <v>2031</v>
      </c>
      <c r="E998" t="s">
        <v>2032</v>
      </c>
      <c r="F998">
        <v>1761</v>
      </c>
      <c r="G998">
        <v>795</v>
      </c>
      <c r="H998" t="s">
        <v>269</v>
      </c>
      <c r="I998" t="s">
        <v>39</v>
      </c>
      <c r="J998" t="s">
        <v>1994</v>
      </c>
      <c r="K998" t="s">
        <v>38</v>
      </c>
      <c r="L998" t="s">
        <v>38</v>
      </c>
      <c r="M998" t="s">
        <v>38</v>
      </c>
      <c r="N998" t="s">
        <v>38</v>
      </c>
      <c r="O998" t="s">
        <v>57</v>
      </c>
      <c r="P998" t="s">
        <v>42</v>
      </c>
      <c r="Q998" t="s">
        <v>43</v>
      </c>
      <c r="R998" t="s">
        <v>89</v>
      </c>
      <c r="S998" t="s">
        <v>45</v>
      </c>
      <c r="T998" t="s">
        <v>89</v>
      </c>
      <c r="U998" t="s">
        <v>301</v>
      </c>
      <c r="V998" t="s">
        <v>270</v>
      </c>
      <c r="W998" t="s">
        <v>92</v>
      </c>
      <c r="X998" t="s">
        <v>302</v>
      </c>
      <c r="Y998" t="s">
        <v>2029</v>
      </c>
      <c r="Z998" t="s">
        <v>42</v>
      </c>
      <c r="AA998" t="s">
        <v>241</v>
      </c>
      <c r="AB998" t="s">
        <v>38</v>
      </c>
      <c r="AC998" t="s">
        <v>45</v>
      </c>
      <c r="AD998" t="s">
        <v>48</v>
      </c>
      <c r="AG998" t="str">
        <f>IF(AD998="United States", IFERROR(INDEX(Sheet2!$C:$C, MATCH(AE998&amp;AF998, Sheet2!$E:$E, 0)) &amp; ", " &amp; INDEX(Sheet2!$D:$D, MATCH(AE998&amp;AF998, Sheet2!$E:$E, 0)), ""), "-")</f>
        <v/>
      </c>
    </row>
    <row r="999" spans="1:33" x14ac:dyDescent="0.25">
      <c r="A999" t="s">
        <v>52</v>
      </c>
      <c r="B999" t="s">
        <v>2033</v>
      </c>
      <c r="C999" t="s">
        <v>2020</v>
      </c>
      <c r="D999" t="s">
        <v>1174</v>
      </c>
      <c r="E999" t="s">
        <v>2034</v>
      </c>
      <c r="F999">
        <v>1782</v>
      </c>
      <c r="G999">
        <v>796</v>
      </c>
      <c r="H999" t="s">
        <v>269</v>
      </c>
      <c r="I999" t="s">
        <v>39</v>
      </c>
      <c r="J999" t="s">
        <v>1994</v>
      </c>
      <c r="K999" t="s">
        <v>38</v>
      </c>
      <c r="L999" t="s">
        <v>38</v>
      </c>
      <c r="M999" t="s">
        <v>38</v>
      </c>
      <c r="N999" t="s">
        <v>38</v>
      </c>
      <c r="O999" t="s">
        <v>54</v>
      </c>
      <c r="P999" t="s">
        <v>42</v>
      </c>
      <c r="Q999" t="s">
        <v>43</v>
      </c>
      <c r="R999" t="s">
        <v>89</v>
      </c>
      <c r="S999" t="s">
        <v>38</v>
      </c>
      <c r="T999" t="s">
        <v>89</v>
      </c>
      <c r="U999" t="s">
        <v>301</v>
      </c>
      <c r="V999" t="s">
        <v>270</v>
      </c>
      <c r="W999" t="s">
        <v>92</v>
      </c>
      <c r="X999" t="s">
        <v>302</v>
      </c>
      <c r="Y999" t="s">
        <v>38</v>
      </c>
      <c r="Z999" t="s">
        <v>42</v>
      </c>
      <c r="AA999" t="s">
        <v>38</v>
      </c>
      <c r="AB999" t="s">
        <v>38</v>
      </c>
      <c r="AC999" t="s">
        <v>38</v>
      </c>
      <c r="AD999" t="s">
        <v>48</v>
      </c>
      <c r="AG999" t="str">
        <f>IF(AD999="United States", IFERROR(INDEX(Sheet2!$C:$C, MATCH(AE999&amp;AF999, Sheet2!$E:$E, 0)) &amp; ", " &amp; INDEX(Sheet2!$D:$D, MATCH(AE999&amp;AF999, Sheet2!$E:$E, 0)), ""), "-")</f>
        <v/>
      </c>
    </row>
    <row r="1000" spans="1:33" x14ac:dyDescent="0.25">
      <c r="A1000" t="s">
        <v>52</v>
      </c>
      <c r="B1000" t="s">
        <v>2035</v>
      </c>
      <c r="C1000" t="s">
        <v>2020</v>
      </c>
      <c r="D1000" t="s">
        <v>1174</v>
      </c>
      <c r="E1000" t="s">
        <v>1673</v>
      </c>
      <c r="F1000">
        <v>1765</v>
      </c>
      <c r="G1000">
        <v>797</v>
      </c>
      <c r="H1000" t="s">
        <v>269</v>
      </c>
      <c r="I1000" t="s">
        <v>39</v>
      </c>
      <c r="J1000" t="s">
        <v>1994</v>
      </c>
      <c r="K1000" t="s">
        <v>38</v>
      </c>
      <c r="L1000" t="s">
        <v>38</v>
      </c>
      <c r="M1000" t="s">
        <v>2031</v>
      </c>
      <c r="N1000" t="s">
        <v>2032</v>
      </c>
      <c r="O1000" t="s">
        <v>54</v>
      </c>
      <c r="P1000" t="s">
        <v>42</v>
      </c>
      <c r="Q1000" t="s">
        <v>43</v>
      </c>
      <c r="R1000" t="s">
        <v>89</v>
      </c>
      <c r="S1000" t="s">
        <v>38</v>
      </c>
      <c r="T1000" t="s">
        <v>89</v>
      </c>
      <c r="U1000" t="s">
        <v>301</v>
      </c>
      <c r="V1000" t="s">
        <v>270</v>
      </c>
      <c r="W1000" t="s">
        <v>92</v>
      </c>
      <c r="X1000" t="s">
        <v>302</v>
      </c>
      <c r="Y1000" t="s">
        <v>2021</v>
      </c>
      <c r="Z1000" t="s">
        <v>42</v>
      </c>
      <c r="AA1000" t="s">
        <v>38</v>
      </c>
      <c r="AB1000" t="s">
        <v>38</v>
      </c>
      <c r="AC1000" t="s">
        <v>2036</v>
      </c>
      <c r="AD1000" t="s">
        <v>48</v>
      </c>
      <c r="AG1000" t="str">
        <f>IF(AD1000="United States", IFERROR(INDEX(Sheet2!$C:$C, MATCH(AE1000&amp;AF1000, Sheet2!$E:$E, 0)) &amp; ", " &amp; INDEX(Sheet2!$D:$D, MATCH(AE1000&amp;AF1000, Sheet2!$E:$E, 0)), ""), "-")</f>
        <v/>
      </c>
    </row>
    <row r="1001" spans="1:33" x14ac:dyDescent="0.25">
      <c r="A1001" t="s">
        <v>52</v>
      </c>
      <c r="B1001" t="s">
        <v>2037</v>
      </c>
      <c r="C1001" t="s">
        <v>2020</v>
      </c>
      <c r="D1001" t="s">
        <v>834</v>
      </c>
      <c r="E1001" t="s">
        <v>1334</v>
      </c>
      <c r="F1001">
        <v>1747</v>
      </c>
      <c r="G1001">
        <v>798</v>
      </c>
      <c r="H1001" t="s">
        <v>1979</v>
      </c>
      <c r="I1001" t="s">
        <v>39</v>
      </c>
      <c r="J1001" t="s">
        <v>1994</v>
      </c>
      <c r="K1001" t="s">
        <v>38</v>
      </c>
      <c r="L1001" t="s">
        <v>38</v>
      </c>
      <c r="M1001" t="s">
        <v>2031</v>
      </c>
      <c r="N1001" t="s">
        <v>2032</v>
      </c>
      <c r="O1001" t="s">
        <v>57</v>
      </c>
      <c r="P1001" t="s">
        <v>42</v>
      </c>
      <c r="Q1001" t="s">
        <v>43</v>
      </c>
      <c r="R1001" t="s">
        <v>89</v>
      </c>
      <c r="S1001" t="s">
        <v>38</v>
      </c>
      <c r="T1001" t="s">
        <v>89</v>
      </c>
      <c r="U1001" t="s">
        <v>301</v>
      </c>
      <c r="V1001" t="s">
        <v>270</v>
      </c>
      <c r="W1001" t="s">
        <v>92</v>
      </c>
      <c r="X1001" t="s">
        <v>302</v>
      </c>
      <c r="Y1001" t="s">
        <v>2021</v>
      </c>
      <c r="Z1001" t="s">
        <v>42</v>
      </c>
      <c r="AA1001" t="s">
        <v>38</v>
      </c>
      <c r="AB1001" t="s">
        <v>38</v>
      </c>
      <c r="AC1001" t="s">
        <v>2036</v>
      </c>
      <c r="AD1001" t="s">
        <v>48</v>
      </c>
      <c r="AG1001" t="str">
        <f>IF(AD1001="United States", IFERROR(INDEX(Sheet2!$C:$C, MATCH(AE1001&amp;AF1001, Sheet2!$E:$E, 0)) &amp; ", " &amp; INDEX(Sheet2!$D:$D, MATCH(AE1001&amp;AF1001, Sheet2!$E:$E, 0)), ""), "-")</f>
        <v/>
      </c>
    </row>
    <row r="1002" spans="1:33" x14ac:dyDescent="0.25">
      <c r="A1002" t="s">
        <v>52</v>
      </c>
      <c r="B1002" t="s">
        <v>2009</v>
      </c>
      <c r="C1002" t="s">
        <v>1992</v>
      </c>
      <c r="D1002" t="s">
        <v>1491</v>
      </c>
      <c r="E1002" t="s">
        <v>38</v>
      </c>
      <c r="F1002">
        <v>1776</v>
      </c>
      <c r="G1002">
        <v>853</v>
      </c>
      <c r="H1002" t="s">
        <v>634</v>
      </c>
      <c r="I1002" t="s">
        <v>80</v>
      </c>
      <c r="J1002" t="s">
        <v>1994</v>
      </c>
      <c r="K1002" t="s">
        <v>38</v>
      </c>
      <c r="L1002" t="s">
        <v>38</v>
      </c>
      <c r="M1002" t="s">
        <v>38</v>
      </c>
      <c r="N1002" t="s">
        <v>38</v>
      </c>
      <c r="O1002" t="s">
        <v>54</v>
      </c>
      <c r="P1002" t="s">
        <v>42</v>
      </c>
      <c r="Q1002" t="s">
        <v>43</v>
      </c>
      <c r="R1002" t="s">
        <v>89</v>
      </c>
      <c r="S1002" t="s">
        <v>38</v>
      </c>
      <c r="T1002" t="s">
        <v>89</v>
      </c>
      <c r="U1002" t="s">
        <v>301</v>
      </c>
      <c r="V1002" t="s">
        <v>46</v>
      </c>
      <c r="W1002" t="s">
        <v>92</v>
      </c>
      <c r="X1002" t="s">
        <v>302</v>
      </c>
      <c r="Y1002" t="s">
        <v>2010</v>
      </c>
      <c r="Z1002" t="s">
        <v>42</v>
      </c>
      <c r="AA1002" t="s">
        <v>38</v>
      </c>
      <c r="AB1002" t="s">
        <v>38</v>
      </c>
      <c r="AC1002" t="s">
        <v>38</v>
      </c>
      <c r="AD1002" t="s">
        <v>48</v>
      </c>
      <c r="AG1002" t="str">
        <f>IF(AD1002="United States", IFERROR(INDEX(Sheet2!$C:$C, MATCH(AE1002&amp;AF1002, Sheet2!$E:$E, 0)) &amp; ", " &amp; INDEX(Sheet2!$D:$D, MATCH(AE1002&amp;AF1002, Sheet2!$E:$E, 0)), ""), "-")</f>
        <v/>
      </c>
    </row>
    <row r="1003" spans="1:33" x14ac:dyDescent="0.25">
      <c r="A1003" t="s">
        <v>52</v>
      </c>
      <c r="B1003" t="s">
        <v>2038</v>
      </c>
      <c r="C1003" t="s">
        <v>2020</v>
      </c>
      <c r="D1003" t="s">
        <v>1168</v>
      </c>
      <c r="E1003" t="s">
        <v>1387</v>
      </c>
      <c r="F1003">
        <v>1756</v>
      </c>
      <c r="G1003">
        <v>800</v>
      </c>
      <c r="H1003" t="s">
        <v>269</v>
      </c>
      <c r="I1003" t="s">
        <v>39</v>
      </c>
      <c r="J1003" t="s">
        <v>1994</v>
      </c>
      <c r="K1003" t="s">
        <v>38</v>
      </c>
      <c r="L1003" t="s">
        <v>38</v>
      </c>
      <c r="M1003" t="s">
        <v>38</v>
      </c>
      <c r="N1003" t="s">
        <v>38</v>
      </c>
      <c r="O1003" t="s">
        <v>57</v>
      </c>
      <c r="P1003" t="s">
        <v>42</v>
      </c>
      <c r="Q1003" t="s">
        <v>43</v>
      </c>
      <c r="R1003" t="s">
        <v>89</v>
      </c>
      <c r="S1003" t="s">
        <v>38</v>
      </c>
      <c r="T1003" t="s">
        <v>89</v>
      </c>
      <c r="U1003" t="s">
        <v>301</v>
      </c>
      <c r="V1003" t="s">
        <v>270</v>
      </c>
      <c r="W1003" t="s">
        <v>92</v>
      </c>
      <c r="X1003" t="s">
        <v>302</v>
      </c>
      <c r="Y1003" t="s">
        <v>2039</v>
      </c>
      <c r="Z1003" t="s">
        <v>42</v>
      </c>
      <c r="AA1003" t="s">
        <v>38</v>
      </c>
      <c r="AB1003" t="s">
        <v>38</v>
      </c>
      <c r="AC1003" t="s">
        <v>233</v>
      </c>
      <c r="AD1003" t="s">
        <v>48</v>
      </c>
      <c r="AG1003" t="str">
        <f>IF(AD1003="United States", IFERROR(INDEX(Sheet2!$C:$C, MATCH(AE1003&amp;AF1003, Sheet2!$E:$E, 0)) &amp; ", " &amp; INDEX(Sheet2!$D:$D, MATCH(AE1003&amp;AF1003, Sheet2!$E:$E, 0)), ""), "-")</f>
        <v/>
      </c>
    </row>
    <row r="1004" spans="1:33" x14ac:dyDescent="0.25">
      <c r="A1004" t="s">
        <v>52</v>
      </c>
      <c r="B1004" t="s">
        <v>2040</v>
      </c>
      <c r="C1004" t="s">
        <v>2020</v>
      </c>
      <c r="D1004" t="s">
        <v>2041</v>
      </c>
      <c r="E1004" t="s">
        <v>1387</v>
      </c>
      <c r="F1004">
        <v>1782</v>
      </c>
      <c r="G1004">
        <v>801</v>
      </c>
      <c r="H1004" t="s">
        <v>269</v>
      </c>
      <c r="I1004" t="s">
        <v>39</v>
      </c>
      <c r="J1004" t="s">
        <v>1994</v>
      </c>
      <c r="K1004" t="s">
        <v>38</v>
      </c>
      <c r="L1004" t="s">
        <v>38</v>
      </c>
      <c r="M1004" t="s">
        <v>38</v>
      </c>
      <c r="N1004" t="s">
        <v>38</v>
      </c>
      <c r="O1004" t="s">
        <v>54</v>
      </c>
      <c r="P1004" t="s">
        <v>42</v>
      </c>
      <c r="Q1004" t="s">
        <v>43</v>
      </c>
      <c r="R1004" t="s">
        <v>89</v>
      </c>
      <c r="S1004" t="s">
        <v>38</v>
      </c>
      <c r="T1004" t="s">
        <v>89</v>
      </c>
      <c r="U1004" t="s">
        <v>301</v>
      </c>
      <c r="V1004" t="s">
        <v>270</v>
      </c>
      <c r="W1004" t="s">
        <v>92</v>
      </c>
      <c r="X1004" t="s">
        <v>302</v>
      </c>
      <c r="Y1004" t="s">
        <v>38</v>
      </c>
      <c r="Z1004" t="s">
        <v>42</v>
      </c>
      <c r="AA1004" t="s">
        <v>38</v>
      </c>
      <c r="AB1004" t="s">
        <v>38</v>
      </c>
      <c r="AC1004" t="s">
        <v>38</v>
      </c>
      <c r="AD1004" t="s">
        <v>48</v>
      </c>
      <c r="AG1004" t="str">
        <f>IF(AD1004="United States", IFERROR(INDEX(Sheet2!$C:$C, MATCH(AE1004&amp;AF1004, Sheet2!$E:$E, 0)) &amp; ", " &amp; INDEX(Sheet2!$D:$D, MATCH(AE1004&amp;AF1004, Sheet2!$E:$E, 0)), ""), "-")</f>
        <v/>
      </c>
    </row>
    <row r="1005" spans="1:33" x14ac:dyDescent="0.25">
      <c r="A1005" t="s">
        <v>52</v>
      </c>
      <c r="B1005" t="s">
        <v>2042</v>
      </c>
      <c r="C1005" t="s">
        <v>1983</v>
      </c>
      <c r="D1005" t="s">
        <v>1238</v>
      </c>
      <c r="E1005" t="s">
        <v>38</v>
      </c>
      <c r="F1005">
        <v>1776</v>
      </c>
      <c r="G1005">
        <v>1954</v>
      </c>
      <c r="H1005" t="s">
        <v>398</v>
      </c>
      <c r="I1005" t="s">
        <v>80</v>
      </c>
      <c r="J1005" t="s">
        <v>1897</v>
      </c>
      <c r="K1005" t="s">
        <v>38</v>
      </c>
      <c r="L1005" t="s">
        <v>38</v>
      </c>
      <c r="M1005" t="s">
        <v>38</v>
      </c>
      <c r="N1005" t="s">
        <v>38</v>
      </c>
      <c r="O1005" t="s">
        <v>54</v>
      </c>
      <c r="P1005" t="s">
        <v>42</v>
      </c>
      <c r="Q1005" t="s">
        <v>43</v>
      </c>
      <c r="R1005" t="s">
        <v>89</v>
      </c>
      <c r="S1005" t="s">
        <v>38</v>
      </c>
      <c r="T1005" t="s">
        <v>89</v>
      </c>
      <c r="U1005" t="s">
        <v>301</v>
      </c>
      <c r="V1005" t="s">
        <v>91</v>
      </c>
      <c r="W1005" t="s">
        <v>92</v>
      </c>
      <c r="X1005" t="s">
        <v>302</v>
      </c>
      <c r="Y1005" t="s">
        <v>1987</v>
      </c>
      <c r="Z1005" t="s">
        <v>42</v>
      </c>
      <c r="AA1005" t="s">
        <v>38</v>
      </c>
      <c r="AB1005" t="s">
        <v>38</v>
      </c>
      <c r="AC1005" t="s">
        <v>1238</v>
      </c>
      <c r="AD1005" t="s">
        <v>48</v>
      </c>
      <c r="AG1005" t="str">
        <f>IF(AD1005="United States", IFERROR(INDEX(Sheet2!$C:$C, MATCH(AE1005&amp;AF1005, Sheet2!$E:$E, 0)) &amp; ", " &amp; INDEX(Sheet2!$D:$D, MATCH(AE1005&amp;AF1005, Sheet2!$E:$E, 0)), ""), "-")</f>
        <v/>
      </c>
    </row>
    <row r="1006" spans="1:33" x14ac:dyDescent="0.25">
      <c r="A1006" t="s">
        <v>52</v>
      </c>
      <c r="B1006" t="s">
        <v>2043</v>
      </c>
      <c r="C1006" t="s">
        <v>1972</v>
      </c>
      <c r="D1006" t="s">
        <v>210</v>
      </c>
      <c r="E1006" t="s">
        <v>2044</v>
      </c>
      <c r="F1006">
        <v>1748</v>
      </c>
      <c r="G1006">
        <v>2473</v>
      </c>
      <c r="H1006" t="s">
        <v>1979</v>
      </c>
      <c r="I1006" t="s">
        <v>87</v>
      </c>
      <c r="J1006" t="s">
        <v>38</v>
      </c>
      <c r="K1006" t="s">
        <v>38</v>
      </c>
      <c r="L1006" t="s">
        <v>38</v>
      </c>
      <c r="M1006" t="s">
        <v>38</v>
      </c>
      <c r="N1006" t="s">
        <v>38</v>
      </c>
      <c r="O1006" t="s">
        <v>41</v>
      </c>
      <c r="P1006" t="s">
        <v>42</v>
      </c>
      <c r="Q1006" t="s">
        <v>43</v>
      </c>
      <c r="R1006" t="s">
        <v>89</v>
      </c>
      <c r="S1006" t="s">
        <v>38</v>
      </c>
      <c r="T1006" t="s">
        <v>89</v>
      </c>
      <c r="U1006" t="s">
        <v>301</v>
      </c>
      <c r="V1006" t="s">
        <v>38</v>
      </c>
      <c r="W1006" t="s">
        <v>92</v>
      </c>
      <c r="X1006" t="s">
        <v>302</v>
      </c>
      <c r="Y1006" t="s">
        <v>2045</v>
      </c>
      <c r="Z1006" t="s">
        <v>42</v>
      </c>
      <c r="AA1006" t="s">
        <v>38</v>
      </c>
      <c r="AB1006" t="s">
        <v>38</v>
      </c>
      <c r="AC1006" t="s">
        <v>637</v>
      </c>
      <c r="AD1006" t="s">
        <v>48</v>
      </c>
      <c r="AG1006" t="str">
        <f>IF(AD1006="United States", IFERROR(INDEX(Sheet2!$C:$C, MATCH(AE1006&amp;AF1006, Sheet2!$E:$E, 0)) &amp; ", " &amp; INDEX(Sheet2!$D:$D, MATCH(AE1006&amp;AF1006, Sheet2!$E:$E, 0)), ""), "-")</f>
        <v/>
      </c>
    </row>
    <row r="1007" spans="1:33" x14ac:dyDescent="0.25">
      <c r="A1007" t="s">
        <v>52</v>
      </c>
      <c r="B1007" t="s">
        <v>2046</v>
      </c>
      <c r="C1007" t="s">
        <v>1972</v>
      </c>
      <c r="D1007" t="s">
        <v>132</v>
      </c>
      <c r="E1007" t="s">
        <v>2047</v>
      </c>
      <c r="F1007">
        <v>1762</v>
      </c>
      <c r="G1007">
        <v>2472</v>
      </c>
      <c r="H1007" t="s">
        <v>1979</v>
      </c>
      <c r="I1007" t="s">
        <v>87</v>
      </c>
      <c r="J1007" t="s">
        <v>38</v>
      </c>
      <c r="K1007" t="s">
        <v>38</v>
      </c>
      <c r="L1007" t="s">
        <v>38</v>
      </c>
      <c r="M1007" t="s">
        <v>38</v>
      </c>
      <c r="N1007" t="s">
        <v>38</v>
      </c>
      <c r="O1007" t="s">
        <v>41</v>
      </c>
      <c r="P1007" t="s">
        <v>42</v>
      </c>
      <c r="Q1007" t="s">
        <v>43</v>
      </c>
      <c r="R1007" t="s">
        <v>89</v>
      </c>
      <c r="S1007" t="s">
        <v>38</v>
      </c>
      <c r="T1007" t="s">
        <v>89</v>
      </c>
      <c r="U1007" t="s">
        <v>301</v>
      </c>
      <c r="V1007" t="s">
        <v>38</v>
      </c>
      <c r="W1007" t="s">
        <v>92</v>
      </c>
      <c r="X1007" t="s">
        <v>302</v>
      </c>
      <c r="Y1007" t="s">
        <v>2045</v>
      </c>
      <c r="Z1007" t="s">
        <v>42</v>
      </c>
      <c r="AA1007" t="s">
        <v>38</v>
      </c>
      <c r="AB1007" t="s">
        <v>38</v>
      </c>
      <c r="AC1007" t="s">
        <v>672</v>
      </c>
      <c r="AD1007" t="s">
        <v>672</v>
      </c>
      <c r="AG1007" t="str">
        <f>IF(AD1007="United States", IFERROR(INDEX(Sheet2!$C:$C, MATCH(AE1007&amp;AF1007, Sheet2!$E:$E, 0)) &amp; ", " &amp; INDEX(Sheet2!$D:$D, MATCH(AE1007&amp;AF1007, Sheet2!$E:$E, 0)), ""), "18.1850507, -77.3947693")</f>
        <v>18.1850507, -77.3947693</v>
      </c>
    </row>
    <row r="1008" spans="1:33" x14ac:dyDescent="0.25">
      <c r="A1008" t="s">
        <v>52</v>
      </c>
      <c r="B1008" t="s">
        <v>2048</v>
      </c>
      <c r="C1008" t="s">
        <v>1972</v>
      </c>
      <c r="D1008" t="s">
        <v>691</v>
      </c>
      <c r="E1008" t="s">
        <v>38</v>
      </c>
      <c r="F1008">
        <v>1763</v>
      </c>
      <c r="G1008">
        <v>2471</v>
      </c>
      <c r="H1008" t="s">
        <v>536</v>
      </c>
      <c r="I1008" t="s">
        <v>87</v>
      </c>
      <c r="J1008" t="s">
        <v>38</v>
      </c>
      <c r="K1008" t="s">
        <v>38</v>
      </c>
      <c r="L1008" t="s">
        <v>38</v>
      </c>
      <c r="M1008" t="s">
        <v>38</v>
      </c>
      <c r="N1008" t="s">
        <v>38</v>
      </c>
      <c r="O1008" t="s">
        <v>41</v>
      </c>
      <c r="P1008" t="s">
        <v>42</v>
      </c>
      <c r="Q1008" t="s">
        <v>43</v>
      </c>
      <c r="R1008" t="s">
        <v>89</v>
      </c>
      <c r="S1008" t="s">
        <v>417</v>
      </c>
      <c r="T1008" t="s">
        <v>89</v>
      </c>
      <c r="U1008" t="s">
        <v>301</v>
      </c>
      <c r="V1008" t="s">
        <v>38</v>
      </c>
      <c r="W1008" t="s">
        <v>92</v>
      </c>
      <c r="X1008" t="s">
        <v>302</v>
      </c>
      <c r="Y1008" t="s">
        <v>2018</v>
      </c>
      <c r="Z1008" t="s">
        <v>42</v>
      </c>
      <c r="AA1008" t="s">
        <v>38</v>
      </c>
      <c r="AB1008" t="s">
        <v>38</v>
      </c>
      <c r="AC1008" t="s">
        <v>417</v>
      </c>
      <c r="AD1008" t="s">
        <v>48</v>
      </c>
      <c r="AG1008" t="str">
        <f>IF(AD1008="United States", IFERROR(INDEX(Sheet2!$C:$C, MATCH(AE1008&amp;AF1008, Sheet2!$E:$E, 0)) &amp; ", " &amp; INDEX(Sheet2!$D:$D, MATCH(AE1008&amp;AF1008, Sheet2!$E:$E, 0)), ""), "-")</f>
        <v/>
      </c>
    </row>
    <row r="1009" spans="1:33" x14ac:dyDescent="0.25">
      <c r="A1009" t="s">
        <v>52</v>
      </c>
      <c r="B1009" t="s">
        <v>2049</v>
      </c>
      <c r="C1009" t="s">
        <v>1972</v>
      </c>
      <c r="D1009" t="s">
        <v>2050</v>
      </c>
      <c r="E1009" t="s">
        <v>38</v>
      </c>
      <c r="F1009">
        <v>1782</v>
      </c>
      <c r="G1009">
        <v>2470</v>
      </c>
      <c r="H1009" t="s">
        <v>536</v>
      </c>
      <c r="I1009" t="s">
        <v>87</v>
      </c>
      <c r="J1009" t="s">
        <v>38</v>
      </c>
      <c r="K1009" t="s">
        <v>38</v>
      </c>
      <c r="L1009" t="s">
        <v>38</v>
      </c>
      <c r="M1009" t="s">
        <v>38</v>
      </c>
      <c r="N1009" t="s">
        <v>38</v>
      </c>
      <c r="O1009" t="s">
        <v>54</v>
      </c>
      <c r="P1009" t="s">
        <v>42</v>
      </c>
      <c r="Q1009" t="s">
        <v>43</v>
      </c>
      <c r="R1009" t="s">
        <v>89</v>
      </c>
      <c r="S1009" t="s">
        <v>38</v>
      </c>
      <c r="T1009" t="s">
        <v>89</v>
      </c>
      <c r="U1009" t="s">
        <v>301</v>
      </c>
      <c r="V1009" t="s">
        <v>38</v>
      </c>
      <c r="W1009" t="s">
        <v>92</v>
      </c>
      <c r="X1009" t="s">
        <v>302</v>
      </c>
      <c r="Y1009" t="s">
        <v>2018</v>
      </c>
      <c r="Z1009" t="s">
        <v>42</v>
      </c>
      <c r="AA1009" t="s">
        <v>38</v>
      </c>
      <c r="AB1009" t="s">
        <v>38</v>
      </c>
      <c r="AC1009" t="s">
        <v>38</v>
      </c>
      <c r="AD1009" t="s">
        <v>48</v>
      </c>
      <c r="AG1009" t="str">
        <f>IF(AD1009="United States", IFERROR(INDEX(Sheet2!$C:$C, MATCH(AE1009&amp;AF1009, Sheet2!$E:$E, 0)) &amp; ", " &amp; INDEX(Sheet2!$D:$D, MATCH(AE1009&amp;AF1009, Sheet2!$E:$E, 0)), ""), "-")</f>
        <v/>
      </c>
    </row>
    <row r="1010" spans="1:33" x14ac:dyDescent="0.25">
      <c r="A1010" t="s">
        <v>52</v>
      </c>
      <c r="B1010" t="s">
        <v>2051</v>
      </c>
      <c r="C1010" t="s">
        <v>1983</v>
      </c>
      <c r="D1010" t="s">
        <v>132</v>
      </c>
      <c r="E1010" t="s">
        <v>38</v>
      </c>
      <c r="F1010">
        <v>1767</v>
      </c>
      <c r="G1010">
        <v>1958</v>
      </c>
      <c r="H1010" t="s">
        <v>1979</v>
      </c>
      <c r="I1010" t="s">
        <v>80</v>
      </c>
      <c r="J1010" t="s">
        <v>1897</v>
      </c>
      <c r="K1010" t="s">
        <v>38</v>
      </c>
      <c r="L1010" t="s">
        <v>38</v>
      </c>
      <c r="M1010" t="s">
        <v>72</v>
      </c>
      <c r="N1010" t="s">
        <v>485</v>
      </c>
      <c r="O1010" t="s">
        <v>54</v>
      </c>
      <c r="P1010" t="s">
        <v>42</v>
      </c>
      <c r="Q1010" t="s">
        <v>43</v>
      </c>
      <c r="R1010" t="s">
        <v>89</v>
      </c>
      <c r="S1010" t="s">
        <v>38</v>
      </c>
      <c r="T1010" t="s">
        <v>89</v>
      </c>
      <c r="U1010" t="s">
        <v>301</v>
      </c>
      <c r="V1010" t="s">
        <v>91</v>
      </c>
      <c r="W1010" t="s">
        <v>92</v>
      </c>
      <c r="X1010" t="s">
        <v>302</v>
      </c>
      <c r="Y1010" t="s">
        <v>2052</v>
      </c>
      <c r="Z1010" t="s">
        <v>42</v>
      </c>
      <c r="AA1010" t="s">
        <v>38</v>
      </c>
      <c r="AB1010" t="s">
        <v>38</v>
      </c>
      <c r="AC1010" t="s">
        <v>38</v>
      </c>
      <c r="AD1010" t="s">
        <v>48</v>
      </c>
      <c r="AG1010" t="str">
        <f>IF(AD1010="United States", IFERROR(INDEX(Sheet2!$C:$C, MATCH(AE1010&amp;AF1010, Sheet2!$E:$E, 0)) &amp; ", " &amp; INDEX(Sheet2!$D:$D, MATCH(AE1010&amp;AF1010, Sheet2!$E:$E, 0)), ""), "-")</f>
        <v/>
      </c>
    </row>
    <row r="1011" spans="1:33" x14ac:dyDescent="0.25">
      <c r="A1011" t="s">
        <v>52</v>
      </c>
      <c r="B1011" t="s">
        <v>2053</v>
      </c>
      <c r="C1011" t="s">
        <v>1983</v>
      </c>
      <c r="D1011" t="s">
        <v>434</v>
      </c>
      <c r="E1011" t="s">
        <v>38</v>
      </c>
      <c r="F1011">
        <v>1767</v>
      </c>
      <c r="G1011">
        <v>1957</v>
      </c>
      <c r="H1011" t="s">
        <v>398</v>
      </c>
      <c r="I1011" t="s">
        <v>80</v>
      </c>
      <c r="J1011" t="s">
        <v>1897</v>
      </c>
      <c r="K1011" t="s">
        <v>38</v>
      </c>
      <c r="L1011" t="s">
        <v>38</v>
      </c>
      <c r="M1011" t="s">
        <v>38</v>
      </c>
      <c r="N1011" t="s">
        <v>38</v>
      </c>
      <c r="O1011" t="s">
        <v>54</v>
      </c>
      <c r="P1011" t="s">
        <v>42</v>
      </c>
      <c r="Q1011" t="s">
        <v>43</v>
      </c>
      <c r="R1011" t="s">
        <v>89</v>
      </c>
      <c r="S1011" t="s">
        <v>45</v>
      </c>
      <c r="T1011" t="s">
        <v>89</v>
      </c>
      <c r="U1011" t="s">
        <v>301</v>
      </c>
      <c r="V1011" t="s">
        <v>91</v>
      </c>
      <c r="W1011" t="s">
        <v>92</v>
      </c>
      <c r="X1011" t="s">
        <v>302</v>
      </c>
      <c r="Y1011" t="s">
        <v>2054</v>
      </c>
      <c r="Z1011" t="s">
        <v>42</v>
      </c>
      <c r="AA1011" t="s">
        <v>2055</v>
      </c>
      <c r="AB1011" t="s">
        <v>38</v>
      </c>
      <c r="AC1011" t="s">
        <v>45</v>
      </c>
      <c r="AD1011" t="s">
        <v>48</v>
      </c>
      <c r="AG1011" t="str">
        <f>IF(AD1011="United States", IFERROR(INDEX(Sheet2!$C:$C, MATCH(AE1011&amp;AF1011, Sheet2!$E:$E, 0)) &amp; ", " &amp; INDEX(Sheet2!$D:$D, MATCH(AE1011&amp;AF1011, Sheet2!$E:$E, 0)), ""), "-")</f>
        <v/>
      </c>
    </row>
    <row r="1012" spans="1:33" x14ac:dyDescent="0.25">
      <c r="A1012" t="s">
        <v>52</v>
      </c>
      <c r="B1012" t="s">
        <v>2056</v>
      </c>
      <c r="C1012" t="s">
        <v>1983</v>
      </c>
      <c r="D1012" t="s">
        <v>120</v>
      </c>
      <c r="E1012" t="s">
        <v>38</v>
      </c>
      <c r="F1012">
        <v>1766</v>
      </c>
      <c r="G1012">
        <v>1956</v>
      </c>
      <c r="H1012" t="s">
        <v>398</v>
      </c>
      <c r="I1012" t="s">
        <v>80</v>
      </c>
      <c r="J1012" t="s">
        <v>1897</v>
      </c>
      <c r="K1012" t="s">
        <v>38</v>
      </c>
      <c r="L1012" t="s">
        <v>38</v>
      </c>
      <c r="M1012" t="s">
        <v>38</v>
      </c>
      <c r="N1012" t="s">
        <v>38</v>
      </c>
      <c r="O1012" t="s">
        <v>54</v>
      </c>
      <c r="P1012" t="s">
        <v>42</v>
      </c>
      <c r="Q1012" t="s">
        <v>43</v>
      </c>
      <c r="R1012" t="s">
        <v>89</v>
      </c>
      <c r="S1012" t="s">
        <v>45</v>
      </c>
      <c r="T1012" t="s">
        <v>89</v>
      </c>
      <c r="U1012" t="s">
        <v>301</v>
      </c>
      <c r="V1012" t="s">
        <v>91</v>
      </c>
      <c r="W1012" t="s">
        <v>92</v>
      </c>
      <c r="X1012" t="s">
        <v>302</v>
      </c>
      <c r="Y1012" t="s">
        <v>2057</v>
      </c>
      <c r="Z1012" t="s">
        <v>42</v>
      </c>
      <c r="AA1012" t="s">
        <v>120</v>
      </c>
      <c r="AB1012" t="s">
        <v>38</v>
      </c>
      <c r="AC1012" t="s">
        <v>45</v>
      </c>
      <c r="AD1012" t="s">
        <v>48</v>
      </c>
      <c r="AG1012" t="str">
        <f>IF(AD1012="United States", IFERROR(INDEX(Sheet2!$C:$C, MATCH(AE1012&amp;AF1012, Sheet2!$E:$E, 0)) &amp; ", " &amp; INDEX(Sheet2!$D:$D, MATCH(AE1012&amp;AF1012, Sheet2!$E:$E, 0)), ""), "-")</f>
        <v/>
      </c>
    </row>
    <row r="1013" spans="1:33" x14ac:dyDescent="0.25">
      <c r="A1013" t="s">
        <v>52</v>
      </c>
      <c r="B1013" t="s">
        <v>2058</v>
      </c>
      <c r="C1013" t="s">
        <v>1983</v>
      </c>
      <c r="D1013" t="s">
        <v>113</v>
      </c>
      <c r="E1013" t="s">
        <v>38</v>
      </c>
      <c r="F1013">
        <v>1766</v>
      </c>
      <c r="G1013">
        <v>1955</v>
      </c>
      <c r="H1013" t="s">
        <v>269</v>
      </c>
      <c r="I1013" t="s">
        <v>80</v>
      </c>
      <c r="J1013" t="s">
        <v>1897</v>
      </c>
      <c r="K1013" t="s">
        <v>38</v>
      </c>
      <c r="L1013" t="s">
        <v>38</v>
      </c>
      <c r="M1013" t="s">
        <v>38</v>
      </c>
      <c r="N1013" t="s">
        <v>38</v>
      </c>
      <c r="O1013" t="s">
        <v>54</v>
      </c>
      <c r="P1013" t="s">
        <v>42</v>
      </c>
      <c r="Q1013" t="s">
        <v>43</v>
      </c>
      <c r="R1013" t="s">
        <v>89</v>
      </c>
      <c r="S1013" t="s">
        <v>45</v>
      </c>
      <c r="T1013" t="s">
        <v>89</v>
      </c>
      <c r="U1013" t="s">
        <v>301</v>
      </c>
      <c r="V1013" t="s">
        <v>91</v>
      </c>
      <c r="W1013" t="s">
        <v>92</v>
      </c>
      <c r="X1013" t="s">
        <v>302</v>
      </c>
      <c r="Y1013" t="s">
        <v>2057</v>
      </c>
      <c r="Z1013" t="s">
        <v>42</v>
      </c>
      <c r="AA1013" t="s">
        <v>38</v>
      </c>
      <c r="AB1013" t="s">
        <v>38</v>
      </c>
      <c r="AC1013" t="s">
        <v>45</v>
      </c>
      <c r="AD1013" t="s">
        <v>48</v>
      </c>
      <c r="AG1013" t="str">
        <f>IF(AD1013="United States", IFERROR(INDEX(Sheet2!$C:$C, MATCH(AE1013&amp;AF1013, Sheet2!$E:$E, 0)) &amp; ", " &amp; INDEX(Sheet2!$D:$D, MATCH(AE1013&amp;AF1013, Sheet2!$E:$E, 0)), ""), "-")</f>
        <v/>
      </c>
    </row>
    <row r="1014" spans="1:33" x14ac:dyDescent="0.25">
      <c r="A1014" t="s">
        <v>52</v>
      </c>
      <c r="B1014" t="s">
        <v>2059</v>
      </c>
      <c r="C1014" t="s">
        <v>1972</v>
      </c>
      <c r="D1014" t="s">
        <v>1638</v>
      </c>
      <c r="E1014" t="s">
        <v>38</v>
      </c>
      <c r="F1014">
        <v>1763</v>
      </c>
      <c r="G1014">
        <v>2469</v>
      </c>
      <c r="H1014" t="s">
        <v>634</v>
      </c>
      <c r="I1014" t="s">
        <v>87</v>
      </c>
      <c r="J1014" t="s">
        <v>38</v>
      </c>
      <c r="K1014" t="s">
        <v>38</v>
      </c>
      <c r="L1014" t="s">
        <v>38</v>
      </c>
      <c r="M1014" t="s">
        <v>38</v>
      </c>
      <c r="N1014" t="s">
        <v>38</v>
      </c>
      <c r="O1014" t="s">
        <v>57</v>
      </c>
      <c r="P1014" t="s">
        <v>42</v>
      </c>
      <c r="Q1014" t="s">
        <v>43</v>
      </c>
      <c r="R1014" t="s">
        <v>89</v>
      </c>
      <c r="S1014" t="s">
        <v>38</v>
      </c>
      <c r="T1014" t="s">
        <v>89</v>
      </c>
      <c r="U1014" t="s">
        <v>301</v>
      </c>
      <c r="V1014" t="s">
        <v>38</v>
      </c>
      <c r="W1014" t="s">
        <v>92</v>
      </c>
      <c r="X1014" t="s">
        <v>302</v>
      </c>
      <c r="Y1014" t="s">
        <v>2018</v>
      </c>
      <c r="Z1014" t="s">
        <v>42</v>
      </c>
      <c r="AA1014" t="s">
        <v>38</v>
      </c>
      <c r="AB1014" t="s">
        <v>38</v>
      </c>
      <c r="AC1014" t="s">
        <v>38</v>
      </c>
      <c r="AD1014" t="s">
        <v>48</v>
      </c>
      <c r="AG1014" t="str">
        <f>IF(AD1014="United States", IFERROR(INDEX(Sheet2!$C:$C, MATCH(AE1014&amp;AF1014, Sheet2!$E:$E, 0)) &amp; ", " &amp; INDEX(Sheet2!$D:$D, MATCH(AE1014&amp;AF1014, Sheet2!$E:$E, 0)), ""), "-")</f>
        <v/>
      </c>
    </row>
    <row r="1015" spans="1:33" x14ac:dyDescent="0.25">
      <c r="A1015" t="s">
        <v>52</v>
      </c>
      <c r="B1015" t="s">
        <v>2060</v>
      </c>
      <c r="C1015" t="s">
        <v>1972</v>
      </c>
      <c r="D1015" t="s">
        <v>200</v>
      </c>
      <c r="E1015" t="s">
        <v>2061</v>
      </c>
      <c r="F1015">
        <v>1753</v>
      </c>
      <c r="G1015">
        <v>2468</v>
      </c>
      <c r="H1015" t="s">
        <v>536</v>
      </c>
      <c r="I1015" t="s">
        <v>87</v>
      </c>
      <c r="J1015" t="s">
        <v>38</v>
      </c>
      <c r="K1015" t="s">
        <v>38</v>
      </c>
      <c r="L1015" t="s">
        <v>38</v>
      </c>
      <c r="M1015" t="s">
        <v>38</v>
      </c>
      <c r="N1015" t="s">
        <v>38</v>
      </c>
      <c r="O1015" t="s">
        <v>41</v>
      </c>
      <c r="P1015" t="s">
        <v>42</v>
      </c>
      <c r="Q1015" t="s">
        <v>43</v>
      </c>
      <c r="R1015" t="s">
        <v>89</v>
      </c>
      <c r="S1015" t="s">
        <v>286</v>
      </c>
      <c r="T1015" t="s">
        <v>89</v>
      </c>
      <c r="U1015" t="s">
        <v>301</v>
      </c>
      <c r="V1015" t="s">
        <v>38</v>
      </c>
      <c r="W1015" t="s">
        <v>92</v>
      </c>
      <c r="X1015" t="s">
        <v>302</v>
      </c>
      <c r="Y1015" t="s">
        <v>2023</v>
      </c>
      <c r="Z1015" t="s">
        <v>42</v>
      </c>
      <c r="AA1015" t="s">
        <v>2062</v>
      </c>
      <c r="AB1015" t="s">
        <v>38</v>
      </c>
      <c r="AC1015" t="s">
        <v>286</v>
      </c>
      <c r="AD1015" t="s">
        <v>48</v>
      </c>
      <c r="AG1015" t="str">
        <f>IF(AD1015="United States", IFERROR(INDEX(Sheet2!$C:$C, MATCH(AE1015&amp;AF1015, Sheet2!$E:$E, 0)) &amp; ", " &amp; INDEX(Sheet2!$D:$D, MATCH(AE1015&amp;AF1015, Sheet2!$E:$E, 0)), ""), "-")</f>
        <v/>
      </c>
    </row>
    <row r="1016" spans="1:33" x14ac:dyDescent="0.25">
      <c r="A1016" t="s">
        <v>52</v>
      </c>
      <c r="B1016" t="s">
        <v>2063</v>
      </c>
      <c r="C1016" t="s">
        <v>1983</v>
      </c>
      <c r="D1016" t="s">
        <v>1954</v>
      </c>
      <c r="E1016" t="s">
        <v>38</v>
      </c>
      <c r="F1016">
        <v>1776</v>
      </c>
      <c r="G1016">
        <v>1959</v>
      </c>
      <c r="H1016" t="s">
        <v>398</v>
      </c>
      <c r="I1016" t="s">
        <v>80</v>
      </c>
      <c r="J1016" t="s">
        <v>1897</v>
      </c>
      <c r="K1016" t="s">
        <v>38</v>
      </c>
      <c r="L1016" t="s">
        <v>38</v>
      </c>
      <c r="M1016" t="s">
        <v>38</v>
      </c>
      <c r="N1016" t="s">
        <v>38</v>
      </c>
      <c r="O1016" t="s">
        <v>74</v>
      </c>
      <c r="P1016" t="s">
        <v>42</v>
      </c>
      <c r="Q1016" t="s">
        <v>43</v>
      </c>
      <c r="R1016" t="s">
        <v>89</v>
      </c>
      <c r="S1016" t="s">
        <v>38</v>
      </c>
      <c r="T1016" t="s">
        <v>89</v>
      </c>
      <c r="U1016" t="s">
        <v>301</v>
      </c>
      <c r="V1016" t="s">
        <v>91</v>
      </c>
      <c r="W1016" t="s">
        <v>92</v>
      </c>
      <c r="X1016" t="s">
        <v>302</v>
      </c>
      <c r="Y1016" t="s">
        <v>2052</v>
      </c>
      <c r="Z1016" t="s">
        <v>42</v>
      </c>
      <c r="AA1016" t="s">
        <v>38</v>
      </c>
      <c r="AB1016" t="s">
        <v>38</v>
      </c>
      <c r="AC1016" t="s">
        <v>249</v>
      </c>
      <c r="AD1016" t="s">
        <v>48</v>
      </c>
      <c r="AG1016" t="str">
        <f>IF(AD1016="United States", IFERROR(INDEX(Sheet2!$C:$C, MATCH(AE1016&amp;AF1016, Sheet2!$E:$E, 0)) &amp; ", " &amp; INDEX(Sheet2!$D:$D, MATCH(AE1016&amp;AF1016, Sheet2!$E:$E, 0)), ""), "-")</f>
        <v/>
      </c>
    </row>
    <row r="1017" spans="1:33" x14ac:dyDescent="0.25">
      <c r="A1017" t="s">
        <v>52</v>
      </c>
      <c r="B1017" t="s">
        <v>2005</v>
      </c>
      <c r="C1017" t="s">
        <v>1992</v>
      </c>
      <c r="D1017" t="s">
        <v>2006</v>
      </c>
      <c r="E1017" t="s">
        <v>2007</v>
      </c>
      <c r="F1017">
        <v>1760</v>
      </c>
      <c r="G1017">
        <v>854</v>
      </c>
      <c r="H1017" t="s">
        <v>634</v>
      </c>
      <c r="I1017" t="s">
        <v>80</v>
      </c>
      <c r="J1017" t="s">
        <v>1994</v>
      </c>
      <c r="K1017" t="s">
        <v>38</v>
      </c>
      <c r="L1017" t="s">
        <v>38</v>
      </c>
      <c r="M1017" t="s">
        <v>38</v>
      </c>
      <c r="N1017" t="s">
        <v>38</v>
      </c>
      <c r="O1017" t="s">
        <v>41</v>
      </c>
      <c r="P1017" t="s">
        <v>42</v>
      </c>
      <c r="Q1017" t="s">
        <v>43</v>
      </c>
      <c r="R1017" t="s">
        <v>89</v>
      </c>
      <c r="S1017" t="s">
        <v>153</v>
      </c>
      <c r="T1017" t="s">
        <v>89</v>
      </c>
      <c r="U1017" t="s">
        <v>301</v>
      </c>
      <c r="V1017" t="s">
        <v>46</v>
      </c>
      <c r="W1017" t="s">
        <v>92</v>
      </c>
      <c r="X1017" t="s">
        <v>302</v>
      </c>
      <c r="Y1017" t="s">
        <v>1995</v>
      </c>
      <c r="Z1017" t="s">
        <v>42</v>
      </c>
      <c r="AA1017" t="s">
        <v>2008</v>
      </c>
      <c r="AB1017" t="s">
        <v>38</v>
      </c>
      <c r="AC1017" t="s">
        <v>153</v>
      </c>
      <c r="AD1017" t="s">
        <v>48</v>
      </c>
      <c r="AG1017" t="str">
        <f>IF(AD1017="United States", IFERROR(INDEX(Sheet2!$C:$C, MATCH(AE1017&amp;AF1017, Sheet2!$E:$E, 0)) &amp; ", " &amp; INDEX(Sheet2!$D:$D, MATCH(AE1017&amp;AF1017, Sheet2!$E:$E, 0)), ""), "-")</f>
        <v/>
      </c>
    </row>
    <row r="1018" spans="1:33" x14ac:dyDescent="0.25">
      <c r="A1018" t="s">
        <v>52</v>
      </c>
      <c r="B1018" t="s">
        <v>2064</v>
      </c>
      <c r="C1018" t="s">
        <v>2065</v>
      </c>
      <c r="D1018" t="s">
        <v>210</v>
      </c>
      <c r="E1018" t="s">
        <v>728</v>
      </c>
      <c r="F1018">
        <v>1743</v>
      </c>
      <c r="G1018">
        <v>365</v>
      </c>
      <c r="H1018" t="s">
        <v>1979</v>
      </c>
      <c r="I1018" t="s">
        <v>39</v>
      </c>
      <c r="J1018" t="s">
        <v>2066</v>
      </c>
      <c r="K1018" t="s">
        <v>38</v>
      </c>
      <c r="L1018" t="s">
        <v>38</v>
      </c>
      <c r="M1018" t="s">
        <v>38</v>
      </c>
      <c r="N1018" t="s">
        <v>38</v>
      </c>
      <c r="O1018" t="s">
        <v>41</v>
      </c>
      <c r="P1018" t="s">
        <v>42</v>
      </c>
      <c r="Q1018" t="s">
        <v>43</v>
      </c>
      <c r="R1018" t="s">
        <v>89</v>
      </c>
      <c r="S1018" t="s">
        <v>45</v>
      </c>
      <c r="T1018" t="s">
        <v>89</v>
      </c>
      <c r="U1018" t="s">
        <v>301</v>
      </c>
      <c r="V1018" t="s">
        <v>137</v>
      </c>
      <c r="W1018" t="s">
        <v>92</v>
      </c>
      <c r="X1018" t="s">
        <v>302</v>
      </c>
      <c r="Y1018" t="s">
        <v>2067</v>
      </c>
      <c r="Z1018" t="s">
        <v>42</v>
      </c>
      <c r="AA1018" t="s">
        <v>1247</v>
      </c>
      <c r="AB1018" t="s">
        <v>38</v>
      </c>
      <c r="AC1018" t="s">
        <v>45</v>
      </c>
      <c r="AD1018" t="s">
        <v>48</v>
      </c>
      <c r="AG1018" t="str">
        <f>IF(AD1018="United States", IFERROR(INDEX(Sheet2!$C:$C, MATCH(AE1018&amp;AF1018, Sheet2!$E:$E, 0)) &amp; ", " &amp; INDEX(Sheet2!$D:$D, MATCH(AE1018&amp;AF1018, Sheet2!$E:$E, 0)), ""), "-")</f>
        <v/>
      </c>
    </row>
    <row r="1019" spans="1:33" x14ac:dyDescent="0.25">
      <c r="A1019" t="s">
        <v>52</v>
      </c>
      <c r="B1019" t="s">
        <v>2068</v>
      </c>
      <c r="C1019" t="s">
        <v>2065</v>
      </c>
      <c r="D1019" t="s">
        <v>101</v>
      </c>
      <c r="E1019" t="s">
        <v>132</v>
      </c>
      <c r="F1019">
        <v>1757</v>
      </c>
      <c r="G1019">
        <v>376</v>
      </c>
      <c r="H1019" t="s">
        <v>1979</v>
      </c>
      <c r="I1019" t="s">
        <v>39</v>
      </c>
      <c r="J1019" t="s">
        <v>2066</v>
      </c>
      <c r="K1019" t="s">
        <v>38</v>
      </c>
      <c r="L1019" t="s">
        <v>38</v>
      </c>
      <c r="M1019" t="s">
        <v>38</v>
      </c>
      <c r="N1019" t="s">
        <v>38</v>
      </c>
      <c r="O1019" t="s">
        <v>41</v>
      </c>
      <c r="P1019" t="s">
        <v>42</v>
      </c>
      <c r="Q1019" t="s">
        <v>43</v>
      </c>
      <c r="R1019" t="s">
        <v>89</v>
      </c>
      <c r="S1019" t="s">
        <v>45</v>
      </c>
      <c r="T1019" t="s">
        <v>89</v>
      </c>
      <c r="U1019" t="s">
        <v>301</v>
      </c>
      <c r="V1019" t="s">
        <v>137</v>
      </c>
      <c r="W1019" t="s">
        <v>92</v>
      </c>
      <c r="X1019" t="s">
        <v>302</v>
      </c>
      <c r="Y1019" t="s">
        <v>2069</v>
      </c>
      <c r="Z1019" t="s">
        <v>42</v>
      </c>
      <c r="AA1019" t="s">
        <v>2070</v>
      </c>
      <c r="AB1019" t="s">
        <v>45</v>
      </c>
      <c r="AC1019" t="s">
        <v>2071</v>
      </c>
      <c r="AD1019" t="s">
        <v>48</v>
      </c>
      <c r="AG1019" t="str">
        <f>IF(AD1019="United States", IFERROR(INDEX(Sheet2!$C:$C, MATCH(AE1019&amp;AF1019, Sheet2!$E:$E, 0)) &amp; ", " &amp; INDEX(Sheet2!$D:$D, MATCH(AE1019&amp;AF1019, Sheet2!$E:$E, 0)), ""), "-")</f>
        <v/>
      </c>
    </row>
    <row r="1020" spans="1:33" x14ac:dyDescent="0.25">
      <c r="A1020" t="s">
        <v>52</v>
      </c>
      <c r="B1020" t="s">
        <v>2072</v>
      </c>
      <c r="C1020" t="s">
        <v>2065</v>
      </c>
      <c r="D1020" t="s">
        <v>226</v>
      </c>
      <c r="E1020" t="s">
        <v>807</v>
      </c>
      <c r="F1020">
        <v>1747</v>
      </c>
      <c r="G1020">
        <v>375</v>
      </c>
      <c r="H1020" t="s">
        <v>1979</v>
      </c>
      <c r="I1020" t="s">
        <v>39</v>
      </c>
      <c r="J1020" t="s">
        <v>2066</v>
      </c>
      <c r="K1020" t="s">
        <v>38</v>
      </c>
      <c r="L1020" t="s">
        <v>38</v>
      </c>
      <c r="M1020" t="s">
        <v>38</v>
      </c>
      <c r="N1020" t="s">
        <v>38</v>
      </c>
      <c r="O1020" t="s">
        <v>41</v>
      </c>
      <c r="P1020" t="s">
        <v>42</v>
      </c>
      <c r="Q1020" t="s">
        <v>43</v>
      </c>
      <c r="R1020" t="s">
        <v>89</v>
      </c>
      <c r="S1020" t="s">
        <v>38</v>
      </c>
      <c r="T1020" t="s">
        <v>89</v>
      </c>
      <c r="U1020" t="s">
        <v>301</v>
      </c>
      <c r="V1020" t="s">
        <v>137</v>
      </c>
      <c r="W1020" t="s">
        <v>92</v>
      </c>
      <c r="X1020" t="s">
        <v>302</v>
      </c>
      <c r="Y1020" t="s">
        <v>2073</v>
      </c>
      <c r="Z1020" t="s">
        <v>42</v>
      </c>
      <c r="AA1020" t="s">
        <v>38</v>
      </c>
      <c r="AB1020" t="s">
        <v>38</v>
      </c>
      <c r="AC1020" t="s">
        <v>38</v>
      </c>
      <c r="AD1020" t="s">
        <v>48</v>
      </c>
      <c r="AG1020" t="str">
        <f>IF(AD1020="United States", IFERROR(INDEX(Sheet2!$C:$C, MATCH(AE1020&amp;AF1020, Sheet2!$E:$E, 0)) &amp; ", " &amp; INDEX(Sheet2!$D:$D, MATCH(AE1020&amp;AF1020, Sheet2!$E:$E, 0)), ""), "-")</f>
        <v/>
      </c>
    </row>
    <row r="1021" spans="1:33" x14ac:dyDescent="0.25">
      <c r="A1021" t="s">
        <v>52</v>
      </c>
      <c r="B1021" t="s">
        <v>2074</v>
      </c>
      <c r="C1021" t="s">
        <v>2065</v>
      </c>
      <c r="D1021" t="s">
        <v>1103</v>
      </c>
      <c r="E1021" t="s">
        <v>268</v>
      </c>
      <c r="F1021">
        <v>1758</v>
      </c>
      <c r="G1021">
        <v>377</v>
      </c>
      <c r="H1021" t="s">
        <v>1979</v>
      </c>
      <c r="I1021" t="s">
        <v>39</v>
      </c>
      <c r="J1021" t="s">
        <v>2066</v>
      </c>
      <c r="K1021" t="s">
        <v>38</v>
      </c>
      <c r="L1021" t="s">
        <v>38</v>
      </c>
      <c r="M1021" t="s">
        <v>38</v>
      </c>
      <c r="N1021" t="s">
        <v>38</v>
      </c>
      <c r="O1021" t="s">
        <v>57</v>
      </c>
      <c r="P1021" t="s">
        <v>42</v>
      </c>
      <c r="Q1021" t="s">
        <v>43</v>
      </c>
      <c r="R1021" t="s">
        <v>89</v>
      </c>
      <c r="S1021" t="s">
        <v>1063</v>
      </c>
      <c r="T1021" t="s">
        <v>89</v>
      </c>
      <c r="U1021" t="s">
        <v>301</v>
      </c>
      <c r="V1021" t="s">
        <v>137</v>
      </c>
      <c r="W1021" t="s">
        <v>92</v>
      </c>
      <c r="X1021" t="s">
        <v>302</v>
      </c>
      <c r="Y1021" t="s">
        <v>2075</v>
      </c>
      <c r="Z1021" t="s">
        <v>42</v>
      </c>
      <c r="AA1021" t="s">
        <v>38</v>
      </c>
      <c r="AB1021" t="s">
        <v>38</v>
      </c>
      <c r="AC1021" t="s">
        <v>1063</v>
      </c>
      <c r="AD1021" t="s">
        <v>48</v>
      </c>
      <c r="AG1021" t="str">
        <f>IF(AD1021="United States", IFERROR(INDEX(Sheet2!$C:$C, MATCH(AE1021&amp;AF1021, Sheet2!$E:$E, 0)) &amp; ", " &amp; INDEX(Sheet2!$D:$D, MATCH(AE1021&amp;AF1021, Sheet2!$E:$E, 0)), ""), "-")</f>
        <v/>
      </c>
    </row>
    <row r="1022" spans="1:33" x14ac:dyDescent="0.25">
      <c r="A1022" t="s">
        <v>52</v>
      </c>
      <c r="B1022" t="s">
        <v>2076</v>
      </c>
      <c r="C1022" t="s">
        <v>2065</v>
      </c>
      <c r="D1022" t="s">
        <v>256</v>
      </c>
      <c r="E1022" t="s">
        <v>132</v>
      </c>
      <c r="F1022">
        <v>1774</v>
      </c>
      <c r="G1022">
        <v>378</v>
      </c>
      <c r="H1022" t="s">
        <v>1979</v>
      </c>
      <c r="I1022" t="s">
        <v>39</v>
      </c>
      <c r="J1022" t="s">
        <v>2066</v>
      </c>
      <c r="K1022" t="s">
        <v>38</v>
      </c>
      <c r="L1022" t="s">
        <v>38</v>
      </c>
      <c r="M1022" t="s">
        <v>38</v>
      </c>
      <c r="N1022" t="s">
        <v>38</v>
      </c>
      <c r="O1022" t="s">
        <v>54</v>
      </c>
      <c r="P1022" t="s">
        <v>42</v>
      </c>
      <c r="Q1022" t="s">
        <v>43</v>
      </c>
      <c r="R1022" t="s">
        <v>89</v>
      </c>
      <c r="S1022" t="s">
        <v>1063</v>
      </c>
      <c r="T1022" t="s">
        <v>89</v>
      </c>
      <c r="U1022" t="s">
        <v>301</v>
      </c>
      <c r="V1022" t="s">
        <v>137</v>
      </c>
      <c r="W1022" t="s">
        <v>92</v>
      </c>
      <c r="X1022" t="s">
        <v>302</v>
      </c>
      <c r="Y1022" t="s">
        <v>2069</v>
      </c>
      <c r="Z1022" t="s">
        <v>42</v>
      </c>
      <c r="AA1022" t="s">
        <v>38</v>
      </c>
      <c r="AB1022" t="s">
        <v>38</v>
      </c>
      <c r="AC1022" t="s">
        <v>1063</v>
      </c>
      <c r="AD1022" t="s">
        <v>48</v>
      </c>
      <c r="AG1022" t="str">
        <f>IF(AD1022="United States", IFERROR(INDEX(Sheet2!$C:$C, MATCH(AE1022&amp;AF1022, Sheet2!$E:$E, 0)) &amp; ", " &amp; INDEX(Sheet2!$D:$D, MATCH(AE1022&amp;AF1022, Sheet2!$E:$E, 0)), ""), "-")</f>
        <v/>
      </c>
    </row>
    <row r="1023" spans="1:33" x14ac:dyDescent="0.25">
      <c r="A1023" t="s">
        <v>52</v>
      </c>
      <c r="B1023" t="s">
        <v>2077</v>
      </c>
      <c r="C1023" t="s">
        <v>2065</v>
      </c>
      <c r="D1023" t="s">
        <v>361</v>
      </c>
      <c r="E1023" t="s">
        <v>2078</v>
      </c>
      <c r="F1023">
        <v>1774</v>
      </c>
      <c r="G1023">
        <v>379</v>
      </c>
      <c r="H1023" t="s">
        <v>1979</v>
      </c>
      <c r="I1023" t="s">
        <v>39</v>
      </c>
      <c r="J1023" t="s">
        <v>2066</v>
      </c>
      <c r="K1023" t="s">
        <v>38</v>
      </c>
      <c r="L1023" t="s">
        <v>38</v>
      </c>
      <c r="M1023" t="s">
        <v>38</v>
      </c>
      <c r="N1023" t="s">
        <v>38</v>
      </c>
      <c r="O1023" t="s">
        <v>54</v>
      </c>
      <c r="P1023" t="s">
        <v>42</v>
      </c>
      <c r="Q1023" t="s">
        <v>43</v>
      </c>
      <c r="R1023" t="s">
        <v>89</v>
      </c>
      <c r="S1023" t="s">
        <v>38</v>
      </c>
      <c r="T1023" t="s">
        <v>89</v>
      </c>
      <c r="U1023" t="s">
        <v>301</v>
      </c>
      <c r="V1023" t="s">
        <v>137</v>
      </c>
      <c r="W1023" t="s">
        <v>92</v>
      </c>
      <c r="X1023" t="s">
        <v>302</v>
      </c>
      <c r="Y1023" t="s">
        <v>38</v>
      </c>
      <c r="Z1023" t="s">
        <v>42</v>
      </c>
      <c r="AA1023" t="s">
        <v>38</v>
      </c>
      <c r="AB1023" t="s">
        <v>38</v>
      </c>
      <c r="AC1023" t="s">
        <v>38</v>
      </c>
      <c r="AD1023" t="s">
        <v>48</v>
      </c>
      <c r="AG1023" t="str">
        <f>IF(AD1023="United States", IFERROR(INDEX(Sheet2!$C:$C, MATCH(AE1023&amp;AF1023, Sheet2!$E:$E, 0)) &amp; ", " &amp; INDEX(Sheet2!$D:$D, MATCH(AE1023&amp;AF1023, Sheet2!$E:$E, 0)), ""), "-")</f>
        <v/>
      </c>
    </row>
    <row r="1024" spans="1:33" x14ac:dyDescent="0.25">
      <c r="A1024" t="s">
        <v>52</v>
      </c>
      <c r="B1024" t="s">
        <v>2079</v>
      </c>
      <c r="C1024" t="s">
        <v>2065</v>
      </c>
      <c r="D1024" t="s">
        <v>834</v>
      </c>
      <c r="E1024" t="s">
        <v>2080</v>
      </c>
      <c r="F1024">
        <v>1768</v>
      </c>
      <c r="G1024">
        <v>380</v>
      </c>
      <c r="H1024" t="s">
        <v>1979</v>
      </c>
      <c r="I1024" t="s">
        <v>39</v>
      </c>
      <c r="J1024" t="s">
        <v>2066</v>
      </c>
      <c r="K1024" t="s">
        <v>38</v>
      </c>
      <c r="L1024" t="s">
        <v>38</v>
      </c>
      <c r="M1024" t="s">
        <v>38</v>
      </c>
      <c r="N1024" t="s">
        <v>38</v>
      </c>
      <c r="O1024" t="s">
        <v>74</v>
      </c>
      <c r="P1024" t="s">
        <v>42</v>
      </c>
      <c r="Q1024" t="s">
        <v>124</v>
      </c>
      <c r="R1024" t="s">
        <v>89</v>
      </c>
      <c r="S1024" t="s">
        <v>45</v>
      </c>
      <c r="T1024" t="s">
        <v>89</v>
      </c>
      <c r="U1024" t="s">
        <v>301</v>
      </c>
      <c r="V1024" t="s">
        <v>137</v>
      </c>
      <c r="W1024" t="s">
        <v>92</v>
      </c>
      <c r="X1024" t="s">
        <v>302</v>
      </c>
      <c r="Y1024" t="s">
        <v>2081</v>
      </c>
      <c r="Z1024" t="s">
        <v>42</v>
      </c>
      <c r="AA1024" t="s">
        <v>38</v>
      </c>
      <c r="AB1024" t="s">
        <v>38</v>
      </c>
      <c r="AC1024" t="s">
        <v>45</v>
      </c>
      <c r="AD1024" t="s">
        <v>48</v>
      </c>
      <c r="AG1024" t="str">
        <f>IF(AD1024="United States", IFERROR(INDEX(Sheet2!$C:$C, MATCH(AE1024&amp;AF1024, Sheet2!$E:$E, 0)) &amp; ", " &amp; INDEX(Sheet2!$D:$D, MATCH(AE1024&amp;AF1024, Sheet2!$E:$E, 0)), ""), "-")</f>
        <v/>
      </c>
    </row>
    <row r="1025" spans="1:33" x14ac:dyDescent="0.25">
      <c r="A1025" t="s">
        <v>52</v>
      </c>
      <c r="B1025" t="s">
        <v>2082</v>
      </c>
      <c r="C1025" t="s">
        <v>2065</v>
      </c>
      <c r="D1025" t="s">
        <v>140</v>
      </c>
      <c r="E1025" t="s">
        <v>2080</v>
      </c>
      <c r="F1025">
        <v>1770</v>
      </c>
      <c r="G1025">
        <v>381</v>
      </c>
      <c r="H1025" t="s">
        <v>38</v>
      </c>
      <c r="I1025" t="s">
        <v>39</v>
      </c>
      <c r="J1025" t="s">
        <v>2066</v>
      </c>
      <c r="K1025" t="s">
        <v>38</v>
      </c>
      <c r="L1025" t="s">
        <v>38</v>
      </c>
      <c r="M1025" t="s">
        <v>38</v>
      </c>
      <c r="N1025" t="s">
        <v>38</v>
      </c>
      <c r="O1025" t="s">
        <v>74</v>
      </c>
      <c r="P1025" t="s">
        <v>42</v>
      </c>
      <c r="Q1025" t="s">
        <v>43</v>
      </c>
      <c r="R1025" t="s">
        <v>38</v>
      </c>
      <c r="S1025" t="s">
        <v>38</v>
      </c>
      <c r="T1025" t="s">
        <v>38</v>
      </c>
      <c r="U1025" t="s">
        <v>38</v>
      </c>
      <c r="V1025" t="s">
        <v>137</v>
      </c>
      <c r="W1025" t="s">
        <v>38</v>
      </c>
      <c r="X1025" t="s">
        <v>38</v>
      </c>
      <c r="Y1025" t="s">
        <v>2081</v>
      </c>
      <c r="Z1025" t="s">
        <v>42</v>
      </c>
      <c r="AA1025" t="s">
        <v>38</v>
      </c>
      <c r="AB1025" t="s">
        <v>38</v>
      </c>
      <c r="AC1025" t="s">
        <v>38</v>
      </c>
      <c r="AD1025" t="s">
        <v>48</v>
      </c>
      <c r="AG1025" t="str">
        <f>IF(AD1025="United States", IFERROR(INDEX(Sheet2!$C:$C, MATCH(AE1025&amp;AF1025, Sheet2!$E:$E, 0)) &amp; ", " &amp; INDEX(Sheet2!$D:$D, MATCH(AE1025&amp;AF1025, Sheet2!$E:$E, 0)), ""), "-")</f>
        <v/>
      </c>
    </row>
    <row r="1026" spans="1:33" x14ac:dyDescent="0.25">
      <c r="A1026" t="s">
        <v>52</v>
      </c>
      <c r="B1026" t="s">
        <v>2083</v>
      </c>
      <c r="C1026" t="s">
        <v>2065</v>
      </c>
      <c r="D1026" t="s">
        <v>2084</v>
      </c>
      <c r="E1026" t="s">
        <v>2085</v>
      </c>
      <c r="F1026">
        <v>1771</v>
      </c>
      <c r="G1026">
        <v>382</v>
      </c>
      <c r="H1026" t="s">
        <v>38</v>
      </c>
      <c r="I1026" t="s">
        <v>39</v>
      </c>
      <c r="J1026" t="s">
        <v>2066</v>
      </c>
      <c r="K1026" t="s">
        <v>38</v>
      </c>
      <c r="L1026" t="s">
        <v>38</v>
      </c>
      <c r="M1026" t="s">
        <v>38</v>
      </c>
      <c r="N1026" t="s">
        <v>38</v>
      </c>
      <c r="O1026" t="s">
        <v>74</v>
      </c>
      <c r="P1026" t="s">
        <v>42</v>
      </c>
      <c r="Q1026" t="s">
        <v>43</v>
      </c>
      <c r="R1026" t="s">
        <v>38</v>
      </c>
      <c r="S1026" t="s">
        <v>38</v>
      </c>
      <c r="T1026" t="s">
        <v>38</v>
      </c>
      <c r="U1026" t="s">
        <v>38</v>
      </c>
      <c r="V1026" t="s">
        <v>137</v>
      </c>
      <c r="W1026" t="s">
        <v>38</v>
      </c>
      <c r="X1026" t="s">
        <v>38</v>
      </c>
      <c r="Y1026" t="s">
        <v>2081</v>
      </c>
      <c r="Z1026" t="s">
        <v>42</v>
      </c>
      <c r="AA1026" t="s">
        <v>38</v>
      </c>
      <c r="AB1026" t="s">
        <v>38</v>
      </c>
      <c r="AC1026" t="s">
        <v>38</v>
      </c>
      <c r="AD1026" t="s">
        <v>48</v>
      </c>
      <c r="AG1026" t="str">
        <f>IF(AD1026="United States", IFERROR(INDEX(Sheet2!$C:$C, MATCH(AE1026&amp;AF1026, Sheet2!$E:$E, 0)) &amp; ", " &amp; INDEX(Sheet2!$D:$D, MATCH(AE1026&amp;AF1026, Sheet2!$E:$E, 0)), ""), "-")</f>
        <v/>
      </c>
    </row>
    <row r="1027" spans="1:33" x14ac:dyDescent="0.25">
      <c r="A1027" t="s">
        <v>52</v>
      </c>
      <c r="B1027" t="s">
        <v>2086</v>
      </c>
      <c r="C1027" t="s">
        <v>2065</v>
      </c>
      <c r="D1027" t="s">
        <v>230</v>
      </c>
      <c r="E1027" t="s">
        <v>38</v>
      </c>
      <c r="F1027">
        <v>1763</v>
      </c>
      <c r="G1027">
        <v>383</v>
      </c>
      <c r="H1027" t="s">
        <v>1979</v>
      </c>
      <c r="I1027" t="s">
        <v>39</v>
      </c>
      <c r="J1027" t="s">
        <v>2066</v>
      </c>
      <c r="K1027" t="s">
        <v>38</v>
      </c>
      <c r="L1027" t="s">
        <v>38</v>
      </c>
      <c r="M1027" t="s">
        <v>38</v>
      </c>
      <c r="N1027" t="s">
        <v>38</v>
      </c>
      <c r="O1027" t="s">
        <v>41</v>
      </c>
      <c r="P1027" t="s">
        <v>42</v>
      </c>
      <c r="Q1027" t="s">
        <v>43</v>
      </c>
      <c r="R1027" t="s">
        <v>89</v>
      </c>
      <c r="S1027" t="s">
        <v>38</v>
      </c>
      <c r="T1027" t="s">
        <v>89</v>
      </c>
      <c r="U1027" t="s">
        <v>301</v>
      </c>
      <c r="V1027" t="s">
        <v>137</v>
      </c>
      <c r="W1027" t="s">
        <v>92</v>
      </c>
      <c r="X1027" t="s">
        <v>302</v>
      </c>
      <c r="Y1027" t="s">
        <v>2081</v>
      </c>
      <c r="Z1027" t="s">
        <v>42</v>
      </c>
      <c r="AA1027" t="s">
        <v>38</v>
      </c>
      <c r="AB1027" t="s">
        <v>38</v>
      </c>
      <c r="AC1027" t="s">
        <v>166</v>
      </c>
      <c r="AD1027" t="s">
        <v>48</v>
      </c>
      <c r="AG1027" t="str">
        <f>IF(AD1027="United States", IFERROR(INDEX(Sheet2!$C:$C, MATCH(AE1027&amp;AF1027, Sheet2!$E:$E, 0)) &amp; ", " &amp; INDEX(Sheet2!$D:$D, MATCH(AE1027&amp;AF1027, Sheet2!$E:$E, 0)), ""), "-")</f>
        <v/>
      </c>
    </row>
    <row r="1028" spans="1:33" x14ac:dyDescent="0.25">
      <c r="A1028" t="s">
        <v>52</v>
      </c>
      <c r="B1028" t="s">
        <v>2087</v>
      </c>
      <c r="C1028" t="s">
        <v>2065</v>
      </c>
      <c r="D1028" t="s">
        <v>352</v>
      </c>
      <c r="E1028" t="s">
        <v>368</v>
      </c>
      <c r="F1028">
        <v>1755</v>
      </c>
      <c r="G1028">
        <v>384</v>
      </c>
      <c r="H1028" t="s">
        <v>1979</v>
      </c>
      <c r="I1028" t="s">
        <v>39</v>
      </c>
      <c r="J1028" t="s">
        <v>2066</v>
      </c>
      <c r="K1028" t="s">
        <v>38</v>
      </c>
      <c r="L1028" t="s">
        <v>38</v>
      </c>
      <c r="M1028" t="s">
        <v>38</v>
      </c>
      <c r="N1028" t="s">
        <v>38</v>
      </c>
      <c r="O1028" t="s">
        <v>57</v>
      </c>
      <c r="P1028" t="s">
        <v>42</v>
      </c>
      <c r="Q1028" t="s">
        <v>43</v>
      </c>
      <c r="R1028" t="s">
        <v>89</v>
      </c>
      <c r="S1028" t="s">
        <v>38</v>
      </c>
      <c r="T1028" t="s">
        <v>89</v>
      </c>
      <c r="U1028" t="s">
        <v>301</v>
      </c>
      <c r="V1028" t="s">
        <v>137</v>
      </c>
      <c r="W1028" t="s">
        <v>92</v>
      </c>
      <c r="X1028" t="s">
        <v>302</v>
      </c>
      <c r="Y1028" t="s">
        <v>2088</v>
      </c>
      <c r="Z1028" t="s">
        <v>42</v>
      </c>
      <c r="AA1028" t="s">
        <v>38</v>
      </c>
      <c r="AB1028" t="s">
        <v>38</v>
      </c>
      <c r="AC1028" t="s">
        <v>155</v>
      </c>
      <c r="AD1028" t="s">
        <v>48</v>
      </c>
      <c r="AG1028" t="str">
        <f>IF(AD1028="United States", IFERROR(INDEX(Sheet2!$C:$C, MATCH(AE1028&amp;AF1028, Sheet2!$E:$E, 0)) &amp; ", " &amp; INDEX(Sheet2!$D:$D, MATCH(AE1028&amp;AF1028, Sheet2!$E:$E, 0)), ""), "-")</f>
        <v/>
      </c>
    </row>
    <row r="1029" spans="1:33" x14ac:dyDescent="0.25">
      <c r="A1029" t="s">
        <v>52</v>
      </c>
      <c r="B1029" t="s">
        <v>2089</v>
      </c>
      <c r="C1029" t="s">
        <v>2065</v>
      </c>
      <c r="D1029" t="s">
        <v>195</v>
      </c>
      <c r="E1029" t="s">
        <v>807</v>
      </c>
      <c r="F1029">
        <v>1756</v>
      </c>
      <c r="G1029">
        <v>374</v>
      </c>
      <c r="H1029" t="s">
        <v>1979</v>
      </c>
      <c r="I1029" t="s">
        <v>39</v>
      </c>
      <c r="J1029" t="s">
        <v>2066</v>
      </c>
      <c r="K1029" t="s">
        <v>38</v>
      </c>
      <c r="L1029" t="s">
        <v>38</v>
      </c>
      <c r="M1029" t="s">
        <v>38</v>
      </c>
      <c r="N1029" t="s">
        <v>38</v>
      </c>
      <c r="O1029" t="s">
        <v>41</v>
      </c>
      <c r="P1029" t="s">
        <v>42</v>
      </c>
      <c r="Q1029" t="s">
        <v>43</v>
      </c>
      <c r="R1029" t="s">
        <v>89</v>
      </c>
      <c r="S1029" t="s">
        <v>38</v>
      </c>
      <c r="T1029" t="s">
        <v>89</v>
      </c>
      <c r="U1029" t="s">
        <v>301</v>
      </c>
      <c r="V1029" t="s">
        <v>137</v>
      </c>
      <c r="W1029" t="s">
        <v>92</v>
      </c>
      <c r="X1029" t="s">
        <v>302</v>
      </c>
      <c r="Y1029" t="s">
        <v>2073</v>
      </c>
      <c r="Z1029" t="s">
        <v>42</v>
      </c>
      <c r="AA1029" t="s">
        <v>38</v>
      </c>
      <c r="AB1029" t="s">
        <v>38</v>
      </c>
      <c r="AC1029" t="s">
        <v>38</v>
      </c>
      <c r="AD1029" t="s">
        <v>48</v>
      </c>
      <c r="AG1029" t="str">
        <f>IF(AD1029="United States", IFERROR(INDEX(Sheet2!$C:$C, MATCH(AE1029&amp;AF1029, Sheet2!$E:$E, 0)) &amp; ", " &amp; INDEX(Sheet2!$D:$D, MATCH(AE1029&amp;AF1029, Sheet2!$E:$E, 0)), ""), "-")</f>
        <v/>
      </c>
    </row>
    <row r="1030" spans="1:33" x14ac:dyDescent="0.25">
      <c r="A1030" t="s">
        <v>52</v>
      </c>
      <c r="B1030" t="s">
        <v>2090</v>
      </c>
      <c r="C1030" t="s">
        <v>2065</v>
      </c>
      <c r="D1030" t="s">
        <v>132</v>
      </c>
      <c r="E1030" t="s">
        <v>132</v>
      </c>
      <c r="F1030" t="s">
        <v>38</v>
      </c>
      <c r="G1030">
        <v>2692</v>
      </c>
      <c r="I1030" t="s">
        <v>39</v>
      </c>
      <c r="J1030" t="s">
        <v>2066</v>
      </c>
      <c r="O1030" t="s">
        <v>41</v>
      </c>
      <c r="P1030" t="s">
        <v>42</v>
      </c>
      <c r="Q1030" t="s">
        <v>43</v>
      </c>
      <c r="V1030" t="s">
        <v>137</v>
      </c>
      <c r="Y1030" t="s">
        <v>2069</v>
      </c>
      <c r="Z1030" t="s">
        <v>42</v>
      </c>
      <c r="AA1030" t="s">
        <v>38</v>
      </c>
      <c r="AB1030" t="s">
        <v>38</v>
      </c>
      <c r="AC1030" t="s">
        <v>38</v>
      </c>
      <c r="AD1030" t="s">
        <v>48</v>
      </c>
      <c r="AG1030" t="str">
        <f>IF(AD1030="United States", IFERROR(INDEX(Sheet2!$C:$C, MATCH(AE1030&amp;AF1030, Sheet2!$E:$E, 0)) &amp; ", " &amp; INDEX(Sheet2!$D:$D, MATCH(AE1030&amp;AF1030, Sheet2!$E:$E, 0)), ""), "-")</f>
        <v/>
      </c>
    </row>
    <row r="1031" spans="1:33" x14ac:dyDescent="0.25">
      <c r="A1031" t="s">
        <v>52</v>
      </c>
      <c r="B1031" t="s">
        <v>2091</v>
      </c>
      <c r="C1031" t="s">
        <v>1992</v>
      </c>
      <c r="D1031" t="s">
        <v>1778</v>
      </c>
      <c r="E1031" t="s">
        <v>1779</v>
      </c>
      <c r="F1031">
        <v>1768</v>
      </c>
      <c r="G1031">
        <v>2702</v>
      </c>
      <c r="I1031" t="s">
        <v>80</v>
      </c>
      <c r="J1031" t="s">
        <v>1994</v>
      </c>
      <c r="M1031" t="s">
        <v>835</v>
      </c>
      <c r="N1031" t="s">
        <v>1432</v>
      </c>
      <c r="O1031" t="s">
        <v>54</v>
      </c>
      <c r="P1031" t="s">
        <v>42</v>
      </c>
      <c r="Q1031" t="s">
        <v>43</v>
      </c>
      <c r="R1031" t="s">
        <v>1781</v>
      </c>
      <c r="S1031" t="s">
        <v>89</v>
      </c>
      <c r="V1031" t="s">
        <v>46</v>
      </c>
      <c r="Y1031" t="s">
        <v>38</v>
      </c>
      <c r="Z1031" t="s">
        <v>42</v>
      </c>
      <c r="AA1031" t="s">
        <v>1782</v>
      </c>
      <c r="AB1031" t="s">
        <v>1783</v>
      </c>
      <c r="AC1031" t="s">
        <v>89</v>
      </c>
      <c r="AD1031" t="s">
        <v>48</v>
      </c>
      <c r="AG1031" t="str">
        <f>IF(AD1031="United States", IFERROR(INDEX(Sheet2!$C:$C, MATCH(AE1031&amp;AF1031, Sheet2!$E:$E, 0)) &amp; ", " &amp; INDEX(Sheet2!$D:$D, MATCH(AE1031&amp;AF1031, Sheet2!$E:$E, 0)), ""), "-")</f>
        <v/>
      </c>
    </row>
    <row r="1032" spans="1:33" x14ac:dyDescent="0.25">
      <c r="A1032" t="s">
        <v>52</v>
      </c>
      <c r="B1032" t="s">
        <v>2092</v>
      </c>
      <c r="C1032" t="s">
        <v>1972</v>
      </c>
      <c r="D1032" t="s">
        <v>2093</v>
      </c>
      <c r="E1032" t="s">
        <v>2094</v>
      </c>
      <c r="F1032">
        <v>1752</v>
      </c>
      <c r="G1032">
        <v>2452</v>
      </c>
      <c r="H1032" t="s">
        <v>1923</v>
      </c>
      <c r="I1032" t="s">
        <v>87</v>
      </c>
      <c r="J1032" t="s">
        <v>38</v>
      </c>
      <c r="K1032" t="s">
        <v>38</v>
      </c>
      <c r="L1032" t="s">
        <v>38</v>
      </c>
      <c r="M1032" t="s">
        <v>38</v>
      </c>
      <c r="N1032" t="s">
        <v>38</v>
      </c>
      <c r="O1032" t="s">
        <v>41</v>
      </c>
      <c r="P1032" t="s">
        <v>42</v>
      </c>
      <c r="Q1032" t="s">
        <v>43</v>
      </c>
      <c r="R1032" t="s">
        <v>89</v>
      </c>
      <c r="S1032" t="s">
        <v>45</v>
      </c>
      <c r="T1032" t="s">
        <v>89</v>
      </c>
      <c r="U1032" t="s">
        <v>301</v>
      </c>
      <c r="V1032" t="s">
        <v>38</v>
      </c>
      <c r="W1032" t="s">
        <v>92</v>
      </c>
      <c r="X1032" t="s">
        <v>302</v>
      </c>
      <c r="Y1032" t="s">
        <v>2095</v>
      </c>
      <c r="Z1032" t="s">
        <v>42</v>
      </c>
      <c r="AA1032" t="s">
        <v>2096</v>
      </c>
      <c r="AB1032" t="s">
        <v>2097</v>
      </c>
      <c r="AC1032" t="s">
        <v>45</v>
      </c>
      <c r="AD1032" t="s">
        <v>48</v>
      </c>
      <c r="AG1032" t="str">
        <f>IF(AD1032="United States", IFERROR(INDEX(Sheet2!$C:$C, MATCH(AE1032&amp;AF1032, Sheet2!$E:$E, 0)) &amp; ", " &amp; INDEX(Sheet2!$D:$D, MATCH(AE1032&amp;AF1032, Sheet2!$E:$E, 0)), ""), "-")</f>
        <v/>
      </c>
    </row>
    <row r="1033" spans="1:33" x14ac:dyDescent="0.25">
      <c r="A1033" t="s">
        <v>52</v>
      </c>
      <c r="B1033" t="s">
        <v>2098</v>
      </c>
      <c r="C1033" t="s">
        <v>1972</v>
      </c>
      <c r="D1033" t="s">
        <v>62</v>
      </c>
      <c r="E1033" t="s">
        <v>275</v>
      </c>
      <c r="F1033">
        <v>1762</v>
      </c>
      <c r="G1033">
        <v>2451</v>
      </c>
      <c r="H1033" t="s">
        <v>1923</v>
      </c>
      <c r="I1033" t="s">
        <v>87</v>
      </c>
      <c r="J1033" t="s">
        <v>38</v>
      </c>
      <c r="K1033" t="s">
        <v>38</v>
      </c>
      <c r="L1033" t="s">
        <v>38</v>
      </c>
      <c r="M1033" t="s">
        <v>38</v>
      </c>
      <c r="N1033" t="s">
        <v>38</v>
      </c>
      <c r="O1033" t="s">
        <v>41</v>
      </c>
      <c r="P1033" t="s">
        <v>42</v>
      </c>
      <c r="Q1033" t="s">
        <v>43</v>
      </c>
      <c r="R1033" t="s">
        <v>89</v>
      </c>
      <c r="S1033" t="s">
        <v>45</v>
      </c>
      <c r="T1033" t="s">
        <v>89</v>
      </c>
      <c r="U1033" t="s">
        <v>301</v>
      </c>
      <c r="V1033" t="s">
        <v>38</v>
      </c>
      <c r="W1033" t="s">
        <v>92</v>
      </c>
      <c r="X1033" t="s">
        <v>302</v>
      </c>
      <c r="Y1033" t="s">
        <v>2095</v>
      </c>
      <c r="Z1033" t="s">
        <v>42</v>
      </c>
      <c r="AA1033" t="s">
        <v>38</v>
      </c>
      <c r="AB1033" t="s">
        <v>38</v>
      </c>
      <c r="AC1033" t="s">
        <v>45</v>
      </c>
      <c r="AD1033" t="s">
        <v>48</v>
      </c>
      <c r="AG1033" t="str">
        <f>IF(AD1033="United States", IFERROR(INDEX(Sheet2!$C:$C, MATCH(AE1033&amp;AF1033, Sheet2!$E:$E, 0)) &amp; ", " &amp; INDEX(Sheet2!$D:$D, MATCH(AE1033&amp;AF1033, Sheet2!$E:$E, 0)), ""), "-")</f>
        <v/>
      </c>
    </row>
    <row r="1034" spans="1:33" x14ac:dyDescent="0.25">
      <c r="A1034" t="s">
        <v>52</v>
      </c>
      <c r="B1034" t="s">
        <v>2099</v>
      </c>
      <c r="C1034" t="s">
        <v>1972</v>
      </c>
      <c r="D1034" t="s">
        <v>210</v>
      </c>
      <c r="E1034" t="s">
        <v>2100</v>
      </c>
      <c r="F1034">
        <v>1726</v>
      </c>
      <c r="G1034">
        <v>2450</v>
      </c>
      <c r="H1034" t="s">
        <v>1979</v>
      </c>
      <c r="I1034" t="s">
        <v>87</v>
      </c>
      <c r="J1034" t="s">
        <v>38</v>
      </c>
      <c r="K1034" t="s">
        <v>38</v>
      </c>
      <c r="L1034" t="s">
        <v>38</v>
      </c>
      <c r="M1034" t="s">
        <v>38</v>
      </c>
      <c r="N1034" t="s">
        <v>38</v>
      </c>
      <c r="O1034" t="s">
        <v>41</v>
      </c>
      <c r="P1034" t="s">
        <v>42</v>
      </c>
      <c r="Q1034" t="s">
        <v>43</v>
      </c>
      <c r="R1034" t="s">
        <v>89</v>
      </c>
      <c r="S1034" t="s">
        <v>153</v>
      </c>
      <c r="T1034" t="s">
        <v>89</v>
      </c>
      <c r="U1034" t="s">
        <v>301</v>
      </c>
      <c r="V1034" t="s">
        <v>38</v>
      </c>
      <c r="W1034" t="s">
        <v>92</v>
      </c>
      <c r="X1034" t="s">
        <v>302</v>
      </c>
      <c r="Y1034" t="s">
        <v>2095</v>
      </c>
      <c r="Z1034" t="s">
        <v>42</v>
      </c>
      <c r="AA1034" t="s">
        <v>155</v>
      </c>
      <c r="AB1034" t="s">
        <v>38</v>
      </c>
      <c r="AC1034" t="s">
        <v>153</v>
      </c>
      <c r="AD1034" t="s">
        <v>48</v>
      </c>
      <c r="AG1034" t="str">
        <f>IF(AD1034="United States", IFERROR(INDEX(Sheet2!$C:$C, MATCH(AE1034&amp;AF1034, Sheet2!$E:$E, 0)) &amp; ", " &amp; INDEX(Sheet2!$D:$D, MATCH(AE1034&amp;AF1034, Sheet2!$E:$E, 0)), ""), "-")</f>
        <v/>
      </c>
    </row>
    <row r="1035" spans="1:33" x14ac:dyDescent="0.25">
      <c r="A1035" t="s">
        <v>52</v>
      </c>
      <c r="B1035" t="s">
        <v>2101</v>
      </c>
      <c r="C1035" t="s">
        <v>1972</v>
      </c>
      <c r="D1035" t="s">
        <v>210</v>
      </c>
      <c r="E1035" t="s">
        <v>1337</v>
      </c>
      <c r="F1035">
        <v>1752</v>
      </c>
      <c r="G1035">
        <v>2449</v>
      </c>
      <c r="H1035" t="s">
        <v>1979</v>
      </c>
      <c r="I1035" t="s">
        <v>87</v>
      </c>
      <c r="J1035" t="s">
        <v>38</v>
      </c>
      <c r="K1035" t="s">
        <v>38</v>
      </c>
      <c r="L1035" t="s">
        <v>38</v>
      </c>
      <c r="M1035" t="s">
        <v>38</v>
      </c>
      <c r="N1035" t="s">
        <v>38</v>
      </c>
      <c r="O1035" t="s">
        <v>41</v>
      </c>
      <c r="P1035" t="s">
        <v>42</v>
      </c>
      <c r="Q1035" t="s">
        <v>43</v>
      </c>
      <c r="R1035" t="s">
        <v>89</v>
      </c>
      <c r="S1035" t="s">
        <v>153</v>
      </c>
      <c r="T1035" t="s">
        <v>89</v>
      </c>
      <c r="U1035" t="s">
        <v>301</v>
      </c>
      <c r="V1035" t="s">
        <v>38</v>
      </c>
      <c r="W1035" t="s">
        <v>92</v>
      </c>
      <c r="X1035" t="s">
        <v>302</v>
      </c>
      <c r="Y1035" t="s">
        <v>2095</v>
      </c>
      <c r="Z1035" t="s">
        <v>42</v>
      </c>
      <c r="AA1035" t="s">
        <v>155</v>
      </c>
      <c r="AB1035" t="s">
        <v>38</v>
      </c>
      <c r="AC1035" t="s">
        <v>153</v>
      </c>
      <c r="AD1035" t="s">
        <v>48</v>
      </c>
      <c r="AG1035" t="str">
        <f>IF(AD1035="United States", IFERROR(INDEX(Sheet2!$C:$C, MATCH(AE1035&amp;AF1035, Sheet2!$E:$E, 0)) &amp; ", " &amp; INDEX(Sheet2!$D:$D, MATCH(AE1035&amp;AF1035, Sheet2!$E:$E, 0)), ""), "-")</f>
        <v/>
      </c>
    </row>
    <row r="1036" spans="1:33" x14ac:dyDescent="0.25">
      <c r="A1036" t="s">
        <v>52</v>
      </c>
      <c r="B1036" t="s">
        <v>2102</v>
      </c>
      <c r="C1036" t="s">
        <v>1972</v>
      </c>
      <c r="D1036" t="s">
        <v>357</v>
      </c>
      <c r="E1036" t="s">
        <v>1403</v>
      </c>
      <c r="F1036">
        <v>1751</v>
      </c>
      <c r="G1036">
        <v>2448</v>
      </c>
      <c r="H1036" t="s">
        <v>1923</v>
      </c>
      <c r="I1036" t="s">
        <v>87</v>
      </c>
      <c r="J1036" t="s">
        <v>38</v>
      </c>
      <c r="K1036" t="s">
        <v>38</v>
      </c>
      <c r="L1036" t="s">
        <v>38</v>
      </c>
      <c r="M1036" t="s">
        <v>38</v>
      </c>
      <c r="N1036" t="s">
        <v>38</v>
      </c>
      <c r="O1036" t="s">
        <v>41</v>
      </c>
      <c r="P1036" t="s">
        <v>42</v>
      </c>
      <c r="Q1036" t="s">
        <v>43</v>
      </c>
      <c r="R1036" t="s">
        <v>89</v>
      </c>
      <c r="S1036" t="s">
        <v>153</v>
      </c>
      <c r="T1036" t="s">
        <v>89</v>
      </c>
      <c r="U1036" t="s">
        <v>301</v>
      </c>
      <c r="V1036" t="s">
        <v>38</v>
      </c>
      <c r="W1036" t="s">
        <v>92</v>
      </c>
      <c r="X1036" t="s">
        <v>302</v>
      </c>
      <c r="Y1036" t="s">
        <v>2095</v>
      </c>
      <c r="Z1036" t="s">
        <v>42</v>
      </c>
      <c r="AA1036" t="s">
        <v>155</v>
      </c>
      <c r="AB1036" t="s">
        <v>38</v>
      </c>
      <c r="AC1036" t="s">
        <v>153</v>
      </c>
      <c r="AD1036" t="s">
        <v>48</v>
      </c>
      <c r="AG1036" t="str">
        <f>IF(AD1036="United States", IFERROR(INDEX(Sheet2!$C:$C, MATCH(AE1036&amp;AF1036, Sheet2!$E:$E, 0)) &amp; ", " &amp; INDEX(Sheet2!$D:$D, MATCH(AE1036&amp;AF1036, Sheet2!$E:$E, 0)), ""), "-")</f>
        <v/>
      </c>
    </row>
    <row r="1037" spans="1:33" x14ac:dyDescent="0.25">
      <c r="A1037" t="s">
        <v>52</v>
      </c>
      <c r="B1037" t="s">
        <v>2103</v>
      </c>
      <c r="C1037" t="s">
        <v>2065</v>
      </c>
      <c r="D1037" t="s">
        <v>1168</v>
      </c>
      <c r="E1037" t="s">
        <v>2104</v>
      </c>
      <c r="F1037">
        <v>1780</v>
      </c>
      <c r="G1037">
        <v>387</v>
      </c>
      <c r="H1037" t="s">
        <v>269</v>
      </c>
      <c r="I1037" t="s">
        <v>39</v>
      </c>
      <c r="J1037" t="s">
        <v>2066</v>
      </c>
      <c r="K1037" t="s">
        <v>38</v>
      </c>
      <c r="L1037" t="s">
        <v>38</v>
      </c>
      <c r="M1037" t="s">
        <v>38</v>
      </c>
      <c r="N1037" t="s">
        <v>38</v>
      </c>
      <c r="O1037" t="s">
        <v>54</v>
      </c>
      <c r="P1037" t="s">
        <v>42</v>
      </c>
      <c r="Q1037" t="s">
        <v>43</v>
      </c>
      <c r="R1037" t="s">
        <v>89</v>
      </c>
      <c r="S1037" t="s">
        <v>38</v>
      </c>
      <c r="T1037" t="s">
        <v>89</v>
      </c>
      <c r="U1037" t="s">
        <v>301</v>
      </c>
      <c r="V1037" t="s">
        <v>137</v>
      </c>
      <c r="W1037" t="s">
        <v>92</v>
      </c>
      <c r="X1037" t="s">
        <v>302</v>
      </c>
      <c r="Y1037" t="s">
        <v>2105</v>
      </c>
      <c r="Z1037" t="s">
        <v>42</v>
      </c>
      <c r="AA1037" t="s">
        <v>38</v>
      </c>
      <c r="AB1037" t="s">
        <v>38</v>
      </c>
      <c r="AC1037" t="s">
        <v>38</v>
      </c>
      <c r="AD1037" t="s">
        <v>48</v>
      </c>
      <c r="AG1037" t="str">
        <f>IF(AD1037="United States", IFERROR(INDEX(Sheet2!$C:$C, MATCH(AE1037&amp;AF1037, Sheet2!$E:$E, 0)) &amp; ", " &amp; INDEX(Sheet2!$D:$D, MATCH(AE1037&amp;AF1037, Sheet2!$E:$E, 0)), ""), "-")</f>
        <v/>
      </c>
    </row>
    <row r="1038" spans="1:33" x14ac:dyDescent="0.25">
      <c r="A1038" t="s">
        <v>52</v>
      </c>
      <c r="B1038" t="s">
        <v>2106</v>
      </c>
      <c r="C1038" t="s">
        <v>2065</v>
      </c>
      <c r="D1038" t="s">
        <v>1164</v>
      </c>
      <c r="E1038" t="s">
        <v>2104</v>
      </c>
      <c r="F1038">
        <v>1759</v>
      </c>
      <c r="G1038">
        <v>386</v>
      </c>
      <c r="H1038" t="s">
        <v>1979</v>
      </c>
      <c r="I1038" t="s">
        <v>39</v>
      </c>
      <c r="J1038" t="s">
        <v>2066</v>
      </c>
      <c r="K1038" t="s">
        <v>38</v>
      </c>
      <c r="L1038" t="s">
        <v>38</v>
      </c>
      <c r="M1038" t="s">
        <v>38</v>
      </c>
      <c r="N1038" t="s">
        <v>38</v>
      </c>
      <c r="O1038" t="s">
        <v>57</v>
      </c>
      <c r="P1038" t="s">
        <v>42</v>
      </c>
      <c r="Q1038" t="s">
        <v>43</v>
      </c>
      <c r="R1038" t="s">
        <v>89</v>
      </c>
      <c r="S1038" t="s">
        <v>38</v>
      </c>
      <c r="T1038" t="s">
        <v>89</v>
      </c>
      <c r="U1038" t="s">
        <v>301</v>
      </c>
      <c r="V1038" t="s">
        <v>137</v>
      </c>
      <c r="W1038" t="s">
        <v>92</v>
      </c>
      <c r="X1038" t="s">
        <v>302</v>
      </c>
      <c r="Y1038" t="s">
        <v>2105</v>
      </c>
      <c r="Z1038" t="s">
        <v>42</v>
      </c>
      <c r="AA1038" t="s">
        <v>38</v>
      </c>
      <c r="AB1038" t="s">
        <v>38</v>
      </c>
      <c r="AC1038" t="s">
        <v>562</v>
      </c>
      <c r="AD1038" t="s">
        <v>48</v>
      </c>
      <c r="AG1038" t="str">
        <f>IF(AD1038="United States", IFERROR(INDEX(Sheet2!$C:$C, MATCH(AE1038&amp;AF1038, Sheet2!$E:$E, 0)) &amp; ", " &amp; INDEX(Sheet2!$D:$D, MATCH(AE1038&amp;AF1038, Sheet2!$E:$E, 0)), ""), "-")</f>
        <v/>
      </c>
    </row>
    <row r="1039" spans="1:33" x14ac:dyDescent="0.25">
      <c r="A1039" t="s">
        <v>52</v>
      </c>
      <c r="B1039" t="s">
        <v>2107</v>
      </c>
      <c r="C1039" t="s">
        <v>2065</v>
      </c>
      <c r="D1039" t="s">
        <v>2108</v>
      </c>
      <c r="E1039" t="s">
        <v>368</v>
      </c>
      <c r="F1039">
        <v>1776</v>
      </c>
      <c r="G1039">
        <v>385</v>
      </c>
      <c r="H1039" t="s">
        <v>1979</v>
      </c>
      <c r="I1039" t="s">
        <v>39</v>
      </c>
      <c r="J1039" t="s">
        <v>2066</v>
      </c>
      <c r="K1039" t="s">
        <v>38</v>
      </c>
      <c r="L1039" t="s">
        <v>38</v>
      </c>
      <c r="M1039" t="s">
        <v>38</v>
      </c>
      <c r="N1039" t="s">
        <v>38</v>
      </c>
      <c r="O1039" t="s">
        <v>54</v>
      </c>
      <c r="P1039" t="s">
        <v>42</v>
      </c>
      <c r="Q1039" t="s">
        <v>43</v>
      </c>
      <c r="R1039" t="s">
        <v>89</v>
      </c>
      <c r="S1039" t="s">
        <v>38</v>
      </c>
      <c r="T1039" t="s">
        <v>89</v>
      </c>
      <c r="U1039" t="s">
        <v>301</v>
      </c>
      <c r="V1039" t="s">
        <v>137</v>
      </c>
      <c r="W1039" t="s">
        <v>92</v>
      </c>
      <c r="X1039" t="s">
        <v>302</v>
      </c>
      <c r="Y1039" t="s">
        <v>2088</v>
      </c>
      <c r="Z1039" t="s">
        <v>42</v>
      </c>
      <c r="AA1039" t="s">
        <v>38</v>
      </c>
      <c r="AB1039" t="s">
        <v>38</v>
      </c>
      <c r="AC1039" t="s">
        <v>38</v>
      </c>
      <c r="AD1039" t="s">
        <v>48</v>
      </c>
      <c r="AG1039" t="str">
        <f>IF(AD1039="United States", IFERROR(INDEX(Sheet2!$C:$C, MATCH(AE1039&amp;AF1039, Sheet2!$E:$E, 0)) &amp; ", " &amp; INDEX(Sheet2!$D:$D, MATCH(AE1039&amp;AF1039, Sheet2!$E:$E, 0)), ""), "-")</f>
        <v/>
      </c>
    </row>
    <row r="1040" spans="1:33" x14ac:dyDescent="0.25">
      <c r="A1040" t="s">
        <v>52</v>
      </c>
      <c r="B1040" t="s">
        <v>2109</v>
      </c>
      <c r="C1040" t="s">
        <v>2020</v>
      </c>
      <c r="D1040" t="s">
        <v>2110</v>
      </c>
      <c r="E1040" t="s">
        <v>2111</v>
      </c>
      <c r="F1040">
        <v>1775</v>
      </c>
      <c r="G1040">
        <v>2701</v>
      </c>
      <c r="I1040" t="s">
        <v>39</v>
      </c>
      <c r="J1040" t="s">
        <v>1994</v>
      </c>
      <c r="O1040" t="s">
        <v>54</v>
      </c>
      <c r="P1040" t="s">
        <v>42</v>
      </c>
      <c r="Q1040" t="s">
        <v>43</v>
      </c>
      <c r="V1040" t="s">
        <v>270</v>
      </c>
      <c r="Y1040" t="s">
        <v>38</v>
      </c>
      <c r="Z1040" t="s">
        <v>42</v>
      </c>
      <c r="AA1040" t="s">
        <v>38</v>
      </c>
      <c r="AB1040" t="s">
        <v>38</v>
      </c>
      <c r="AC1040" t="s">
        <v>38</v>
      </c>
      <c r="AD1040" t="s">
        <v>48</v>
      </c>
      <c r="AG1040" t="str">
        <f>IF(AD1040="United States", IFERROR(INDEX(Sheet2!$C:$C, MATCH(AE1040&amp;AF1040, Sheet2!$E:$E, 0)) &amp; ", " &amp; INDEX(Sheet2!$D:$D, MATCH(AE1040&amp;AF1040, Sheet2!$E:$E, 0)), ""), "-")</f>
        <v/>
      </c>
    </row>
    <row r="1041" spans="1:33" x14ac:dyDescent="0.25">
      <c r="A1041" t="s">
        <v>52</v>
      </c>
      <c r="B1041" t="s">
        <v>2112</v>
      </c>
      <c r="C1041" t="s">
        <v>2065</v>
      </c>
      <c r="D1041" t="s">
        <v>177</v>
      </c>
      <c r="E1041" t="s">
        <v>2113</v>
      </c>
      <c r="F1041">
        <v>1753</v>
      </c>
      <c r="G1041">
        <v>373</v>
      </c>
      <c r="H1041" t="s">
        <v>1979</v>
      </c>
      <c r="I1041" t="s">
        <v>39</v>
      </c>
      <c r="J1041" t="s">
        <v>2066</v>
      </c>
      <c r="K1041" t="s">
        <v>38</v>
      </c>
      <c r="L1041" t="s">
        <v>38</v>
      </c>
      <c r="M1041" t="s">
        <v>38</v>
      </c>
      <c r="N1041" t="s">
        <v>38</v>
      </c>
      <c r="O1041" t="s">
        <v>41</v>
      </c>
      <c r="P1041" t="s">
        <v>42</v>
      </c>
      <c r="Q1041" t="s">
        <v>43</v>
      </c>
      <c r="R1041" t="s">
        <v>89</v>
      </c>
      <c r="S1041" t="s">
        <v>89</v>
      </c>
      <c r="T1041" t="s">
        <v>89</v>
      </c>
      <c r="U1041" t="s">
        <v>301</v>
      </c>
      <c r="V1041" t="s">
        <v>137</v>
      </c>
      <c r="W1041" t="s">
        <v>92</v>
      </c>
      <c r="X1041" t="s">
        <v>302</v>
      </c>
      <c r="Y1041" t="s">
        <v>2073</v>
      </c>
      <c r="Z1041" t="s">
        <v>42</v>
      </c>
      <c r="AA1041" t="s">
        <v>2114</v>
      </c>
      <c r="AB1041" t="s">
        <v>38</v>
      </c>
      <c r="AC1041" t="s">
        <v>89</v>
      </c>
      <c r="AD1041" t="s">
        <v>48</v>
      </c>
      <c r="AG1041" t="str">
        <f>IF(AD1041="United States", IFERROR(INDEX(Sheet2!$C:$C, MATCH(AE1041&amp;AF1041, Sheet2!$E:$E, 0)) &amp; ", " &amp; INDEX(Sheet2!$D:$D, MATCH(AE1041&amp;AF1041, Sheet2!$E:$E, 0)), ""), "-")</f>
        <v/>
      </c>
    </row>
    <row r="1042" spans="1:33" x14ac:dyDescent="0.25">
      <c r="A1042" t="s">
        <v>52</v>
      </c>
      <c r="B1042" t="s">
        <v>2115</v>
      </c>
      <c r="C1042" t="s">
        <v>1972</v>
      </c>
      <c r="D1042" t="s">
        <v>2116</v>
      </c>
      <c r="E1042" t="s">
        <v>38</v>
      </c>
      <c r="F1042">
        <v>1758</v>
      </c>
      <c r="G1042">
        <v>2466</v>
      </c>
      <c r="H1042" t="s">
        <v>536</v>
      </c>
      <c r="I1042" t="s">
        <v>87</v>
      </c>
      <c r="J1042" t="s">
        <v>38</v>
      </c>
      <c r="K1042" t="s">
        <v>38</v>
      </c>
      <c r="L1042" t="s">
        <v>38</v>
      </c>
      <c r="M1042" t="s">
        <v>38</v>
      </c>
      <c r="N1042" t="s">
        <v>38</v>
      </c>
      <c r="O1042" t="s">
        <v>41</v>
      </c>
      <c r="P1042" t="s">
        <v>42</v>
      </c>
      <c r="Q1042" t="s">
        <v>43</v>
      </c>
      <c r="R1042" t="s">
        <v>89</v>
      </c>
      <c r="S1042" t="s">
        <v>45</v>
      </c>
      <c r="T1042" t="s">
        <v>89</v>
      </c>
      <c r="U1042" t="s">
        <v>301</v>
      </c>
      <c r="V1042" t="s">
        <v>38</v>
      </c>
      <c r="W1042" t="s">
        <v>92</v>
      </c>
      <c r="X1042" t="s">
        <v>302</v>
      </c>
      <c r="Y1042" t="s">
        <v>2018</v>
      </c>
      <c r="Z1042" t="s">
        <v>42</v>
      </c>
      <c r="AA1042" t="s">
        <v>1051</v>
      </c>
      <c r="AB1042" t="s">
        <v>38</v>
      </c>
      <c r="AC1042" t="s">
        <v>45</v>
      </c>
      <c r="AD1042" t="s">
        <v>48</v>
      </c>
      <c r="AG1042" t="str">
        <f>IF(AD1042="United States", IFERROR(INDEX(Sheet2!$C:$C, MATCH(AE1042&amp;AF1042, Sheet2!$E:$E, 0)) &amp; ", " &amp; INDEX(Sheet2!$D:$D, MATCH(AE1042&amp;AF1042, Sheet2!$E:$E, 0)), ""), "-")</f>
        <v/>
      </c>
    </row>
    <row r="1043" spans="1:33" x14ac:dyDescent="0.25">
      <c r="A1043" t="s">
        <v>52</v>
      </c>
      <c r="B1043" t="s">
        <v>2117</v>
      </c>
      <c r="C1043" t="s">
        <v>2065</v>
      </c>
      <c r="D1043" t="s">
        <v>495</v>
      </c>
      <c r="E1043" t="s">
        <v>2118</v>
      </c>
      <c r="F1043">
        <v>1753</v>
      </c>
      <c r="G1043">
        <v>371</v>
      </c>
      <c r="H1043" t="s">
        <v>1979</v>
      </c>
      <c r="I1043" t="s">
        <v>39</v>
      </c>
      <c r="J1043" t="s">
        <v>2066</v>
      </c>
      <c r="K1043" t="s">
        <v>38</v>
      </c>
      <c r="L1043" t="s">
        <v>38</v>
      </c>
      <c r="M1043" t="s">
        <v>38</v>
      </c>
      <c r="N1043" t="s">
        <v>38</v>
      </c>
      <c r="O1043" t="s">
        <v>57</v>
      </c>
      <c r="P1043" t="s">
        <v>42</v>
      </c>
      <c r="Q1043" t="s">
        <v>43</v>
      </c>
      <c r="R1043" t="s">
        <v>89</v>
      </c>
      <c r="S1043" t="s">
        <v>38</v>
      </c>
      <c r="T1043" t="s">
        <v>89</v>
      </c>
      <c r="U1043" t="s">
        <v>301</v>
      </c>
      <c r="V1043" t="s">
        <v>137</v>
      </c>
      <c r="W1043" t="s">
        <v>92</v>
      </c>
      <c r="X1043" t="s">
        <v>302</v>
      </c>
      <c r="Y1043" t="s">
        <v>2073</v>
      </c>
      <c r="Z1043" t="s">
        <v>42</v>
      </c>
      <c r="AA1043" t="s">
        <v>38</v>
      </c>
      <c r="AB1043" t="s">
        <v>38</v>
      </c>
      <c r="AC1043" t="s">
        <v>2036</v>
      </c>
      <c r="AD1043" t="s">
        <v>48</v>
      </c>
      <c r="AG1043" t="str">
        <f>IF(AD1043="United States", IFERROR(INDEX(Sheet2!$C:$C, MATCH(AE1043&amp;AF1043, Sheet2!$E:$E, 0)) &amp; ", " &amp; INDEX(Sheet2!$D:$D, MATCH(AE1043&amp;AF1043, Sheet2!$E:$E, 0)), ""), "-")</f>
        <v/>
      </c>
    </row>
    <row r="1044" spans="1:33" x14ac:dyDescent="0.25">
      <c r="A1044" t="s">
        <v>52</v>
      </c>
      <c r="B1044" t="s">
        <v>2119</v>
      </c>
      <c r="C1044" t="s">
        <v>2065</v>
      </c>
      <c r="D1044" t="s">
        <v>639</v>
      </c>
      <c r="E1044" t="s">
        <v>807</v>
      </c>
      <c r="F1044">
        <v>1780</v>
      </c>
      <c r="G1044">
        <v>372</v>
      </c>
      <c r="H1044" t="s">
        <v>1979</v>
      </c>
      <c r="I1044" t="s">
        <v>39</v>
      </c>
      <c r="J1044" t="s">
        <v>2066</v>
      </c>
      <c r="K1044" t="s">
        <v>38</v>
      </c>
      <c r="L1044" t="s">
        <v>38</v>
      </c>
      <c r="M1044" t="s">
        <v>38</v>
      </c>
      <c r="N1044" t="s">
        <v>38</v>
      </c>
      <c r="O1044" t="s">
        <v>54</v>
      </c>
      <c r="P1044" t="s">
        <v>42</v>
      </c>
      <c r="Q1044" t="s">
        <v>43</v>
      </c>
      <c r="R1044" t="s">
        <v>89</v>
      </c>
      <c r="S1044" t="s">
        <v>38</v>
      </c>
      <c r="T1044" t="s">
        <v>89</v>
      </c>
      <c r="U1044" t="s">
        <v>301</v>
      </c>
      <c r="V1044" t="s">
        <v>137</v>
      </c>
      <c r="W1044" t="s">
        <v>92</v>
      </c>
      <c r="X1044" t="s">
        <v>302</v>
      </c>
      <c r="Y1044" t="s">
        <v>2073</v>
      </c>
      <c r="Z1044" t="s">
        <v>42</v>
      </c>
      <c r="AA1044" t="s">
        <v>38</v>
      </c>
      <c r="AB1044" t="s">
        <v>38</v>
      </c>
      <c r="AC1044" t="s">
        <v>38</v>
      </c>
      <c r="AD1044" t="s">
        <v>48</v>
      </c>
      <c r="AG1044" t="str">
        <f>IF(AD1044="United States", IFERROR(INDEX(Sheet2!$C:$C, MATCH(AE1044&amp;AF1044, Sheet2!$E:$E, 0)) &amp; ", " &amp; INDEX(Sheet2!$D:$D, MATCH(AE1044&amp;AF1044, Sheet2!$E:$E, 0)), ""), "-")</f>
        <v/>
      </c>
    </row>
    <row r="1045" spans="1:33" x14ac:dyDescent="0.25">
      <c r="A1045" t="s">
        <v>52</v>
      </c>
      <c r="B1045" t="s">
        <v>2000</v>
      </c>
      <c r="C1045" t="s">
        <v>1992</v>
      </c>
      <c r="D1045" t="s">
        <v>220</v>
      </c>
      <c r="E1045" t="s">
        <v>2001</v>
      </c>
      <c r="F1045">
        <v>1757</v>
      </c>
      <c r="G1045">
        <v>856</v>
      </c>
      <c r="H1045" t="s">
        <v>634</v>
      </c>
      <c r="I1045" t="s">
        <v>80</v>
      </c>
      <c r="J1045" t="s">
        <v>1994</v>
      </c>
      <c r="K1045" t="s">
        <v>38</v>
      </c>
      <c r="L1045" t="s">
        <v>38</v>
      </c>
      <c r="M1045" t="s">
        <v>38</v>
      </c>
      <c r="N1045" t="s">
        <v>38</v>
      </c>
      <c r="O1045" t="s">
        <v>41</v>
      </c>
      <c r="P1045" t="s">
        <v>42</v>
      </c>
      <c r="Q1045" t="s">
        <v>43</v>
      </c>
      <c r="R1045" t="s">
        <v>89</v>
      </c>
      <c r="S1045" t="s">
        <v>153</v>
      </c>
      <c r="T1045" t="s">
        <v>89</v>
      </c>
      <c r="U1045" t="s">
        <v>301</v>
      </c>
      <c r="V1045" t="s">
        <v>46</v>
      </c>
      <c r="W1045" t="s">
        <v>92</v>
      </c>
      <c r="X1045" t="s">
        <v>302</v>
      </c>
      <c r="Y1045" t="s">
        <v>2002</v>
      </c>
      <c r="Z1045" t="s">
        <v>42</v>
      </c>
      <c r="AA1045" t="s">
        <v>155</v>
      </c>
      <c r="AB1045" t="s">
        <v>38</v>
      </c>
      <c r="AC1045" t="s">
        <v>153</v>
      </c>
      <c r="AD1045" t="s">
        <v>48</v>
      </c>
      <c r="AG1045" t="str">
        <f>IF(AD1045="United States", IFERROR(INDEX(Sheet2!$C:$C, MATCH(AE1045&amp;AF1045, Sheet2!$E:$E, 0)) &amp; ", " &amp; INDEX(Sheet2!$D:$D, MATCH(AE1045&amp;AF1045, Sheet2!$E:$E, 0)), ""), "-")</f>
        <v/>
      </c>
    </row>
    <row r="1046" spans="1:33" x14ac:dyDescent="0.25">
      <c r="A1046" t="s">
        <v>52</v>
      </c>
      <c r="B1046" t="s">
        <v>2120</v>
      </c>
      <c r="C1046" t="s">
        <v>1972</v>
      </c>
      <c r="D1046" t="s">
        <v>2121</v>
      </c>
      <c r="E1046" t="s">
        <v>1491</v>
      </c>
      <c r="F1046">
        <v>1736</v>
      </c>
      <c r="G1046">
        <v>2457</v>
      </c>
      <c r="H1046" t="s">
        <v>38</v>
      </c>
      <c r="I1046" t="s">
        <v>87</v>
      </c>
      <c r="J1046" t="s">
        <v>38</v>
      </c>
      <c r="K1046" t="s">
        <v>38</v>
      </c>
      <c r="L1046" t="s">
        <v>38</v>
      </c>
      <c r="M1046" t="s">
        <v>38</v>
      </c>
      <c r="N1046" t="s">
        <v>38</v>
      </c>
      <c r="O1046" t="s">
        <v>41</v>
      </c>
      <c r="P1046" t="s">
        <v>42</v>
      </c>
      <c r="Q1046" t="s">
        <v>43</v>
      </c>
      <c r="R1046" t="s">
        <v>2122</v>
      </c>
      <c r="S1046" t="s">
        <v>165</v>
      </c>
      <c r="T1046" t="s">
        <v>38</v>
      </c>
      <c r="U1046" t="s">
        <v>38</v>
      </c>
      <c r="V1046" t="s">
        <v>38</v>
      </c>
      <c r="W1046" t="s">
        <v>38</v>
      </c>
      <c r="X1046" t="s">
        <v>38</v>
      </c>
      <c r="Y1046" t="s">
        <v>1973</v>
      </c>
      <c r="Z1046" t="s">
        <v>42</v>
      </c>
      <c r="AA1046" t="s">
        <v>38</v>
      </c>
      <c r="AB1046" t="s">
        <v>38</v>
      </c>
      <c r="AC1046" t="s">
        <v>165</v>
      </c>
      <c r="AD1046" t="s">
        <v>48</v>
      </c>
      <c r="AG1046" t="str">
        <f>IF(AD1046="United States", IFERROR(INDEX(Sheet2!$C:$C, MATCH(AE1046&amp;AF1046, Sheet2!$E:$E, 0)) &amp; ", " &amp; INDEX(Sheet2!$D:$D, MATCH(AE1046&amp;AF1046, Sheet2!$E:$E, 0)), ""), "-")</f>
        <v/>
      </c>
    </row>
    <row r="1047" spans="1:33" x14ac:dyDescent="0.25">
      <c r="A1047" t="s">
        <v>52</v>
      </c>
      <c r="B1047" t="s">
        <v>2123</v>
      </c>
      <c r="C1047" t="s">
        <v>1972</v>
      </c>
      <c r="D1047" t="s">
        <v>2124</v>
      </c>
      <c r="E1047" t="s">
        <v>1491</v>
      </c>
      <c r="F1047">
        <v>1758</v>
      </c>
      <c r="G1047">
        <v>2456</v>
      </c>
      <c r="H1047" t="s">
        <v>1923</v>
      </c>
      <c r="I1047" t="s">
        <v>87</v>
      </c>
      <c r="J1047" t="s">
        <v>38</v>
      </c>
      <c r="K1047" t="s">
        <v>38</v>
      </c>
      <c r="L1047" t="s">
        <v>38</v>
      </c>
      <c r="M1047" t="s">
        <v>38</v>
      </c>
      <c r="N1047" t="s">
        <v>38</v>
      </c>
      <c r="O1047" t="s">
        <v>57</v>
      </c>
      <c r="P1047" t="s">
        <v>42</v>
      </c>
      <c r="Q1047" t="s">
        <v>43</v>
      </c>
      <c r="R1047" t="s">
        <v>89</v>
      </c>
      <c r="S1047" t="s">
        <v>165</v>
      </c>
      <c r="T1047" t="s">
        <v>89</v>
      </c>
      <c r="U1047" t="s">
        <v>301</v>
      </c>
      <c r="V1047" t="s">
        <v>38</v>
      </c>
      <c r="W1047" t="s">
        <v>92</v>
      </c>
      <c r="X1047" t="s">
        <v>302</v>
      </c>
      <c r="Y1047" t="s">
        <v>1973</v>
      </c>
      <c r="Z1047" t="s">
        <v>42</v>
      </c>
      <c r="AA1047" t="s">
        <v>38</v>
      </c>
      <c r="AB1047" t="s">
        <v>38</v>
      </c>
      <c r="AC1047" t="s">
        <v>165</v>
      </c>
      <c r="AD1047" t="s">
        <v>48</v>
      </c>
      <c r="AG1047" t="str">
        <f>IF(AD1047="United States", IFERROR(INDEX(Sheet2!$C:$C, MATCH(AE1047&amp;AF1047, Sheet2!$E:$E, 0)) &amp; ", " &amp; INDEX(Sheet2!$D:$D, MATCH(AE1047&amp;AF1047, Sheet2!$E:$E, 0)), ""), "-")</f>
        <v/>
      </c>
    </row>
    <row r="1048" spans="1:33" x14ac:dyDescent="0.25">
      <c r="A1048" t="s">
        <v>52</v>
      </c>
      <c r="B1048" t="s">
        <v>2125</v>
      </c>
      <c r="C1048" t="s">
        <v>1972</v>
      </c>
      <c r="D1048" t="s">
        <v>245</v>
      </c>
      <c r="E1048" t="s">
        <v>2100</v>
      </c>
      <c r="F1048">
        <v>1752</v>
      </c>
      <c r="G1048">
        <v>2455</v>
      </c>
      <c r="H1048" t="s">
        <v>634</v>
      </c>
      <c r="I1048" t="s">
        <v>87</v>
      </c>
      <c r="J1048" t="s">
        <v>38</v>
      </c>
      <c r="K1048" t="s">
        <v>38</v>
      </c>
      <c r="L1048" t="s">
        <v>38</v>
      </c>
      <c r="M1048" t="s">
        <v>38</v>
      </c>
      <c r="N1048" t="s">
        <v>38</v>
      </c>
      <c r="O1048" t="s">
        <v>57</v>
      </c>
      <c r="P1048" t="s">
        <v>42</v>
      </c>
      <c r="Q1048" t="s">
        <v>43</v>
      </c>
      <c r="R1048" t="s">
        <v>89</v>
      </c>
      <c r="S1048" t="s">
        <v>38</v>
      </c>
      <c r="T1048" t="s">
        <v>89</v>
      </c>
      <c r="U1048" t="s">
        <v>301</v>
      </c>
      <c r="V1048" t="s">
        <v>38</v>
      </c>
      <c r="W1048" t="s">
        <v>92</v>
      </c>
      <c r="X1048" t="s">
        <v>302</v>
      </c>
      <c r="Y1048" t="s">
        <v>2095</v>
      </c>
      <c r="Z1048" t="s">
        <v>42</v>
      </c>
      <c r="AA1048" t="s">
        <v>38</v>
      </c>
      <c r="AB1048" t="s">
        <v>38</v>
      </c>
      <c r="AC1048" t="s">
        <v>38</v>
      </c>
      <c r="AD1048" t="s">
        <v>48</v>
      </c>
      <c r="AG1048" t="str">
        <f>IF(AD1048="United States", IFERROR(INDEX(Sheet2!$C:$C, MATCH(AE1048&amp;AF1048, Sheet2!$E:$E, 0)) &amp; ", " &amp; INDEX(Sheet2!$D:$D, MATCH(AE1048&amp;AF1048, Sheet2!$E:$E, 0)), ""), "-")</f>
        <v/>
      </c>
    </row>
    <row r="1049" spans="1:33" x14ac:dyDescent="0.25">
      <c r="A1049" t="s">
        <v>52</v>
      </c>
      <c r="B1049" t="s">
        <v>2126</v>
      </c>
      <c r="C1049" t="s">
        <v>1972</v>
      </c>
      <c r="D1049" t="s">
        <v>2127</v>
      </c>
      <c r="E1049" t="s">
        <v>38</v>
      </c>
      <c r="F1049">
        <v>1743</v>
      </c>
      <c r="G1049">
        <v>2454</v>
      </c>
      <c r="H1049" t="s">
        <v>1923</v>
      </c>
      <c r="I1049" t="s">
        <v>87</v>
      </c>
      <c r="J1049" t="s">
        <v>38</v>
      </c>
      <c r="K1049" t="s">
        <v>38</v>
      </c>
      <c r="L1049" t="s">
        <v>38</v>
      </c>
      <c r="M1049" t="s">
        <v>38</v>
      </c>
      <c r="N1049" t="s">
        <v>38</v>
      </c>
      <c r="O1049" t="s">
        <v>57</v>
      </c>
      <c r="P1049" t="s">
        <v>42</v>
      </c>
      <c r="Q1049" t="s">
        <v>43</v>
      </c>
      <c r="R1049" t="s">
        <v>89</v>
      </c>
      <c r="S1049" t="s">
        <v>153</v>
      </c>
      <c r="T1049" t="s">
        <v>89</v>
      </c>
      <c r="U1049" t="s">
        <v>301</v>
      </c>
      <c r="V1049" t="s">
        <v>38</v>
      </c>
      <c r="W1049" t="s">
        <v>92</v>
      </c>
      <c r="X1049" t="s">
        <v>302</v>
      </c>
      <c r="Y1049" t="s">
        <v>2095</v>
      </c>
      <c r="Z1049" t="s">
        <v>42</v>
      </c>
      <c r="AA1049" t="s">
        <v>1882</v>
      </c>
      <c r="AB1049" t="s">
        <v>38</v>
      </c>
      <c r="AC1049" t="s">
        <v>153</v>
      </c>
      <c r="AD1049" t="s">
        <v>48</v>
      </c>
      <c r="AG1049" t="str">
        <f>IF(AD1049="United States", IFERROR(INDEX(Sheet2!$C:$C, MATCH(AE1049&amp;AF1049, Sheet2!$E:$E, 0)) &amp; ", " &amp; INDEX(Sheet2!$D:$D, MATCH(AE1049&amp;AF1049, Sheet2!$E:$E, 0)), ""), "-")</f>
        <v/>
      </c>
    </row>
    <row r="1050" spans="1:33" x14ac:dyDescent="0.25">
      <c r="A1050" t="s">
        <v>52</v>
      </c>
      <c r="B1050" t="s">
        <v>2128</v>
      </c>
      <c r="C1050" t="s">
        <v>1972</v>
      </c>
      <c r="D1050" t="s">
        <v>132</v>
      </c>
      <c r="E1050" t="s">
        <v>38</v>
      </c>
      <c r="F1050">
        <v>1733</v>
      </c>
      <c r="G1050">
        <v>2453</v>
      </c>
      <c r="H1050" t="s">
        <v>1979</v>
      </c>
      <c r="I1050" t="s">
        <v>87</v>
      </c>
      <c r="J1050" t="s">
        <v>38</v>
      </c>
      <c r="K1050" t="s">
        <v>38</v>
      </c>
      <c r="L1050" t="s">
        <v>38</v>
      </c>
      <c r="M1050" t="s">
        <v>38</v>
      </c>
      <c r="N1050" t="s">
        <v>38</v>
      </c>
      <c r="O1050" t="s">
        <v>41</v>
      </c>
      <c r="P1050" t="s">
        <v>42</v>
      </c>
      <c r="Q1050" t="s">
        <v>43</v>
      </c>
      <c r="R1050" t="s">
        <v>89</v>
      </c>
      <c r="S1050" t="s">
        <v>153</v>
      </c>
      <c r="T1050" t="s">
        <v>89</v>
      </c>
      <c r="U1050" t="s">
        <v>301</v>
      </c>
      <c r="V1050" t="s">
        <v>38</v>
      </c>
      <c r="W1050" t="s">
        <v>92</v>
      </c>
      <c r="X1050" t="s">
        <v>302</v>
      </c>
      <c r="Y1050" t="s">
        <v>2095</v>
      </c>
      <c r="Z1050" t="s">
        <v>42</v>
      </c>
      <c r="AA1050" t="s">
        <v>155</v>
      </c>
      <c r="AB1050" t="s">
        <v>38</v>
      </c>
      <c r="AC1050" t="s">
        <v>153</v>
      </c>
      <c r="AD1050" t="s">
        <v>48</v>
      </c>
      <c r="AG1050" t="str">
        <f>IF(AD1050="United States", IFERROR(INDEX(Sheet2!$C:$C, MATCH(AE1050&amp;AF1050, Sheet2!$E:$E, 0)) &amp; ", " &amp; INDEX(Sheet2!$D:$D, MATCH(AE1050&amp;AF1050, Sheet2!$E:$E, 0)), ""), "-")</f>
        <v/>
      </c>
    </row>
    <row r="1051" spans="1:33" x14ac:dyDescent="0.25">
      <c r="A1051" t="s">
        <v>52</v>
      </c>
      <c r="B1051" t="s">
        <v>2003</v>
      </c>
      <c r="C1051" t="s">
        <v>1992</v>
      </c>
      <c r="D1051" t="s">
        <v>1638</v>
      </c>
      <c r="E1051" t="s">
        <v>38</v>
      </c>
      <c r="F1051">
        <v>1773</v>
      </c>
      <c r="G1051">
        <v>855</v>
      </c>
      <c r="H1051" t="s">
        <v>634</v>
      </c>
      <c r="I1051" t="s">
        <v>80</v>
      </c>
      <c r="J1051" t="s">
        <v>1994</v>
      </c>
      <c r="K1051" t="s">
        <v>38</v>
      </c>
      <c r="L1051" t="s">
        <v>38</v>
      </c>
      <c r="M1051" t="s">
        <v>245</v>
      </c>
      <c r="N1051" t="s">
        <v>38</v>
      </c>
      <c r="O1051" t="s">
        <v>54</v>
      </c>
      <c r="P1051" t="s">
        <v>42</v>
      </c>
      <c r="Q1051" t="s">
        <v>43</v>
      </c>
      <c r="R1051" t="s">
        <v>89</v>
      </c>
      <c r="S1051" t="s">
        <v>38</v>
      </c>
      <c r="T1051" t="s">
        <v>89</v>
      </c>
      <c r="U1051" t="s">
        <v>301</v>
      </c>
      <c r="V1051" t="s">
        <v>46</v>
      </c>
      <c r="W1051" t="s">
        <v>92</v>
      </c>
      <c r="X1051" t="s">
        <v>302</v>
      </c>
      <c r="Y1051" t="s">
        <v>2004</v>
      </c>
      <c r="Z1051" t="s">
        <v>42</v>
      </c>
      <c r="AA1051" t="s">
        <v>38</v>
      </c>
      <c r="AB1051" t="s">
        <v>38</v>
      </c>
      <c r="AC1051" t="s">
        <v>38</v>
      </c>
      <c r="AD1051" t="s">
        <v>48</v>
      </c>
      <c r="AG1051" t="str">
        <f>IF(AD1051="United States", IFERROR(INDEX(Sheet2!$C:$C, MATCH(AE1051&amp;AF1051, Sheet2!$E:$E, 0)) &amp; ", " &amp; INDEX(Sheet2!$D:$D, MATCH(AE1051&amp;AF1051, Sheet2!$E:$E, 0)), ""), "-")</f>
        <v/>
      </c>
    </row>
    <row r="1052" spans="1:33" x14ac:dyDescent="0.25">
      <c r="A1052" t="s">
        <v>52</v>
      </c>
      <c r="B1052" t="s">
        <v>2129</v>
      </c>
      <c r="C1052" t="s">
        <v>2065</v>
      </c>
      <c r="D1052" t="s">
        <v>2130</v>
      </c>
      <c r="E1052" t="s">
        <v>728</v>
      </c>
      <c r="F1052">
        <v>1756</v>
      </c>
      <c r="G1052">
        <v>366</v>
      </c>
      <c r="H1052" t="s">
        <v>1979</v>
      </c>
      <c r="I1052" t="s">
        <v>39</v>
      </c>
      <c r="J1052" t="s">
        <v>2066</v>
      </c>
      <c r="K1052" t="s">
        <v>38</v>
      </c>
      <c r="L1052" t="s">
        <v>38</v>
      </c>
      <c r="M1052" t="s">
        <v>38</v>
      </c>
      <c r="N1052" t="s">
        <v>38</v>
      </c>
      <c r="O1052" t="s">
        <v>57</v>
      </c>
      <c r="P1052" t="s">
        <v>42</v>
      </c>
      <c r="Q1052" t="s">
        <v>43</v>
      </c>
      <c r="R1052" t="s">
        <v>89</v>
      </c>
      <c r="S1052" t="s">
        <v>38</v>
      </c>
      <c r="T1052" t="s">
        <v>89</v>
      </c>
      <c r="U1052" t="s">
        <v>301</v>
      </c>
      <c r="V1052" t="s">
        <v>137</v>
      </c>
      <c r="W1052" t="s">
        <v>92</v>
      </c>
      <c r="X1052" t="s">
        <v>302</v>
      </c>
      <c r="Y1052" t="s">
        <v>2067</v>
      </c>
      <c r="Z1052" t="s">
        <v>42</v>
      </c>
      <c r="AA1052" t="s">
        <v>38</v>
      </c>
      <c r="AB1052" t="s">
        <v>38</v>
      </c>
      <c r="AC1052" t="s">
        <v>593</v>
      </c>
      <c r="AD1052" t="s">
        <v>48</v>
      </c>
      <c r="AG1052" t="str">
        <f>IF(AD1052="United States", IFERROR(INDEX(Sheet2!$C:$C, MATCH(AE1052&amp;AF1052, Sheet2!$E:$E, 0)) &amp; ", " &amp; INDEX(Sheet2!$D:$D, MATCH(AE1052&amp;AF1052, Sheet2!$E:$E, 0)), ""), "-")</f>
        <v/>
      </c>
    </row>
    <row r="1053" spans="1:33" x14ac:dyDescent="0.25">
      <c r="A1053" t="s">
        <v>52</v>
      </c>
      <c r="B1053" t="s">
        <v>2131</v>
      </c>
      <c r="C1053" t="s">
        <v>2065</v>
      </c>
      <c r="D1053" t="s">
        <v>2124</v>
      </c>
      <c r="E1053" t="s">
        <v>728</v>
      </c>
      <c r="F1053">
        <v>1780</v>
      </c>
      <c r="G1053">
        <v>367</v>
      </c>
      <c r="H1053" t="s">
        <v>1923</v>
      </c>
      <c r="I1053" t="s">
        <v>39</v>
      </c>
      <c r="J1053" t="s">
        <v>2066</v>
      </c>
      <c r="K1053" t="s">
        <v>38</v>
      </c>
      <c r="L1053" t="s">
        <v>38</v>
      </c>
      <c r="M1053" t="s">
        <v>38</v>
      </c>
      <c r="N1053" t="s">
        <v>38</v>
      </c>
      <c r="O1053" t="s">
        <v>54</v>
      </c>
      <c r="P1053" t="s">
        <v>42</v>
      </c>
      <c r="Q1053" t="s">
        <v>43</v>
      </c>
      <c r="R1053" t="s">
        <v>89</v>
      </c>
      <c r="S1053" t="s">
        <v>38</v>
      </c>
      <c r="T1053" t="s">
        <v>89</v>
      </c>
      <c r="U1053" t="s">
        <v>301</v>
      </c>
      <c r="V1053" t="s">
        <v>137</v>
      </c>
      <c r="W1053" t="s">
        <v>92</v>
      </c>
      <c r="X1053" t="s">
        <v>302</v>
      </c>
      <c r="Y1053" t="s">
        <v>2067</v>
      </c>
      <c r="Z1053" t="s">
        <v>42</v>
      </c>
      <c r="AA1053" t="s">
        <v>38</v>
      </c>
      <c r="AB1053" t="s">
        <v>38</v>
      </c>
      <c r="AC1053" t="s">
        <v>38</v>
      </c>
      <c r="AD1053" t="s">
        <v>48</v>
      </c>
      <c r="AG1053" t="str">
        <f>IF(AD1053="United States", IFERROR(INDEX(Sheet2!$C:$C, MATCH(AE1053&amp;AF1053, Sheet2!$E:$E, 0)) &amp; ", " &amp; INDEX(Sheet2!$D:$D, MATCH(AE1053&amp;AF1053, Sheet2!$E:$E, 0)), ""), "-")</f>
        <v/>
      </c>
    </row>
    <row r="1054" spans="1:33" x14ac:dyDescent="0.25">
      <c r="A1054" t="s">
        <v>52</v>
      </c>
      <c r="B1054" t="s">
        <v>2132</v>
      </c>
      <c r="C1054" t="s">
        <v>2065</v>
      </c>
      <c r="D1054" t="s">
        <v>36</v>
      </c>
      <c r="E1054" t="s">
        <v>2133</v>
      </c>
      <c r="F1054">
        <v>1753</v>
      </c>
      <c r="G1054">
        <v>368</v>
      </c>
      <c r="H1054" t="s">
        <v>1979</v>
      </c>
      <c r="I1054" t="s">
        <v>39</v>
      </c>
      <c r="J1054" t="s">
        <v>2066</v>
      </c>
      <c r="K1054" t="s">
        <v>38</v>
      </c>
      <c r="L1054" t="s">
        <v>38</v>
      </c>
      <c r="M1054" t="s">
        <v>38</v>
      </c>
      <c r="N1054" t="s">
        <v>38</v>
      </c>
      <c r="O1054" t="s">
        <v>41</v>
      </c>
      <c r="P1054" t="s">
        <v>42</v>
      </c>
      <c r="Q1054" t="s">
        <v>43</v>
      </c>
      <c r="R1054" t="s">
        <v>89</v>
      </c>
      <c r="S1054" t="s">
        <v>45</v>
      </c>
      <c r="T1054" t="s">
        <v>89</v>
      </c>
      <c r="U1054" t="s">
        <v>301</v>
      </c>
      <c r="V1054" t="s">
        <v>137</v>
      </c>
      <c r="W1054" t="s">
        <v>92</v>
      </c>
      <c r="X1054" t="s">
        <v>302</v>
      </c>
      <c r="Y1054" t="s">
        <v>2067</v>
      </c>
      <c r="Z1054" t="s">
        <v>42</v>
      </c>
      <c r="AA1054" t="s">
        <v>2134</v>
      </c>
      <c r="AB1054" t="s">
        <v>38</v>
      </c>
      <c r="AC1054" t="s">
        <v>45</v>
      </c>
      <c r="AD1054" t="s">
        <v>48</v>
      </c>
      <c r="AG1054" t="str">
        <f>IF(AD1054="United States", IFERROR(INDEX(Sheet2!$C:$C, MATCH(AE1054&amp;AF1054, Sheet2!$E:$E, 0)) &amp; ", " &amp; INDEX(Sheet2!$D:$D, MATCH(AE1054&amp;AF1054, Sheet2!$E:$E, 0)), ""), "-")</f>
        <v/>
      </c>
    </row>
    <row r="1055" spans="1:33" x14ac:dyDescent="0.25">
      <c r="A1055" t="s">
        <v>52</v>
      </c>
      <c r="B1055" t="s">
        <v>2135</v>
      </c>
      <c r="C1055" t="s">
        <v>2065</v>
      </c>
      <c r="D1055" t="s">
        <v>114</v>
      </c>
      <c r="E1055" t="s">
        <v>2133</v>
      </c>
      <c r="F1055">
        <v>1748</v>
      </c>
      <c r="G1055">
        <v>369</v>
      </c>
      <c r="H1055" t="s">
        <v>1979</v>
      </c>
      <c r="I1055" t="s">
        <v>39</v>
      </c>
      <c r="J1055" t="s">
        <v>2066</v>
      </c>
      <c r="K1055" t="s">
        <v>38</v>
      </c>
      <c r="L1055" t="s">
        <v>38</v>
      </c>
      <c r="M1055" t="s">
        <v>38</v>
      </c>
      <c r="N1055" t="s">
        <v>38</v>
      </c>
      <c r="O1055" t="s">
        <v>57</v>
      </c>
      <c r="P1055" t="s">
        <v>42</v>
      </c>
      <c r="Q1055" t="s">
        <v>43</v>
      </c>
      <c r="R1055" t="s">
        <v>89</v>
      </c>
      <c r="S1055" t="s">
        <v>45</v>
      </c>
      <c r="T1055" t="s">
        <v>89</v>
      </c>
      <c r="U1055" t="s">
        <v>301</v>
      </c>
      <c r="V1055" t="s">
        <v>137</v>
      </c>
      <c r="W1055" t="s">
        <v>92</v>
      </c>
      <c r="X1055" t="s">
        <v>302</v>
      </c>
      <c r="Y1055" t="s">
        <v>2067</v>
      </c>
      <c r="Z1055" t="s">
        <v>42</v>
      </c>
      <c r="AA1055" t="s">
        <v>169</v>
      </c>
      <c r="AB1055" t="s">
        <v>38</v>
      </c>
      <c r="AC1055" t="s">
        <v>45</v>
      </c>
      <c r="AD1055" t="s">
        <v>48</v>
      </c>
      <c r="AG1055" t="str">
        <f>IF(AD1055="United States", IFERROR(INDEX(Sheet2!$C:$C, MATCH(AE1055&amp;AF1055, Sheet2!$E:$E, 0)) &amp; ", " &amp; INDEX(Sheet2!$D:$D, MATCH(AE1055&amp;AF1055, Sheet2!$E:$E, 0)), ""), "-")</f>
        <v/>
      </c>
    </row>
    <row r="1056" spans="1:33" x14ac:dyDescent="0.25">
      <c r="A1056" t="s">
        <v>52</v>
      </c>
      <c r="B1056" t="s">
        <v>2136</v>
      </c>
      <c r="C1056" t="s">
        <v>2065</v>
      </c>
      <c r="D1056" t="s">
        <v>36</v>
      </c>
      <c r="E1056" t="s">
        <v>807</v>
      </c>
      <c r="F1056">
        <v>1753</v>
      </c>
      <c r="G1056">
        <v>370</v>
      </c>
      <c r="H1056" t="s">
        <v>1979</v>
      </c>
      <c r="I1056" t="s">
        <v>39</v>
      </c>
      <c r="J1056" t="s">
        <v>2066</v>
      </c>
      <c r="K1056" t="s">
        <v>38</v>
      </c>
      <c r="L1056" t="s">
        <v>38</v>
      </c>
      <c r="M1056" t="s">
        <v>38</v>
      </c>
      <c r="N1056" t="s">
        <v>38</v>
      </c>
      <c r="O1056" t="s">
        <v>41</v>
      </c>
      <c r="P1056" t="s">
        <v>42</v>
      </c>
      <c r="Q1056" t="s">
        <v>43</v>
      </c>
      <c r="R1056" t="s">
        <v>89</v>
      </c>
      <c r="S1056" t="s">
        <v>89</v>
      </c>
      <c r="T1056" t="s">
        <v>89</v>
      </c>
      <c r="U1056" t="s">
        <v>301</v>
      </c>
      <c r="V1056" t="s">
        <v>137</v>
      </c>
      <c r="W1056" t="s">
        <v>92</v>
      </c>
      <c r="X1056" t="s">
        <v>302</v>
      </c>
      <c r="Y1056" t="s">
        <v>2073</v>
      </c>
      <c r="Z1056" t="s">
        <v>42</v>
      </c>
      <c r="AA1056" t="s">
        <v>38</v>
      </c>
      <c r="AB1056" t="s">
        <v>38</v>
      </c>
      <c r="AC1056" t="s">
        <v>89</v>
      </c>
      <c r="AD1056" t="s">
        <v>48</v>
      </c>
      <c r="AG1056" t="str">
        <f>IF(AD1056="United States", IFERROR(INDEX(Sheet2!$C:$C, MATCH(AE1056&amp;AF1056, Sheet2!$E:$E, 0)) &amp; ", " &amp; INDEX(Sheet2!$D:$D, MATCH(AE1056&amp;AF1056, Sheet2!$E:$E, 0)), ""), "-")</f>
        <v/>
      </c>
    </row>
    <row r="1057" spans="1:33" x14ac:dyDescent="0.25">
      <c r="A1057" t="s">
        <v>52</v>
      </c>
      <c r="B1057" t="s">
        <v>2137</v>
      </c>
      <c r="C1057" t="s">
        <v>2138</v>
      </c>
      <c r="D1057" t="s">
        <v>938</v>
      </c>
      <c r="E1057" t="s">
        <v>38</v>
      </c>
      <c r="F1057">
        <v>1765</v>
      </c>
      <c r="G1057">
        <v>1813</v>
      </c>
      <c r="H1057" t="s">
        <v>313</v>
      </c>
      <c r="I1057" t="s">
        <v>80</v>
      </c>
      <c r="J1057" t="s">
        <v>38</v>
      </c>
      <c r="K1057" t="s">
        <v>38</v>
      </c>
      <c r="L1057" t="s">
        <v>38</v>
      </c>
      <c r="M1057" t="s">
        <v>38</v>
      </c>
      <c r="N1057" t="s">
        <v>38</v>
      </c>
      <c r="O1057" t="s">
        <v>41</v>
      </c>
      <c r="P1057" t="s">
        <v>42</v>
      </c>
      <c r="Q1057" t="s">
        <v>43</v>
      </c>
      <c r="R1057" t="s">
        <v>89</v>
      </c>
      <c r="S1057" t="s">
        <v>38</v>
      </c>
      <c r="T1057" t="s">
        <v>89</v>
      </c>
      <c r="U1057" t="s">
        <v>301</v>
      </c>
      <c r="V1057" t="s">
        <v>38</v>
      </c>
      <c r="W1057" t="s">
        <v>92</v>
      </c>
      <c r="X1057" t="s">
        <v>302</v>
      </c>
      <c r="Y1057" t="s">
        <v>38</v>
      </c>
      <c r="Z1057" t="s">
        <v>42</v>
      </c>
      <c r="AA1057" t="s">
        <v>1871</v>
      </c>
      <c r="AB1057" t="s">
        <v>2139</v>
      </c>
      <c r="AC1057" t="s">
        <v>2139</v>
      </c>
      <c r="AD1057" t="s">
        <v>48</v>
      </c>
      <c r="AG1057" t="str">
        <f>IF(AD1057="United States", IFERROR(INDEX(Sheet2!$C:$C, MATCH(AE1057&amp;AF1057, Sheet2!$E:$E, 0)) &amp; ", " &amp; INDEX(Sheet2!$D:$D, MATCH(AE1057&amp;AF1057, Sheet2!$E:$E, 0)), ""), "-")</f>
        <v/>
      </c>
    </row>
    <row r="1058" spans="1:33" x14ac:dyDescent="0.25">
      <c r="A1058" t="s">
        <v>1727</v>
      </c>
      <c r="B1058" t="s">
        <v>2140</v>
      </c>
      <c r="C1058" t="s">
        <v>2141</v>
      </c>
      <c r="D1058" t="s">
        <v>1230</v>
      </c>
      <c r="E1058" t="s">
        <v>38</v>
      </c>
      <c r="F1058">
        <v>1759</v>
      </c>
      <c r="G1058">
        <v>2266</v>
      </c>
      <c r="H1058" t="s">
        <v>86</v>
      </c>
      <c r="I1058" t="s">
        <v>87</v>
      </c>
      <c r="J1058" t="s">
        <v>38</v>
      </c>
      <c r="K1058" t="s">
        <v>38</v>
      </c>
      <c r="L1058" t="s">
        <v>38</v>
      </c>
      <c r="M1058" t="s">
        <v>38</v>
      </c>
      <c r="N1058" t="s">
        <v>38</v>
      </c>
      <c r="O1058" t="s">
        <v>57</v>
      </c>
      <c r="P1058" t="s">
        <v>42</v>
      </c>
      <c r="Q1058" t="s">
        <v>43</v>
      </c>
      <c r="R1058" t="s">
        <v>89</v>
      </c>
      <c r="S1058" t="s">
        <v>201</v>
      </c>
      <c r="T1058" t="s">
        <v>89</v>
      </c>
      <c r="U1058" t="s">
        <v>38</v>
      </c>
      <c r="V1058" t="s">
        <v>38</v>
      </c>
      <c r="W1058" t="s">
        <v>92</v>
      </c>
      <c r="X1058" t="s">
        <v>38</v>
      </c>
      <c r="Y1058" t="s">
        <v>2142</v>
      </c>
      <c r="Z1058" t="s">
        <v>42</v>
      </c>
      <c r="AA1058" t="s">
        <v>1735</v>
      </c>
      <c r="AB1058" t="s">
        <v>38</v>
      </c>
      <c r="AC1058" t="s">
        <v>201</v>
      </c>
      <c r="AD1058" t="s">
        <v>48</v>
      </c>
      <c r="AG1058" t="str">
        <f>IF(AD1058="United States", IFERROR(INDEX(Sheet2!$C:$C, MATCH(AE1058&amp;AF1058, Sheet2!$E:$E, 0)) &amp; ", " &amp; INDEX(Sheet2!$D:$D, MATCH(AE1058&amp;AF1058, Sheet2!$E:$E, 0)), ""), "-")</f>
        <v/>
      </c>
    </row>
    <row r="1059" spans="1:33" x14ac:dyDescent="0.25">
      <c r="A1059" t="s">
        <v>1727</v>
      </c>
      <c r="B1059" t="s">
        <v>2143</v>
      </c>
      <c r="C1059" t="s">
        <v>2141</v>
      </c>
      <c r="D1059" t="s">
        <v>535</v>
      </c>
      <c r="E1059" t="s">
        <v>38</v>
      </c>
      <c r="F1059">
        <v>1762</v>
      </c>
      <c r="G1059">
        <v>2265</v>
      </c>
      <c r="H1059" t="s">
        <v>86</v>
      </c>
      <c r="I1059" t="s">
        <v>87</v>
      </c>
      <c r="J1059" t="s">
        <v>38</v>
      </c>
      <c r="K1059" t="s">
        <v>38</v>
      </c>
      <c r="L1059" t="s">
        <v>38</v>
      </c>
      <c r="M1059" t="s">
        <v>38</v>
      </c>
      <c r="N1059" t="s">
        <v>38</v>
      </c>
      <c r="O1059" t="s">
        <v>57</v>
      </c>
      <c r="P1059" t="s">
        <v>42</v>
      </c>
      <c r="Q1059" t="s">
        <v>43</v>
      </c>
      <c r="R1059" t="s">
        <v>89</v>
      </c>
      <c r="S1059" t="s">
        <v>153</v>
      </c>
      <c r="T1059" t="s">
        <v>89</v>
      </c>
      <c r="U1059" t="s">
        <v>38</v>
      </c>
      <c r="V1059" t="s">
        <v>38</v>
      </c>
      <c r="W1059" t="s">
        <v>92</v>
      </c>
      <c r="X1059" t="s">
        <v>38</v>
      </c>
      <c r="Y1059" t="s">
        <v>2144</v>
      </c>
      <c r="Z1059" t="s">
        <v>42</v>
      </c>
      <c r="AA1059" t="s">
        <v>155</v>
      </c>
      <c r="AB1059" t="s">
        <v>38</v>
      </c>
      <c r="AC1059" t="s">
        <v>153</v>
      </c>
      <c r="AD1059" t="s">
        <v>48</v>
      </c>
      <c r="AG1059" t="str">
        <f>IF(AD1059="United States", IFERROR(INDEX(Sheet2!$C:$C, MATCH(AE1059&amp;AF1059, Sheet2!$E:$E, 0)) &amp; ", " &amp; INDEX(Sheet2!$D:$D, MATCH(AE1059&amp;AF1059, Sheet2!$E:$E, 0)), ""), "-")</f>
        <v/>
      </c>
    </row>
    <row r="1060" spans="1:33" x14ac:dyDescent="0.25">
      <c r="A1060" t="s">
        <v>1727</v>
      </c>
      <c r="B1060" t="s">
        <v>2145</v>
      </c>
      <c r="C1060" t="s">
        <v>2141</v>
      </c>
      <c r="D1060" t="s">
        <v>2146</v>
      </c>
      <c r="E1060" t="s">
        <v>38</v>
      </c>
      <c r="F1060">
        <v>1761</v>
      </c>
      <c r="G1060">
        <v>2264</v>
      </c>
      <c r="H1060" t="s">
        <v>38</v>
      </c>
      <c r="I1060" t="s">
        <v>87</v>
      </c>
      <c r="J1060" t="s">
        <v>38</v>
      </c>
      <c r="K1060" t="s">
        <v>38</v>
      </c>
      <c r="L1060" t="s">
        <v>38</v>
      </c>
      <c r="M1060" t="s">
        <v>38</v>
      </c>
      <c r="N1060" t="s">
        <v>38</v>
      </c>
      <c r="O1060" t="s">
        <v>57</v>
      </c>
      <c r="P1060" t="s">
        <v>42</v>
      </c>
      <c r="Q1060" t="s">
        <v>43</v>
      </c>
      <c r="R1060" t="s">
        <v>155</v>
      </c>
      <c r="S1060" t="s">
        <v>153</v>
      </c>
      <c r="T1060" t="s">
        <v>38</v>
      </c>
      <c r="U1060" t="s">
        <v>38</v>
      </c>
      <c r="V1060" t="s">
        <v>38</v>
      </c>
      <c r="W1060" t="s">
        <v>38</v>
      </c>
      <c r="X1060" t="s">
        <v>38</v>
      </c>
      <c r="Y1060" t="s">
        <v>2142</v>
      </c>
      <c r="Z1060" t="s">
        <v>42</v>
      </c>
      <c r="AA1060" t="s">
        <v>155</v>
      </c>
      <c r="AB1060" t="s">
        <v>38</v>
      </c>
      <c r="AC1060" t="s">
        <v>153</v>
      </c>
      <c r="AD1060" t="s">
        <v>48</v>
      </c>
      <c r="AG1060" t="str">
        <f>IF(AD1060="United States", IFERROR(INDEX(Sheet2!$C:$C, MATCH(AE1060&amp;AF1060, Sheet2!$E:$E, 0)) &amp; ", " &amp; INDEX(Sheet2!$D:$D, MATCH(AE1060&amp;AF1060, Sheet2!$E:$E, 0)), ""), "-")</f>
        <v/>
      </c>
    </row>
    <row r="1061" spans="1:33" x14ac:dyDescent="0.25">
      <c r="A1061" t="s">
        <v>1727</v>
      </c>
      <c r="B1061" t="s">
        <v>2147</v>
      </c>
      <c r="C1061" t="s">
        <v>2141</v>
      </c>
      <c r="D1061" t="s">
        <v>2148</v>
      </c>
      <c r="E1061" t="s">
        <v>2149</v>
      </c>
      <c r="F1061" t="s">
        <v>38</v>
      </c>
      <c r="G1061">
        <v>2732</v>
      </c>
      <c r="I1061" t="s">
        <v>87</v>
      </c>
      <c r="J1061" t="s">
        <v>38</v>
      </c>
      <c r="O1061" t="s">
        <v>41</v>
      </c>
      <c r="P1061" t="s">
        <v>42</v>
      </c>
      <c r="Q1061" t="s">
        <v>43</v>
      </c>
      <c r="V1061" t="s">
        <v>2150</v>
      </c>
      <c r="Y1061" t="s">
        <v>38</v>
      </c>
      <c r="Z1061" t="s">
        <v>42</v>
      </c>
      <c r="AA1061" t="s">
        <v>38</v>
      </c>
      <c r="AB1061" t="s">
        <v>38</v>
      </c>
      <c r="AC1061" t="s">
        <v>38</v>
      </c>
      <c r="AD1061" t="s">
        <v>48</v>
      </c>
      <c r="AG1061" t="str">
        <f>IF(AD1061="United States", IFERROR(INDEX(Sheet2!$C:$C, MATCH(AE1061&amp;AF1061, Sheet2!$E:$E, 0)) &amp; ", " &amp; INDEX(Sheet2!$D:$D, MATCH(AE1061&amp;AF1061, Sheet2!$E:$E, 0)), ""), "-")</f>
        <v/>
      </c>
    </row>
    <row r="1062" spans="1:33" x14ac:dyDescent="0.25">
      <c r="A1062" t="s">
        <v>1727</v>
      </c>
      <c r="B1062" t="s">
        <v>2151</v>
      </c>
      <c r="C1062" t="s">
        <v>2141</v>
      </c>
      <c r="D1062" t="s">
        <v>162</v>
      </c>
      <c r="F1062" t="s">
        <v>38</v>
      </c>
      <c r="G1062">
        <v>2731</v>
      </c>
      <c r="I1062" t="s">
        <v>87</v>
      </c>
      <c r="J1062" t="s">
        <v>38</v>
      </c>
      <c r="O1062" t="s">
        <v>41</v>
      </c>
      <c r="P1062" t="s">
        <v>42</v>
      </c>
      <c r="Q1062" t="s">
        <v>43</v>
      </c>
      <c r="V1062" t="s">
        <v>2150</v>
      </c>
      <c r="Y1062" t="s">
        <v>2142</v>
      </c>
      <c r="Z1062" t="s">
        <v>42</v>
      </c>
      <c r="AA1062" t="s">
        <v>38</v>
      </c>
      <c r="AB1062" t="s">
        <v>38</v>
      </c>
      <c r="AC1062" t="s">
        <v>38</v>
      </c>
      <c r="AD1062" t="s">
        <v>48</v>
      </c>
      <c r="AG1062" t="str">
        <f>IF(AD1062="United States", IFERROR(INDEX(Sheet2!$C:$C, MATCH(AE1062&amp;AF1062, Sheet2!$E:$E, 0)) &amp; ", " &amp; INDEX(Sheet2!$D:$D, MATCH(AE1062&amp;AF1062, Sheet2!$E:$E, 0)), ""), "-")</f>
        <v/>
      </c>
    </row>
    <row r="1063" spans="1:33" x14ac:dyDescent="0.25">
      <c r="A1063" t="s">
        <v>1727</v>
      </c>
      <c r="B1063" t="s">
        <v>2152</v>
      </c>
      <c r="C1063" t="s">
        <v>2141</v>
      </c>
      <c r="D1063" t="s">
        <v>1818</v>
      </c>
      <c r="F1063" t="s">
        <v>38</v>
      </c>
      <c r="G1063">
        <v>2730</v>
      </c>
      <c r="I1063" t="s">
        <v>87</v>
      </c>
      <c r="J1063" t="s">
        <v>38</v>
      </c>
      <c r="O1063" t="s">
        <v>41</v>
      </c>
      <c r="P1063" t="s">
        <v>42</v>
      </c>
      <c r="Q1063" t="s">
        <v>43</v>
      </c>
      <c r="V1063" t="s">
        <v>2150</v>
      </c>
      <c r="Y1063" t="s">
        <v>2142</v>
      </c>
      <c r="Z1063" t="s">
        <v>42</v>
      </c>
      <c r="AA1063" t="s">
        <v>38</v>
      </c>
      <c r="AB1063" t="s">
        <v>38</v>
      </c>
      <c r="AC1063" t="s">
        <v>38</v>
      </c>
      <c r="AD1063" t="s">
        <v>48</v>
      </c>
      <c r="AG1063" t="str">
        <f>IF(AD1063="United States", IFERROR(INDEX(Sheet2!$C:$C, MATCH(AE1063&amp;AF1063, Sheet2!$E:$E, 0)) &amp; ", " &amp; INDEX(Sheet2!$D:$D, MATCH(AE1063&amp;AF1063, Sheet2!$E:$E, 0)), ""), "-")</f>
        <v/>
      </c>
    </row>
    <row r="1064" spans="1:33" x14ac:dyDescent="0.25">
      <c r="A1064" t="s">
        <v>1727</v>
      </c>
      <c r="B1064" t="s">
        <v>2153</v>
      </c>
      <c r="C1064" t="s">
        <v>2141</v>
      </c>
      <c r="D1064" t="s">
        <v>140</v>
      </c>
      <c r="E1064" t="s">
        <v>38</v>
      </c>
      <c r="F1064">
        <v>1761</v>
      </c>
      <c r="G1064">
        <v>2263</v>
      </c>
      <c r="H1064" t="s">
        <v>86</v>
      </c>
      <c r="I1064" t="s">
        <v>87</v>
      </c>
      <c r="J1064" t="s">
        <v>38</v>
      </c>
      <c r="K1064" t="s">
        <v>38</v>
      </c>
      <c r="L1064" t="s">
        <v>38</v>
      </c>
      <c r="M1064" t="s">
        <v>38</v>
      </c>
      <c r="N1064" t="s">
        <v>38</v>
      </c>
      <c r="O1064" t="s">
        <v>57</v>
      </c>
      <c r="P1064" t="s">
        <v>42</v>
      </c>
      <c r="Q1064" t="s">
        <v>43</v>
      </c>
      <c r="R1064" t="s">
        <v>89</v>
      </c>
      <c r="S1064" t="s">
        <v>45</v>
      </c>
      <c r="T1064" t="s">
        <v>89</v>
      </c>
      <c r="U1064" t="s">
        <v>38</v>
      </c>
      <c r="V1064" t="s">
        <v>38</v>
      </c>
      <c r="W1064" t="s">
        <v>92</v>
      </c>
      <c r="X1064" t="s">
        <v>38</v>
      </c>
      <c r="Y1064" t="s">
        <v>2144</v>
      </c>
      <c r="Z1064" t="s">
        <v>42</v>
      </c>
      <c r="AA1064" t="s">
        <v>2154</v>
      </c>
      <c r="AB1064" t="s">
        <v>38</v>
      </c>
      <c r="AC1064" t="s">
        <v>45</v>
      </c>
      <c r="AD1064" t="s">
        <v>48</v>
      </c>
      <c r="AG1064" t="str">
        <f>IF(AD1064="United States", IFERROR(INDEX(Sheet2!$C:$C, MATCH(AE1064&amp;AF1064, Sheet2!$E:$E, 0)) &amp; ", " &amp; INDEX(Sheet2!$D:$D, MATCH(AE1064&amp;AF1064, Sheet2!$E:$E, 0)), ""), "-")</f>
        <v/>
      </c>
    </row>
    <row r="1065" spans="1:33" x14ac:dyDescent="0.25">
      <c r="A1065" t="s">
        <v>1727</v>
      </c>
      <c r="B1065" t="s">
        <v>2155</v>
      </c>
      <c r="C1065" t="s">
        <v>2141</v>
      </c>
      <c r="D1065" t="s">
        <v>114</v>
      </c>
      <c r="E1065" t="s">
        <v>38</v>
      </c>
      <c r="F1065">
        <v>1766</v>
      </c>
      <c r="G1065">
        <v>2270</v>
      </c>
      <c r="H1065" t="s">
        <v>1770</v>
      </c>
      <c r="I1065" t="s">
        <v>87</v>
      </c>
      <c r="J1065" t="s">
        <v>38</v>
      </c>
      <c r="K1065" t="s">
        <v>38</v>
      </c>
      <c r="L1065" t="s">
        <v>38</v>
      </c>
      <c r="M1065" t="s">
        <v>38</v>
      </c>
      <c r="N1065" t="s">
        <v>38</v>
      </c>
      <c r="O1065" t="s">
        <v>74</v>
      </c>
      <c r="P1065" t="s">
        <v>42</v>
      </c>
      <c r="Q1065" t="s">
        <v>43</v>
      </c>
      <c r="R1065" t="s">
        <v>89</v>
      </c>
      <c r="S1065" t="s">
        <v>38</v>
      </c>
      <c r="T1065" t="s">
        <v>89</v>
      </c>
      <c r="U1065" t="s">
        <v>38</v>
      </c>
      <c r="V1065" t="s">
        <v>38</v>
      </c>
      <c r="W1065" t="s">
        <v>92</v>
      </c>
      <c r="X1065" t="s">
        <v>38</v>
      </c>
      <c r="Y1065" t="s">
        <v>2144</v>
      </c>
      <c r="Z1065" t="s">
        <v>42</v>
      </c>
      <c r="AA1065" t="s">
        <v>38</v>
      </c>
      <c r="AB1065" t="s">
        <v>38</v>
      </c>
      <c r="AC1065" t="s">
        <v>593</v>
      </c>
      <c r="AD1065" t="s">
        <v>48</v>
      </c>
      <c r="AG1065" t="str">
        <f>IF(AD1065="United States", IFERROR(INDEX(Sheet2!$C:$C, MATCH(AE1065&amp;AF1065, Sheet2!$E:$E, 0)) &amp; ", " &amp; INDEX(Sheet2!$D:$D, MATCH(AE1065&amp;AF1065, Sheet2!$E:$E, 0)), ""), "-")</f>
        <v/>
      </c>
    </row>
    <row r="1066" spans="1:33" x14ac:dyDescent="0.25">
      <c r="A1066" t="s">
        <v>1727</v>
      </c>
      <c r="B1066" t="s">
        <v>2156</v>
      </c>
      <c r="C1066" t="s">
        <v>2141</v>
      </c>
      <c r="D1066" t="s">
        <v>1845</v>
      </c>
      <c r="E1066" t="s">
        <v>38</v>
      </c>
      <c r="F1066">
        <v>1761</v>
      </c>
      <c r="G1066">
        <v>2269</v>
      </c>
      <c r="H1066" t="s">
        <v>1770</v>
      </c>
      <c r="I1066" t="s">
        <v>87</v>
      </c>
      <c r="J1066" t="s">
        <v>38</v>
      </c>
      <c r="K1066" t="s">
        <v>38</v>
      </c>
      <c r="L1066" t="s">
        <v>38</v>
      </c>
      <c r="M1066" t="s">
        <v>38</v>
      </c>
      <c r="N1066" t="s">
        <v>38</v>
      </c>
      <c r="O1066" t="s">
        <v>57</v>
      </c>
      <c r="P1066" t="s">
        <v>42</v>
      </c>
      <c r="Q1066" t="s">
        <v>43</v>
      </c>
      <c r="R1066" t="s">
        <v>89</v>
      </c>
      <c r="S1066" t="s">
        <v>153</v>
      </c>
      <c r="T1066" t="s">
        <v>89</v>
      </c>
      <c r="U1066" t="s">
        <v>38</v>
      </c>
      <c r="V1066" t="s">
        <v>38</v>
      </c>
      <c r="W1066" t="s">
        <v>92</v>
      </c>
      <c r="X1066" t="s">
        <v>38</v>
      </c>
      <c r="Y1066" t="s">
        <v>2142</v>
      </c>
      <c r="Z1066" t="s">
        <v>42</v>
      </c>
      <c r="AA1066" t="s">
        <v>155</v>
      </c>
      <c r="AB1066" t="s">
        <v>38</v>
      </c>
      <c r="AC1066" t="s">
        <v>153</v>
      </c>
      <c r="AD1066" t="s">
        <v>48</v>
      </c>
      <c r="AG1066" t="str">
        <f>IF(AD1066="United States", IFERROR(INDEX(Sheet2!$C:$C, MATCH(AE1066&amp;AF1066, Sheet2!$E:$E, 0)) &amp; ", " &amp; INDEX(Sheet2!$D:$D, MATCH(AE1066&amp;AF1066, Sheet2!$E:$E, 0)), ""), "-")</f>
        <v/>
      </c>
    </row>
    <row r="1067" spans="1:33" x14ac:dyDescent="0.25">
      <c r="A1067" t="s">
        <v>1727</v>
      </c>
      <c r="B1067" t="s">
        <v>2157</v>
      </c>
      <c r="C1067" t="s">
        <v>2141</v>
      </c>
      <c r="D1067" t="s">
        <v>650</v>
      </c>
      <c r="E1067" t="s">
        <v>38</v>
      </c>
      <c r="F1067">
        <v>1782</v>
      </c>
      <c r="G1067">
        <v>2271</v>
      </c>
      <c r="H1067" t="s">
        <v>1770</v>
      </c>
      <c r="I1067" t="s">
        <v>87</v>
      </c>
      <c r="J1067" t="s">
        <v>38</v>
      </c>
      <c r="K1067" t="s">
        <v>38</v>
      </c>
      <c r="L1067" t="s">
        <v>38</v>
      </c>
      <c r="M1067" t="s">
        <v>38</v>
      </c>
      <c r="N1067" t="s">
        <v>38</v>
      </c>
      <c r="O1067" t="s">
        <v>54</v>
      </c>
      <c r="P1067" t="s">
        <v>42</v>
      </c>
      <c r="Q1067" t="s">
        <v>43</v>
      </c>
      <c r="R1067" t="s">
        <v>89</v>
      </c>
      <c r="S1067" t="s">
        <v>38</v>
      </c>
      <c r="T1067" t="s">
        <v>89</v>
      </c>
      <c r="U1067" t="s">
        <v>38</v>
      </c>
      <c r="V1067" t="s">
        <v>38</v>
      </c>
      <c r="W1067" t="s">
        <v>92</v>
      </c>
      <c r="X1067" t="s">
        <v>38</v>
      </c>
      <c r="Y1067" t="s">
        <v>2142</v>
      </c>
      <c r="Z1067" t="s">
        <v>42</v>
      </c>
      <c r="AA1067" t="s">
        <v>38</v>
      </c>
      <c r="AB1067" t="s">
        <v>38</v>
      </c>
      <c r="AC1067" t="s">
        <v>38</v>
      </c>
      <c r="AD1067" t="s">
        <v>48</v>
      </c>
      <c r="AG1067" t="str">
        <f>IF(AD1067="United States", IFERROR(INDEX(Sheet2!$C:$C, MATCH(AE1067&amp;AF1067, Sheet2!$E:$E, 0)) &amp; ", " &amp; INDEX(Sheet2!$D:$D, MATCH(AE1067&amp;AF1067, Sheet2!$E:$E, 0)), ""), "-")</f>
        <v/>
      </c>
    </row>
    <row r="1068" spans="1:33" x14ac:dyDescent="0.25">
      <c r="A1068" t="s">
        <v>1727</v>
      </c>
      <c r="B1068" t="s">
        <v>2158</v>
      </c>
      <c r="C1068" t="s">
        <v>2141</v>
      </c>
      <c r="D1068" t="s">
        <v>162</v>
      </c>
      <c r="E1068" t="s">
        <v>38</v>
      </c>
      <c r="F1068">
        <v>1762</v>
      </c>
      <c r="G1068">
        <v>2268</v>
      </c>
      <c r="H1068" t="s">
        <v>1770</v>
      </c>
      <c r="I1068" t="s">
        <v>87</v>
      </c>
      <c r="J1068" t="s">
        <v>38</v>
      </c>
      <c r="K1068" t="s">
        <v>38</v>
      </c>
      <c r="L1068" t="s">
        <v>38</v>
      </c>
      <c r="M1068" t="s">
        <v>38</v>
      </c>
      <c r="N1068" t="s">
        <v>38</v>
      </c>
      <c r="O1068" t="s">
        <v>57</v>
      </c>
      <c r="P1068" t="s">
        <v>42</v>
      </c>
      <c r="Q1068" t="s">
        <v>43</v>
      </c>
      <c r="R1068" t="s">
        <v>89</v>
      </c>
      <c r="S1068" t="s">
        <v>45</v>
      </c>
      <c r="T1068" t="s">
        <v>89</v>
      </c>
      <c r="U1068" t="s">
        <v>38</v>
      </c>
      <c r="V1068" t="s">
        <v>38</v>
      </c>
      <c r="W1068" t="s">
        <v>92</v>
      </c>
      <c r="X1068" t="s">
        <v>38</v>
      </c>
      <c r="Y1068" t="s">
        <v>2144</v>
      </c>
      <c r="Z1068" t="s">
        <v>42</v>
      </c>
      <c r="AA1068" t="s">
        <v>162</v>
      </c>
      <c r="AB1068" t="s">
        <v>2154</v>
      </c>
      <c r="AC1068" t="s">
        <v>45</v>
      </c>
      <c r="AD1068" t="s">
        <v>48</v>
      </c>
      <c r="AG1068" t="str">
        <f>IF(AD1068="United States", IFERROR(INDEX(Sheet2!$C:$C, MATCH(AE1068&amp;AF1068, Sheet2!$E:$E, 0)) &amp; ", " &amp; INDEX(Sheet2!$D:$D, MATCH(AE1068&amp;AF1068, Sheet2!$E:$E, 0)), ""), "-")</f>
        <v/>
      </c>
    </row>
    <row r="1069" spans="1:33" x14ac:dyDescent="0.25">
      <c r="A1069" t="s">
        <v>1727</v>
      </c>
      <c r="B1069" t="s">
        <v>2159</v>
      </c>
      <c r="C1069" t="s">
        <v>2141</v>
      </c>
      <c r="D1069" t="s">
        <v>235</v>
      </c>
      <c r="E1069" t="s">
        <v>38</v>
      </c>
      <c r="F1069">
        <v>1757</v>
      </c>
      <c r="G1069">
        <v>2262</v>
      </c>
      <c r="H1069" t="s">
        <v>86</v>
      </c>
      <c r="I1069" t="s">
        <v>87</v>
      </c>
      <c r="J1069" t="s">
        <v>38</v>
      </c>
      <c r="K1069" t="s">
        <v>38</v>
      </c>
      <c r="L1069" t="s">
        <v>38</v>
      </c>
      <c r="M1069" t="s">
        <v>38</v>
      </c>
      <c r="N1069" t="s">
        <v>38</v>
      </c>
      <c r="O1069" t="s">
        <v>57</v>
      </c>
      <c r="P1069" t="s">
        <v>42</v>
      </c>
      <c r="Q1069" t="s">
        <v>43</v>
      </c>
      <c r="R1069" t="s">
        <v>89</v>
      </c>
      <c r="S1069" t="s">
        <v>417</v>
      </c>
      <c r="T1069" t="s">
        <v>89</v>
      </c>
      <c r="U1069" t="s">
        <v>38</v>
      </c>
      <c r="V1069" t="s">
        <v>38</v>
      </c>
      <c r="W1069" t="s">
        <v>92</v>
      </c>
      <c r="X1069" t="s">
        <v>38</v>
      </c>
      <c r="Y1069" t="s">
        <v>2142</v>
      </c>
      <c r="Z1069" t="s">
        <v>42</v>
      </c>
      <c r="AA1069" t="s">
        <v>417</v>
      </c>
      <c r="AB1069" t="s">
        <v>38</v>
      </c>
      <c r="AC1069" t="s">
        <v>593</v>
      </c>
      <c r="AD1069" t="s">
        <v>48</v>
      </c>
      <c r="AG1069" t="str">
        <f>IF(AD1069="United States", IFERROR(INDEX(Sheet2!$C:$C, MATCH(AE1069&amp;AF1069, Sheet2!$E:$E, 0)) &amp; ", " &amp; INDEX(Sheet2!$D:$D, MATCH(AE1069&amp;AF1069, Sheet2!$E:$E, 0)), ""), "-")</f>
        <v/>
      </c>
    </row>
    <row r="1070" spans="1:33" x14ac:dyDescent="0.25">
      <c r="A1070" t="s">
        <v>1727</v>
      </c>
      <c r="B1070" t="s">
        <v>2160</v>
      </c>
      <c r="C1070" t="s">
        <v>2141</v>
      </c>
      <c r="D1070" t="s">
        <v>162</v>
      </c>
      <c r="E1070" t="s">
        <v>38</v>
      </c>
      <c r="F1070">
        <v>1762</v>
      </c>
      <c r="G1070">
        <v>2267</v>
      </c>
      <c r="H1070" t="s">
        <v>1770</v>
      </c>
      <c r="I1070" t="s">
        <v>87</v>
      </c>
      <c r="J1070" t="s">
        <v>38</v>
      </c>
      <c r="K1070" t="s">
        <v>38</v>
      </c>
      <c r="L1070" t="s">
        <v>38</v>
      </c>
      <c r="M1070" t="s">
        <v>38</v>
      </c>
      <c r="N1070" t="s">
        <v>38</v>
      </c>
      <c r="O1070" t="s">
        <v>57</v>
      </c>
      <c r="P1070" t="s">
        <v>42</v>
      </c>
      <c r="Q1070" t="s">
        <v>43</v>
      </c>
      <c r="R1070" t="s">
        <v>89</v>
      </c>
      <c r="S1070" t="s">
        <v>153</v>
      </c>
      <c r="T1070" t="s">
        <v>89</v>
      </c>
      <c r="U1070" t="s">
        <v>38</v>
      </c>
      <c r="V1070" t="s">
        <v>38</v>
      </c>
      <c r="W1070" t="s">
        <v>92</v>
      </c>
      <c r="X1070" t="s">
        <v>38</v>
      </c>
      <c r="Y1070" t="s">
        <v>2142</v>
      </c>
      <c r="Z1070" t="s">
        <v>42</v>
      </c>
      <c r="AA1070" t="s">
        <v>162</v>
      </c>
      <c r="AB1070" t="s">
        <v>155</v>
      </c>
      <c r="AC1070" t="s">
        <v>153</v>
      </c>
      <c r="AD1070" t="s">
        <v>48</v>
      </c>
      <c r="AG1070" t="str">
        <f>IF(AD1070="United States", IFERROR(INDEX(Sheet2!$C:$C, MATCH(AE1070&amp;AF1070, Sheet2!$E:$E, 0)) &amp; ", " &amp; INDEX(Sheet2!$D:$D, MATCH(AE1070&amp;AF1070, Sheet2!$E:$E, 0)), ""), "-")</f>
        <v/>
      </c>
    </row>
    <row r="1071" spans="1:33" x14ac:dyDescent="0.25">
      <c r="A1071" t="s">
        <v>2161</v>
      </c>
      <c r="B1071" t="s">
        <v>2162</v>
      </c>
      <c r="C1071" t="s">
        <v>2163</v>
      </c>
      <c r="D1071" t="s">
        <v>113</v>
      </c>
      <c r="E1071" t="s">
        <v>2164</v>
      </c>
      <c r="F1071">
        <v>1761</v>
      </c>
      <c r="G1071">
        <v>1812</v>
      </c>
      <c r="H1071" t="s">
        <v>313</v>
      </c>
      <c r="I1071" t="s">
        <v>80</v>
      </c>
      <c r="J1071" t="s">
        <v>38</v>
      </c>
      <c r="K1071" t="s">
        <v>38</v>
      </c>
      <c r="L1071" t="s">
        <v>38</v>
      </c>
      <c r="M1071" t="s">
        <v>38</v>
      </c>
      <c r="N1071" t="s">
        <v>38</v>
      </c>
      <c r="O1071" t="s">
        <v>41</v>
      </c>
      <c r="P1071" t="s">
        <v>42</v>
      </c>
      <c r="Q1071" t="s">
        <v>43</v>
      </c>
      <c r="R1071" t="s">
        <v>89</v>
      </c>
      <c r="S1071" t="s">
        <v>45</v>
      </c>
      <c r="T1071" t="s">
        <v>89</v>
      </c>
      <c r="U1071" t="s">
        <v>301</v>
      </c>
      <c r="V1071" t="s">
        <v>38</v>
      </c>
      <c r="W1071" t="s">
        <v>92</v>
      </c>
      <c r="X1071" t="s">
        <v>302</v>
      </c>
      <c r="Y1071" t="s">
        <v>2165</v>
      </c>
      <c r="Z1071" t="s">
        <v>42</v>
      </c>
      <c r="AA1071" t="s">
        <v>2166</v>
      </c>
      <c r="AB1071" t="s">
        <v>38</v>
      </c>
      <c r="AC1071" t="s">
        <v>45</v>
      </c>
      <c r="AD1071" t="s">
        <v>48</v>
      </c>
      <c r="AG1071" t="str">
        <f>IF(AD1071="United States", IFERROR(INDEX(Sheet2!$C:$C, MATCH(AE1071&amp;AF1071, Sheet2!$E:$E, 0)) &amp; ", " &amp; INDEX(Sheet2!$D:$D, MATCH(AE1071&amp;AF1071, Sheet2!$E:$E, 0)), ""), "-")</f>
        <v/>
      </c>
    </row>
    <row r="1072" spans="1:33" x14ac:dyDescent="0.25">
      <c r="A1072" t="s">
        <v>98</v>
      </c>
      <c r="B1072" t="s">
        <v>2167</v>
      </c>
      <c r="C1072" t="s">
        <v>2168</v>
      </c>
      <c r="D1072" t="s">
        <v>1174</v>
      </c>
      <c r="E1072" t="s">
        <v>38</v>
      </c>
      <c r="F1072">
        <v>1762</v>
      </c>
      <c r="G1072">
        <v>1978</v>
      </c>
      <c r="H1072" t="s">
        <v>398</v>
      </c>
      <c r="I1072" t="s">
        <v>80</v>
      </c>
      <c r="J1072" t="s">
        <v>38</v>
      </c>
      <c r="K1072" t="s">
        <v>38</v>
      </c>
      <c r="L1072" t="s">
        <v>38</v>
      </c>
      <c r="M1072" t="s">
        <v>38</v>
      </c>
      <c r="N1072" t="s">
        <v>38</v>
      </c>
      <c r="O1072" t="s">
        <v>41</v>
      </c>
      <c r="P1072" t="s">
        <v>42</v>
      </c>
      <c r="Q1072" t="s">
        <v>43</v>
      </c>
      <c r="R1072" t="s">
        <v>89</v>
      </c>
      <c r="S1072" t="s">
        <v>38</v>
      </c>
      <c r="T1072" t="s">
        <v>89</v>
      </c>
      <c r="U1072" t="s">
        <v>38</v>
      </c>
      <c r="V1072" t="s">
        <v>91</v>
      </c>
      <c r="W1072" t="s">
        <v>92</v>
      </c>
      <c r="X1072" t="s">
        <v>38</v>
      </c>
      <c r="Y1072" t="s">
        <v>2169</v>
      </c>
      <c r="Z1072" t="s">
        <v>42</v>
      </c>
      <c r="AA1072" t="s">
        <v>38</v>
      </c>
      <c r="AB1072" t="s">
        <v>38</v>
      </c>
      <c r="AC1072" t="s">
        <v>91</v>
      </c>
      <c r="AD1072" t="s">
        <v>48</v>
      </c>
      <c r="AG1072" t="str">
        <f>IF(AD1072="United States", IFERROR(INDEX(Sheet2!$C:$C, MATCH(AE1072&amp;AF1072, Sheet2!$E:$E, 0)) &amp; ", " &amp; INDEX(Sheet2!$D:$D, MATCH(AE1072&amp;AF1072, Sheet2!$E:$E, 0)), ""), "-")</f>
        <v/>
      </c>
    </row>
    <row r="1073" spans="1:33" x14ac:dyDescent="0.25">
      <c r="A1073" t="s">
        <v>98</v>
      </c>
      <c r="B1073" t="s">
        <v>2170</v>
      </c>
      <c r="C1073" t="s">
        <v>2168</v>
      </c>
      <c r="D1073" t="s">
        <v>1129</v>
      </c>
      <c r="E1073" t="s">
        <v>38</v>
      </c>
      <c r="F1073">
        <v>1780</v>
      </c>
      <c r="G1073">
        <v>1977</v>
      </c>
      <c r="H1073" t="s">
        <v>38</v>
      </c>
      <c r="I1073" t="s">
        <v>80</v>
      </c>
      <c r="J1073" t="s">
        <v>38</v>
      </c>
      <c r="K1073" t="s">
        <v>38</v>
      </c>
      <c r="L1073" t="s">
        <v>38</v>
      </c>
      <c r="M1073" t="s">
        <v>38</v>
      </c>
      <c r="N1073" t="s">
        <v>38</v>
      </c>
      <c r="O1073" t="s">
        <v>54</v>
      </c>
      <c r="P1073" t="s">
        <v>42</v>
      </c>
      <c r="Q1073" t="s">
        <v>43</v>
      </c>
      <c r="R1073" t="s">
        <v>2171</v>
      </c>
      <c r="S1073" t="s">
        <v>201</v>
      </c>
      <c r="T1073" t="s">
        <v>38</v>
      </c>
      <c r="U1073" t="s">
        <v>38</v>
      </c>
      <c r="V1073" t="s">
        <v>91</v>
      </c>
      <c r="W1073" t="s">
        <v>38</v>
      </c>
      <c r="X1073" t="s">
        <v>38</v>
      </c>
      <c r="Y1073" t="s">
        <v>2172</v>
      </c>
      <c r="Z1073" t="s">
        <v>42</v>
      </c>
      <c r="AA1073" t="s">
        <v>1129</v>
      </c>
      <c r="AB1073" t="s">
        <v>201</v>
      </c>
      <c r="AC1073" t="s">
        <v>89</v>
      </c>
      <c r="AD1073" t="s">
        <v>48</v>
      </c>
      <c r="AG1073" t="str">
        <f>IF(AD1073="United States", IFERROR(INDEX(Sheet2!$C:$C, MATCH(AE1073&amp;AF1073, Sheet2!$E:$E, 0)) &amp; ", " &amp; INDEX(Sheet2!$D:$D, MATCH(AE1073&amp;AF1073, Sheet2!$E:$E, 0)), ""), "-")</f>
        <v/>
      </c>
    </row>
    <row r="1074" spans="1:33" x14ac:dyDescent="0.25">
      <c r="A1074" t="s">
        <v>98</v>
      </c>
      <c r="B1074" t="s">
        <v>2173</v>
      </c>
      <c r="C1074" t="s">
        <v>2168</v>
      </c>
      <c r="D1074" t="s">
        <v>2174</v>
      </c>
      <c r="E1074" t="s">
        <v>38</v>
      </c>
      <c r="F1074">
        <v>1762</v>
      </c>
      <c r="G1074">
        <v>1976</v>
      </c>
      <c r="H1074" t="s">
        <v>398</v>
      </c>
      <c r="I1074" t="s">
        <v>80</v>
      </c>
      <c r="J1074" t="s">
        <v>38</v>
      </c>
      <c r="K1074" t="s">
        <v>38</v>
      </c>
      <c r="L1074" t="s">
        <v>38</v>
      </c>
      <c r="M1074" t="s">
        <v>38</v>
      </c>
      <c r="N1074" t="s">
        <v>38</v>
      </c>
      <c r="O1074" t="s">
        <v>57</v>
      </c>
      <c r="P1074" t="s">
        <v>42</v>
      </c>
      <c r="Q1074" t="s">
        <v>43</v>
      </c>
      <c r="R1074" t="s">
        <v>89</v>
      </c>
      <c r="S1074" t="s">
        <v>201</v>
      </c>
      <c r="T1074" t="s">
        <v>89</v>
      </c>
      <c r="U1074" t="s">
        <v>38</v>
      </c>
      <c r="V1074" t="s">
        <v>91</v>
      </c>
      <c r="W1074" t="s">
        <v>92</v>
      </c>
      <c r="X1074" t="s">
        <v>38</v>
      </c>
      <c r="Y1074" t="s">
        <v>2175</v>
      </c>
      <c r="Z1074" t="s">
        <v>42</v>
      </c>
      <c r="AA1074" t="s">
        <v>38</v>
      </c>
      <c r="AB1074" t="s">
        <v>38</v>
      </c>
      <c r="AC1074" t="s">
        <v>201</v>
      </c>
      <c r="AD1074" t="s">
        <v>48</v>
      </c>
      <c r="AG1074" t="str">
        <f>IF(AD1074="United States", IFERROR(INDEX(Sheet2!$C:$C, MATCH(AE1074&amp;AF1074, Sheet2!$E:$E, 0)) &amp; ", " &amp; INDEX(Sheet2!$D:$D, MATCH(AE1074&amp;AF1074, Sheet2!$E:$E, 0)), ""), "-")</f>
        <v/>
      </c>
    </row>
    <row r="1075" spans="1:33" x14ac:dyDescent="0.25">
      <c r="A1075" t="s">
        <v>98</v>
      </c>
      <c r="B1075" t="s">
        <v>2176</v>
      </c>
      <c r="C1075" t="s">
        <v>2177</v>
      </c>
      <c r="D1075" t="s">
        <v>120</v>
      </c>
      <c r="E1075" t="s">
        <v>2178</v>
      </c>
      <c r="F1075">
        <v>1753</v>
      </c>
      <c r="G1075">
        <v>791</v>
      </c>
      <c r="H1075" t="s">
        <v>2179</v>
      </c>
      <c r="I1075" t="s">
        <v>39</v>
      </c>
      <c r="J1075" t="s">
        <v>2180</v>
      </c>
      <c r="K1075" t="s">
        <v>38</v>
      </c>
      <c r="L1075" t="s">
        <v>38</v>
      </c>
      <c r="M1075" t="s">
        <v>38</v>
      </c>
      <c r="N1075" t="s">
        <v>38</v>
      </c>
      <c r="O1075" t="s">
        <v>41</v>
      </c>
      <c r="P1075" t="s">
        <v>42</v>
      </c>
      <c r="Q1075" t="s">
        <v>43</v>
      </c>
      <c r="R1075" t="s">
        <v>89</v>
      </c>
      <c r="S1075" t="s">
        <v>38</v>
      </c>
      <c r="T1075" t="s">
        <v>89</v>
      </c>
      <c r="U1075" t="s">
        <v>38</v>
      </c>
      <c r="V1075" t="s">
        <v>137</v>
      </c>
      <c r="W1075" t="s">
        <v>92</v>
      </c>
      <c r="X1075" t="s">
        <v>38</v>
      </c>
      <c r="Y1075" t="s">
        <v>38</v>
      </c>
      <c r="Z1075" t="s">
        <v>42</v>
      </c>
      <c r="AA1075" t="s">
        <v>38</v>
      </c>
      <c r="AB1075" t="s">
        <v>38</v>
      </c>
      <c r="AC1075" t="s">
        <v>38</v>
      </c>
      <c r="AD1075" t="s">
        <v>48</v>
      </c>
      <c r="AG1075" t="str">
        <f>IF(AD1075="United States", IFERROR(INDEX(Sheet2!$C:$C, MATCH(AE1075&amp;AF1075, Sheet2!$E:$E, 0)) &amp; ", " &amp; INDEX(Sheet2!$D:$D, MATCH(AE1075&amp;AF1075, Sheet2!$E:$E, 0)), ""), "-")</f>
        <v/>
      </c>
    </row>
    <row r="1076" spans="1:33" x14ac:dyDescent="0.25">
      <c r="A1076" t="s">
        <v>98</v>
      </c>
      <c r="B1076" t="s">
        <v>2181</v>
      </c>
      <c r="C1076" t="s">
        <v>2182</v>
      </c>
      <c r="D1076" t="s">
        <v>556</v>
      </c>
      <c r="E1076" t="s">
        <v>38</v>
      </c>
      <c r="F1076">
        <v>1743</v>
      </c>
      <c r="G1076">
        <v>267</v>
      </c>
      <c r="H1076" t="s">
        <v>152</v>
      </c>
      <c r="I1076" t="s">
        <v>39</v>
      </c>
      <c r="J1076" t="s">
        <v>2180</v>
      </c>
      <c r="K1076" t="s">
        <v>38</v>
      </c>
      <c r="L1076" t="s">
        <v>38</v>
      </c>
      <c r="M1076" t="s">
        <v>38</v>
      </c>
      <c r="N1076" t="s">
        <v>38</v>
      </c>
      <c r="O1076" t="s">
        <v>41</v>
      </c>
      <c r="P1076" t="s">
        <v>42</v>
      </c>
      <c r="Q1076" t="s">
        <v>124</v>
      </c>
      <c r="R1076" t="s">
        <v>89</v>
      </c>
      <c r="S1076" t="s">
        <v>153</v>
      </c>
      <c r="T1076" t="s">
        <v>89</v>
      </c>
      <c r="U1076" t="s">
        <v>38</v>
      </c>
      <c r="V1076" t="s">
        <v>137</v>
      </c>
      <c r="W1076" t="s">
        <v>92</v>
      </c>
      <c r="X1076" t="s">
        <v>38</v>
      </c>
      <c r="Y1076" t="s">
        <v>2183</v>
      </c>
      <c r="Z1076" t="s">
        <v>42</v>
      </c>
      <c r="AA1076" t="s">
        <v>155</v>
      </c>
      <c r="AB1076" t="s">
        <v>38</v>
      </c>
      <c r="AC1076" t="s">
        <v>153</v>
      </c>
      <c r="AD1076" t="s">
        <v>48</v>
      </c>
      <c r="AG1076" t="str">
        <f>IF(AD1076="United States", IFERROR(INDEX(Sheet2!$C:$C, MATCH(AE1076&amp;AF1076, Sheet2!$E:$E, 0)) &amp; ", " &amp; INDEX(Sheet2!$D:$D, MATCH(AE1076&amp;AF1076, Sheet2!$E:$E, 0)), ""), "-")</f>
        <v/>
      </c>
    </row>
    <row r="1077" spans="1:33" x14ac:dyDescent="0.25">
      <c r="A1077" t="s">
        <v>98</v>
      </c>
      <c r="B1077" t="s">
        <v>2184</v>
      </c>
      <c r="C1077" t="s">
        <v>2177</v>
      </c>
      <c r="D1077" t="s">
        <v>114</v>
      </c>
      <c r="E1077" t="s">
        <v>129</v>
      </c>
      <c r="F1077">
        <v>1758</v>
      </c>
      <c r="G1077">
        <v>782</v>
      </c>
      <c r="H1077" t="s">
        <v>2179</v>
      </c>
      <c r="I1077" t="s">
        <v>39</v>
      </c>
      <c r="J1077" t="s">
        <v>2180</v>
      </c>
      <c r="K1077" t="s">
        <v>38</v>
      </c>
      <c r="L1077" t="s">
        <v>38</v>
      </c>
      <c r="M1077" t="s">
        <v>38</v>
      </c>
      <c r="N1077" t="s">
        <v>38</v>
      </c>
      <c r="O1077" t="s">
        <v>57</v>
      </c>
      <c r="P1077" t="s">
        <v>42</v>
      </c>
      <c r="Q1077" t="s">
        <v>43</v>
      </c>
      <c r="R1077" t="s">
        <v>89</v>
      </c>
      <c r="S1077" t="s">
        <v>153</v>
      </c>
      <c r="T1077" t="s">
        <v>89</v>
      </c>
      <c r="U1077" t="s">
        <v>38</v>
      </c>
      <c r="V1077" t="s">
        <v>137</v>
      </c>
      <c r="W1077" t="s">
        <v>92</v>
      </c>
      <c r="X1077" t="s">
        <v>38</v>
      </c>
      <c r="Y1077" t="s">
        <v>1199</v>
      </c>
      <c r="Z1077" t="s">
        <v>42</v>
      </c>
      <c r="AA1077" t="s">
        <v>2185</v>
      </c>
      <c r="AB1077" t="s">
        <v>38</v>
      </c>
      <c r="AC1077" t="s">
        <v>153</v>
      </c>
      <c r="AD1077" t="s">
        <v>48</v>
      </c>
      <c r="AG1077" t="str">
        <f>IF(AD1077="United States", IFERROR(INDEX(Sheet2!$C:$C, MATCH(AE1077&amp;AF1077, Sheet2!$E:$E, 0)) &amp; ", " &amp; INDEX(Sheet2!$D:$D, MATCH(AE1077&amp;AF1077, Sheet2!$E:$E, 0)), ""), "-")</f>
        <v/>
      </c>
    </row>
    <row r="1078" spans="1:33" x14ac:dyDescent="0.25">
      <c r="A1078" t="s">
        <v>98</v>
      </c>
      <c r="B1078" t="s">
        <v>2186</v>
      </c>
      <c r="C1078" t="s">
        <v>2177</v>
      </c>
      <c r="D1078" t="s">
        <v>52</v>
      </c>
      <c r="E1078" t="s">
        <v>38</v>
      </c>
      <c r="F1078">
        <v>1777</v>
      </c>
      <c r="G1078">
        <v>783</v>
      </c>
      <c r="H1078" t="s">
        <v>152</v>
      </c>
      <c r="I1078" t="s">
        <v>39</v>
      </c>
      <c r="J1078" t="s">
        <v>2180</v>
      </c>
      <c r="K1078" t="s">
        <v>38</v>
      </c>
      <c r="L1078" t="s">
        <v>38</v>
      </c>
      <c r="M1078" t="s">
        <v>38</v>
      </c>
      <c r="N1078" t="s">
        <v>38</v>
      </c>
      <c r="O1078" t="s">
        <v>54</v>
      </c>
      <c r="P1078" t="s">
        <v>42</v>
      </c>
      <c r="Q1078" t="s">
        <v>43</v>
      </c>
      <c r="R1078" t="s">
        <v>89</v>
      </c>
      <c r="S1078" t="s">
        <v>153</v>
      </c>
      <c r="T1078" t="s">
        <v>89</v>
      </c>
      <c r="U1078" t="s">
        <v>38</v>
      </c>
      <c r="V1078" t="s">
        <v>137</v>
      </c>
      <c r="W1078" t="s">
        <v>92</v>
      </c>
      <c r="X1078" t="s">
        <v>38</v>
      </c>
      <c r="Y1078" t="s">
        <v>1199</v>
      </c>
      <c r="Z1078" t="s">
        <v>42</v>
      </c>
      <c r="AA1078" t="s">
        <v>2185</v>
      </c>
      <c r="AB1078" t="s">
        <v>38</v>
      </c>
      <c r="AC1078" t="s">
        <v>153</v>
      </c>
      <c r="AD1078" t="s">
        <v>48</v>
      </c>
      <c r="AG1078" t="str">
        <f>IF(AD1078="United States", IFERROR(INDEX(Sheet2!$C:$C, MATCH(AE1078&amp;AF1078, Sheet2!$E:$E, 0)) &amp; ", " &amp; INDEX(Sheet2!$D:$D, MATCH(AE1078&amp;AF1078, Sheet2!$E:$E, 0)), ""), "-")</f>
        <v/>
      </c>
    </row>
    <row r="1079" spans="1:33" x14ac:dyDescent="0.25">
      <c r="A1079" t="s">
        <v>98</v>
      </c>
      <c r="B1079" t="s">
        <v>2187</v>
      </c>
      <c r="C1079" t="s">
        <v>2177</v>
      </c>
      <c r="D1079" t="s">
        <v>245</v>
      </c>
      <c r="E1079" t="s">
        <v>38</v>
      </c>
      <c r="F1079">
        <v>1780</v>
      </c>
      <c r="G1079">
        <v>784</v>
      </c>
      <c r="H1079" t="s">
        <v>152</v>
      </c>
      <c r="I1079" t="s">
        <v>39</v>
      </c>
      <c r="J1079" t="s">
        <v>2180</v>
      </c>
      <c r="K1079" t="s">
        <v>38</v>
      </c>
      <c r="L1079" t="s">
        <v>38</v>
      </c>
      <c r="M1079" t="s">
        <v>38</v>
      </c>
      <c r="N1079" t="s">
        <v>38</v>
      </c>
      <c r="O1079" t="s">
        <v>54</v>
      </c>
      <c r="P1079" t="s">
        <v>42</v>
      </c>
      <c r="Q1079" t="s">
        <v>43</v>
      </c>
      <c r="R1079" t="s">
        <v>89</v>
      </c>
      <c r="S1079" t="s">
        <v>38</v>
      </c>
      <c r="T1079" t="s">
        <v>89</v>
      </c>
      <c r="U1079" t="s">
        <v>38</v>
      </c>
      <c r="V1079" t="s">
        <v>137</v>
      </c>
      <c r="W1079" t="s">
        <v>92</v>
      </c>
      <c r="X1079" t="s">
        <v>38</v>
      </c>
      <c r="Y1079" t="s">
        <v>1199</v>
      </c>
      <c r="Z1079" t="s">
        <v>42</v>
      </c>
      <c r="AA1079" t="s">
        <v>38</v>
      </c>
      <c r="AB1079" t="s">
        <v>38</v>
      </c>
      <c r="AC1079" t="s">
        <v>38</v>
      </c>
      <c r="AD1079" t="s">
        <v>48</v>
      </c>
      <c r="AG1079" t="str">
        <f>IF(AD1079="United States", IFERROR(INDEX(Sheet2!$C:$C, MATCH(AE1079&amp;AF1079, Sheet2!$E:$E, 0)) &amp; ", " &amp; INDEX(Sheet2!$D:$D, MATCH(AE1079&amp;AF1079, Sheet2!$E:$E, 0)), ""), "-")</f>
        <v/>
      </c>
    </row>
    <row r="1080" spans="1:33" x14ac:dyDescent="0.25">
      <c r="A1080" t="s">
        <v>98</v>
      </c>
      <c r="D1080" t="s">
        <v>2188</v>
      </c>
      <c r="E1080" t="s">
        <v>185</v>
      </c>
      <c r="F1080">
        <v>1764</v>
      </c>
      <c r="G1080">
        <v>285</v>
      </c>
      <c r="H1080">
        <v>23</v>
      </c>
      <c r="J1080" t="s">
        <v>2180</v>
      </c>
      <c r="O1080" t="s">
        <v>57</v>
      </c>
      <c r="R1080" t="s">
        <v>89</v>
      </c>
      <c r="T1080" t="s">
        <v>89</v>
      </c>
      <c r="V1080" t="s">
        <v>137</v>
      </c>
      <c r="W1080" t="s">
        <v>92</v>
      </c>
      <c r="Y1080" t="s">
        <v>38</v>
      </c>
      <c r="AA1080" t="s">
        <v>38</v>
      </c>
      <c r="AB1080" t="s">
        <v>38</v>
      </c>
      <c r="AC1080" t="s">
        <v>38</v>
      </c>
      <c r="AD1080" t="s">
        <v>48</v>
      </c>
      <c r="AG1080" t="str">
        <f>IF(AD1080="United States", IFERROR(INDEX(Sheet2!$C:$C, MATCH(AE1080&amp;AF1080, Sheet2!$E:$E, 0)) &amp; ", " &amp; INDEX(Sheet2!$D:$D, MATCH(AE1080&amp;AF1080, Sheet2!$E:$E, 0)), ""), "-")</f>
        <v/>
      </c>
    </row>
    <row r="1081" spans="1:33" x14ac:dyDescent="0.25">
      <c r="A1081" t="s">
        <v>98</v>
      </c>
      <c r="B1081" t="s">
        <v>2189</v>
      </c>
      <c r="C1081" t="s">
        <v>2177</v>
      </c>
      <c r="D1081" t="s">
        <v>195</v>
      </c>
      <c r="E1081" t="s">
        <v>2178</v>
      </c>
      <c r="F1081">
        <v>1733</v>
      </c>
      <c r="G1081">
        <v>785</v>
      </c>
      <c r="H1081" t="s">
        <v>2179</v>
      </c>
      <c r="I1081" t="s">
        <v>39</v>
      </c>
      <c r="J1081" t="s">
        <v>2180</v>
      </c>
      <c r="K1081" t="s">
        <v>38</v>
      </c>
      <c r="L1081" t="s">
        <v>38</v>
      </c>
      <c r="M1081" t="s">
        <v>38</v>
      </c>
      <c r="N1081" t="s">
        <v>38</v>
      </c>
      <c r="O1081" t="s">
        <v>41</v>
      </c>
      <c r="P1081" t="s">
        <v>42</v>
      </c>
      <c r="Q1081" t="s">
        <v>43</v>
      </c>
      <c r="R1081" t="s">
        <v>89</v>
      </c>
      <c r="S1081" t="s">
        <v>38</v>
      </c>
      <c r="T1081" t="s">
        <v>89</v>
      </c>
      <c r="U1081" t="s">
        <v>38</v>
      </c>
      <c r="V1081" t="s">
        <v>137</v>
      </c>
      <c r="W1081" t="s">
        <v>92</v>
      </c>
      <c r="X1081" t="s">
        <v>38</v>
      </c>
      <c r="Y1081" t="s">
        <v>38</v>
      </c>
      <c r="Z1081" t="s">
        <v>42</v>
      </c>
      <c r="AA1081" t="s">
        <v>38</v>
      </c>
      <c r="AB1081" t="s">
        <v>38</v>
      </c>
      <c r="AC1081" t="s">
        <v>38</v>
      </c>
      <c r="AD1081" t="s">
        <v>48</v>
      </c>
      <c r="AG1081" t="str">
        <f>IF(AD1081="United States", IFERROR(INDEX(Sheet2!$C:$C, MATCH(AE1081&amp;AF1081, Sheet2!$E:$E, 0)) &amp; ", " &amp; INDEX(Sheet2!$D:$D, MATCH(AE1081&amp;AF1081, Sheet2!$E:$E, 0)), ""), "-")</f>
        <v/>
      </c>
    </row>
    <row r="1082" spans="1:33" x14ac:dyDescent="0.25">
      <c r="A1082" t="s">
        <v>98</v>
      </c>
      <c r="B1082" t="s">
        <v>2190</v>
      </c>
      <c r="C1082" t="s">
        <v>2177</v>
      </c>
      <c r="D1082" t="s">
        <v>495</v>
      </c>
      <c r="E1082" t="s">
        <v>2178</v>
      </c>
      <c r="F1082">
        <v>1738</v>
      </c>
      <c r="G1082">
        <v>786</v>
      </c>
      <c r="H1082" t="s">
        <v>2179</v>
      </c>
      <c r="I1082" t="s">
        <v>39</v>
      </c>
      <c r="J1082" t="s">
        <v>2180</v>
      </c>
      <c r="K1082" t="s">
        <v>38</v>
      </c>
      <c r="L1082" t="s">
        <v>38</v>
      </c>
      <c r="M1082" t="s">
        <v>38</v>
      </c>
      <c r="N1082" t="s">
        <v>38</v>
      </c>
      <c r="O1082" t="s">
        <v>57</v>
      </c>
      <c r="P1082" t="s">
        <v>42</v>
      </c>
      <c r="Q1082" t="s">
        <v>43</v>
      </c>
      <c r="R1082" t="s">
        <v>89</v>
      </c>
      <c r="S1082" t="s">
        <v>38</v>
      </c>
      <c r="T1082" t="s">
        <v>89</v>
      </c>
      <c r="U1082" t="s">
        <v>38</v>
      </c>
      <c r="V1082" t="s">
        <v>137</v>
      </c>
      <c r="W1082" t="s">
        <v>92</v>
      </c>
      <c r="X1082" t="s">
        <v>38</v>
      </c>
      <c r="Y1082" t="s">
        <v>38</v>
      </c>
      <c r="Z1082" t="s">
        <v>42</v>
      </c>
      <c r="AA1082" t="s">
        <v>38</v>
      </c>
      <c r="AB1082" t="s">
        <v>38</v>
      </c>
      <c r="AC1082" t="s">
        <v>38</v>
      </c>
      <c r="AD1082" t="s">
        <v>48</v>
      </c>
      <c r="AG1082" t="str">
        <f>IF(AD1082="United States", IFERROR(INDEX(Sheet2!$C:$C, MATCH(AE1082&amp;AF1082, Sheet2!$E:$E, 0)) &amp; ", " &amp; INDEX(Sheet2!$D:$D, MATCH(AE1082&amp;AF1082, Sheet2!$E:$E, 0)), ""), "-")</f>
        <v/>
      </c>
    </row>
    <row r="1083" spans="1:33" x14ac:dyDescent="0.25">
      <c r="A1083" t="s">
        <v>98</v>
      </c>
      <c r="B1083" t="s">
        <v>2191</v>
      </c>
      <c r="C1083" t="s">
        <v>2182</v>
      </c>
      <c r="D1083" t="s">
        <v>1110</v>
      </c>
      <c r="E1083" t="s">
        <v>2192</v>
      </c>
      <c r="F1083">
        <v>1763</v>
      </c>
      <c r="G1083">
        <v>266</v>
      </c>
      <c r="H1083" t="s">
        <v>152</v>
      </c>
      <c r="I1083" t="s">
        <v>39</v>
      </c>
      <c r="J1083" t="s">
        <v>2180</v>
      </c>
      <c r="K1083" t="s">
        <v>38</v>
      </c>
      <c r="L1083" t="s">
        <v>38</v>
      </c>
      <c r="M1083" t="s">
        <v>38</v>
      </c>
      <c r="N1083" t="s">
        <v>38</v>
      </c>
      <c r="O1083" t="s">
        <v>41</v>
      </c>
      <c r="P1083" t="s">
        <v>42</v>
      </c>
      <c r="Q1083" t="s">
        <v>43</v>
      </c>
      <c r="R1083" t="s">
        <v>89</v>
      </c>
      <c r="S1083" t="s">
        <v>153</v>
      </c>
      <c r="T1083" t="s">
        <v>89</v>
      </c>
      <c r="U1083" t="s">
        <v>38</v>
      </c>
      <c r="V1083" t="s">
        <v>137</v>
      </c>
      <c r="W1083" t="s">
        <v>92</v>
      </c>
      <c r="X1083" t="s">
        <v>38</v>
      </c>
      <c r="Y1083" t="s">
        <v>2183</v>
      </c>
      <c r="Z1083" t="s">
        <v>42</v>
      </c>
      <c r="AA1083" t="s">
        <v>155</v>
      </c>
      <c r="AB1083" t="s">
        <v>38</v>
      </c>
      <c r="AC1083" t="s">
        <v>153</v>
      </c>
      <c r="AD1083" t="s">
        <v>48</v>
      </c>
      <c r="AG1083" t="str">
        <f>IF(AD1083="United States", IFERROR(INDEX(Sheet2!$C:$C, MATCH(AE1083&amp;AF1083, Sheet2!$E:$E, 0)) &amp; ", " &amp; INDEX(Sheet2!$D:$D, MATCH(AE1083&amp;AF1083, Sheet2!$E:$E, 0)), ""), "-")</f>
        <v/>
      </c>
    </row>
    <row r="1084" spans="1:33" x14ac:dyDescent="0.25">
      <c r="A1084" t="s">
        <v>98</v>
      </c>
      <c r="B1084" t="s">
        <v>2193</v>
      </c>
      <c r="C1084" t="s">
        <v>2177</v>
      </c>
      <c r="D1084" t="s">
        <v>2194</v>
      </c>
      <c r="E1084" t="s">
        <v>2178</v>
      </c>
      <c r="F1084">
        <v>1743</v>
      </c>
      <c r="G1084">
        <v>787</v>
      </c>
      <c r="H1084" t="s">
        <v>2179</v>
      </c>
      <c r="I1084" t="s">
        <v>39</v>
      </c>
      <c r="J1084" t="s">
        <v>2180</v>
      </c>
      <c r="K1084" t="s">
        <v>38</v>
      </c>
      <c r="L1084" t="s">
        <v>38</v>
      </c>
      <c r="M1084" t="s">
        <v>38</v>
      </c>
      <c r="N1084" t="s">
        <v>38</v>
      </c>
      <c r="O1084" t="s">
        <v>41</v>
      </c>
      <c r="P1084" t="s">
        <v>42</v>
      </c>
      <c r="Q1084" t="s">
        <v>43</v>
      </c>
      <c r="R1084" t="s">
        <v>89</v>
      </c>
      <c r="S1084" t="s">
        <v>38</v>
      </c>
      <c r="T1084" t="s">
        <v>89</v>
      </c>
      <c r="U1084" t="s">
        <v>38</v>
      </c>
      <c r="V1084" t="s">
        <v>137</v>
      </c>
      <c r="W1084" t="s">
        <v>92</v>
      </c>
      <c r="X1084" t="s">
        <v>38</v>
      </c>
      <c r="Y1084" t="s">
        <v>38</v>
      </c>
      <c r="Z1084" t="s">
        <v>42</v>
      </c>
      <c r="AA1084" t="s">
        <v>38</v>
      </c>
      <c r="AB1084" t="s">
        <v>38</v>
      </c>
      <c r="AC1084" t="s">
        <v>38</v>
      </c>
      <c r="AD1084" t="s">
        <v>48</v>
      </c>
      <c r="AG1084" t="str">
        <f>IF(AD1084="United States", IFERROR(INDEX(Sheet2!$C:$C, MATCH(AE1084&amp;AF1084, Sheet2!$E:$E, 0)) &amp; ", " &amp; INDEX(Sheet2!$D:$D, MATCH(AE1084&amp;AF1084, Sheet2!$E:$E, 0)), ""), "-")</f>
        <v/>
      </c>
    </row>
    <row r="1085" spans="1:33" x14ac:dyDescent="0.25">
      <c r="A1085" t="s">
        <v>98</v>
      </c>
      <c r="B1085" t="s">
        <v>2195</v>
      </c>
      <c r="C1085" t="s">
        <v>2177</v>
      </c>
      <c r="D1085" t="s">
        <v>834</v>
      </c>
      <c r="E1085" t="s">
        <v>2178</v>
      </c>
      <c r="F1085">
        <v>1774</v>
      </c>
      <c r="G1085">
        <v>788</v>
      </c>
      <c r="H1085" t="s">
        <v>152</v>
      </c>
      <c r="I1085" t="s">
        <v>39</v>
      </c>
      <c r="J1085" t="s">
        <v>2180</v>
      </c>
      <c r="K1085" t="s">
        <v>38</v>
      </c>
      <c r="L1085" t="s">
        <v>38</v>
      </c>
      <c r="M1085" t="s">
        <v>38</v>
      </c>
      <c r="N1085" t="s">
        <v>38</v>
      </c>
      <c r="O1085" t="s">
        <v>54</v>
      </c>
      <c r="P1085" t="s">
        <v>42</v>
      </c>
      <c r="Q1085" t="s">
        <v>43</v>
      </c>
      <c r="R1085" t="s">
        <v>89</v>
      </c>
      <c r="S1085" t="s">
        <v>45</v>
      </c>
      <c r="T1085" t="s">
        <v>89</v>
      </c>
      <c r="U1085" t="s">
        <v>38</v>
      </c>
      <c r="V1085" t="s">
        <v>137</v>
      </c>
      <c r="W1085" t="s">
        <v>92</v>
      </c>
      <c r="X1085" t="s">
        <v>38</v>
      </c>
      <c r="Y1085" t="s">
        <v>38</v>
      </c>
      <c r="Z1085" t="s">
        <v>42</v>
      </c>
      <c r="AA1085" t="s">
        <v>38</v>
      </c>
      <c r="AB1085" t="s">
        <v>38</v>
      </c>
      <c r="AC1085" t="s">
        <v>45</v>
      </c>
      <c r="AD1085" t="s">
        <v>48</v>
      </c>
      <c r="AG1085" t="str">
        <f>IF(AD1085="United States", IFERROR(INDEX(Sheet2!$C:$C, MATCH(AE1085&amp;AF1085, Sheet2!$E:$E, 0)) &amp; ", " &amp; INDEX(Sheet2!$D:$D, MATCH(AE1085&amp;AF1085, Sheet2!$E:$E, 0)), ""), "-")</f>
        <v/>
      </c>
    </row>
    <row r="1086" spans="1:33" x14ac:dyDescent="0.25">
      <c r="A1086" t="s">
        <v>98</v>
      </c>
      <c r="B1086" t="s">
        <v>2196</v>
      </c>
      <c r="C1086" t="s">
        <v>2177</v>
      </c>
      <c r="D1086" t="s">
        <v>1491</v>
      </c>
      <c r="E1086" t="s">
        <v>2178</v>
      </c>
      <c r="F1086">
        <v>1778</v>
      </c>
      <c r="G1086">
        <v>789</v>
      </c>
      <c r="H1086" t="s">
        <v>2179</v>
      </c>
      <c r="I1086" t="s">
        <v>39</v>
      </c>
      <c r="J1086" t="s">
        <v>2180</v>
      </c>
      <c r="K1086" t="s">
        <v>38</v>
      </c>
      <c r="L1086" t="s">
        <v>38</v>
      </c>
      <c r="M1086" t="s">
        <v>38</v>
      </c>
      <c r="N1086" t="s">
        <v>38</v>
      </c>
      <c r="O1086" t="s">
        <v>54</v>
      </c>
      <c r="P1086" t="s">
        <v>42</v>
      </c>
      <c r="Q1086" t="s">
        <v>43</v>
      </c>
      <c r="R1086" t="s">
        <v>89</v>
      </c>
      <c r="S1086" t="s">
        <v>38</v>
      </c>
      <c r="T1086" t="s">
        <v>89</v>
      </c>
      <c r="U1086" t="s">
        <v>38</v>
      </c>
      <c r="V1086" t="s">
        <v>137</v>
      </c>
      <c r="W1086" t="s">
        <v>92</v>
      </c>
      <c r="X1086" t="s">
        <v>38</v>
      </c>
      <c r="Y1086" t="s">
        <v>38</v>
      </c>
      <c r="Z1086" t="s">
        <v>42</v>
      </c>
      <c r="AA1086" t="s">
        <v>38</v>
      </c>
      <c r="AB1086" t="s">
        <v>38</v>
      </c>
      <c r="AC1086" t="s">
        <v>38</v>
      </c>
      <c r="AD1086" t="s">
        <v>48</v>
      </c>
      <c r="AG1086" t="str">
        <f>IF(AD1086="United States", IFERROR(INDEX(Sheet2!$C:$C, MATCH(AE1086&amp;AF1086, Sheet2!$E:$E, 0)) &amp; ", " &amp; INDEX(Sheet2!$D:$D, MATCH(AE1086&amp;AF1086, Sheet2!$E:$E, 0)), ""), "-")</f>
        <v/>
      </c>
    </row>
    <row r="1087" spans="1:33" x14ac:dyDescent="0.25">
      <c r="A1087" t="s">
        <v>98</v>
      </c>
      <c r="D1087" t="s">
        <v>305</v>
      </c>
      <c r="E1087" t="s">
        <v>185</v>
      </c>
      <c r="F1087">
        <v>1753</v>
      </c>
      <c r="G1087">
        <v>287</v>
      </c>
      <c r="H1087">
        <v>23</v>
      </c>
      <c r="J1087" t="s">
        <v>2180</v>
      </c>
      <c r="O1087" t="s">
        <v>57</v>
      </c>
      <c r="R1087" t="s">
        <v>89</v>
      </c>
      <c r="T1087" t="s">
        <v>89</v>
      </c>
      <c r="V1087" t="s">
        <v>137</v>
      </c>
      <c r="W1087" t="s">
        <v>92</v>
      </c>
      <c r="Y1087" t="s">
        <v>38</v>
      </c>
      <c r="AA1087" t="s">
        <v>38</v>
      </c>
      <c r="AB1087" t="s">
        <v>38</v>
      </c>
      <c r="AC1087" t="s">
        <v>38</v>
      </c>
      <c r="AD1087" t="s">
        <v>48</v>
      </c>
      <c r="AG1087" t="str">
        <f>IF(AD1087="United States", IFERROR(INDEX(Sheet2!$C:$C, MATCH(AE1087&amp;AF1087, Sheet2!$E:$E, 0)) &amp; ", " &amp; INDEX(Sheet2!$D:$D, MATCH(AE1087&amp;AF1087, Sheet2!$E:$E, 0)), ""), "-")</f>
        <v/>
      </c>
    </row>
    <row r="1088" spans="1:33" x14ac:dyDescent="0.25">
      <c r="A1088" t="s">
        <v>98</v>
      </c>
      <c r="D1088" t="s">
        <v>2197</v>
      </c>
      <c r="E1088" t="s">
        <v>185</v>
      </c>
      <c r="F1088">
        <v>1757</v>
      </c>
      <c r="G1088">
        <v>294</v>
      </c>
      <c r="H1088">
        <v>23</v>
      </c>
      <c r="J1088" t="s">
        <v>2180</v>
      </c>
      <c r="O1088" t="s">
        <v>57</v>
      </c>
      <c r="R1088" t="s">
        <v>89</v>
      </c>
      <c r="T1088" t="s">
        <v>89</v>
      </c>
      <c r="V1088" t="s">
        <v>137</v>
      </c>
      <c r="W1088" t="s">
        <v>92</v>
      </c>
      <c r="Y1088" t="s">
        <v>38</v>
      </c>
      <c r="AA1088" t="s">
        <v>38</v>
      </c>
      <c r="AB1088" t="s">
        <v>38</v>
      </c>
      <c r="AC1088" t="s">
        <v>38</v>
      </c>
      <c r="AD1088" t="s">
        <v>48</v>
      </c>
      <c r="AG1088" t="str">
        <f>IF(AD1088="United States", IFERROR(INDEX(Sheet2!$C:$C, MATCH(AE1088&amp;AF1088, Sheet2!$E:$E, 0)) &amp; ", " &amp; INDEX(Sheet2!$D:$D, MATCH(AE1088&amp;AF1088, Sheet2!$E:$E, 0)), ""), "-")</f>
        <v/>
      </c>
    </row>
    <row r="1089" spans="1:33" x14ac:dyDescent="0.25">
      <c r="A1089" t="s">
        <v>98</v>
      </c>
      <c r="D1089" t="s">
        <v>2198</v>
      </c>
      <c r="E1089" t="s">
        <v>185</v>
      </c>
      <c r="F1089">
        <v>1757</v>
      </c>
      <c r="G1089">
        <v>296</v>
      </c>
      <c r="H1089">
        <v>23</v>
      </c>
      <c r="J1089" t="s">
        <v>2180</v>
      </c>
      <c r="O1089" t="s">
        <v>57</v>
      </c>
      <c r="R1089" t="s">
        <v>89</v>
      </c>
      <c r="T1089" t="s">
        <v>89</v>
      </c>
      <c r="V1089" t="s">
        <v>137</v>
      </c>
      <c r="W1089" t="s">
        <v>92</v>
      </c>
      <c r="Y1089" t="s">
        <v>38</v>
      </c>
      <c r="AA1089" t="s">
        <v>38</v>
      </c>
      <c r="AB1089" t="s">
        <v>38</v>
      </c>
      <c r="AC1089" t="s">
        <v>38</v>
      </c>
      <c r="AD1089" t="s">
        <v>48</v>
      </c>
      <c r="AG1089" t="str">
        <f>IF(AD1089="United States", IFERROR(INDEX(Sheet2!$C:$C, MATCH(AE1089&amp;AF1089, Sheet2!$E:$E, 0)) &amp; ", " &amp; INDEX(Sheet2!$D:$D, MATCH(AE1089&amp;AF1089, Sheet2!$E:$E, 0)), ""), "-")</f>
        <v/>
      </c>
    </row>
    <row r="1090" spans="1:33" x14ac:dyDescent="0.25">
      <c r="A1090" t="s">
        <v>98</v>
      </c>
      <c r="D1090" t="s">
        <v>2197</v>
      </c>
      <c r="E1090" t="s">
        <v>185</v>
      </c>
      <c r="F1090">
        <v>1756</v>
      </c>
      <c r="G1090">
        <v>301</v>
      </c>
      <c r="H1090">
        <v>23</v>
      </c>
      <c r="J1090" t="s">
        <v>2180</v>
      </c>
      <c r="O1090" t="s">
        <v>57</v>
      </c>
      <c r="R1090" t="s">
        <v>89</v>
      </c>
      <c r="T1090" t="s">
        <v>89</v>
      </c>
      <c r="V1090" t="s">
        <v>137</v>
      </c>
      <c r="W1090" t="s">
        <v>92</v>
      </c>
      <c r="Y1090" t="s">
        <v>38</v>
      </c>
      <c r="AA1090" t="s">
        <v>38</v>
      </c>
      <c r="AB1090" t="s">
        <v>38</v>
      </c>
      <c r="AC1090" t="s">
        <v>38</v>
      </c>
      <c r="AD1090" t="s">
        <v>48</v>
      </c>
      <c r="AG1090" t="str">
        <f>IF(AD1090="United States", IFERROR(INDEX(Sheet2!$C:$C, MATCH(AE1090&amp;AF1090, Sheet2!$E:$E, 0)) &amp; ", " &amp; INDEX(Sheet2!$D:$D, MATCH(AE1090&amp;AF1090, Sheet2!$E:$E, 0)), ""), "-")</f>
        <v/>
      </c>
    </row>
    <row r="1091" spans="1:33" x14ac:dyDescent="0.25">
      <c r="A1091" t="s">
        <v>98</v>
      </c>
      <c r="D1091" t="s">
        <v>2199</v>
      </c>
      <c r="E1091" t="s">
        <v>1806</v>
      </c>
      <c r="F1091">
        <v>1754</v>
      </c>
      <c r="G1091">
        <v>305</v>
      </c>
      <c r="H1091">
        <v>23</v>
      </c>
      <c r="J1091" t="s">
        <v>2180</v>
      </c>
      <c r="O1091" t="s">
        <v>57</v>
      </c>
      <c r="R1091" t="s">
        <v>89</v>
      </c>
      <c r="T1091" t="s">
        <v>89</v>
      </c>
      <c r="V1091" t="s">
        <v>137</v>
      </c>
      <c r="W1091" t="s">
        <v>92</v>
      </c>
      <c r="Y1091" t="s">
        <v>38</v>
      </c>
      <c r="AA1091" t="s">
        <v>38</v>
      </c>
      <c r="AB1091" t="s">
        <v>38</v>
      </c>
      <c r="AC1091" t="s">
        <v>38</v>
      </c>
      <c r="AD1091" t="s">
        <v>48</v>
      </c>
      <c r="AG1091" t="str">
        <f>IF(AD1091="United States", IFERROR(INDEX(Sheet2!$C:$C, MATCH(AE1091&amp;AF1091, Sheet2!$E:$E, 0)) &amp; ", " &amp; INDEX(Sheet2!$D:$D, MATCH(AE1091&amp;AF1091, Sheet2!$E:$E, 0)), ""), "-")</f>
        <v/>
      </c>
    </row>
    <row r="1092" spans="1:33" x14ac:dyDescent="0.25">
      <c r="A1092" t="s">
        <v>98</v>
      </c>
      <c r="B1092" t="s">
        <v>1213</v>
      </c>
      <c r="C1092" t="s">
        <v>2200</v>
      </c>
      <c r="D1092" t="s">
        <v>101</v>
      </c>
      <c r="E1092" t="s">
        <v>1214</v>
      </c>
      <c r="F1092">
        <v>1753</v>
      </c>
      <c r="G1092">
        <v>850</v>
      </c>
      <c r="H1092" t="s">
        <v>634</v>
      </c>
      <c r="I1092" t="s">
        <v>80</v>
      </c>
      <c r="J1092" t="s">
        <v>2180</v>
      </c>
      <c r="K1092" t="s">
        <v>38</v>
      </c>
      <c r="L1092" t="s">
        <v>38</v>
      </c>
      <c r="M1092" t="s">
        <v>38</v>
      </c>
      <c r="N1092" t="s">
        <v>38</v>
      </c>
      <c r="O1092" t="s">
        <v>41</v>
      </c>
      <c r="P1092" t="s">
        <v>42</v>
      </c>
      <c r="Q1092" t="s">
        <v>43</v>
      </c>
      <c r="R1092" t="s">
        <v>89</v>
      </c>
      <c r="S1092" t="s">
        <v>45</v>
      </c>
      <c r="T1092" t="s">
        <v>89</v>
      </c>
      <c r="U1092" t="s">
        <v>38</v>
      </c>
      <c r="V1092" t="s">
        <v>137</v>
      </c>
      <c r="W1092" t="s">
        <v>92</v>
      </c>
      <c r="X1092" t="s">
        <v>38</v>
      </c>
      <c r="Y1092" t="s">
        <v>1170</v>
      </c>
      <c r="Z1092" t="s">
        <v>42</v>
      </c>
      <c r="AA1092" t="s">
        <v>38</v>
      </c>
      <c r="AB1092" t="s">
        <v>38</v>
      </c>
      <c r="AC1092" t="s">
        <v>45</v>
      </c>
      <c r="AD1092" t="s">
        <v>48</v>
      </c>
      <c r="AG1092" t="str">
        <f>IF(AD1092="United States", IFERROR(INDEX(Sheet2!$C:$C, MATCH(AE1092&amp;AF1092, Sheet2!$E:$E, 0)) &amp; ", " &amp; INDEX(Sheet2!$D:$D, MATCH(AE1092&amp;AF1092, Sheet2!$E:$E, 0)), ""), "-")</f>
        <v/>
      </c>
    </row>
    <row r="1093" spans="1:33" x14ac:dyDescent="0.25">
      <c r="A1093" t="s">
        <v>98</v>
      </c>
      <c r="B1093" t="s">
        <v>1177</v>
      </c>
      <c r="C1093" t="s">
        <v>2200</v>
      </c>
      <c r="D1093" t="s">
        <v>774</v>
      </c>
      <c r="E1093" t="s">
        <v>38</v>
      </c>
      <c r="F1093">
        <v>1772</v>
      </c>
      <c r="G1093">
        <v>849</v>
      </c>
      <c r="H1093" t="s">
        <v>634</v>
      </c>
      <c r="I1093" t="s">
        <v>80</v>
      </c>
      <c r="J1093" t="s">
        <v>2180</v>
      </c>
      <c r="K1093" t="s">
        <v>38</v>
      </c>
      <c r="L1093" t="s">
        <v>38</v>
      </c>
      <c r="M1093" t="s">
        <v>38</v>
      </c>
      <c r="N1093" t="s">
        <v>38</v>
      </c>
      <c r="O1093" t="s">
        <v>54</v>
      </c>
      <c r="P1093" t="s">
        <v>42</v>
      </c>
      <c r="Q1093" t="s">
        <v>43</v>
      </c>
      <c r="R1093" t="s">
        <v>89</v>
      </c>
      <c r="S1093" t="s">
        <v>38</v>
      </c>
      <c r="T1093" t="s">
        <v>89</v>
      </c>
      <c r="U1093" t="s">
        <v>38</v>
      </c>
      <c r="V1093" t="s">
        <v>137</v>
      </c>
      <c r="W1093" t="s">
        <v>92</v>
      </c>
      <c r="X1093" t="s">
        <v>38</v>
      </c>
      <c r="Y1093" t="s">
        <v>1155</v>
      </c>
      <c r="Z1093" t="s">
        <v>42</v>
      </c>
      <c r="AA1093" t="s">
        <v>38</v>
      </c>
      <c r="AB1093" t="s">
        <v>38</v>
      </c>
      <c r="AC1093" t="s">
        <v>38</v>
      </c>
      <c r="AD1093" t="s">
        <v>48</v>
      </c>
      <c r="AG1093" t="str">
        <f>IF(AD1093="United States", IFERROR(INDEX(Sheet2!$C:$C, MATCH(AE1093&amp;AF1093, Sheet2!$E:$E, 0)) &amp; ", " &amp; INDEX(Sheet2!$D:$D, MATCH(AE1093&amp;AF1093, Sheet2!$E:$E, 0)), ""), "-")</f>
        <v/>
      </c>
    </row>
    <row r="1094" spans="1:33" x14ac:dyDescent="0.25">
      <c r="A1094" t="s">
        <v>98</v>
      </c>
      <c r="B1094" t="s">
        <v>2201</v>
      </c>
      <c r="C1094" t="s">
        <v>2177</v>
      </c>
      <c r="D1094" t="s">
        <v>2202</v>
      </c>
      <c r="E1094" t="s">
        <v>268</v>
      </c>
      <c r="F1094">
        <v>1765</v>
      </c>
      <c r="G1094">
        <v>793</v>
      </c>
      <c r="H1094" t="s">
        <v>2179</v>
      </c>
      <c r="I1094" t="s">
        <v>39</v>
      </c>
      <c r="J1094" t="s">
        <v>2180</v>
      </c>
      <c r="K1094" t="s">
        <v>38</v>
      </c>
      <c r="L1094" t="s">
        <v>38</v>
      </c>
      <c r="M1094" t="s">
        <v>38</v>
      </c>
      <c r="N1094" t="s">
        <v>38</v>
      </c>
      <c r="O1094" t="s">
        <v>57</v>
      </c>
      <c r="P1094" t="s">
        <v>42</v>
      </c>
      <c r="Q1094" t="s">
        <v>43</v>
      </c>
      <c r="R1094" t="s">
        <v>89</v>
      </c>
      <c r="S1094" t="s">
        <v>89</v>
      </c>
      <c r="T1094" t="s">
        <v>89</v>
      </c>
      <c r="U1094" t="s">
        <v>38</v>
      </c>
      <c r="V1094" t="s">
        <v>137</v>
      </c>
      <c r="W1094" t="s">
        <v>92</v>
      </c>
      <c r="X1094" t="s">
        <v>38</v>
      </c>
      <c r="Y1094" t="s">
        <v>2203</v>
      </c>
      <c r="Z1094" t="s">
        <v>42</v>
      </c>
      <c r="AA1094" t="s">
        <v>38</v>
      </c>
      <c r="AB1094" t="s">
        <v>38</v>
      </c>
      <c r="AC1094" t="s">
        <v>38</v>
      </c>
      <c r="AD1094" t="s">
        <v>48</v>
      </c>
      <c r="AG1094" t="str">
        <f>IF(AD1094="United States", IFERROR(INDEX(Sheet2!$C:$C, MATCH(AE1094&amp;AF1094, Sheet2!$E:$E, 0)) &amp; ", " &amp; INDEX(Sheet2!$D:$D, MATCH(AE1094&amp;AF1094, Sheet2!$E:$E, 0)), ""), "-")</f>
        <v/>
      </c>
    </row>
    <row r="1095" spans="1:33" x14ac:dyDescent="0.25">
      <c r="A1095" t="s">
        <v>98</v>
      </c>
      <c r="B1095" t="s">
        <v>2204</v>
      </c>
      <c r="C1095" t="s">
        <v>2200</v>
      </c>
      <c r="D1095" t="s">
        <v>210</v>
      </c>
      <c r="E1095" t="s">
        <v>2205</v>
      </c>
      <c r="F1095">
        <v>1761</v>
      </c>
      <c r="G1095">
        <v>839</v>
      </c>
      <c r="H1095" t="s">
        <v>152</v>
      </c>
      <c r="I1095" t="s">
        <v>39</v>
      </c>
      <c r="J1095" t="s">
        <v>2180</v>
      </c>
      <c r="K1095" t="s">
        <v>38</v>
      </c>
      <c r="L1095" t="s">
        <v>38</v>
      </c>
      <c r="M1095" t="s">
        <v>38</v>
      </c>
      <c r="N1095" t="s">
        <v>38</v>
      </c>
      <c r="O1095" t="s">
        <v>41</v>
      </c>
      <c r="P1095" t="s">
        <v>42</v>
      </c>
      <c r="Q1095" t="s">
        <v>43</v>
      </c>
      <c r="R1095" t="s">
        <v>89</v>
      </c>
      <c r="S1095" t="s">
        <v>153</v>
      </c>
      <c r="T1095" t="s">
        <v>89</v>
      </c>
      <c r="U1095" t="s">
        <v>38</v>
      </c>
      <c r="V1095" t="s">
        <v>137</v>
      </c>
      <c r="W1095" t="s">
        <v>92</v>
      </c>
      <c r="X1095" t="s">
        <v>38</v>
      </c>
      <c r="Y1095" t="s">
        <v>1199</v>
      </c>
      <c r="Z1095" t="s">
        <v>42</v>
      </c>
      <c r="AA1095" t="s">
        <v>2206</v>
      </c>
      <c r="AB1095" t="s">
        <v>38</v>
      </c>
      <c r="AC1095" t="s">
        <v>153</v>
      </c>
      <c r="AD1095" t="s">
        <v>48</v>
      </c>
      <c r="AG1095" t="str">
        <f>IF(AD1095="United States", IFERROR(INDEX(Sheet2!$C:$C, MATCH(AE1095&amp;AF1095, Sheet2!$E:$E, 0)) &amp; ", " &amp; INDEX(Sheet2!$D:$D, MATCH(AE1095&amp;AF1095, Sheet2!$E:$E, 0)), ""), "-")</f>
        <v/>
      </c>
    </row>
    <row r="1096" spans="1:33" x14ac:dyDescent="0.25">
      <c r="A1096" t="s">
        <v>98</v>
      </c>
      <c r="B1096" t="s">
        <v>2207</v>
      </c>
      <c r="C1096" t="s">
        <v>2200</v>
      </c>
      <c r="D1096" t="s">
        <v>101</v>
      </c>
      <c r="E1096" t="s">
        <v>2205</v>
      </c>
      <c r="F1096">
        <v>1771</v>
      </c>
      <c r="G1096">
        <v>840</v>
      </c>
      <c r="H1096" t="s">
        <v>634</v>
      </c>
      <c r="I1096" t="s">
        <v>39</v>
      </c>
      <c r="J1096" t="s">
        <v>2180</v>
      </c>
      <c r="K1096" t="s">
        <v>38</v>
      </c>
      <c r="L1096" t="s">
        <v>38</v>
      </c>
      <c r="M1096" t="s">
        <v>38</v>
      </c>
      <c r="N1096" t="s">
        <v>38</v>
      </c>
      <c r="O1096" t="s">
        <v>54</v>
      </c>
      <c r="P1096" t="s">
        <v>42</v>
      </c>
      <c r="Q1096" t="s">
        <v>43</v>
      </c>
      <c r="R1096" t="s">
        <v>89</v>
      </c>
      <c r="S1096" t="s">
        <v>153</v>
      </c>
      <c r="T1096" t="s">
        <v>89</v>
      </c>
      <c r="U1096" t="s">
        <v>38</v>
      </c>
      <c r="V1096" t="s">
        <v>137</v>
      </c>
      <c r="W1096" t="s">
        <v>92</v>
      </c>
      <c r="X1096" t="s">
        <v>38</v>
      </c>
      <c r="Y1096" t="s">
        <v>1199</v>
      </c>
      <c r="Z1096" t="s">
        <v>42</v>
      </c>
      <c r="AA1096" t="s">
        <v>2206</v>
      </c>
      <c r="AB1096" t="s">
        <v>38</v>
      </c>
      <c r="AC1096" t="s">
        <v>153</v>
      </c>
      <c r="AD1096" t="s">
        <v>48</v>
      </c>
      <c r="AG1096" t="str">
        <f>IF(AD1096="United States", IFERROR(INDEX(Sheet2!$C:$C, MATCH(AE1096&amp;AF1096, Sheet2!$E:$E, 0)) &amp; ", " &amp; INDEX(Sheet2!$D:$D, MATCH(AE1096&amp;AF1096, Sheet2!$E:$E, 0)), ""), "-")</f>
        <v/>
      </c>
    </row>
    <row r="1097" spans="1:33" x14ac:dyDescent="0.25">
      <c r="A1097" t="s">
        <v>98</v>
      </c>
      <c r="B1097" t="s">
        <v>1221</v>
      </c>
      <c r="C1097" t="s">
        <v>2200</v>
      </c>
      <c r="D1097" t="s">
        <v>1220</v>
      </c>
      <c r="E1097" t="s">
        <v>268</v>
      </c>
      <c r="F1097">
        <v>1742</v>
      </c>
      <c r="G1097">
        <v>841</v>
      </c>
      <c r="H1097" t="s">
        <v>634</v>
      </c>
      <c r="I1097" t="s">
        <v>80</v>
      </c>
      <c r="J1097" t="s">
        <v>2180</v>
      </c>
      <c r="K1097" t="s">
        <v>38</v>
      </c>
      <c r="L1097" t="s">
        <v>38</v>
      </c>
      <c r="M1097" t="s">
        <v>38</v>
      </c>
      <c r="N1097" t="s">
        <v>38</v>
      </c>
      <c r="O1097" t="s">
        <v>41</v>
      </c>
      <c r="P1097" t="s">
        <v>42</v>
      </c>
      <c r="Q1097" t="s">
        <v>43</v>
      </c>
      <c r="R1097" t="s">
        <v>89</v>
      </c>
      <c r="S1097" t="s">
        <v>38</v>
      </c>
      <c r="T1097" t="s">
        <v>89</v>
      </c>
      <c r="U1097" t="s">
        <v>38</v>
      </c>
      <c r="V1097" t="s">
        <v>137</v>
      </c>
      <c r="W1097" t="s">
        <v>92</v>
      </c>
      <c r="X1097" t="s">
        <v>38</v>
      </c>
      <c r="Y1097" t="s">
        <v>1170</v>
      </c>
      <c r="Z1097" t="s">
        <v>42</v>
      </c>
      <c r="AA1097" t="s">
        <v>38</v>
      </c>
      <c r="AB1097" t="s">
        <v>38</v>
      </c>
      <c r="AC1097" t="s">
        <v>38</v>
      </c>
      <c r="AD1097" t="s">
        <v>48</v>
      </c>
      <c r="AG1097" t="str">
        <f>IF(AD1097="United States", IFERROR(INDEX(Sheet2!$C:$C, MATCH(AE1097&amp;AF1097, Sheet2!$E:$E, 0)) &amp; ", " &amp; INDEX(Sheet2!$D:$D, MATCH(AE1097&amp;AF1097, Sheet2!$E:$E, 0)), ""), "-")</f>
        <v/>
      </c>
    </row>
    <row r="1098" spans="1:33" x14ac:dyDescent="0.25">
      <c r="A1098" t="s">
        <v>98</v>
      </c>
      <c r="B1098" t="s">
        <v>1219</v>
      </c>
      <c r="C1098" t="s">
        <v>2200</v>
      </c>
      <c r="D1098" t="s">
        <v>226</v>
      </c>
      <c r="E1098" t="s">
        <v>191</v>
      </c>
      <c r="F1098">
        <v>1743</v>
      </c>
      <c r="G1098">
        <v>842</v>
      </c>
      <c r="H1098" t="s">
        <v>152</v>
      </c>
      <c r="I1098" t="s">
        <v>80</v>
      </c>
      <c r="J1098" t="s">
        <v>2180</v>
      </c>
      <c r="K1098" t="s">
        <v>1220</v>
      </c>
      <c r="L1098" t="s">
        <v>268</v>
      </c>
      <c r="M1098" t="s">
        <v>38</v>
      </c>
      <c r="N1098" t="s">
        <v>38</v>
      </c>
      <c r="O1098" t="s">
        <v>41</v>
      </c>
      <c r="P1098" t="s">
        <v>42</v>
      </c>
      <c r="Q1098" t="s">
        <v>43</v>
      </c>
      <c r="R1098" t="s">
        <v>89</v>
      </c>
      <c r="S1098" t="s">
        <v>38</v>
      </c>
      <c r="T1098" t="s">
        <v>89</v>
      </c>
      <c r="U1098" t="s">
        <v>38</v>
      </c>
      <c r="V1098" t="s">
        <v>137</v>
      </c>
      <c r="W1098" t="s">
        <v>92</v>
      </c>
      <c r="X1098" t="s">
        <v>38</v>
      </c>
      <c r="Y1098" t="s">
        <v>1199</v>
      </c>
      <c r="Z1098" t="s">
        <v>42</v>
      </c>
      <c r="AA1098" t="s">
        <v>38</v>
      </c>
      <c r="AB1098" t="s">
        <v>38</v>
      </c>
      <c r="AC1098" t="s">
        <v>38</v>
      </c>
      <c r="AD1098" t="s">
        <v>48</v>
      </c>
      <c r="AG1098" t="str">
        <f>IF(AD1098="United States", IFERROR(INDEX(Sheet2!$C:$C, MATCH(AE1098&amp;AF1098, Sheet2!$E:$E, 0)) &amp; ", " &amp; INDEX(Sheet2!$D:$D, MATCH(AE1098&amp;AF1098, Sheet2!$E:$E, 0)), ""), "-")</f>
        <v/>
      </c>
    </row>
    <row r="1099" spans="1:33" x14ac:dyDescent="0.25">
      <c r="A1099" t="s">
        <v>98</v>
      </c>
      <c r="B1099" t="s">
        <v>1218</v>
      </c>
      <c r="C1099" t="s">
        <v>2200</v>
      </c>
      <c r="D1099" t="s">
        <v>210</v>
      </c>
      <c r="E1099" t="s">
        <v>1198</v>
      </c>
      <c r="F1099">
        <v>1721</v>
      </c>
      <c r="G1099">
        <v>843</v>
      </c>
      <c r="H1099" t="s">
        <v>152</v>
      </c>
      <c r="I1099" t="s">
        <v>80</v>
      </c>
      <c r="J1099" t="s">
        <v>2180</v>
      </c>
      <c r="K1099" t="s">
        <v>38</v>
      </c>
      <c r="L1099" t="s">
        <v>38</v>
      </c>
      <c r="M1099" t="s">
        <v>38</v>
      </c>
      <c r="N1099" t="s">
        <v>38</v>
      </c>
      <c r="O1099" t="s">
        <v>41</v>
      </c>
      <c r="P1099" t="s">
        <v>42</v>
      </c>
      <c r="Q1099" t="s">
        <v>43</v>
      </c>
      <c r="R1099" t="s">
        <v>89</v>
      </c>
      <c r="S1099" t="s">
        <v>38</v>
      </c>
      <c r="T1099" t="s">
        <v>89</v>
      </c>
      <c r="U1099" t="s">
        <v>38</v>
      </c>
      <c r="V1099" t="s">
        <v>137</v>
      </c>
      <c r="W1099" t="s">
        <v>92</v>
      </c>
      <c r="X1099" t="s">
        <v>38</v>
      </c>
      <c r="Y1099" t="s">
        <v>1199</v>
      </c>
      <c r="Z1099" t="s">
        <v>42</v>
      </c>
      <c r="AA1099" t="s">
        <v>38</v>
      </c>
      <c r="AB1099" t="s">
        <v>38</v>
      </c>
      <c r="AC1099" t="s">
        <v>1200</v>
      </c>
      <c r="AD1099" t="s">
        <v>48</v>
      </c>
      <c r="AG1099" t="str">
        <f>IF(AD1099="United States", IFERROR(INDEX(Sheet2!$C:$C, MATCH(AE1099&amp;AF1099, Sheet2!$E:$E, 0)) &amp; ", " &amp; INDEX(Sheet2!$D:$D, MATCH(AE1099&amp;AF1099, Sheet2!$E:$E, 0)), ""), "-")</f>
        <v/>
      </c>
    </row>
    <row r="1100" spans="1:33" x14ac:dyDescent="0.25">
      <c r="A1100" t="s">
        <v>98</v>
      </c>
      <c r="B1100" t="s">
        <v>2208</v>
      </c>
      <c r="C1100" t="s">
        <v>2177</v>
      </c>
      <c r="D1100" t="s">
        <v>72</v>
      </c>
      <c r="E1100" t="s">
        <v>191</v>
      </c>
      <c r="F1100">
        <v>1781</v>
      </c>
      <c r="G1100">
        <v>781</v>
      </c>
      <c r="H1100" t="s">
        <v>38</v>
      </c>
      <c r="I1100" t="s">
        <v>39</v>
      </c>
      <c r="J1100" t="s">
        <v>2180</v>
      </c>
      <c r="K1100" t="s">
        <v>38</v>
      </c>
      <c r="L1100" t="s">
        <v>38</v>
      </c>
      <c r="M1100" t="s">
        <v>38</v>
      </c>
      <c r="N1100" t="s">
        <v>38</v>
      </c>
      <c r="O1100" t="s">
        <v>54</v>
      </c>
      <c r="P1100" t="s">
        <v>42</v>
      </c>
      <c r="Q1100" t="s">
        <v>43</v>
      </c>
      <c r="R1100" t="s">
        <v>38</v>
      </c>
      <c r="S1100" t="s">
        <v>38</v>
      </c>
      <c r="T1100" t="s">
        <v>38</v>
      </c>
      <c r="U1100" t="s">
        <v>38</v>
      </c>
      <c r="V1100" t="s">
        <v>137</v>
      </c>
      <c r="W1100" t="s">
        <v>38</v>
      </c>
      <c r="X1100" t="s">
        <v>38</v>
      </c>
      <c r="Y1100" t="s">
        <v>1199</v>
      </c>
      <c r="Z1100" t="s">
        <v>42</v>
      </c>
      <c r="AA1100" t="s">
        <v>38</v>
      </c>
      <c r="AB1100" t="s">
        <v>38</v>
      </c>
      <c r="AC1100" t="s">
        <v>38</v>
      </c>
      <c r="AD1100" t="s">
        <v>48</v>
      </c>
      <c r="AG1100" t="str">
        <f>IF(AD1100="United States", IFERROR(INDEX(Sheet2!$C:$C, MATCH(AE1100&amp;AF1100, Sheet2!$E:$E, 0)) &amp; ", " &amp; INDEX(Sheet2!$D:$D, MATCH(AE1100&amp;AF1100, Sheet2!$E:$E, 0)), ""), "-")</f>
        <v/>
      </c>
    </row>
    <row r="1101" spans="1:33" x14ac:dyDescent="0.25">
      <c r="A1101" t="s">
        <v>98</v>
      </c>
      <c r="B1101" t="s">
        <v>1196</v>
      </c>
      <c r="C1101" t="s">
        <v>2200</v>
      </c>
      <c r="D1101" t="s">
        <v>1197</v>
      </c>
      <c r="E1101" t="s">
        <v>1198</v>
      </c>
      <c r="F1101">
        <v>1741</v>
      </c>
      <c r="G1101">
        <v>844</v>
      </c>
      <c r="H1101" t="s">
        <v>634</v>
      </c>
      <c r="I1101" t="s">
        <v>80</v>
      </c>
      <c r="J1101" t="s">
        <v>2180</v>
      </c>
      <c r="K1101" t="s">
        <v>38</v>
      </c>
      <c r="L1101" t="s">
        <v>38</v>
      </c>
      <c r="M1101" t="s">
        <v>38</v>
      </c>
      <c r="N1101" t="s">
        <v>38</v>
      </c>
      <c r="O1101" t="s">
        <v>41</v>
      </c>
      <c r="P1101" t="s">
        <v>42</v>
      </c>
      <c r="Q1101" t="s">
        <v>43</v>
      </c>
      <c r="R1101" t="s">
        <v>89</v>
      </c>
      <c r="S1101" t="s">
        <v>38</v>
      </c>
      <c r="T1101" t="s">
        <v>89</v>
      </c>
      <c r="U1101" t="s">
        <v>38</v>
      </c>
      <c r="V1101" t="s">
        <v>137</v>
      </c>
      <c r="W1101" t="s">
        <v>92</v>
      </c>
      <c r="X1101" t="s">
        <v>38</v>
      </c>
      <c r="Y1101" t="s">
        <v>1199</v>
      </c>
      <c r="Z1101" t="s">
        <v>42</v>
      </c>
      <c r="AA1101" t="s">
        <v>38</v>
      </c>
      <c r="AB1101" t="s">
        <v>38</v>
      </c>
      <c r="AC1101" t="s">
        <v>1200</v>
      </c>
      <c r="AD1101" t="s">
        <v>48</v>
      </c>
      <c r="AG1101" t="str">
        <f>IF(AD1101="United States", IFERROR(INDEX(Sheet2!$C:$C, MATCH(AE1101&amp;AF1101, Sheet2!$E:$E, 0)) &amp; ", " &amp; INDEX(Sheet2!$D:$D, MATCH(AE1101&amp;AF1101, Sheet2!$E:$E, 0)), ""), "-")</f>
        <v/>
      </c>
    </row>
    <row r="1102" spans="1:33" x14ac:dyDescent="0.25">
      <c r="A1102" t="s">
        <v>98</v>
      </c>
      <c r="B1102" t="s">
        <v>2209</v>
      </c>
      <c r="C1102" t="s">
        <v>2177</v>
      </c>
      <c r="D1102" t="s">
        <v>621</v>
      </c>
      <c r="E1102" t="s">
        <v>2178</v>
      </c>
      <c r="F1102">
        <v>1772</v>
      </c>
      <c r="G1102">
        <v>790</v>
      </c>
      <c r="H1102" t="s">
        <v>152</v>
      </c>
      <c r="I1102" t="s">
        <v>39</v>
      </c>
      <c r="J1102" t="s">
        <v>2180</v>
      </c>
      <c r="K1102" t="s">
        <v>38</v>
      </c>
      <c r="L1102" t="s">
        <v>38</v>
      </c>
      <c r="M1102" t="s">
        <v>38</v>
      </c>
      <c r="N1102" t="s">
        <v>38</v>
      </c>
      <c r="O1102" t="s">
        <v>54</v>
      </c>
      <c r="P1102" t="s">
        <v>42</v>
      </c>
      <c r="Q1102" t="s">
        <v>43</v>
      </c>
      <c r="R1102" t="s">
        <v>89</v>
      </c>
      <c r="S1102" t="s">
        <v>38</v>
      </c>
      <c r="T1102" t="s">
        <v>89</v>
      </c>
      <c r="U1102" t="s">
        <v>38</v>
      </c>
      <c r="V1102" t="s">
        <v>137</v>
      </c>
      <c r="W1102" t="s">
        <v>92</v>
      </c>
      <c r="X1102" t="s">
        <v>38</v>
      </c>
      <c r="Y1102" t="s">
        <v>38</v>
      </c>
      <c r="Z1102" t="s">
        <v>42</v>
      </c>
      <c r="AA1102" t="s">
        <v>38</v>
      </c>
      <c r="AB1102" t="s">
        <v>38</v>
      </c>
      <c r="AC1102" t="s">
        <v>38</v>
      </c>
      <c r="AD1102" t="s">
        <v>48</v>
      </c>
      <c r="AG1102" t="str">
        <f>IF(AD1102="United States", IFERROR(INDEX(Sheet2!$C:$C, MATCH(AE1102&amp;AF1102, Sheet2!$E:$E, 0)) &amp; ", " &amp; INDEX(Sheet2!$D:$D, MATCH(AE1102&amp;AF1102, Sheet2!$E:$E, 0)), ""), "-")</f>
        <v/>
      </c>
    </row>
    <row r="1103" spans="1:33" x14ac:dyDescent="0.25">
      <c r="A1103" t="s">
        <v>98</v>
      </c>
      <c r="D1103" t="s">
        <v>181</v>
      </c>
      <c r="E1103" t="s">
        <v>2146</v>
      </c>
      <c r="F1103" t="s">
        <v>38</v>
      </c>
      <c r="G1103">
        <v>306</v>
      </c>
      <c r="H1103">
        <v>23</v>
      </c>
      <c r="J1103" t="s">
        <v>2180</v>
      </c>
      <c r="O1103" t="s">
        <v>183</v>
      </c>
      <c r="R1103" t="s">
        <v>89</v>
      </c>
      <c r="T1103" t="s">
        <v>89</v>
      </c>
      <c r="V1103" t="s">
        <v>137</v>
      </c>
      <c r="W1103" t="s">
        <v>92</v>
      </c>
      <c r="Y1103" t="s">
        <v>38</v>
      </c>
      <c r="AA1103" t="s">
        <v>38</v>
      </c>
      <c r="AB1103" t="s">
        <v>38</v>
      </c>
      <c r="AC1103" t="s">
        <v>38</v>
      </c>
      <c r="AD1103" t="s">
        <v>48</v>
      </c>
      <c r="AG1103" t="str">
        <f>IF(AD1103="United States", IFERROR(INDEX(Sheet2!$C:$C, MATCH(AE1103&amp;AF1103, Sheet2!$E:$E, 0)) &amp; ", " &amp; INDEX(Sheet2!$D:$D, MATCH(AE1103&amp;AF1103, Sheet2!$E:$E, 0)), ""), "-")</f>
        <v/>
      </c>
    </row>
    <row r="1104" spans="1:33" x14ac:dyDescent="0.25">
      <c r="A1104" t="s">
        <v>98</v>
      </c>
      <c r="B1104" t="s">
        <v>1172</v>
      </c>
      <c r="C1104" t="s">
        <v>2200</v>
      </c>
      <c r="D1104" t="s">
        <v>245</v>
      </c>
      <c r="E1104" t="s">
        <v>268</v>
      </c>
      <c r="F1104">
        <v>1754</v>
      </c>
      <c r="G1104">
        <v>845</v>
      </c>
      <c r="H1104" t="s">
        <v>152</v>
      </c>
      <c r="I1104" t="s">
        <v>80</v>
      </c>
      <c r="J1104" t="s">
        <v>2180</v>
      </c>
      <c r="K1104" t="s">
        <v>38</v>
      </c>
      <c r="L1104" t="s">
        <v>38</v>
      </c>
      <c r="M1104" t="s">
        <v>38</v>
      </c>
      <c r="N1104" t="s">
        <v>38</v>
      </c>
      <c r="O1104" t="s">
        <v>57</v>
      </c>
      <c r="P1104" t="s">
        <v>42</v>
      </c>
      <c r="Q1104" t="s">
        <v>43</v>
      </c>
      <c r="R1104" t="s">
        <v>89</v>
      </c>
      <c r="S1104" t="s">
        <v>38</v>
      </c>
      <c r="T1104" t="s">
        <v>89</v>
      </c>
      <c r="U1104" t="s">
        <v>38</v>
      </c>
      <c r="V1104" t="s">
        <v>137</v>
      </c>
      <c r="W1104" t="s">
        <v>92</v>
      </c>
      <c r="X1104" t="s">
        <v>38</v>
      </c>
      <c r="Y1104" t="s">
        <v>1170</v>
      </c>
      <c r="Z1104" t="s">
        <v>42</v>
      </c>
      <c r="AA1104" t="s">
        <v>38</v>
      </c>
      <c r="AB1104" t="s">
        <v>38</v>
      </c>
      <c r="AC1104" t="s">
        <v>38</v>
      </c>
      <c r="AD1104" t="s">
        <v>48</v>
      </c>
      <c r="AG1104" t="str">
        <f>IF(AD1104="United States", IFERROR(INDEX(Sheet2!$C:$C, MATCH(AE1104&amp;AF1104, Sheet2!$E:$E, 0)) &amp; ", " &amp; INDEX(Sheet2!$D:$D, MATCH(AE1104&amp;AF1104, Sheet2!$E:$E, 0)), ""), "-")</f>
        <v/>
      </c>
    </row>
    <row r="1105" spans="1:33" x14ac:dyDescent="0.25">
      <c r="A1105" t="s">
        <v>98</v>
      </c>
      <c r="B1105" t="s">
        <v>1167</v>
      </c>
      <c r="C1105" t="s">
        <v>2200</v>
      </c>
      <c r="D1105" t="s">
        <v>1168</v>
      </c>
      <c r="E1105" t="s">
        <v>163</v>
      </c>
      <c r="F1105">
        <v>1778</v>
      </c>
      <c r="G1105">
        <v>846</v>
      </c>
      <c r="H1105" t="s">
        <v>38</v>
      </c>
      <c r="I1105" t="s">
        <v>80</v>
      </c>
      <c r="J1105" t="s">
        <v>2180</v>
      </c>
      <c r="K1105" t="s">
        <v>38</v>
      </c>
      <c r="L1105" t="s">
        <v>38</v>
      </c>
      <c r="M1105" t="s">
        <v>245</v>
      </c>
      <c r="N1105" t="s">
        <v>268</v>
      </c>
      <c r="O1105" t="s">
        <v>54</v>
      </c>
      <c r="P1105" t="s">
        <v>42</v>
      </c>
      <c r="Q1105" t="s">
        <v>43</v>
      </c>
      <c r="R1105" t="s">
        <v>38</v>
      </c>
      <c r="S1105" t="s">
        <v>38</v>
      </c>
      <c r="T1105" t="s">
        <v>38</v>
      </c>
      <c r="U1105" t="s">
        <v>38</v>
      </c>
      <c r="V1105" t="s">
        <v>137</v>
      </c>
      <c r="W1105" t="s">
        <v>38</v>
      </c>
      <c r="X1105" t="s">
        <v>38</v>
      </c>
      <c r="Y1105" t="s">
        <v>1170</v>
      </c>
      <c r="Z1105" t="s">
        <v>42</v>
      </c>
      <c r="AA1105" t="s">
        <v>38</v>
      </c>
      <c r="AB1105" t="s">
        <v>38</v>
      </c>
      <c r="AC1105" t="s">
        <v>1171</v>
      </c>
      <c r="AD1105" t="s">
        <v>48</v>
      </c>
      <c r="AG1105" t="str">
        <f>IF(AD1105="United States", IFERROR(INDEX(Sheet2!$C:$C, MATCH(AE1105&amp;AF1105, Sheet2!$E:$E, 0)) &amp; ", " &amp; INDEX(Sheet2!$D:$D, MATCH(AE1105&amp;AF1105, Sheet2!$E:$E, 0)), ""), "-")</f>
        <v/>
      </c>
    </row>
    <row r="1106" spans="1:33" x14ac:dyDescent="0.25">
      <c r="A1106" t="s">
        <v>98</v>
      </c>
      <c r="B1106" t="s">
        <v>1163</v>
      </c>
      <c r="C1106" t="s">
        <v>2200</v>
      </c>
      <c r="D1106" t="s">
        <v>1164</v>
      </c>
      <c r="E1106" t="s">
        <v>1165</v>
      </c>
      <c r="F1106">
        <v>1743</v>
      </c>
      <c r="G1106">
        <v>847</v>
      </c>
      <c r="H1106" t="s">
        <v>634</v>
      </c>
      <c r="I1106" t="s">
        <v>80</v>
      </c>
      <c r="J1106" t="s">
        <v>2180</v>
      </c>
      <c r="K1106" t="s">
        <v>38</v>
      </c>
      <c r="L1106" t="s">
        <v>38</v>
      </c>
      <c r="M1106" t="s">
        <v>38</v>
      </c>
      <c r="N1106" t="s">
        <v>38</v>
      </c>
      <c r="O1106" t="s">
        <v>57</v>
      </c>
      <c r="P1106" t="s">
        <v>42</v>
      </c>
      <c r="Q1106" t="s">
        <v>43</v>
      </c>
      <c r="R1106" t="s">
        <v>89</v>
      </c>
      <c r="S1106" t="s">
        <v>153</v>
      </c>
      <c r="T1106" t="s">
        <v>89</v>
      </c>
      <c r="U1106" t="s">
        <v>38</v>
      </c>
      <c r="V1106" t="s">
        <v>137</v>
      </c>
      <c r="W1106" t="s">
        <v>92</v>
      </c>
      <c r="X1106" t="s">
        <v>38</v>
      </c>
      <c r="Y1106" t="s">
        <v>1155</v>
      </c>
      <c r="Z1106" t="s">
        <v>42</v>
      </c>
      <c r="AA1106" t="s">
        <v>155</v>
      </c>
      <c r="AB1106" t="s">
        <v>38</v>
      </c>
      <c r="AC1106" t="s">
        <v>153</v>
      </c>
      <c r="AD1106" t="s">
        <v>48</v>
      </c>
      <c r="AG1106" t="str">
        <f>IF(AD1106="United States", IFERROR(INDEX(Sheet2!$C:$C, MATCH(AE1106&amp;AF1106, Sheet2!$E:$E, 0)) &amp; ", " &amp; INDEX(Sheet2!$D:$D, MATCH(AE1106&amp;AF1106, Sheet2!$E:$E, 0)), ""), "-")</f>
        <v/>
      </c>
    </row>
    <row r="1107" spans="1:33" x14ac:dyDescent="0.25">
      <c r="A1107" t="s">
        <v>98</v>
      </c>
      <c r="B1107" t="s">
        <v>1154</v>
      </c>
      <c r="C1107" t="s">
        <v>2200</v>
      </c>
      <c r="D1107" t="s">
        <v>222</v>
      </c>
      <c r="E1107" t="s">
        <v>38</v>
      </c>
      <c r="F1107">
        <v>1770</v>
      </c>
      <c r="G1107">
        <v>848</v>
      </c>
      <c r="H1107" t="s">
        <v>152</v>
      </c>
      <c r="I1107" t="s">
        <v>80</v>
      </c>
      <c r="J1107" t="s">
        <v>2180</v>
      </c>
      <c r="K1107" t="s">
        <v>38</v>
      </c>
      <c r="L1107" t="s">
        <v>38</v>
      </c>
      <c r="M1107" t="s">
        <v>38</v>
      </c>
      <c r="N1107" t="s">
        <v>38</v>
      </c>
      <c r="O1107" t="s">
        <v>74</v>
      </c>
      <c r="P1107" t="s">
        <v>42</v>
      </c>
      <c r="Q1107" t="s">
        <v>43</v>
      </c>
      <c r="R1107" t="s">
        <v>89</v>
      </c>
      <c r="S1107" t="s">
        <v>153</v>
      </c>
      <c r="T1107" t="s">
        <v>89</v>
      </c>
      <c r="U1107" t="s">
        <v>38</v>
      </c>
      <c r="V1107" t="s">
        <v>137</v>
      </c>
      <c r="W1107" t="s">
        <v>92</v>
      </c>
      <c r="X1107" t="s">
        <v>38</v>
      </c>
      <c r="Y1107" t="s">
        <v>1155</v>
      </c>
      <c r="Z1107" t="s">
        <v>42</v>
      </c>
      <c r="AA1107" t="s">
        <v>155</v>
      </c>
      <c r="AB1107" t="s">
        <v>38</v>
      </c>
      <c r="AC1107" t="s">
        <v>153</v>
      </c>
      <c r="AD1107" t="s">
        <v>48</v>
      </c>
      <c r="AG1107" t="str">
        <f>IF(AD1107="United States", IFERROR(INDEX(Sheet2!$C:$C, MATCH(AE1107&amp;AF1107, Sheet2!$E:$E, 0)) &amp; ", " &amp; INDEX(Sheet2!$D:$D, MATCH(AE1107&amp;AF1107, Sheet2!$E:$E, 0)), ""), "-")</f>
        <v/>
      </c>
    </row>
    <row r="1108" spans="1:33" x14ac:dyDescent="0.25">
      <c r="A1108" t="s">
        <v>98</v>
      </c>
      <c r="B1108" t="s">
        <v>2210</v>
      </c>
      <c r="C1108" t="s">
        <v>2177</v>
      </c>
      <c r="D1108" t="s">
        <v>359</v>
      </c>
      <c r="E1108" t="s">
        <v>2178</v>
      </c>
      <c r="F1108">
        <v>1767</v>
      </c>
      <c r="G1108">
        <v>792</v>
      </c>
      <c r="H1108" t="s">
        <v>2179</v>
      </c>
      <c r="I1108" t="s">
        <v>39</v>
      </c>
      <c r="J1108" t="s">
        <v>2180</v>
      </c>
      <c r="K1108" t="s">
        <v>38</v>
      </c>
      <c r="L1108" t="s">
        <v>38</v>
      </c>
      <c r="M1108" t="s">
        <v>38</v>
      </c>
      <c r="N1108" t="s">
        <v>38</v>
      </c>
      <c r="O1108" t="s">
        <v>54</v>
      </c>
      <c r="P1108" t="s">
        <v>42</v>
      </c>
      <c r="Q1108" t="s">
        <v>43</v>
      </c>
      <c r="R1108" t="s">
        <v>89</v>
      </c>
      <c r="S1108" t="s">
        <v>38</v>
      </c>
      <c r="T1108" t="s">
        <v>89</v>
      </c>
      <c r="U1108" t="s">
        <v>38</v>
      </c>
      <c r="V1108" t="s">
        <v>137</v>
      </c>
      <c r="W1108" t="s">
        <v>92</v>
      </c>
      <c r="X1108" t="s">
        <v>38</v>
      </c>
      <c r="Y1108" t="s">
        <v>38</v>
      </c>
      <c r="Z1108" t="s">
        <v>42</v>
      </c>
      <c r="AA1108" t="s">
        <v>38</v>
      </c>
      <c r="AB1108" t="s">
        <v>38</v>
      </c>
      <c r="AC1108" t="s">
        <v>38</v>
      </c>
      <c r="AD1108" t="s">
        <v>48</v>
      </c>
      <c r="AG1108" t="str">
        <f>IF(AD1108="United States", IFERROR(INDEX(Sheet2!$C:$C, MATCH(AE1108&amp;AF1108, Sheet2!$E:$E, 0)) &amp; ", " &amp; INDEX(Sheet2!$D:$D, MATCH(AE1108&amp;AF1108, Sheet2!$E:$E, 0)), ""), "-")</f>
        <v/>
      </c>
    </row>
    <row r="1109" spans="1:33" x14ac:dyDescent="0.25">
      <c r="A1109" t="s">
        <v>98</v>
      </c>
      <c r="B1109" t="s">
        <v>2211</v>
      </c>
      <c r="C1109" t="s">
        <v>2177</v>
      </c>
      <c r="D1109" t="s">
        <v>352</v>
      </c>
      <c r="E1109" t="s">
        <v>191</v>
      </c>
      <c r="F1109">
        <v>1760</v>
      </c>
      <c r="G1109">
        <v>780</v>
      </c>
      <c r="H1109" t="s">
        <v>2179</v>
      </c>
      <c r="I1109" t="s">
        <v>39</v>
      </c>
      <c r="J1109" t="s">
        <v>2180</v>
      </c>
      <c r="K1109" t="s">
        <v>38</v>
      </c>
      <c r="L1109" t="s">
        <v>38</v>
      </c>
      <c r="M1109" t="s">
        <v>38</v>
      </c>
      <c r="N1109" t="s">
        <v>38</v>
      </c>
      <c r="O1109" t="s">
        <v>57</v>
      </c>
      <c r="P1109" t="s">
        <v>42</v>
      </c>
      <c r="Q1109" t="s">
        <v>43</v>
      </c>
      <c r="R1109" t="s">
        <v>89</v>
      </c>
      <c r="S1109" t="s">
        <v>153</v>
      </c>
      <c r="T1109" t="s">
        <v>89</v>
      </c>
      <c r="U1109" t="s">
        <v>38</v>
      </c>
      <c r="V1109" t="s">
        <v>137</v>
      </c>
      <c r="W1109" t="s">
        <v>92</v>
      </c>
      <c r="X1109" t="s">
        <v>38</v>
      </c>
      <c r="Y1109" t="s">
        <v>1199</v>
      </c>
      <c r="Z1109" t="s">
        <v>42</v>
      </c>
      <c r="AA1109" t="s">
        <v>1909</v>
      </c>
      <c r="AB1109" t="s">
        <v>38</v>
      </c>
      <c r="AC1109" t="s">
        <v>153</v>
      </c>
      <c r="AD1109" t="s">
        <v>48</v>
      </c>
      <c r="AG1109" t="str">
        <f>IF(AD1109="United States", IFERROR(INDEX(Sheet2!$C:$C, MATCH(AE1109&amp;AF1109, Sheet2!$E:$E, 0)) &amp; ", " &amp; INDEX(Sheet2!$D:$D, MATCH(AE1109&amp;AF1109, Sheet2!$E:$E, 0)), ""), "-")</f>
        <v/>
      </c>
    </row>
    <row r="1110" spans="1:33" x14ac:dyDescent="0.25">
      <c r="A1110" t="s">
        <v>98</v>
      </c>
      <c r="B1110" t="s">
        <v>2212</v>
      </c>
      <c r="C1110" t="s">
        <v>2182</v>
      </c>
      <c r="D1110" t="s">
        <v>2146</v>
      </c>
      <c r="E1110" t="s">
        <v>1809</v>
      </c>
      <c r="F1110">
        <v>1754</v>
      </c>
      <c r="G1110">
        <v>278</v>
      </c>
      <c r="H1110" t="s">
        <v>152</v>
      </c>
      <c r="I1110" t="s">
        <v>39</v>
      </c>
      <c r="J1110" t="s">
        <v>2180</v>
      </c>
      <c r="K1110" t="s">
        <v>38</v>
      </c>
      <c r="L1110" t="s">
        <v>38</v>
      </c>
      <c r="M1110" t="s">
        <v>38</v>
      </c>
      <c r="N1110" t="s">
        <v>38</v>
      </c>
      <c r="O1110" t="s">
        <v>74</v>
      </c>
      <c r="P1110" t="s">
        <v>42</v>
      </c>
      <c r="Q1110" t="s">
        <v>43</v>
      </c>
      <c r="R1110" t="s">
        <v>89</v>
      </c>
      <c r="S1110" t="s">
        <v>38</v>
      </c>
      <c r="T1110" t="s">
        <v>89</v>
      </c>
      <c r="U1110" t="s">
        <v>38</v>
      </c>
      <c r="V1110" t="s">
        <v>137</v>
      </c>
      <c r="W1110" t="s">
        <v>92</v>
      </c>
      <c r="X1110" t="s">
        <v>38</v>
      </c>
      <c r="Y1110" t="s">
        <v>2183</v>
      </c>
      <c r="Z1110" t="s">
        <v>42</v>
      </c>
      <c r="AA1110" t="s">
        <v>38</v>
      </c>
      <c r="AB1110" t="s">
        <v>38</v>
      </c>
      <c r="AC1110" t="s">
        <v>672</v>
      </c>
      <c r="AD1110" t="s">
        <v>672</v>
      </c>
      <c r="AG1110" t="str">
        <f>IF(AD1110="United States", IFERROR(INDEX(Sheet2!$C:$C, MATCH(AE1110&amp;AF1110, Sheet2!$E:$E, 0)) &amp; ", " &amp; INDEX(Sheet2!$D:$D, MATCH(AE1110&amp;AF1110, Sheet2!$E:$E, 0)), ""), "18.1850507, -77.3947693")</f>
        <v>18.1850507, -77.3947693</v>
      </c>
    </row>
    <row r="1111" spans="1:33" x14ac:dyDescent="0.25">
      <c r="A1111" t="s">
        <v>98</v>
      </c>
      <c r="B1111" t="s">
        <v>2213</v>
      </c>
      <c r="C1111" t="s">
        <v>2182</v>
      </c>
      <c r="D1111" t="s">
        <v>226</v>
      </c>
      <c r="E1111" t="s">
        <v>2214</v>
      </c>
      <c r="F1111">
        <v>1763</v>
      </c>
      <c r="G1111">
        <v>243</v>
      </c>
      <c r="H1111" t="s">
        <v>152</v>
      </c>
      <c r="I1111" t="s">
        <v>39</v>
      </c>
      <c r="J1111" t="s">
        <v>2180</v>
      </c>
      <c r="K1111" t="s">
        <v>38</v>
      </c>
      <c r="L1111" t="s">
        <v>38</v>
      </c>
      <c r="M1111" t="s">
        <v>38</v>
      </c>
      <c r="N1111" t="s">
        <v>38</v>
      </c>
      <c r="O1111" t="s">
        <v>41</v>
      </c>
      <c r="P1111" t="s">
        <v>42</v>
      </c>
      <c r="Q1111" t="s">
        <v>43</v>
      </c>
      <c r="R1111" t="s">
        <v>89</v>
      </c>
      <c r="S1111" t="s">
        <v>45</v>
      </c>
      <c r="T1111" t="s">
        <v>89</v>
      </c>
      <c r="U1111" t="s">
        <v>38</v>
      </c>
      <c r="V1111" t="s">
        <v>137</v>
      </c>
      <c r="W1111" t="s">
        <v>92</v>
      </c>
      <c r="X1111" t="s">
        <v>38</v>
      </c>
      <c r="Y1111" t="s">
        <v>2183</v>
      </c>
      <c r="Z1111" t="s">
        <v>42</v>
      </c>
      <c r="AA1111" t="s">
        <v>38</v>
      </c>
      <c r="AB1111" t="s">
        <v>38</v>
      </c>
      <c r="AC1111" t="s">
        <v>45</v>
      </c>
      <c r="AD1111" t="s">
        <v>48</v>
      </c>
      <c r="AG1111" t="str">
        <f>IF(AD1111="United States", IFERROR(INDEX(Sheet2!$C:$C, MATCH(AE1111&amp;AF1111, Sheet2!$E:$E, 0)) &amp; ", " &amp; INDEX(Sheet2!$D:$D, MATCH(AE1111&amp;AF1111, Sheet2!$E:$E, 0)), ""), "-")</f>
        <v/>
      </c>
    </row>
    <row r="1112" spans="1:33" x14ac:dyDescent="0.25">
      <c r="A1112" t="s">
        <v>98</v>
      </c>
      <c r="B1112" t="s">
        <v>2215</v>
      </c>
      <c r="C1112" t="s">
        <v>2182</v>
      </c>
      <c r="D1112" t="s">
        <v>285</v>
      </c>
      <c r="E1112" t="s">
        <v>164</v>
      </c>
      <c r="F1112">
        <v>1757</v>
      </c>
      <c r="G1112">
        <v>270</v>
      </c>
      <c r="H1112" t="s">
        <v>152</v>
      </c>
      <c r="I1112" t="s">
        <v>39</v>
      </c>
      <c r="J1112" t="s">
        <v>2180</v>
      </c>
      <c r="K1112" t="s">
        <v>38</v>
      </c>
      <c r="L1112" t="s">
        <v>38</v>
      </c>
      <c r="M1112" t="s">
        <v>38</v>
      </c>
      <c r="N1112" t="s">
        <v>38</v>
      </c>
      <c r="O1112" t="s">
        <v>57</v>
      </c>
      <c r="P1112" t="s">
        <v>42</v>
      </c>
      <c r="Q1112" t="s">
        <v>43</v>
      </c>
      <c r="R1112" t="s">
        <v>89</v>
      </c>
      <c r="S1112" t="s">
        <v>45</v>
      </c>
      <c r="T1112" t="s">
        <v>89</v>
      </c>
      <c r="U1112" t="s">
        <v>38</v>
      </c>
      <c r="V1112" t="s">
        <v>137</v>
      </c>
      <c r="W1112" t="s">
        <v>92</v>
      </c>
      <c r="X1112" t="s">
        <v>38</v>
      </c>
      <c r="Y1112" t="s">
        <v>2183</v>
      </c>
      <c r="Z1112" t="s">
        <v>42</v>
      </c>
      <c r="AA1112" t="s">
        <v>272</v>
      </c>
      <c r="AB1112" t="s">
        <v>38</v>
      </c>
      <c r="AC1112" t="s">
        <v>45</v>
      </c>
      <c r="AD1112" t="s">
        <v>48</v>
      </c>
      <c r="AG1112" t="str">
        <f>IF(AD1112="United States", IFERROR(INDEX(Sheet2!$C:$C, MATCH(AE1112&amp;AF1112, Sheet2!$E:$E, 0)) &amp; ", " &amp; INDEX(Sheet2!$D:$D, MATCH(AE1112&amp;AF1112, Sheet2!$E:$E, 0)), ""), "-")</f>
        <v/>
      </c>
    </row>
    <row r="1113" spans="1:33" x14ac:dyDescent="0.25">
      <c r="A1113" t="s">
        <v>98</v>
      </c>
      <c r="B1113" t="s">
        <v>2216</v>
      </c>
      <c r="C1113" t="s">
        <v>2182</v>
      </c>
      <c r="D1113" t="s">
        <v>357</v>
      </c>
      <c r="E1113" t="s">
        <v>2217</v>
      </c>
      <c r="F1113">
        <v>1758</v>
      </c>
      <c r="G1113">
        <v>269</v>
      </c>
      <c r="H1113" t="s">
        <v>152</v>
      </c>
      <c r="I1113" t="s">
        <v>39</v>
      </c>
      <c r="J1113" t="s">
        <v>2180</v>
      </c>
      <c r="K1113" t="s">
        <v>38</v>
      </c>
      <c r="L1113" t="s">
        <v>38</v>
      </c>
      <c r="M1113" t="s">
        <v>38</v>
      </c>
      <c r="N1113" t="s">
        <v>38</v>
      </c>
      <c r="O1113" t="s">
        <v>41</v>
      </c>
      <c r="P1113" t="s">
        <v>42</v>
      </c>
      <c r="Q1113" t="s">
        <v>43</v>
      </c>
      <c r="R1113" t="s">
        <v>89</v>
      </c>
      <c r="S1113" t="s">
        <v>38</v>
      </c>
      <c r="T1113" t="s">
        <v>89</v>
      </c>
      <c r="U1113" t="s">
        <v>38</v>
      </c>
      <c r="V1113" t="s">
        <v>137</v>
      </c>
      <c r="W1113" t="s">
        <v>92</v>
      </c>
      <c r="X1113" t="s">
        <v>38</v>
      </c>
      <c r="Y1113" t="s">
        <v>2183</v>
      </c>
      <c r="Z1113" t="s">
        <v>42</v>
      </c>
      <c r="AA1113" t="s">
        <v>38</v>
      </c>
      <c r="AB1113" t="s">
        <v>38</v>
      </c>
      <c r="AC1113" t="s">
        <v>38</v>
      </c>
      <c r="AD1113" t="s">
        <v>48</v>
      </c>
      <c r="AG1113" t="str">
        <f>IF(AD1113="United States", IFERROR(INDEX(Sheet2!$C:$C, MATCH(AE1113&amp;AF1113, Sheet2!$E:$E, 0)) &amp; ", " &amp; INDEX(Sheet2!$D:$D, MATCH(AE1113&amp;AF1113, Sheet2!$E:$E, 0)), ""), "-")</f>
        <v/>
      </c>
    </row>
    <row r="1114" spans="1:33" x14ac:dyDescent="0.25">
      <c r="A1114" t="s">
        <v>98</v>
      </c>
      <c r="B1114" t="s">
        <v>2218</v>
      </c>
      <c r="C1114" t="s">
        <v>2182</v>
      </c>
      <c r="D1114" t="s">
        <v>200</v>
      </c>
      <c r="E1114" t="s">
        <v>2219</v>
      </c>
      <c r="F1114">
        <v>1751</v>
      </c>
      <c r="G1114">
        <v>268</v>
      </c>
      <c r="H1114" t="s">
        <v>152</v>
      </c>
      <c r="I1114" t="s">
        <v>39</v>
      </c>
      <c r="J1114" t="s">
        <v>2180</v>
      </c>
      <c r="K1114" t="s">
        <v>38</v>
      </c>
      <c r="L1114" t="s">
        <v>38</v>
      </c>
      <c r="M1114" t="s">
        <v>38</v>
      </c>
      <c r="N1114" t="s">
        <v>38</v>
      </c>
      <c r="O1114" t="s">
        <v>41</v>
      </c>
      <c r="P1114" t="s">
        <v>42</v>
      </c>
      <c r="Q1114" t="s">
        <v>43</v>
      </c>
      <c r="R1114" t="s">
        <v>89</v>
      </c>
      <c r="S1114" t="s">
        <v>45</v>
      </c>
      <c r="T1114" t="s">
        <v>89</v>
      </c>
      <c r="U1114" t="s">
        <v>38</v>
      </c>
      <c r="V1114" t="s">
        <v>137</v>
      </c>
      <c r="W1114" t="s">
        <v>92</v>
      </c>
      <c r="X1114" t="s">
        <v>38</v>
      </c>
      <c r="Y1114" t="s">
        <v>2183</v>
      </c>
      <c r="Z1114" t="s">
        <v>42</v>
      </c>
      <c r="AA1114" t="s">
        <v>1247</v>
      </c>
      <c r="AB1114" t="s">
        <v>38</v>
      </c>
      <c r="AC1114" t="s">
        <v>45</v>
      </c>
      <c r="AD1114" t="s">
        <v>48</v>
      </c>
      <c r="AG1114" t="str">
        <f>IF(AD1114="United States", IFERROR(INDEX(Sheet2!$C:$C, MATCH(AE1114&amp;AF1114, Sheet2!$E:$E, 0)) &amp; ", " &amp; INDEX(Sheet2!$D:$D, MATCH(AE1114&amp;AF1114, Sheet2!$E:$E, 0)), ""), "-")</f>
        <v/>
      </c>
    </row>
    <row r="1115" spans="1:33" x14ac:dyDescent="0.25">
      <c r="A1115" t="s">
        <v>98</v>
      </c>
      <c r="B1115" t="s">
        <v>2220</v>
      </c>
      <c r="C1115" t="s">
        <v>2182</v>
      </c>
      <c r="D1115" t="s">
        <v>140</v>
      </c>
      <c r="E1115" t="s">
        <v>1496</v>
      </c>
      <c r="F1115" t="s">
        <v>38</v>
      </c>
      <c r="G1115">
        <v>255</v>
      </c>
      <c r="H1115" t="s">
        <v>152</v>
      </c>
      <c r="I1115" t="s">
        <v>39</v>
      </c>
      <c r="J1115" t="s">
        <v>2180</v>
      </c>
      <c r="K1115" t="s">
        <v>38</v>
      </c>
      <c r="L1115" t="s">
        <v>38</v>
      </c>
      <c r="M1115" t="s">
        <v>38</v>
      </c>
      <c r="N1115" t="s">
        <v>38</v>
      </c>
      <c r="O1115" t="s">
        <v>54</v>
      </c>
      <c r="P1115" t="s">
        <v>42</v>
      </c>
      <c r="Q1115" t="s">
        <v>43</v>
      </c>
      <c r="R1115" t="s">
        <v>89</v>
      </c>
      <c r="S1115" t="s">
        <v>38</v>
      </c>
      <c r="T1115" t="s">
        <v>89</v>
      </c>
      <c r="U1115" t="s">
        <v>38</v>
      </c>
      <c r="V1115" t="s">
        <v>137</v>
      </c>
      <c r="W1115" t="s">
        <v>92</v>
      </c>
      <c r="X1115" t="s">
        <v>38</v>
      </c>
      <c r="Y1115" t="s">
        <v>2183</v>
      </c>
      <c r="Z1115" t="s">
        <v>42</v>
      </c>
      <c r="AA1115" t="s">
        <v>38</v>
      </c>
      <c r="AB1115" t="s">
        <v>38</v>
      </c>
      <c r="AC1115" t="s">
        <v>38</v>
      </c>
      <c r="AD1115" t="s">
        <v>48</v>
      </c>
      <c r="AG1115" t="str">
        <f>IF(AD1115="United States", IFERROR(INDEX(Sheet2!$C:$C, MATCH(AE1115&amp;AF1115, Sheet2!$E:$E, 0)) &amp; ", " &amp; INDEX(Sheet2!$D:$D, MATCH(AE1115&amp;AF1115, Sheet2!$E:$E, 0)), ""), "-")</f>
        <v/>
      </c>
    </row>
    <row r="1116" spans="1:33" x14ac:dyDescent="0.25">
      <c r="A1116" t="s">
        <v>98</v>
      </c>
      <c r="B1116" t="s">
        <v>2221</v>
      </c>
      <c r="C1116" t="s">
        <v>2182</v>
      </c>
      <c r="D1116" t="s">
        <v>182</v>
      </c>
      <c r="E1116" t="s">
        <v>1496</v>
      </c>
      <c r="F1116">
        <v>1708</v>
      </c>
      <c r="G1116">
        <v>256</v>
      </c>
      <c r="H1116" t="s">
        <v>152</v>
      </c>
      <c r="I1116" t="s">
        <v>39</v>
      </c>
      <c r="J1116" t="s">
        <v>2180</v>
      </c>
      <c r="K1116" t="s">
        <v>38</v>
      </c>
      <c r="L1116" t="s">
        <v>38</v>
      </c>
      <c r="M1116" t="s">
        <v>38</v>
      </c>
      <c r="N1116" t="s">
        <v>38</v>
      </c>
      <c r="O1116" t="s">
        <v>41</v>
      </c>
      <c r="P1116" t="s">
        <v>42</v>
      </c>
      <c r="Q1116" t="s">
        <v>43</v>
      </c>
      <c r="R1116" t="s">
        <v>89</v>
      </c>
      <c r="S1116" t="s">
        <v>45</v>
      </c>
      <c r="T1116" t="s">
        <v>89</v>
      </c>
      <c r="U1116" t="s">
        <v>38</v>
      </c>
      <c r="V1116" t="s">
        <v>137</v>
      </c>
      <c r="W1116" t="s">
        <v>92</v>
      </c>
      <c r="X1116" t="s">
        <v>38</v>
      </c>
      <c r="Y1116" t="s">
        <v>2183</v>
      </c>
      <c r="Z1116" t="s">
        <v>42</v>
      </c>
      <c r="AA1116" t="s">
        <v>169</v>
      </c>
      <c r="AB1116" t="s">
        <v>38</v>
      </c>
      <c r="AC1116" t="s">
        <v>45</v>
      </c>
      <c r="AD1116" t="s">
        <v>48</v>
      </c>
      <c r="AG1116" t="str">
        <f>IF(AD1116="United States", IFERROR(INDEX(Sheet2!$C:$C, MATCH(AE1116&amp;AF1116, Sheet2!$E:$E, 0)) &amp; ", " &amp; INDEX(Sheet2!$D:$D, MATCH(AE1116&amp;AF1116, Sheet2!$E:$E, 0)), ""), "-")</f>
        <v/>
      </c>
    </row>
    <row r="1117" spans="1:33" x14ac:dyDescent="0.25">
      <c r="A1117" t="s">
        <v>98</v>
      </c>
      <c r="B1117" t="s">
        <v>2222</v>
      </c>
      <c r="C1117" t="s">
        <v>2182</v>
      </c>
      <c r="D1117" t="s">
        <v>2016</v>
      </c>
      <c r="E1117" t="s">
        <v>2223</v>
      </c>
      <c r="F1117">
        <v>1738</v>
      </c>
      <c r="G1117">
        <v>257</v>
      </c>
      <c r="H1117" t="s">
        <v>152</v>
      </c>
      <c r="I1117" t="s">
        <v>39</v>
      </c>
      <c r="J1117" t="s">
        <v>2180</v>
      </c>
      <c r="K1117" t="s">
        <v>38</v>
      </c>
      <c r="L1117" t="s">
        <v>38</v>
      </c>
      <c r="M1117" t="s">
        <v>38</v>
      </c>
      <c r="N1117" t="s">
        <v>38</v>
      </c>
      <c r="O1117" t="s">
        <v>41</v>
      </c>
      <c r="P1117" t="s">
        <v>42</v>
      </c>
      <c r="Q1117" t="s">
        <v>43</v>
      </c>
      <c r="R1117" t="s">
        <v>89</v>
      </c>
      <c r="S1117" t="s">
        <v>153</v>
      </c>
      <c r="T1117" t="s">
        <v>89</v>
      </c>
      <c r="U1117" t="s">
        <v>38</v>
      </c>
      <c r="V1117" t="s">
        <v>137</v>
      </c>
      <c r="W1117" t="s">
        <v>92</v>
      </c>
      <c r="X1117" t="s">
        <v>38</v>
      </c>
      <c r="Y1117" t="s">
        <v>2183</v>
      </c>
      <c r="Z1117" t="s">
        <v>42</v>
      </c>
      <c r="AA1117" t="s">
        <v>38</v>
      </c>
      <c r="AB1117" t="s">
        <v>38</v>
      </c>
      <c r="AC1117" t="s">
        <v>153</v>
      </c>
      <c r="AD1117" t="s">
        <v>48</v>
      </c>
      <c r="AG1117" t="str">
        <f>IF(AD1117="United States", IFERROR(INDEX(Sheet2!$C:$C, MATCH(AE1117&amp;AF1117, Sheet2!$E:$E, 0)) &amp; ", " &amp; INDEX(Sheet2!$D:$D, MATCH(AE1117&amp;AF1117, Sheet2!$E:$E, 0)), ""), "-")</f>
        <v/>
      </c>
    </row>
    <row r="1118" spans="1:33" x14ac:dyDescent="0.25">
      <c r="A1118" t="s">
        <v>98</v>
      </c>
      <c r="B1118" t="s">
        <v>2224</v>
      </c>
      <c r="C1118" t="s">
        <v>2182</v>
      </c>
      <c r="D1118" t="s">
        <v>210</v>
      </c>
      <c r="E1118" t="s">
        <v>2225</v>
      </c>
      <c r="F1118">
        <v>1748</v>
      </c>
      <c r="G1118">
        <v>271</v>
      </c>
      <c r="H1118" t="s">
        <v>152</v>
      </c>
      <c r="I1118" t="s">
        <v>39</v>
      </c>
      <c r="J1118" t="s">
        <v>2180</v>
      </c>
      <c r="K1118" t="s">
        <v>38</v>
      </c>
      <c r="L1118" t="s">
        <v>38</v>
      </c>
      <c r="M1118" t="s">
        <v>38</v>
      </c>
      <c r="N1118" t="s">
        <v>38</v>
      </c>
      <c r="O1118" t="s">
        <v>41</v>
      </c>
      <c r="P1118" t="s">
        <v>42</v>
      </c>
      <c r="Q1118" t="s">
        <v>43</v>
      </c>
      <c r="R1118" t="s">
        <v>89</v>
      </c>
      <c r="S1118" t="s">
        <v>38</v>
      </c>
      <c r="T1118" t="s">
        <v>89</v>
      </c>
      <c r="U1118" t="s">
        <v>38</v>
      </c>
      <c r="V1118" t="s">
        <v>137</v>
      </c>
      <c r="W1118" t="s">
        <v>92</v>
      </c>
      <c r="X1118" t="s">
        <v>38</v>
      </c>
      <c r="Y1118" t="s">
        <v>2183</v>
      </c>
      <c r="Z1118" t="s">
        <v>42</v>
      </c>
      <c r="AA1118" t="s">
        <v>38</v>
      </c>
      <c r="AB1118" t="s">
        <v>38</v>
      </c>
      <c r="AC1118" t="s">
        <v>2226</v>
      </c>
      <c r="AD1118" t="s">
        <v>48</v>
      </c>
      <c r="AG1118" t="str">
        <f>IF(AD1118="United States", IFERROR(INDEX(Sheet2!$C:$C, MATCH(AE1118&amp;AF1118, Sheet2!$E:$E, 0)) &amp; ", " &amp; INDEX(Sheet2!$D:$D, MATCH(AE1118&amp;AF1118, Sheet2!$E:$E, 0)), ""), "-")</f>
        <v/>
      </c>
    </row>
    <row r="1119" spans="1:33" x14ac:dyDescent="0.25">
      <c r="A1119" t="s">
        <v>98</v>
      </c>
      <c r="B1119" t="s">
        <v>2227</v>
      </c>
      <c r="C1119" t="s">
        <v>2182</v>
      </c>
      <c r="D1119" t="s">
        <v>2228</v>
      </c>
      <c r="E1119" t="s">
        <v>38</v>
      </c>
      <c r="F1119">
        <v>1743</v>
      </c>
      <c r="G1119">
        <v>258</v>
      </c>
      <c r="H1119" t="s">
        <v>38</v>
      </c>
      <c r="I1119" t="s">
        <v>39</v>
      </c>
      <c r="J1119" t="s">
        <v>2180</v>
      </c>
      <c r="K1119" t="s">
        <v>38</v>
      </c>
      <c r="L1119" t="s">
        <v>38</v>
      </c>
      <c r="M1119" t="s">
        <v>38</v>
      </c>
      <c r="N1119" t="s">
        <v>38</v>
      </c>
      <c r="O1119" t="s">
        <v>41</v>
      </c>
      <c r="P1119" t="s">
        <v>42</v>
      </c>
      <c r="Q1119" t="s">
        <v>43</v>
      </c>
      <c r="R1119" t="s">
        <v>38</v>
      </c>
      <c r="S1119" t="s">
        <v>38</v>
      </c>
      <c r="T1119" t="s">
        <v>38</v>
      </c>
      <c r="U1119" t="s">
        <v>38</v>
      </c>
      <c r="V1119" t="s">
        <v>137</v>
      </c>
      <c r="W1119" t="s">
        <v>38</v>
      </c>
      <c r="X1119" t="s">
        <v>38</v>
      </c>
      <c r="Y1119" t="s">
        <v>2183</v>
      </c>
      <c r="Z1119" t="s">
        <v>42</v>
      </c>
      <c r="AA1119" t="s">
        <v>2228</v>
      </c>
      <c r="AB1119" t="s">
        <v>38</v>
      </c>
      <c r="AC1119" t="s">
        <v>155</v>
      </c>
      <c r="AD1119" t="s">
        <v>48</v>
      </c>
      <c r="AG1119" t="str">
        <f>IF(AD1119="United States", IFERROR(INDEX(Sheet2!$C:$C, MATCH(AE1119&amp;AF1119, Sheet2!$E:$E, 0)) &amp; ", " &amp; INDEX(Sheet2!$D:$D, MATCH(AE1119&amp;AF1119, Sheet2!$E:$E, 0)), ""), "-")</f>
        <v/>
      </c>
    </row>
    <row r="1120" spans="1:33" x14ac:dyDescent="0.25">
      <c r="A1120" t="s">
        <v>98</v>
      </c>
      <c r="B1120" t="s">
        <v>2229</v>
      </c>
      <c r="C1120" t="s">
        <v>2182</v>
      </c>
      <c r="D1120" t="s">
        <v>652</v>
      </c>
      <c r="E1120" t="s">
        <v>621</v>
      </c>
      <c r="F1120">
        <v>1758</v>
      </c>
      <c r="G1120">
        <v>260</v>
      </c>
      <c r="H1120" t="s">
        <v>152</v>
      </c>
      <c r="I1120" t="s">
        <v>39</v>
      </c>
      <c r="J1120" t="s">
        <v>2180</v>
      </c>
      <c r="K1120" t="s">
        <v>38</v>
      </c>
      <c r="L1120" t="s">
        <v>38</v>
      </c>
      <c r="M1120" t="s">
        <v>38</v>
      </c>
      <c r="N1120" t="s">
        <v>38</v>
      </c>
      <c r="O1120" t="s">
        <v>41</v>
      </c>
      <c r="P1120" t="s">
        <v>42</v>
      </c>
      <c r="Q1120" t="s">
        <v>43</v>
      </c>
      <c r="R1120" t="s">
        <v>89</v>
      </c>
      <c r="S1120" t="s">
        <v>38</v>
      </c>
      <c r="T1120" t="s">
        <v>89</v>
      </c>
      <c r="U1120" t="s">
        <v>38</v>
      </c>
      <c r="V1120" t="s">
        <v>137</v>
      </c>
      <c r="W1120" t="s">
        <v>92</v>
      </c>
      <c r="X1120" t="s">
        <v>38</v>
      </c>
      <c r="Y1120" t="s">
        <v>2183</v>
      </c>
      <c r="Z1120" t="s">
        <v>42</v>
      </c>
      <c r="AA1120" t="s">
        <v>38</v>
      </c>
      <c r="AB1120" t="s">
        <v>38</v>
      </c>
      <c r="AC1120" t="s">
        <v>155</v>
      </c>
      <c r="AD1120" t="s">
        <v>48</v>
      </c>
      <c r="AG1120" t="str">
        <f>IF(AD1120="United States", IFERROR(INDEX(Sheet2!$C:$C, MATCH(AE1120&amp;AF1120, Sheet2!$E:$E, 0)) &amp; ", " &amp; INDEX(Sheet2!$D:$D, MATCH(AE1120&amp;AF1120, Sheet2!$E:$E, 0)), ""), "-")</f>
        <v/>
      </c>
    </row>
    <row r="1121" spans="1:33" x14ac:dyDescent="0.25">
      <c r="A1121" t="s">
        <v>98</v>
      </c>
      <c r="B1121" t="s">
        <v>2230</v>
      </c>
      <c r="C1121" t="s">
        <v>2182</v>
      </c>
      <c r="D1121" t="s">
        <v>463</v>
      </c>
      <c r="E1121" t="s">
        <v>1635</v>
      </c>
      <c r="F1121">
        <v>1758</v>
      </c>
      <c r="G1121">
        <v>261</v>
      </c>
      <c r="H1121" t="s">
        <v>152</v>
      </c>
      <c r="I1121" t="s">
        <v>39</v>
      </c>
      <c r="J1121" t="s">
        <v>2180</v>
      </c>
      <c r="K1121" t="s">
        <v>38</v>
      </c>
      <c r="L1121" t="s">
        <v>38</v>
      </c>
      <c r="M1121" t="s">
        <v>38</v>
      </c>
      <c r="N1121" t="s">
        <v>38</v>
      </c>
      <c r="O1121" t="s">
        <v>41</v>
      </c>
      <c r="P1121" t="s">
        <v>42</v>
      </c>
      <c r="Q1121" t="s">
        <v>43</v>
      </c>
      <c r="R1121" t="s">
        <v>89</v>
      </c>
      <c r="S1121" t="s">
        <v>45</v>
      </c>
      <c r="T1121" t="s">
        <v>89</v>
      </c>
      <c r="U1121" t="s">
        <v>38</v>
      </c>
      <c r="V1121" t="s">
        <v>137</v>
      </c>
      <c r="W1121" t="s">
        <v>92</v>
      </c>
      <c r="X1121" t="s">
        <v>38</v>
      </c>
      <c r="Y1121" t="s">
        <v>2183</v>
      </c>
      <c r="Z1121" t="s">
        <v>42</v>
      </c>
      <c r="AA1121" t="s">
        <v>169</v>
      </c>
      <c r="AB1121" t="s">
        <v>45</v>
      </c>
      <c r="AC1121" t="s">
        <v>45</v>
      </c>
      <c r="AD1121" t="s">
        <v>48</v>
      </c>
      <c r="AG1121" t="str">
        <f>IF(AD1121="United States", IFERROR(INDEX(Sheet2!$C:$C, MATCH(AE1121&amp;AF1121, Sheet2!$E:$E, 0)) &amp; ", " &amp; INDEX(Sheet2!$D:$D, MATCH(AE1121&amp;AF1121, Sheet2!$E:$E, 0)), ""), "-")</f>
        <v/>
      </c>
    </row>
    <row r="1122" spans="1:33" x14ac:dyDescent="0.25">
      <c r="A1122" t="s">
        <v>98</v>
      </c>
      <c r="B1122" t="s">
        <v>2231</v>
      </c>
      <c r="C1122" t="s">
        <v>2182</v>
      </c>
      <c r="D1122" t="s">
        <v>210</v>
      </c>
      <c r="E1122" t="s">
        <v>2232</v>
      </c>
      <c r="F1122">
        <v>1759</v>
      </c>
      <c r="G1122">
        <v>262</v>
      </c>
      <c r="H1122" t="s">
        <v>152</v>
      </c>
      <c r="I1122" t="s">
        <v>39</v>
      </c>
      <c r="J1122" t="s">
        <v>2180</v>
      </c>
      <c r="K1122" t="s">
        <v>38</v>
      </c>
      <c r="L1122" t="s">
        <v>38</v>
      </c>
      <c r="M1122" t="s">
        <v>38</v>
      </c>
      <c r="N1122" t="s">
        <v>38</v>
      </c>
      <c r="O1122" t="s">
        <v>41</v>
      </c>
      <c r="P1122" t="s">
        <v>42</v>
      </c>
      <c r="Q1122" t="s">
        <v>43</v>
      </c>
      <c r="R1122" t="s">
        <v>89</v>
      </c>
      <c r="S1122" t="s">
        <v>153</v>
      </c>
      <c r="T1122" t="s">
        <v>89</v>
      </c>
      <c r="U1122" t="s">
        <v>38</v>
      </c>
      <c r="V1122" t="s">
        <v>137</v>
      </c>
      <c r="W1122" t="s">
        <v>92</v>
      </c>
      <c r="X1122" t="s">
        <v>38</v>
      </c>
      <c r="Y1122" t="s">
        <v>2183</v>
      </c>
      <c r="Z1122" t="s">
        <v>42</v>
      </c>
      <c r="AA1122" t="s">
        <v>155</v>
      </c>
      <c r="AB1122" t="s">
        <v>38</v>
      </c>
      <c r="AC1122" t="s">
        <v>153</v>
      </c>
      <c r="AD1122" t="s">
        <v>48</v>
      </c>
      <c r="AG1122" t="str">
        <f>IF(AD1122="United States", IFERROR(INDEX(Sheet2!$C:$C, MATCH(AE1122&amp;AF1122, Sheet2!$E:$E, 0)) &amp; ", " &amp; INDEX(Sheet2!$D:$D, MATCH(AE1122&amp;AF1122, Sheet2!$E:$E, 0)), ""), "-")</f>
        <v/>
      </c>
    </row>
    <row r="1123" spans="1:33" x14ac:dyDescent="0.25">
      <c r="A1123" t="s">
        <v>98</v>
      </c>
      <c r="B1123" t="s">
        <v>2233</v>
      </c>
      <c r="C1123" t="s">
        <v>2182</v>
      </c>
      <c r="D1123" t="s">
        <v>2234</v>
      </c>
      <c r="E1123" t="s">
        <v>164</v>
      </c>
      <c r="F1123">
        <v>1764</v>
      </c>
      <c r="G1123">
        <v>263</v>
      </c>
      <c r="H1123" t="s">
        <v>38</v>
      </c>
      <c r="I1123" t="s">
        <v>39</v>
      </c>
      <c r="J1123" t="s">
        <v>2180</v>
      </c>
      <c r="K1123" t="s">
        <v>38</v>
      </c>
      <c r="L1123" t="s">
        <v>38</v>
      </c>
      <c r="M1123" t="s">
        <v>38</v>
      </c>
      <c r="N1123" t="s">
        <v>38</v>
      </c>
      <c r="O1123" t="s">
        <v>57</v>
      </c>
      <c r="P1123" t="s">
        <v>42</v>
      </c>
      <c r="Q1123" t="s">
        <v>43</v>
      </c>
      <c r="R1123" t="s">
        <v>38</v>
      </c>
      <c r="S1123" t="s">
        <v>38</v>
      </c>
      <c r="T1123" t="s">
        <v>38</v>
      </c>
      <c r="U1123" t="s">
        <v>38</v>
      </c>
      <c r="V1123" t="s">
        <v>137</v>
      </c>
      <c r="W1123" t="s">
        <v>38</v>
      </c>
      <c r="X1123" t="s">
        <v>38</v>
      </c>
      <c r="Y1123" t="s">
        <v>2183</v>
      </c>
      <c r="Z1123" t="s">
        <v>42</v>
      </c>
      <c r="AA1123" t="s">
        <v>38</v>
      </c>
      <c r="AB1123" t="s">
        <v>38</v>
      </c>
      <c r="AC1123" t="s">
        <v>60</v>
      </c>
      <c r="AD1123" t="s">
        <v>48</v>
      </c>
      <c r="AG1123" t="str">
        <f>IF(AD1123="United States", IFERROR(INDEX(Sheet2!$C:$C, MATCH(AE1123&amp;AF1123, Sheet2!$E:$E, 0)) &amp; ", " &amp; INDEX(Sheet2!$D:$D, MATCH(AE1123&amp;AF1123, Sheet2!$E:$E, 0)), ""), "-")</f>
        <v/>
      </c>
    </row>
    <row r="1124" spans="1:33" x14ac:dyDescent="0.25">
      <c r="A1124" t="s">
        <v>98</v>
      </c>
      <c r="B1124" t="s">
        <v>2235</v>
      </c>
      <c r="C1124" t="s">
        <v>2182</v>
      </c>
      <c r="D1124" t="s">
        <v>2236</v>
      </c>
      <c r="E1124" t="s">
        <v>1897</v>
      </c>
      <c r="F1124">
        <v>1753</v>
      </c>
      <c r="G1124">
        <v>264</v>
      </c>
      <c r="H1124" t="s">
        <v>152</v>
      </c>
      <c r="I1124" t="s">
        <v>39</v>
      </c>
      <c r="J1124" t="s">
        <v>2180</v>
      </c>
      <c r="K1124" t="s">
        <v>38</v>
      </c>
      <c r="L1124" t="s">
        <v>38</v>
      </c>
      <c r="M1124" t="s">
        <v>38</v>
      </c>
      <c r="N1124" t="s">
        <v>38</v>
      </c>
      <c r="O1124" t="s">
        <v>41</v>
      </c>
      <c r="P1124" t="s">
        <v>42</v>
      </c>
      <c r="Q1124" t="s">
        <v>43</v>
      </c>
      <c r="R1124" t="s">
        <v>89</v>
      </c>
      <c r="S1124" t="s">
        <v>38</v>
      </c>
      <c r="T1124" t="s">
        <v>89</v>
      </c>
      <c r="U1124" t="s">
        <v>38</v>
      </c>
      <c r="V1124" t="s">
        <v>137</v>
      </c>
      <c r="W1124" t="s">
        <v>92</v>
      </c>
      <c r="X1124" t="s">
        <v>38</v>
      </c>
      <c r="Y1124" t="s">
        <v>2183</v>
      </c>
      <c r="Z1124" t="s">
        <v>42</v>
      </c>
      <c r="AA1124" t="s">
        <v>38</v>
      </c>
      <c r="AB1124" t="s">
        <v>38</v>
      </c>
      <c r="AC1124" t="s">
        <v>155</v>
      </c>
      <c r="AD1124" t="s">
        <v>48</v>
      </c>
      <c r="AG1124" t="str">
        <f>IF(AD1124="United States", IFERROR(INDEX(Sheet2!$C:$C, MATCH(AE1124&amp;AF1124, Sheet2!$E:$E, 0)) &amp; ", " &amp; INDEX(Sheet2!$D:$D, MATCH(AE1124&amp;AF1124, Sheet2!$E:$E, 0)), ""), "-")</f>
        <v/>
      </c>
    </row>
    <row r="1125" spans="1:33" x14ac:dyDescent="0.25">
      <c r="A1125" t="s">
        <v>98</v>
      </c>
      <c r="B1125" t="s">
        <v>2237</v>
      </c>
      <c r="C1125" t="s">
        <v>2182</v>
      </c>
      <c r="D1125" t="s">
        <v>245</v>
      </c>
      <c r="E1125" t="s">
        <v>164</v>
      </c>
      <c r="F1125">
        <v>1753</v>
      </c>
      <c r="G1125">
        <v>265</v>
      </c>
      <c r="H1125" t="s">
        <v>152</v>
      </c>
      <c r="I1125" t="s">
        <v>39</v>
      </c>
      <c r="J1125" t="s">
        <v>2180</v>
      </c>
      <c r="K1125" t="s">
        <v>2236</v>
      </c>
      <c r="L1125" t="s">
        <v>1897</v>
      </c>
      <c r="M1125" t="s">
        <v>38</v>
      </c>
      <c r="N1125" t="s">
        <v>38</v>
      </c>
      <c r="O1125" t="s">
        <v>74</v>
      </c>
      <c r="P1125" t="s">
        <v>42</v>
      </c>
      <c r="Q1125" t="s">
        <v>43</v>
      </c>
      <c r="R1125" t="s">
        <v>89</v>
      </c>
      <c r="S1125" t="s">
        <v>286</v>
      </c>
      <c r="T1125" t="s">
        <v>89</v>
      </c>
      <c r="U1125" t="s">
        <v>38</v>
      </c>
      <c r="V1125" t="s">
        <v>137</v>
      </c>
      <c r="W1125" t="s">
        <v>92</v>
      </c>
      <c r="X1125" t="s">
        <v>38</v>
      </c>
      <c r="Y1125" t="s">
        <v>2183</v>
      </c>
      <c r="Z1125" t="s">
        <v>42</v>
      </c>
      <c r="AA1125" t="s">
        <v>2238</v>
      </c>
      <c r="AB1125" t="s">
        <v>38</v>
      </c>
      <c r="AC1125" t="s">
        <v>286</v>
      </c>
      <c r="AD1125" t="s">
        <v>48</v>
      </c>
      <c r="AG1125" t="str">
        <f>IF(AD1125="United States", IFERROR(INDEX(Sheet2!$C:$C, MATCH(AE1125&amp;AF1125, Sheet2!$E:$E, 0)) &amp; ", " &amp; INDEX(Sheet2!$D:$D, MATCH(AE1125&amp;AF1125, Sheet2!$E:$E, 0)), ""), "-")</f>
        <v/>
      </c>
    </row>
    <row r="1126" spans="1:33" x14ac:dyDescent="0.25">
      <c r="A1126" t="s">
        <v>98</v>
      </c>
      <c r="B1126" t="s">
        <v>2239</v>
      </c>
      <c r="C1126" t="s">
        <v>2182</v>
      </c>
      <c r="D1126" t="s">
        <v>245</v>
      </c>
      <c r="E1126" t="s">
        <v>2240</v>
      </c>
      <c r="F1126">
        <v>1740</v>
      </c>
      <c r="G1126">
        <v>259</v>
      </c>
      <c r="H1126" t="s">
        <v>152</v>
      </c>
      <c r="I1126" t="s">
        <v>39</v>
      </c>
      <c r="J1126" t="s">
        <v>2180</v>
      </c>
      <c r="K1126" t="s">
        <v>38</v>
      </c>
      <c r="L1126" t="s">
        <v>38</v>
      </c>
      <c r="M1126" t="s">
        <v>38</v>
      </c>
      <c r="N1126" t="s">
        <v>38</v>
      </c>
      <c r="O1126" t="s">
        <v>57</v>
      </c>
      <c r="P1126" t="s">
        <v>42</v>
      </c>
      <c r="Q1126" t="s">
        <v>43</v>
      </c>
      <c r="R1126" t="s">
        <v>89</v>
      </c>
      <c r="S1126" t="s">
        <v>38</v>
      </c>
      <c r="T1126" t="s">
        <v>89</v>
      </c>
      <c r="U1126" t="s">
        <v>38</v>
      </c>
      <c r="V1126" t="s">
        <v>137</v>
      </c>
      <c r="W1126" t="s">
        <v>92</v>
      </c>
      <c r="X1126" t="s">
        <v>38</v>
      </c>
      <c r="Y1126" t="s">
        <v>2183</v>
      </c>
      <c r="Z1126" t="s">
        <v>42</v>
      </c>
      <c r="AA1126" t="s">
        <v>38</v>
      </c>
      <c r="AB1126" t="s">
        <v>38</v>
      </c>
      <c r="AC1126" t="s">
        <v>38</v>
      </c>
      <c r="AD1126" t="s">
        <v>48</v>
      </c>
      <c r="AG1126" t="str">
        <f>IF(AD1126="United States", IFERROR(INDEX(Sheet2!$C:$C, MATCH(AE1126&amp;AF1126, Sheet2!$E:$E, 0)) &amp; ", " &amp; INDEX(Sheet2!$D:$D, MATCH(AE1126&amp;AF1126, Sheet2!$E:$E, 0)), ""), "-")</f>
        <v/>
      </c>
    </row>
    <row r="1127" spans="1:33" x14ac:dyDescent="0.25">
      <c r="A1127" t="s">
        <v>98</v>
      </c>
      <c r="D1127" t="s">
        <v>2241</v>
      </c>
      <c r="E1127" t="s">
        <v>187</v>
      </c>
      <c r="F1127" t="s">
        <v>38</v>
      </c>
      <c r="G1127">
        <v>926</v>
      </c>
      <c r="H1127">
        <v>40</v>
      </c>
      <c r="J1127" t="s">
        <v>2180</v>
      </c>
      <c r="O1127" t="s">
        <v>74</v>
      </c>
      <c r="R1127" t="s">
        <v>89</v>
      </c>
      <c r="T1127" t="s">
        <v>89</v>
      </c>
      <c r="V1127" t="s">
        <v>137</v>
      </c>
      <c r="W1127" t="s">
        <v>92</v>
      </c>
      <c r="Y1127" t="s">
        <v>38</v>
      </c>
      <c r="AA1127" t="s">
        <v>38</v>
      </c>
      <c r="AB1127" t="s">
        <v>38</v>
      </c>
      <c r="AC1127" t="s">
        <v>38</v>
      </c>
      <c r="AD1127" t="s">
        <v>48</v>
      </c>
      <c r="AG1127" t="str">
        <f>IF(AD1127="United States", IFERROR(INDEX(Sheet2!$C:$C, MATCH(AE1127&amp;AF1127, Sheet2!$E:$E, 0)) &amp; ", " &amp; INDEX(Sheet2!$D:$D, MATCH(AE1127&amp;AF1127, Sheet2!$E:$E, 0)), ""), "-")</f>
        <v/>
      </c>
    </row>
    <row r="1128" spans="1:33" x14ac:dyDescent="0.25">
      <c r="A1128" t="s">
        <v>98</v>
      </c>
      <c r="B1128" t="s">
        <v>2242</v>
      </c>
      <c r="C1128" t="s">
        <v>2182</v>
      </c>
      <c r="D1128" t="s">
        <v>2243</v>
      </c>
      <c r="E1128" t="s">
        <v>164</v>
      </c>
      <c r="F1128">
        <v>1757</v>
      </c>
      <c r="G1128">
        <v>272</v>
      </c>
      <c r="H1128" t="s">
        <v>152</v>
      </c>
      <c r="I1128" t="s">
        <v>39</v>
      </c>
      <c r="J1128" t="s">
        <v>2180</v>
      </c>
      <c r="K1128" t="s">
        <v>210</v>
      </c>
      <c r="L1128" t="s">
        <v>2225</v>
      </c>
      <c r="M1128" t="s">
        <v>38</v>
      </c>
      <c r="N1128" t="s">
        <v>38</v>
      </c>
      <c r="O1128" t="s">
        <v>74</v>
      </c>
      <c r="P1128" t="s">
        <v>42</v>
      </c>
      <c r="Q1128" t="s">
        <v>43</v>
      </c>
      <c r="R1128" t="s">
        <v>89</v>
      </c>
      <c r="S1128" t="s">
        <v>38</v>
      </c>
      <c r="T1128" t="s">
        <v>89</v>
      </c>
      <c r="U1128" t="s">
        <v>38</v>
      </c>
      <c r="V1128" t="s">
        <v>137</v>
      </c>
      <c r="W1128" t="s">
        <v>92</v>
      </c>
      <c r="X1128" t="s">
        <v>38</v>
      </c>
      <c r="Y1128" t="s">
        <v>2183</v>
      </c>
      <c r="Z1128" t="s">
        <v>42</v>
      </c>
      <c r="AA1128" t="s">
        <v>38</v>
      </c>
      <c r="AB1128" t="s">
        <v>38</v>
      </c>
      <c r="AC1128" t="s">
        <v>2226</v>
      </c>
      <c r="AD1128" t="s">
        <v>48</v>
      </c>
      <c r="AG1128" t="str">
        <f>IF(AD1128="United States", IFERROR(INDEX(Sheet2!$C:$C, MATCH(AE1128&amp;AF1128, Sheet2!$E:$E, 0)) &amp; ", " &amp; INDEX(Sheet2!$D:$D, MATCH(AE1128&amp;AF1128, Sheet2!$E:$E, 0)), ""), "-")</f>
        <v/>
      </c>
    </row>
    <row r="1129" spans="1:33" x14ac:dyDescent="0.25">
      <c r="A1129" t="s">
        <v>98</v>
      </c>
      <c r="B1129" t="s">
        <v>2244</v>
      </c>
      <c r="C1129" t="s">
        <v>2182</v>
      </c>
      <c r="D1129" t="s">
        <v>210</v>
      </c>
      <c r="E1129" t="s">
        <v>1515</v>
      </c>
      <c r="F1129">
        <v>1757</v>
      </c>
      <c r="G1129">
        <v>274</v>
      </c>
      <c r="H1129" t="s">
        <v>152</v>
      </c>
      <c r="I1129" t="s">
        <v>39</v>
      </c>
      <c r="J1129" t="s">
        <v>2180</v>
      </c>
      <c r="K1129" t="s">
        <v>38</v>
      </c>
      <c r="L1129" t="s">
        <v>38</v>
      </c>
      <c r="M1129" t="s">
        <v>38</v>
      </c>
      <c r="N1129" t="s">
        <v>38</v>
      </c>
      <c r="O1129" t="s">
        <v>41</v>
      </c>
      <c r="P1129" t="s">
        <v>42</v>
      </c>
      <c r="Q1129" t="s">
        <v>43</v>
      </c>
      <c r="R1129" t="s">
        <v>89</v>
      </c>
      <c r="S1129" t="s">
        <v>45</v>
      </c>
      <c r="T1129" t="s">
        <v>89</v>
      </c>
      <c r="U1129" t="s">
        <v>38</v>
      </c>
      <c r="V1129" t="s">
        <v>137</v>
      </c>
      <c r="W1129" t="s">
        <v>92</v>
      </c>
      <c r="X1129" t="s">
        <v>38</v>
      </c>
      <c r="Y1129" t="s">
        <v>2183</v>
      </c>
      <c r="Z1129" t="s">
        <v>42</v>
      </c>
      <c r="AA1129" t="s">
        <v>38</v>
      </c>
      <c r="AB1129" t="s">
        <v>38</v>
      </c>
      <c r="AC1129" t="s">
        <v>45</v>
      </c>
      <c r="AD1129" t="s">
        <v>48</v>
      </c>
      <c r="AG1129" t="str">
        <f>IF(AD1129="United States", IFERROR(INDEX(Sheet2!$C:$C, MATCH(AE1129&amp;AF1129, Sheet2!$E:$E, 0)) &amp; ", " &amp; INDEX(Sheet2!$D:$D, MATCH(AE1129&amp;AF1129, Sheet2!$E:$E, 0)), ""), "-")</f>
        <v/>
      </c>
    </row>
    <row r="1130" spans="1:33" x14ac:dyDescent="0.25">
      <c r="A1130" t="s">
        <v>98</v>
      </c>
      <c r="B1130" t="s">
        <v>2245</v>
      </c>
      <c r="C1130" t="s">
        <v>2182</v>
      </c>
      <c r="D1130" t="s">
        <v>256</v>
      </c>
      <c r="E1130" t="s">
        <v>2214</v>
      </c>
      <c r="F1130">
        <v>1769</v>
      </c>
      <c r="G1130">
        <v>244</v>
      </c>
      <c r="H1130" t="s">
        <v>38</v>
      </c>
      <c r="I1130" t="s">
        <v>39</v>
      </c>
      <c r="J1130" t="s">
        <v>2180</v>
      </c>
      <c r="K1130" t="s">
        <v>38</v>
      </c>
      <c r="L1130" t="s">
        <v>38</v>
      </c>
      <c r="M1130" t="s">
        <v>38</v>
      </c>
      <c r="N1130" t="s">
        <v>38</v>
      </c>
      <c r="O1130" t="s">
        <v>74</v>
      </c>
      <c r="P1130" t="s">
        <v>125</v>
      </c>
      <c r="Q1130" t="s">
        <v>124</v>
      </c>
      <c r="R1130" t="s">
        <v>2246</v>
      </c>
      <c r="S1130" t="s">
        <v>45</v>
      </c>
      <c r="T1130" t="s">
        <v>38</v>
      </c>
      <c r="U1130" t="s">
        <v>38</v>
      </c>
      <c r="V1130" t="s">
        <v>137</v>
      </c>
      <c r="W1130" t="s">
        <v>38</v>
      </c>
      <c r="X1130" t="s">
        <v>38</v>
      </c>
      <c r="Y1130" t="s">
        <v>2183</v>
      </c>
      <c r="Z1130" t="s">
        <v>125</v>
      </c>
      <c r="AA1130" t="s">
        <v>38</v>
      </c>
      <c r="AB1130" t="s">
        <v>38</v>
      </c>
      <c r="AC1130" t="s">
        <v>45</v>
      </c>
      <c r="AD1130" t="s">
        <v>48</v>
      </c>
      <c r="AG1130" t="str">
        <f>IF(AD1130="United States", IFERROR(INDEX(Sheet2!$C:$C, MATCH(AE1130&amp;AF1130, Sheet2!$E:$E, 0)) &amp; ", " &amp; INDEX(Sheet2!$D:$D, MATCH(AE1130&amp;AF1130, Sheet2!$E:$E, 0)), ""), "-")</f>
        <v/>
      </c>
    </row>
    <row r="1131" spans="1:33" x14ac:dyDescent="0.25">
      <c r="A1131" t="s">
        <v>98</v>
      </c>
      <c r="B1131" t="s">
        <v>2247</v>
      </c>
      <c r="C1131" t="s">
        <v>2182</v>
      </c>
      <c r="D1131" t="s">
        <v>361</v>
      </c>
      <c r="E1131" t="s">
        <v>344</v>
      </c>
      <c r="F1131">
        <v>1735</v>
      </c>
      <c r="G1131">
        <v>245</v>
      </c>
      <c r="H1131" t="s">
        <v>152</v>
      </c>
      <c r="I1131" t="s">
        <v>39</v>
      </c>
      <c r="J1131" t="s">
        <v>2180</v>
      </c>
      <c r="K1131" t="s">
        <v>38</v>
      </c>
      <c r="L1131" t="s">
        <v>38</v>
      </c>
      <c r="M1131" t="s">
        <v>38</v>
      </c>
      <c r="N1131" t="s">
        <v>38</v>
      </c>
      <c r="O1131" t="s">
        <v>41</v>
      </c>
      <c r="P1131" t="s">
        <v>42</v>
      </c>
      <c r="Q1131" t="s">
        <v>43</v>
      </c>
      <c r="R1131" t="s">
        <v>89</v>
      </c>
      <c r="S1131" t="s">
        <v>165</v>
      </c>
      <c r="T1131" t="s">
        <v>89</v>
      </c>
      <c r="U1131" t="s">
        <v>38</v>
      </c>
      <c r="V1131" t="s">
        <v>137</v>
      </c>
      <c r="W1131" t="s">
        <v>92</v>
      </c>
      <c r="X1131" t="s">
        <v>38</v>
      </c>
      <c r="Y1131" t="s">
        <v>2183</v>
      </c>
      <c r="Z1131" t="s">
        <v>42</v>
      </c>
      <c r="AA1131" t="s">
        <v>165</v>
      </c>
      <c r="AB1131" t="s">
        <v>38</v>
      </c>
      <c r="AC1131" t="s">
        <v>166</v>
      </c>
      <c r="AD1131" t="s">
        <v>48</v>
      </c>
      <c r="AG1131" t="str">
        <f>IF(AD1131="United States", IFERROR(INDEX(Sheet2!$C:$C, MATCH(AE1131&amp;AF1131, Sheet2!$E:$E, 0)) &amp; ", " &amp; INDEX(Sheet2!$D:$D, MATCH(AE1131&amp;AF1131, Sheet2!$E:$E, 0)), ""), "-")</f>
        <v/>
      </c>
    </row>
    <row r="1132" spans="1:33" x14ac:dyDescent="0.25">
      <c r="A1132" t="s">
        <v>98</v>
      </c>
      <c r="B1132" t="s">
        <v>2248</v>
      </c>
      <c r="C1132" t="s">
        <v>2182</v>
      </c>
      <c r="D1132" t="s">
        <v>222</v>
      </c>
      <c r="E1132" t="s">
        <v>633</v>
      </c>
      <c r="F1132">
        <v>1750</v>
      </c>
      <c r="G1132">
        <v>246</v>
      </c>
      <c r="H1132" t="s">
        <v>152</v>
      </c>
      <c r="I1132" t="s">
        <v>39</v>
      </c>
      <c r="J1132" t="s">
        <v>2180</v>
      </c>
      <c r="K1132" t="s">
        <v>38</v>
      </c>
      <c r="L1132" t="s">
        <v>38</v>
      </c>
      <c r="M1132" t="s">
        <v>38</v>
      </c>
      <c r="N1132" t="s">
        <v>38</v>
      </c>
      <c r="O1132" t="s">
        <v>57</v>
      </c>
      <c r="P1132" t="s">
        <v>42</v>
      </c>
      <c r="Q1132" t="s">
        <v>43</v>
      </c>
      <c r="R1132" t="s">
        <v>89</v>
      </c>
      <c r="S1132" t="s">
        <v>165</v>
      </c>
      <c r="T1132" t="s">
        <v>89</v>
      </c>
      <c r="U1132" t="s">
        <v>38</v>
      </c>
      <c r="V1132" t="s">
        <v>137</v>
      </c>
      <c r="W1132" t="s">
        <v>92</v>
      </c>
      <c r="X1132" t="s">
        <v>38</v>
      </c>
      <c r="Y1132" t="s">
        <v>2183</v>
      </c>
      <c r="Z1132" t="s">
        <v>42</v>
      </c>
      <c r="AA1132" t="s">
        <v>165</v>
      </c>
      <c r="AB1132" t="s">
        <v>38</v>
      </c>
      <c r="AC1132" t="s">
        <v>166</v>
      </c>
      <c r="AD1132" t="s">
        <v>48</v>
      </c>
      <c r="AG1132" t="str">
        <f>IF(AD1132="United States", IFERROR(INDEX(Sheet2!$C:$C, MATCH(AE1132&amp;AF1132, Sheet2!$E:$E, 0)) &amp; ", " &amp; INDEX(Sheet2!$D:$D, MATCH(AE1132&amp;AF1132, Sheet2!$E:$E, 0)), ""), "-")</f>
        <v/>
      </c>
    </row>
    <row r="1133" spans="1:33" x14ac:dyDescent="0.25">
      <c r="A1133" t="s">
        <v>98</v>
      </c>
      <c r="B1133" t="s">
        <v>2249</v>
      </c>
      <c r="C1133" t="s">
        <v>2182</v>
      </c>
      <c r="D1133" t="s">
        <v>2250</v>
      </c>
      <c r="E1133" t="s">
        <v>1635</v>
      </c>
      <c r="F1133">
        <v>1758</v>
      </c>
      <c r="G1133">
        <v>247</v>
      </c>
      <c r="H1133" t="s">
        <v>152</v>
      </c>
      <c r="I1133" t="s">
        <v>39</v>
      </c>
      <c r="J1133" t="s">
        <v>2180</v>
      </c>
      <c r="K1133" t="s">
        <v>38</v>
      </c>
      <c r="L1133" t="s">
        <v>38</v>
      </c>
      <c r="M1133" t="s">
        <v>38</v>
      </c>
      <c r="N1133" t="s">
        <v>38</v>
      </c>
      <c r="O1133" t="s">
        <v>41</v>
      </c>
      <c r="P1133" t="s">
        <v>42</v>
      </c>
      <c r="Q1133" t="s">
        <v>43</v>
      </c>
      <c r="R1133" t="s">
        <v>89</v>
      </c>
      <c r="S1133" t="s">
        <v>45</v>
      </c>
      <c r="T1133" t="s">
        <v>89</v>
      </c>
      <c r="U1133" t="s">
        <v>38</v>
      </c>
      <c r="V1133" t="s">
        <v>137</v>
      </c>
      <c r="W1133" t="s">
        <v>92</v>
      </c>
      <c r="X1133" t="s">
        <v>38</v>
      </c>
      <c r="Y1133" t="s">
        <v>2183</v>
      </c>
      <c r="Z1133" t="s">
        <v>42</v>
      </c>
      <c r="AA1133" t="s">
        <v>169</v>
      </c>
      <c r="AB1133" t="s">
        <v>38</v>
      </c>
      <c r="AC1133" t="s">
        <v>45</v>
      </c>
      <c r="AD1133" t="s">
        <v>48</v>
      </c>
      <c r="AG1133" t="str">
        <f>IF(AD1133="United States", IFERROR(INDEX(Sheet2!$C:$C, MATCH(AE1133&amp;AF1133, Sheet2!$E:$E, 0)) &amp; ", " &amp; INDEX(Sheet2!$D:$D, MATCH(AE1133&amp;AF1133, Sheet2!$E:$E, 0)), ""), "-")</f>
        <v/>
      </c>
    </row>
    <row r="1134" spans="1:33" x14ac:dyDescent="0.25">
      <c r="A1134" t="s">
        <v>98</v>
      </c>
      <c r="B1134" t="s">
        <v>2251</v>
      </c>
      <c r="C1134" t="s">
        <v>2182</v>
      </c>
      <c r="D1134" t="s">
        <v>505</v>
      </c>
      <c r="E1134" t="s">
        <v>1635</v>
      </c>
      <c r="F1134">
        <v>1759</v>
      </c>
      <c r="G1134">
        <v>248</v>
      </c>
      <c r="H1134" t="s">
        <v>152</v>
      </c>
      <c r="I1134" t="s">
        <v>39</v>
      </c>
      <c r="J1134" t="s">
        <v>2180</v>
      </c>
      <c r="K1134" t="s">
        <v>38</v>
      </c>
      <c r="L1134" t="s">
        <v>38</v>
      </c>
      <c r="M1134" t="s">
        <v>38</v>
      </c>
      <c r="N1134" t="s">
        <v>38</v>
      </c>
      <c r="O1134" t="s">
        <v>57</v>
      </c>
      <c r="P1134" t="s">
        <v>125</v>
      </c>
      <c r="Q1134" t="s">
        <v>124</v>
      </c>
      <c r="R1134" t="s">
        <v>89</v>
      </c>
      <c r="S1134" t="s">
        <v>286</v>
      </c>
      <c r="T1134" t="s">
        <v>89</v>
      </c>
      <c r="U1134" t="s">
        <v>38</v>
      </c>
      <c r="V1134" t="s">
        <v>137</v>
      </c>
      <c r="W1134" t="s">
        <v>92</v>
      </c>
      <c r="X1134" t="s">
        <v>38</v>
      </c>
      <c r="Y1134" t="s">
        <v>2183</v>
      </c>
      <c r="Z1134" t="s">
        <v>125</v>
      </c>
      <c r="AA1134" t="s">
        <v>38</v>
      </c>
      <c r="AB1134" t="s">
        <v>38</v>
      </c>
      <c r="AC1134" t="s">
        <v>286</v>
      </c>
      <c r="AD1134" t="s">
        <v>48</v>
      </c>
      <c r="AG1134" t="str">
        <f>IF(AD1134="United States", IFERROR(INDEX(Sheet2!$C:$C, MATCH(AE1134&amp;AF1134, Sheet2!$E:$E, 0)) &amp; ", " &amp; INDEX(Sheet2!$D:$D, MATCH(AE1134&amp;AF1134, Sheet2!$E:$E, 0)), ""), "-")</f>
        <v/>
      </c>
    </row>
    <row r="1135" spans="1:33" x14ac:dyDescent="0.25">
      <c r="A1135" t="s">
        <v>98</v>
      </c>
      <c r="B1135" t="s">
        <v>2252</v>
      </c>
      <c r="C1135" t="s">
        <v>2182</v>
      </c>
      <c r="D1135" t="s">
        <v>1126</v>
      </c>
      <c r="E1135" t="s">
        <v>37</v>
      </c>
      <c r="F1135">
        <v>1758</v>
      </c>
      <c r="G1135">
        <v>249</v>
      </c>
      <c r="H1135" t="s">
        <v>152</v>
      </c>
      <c r="I1135" t="s">
        <v>39</v>
      </c>
      <c r="J1135" t="s">
        <v>2180</v>
      </c>
      <c r="K1135" t="s">
        <v>38</v>
      </c>
      <c r="L1135" t="s">
        <v>38</v>
      </c>
      <c r="M1135" t="s">
        <v>38</v>
      </c>
      <c r="N1135" t="s">
        <v>38</v>
      </c>
      <c r="O1135" t="s">
        <v>41</v>
      </c>
      <c r="P1135" t="s">
        <v>42</v>
      </c>
      <c r="Q1135" t="s">
        <v>43</v>
      </c>
      <c r="R1135" t="s">
        <v>89</v>
      </c>
      <c r="S1135" t="s">
        <v>153</v>
      </c>
      <c r="T1135" t="s">
        <v>89</v>
      </c>
      <c r="U1135" t="s">
        <v>38</v>
      </c>
      <c r="V1135" t="s">
        <v>137</v>
      </c>
      <c r="W1135" t="s">
        <v>92</v>
      </c>
      <c r="X1135" t="s">
        <v>38</v>
      </c>
      <c r="Y1135" t="s">
        <v>2183</v>
      </c>
      <c r="Z1135" t="s">
        <v>42</v>
      </c>
      <c r="AA1135" t="s">
        <v>548</v>
      </c>
      <c r="AB1135" t="s">
        <v>38</v>
      </c>
      <c r="AC1135" t="s">
        <v>153</v>
      </c>
      <c r="AD1135" t="s">
        <v>48</v>
      </c>
      <c r="AG1135" t="str">
        <f>IF(AD1135="United States", IFERROR(INDEX(Sheet2!$C:$C, MATCH(AE1135&amp;AF1135, Sheet2!$E:$E, 0)) &amp; ", " &amp; INDEX(Sheet2!$D:$D, MATCH(AE1135&amp;AF1135, Sheet2!$E:$E, 0)), ""), "-")</f>
        <v/>
      </c>
    </row>
    <row r="1136" spans="1:33" x14ac:dyDescent="0.25">
      <c r="A1136" t="s">
        <v>98</v>
      </c>
      <c r="B1136" t="s">
        <v>2253</v>
      </c>
      <c r="C1136" t="s">
        <v>2182</v>
      </c>
      <c r="D1136" t="s">
        <v>1515</v>
      </c>
      <c r="E1136" t="s">
        <v>1084</v>
      </c>
      <c r="F1136">
        <v>1733</v>
      </c>
      <c r="G1136">
        <v>273</v>
      </c>
      <c r="H1136" t="s">
        <v>152</v>
      </c>
      <c r="I1136" t="s">
        <v>39</v>
      </c>
      <c r="J1136" t="s">
        <v>2180</v>
      </c>
      <c r="K1136" t="s">
        <v>38</v>
      </c>
      <c r="L1136" t="s">
        <v>38</v>
      </c>
      <c r="M1136" t="s">
        <v>38</v>
      </c>
      <c r="N1136" t="s">
        <v>38</v>
      </c>
      <c r="O1136" t="s">
        <v>41</v>
      </c>
      <c r="P1136" t="s">
        <v>42</v>
      </c>
      <c r="Q1136" t="s">
        <v>43</v>
      </c>
      <c r="R1136" t="s">
        <v>89</v>
      </c>
      <c r="S1136" t="s">
        <v>45</v>
      </c>
      <c r="T1136" t="s">
        <v>89</v>
      </c>
      <c r="U1136" t="s">
        <v>38</v>
      </c>
      <c r="V1136" t="s">
        <v>137</v>
      </c>
      <c r="W1136" t="s">
        <v>92</v>
      </c>
      <c r="X1136" t="s">
        <v>38</v>
      </c>
      <c r="Y1136" t="s">
        <v>2183</v>
      </c>
      <c r="Z1136" t="s">
        <v>42</v>
      </c>
      <c r="AA1136" t="s">
        <v>2254</v>
      </c>
      <c r="AB1136" t="s">
        <v>38</v>
      </c>
      <c r="AC1136" t="s">
        <v>45</v>
      </c>
      <c r="AD1136" t="s">
        <v>48</v>
      </c>
      <c r="AG1136" t="str">
        <f>IF(AD1136="United States", IFERROR(INDEX(Sheet2!$C:$C, MATCH(AE1136&amp;AF1136, Sheet2!$E:$E, 0)) &amp; ", " &amp; INDEX(Sheet2!$D:$D, MATCH(AE1136&amp;AF1136, Sheet2!$E:$E, 0)), ""), "-")</f>
        <v/>
      </c>
    </row>
    <row r="1137" spans="1:33" x14ac:dyDescent="0.25">
      <c r="A1137" t="s">
        <v>98</v>
      </c>
      <c r="B1137" t="s">
        <v>2255</v>
      </c>
      <c r="C1137" t="s">
        <v>2182</v>
      </c>
      <c r="D1137" t="s">
        <v>834</v>
      </c>
      <c r="E1137" t="s">
        <v>37</v>
      </c>
      <c r="F1137">
        <v>1762</v>
      </c>
      <c r="G1137">
        <v>250</v>
      </c>
      <c r="H1137" t="s">
        <v>152</v>
      </c>
      <c r="I1137" t="s">
        <v>39</v>
      </c>
      <c r="J1137" t="s">
        <v>2180</v>
      </c>
      <c r="K1137" t="s">
        <v>38</v>
      </c>
      <c r="L1137" t="s">
        <v>38</v>
      </c>
      <c r="M1137" t="s">
        <v>38</v>
      </c>
      <c r="N1137" t="s">
        <v>38</v>
      </c>
      <c r="O1137" t="s">
        <v>57</v>
      </c>
      <c r="P1137" t="s">
        <v>42</v>
      </c>
      <c r="Q1137" t="s">
        <v>43</v>
      </c>
      <c r="R1137" t="s">
        <v>89</v>
      </c>
      <c r="S1137" t="s">
        <v>38</v>
      </c>
      <c r="T1137" t="s">
        <v>89</v>
      </c>
      <c r="U1137" t="s">
        <v>38</v>
      </c>
      <c r="V1137" t="s">
        <v>137</v>
      </c>
      <c r="W1137" t="s">
        <v>92</v>
      </c>
      <c r="X1137" t="s">
        <v>38</v>
      </c>
      <c r="Y1137" t="s">
        <v>2183</v>
      </c>
      <c r="Z1137" t="s">
        <v>42</v>
      </c>
      <c r="AA1137" t="s">
        <v>38</v>
      </c>
      <c r="AB1137" t="s">
        <v>38</v>
      </c>
      <c r="AC1137" t="s">
        <v>562</v>
      </c>
      <c r="AD1137" t="s">
        <v>48</v>
      </c>
      <c r="AG1137" t="str">
        <f>IF(AD1137="United States", IFERROR(INDEX(Sheet2!$C:$C, MATCH(AE1137&amp;AF1137, Sheet2!$E:$E, 0)) &amp; ", " &amp; INDEX(Sheet2!$D:$D, MATCH(AE1137&amp;AF1137, Sheet2!$E:$E, 0)), ""), "-")</f>
        <v/>
      </c>
    </row>
    <row r="1138" spans="1:33" x14ac:dyDescent="0.25">
      <c r="A1138" t="s">
        <v>98</v>
      </c>
      <c r="B1138" t="s">
        <v>2256</v>
      </c>
      <c r="C1138" t="s">
        <v>2182</v>
      </c>
      <c r="D1138" t="s">
        <v>626</v>
      </c>
      <c r="E1138" t="s">
        <v>1496</v>
      </c>
      <c r="F1138">
        <v>1741</v>
      </c>
      <c r="G1138">
        <v>252</v>
      </c>
      <c r="H1138" t="s">
        <v>152</v>
      </c>
      <c r="I1138" t="s">
        <v>39</v>
      </c>
      <c r="J1138" t="s">
        <v>2180</v>
      </c>
      <c r="K1138" t="s">
        <v>38</v>
      </c>
      <c r="L1138" t="s">
        <v>38</v>
      </c>
      <c r="M1138" t="s">
        <v>38</v>
      </c>
      <c r="N1138" t="s">
        <v>38</v>
      </c>
      <c r="O1138" t="s">
        <v>41</v>
      </c>
      <c r="P1138" t="s">
        <v>42</v>
      </c>
      <c r="Q1138" t="s">
        <v>43</v>
      </c>
      <c r="R1138" t="s">
        <v>89</v>
      </c>
      <c r="S1138" t="s">
        <v>45</v>
      </c>
      <c r="T1138" t="s">
        <v>89</v>
      </c>
      <c r="U1138" t="s">
        <v>38</v>
      </c>
      <c r="V1138" t="s">
        <v>137</v>
      </c>
      <c r="W1138" t="s">
        <v>92</v>
      </c>
      <c r="X1138" t="s">
        <v>38</v>
      </c>
      <c r="Y1138" t="s">
        <v>2183</v>
      </c>
      <c r="Z1138" t="s">
        <v>42</v>
      </c>
      <c r="AA1138" t="s">
        <v>169</v>
      </c>
      <c r="AB1138" t="s">
        <v>38</v>
      </c>
      <c r="AC1138" t="s">
        <v>45</v>
      </c>
      <c r="AD1138" t="s">
        <v>48</v>
      </c>
      <c r="AG1138" t="str">
        <f>IF(AD1138="United States", IFERROR(INDEX(Sheet2!$C:$C, MATCH(AE1138&amp;AF1138, Sheet2!$E:$E, 0)) &amp; ", " &amp; INDEX(Sheet2!$D:$D, MATCH(AE1138&amp;AF1138, Sheet2!$E:$E, 0)), ""), "-")</f>
        <v/>
      </c>
    </row>
    <row r="1139" spans="1:33" x14ac:dyDescent="0.25">
      <c r="A1139" t="s">
        <v>98</v>
      </c>
      <c r="B1139" t="s">
        <v>2257</v>
      </c>
      <c r="C1139" t="s">
        <v>2182</v>
      </c>
      <c r="D1139" t="s">
        <v>52</v>
      </c>
      <c r="E1139" t="s">
        <v>1496</v>
      </c>
      <c r="F1139">
        <v>1753</v>
      </c>
      <c r="G1139">
        <v>253</v>
      </c>
      <c r="H1139" t="s">
        <v>152</v>
      </c>
      <c r="I1139" t="s">
        <v>39</v>
      </c>
      <c r="J1139" t="s">
        <v>2180</v>
      </c>
      <c r="K1139" t="s">
        <v>38</v>
      </c>
      <c r="L1139" t="s">
        <v>38</v>
      </c>
      <c r="M1139" t="s">
        <v>38</v>
      </c>
      <c r="N1139" t="s">
        <v>38</v>
      </c>
      <c r="O1139" t="s">
        <v>41</v>
      </c>
      <c r="P1139" t="s">
        <v>42</v>
      </c>
      <c r="Q1139" t="s">
        <v>43</v>
      </c>
      <c r="R1139" t="s">
        <v>89</v>
      </c>
      <c r="S1139" t="s">
        <v>45</v>
      </c>
      <c r="T1139" t="s">
        <v>89</v>
      </c>
      <c r="U1139" t="s">
        <v>38</v>
      </c>
      <c r="V1139" t="s">
        <v>137</v>
      </c>
      <c r="W1139" t="s">
        <v>92</v>
      </c>
      <c r="X1139" t="s">
        <v>38</v>
      </c>
      <c r="Y1139" t="s">
        <v>2183</v>
      </c>
      <c r="Z1139" t="s">
        <v>42</v>
      </c>
      <c r="AA1139" t="s">
        <v>169</v>
      </c>
      <c r="AB1139" t="s">
        <v>38</v>
      </c>
      <c r="AC1139" t="s">
        <v>45</v>
      </c>
      <c r="AD1139" t="s">
        <v>48</v>
      </c>
      <c r="AG1139" t="str">
        <f>IF(AD1139="United States", IFERROR(INDEX(Sheet2!$C:$C, MATCH(AE1139&amp;AF1139, Sheet2!$E:$E, 0)) &amp; ", " &amp; INDEX(Sheet2!$D:$D, MATCH(AE1139&amp;AF1139, Sheet2!$E:$E, 0)), ""), "-")</f>
        <v/>
      </c>
    </row>
    <row r="1140" spans="1:33" x14ac:dyDescent="0.25">
      <c r="A1140" t="s">
        <v>98</v>
      </c>
      <c r="B1140" t="s">
        <v>2258</v>
      </c>
      <c r="C1140" t="s">
        <v>2182</v>
      </c>
      <c r="D1140" t="s">
        <v>2259</v>
      </c>
      <c r="E1140" t="s">
        <v>1496</v>
      </c>
      <c r="F1140">
        <v>1766</v>
      </c>
      <c r="G1140">
        <v>254</v>
      </c>
      <c r="H1140" t="s">
        <v>38</v>
      </c>
      <c r="I1140" t="s">
        <v>39</v>
      </c>
      <c r="J1140" t="s">
        <v>2180</v>
      </c>
      <c r="K1140" t="s">
        <v>38</v>
      </c>
      <c r="L1140" t="s">
        <v>38</v>
      </c>
      <c r="M1140" t="s">
        <v>38</v>
      </c>
      <c r="N1140" t="s">
        <v>38</v>
      </c>
      <c r="O1140" t="s">
        <v>54</v>
      </c>
      <c r="P1140" t="s">
        <v>42</v>
      </c>
      <c r="Q1140" t="s">
        <v>43</v>
      </c>
      <c r="R1140" t="s">
        <v>169</v>
      </c>
      <c r="S1140" t="s">
        <v>45</v>
      </c>
      <c r="T1140" t="s">
        <v>38</v>
      </c>
      <c r="U1140" t="s">
        <v>38</v>
      </c>
      <c r="V1140" t="s">
        <v>137</v>
      </c>
      <c r="W1140" t="s">
        <v>38</v>
      </c>
      <c r="X1140" t="s">
        <v>38</v>
      </c>
      <c r="Y1140" t="s">
        <v>2183</v>
      </c>
      <c r="Z1140" t="s">
        <v>42</v>
      </c>
      <c r="AA1140" t="s">
        <v>169</v>
      </c>
      <c r="AB1140" t="s">
        <v>38</v>
      </c>
      <c r="AC1140" t="s">
        <v>45</v>
      </c>
      <c r="AD1140" t="s">
        <v>48</v>
      </c>
      <c r="AG1140" t="str">
        <f>IF(AD1140="United States", IFERROR(INDEX(Sheet2!$C:$C, MATCH(AE1140&amp;AF1140, Sheet2!$E:$E, 0)) &amp; ", " &amp; INDEX(Sheet2!$D:$D, MATCH(AE1140&amp;AF1140, Sheet2!$E:$E, 0)), ""), "-")</f>
        <v/>
      </c>
    </row>
    <row r="1141" spans="1:33" x14ac:dyDescent="0.25">
      <c r="A1141" t="s">
        <v>98</v>
      </c>
      <c r="B1141" t="s">
        <v>2260</v>
      </c>
      <c r="C1141" t="s">
        <v>2182</v>
      </c>
      <c r="D1141" t="s">
        <v>2261</v>
      </c>
      <c r="E1141" t="s">
        <v>38</v>
      </c>
      <c r="F1141">
        <v>1757</v>
      </c>
      <c r="G1141">
        <v>277</v>
      </c>
      <c r="H1141" t="s">
        <v>152</v>
      </c>
      <c r="I1141" t="s">
        <v>39</v>
      </c>
      <c r="J1141" t="s">
        <v>2180</v>
      </c>
      <c r="K1141" t="s">
        <v>38</v>
      </c>
      <c r="L1141" t="s">
        <v>38</v>
      </c>
      <c r="M1141" t="s">
        <v>38</v>
      </c>
      <c r="N1141" t="s">
        <v>38</v>
      </c>
      <c r="O1141" t="s">
        <v>41</v>
      </c>
      <c r="P1141" t="s">
        <v>42</v>
      </c>
      <c r="Q1141" t="s">
        <v>43</v>
      </c>
      <c r="R1141" t="s">
        <v>89</v>
      </c>
      <c r="S1141" t="s">
        <v>38</v>
      </c>
      <c r="T1141" t="s">
        <v>89</v>
      </c>
      <c r="U1141" t="s">
        <v>38</v>
      </c>
      <c r="V1141" t="s">
        <v>137</v>
      </c>
      <c r="W1141" t="s">
        <v>92</v>
      </c>
      <c r="X1141" t="s">
        <v>38</v>
      </c>
      <c r="Y1141" t="s">
        <v>2183</v>
      </c>
      <c r="Z1141" t="s">
        <v>42</v>
      </c>
      <c r="AA1141" t="s">
        <v>38</v>
      </c>
      <c r="AB1141" t="s">
        <v>38</v>
      </c>
      <c r="AC1141" t="s">
        <v>38</v>
      </c>
      <c r="AD1141" t="s">
        <v>48</v>
      </c>
      <c r="AG1141" t="str">
        <f>IF(AD1141="United States", IFERROR(INDEX(Sheet2!$C:$C, MATCH(AE1141&amp;AF1141, Sheet2!$E:$E, 0)) &amp; ", " &amp; INDEX(Sheet2!$D:$D, MATCH(AE1141&amp;AF1141, Sheet2!$E:$E, 0)), ""), "-")</f>
        <v/>
      </c>
    </row>
    <row r="1142" spans="1:33" x14ac:dyDescent="0.25">
      <c r="A1142" t="s">
        <v>98</v>
      </c>
      <c r="B1142" t="s">
        <v>2262</v>
      </c>
      <c r="C1142" t="s">
        <v>2182</v>
      </c>
      <c r="D1142" t="s">
        <v>285</v>
      </c>
      <c r="E1142" t="s">
        <v>164</v>
      </c>
      <c r="F1142">
        <v>1756</v>
      </c>
      <c r="G1142">
        <v>276</v>
      </c>
      <c r="H1142" t="s">
        <v>152</v>
      </c>
      <c r="I1142" t="s">
        <v>39</v>
      </c>
      <c r="J1142" t="s">
        <v>2180</v>
      </c>
      <c r="K1142" t="s">
        <v>108</v>
      </c>
      <c r="L1142" t="s">
        <v>523</v>
      </c>
      <c r="M1142" t="s">
        <v>38</v>
      </c>
      <c r="N1142" t="s">
        <v>38</v>
      </c>
      <c r="O1142" t="s">
        <v>74</v>
      </c>
      <c r="P1142" t="s">
        <v>42</v>
      </c>
      <c r="Q1142" t="s">
        <v>43</v>
      </c>
      <c r="R1142" t="s">
        <v>89</v>
      </c>
      <c r="S1142" t="s">
        <v>201</v>
      </c>
      <c r="T1142" t="s">
        <v>89</v>
      </c>
      <c r="U1142" t="s">
        <v>38</v>
      </c>
      <c r="V1142" t="s">
        <v>137</v>
      </c>
      <c r="W1142" t="s">
        <v>92</v>
      </c>
      <c r="X1142" t="s">
        <v>38</v>
      </c>
      <c r="Y1142" t="s">
        <v>2183</v>
      </c>
      <c r="Z1142" t="s">
        <v>42</v>
      </c>
      <c r="AA1142" t="s">
        <v>38</v>
      </c>
      <c r="AB1142" t="s">
        <v>38</v>
      </c>
      <c r="AC1142" t="s">
        <v>201</v>
      </c>
      <c r="AD1142" t="s">
        <v>48</v>
      </c>
      <c r="AG1142" t="str">
        <f>IF(AD1142="United States", IFERROR(INDEX(Sheet2!$C:$C, MATCH(AE1142&amp;AF1142, Sheet2!$E:$E, 0)) &amp; ", " &amp; INDEX(Sheet2!$D:$D, MATCH(AE1142&amp;AF1142, Sheet2!$E:$E, 0)), ""), "-")</f>
        <v/>
      </c>
    </row>
    <row r="1143" spans="1:33" x14ac:dyDescent="0.25">
      <c r="A1143" t="s">
        <v>98</v>
      </c>
      <c r="B1143" t="s">
        <v>2263</v>
      </c>
      <c r="C1143" t="s">
        <v>2182</v>
      </c>
      <c r="D1143" t="s">
        <v>108</v>
      </c>
      <c r="E1143" t="s">
        <v>523</v>
      </c>
      <c r="F1143">
        <v>1756</v>
      </c>
      <c r="G1143">
        <v>275</v>
      </c>
      <c r="H1143" t="s">
        <v>152</v>
      </c>
      <c r="I1143" t="s">
        <v>39</v>
      </c>
      <c r="J1143" t="s">
        <v>2180</v>
      </c>
      <c r="K1143" t="s">
        <v>38</v>
      </c>
      <c r="L1143" t="s">
        <v>38</v>
      </c>
      <c r="M1143" t="s">
        <v>38</v>
      </c>
      <c r="N1143" t="s">
        <v>38</v>
      </c>
      <c r="O1143" t="s">
        <v>41</v>
      </c>
      <c r="P1143" t="s">
        <v>42</v>
      </c>
      <c r="Q1143" t="s">
        <v>43</v>
      </c>
      <c r="R1143" t="s">
        <v>89</v>
      </c>
      <c r="S1143" t="s">
        <v>1063</v>
      </c>
      <c r="T1143" t="s">
        <v>89</v>
      </c>
      <c r="U1143" t="s">
        <v>38</v>
      </c>
      <c r="V1143" t="s">
        <v>137</v>
      </c>
      <c r="W1143" t="s">
        <v>92</v>
      </c>
      <c r="X1143" t="s">
        <v>38</v>
      </c>
      <c r="Y1143" t="s">
        <v>2183</v>
      </c>
      <c r="Z1143" t="s">
        <v>42</v>
      </c>
      <c r="AA1143" t="s">
        <v>38</v>
      </c>
      <c r="AB1143" t="s">
        <v>38</v>
      </c>
      <c r="AC1143" t="s">
        <v>1063</v>
      </c>
      <c r="AD1143" t="s">
        <v>48</v>
      </c>
      <c r="AG1143" t="str">
        <f>IF(AD1143="United States", IFERROR(INDEX(Sheet2!$C:$C, MATCH(AE1143&amp;AF1143, Sheet2!$E:$E, 0)) &amp; ", " &amp; INDEX(Sheet2!$D:$D, MATCH(AE1143&amp;AF1143, Sheet2!$E:$E, 0)), ""), "-")</f>
        <v/>
      </c>
    </row>
    <row r="1144" spans="1:33" x14ac:dyDescent="0.25">
      <c r="A1144" t="s">
        <v>98</v>
      </c>
      <c r="B1144" t="s">
        <v>2264</v>
      </c>
      <c r="C1144" t="s">
        <v>2182</v>
      </c>
      <c r="D1144" t="s">
        <v>834</v>
      </c>
      <c r="E1144" t="s">
        <v>2265</v>
      </c>
      <c r="F1144">
        <v>1758</v>
      </c>
      <c r="G1144">
        <v>251</v>
      </c>
      <c r="H1144" t="s">
        <v>152</v>
      </c>
      <c r="I1144" t="s">
        <v>39</v>
      </c>
      <c r="J1144" t="s">
        <v>2180</v>
      </c>
      <c r="K1144" t="s">
        <v>38</v>
      </c>
      <c r="L1144" t="s">
        <v>38</v>
      </c>
      <c r="M1144" t="s">
        <v>38</v>
      </c>
      <c r="N1144" t="s">
        <v>38</v>
      </c>
      <c r="O1144" t="s">
        <v>57</v>
      </c>
      <c r="P1144" t="s">
        <v>42</v>
      </c>
      <c r="Q1144" t="s">
        <v>43</v>
      </c>
      <c r="R1144" t="s">
        <v>89</v>
      </c>
      <c r="S1144" t="s">
        <v>38</v>
      </c>
      <c r="T1144" t="s">
        <v>89</v>
      </c>
      <c r="U1144" t="s">
        <v>38</v>
      </c>
      <c r="V1144" t="s">
        <v>137</v>
      </c>
      <c r="W1144" t="s">
        <v>92</v>
      </c>
      <c r="X1144" t="s">
        <v>38</v>
      </c>
      <c r="Y1144" t="s">
        <v>2183</v>
      </c>
      <c r="Z1144" t="s">
        <v>42</v>
      </c>
      <c r="AA1144" t="s">
        <v>38</v>
      </c>
      <c r="AB1144" t="s">
        <v>38</v>
      </c>
      <c r="AC1144" t="s">
        <v>562</v>
      </c>
      <c r="AD1144" t="s">
        <v>48</v>
      </c>
      <c r="AG1144" t="str">
        <f>IF(AD1144="United States", IFERROR(INDEX(Sheet2!$C:$C, MATCH(AE1144&amp;AF1144, Sheet2!$E:$E, 0)) &amp; ", " &amp; INDEX(Sheet2!$D:$D, MATCH(AE1144&amp;AF1144, Sheet2!$E:$E, 0)), ""), "-")</f>
        <v/>
      </c>
    </row>
    <row r="1145" spans="1:33" x14ac:dyDescent="0.25">
      <c r="A1145" t="s">
        <v>2266</v>
      </c>
      <c r="B1145" t="s">
        <v>2267</v>
      </c>
      <c r="C1145" t="s">
        <v>2268</v>
      </c>
      <c r="D1145" t="s">
        <v>132</v>
      </c>
      <c r="E1145" t="s">
        <v>2269</v>
      </c>
      <c r="F1145">
        <v>1762</v>
      </c>
      <c r="G1145">
        <v>1174</v>
      </c>
      <c r="H1145" t="s">
        <v>2270</v>
      </c>
      <c r="I1145" t="s">
        <v>80</v>
      </c>
      <c r="J1145" t="s">
        <v>2271</v>
      </c>
      <c r="K1145" t="s">
        <v>38</v>
      </c>
      <c r="L1145" t="s">
        <v>38</v>
      </c>
      <c r="M1145" t="s">
        <v>38</v>
      </c>
      <c r="N1145" t="s">
        <v>38</v>
      </c>
      <c r="O1145" t="s">
        <v>41</v>
      </c>
      <c r="P1145" t="s">
        <v>42</v>
      </c>
      <c r="Q1145" t="s">
        <v>43</v>
      </c>
      <c r="R1145" t="s">
        <v>89</v>
      </c>
      <c r="S1145" t="s">
        <v>1063</v>
      </c>
      <c r="T1145" t="s">
        <v>89</v>
      </c>
      <c r="U1145" t="s">
        <v>301</v>
      </c>
      <c r="V1145" t="s">
        <v>46</v>
      </c>
      <c r="W1145" t="s">
        <v>92</v>
      </c>
      <c r="X1145" t="s">
        <v>302</v>
      </c>
      <c r="Y1145" t="s">
        <v>2272</v>
      </c>
      <c r="Z1145" t="s">
        <v>42</v>
      </c>
      <c r="AA1145" t="s">
        <v>1241</v>
      </c>
      <c r="AB1145" t="s">
        <v>38</v>
      </c>
      <c r="AC1145" t="s">
        <v>1063</v>
      </c>
      <c r="AD1145" t="s">
        <v>48</v>
      </c>
      <c r="AG1145" t="str">
        <f>IF(AD1145="United States", IFERROR(INDEX(Sheet2!$C:$C, MATCH(AE1145&amp;AF1145, Sheet2!$E:$E, 0)) &amp; ", " &amp; INDEX(Sheet2!$D:$D, MATCH(AE1145&amp;AF1145, Sheet2!$E:$E, 0)), ""), "-")</f>
        <v/>
      </c>
    </row>
    <row r="1146" spans="1:33" x14ac:dyDescent="0.25">
      <c r="A1146" t="s">
        <v>2266</v>
      </c>
      <c r="B1146" t="s">
        <v>2273</v>
      </c>
      <c r="C1146" t="s">
        <v>2268</v>
      </c>
      <c r="D1146" t="s">
        <v>150</v>
      </c>
      <c r="E1146" t="s">
        <v>38</v>
      </c>
      <c r="F1146">
        <v>1774</v>
      </c>
      <c r="G1146">
        <v>901</v>
      </c>
      <c r="H1146" t="s">
        <v>2270</v>
      </c>
      <c r="I1146" t="s">
        <v>80</v>
      </c>
      <c r="J1146" t="s">
        <v>2271</v>
      </c>
      <c r="K1146" t="s">
        <v>38</v>
      </c>
      <c r="L1146" t="s">
        <v>38</v>
      </c>
      <c r="M1146" t="s">
        <v>38</v>
      </c>
      <c r="N1146" t="s">
        <v>38</v>
      </c>
      <c r="O1146" t="s">
        <v>54</v>
      </c>
      <c r="P1146" t="s">
        <v>42</v>
      </c>
      <c r="Q1146" t="s">
        <v>43</v>
      </c>
      <c r="R1146" t="s">
        <v>89</v>
      </c>
      <c r="S1146" t="s">
        <v>38</v>
      </c>
      <c r="T1146" t="s">
        <v>89</v>
      </c>
      <c r="U1146" t="s">
        <v>301</v>
      </c>
      <c r="V1146" t="s">
        <v>46</v>
      </c>
      <c r="W1146" t="s">
        <v>92</v>
      </c>
      <c r="X1146" t="s">
        <v>302</v>
      </c>
      <c r="Y1146" t="s">
        <v>2274</v>
      </c>
      <c r="Z1146" t="s">
        <v>42</v>
      </c>
      <c r="AA1146" t="s">
        <v>38</v>
      </c>
      <c r="AB1146" t="s">
        <v>38</v>
      </c>
      <c r="AC1146" t="s">
        <v>1171</v>
      </c>
      <c r="AD1146" t="s">
        <v>48</v>
      </c>
      <c r="AG1146" t="str">
        <f>IF(AD1146="United States", IFERROR(INDEX(Sheet2!$C:$C, MATCH(AE1146&amp;AF1146, Sheet2!$E:$E, 0)) &amp; ", " &amp; INDEX(Sheet2!$D:$D, MATCH(AE1146&amp;AF1146, Sheet2!$E:$E, 0)), ""), "-")</f>
        <v/>
      </c>
    </row>
    <row r="1147" spans="1:33" x14ac:dyDescent="0.25">
      <c r="A1147" t="s">
        <v>2266</v>
      </c>
      <c r="B1147" t="s">
        <v>2275</v>
      </c>
      <c r="C1147" t="s">
        <v>2268</v>
      </c>
      <c r="D1147" t="s">
        <v>2276</v>
      </c>
      <c r="E1147" t="s">
        <v>38</v>
      </c>
      <c r="F1147">
        <v>1766</v>
      </c>
      <c r="G1147">
        <v>1176</v>
      </c>
      <c r="H1147" t="s">
        <v>2270</v>
      </c>
      <c r="I1147" t="s">
        <v>80</v>
      </c>
      <c r="J1147" t="s">
        <v>2271</v>
      </c>
      <c r="K1147" t="s">
        <v>38</v>
      </c>
      <c r="L1147" t="s">
        <v>38</v>
      </c>
      <c r="M1147" t="s">
        <v>38</v>
      </c>
      <c r="N1147" t="s">
        <v>38</v>
      </c>
      <c r="O1147" t="s">
        <v>74</v>
      </c>
      <c r="P1147" t="s">
        <v>42</v>
      </c>
      <c r="Q1147" t="s">
        <v>43</v>
      </c>
      <c r="R1147" t="s">
        <v>89</v>
      </c>
      <c r="S1147" t="s">
        <v>38</v>
      </c>
      <c r="T1147" t="s">
        <v>89</v>
      </c>
      <c r="U1147" t="s">
        <v>301</v>
      </c>
      <c r="V1147" t="s">
        <v>46</v>
      </c>
      <c r="W1147" t="s">
        <v>92</v>
      </c>
      <c r="X1147" t="s">
        <v>302</v>
      </c>
      <c r="Y1147" t="s">
        <v>2274</v>
      </c>
      <c r="Z1147" t="s">
        <v>42</v>
      </c>
      <c r="AA1147" t="s">
        <v>38</v>
      </c>
      <c r="AB1147" t="s">
        <v>38</v>
      </c>
      <c r="AC1147" t="s">
        <v>38</v>
      </c>
      <c r="AD1147" t="s">
        <v>48</v>
      </c>
      <c r="AG1147" t="str">
        <f>IF(AD1147="United States", IFERROR(INDEX(Sheet2!$C:$C, MATCH(AE1147&amp;AF1147, Sheet2!$E:$E, 0)) &amp; ", " &amp; INDEX(Sheet2!$D:$D, MATCH(AE1147&amp;AF1147, Sheet2!$E:$E, 0)), ""), "-")</f>
        <v/>
      </c>
    </row>
    <row r="1148" spans="1:33" x14ac:dyDescent="0.25">
      <c r="A1148" t="s">
        <v>2266</v>
      </c>
      <c r="B1148" t="s">
        <v>2277</v>
      </c>
      <c r="C1148" t="s">
        <v>2268</v>
      </c>
      <c r="D1148" t="s">
        <v>62</v>
      </c>
      <c r="E1148" t="s">
        <v>460</v>
      </c>
      <c r="F1148">
        <v>1758</v>
      </c>
      <c r="G1148">
        <v>903</v>
      </c>
      <c r="H1148" t="s">
        <v>2270</v>
      </c>
      <c r="I1148" t="s">
        <v>80</v>
      </c>
      <c r="J1148" t="s">
        <v>2271</v>
      </c>
      <c r="K1148" t="s">
        <v>38</v>
      </c>
      <c r="L1148" t="s">
        <v>38</v>
      </c>
      <c r="M1148" t="s">
        <v>38</v>
      </c>
      <c r="N1148" t="s">
        <v>38</v>
      </c>
      <c r="O1148" t="s">
        <v>41</v>
      </c>
      <c r="P1148" t="s">
        <v>42</v>
      </c>
      <c r="Q1148" t="s">
        <v>43</v>
      </c>
      <c r="R1148" t="s">
        <v>89</v>
      </c>
      <c r="S1148" t="s">
        <v>45</v>
      </c>
      <c r="T1148" t="s">
        <v>89</v>
      </c>
      <c r="U1148" t="s">
        <v>301</v>
      </c>
      <c r="V1148" t="s">
        <v>46</v>
      </c>
      <c r="W1148" t="s">
        <v>92</v>
      </c>
      <c r="X1148" t="s">
        <v>302</v>
      </c>
      <c r="Y1148" t="s">
        <v>2274</v>
      </c>
      <c r="Z1148" t="s">
        <v>42</v>
      </c>
      <c r="AA1148" t="s">
        <v>45</v>
      </c>
      <c r="AB1148" t="s">
        <v>38</v>
      </c>
      <c r="AC1148" t="s">
        <v>89</v>
      </c>
      <c r="AD1148" t="s">
        <v>48</v>
      </c>
      <c r="AG1148" t="str">
        <f>IF(AD1148="United States", IFERROR(INDEX(Sheet2!$C:$C, MATCH(AE1148&amp;AF1148, Sheet2!$E:$E, 0)) &amp; ", " &amp; INDEX(Sheet2!$D:$D, MATCH(AE1148&amp;AF1148, Sheet2!$E:$E, 0)), ""), "-")</f>
        <v/>
      </c>
    </row>
    <row r="1149" spans="1:33" x14ac:dyDescent="0.25">
      <c r="A1149" t="s">
        <v>2266</v>
      </c>
      <c r="B1149" t="s">
        <v>2273</v>
      </c>
      <c r="C1149" t="s">
        <v>2268</v>
      </c>
      <c r="D1149" t="s">
        <v>150</v>
      </c>
      <c r="E1149" t="s">
        <v>38</v>
      </c>
      <c r="F1149">
        <v>1774</v>
      </c>
      <c r="G1149">
        <v>1177</v>
      </c>
      <c r="H1149" t="s">
        <v>2270</v>
      </c>
      <c r="I1149" t="s">
        <v>80</v>
      </c>
      <c r="J1149" t="s">
        <v>2271</v>
      </c>
      <c r="K1149" t="s">
        <v>38</v>
      </c>
      <c r="L1149" t="s">
        <v>38</v>
      </c>
      <c r="M1149" t="s">
        <v>38</v>
      </c>
      <c r="N1149" t="s">
        <v>38</v>
      </c>
      <c r="O1149" t="s">
        <v>54</v>
      </c>
      <c r="P1149" t="s">
        <v>42</v>
      </c>
      <c r="Q1149" t="s">
        <v>43</v>
      </c>
      <c r="R1149" t="s">
        <v>89</v>
      </c>
      <c r="S1149" t="s">
        <v>38</v>
      </c>
      <c r="T1149" t="s">
        <v>89</v>
      </c>
      <c r="U1149" t="s">
        <v>301</v>
      </c>
      <c r="V1149" t="s">
        <v>46</v>
      </c>
      <c r="W1149" t="s">
        <v>92</v>
      </c>
      <c r="X1149" t="s">
        <v>302</v>
      </c>
      <c r="Y1149" t="s">
        <v>2274</v>
      </c>
      <c r="Z1149" t="s">
        <v>42</v>
      </c>
      <c r="AA1149" t="s">
        <v>38</v>
      </c>
      <c r="AB1149" t="s">
        <v>38</v>
      </c>
      <c r="AC1149" t="s">
        <v>1171</v>
      </c>
      <c r="AD1149" t="s">
        <v>48</v>
      </c>
      <c r="AG1149" t="str">
        <f>IF(AD1149="United States", IFERROR(INDEX(Sheet2!$C:$C, MATCH(AE1149&amp;AF1149, Sheet2!$E:$E, 0)) &amp; ", " &amp; INDEX(Sheet2!$D:$D, MATCH(AE1149&amp;AF1149, Sheet2!$E:$E, 0)), ""), "-")</f>
        <v/>
      </c>
    </row>
    <row r="1150" spans="1:33" x14ac:dyDescent="0.25">
      <c r="A1150" t="s">
        <v>2266</v>
      </c>
      <c r="B1150" t="s">
        <v>2278</v>
      </c>
      <c r="C1150" t="s">
        <v>2268</v>
      </c>
      <c r="D1150" t="s">
        <v>986</v>
      </c>
      <c r="E1150" t="s">
        <v>38</v>
      </c>
      <c r="F1150">
        <v>1771</v>
      </c>
      <c r="G1150">
        <v>1178</v>
      </c>
      <c r="H1150" t="s">
        <v>2270</v>
      </c>
      <c r="I1150" t="s">
        <v>80</v>
      </c>
      <c r="J1150" t="s">
        <v>2271</v>
      </c>
      <c r="K1150" t="s">
        <v>38</v>
      </c>
      <c r="L1150" t="s">
        <v>38</v>
      </c>
      <c r="M1150" t="s">
        <v>38</v>
      </c>
      <c r="N1150" t="s">
        <v>38</v>
      </c>
      <c r="O1150" t="s">
        <v>54</v>
      </c>
      <c r="P1150" t="s">
        <v>42</v>
      </c>
      <c r="Q1150" t="s">
        <v>43</v>
      </c>
      <c r="R1150" t="s">
        <v>89</v>
      </c>
      <c r="S1150" t="s">
        <v>45</v>
      </c>
      <c r="T1150" t="s">
        <v>89</v>
      </c>
      <c r="U1150" t="s">
        <v>301</v>
      </c>
      <c r="V1150" t="s">
        <v>46</v>
      </c>
      <c r="W1150" t="s">
        <v>92</v>
      </c>
      <c r="X1150" t="s">
        <v>302</v>
      </c>
      <c r="Y1150" t="s">
        <v>2279</v>
      </c>
      <c r="Z1150" t="s">
        <v>42</v>
      </c>
      <c r="AA1150" t="s">
        <v>38</v>
      </c>
      <c r="AB1150" t="s">
        <v>38</v>
      </c>
      <c r="AC1150" t="s">
        <v>45</v>
      </c>
      <c r="AD1150" t="s">
        <v>48</v>
      </c>
      <c r="AG1150" t="str">
        <f>IF(AD1150="United States", IFERROR(INDEX(Sheet2!$C:$C, MATCH(AE1150&amp;AF1150, Sheet2!$E:$E, 0)) &amp; ", " &amp; INDEX(Sheet2!$D:$D, MATCH(AE1150&amp;AF1150, Sheet2!$E:$E, 0)), ""), "-")</f>
        <v/>
      </c>
    </row>
    <row r="1151" spans="1:33" x14ac:dyDescent="0.25">
      <c r="A1151" t="s">
        <v>2266</v>
      </c>
      <c r="B1151" t="s">
        <v>2278</v>
      </c>
      <c r="C1151" t="s">
        <v>2268</v>
      </c>
      <c r="D1151" t="s">
        <v>986</v>
      </c>
      <c r="E1151" t="s">
        <v>38</v>
      </c>
      <c r="F1151">
        <v>1771</v>
      </c>
      <c r="G1151">
        <v>902</v>
      </c>
      <c r="H1151" t="s">
        <v>2270</v>
      </c>
      <c r="I1151" t="s">
        <v>80</v>
      </c>
      <c r="J1151" t="s">
        <v>2271</v>
      </c>
      <c r="K1151" t="s">
        <v>38</v>
      </c>
      <c r="L1151" t="s">
        <v>38</v>
      </c>
      <c r="M1151" t="s">
        <v>38</v>
      </c>
      <c r="N1151" t="s">
        <v>38</v>
      </c>
      <c r="O1151" t="s">
        <v>54</v>
      </c>
      <c r="P1151" t="s">
        <v>42</v>
      </c>
      <c r="Q1151" t="s">
        <v>43</v>
      </c>
      <c r="R1151" t="s">
        <v>89</v>
      </c>
      <c r="S1151" t="s">
        <v>45</v>
      </c>
      <c r="T1151" t="s">
        <v>89</v>
      </c>
      <c r="U1151" t="s">
        <v>301</v>
      </c>
      <c r="V1151" t="s">
        <v>46</v>
      </c>
      <c r="W1151" t="s">
        <v>92</v>
      </c>
      <c r="X1151" t="s">
        <v>302</v>
      </c>
      <c r="Y1151" t="s">
        <v>2279</v>
      </c>
      <c r="Z1151" t="s">
        <v>42</v>
      </c>
      <c r="AA1151" t="s">
        <v>38</v>
      </c>
      <c r="AB1151" t="s">
        <v>38</v>
      </c>
      <c r="AC1151" t="s">
        <v>45</v>
      </c>
      <c r="AD1151" t="s">
        <v>48</v>
      </c>
      <c r="AG1151" t="str">
        <f>IF(AD1151="United States", IFERROR(INDEX(Sheet2!$C:$C, MATCH(AE1151&amp;AF1151, Sheet2!$E:$E, 0)) &amp; ", " &amp; INDEX(Sheet2!$D:$D, MATCH(AE1151&amp;AF1151, Sheet2!$E:$E, 0)), ""), "-")</f>
        <v/>
      </c>
    </row>
    <row r="1152" spans="1:33" x14ac:dyDescent="0.25">
      <c r="A1152" t="s">
        <v>2266</v>
      </c>
      <c r="B1152" t="s">
        <v>2277</v>
      </c>
      <c r="C1152" t="s">
        <v>2268</v>
      </c>
      <c r="D1152" t="s">
        <v>62</v>
      </c>
      <c r="E1152" t="s">
        <v>460</v>
      </c>
      <c r="F1152">
        <v>1758</v>
      </c>
      <c r="G1152">
        <v>1179</v>
      </c>
      <c r="H1152" t="s">
        <v>2270</v>
      </c>
      <c r="I1152" t="s">
        <v>80</v>
      </c>
      <c r="J1152" t="s">
        <v>2271</v>
      </c>
      <c r="K1152" t="s">
        <v>38</v>
      </c>
      <c r="L1152" t="s">
        <v>38</v>
      </c>
      <c r="M1152" t="s">
        <v>38</v>
      </c>
      <c r="N1152" t="s">
        <v>38</v>
      </c>
      <c r="O1152" t="s">
        <v>41</v>
      </c>
      <c r="P1152" t="s">
        <v>42</v>
      </c>
      <c r="Q1152" t="s">
        <v>43</v>
      </c>
      <c r="R1152" t="s">
        <v>89</v>
      </c>
      <c r="S1152" t="s">
        <v>45</v>
      </c>
      <c r="T1152" t="s">
        <v>89</v>
      </c>
      <c r="U1152" t="s">
        <v>301</v>
      </c>
      <c r="V1152" t="s">
        <v>46</v>
      </c>
      <c r="W1152" t="s">
        <v>92</v>
      </c>
      <c r="X1152" t="s">
        <v>302</v>
      </c>
      <c r="Y1152" t="s">
        <v>2274</v>
      </c>
      <c r="Z1152" t="s">
        <v>42</v>
      </c>
      <c r="AA1152" t="s">
        <v>45</v>
      </c>
      <c r="AB1152" t="s">
        <v>38</v>
      </c>
      <c r="AC1152" t="s">
        <v>89</v>
      </c>
      <c r="AD1152" t="s">
        <v>48</v>
      </c>
      <c r="AG1152" t="str">
        <f>IF(AD1152="United States", IFERROR(INDEX(Sheet2!$C:$C, MATCH(AE1152&amp;AF1152, Sheet2!$E:$E, 0)) &amp; ", " &amp; INDEX(Sheet2!$D:$D, MATCH(AE1152&amp;AF1152, Sheet2!$E:$E, 0)), ""), "-")</f>
        <v/>
      </c>
    </row>
    <row r="1153" spans="1:33" x14ac:dyDescent="0.25">
      <c r="A1153" t="s">
        <v>2266</v>
      </c>
      <c r="B1153" t="s">
        <v>2267</v>
      </c>
      <c r="C1153" t="s">
        <v>2268</v>
      </c>
      <c r="D1153" t="s">
        <v>132</v>
      </c>
      <c r="E1153" t="s">
        <v>2269</v>
      </c>
      <c r="F1153">
        <v>1762</v>
      </c>
      <c r="G1153">
        <v>898</v>
      </c>
      <c r="H1153" t="s">
        <v>2270</v>
      </c>
      <c r="I1153" t="s">
        <v>80</v>
      </c>
      <c r="J1153" t="s">
        <v>2271</v>
      </c>
      <c r="K1153" t="s">
        <v>38</v>
      </c>
      <c r="L1153" t="s">
        <v>38</v>
      </c>
      <c r="M1153" t="s">
        <v>38</v>
      </c>
      <c r="N1153" t="s">
        <v>38</v>
      </c>
      <c r="O1153" t="s">
        <v>41</v>
      </c>
      <c r="P1153" t="s">
        <v>42</v>
      </c>
      <c r="Q1153" t="s">
        <v>43</v>
      </c>
      <c r="R1153" t="s">
        <v>89</v>
      </c>
      <c r="S1153" t="s">
        <v>1063</v>
      </c>
      <c r="T1153" t="s">
        <v>89</v>
      </c>
      <c r="U1153" t="s">
        <v>301</v>
      </c>
      <c r="V1153" t="s">
        <v>46</v>
      </c>
      <c r="W1153" t="s">
        <v>92</v>
      </c>
      <c r="X1153" t="s">
        <v>302</v>
      </c>
      <c r="Y1153" t="s">
        <v>2272</v>
      </c>
      <c r="Z1153" t="s">
        <v>42</v>
      </c>
      <c r="AA1153" t="s">
        <v>1241</v>
      </c>
      <c r="AB1153" t="s">
        <v>38</v>
      </c>
      <c r="AC1153" t="s">
        <v>1063</v>
      </c>
      <c r="AD1153" t="s">
        <v>48</v>
      </c>
      <c r="AG1153" t="str">
        <f>IF(AD1153="United States", IFERROR(INDEX(Sheet2!$C:$C, MATCH(AE1153&amp;AF1153, Sheet2!$E:$E, 0)) &amp; ", " &amp; INDEX(Sheet2!$D:$D, MATCH(AE1153&amp;AF1153, Sheet2!$E:$E, 0)), ""), "-")</f>
        <v/>
      </c>
    </row>
    <row r="1154" spans="1:33" x14ac:dyDescent="0.25">
      <c r="A1154" t="s">
        <v>2266</v>
      </c>
      <c r="B1154" t="s">
        <v>2280</v>
      </c>
      <c r="C1154" t="s">
        <v>2268</v>
      </c>
      <c r="D1154" t="s">
        <v>982</v>
      </c>
      <c r="E1154" t="s">
        <v>2281</v>
      </c>
      <c r="F1154">
        <v>1761</v>
      </c>
      <c r="G1154">
        <v>1175</v>
      </c>
      <c r="H1154" t="s">
        <v>2270</v>
      </c>
      <c r="I1154" t="s">
        <v>80</v>
      </c>
      <c r="J1154" t="s">
        <v>2271</v>
      </c>
      <c r="K1154" t="s">
        <v>38</v>
      </c>
      <c r="L1154" t="s">
        <v>38</v>
      </c>
      <c r="M1154" t="s">
        <v>38</v>
      </c>
      <c r="N1154" t="s">
        <v>38</v>
      </c>
      <c r="O1154" t="s">
        <v>41</v>
      </c>
      <c r="P1154" t="s">
        <v>42</v>
      </c>
      <c r="Q1154" t="s">
        <v>43</v>
      </c>
      <c r="R1154" t="s">
        <v>89</v>
      </c>
      <c r="S1154" t="s">
        <v>1063</v>
      </c>
      <c r="T1154" t="s">
        <v>89</v>
      </c>
      <c r="U1154" t="s">
        <v>301</v>
      </c>
      <c r="V1154" t="s">
        <v>46</v>
      </c>
      <c r="W1154" t="s">
        <v>92</v>
      </c>
      <c r="X1154" t="s">
        <v>302</v>
      </c>
      <c r="Y1154" t="s">
        <v>2282</v>
      </c>
      <c r="Z1154" t="s">
        <v>42</v>
      </c>
      <c r="AA1154" t="s">
        <v>1065</v>
      </c>
      <c r="AB1154" t="s">
        <v>38</v>
      </c>
      <c r="AC1154" t="s">
        <v>1063</v>
      </c>
      <c r="AD1154" t="s">
        <v>48</v>
      </c>
      <c r="AG1154" t="str">
        <f>IF(AD1154="United States", IFERROR(INDEX(Sheet2!$C:$C, MATCH(AE1154&amp;AF1154, Sheet2!$E:$E, 0)) &amp; ", " &amp; INDEX(Sheet2!$D:$D, MATCH(AE1154&amp;AF1154, Sheet2!$E:$E, 0)), ""), "-")</f>
        <v/>
      </c>
    </row>
    <row r="1155" spans="1:33" x14ac:dyDescent="0.25">
      <c r="A1155" t="s">
        <v>2266</v>
      </c>
      <c r="B1155" t="s">
        <v>2280</v>
      </c>
      <c r="C1155" t="s">
        <v>2268</v>
      </c>
      <c r="D1155" t="s">
        <v>982</v>
      </c>
      <c r="E1155" t="s">
        <v>2281</v>
      </c>
      <c r="F1155">
        <v>1761</v>
      </c>
      <c r="G1155">
        <v>899</v>
      </c>
      <c r="H1155" t="s">
        <v>2270</v>
      </c>
      <c r="I1155" t="s">
        <v>80</v>
      </c>
      <c r="J1155" t="s">
        <v>2271</v>
      </c>
      <c r="K1155" t="s">
        <v>38</v>
      </c>
      <c r="L1155" t="s">
        <v>38</v>
      </c>
      <c r="M1155" t="s">
        <v>38</v>
      </c>
      <c r="N1155" t="s">
        <v>38</v>
      </c>
      <c r="O1155" t="s">
        <v>41</v>
      </c>
      <c r="P1155" t="s">
        <v>42</v>
      </c>
      <c r="Q1155" t="s">
        <v>43</v>
      </c>
      <c r="R1155" t="s">
        <v>89</v>
      </c>
      <c r="S1155" t="s">
        <v>1063</v>
      </c>
      <c r="T1155" t="s">
        <v>89</v>
      </c>
      <c r="U1155" t="s">
        <v>301</v>
      </c>
      <c r="V1155" t="s">
        <v>46</v>
      </c>
      <c r="W1155" t="s">
        <v>92</v>
      </c>
      <c r="X1155" t="s">
        <v>302</v>
      </c>
      <c r="Y1155" t="s">
        <v>2282</v>
      </c>
      <c r="Z1155" t="s">
        <v>42</v>
      </c>
      <c r="AA1155" t="s">
        <v>1065</v>
      </c>
      <c r="AB1155" t="s">
        <v>38</v>
      </c>
      <c r="AC1155" t="s">
        <v>1063</v>
      </c>
      <c r="AD1155" t="s">
        <v>48</v>
      </c>
      <c r="AG1155" t="str">
        <f>IF(AD1155="United States", IFERROR(INDEX(Sheet2!$C:$C, MATCH(AE1155&amp;AF1155, Sheet2!$E:$E, 0)) &amp; ", " &amp; INDEX(Sheet2!$D:$D, MATCH(AE1155&amp;AF1155, Sheet2!$E:$E, 0)), ""), "-")</f>
        <v/>
      </c>
    </row>
    <row r="1156" spans="1:33" x14ac:dyDescent="0.25">
      <c r="A1156" t="s">
        <v>2266</v>
      </c>
      <c r="B1156" t="s">
        <v>2275</v>
      </c>
      <c r="C1156" t="s">
        <v>2268</v>
      </c>
      <c r="D1156" t="s">
        <v>2276</v>
      </c>
      <c r="E1156" t="s">
        <v>38</v>
      </c>
      <c r="F1156">
        <v>1766</v>
      </c>
      <c r="G1156">
        <v>900</v>
      </c>
      <c r="H1156" t="s">
        <v>2270</v>
      </c>
      <c r="I1156" t="s">
        <v>80</v>
      </c>
      <c r="J1156" t="s">
        <v>2271</v>
      </c>
      <c r="K1156" t="s">
        <v>38</v>
      </c>
      <c r="L1156" t="s">
        <v>38</v>
      </c>
      <c r="M1156" t="s">
        <v>38</v>
      </c>
      <c r="N1156" t="s">
        <v>38</v>
      </c>
      <c r="O1156" t="s">
        <v>74</v>
      </c>
      <c r="P1156" t="s">
        <v>42</v>
      </c>
      <c r="Q1156" t="s">
        <v>43</v>
      </c>
      <c r="R1156" t="s">
        <v>89</v>
      </c>
      <c r="S1156" t="s">
        <v>38</v>
      </c>
      <c r="T1156" t="s">
        <v>89</v>
      </c>
      <c r="U1156" t="s">
        <v>301</v>
      </c>
      <c r="V1156" t="s">
        <v>46</v>
      </c>
      <c r="W1156" t="s">
        <v>92</v>
      </c>
      <c r="X1156" t="s">
        <v>302</v>
      </c>
      <c r="Y1156" t="s">
        <v>2274</v>
      </c>
      <c r="Z1156" t="s">
        <v>42</v>
      </c>
      <c r="AA1156" t="s">
        <v>38</v>
      </c>
      <c r="AB1156" t="s">
        <v>38</v>
      </c>
      <c r="AC1156" t="s">
        <v>38</v>
      </c>
      <c r="AD1156" t="s">
        <v>48</v>
      </c>
      <c r="AG1156" t="str">
        <f>IF(AD1156="United States", IFERROR(INDEX(Sheet2!$C:$C, MATCH(AE1156&amp;AF1156, Sheet2!$E:$E, 0)) &amp; ", " &amp; INDEX(Sheet2!$D:$D, MATCH(AE1156&amp;AF1156, Sheet2!$E:$E, 0)), ""), "-")</f>
        <v/>
      </c>
    </row>
    <row r="1157" spans="1:33" x14ac:dyDescent="0.25">
      <c r="A1157" t="s">
        <v>2283</v>
      </c>
      <c r="D1157" t="s">
        <v>2284</v>
      </c>
      <c r="E1157" t="s">
        <v>37</v>
      </c>
      <c r="F1157">
        <v>1772</v>
      </c>
      <c r="G1157">
        <v>672</v>
      </c>
      <c r="H1157">
        <v>33</v>
      </c>
      <c r="J1157" t="s">
        <v>2285</v>
      </c>
      <c r="O1157" t="s">
        <v>183</v>
      </c>
      <c r="R1157" t="s">
        <v>89</v>
      </c>
      <c r="T1157" t="s">
        <v>89</v>
      </c>
      <c r="V1157" t="s">
        <v>137</v>
      </c>
      <c r="W1157" t="s">
        <v>92</v>
      </c>
      <c r="Y1157" t="s">
        <v>38</v>
      </c>
      <c r="AA1157" t="s">
        <v>38</v>
      </c>
      <c r="AB1157" t="s">
        <v>38</v>
      </c>
      <c r="AC1157" t="s">
        <v>38</v>
      </c>
      <c r="AD1157" t="s">
        <v>48</v>
      </c>
      <c r="AG1157" t="str">
        <f>IF(AD1157="United States", IFERROR(INDEX(Sheet2!$C:$C, MATCH(AE1157&amp;AF1157, Sheet2!$E:$E, 0)) &amp; ", " &amp; INDEX(Sheet2!$D:$D, MATCH(AE1157&amp;AF1157, Sheet2!$E:$E, 0)), ""), "-")</f>
        <v/>
      </c>
    </row>
    <row r="1158" spans="1:33" x14ac:dyDescent="0.25">
      <c r="A1158" t="s">
        <v>2283</v>
      </c>
      <c r="D1158" t="s">
        <v>352</v>
      </c>
      <c r="E1158" t="s">
        <v>37</v>
      </c>
      <c r="F1158">
        <v>1761</v>
      </c>
      <c r="G1158">
        <v>670</v>
      </c>
      <c r="H1158">
        <v>33</v>
      </c>
      <c r="J1158" t="s">
        <v>2285</v>
      </c>
      <c r="O1158" t="s">
        <v>57</v>
      </c>
      <c r="R1158" t="s">
        <v>89</v>
      </c>
      <c r="T1158" t="s">
        <v>89</v>
      </c>
      <c r="V1158" t="s">
        <v>137</v>
      </c>
      <c r="W1158" t="s">
        <v>92</v>
      </c>
      <c r="Y1158" t="s">
        <v>38</v>
      </c>
      <c r="AA1158" t="s">
        <v>38</v>
      </c>
      <c r="AB1158" t="s">
        <v>38</v>
      </c>
      <c r="AC1158" t="s">
        <v>38</v>
      </c>
      <c r="AD1158" t="s">
        <v>48</v>
      </c>
      <c r="AG1158" t="str">
        <f>IF(AD1158="United States", IFERROR(INDEX(Sheet2!$C:$C, MATCH(AE1158&amp;AF1158, Sheet2!$E:$E, 0)) &amp; ", " &amp; INDEX(Sheet2!$D:$D, MATCH(AE1158&amp;AF1158, Sheet2!$E:$E, 0)), ""), "-")</f>
        <v/>
      </c>
    </row>
    <row r="1159" spans="1:33" x14ac:dyDescent="0.25">
      <c r="A1159" t="s">
        <v>2283</v>
      </c>
      <c r="D1159" t="s">
        <v>226</v>
      </c>
      <c r="E1159" t="s">
        <v>37</v>
      </c>
      <c r="F1159">
        <v>1743</v>
      </c>
      <c r="G1159">
        <v>669</v>
      </c>
      <c r="H1159">
        <v>33</v>
      </c>
      <c r="J1159" t="s">
        <v>2285</v>
      </c>
      <c r="O1159" t="s">
        <v>41</v>
      </c>
      <c r="R1159" t="s">
        <v>89</v>
      </c>
      <c r="T1159" t="s">
        <v>89</v>
      </c>
      <c r="V1159" t="s">
        <v>137</v>
      </c>
      <c r="W1159" t="s">
        <v>92</v>
      </c>
      <c r="Y1159" t="s">
        <v>38</v>
      </c>
      <c r="AA1159" t="s">
        <v>38</v>
      </c>
      <c r="AB1159" t="s">
        <v>38</v>
      </c>
      <c r="AC1159" t="s">
        <v>38</v>
      </c>
      <c r="AD1159" t="s">
        <v>48</v>
      </c>
      <c r="AG1159" t="str">
        <f>IF(AD1159="United States", IFERROR(INDEX(Sheet2!$C:$C, MATCH(AE1159&amp;AF1159, Sheet2!$E:$E, 0)) &amp; ", " &amp; INDEX(Sheet2!$D:$D, MATCH(AE1159&amp;AF1159, Sheet2!$E:$E, 0)), ""), "-")</f>
        <v/>
      </c>
    </row>
    <row r="1160" spans="1:33" x14ac:dyDescent="0.25">
      <c r="A1160" t="s">
        <v>2283</v>
      </c>
      <c r="D1160" t="s">
        <v>2286</v>
      </c>
      <c r="E1160" t="s">
        <v>37</v>
      </c>
      <c r="F1160">
        <v>1740</v>
      </c>
      <c r="G1160">
        <v>668</v>
      </c>
      <c r="H1160">
        <v>33</v>
      </c>
      <c r="J1160" t="s">
        <v>2285</v>
      </c>
      <c r="O1160" t="s">
        <v>57</v>
      </c>
      <c r="R1160" t="s">
        <v>89</v>
      </c>
      <c r="T1160" t="s">
        <v>89</v>
      </c>
      <c r="V1160" t="s">
        <v>137</v>
      </c>
      <c r="W1160" t="s">
        <v>92</v>
      </c>
      <c r="Y1160" t="s">
        <v>38</v>
      </c>
      <c r="AA1160" t="s">
        <v>38</v>
      </c>
      <c r="AB1160" t="s">
        <v>38</v>
      </c>
      <c r="AC1160" t="s">
        <v>38</v>
      </c>
      <c r="AD1160" t="s">
        <v>48</v>
      </c>
      <c r="AG1160" t="str">
        <f>IF(AD1160="United States", IFERROR(INDEX(Sheet2!$C:$C, MATCH(AE1160&amp;AF1160, Sheet2!$E:$E, 0)) &amp; ", " &amp; INDEX(Sheet2!$D:$D, MATCH(AE1160&amp;AF1160, Sheet2!$E:$E, 0)), ""), "-")</f>
        <v/>
      </c>
    </row>
    <row r="1161" spans="1:33" x14ac:dyDescent="0.25">
      <c r="A1161" t="s">
        <v>2283</v>
      </c>
      <c r="D1161" t="s">
        <v>2287</v>
      </c>
      <c r="E1161" t="s">
        <v>37</v>
      </c>
      <c r="F1161">
        <v>1752</v>
      </c>
      <c r="G1161">
        <v>667</v>
      </c>
      <c r="H1161">
        <v>33</v>
      </c>
      <c r="J1161" t="s">
        <v>2285</v>
      </c>
      <c r="O1161" t="s">
        <v>41</v>
      </c>
      <c r="R1161" t="s">
        <v>89</v>
      </c>
      <c r="T1161" t="s">
        <v>89</v>
      </c>
      <c r="V1161" t="s">
        <v>137</v>
      </c>
      <c r="W1161" t="s">
        <v>92</v>
      </c>
      <c r="Y1161" t="s">
        <v>38</v>
      </c>
      <c r="AA1161" t="s">
        <v>38</v>
      </c>
      <c r="AB1161" t="s">
        <v>38</v>
      </c>
      <c r="AC1161" t="s">
        <v>38</v>
      </c>
      <c r="AD1161" t="s">
        <v>48</v>
      </c>
      <c r="AG1161" t="str">
        <f>IF(AD1161="United States", IFERROR(INDEX(Sheet2!$C:$C, MATCH(AE1161&amp;AF1161, Sheet2!$E:$E, 0)) &amp; ", " &amp; INDEX(Sheet2!$D:$D, MATCH(AE1161&amp;AF1161, Sheet2!$E:$E, 0)), ""), "-")</f>
        <v/>
      </c>
    </row>
    <row r="1162" spans="1:33" x14ac:dyDescent="0.25">
      <c r="A1162" t="s">
        <v>2283</v>
      </c>
      <c r="D1162" t="s">
        <v>2288</v>
      </c>
      <c r="E1162" t="s">
        <v>37</v>
      </c>
      <c r="F1162">
        <v>1779</v>
      </c>
      <c r="G1162">
        <v>671</v>
      </c>
      <c r="H1162">
        <v>33</v>
      </c>
      <c r="J1162" t="s">
        <v>2285</v>
      </c>
      <c r="O1162" t="s">
        <v>54</v>
      </c>
      <c r="R1162" t="s">
        <v>89</v>
      </c>
      <c r="T1162" t="s">
        <v>89</v>
      </c>
      <c r="V1162" t="s">
        <v>137</v>
      </c>
      <c r="W1162" t="s">
        <v>92</v>
      </c>
      <c r="Y1162" t="s">
        <v>38</v>
      </c>
      <c r="AA1162" t="s">
        <v>38</v>
      </c>
      <c r="AB1162" t="s">
        <v>38</v>
      </c>
      <c r="AC1162" t="s">
        <v>38</v>
      </c>
      <c r="AD1162" t="s">
        <v>48</v>
      </c>
      <c r="AG1162" t="str">
        <f>IF(AD1162="United States", IFERROR(INDEX(Sheet2!$C:$C, MATCH(AE1162&amp;AF1162, Sheet2!$E:$E, 0)) &amp; ", " &amp; INDEX(Sheet2!$D:$D, MATCH(AE1162&amp;AF1162, Sheet2!$E:$E, 0)), ""), "-")</f>
        <v/>
      </c>
    </row>
    <row r="1163" spans="1:33" x14ac:dyDescent="0.25">
      <c r="A1163" t="s">
        <v>2283</v>
      </c>
      <c r="D1163" t="s">
        <v>1413</v>
      </c>
      <c r="E1163" t="s">
        <v>37</v>
      </c>
      <c r="F1163" t="s">
        <v>38</v>
      </c>
      <c r="G1163">
        <v>673</v>
      </c>
      <c r="H1163">
        <v>33</v>
      </c>
      <c r="J1163" t="s">
        <v>2285</v>
      </c>
      <c r="O1163" t="s">
        <v>74</v>
      </c>
      <c r="R1163" t="s">
        <v>89</v>
      </c>
      <c r="T1163" t="s">
        <v>89</v>
      </c>
      <c r="V1163" t="s">
        <v>137</v>
      </c>
      <c r="W1163" t="s">
        <v>92</v>
      </c>
      <c r="Y1163" t="s">
        <v>38</v>
      </c>
      <c r="AA1163" t="s">
        <v>38</v>
      </c>
      <c r="AB1163" t="s">
        <v>38</v>
      </c>
      <c r="AC1163" t="s">
        <v>38</v>
      </c>
      <c r="AD1163" t="s">
        <v>48</v>
      </c>
      <c r="AG1163" t="str">
        <f>IF(AD1163="United States", IFERROR(INDEX(Sheet2!$C:$C, MATCH(AE1163&amp;AF1163, Sheet2!$E:$E, 0)) &amp; ", " &amp; INDEX(Sheet2!$D:$D, MATCH(AE1163&amp;AF1163, Sheet2!$E:$E, 0)), ""), "-")</f>
        <v/>
      </c>
    </row>
    <row r="1164" spans="1:33" x14ac:dyDescent="0.25">
      <c r="A1164" t="s">
        <v>2283</v>
      </c>
      <c r="D1164" t="s">
        <v>36</v>
      </c>
      <c r="E1164" t="s">
        <v>2289</v>
      </c>
      <c r="F1164">
        <v>1751</v>
      </c>
      <c r="G1164">
        <v>675</v>
      </c>
      <c r="H1164">
        <v>33</v>
      </c>
      <c r="J1164" t="s">
        <v>2285</v>
      </c>
      <c r="O1164" t="s">
        <v>41</v>
      </c>
      <c r="R1164" t="s">
        <v>89</v>
      </c>
      <c r="T1164" t="s">
        <v>89</v>
      </c>
      <c r="V1164" t="s">
        <v>137</v>
      </c>
      <c r="W1164" t="s">
        <v>92</v>
      </c>
      <c r="Y1164" t="s">
        <v>38</v>
      </c>
      <c r="AA1164" t="s">
        <v>38</v>
      </c>
      <c r="AB1164" t="s">
        <v>38</v>
      </c>
      <c r="AC1164" t="s">
        <v>38</v>
      </c>
      <c r="AD1164" t="s">
        <v>48</v>
      </c>
      <c r="AG1164" t="str">
        <f>IF(AD1164="United States", IFERROR(INDEX(Sheet2!$C:$C, MATCH(AE1164&amp;AF1164, Sheet2!$E:$E, 0)) &amp; ", " &amp; INDEX(Sheet2!$D:$D, MATCH(AE1164&amp;AF1164, Sheet2!$E:$E, 0)), ""), "-")</f>
        <v/>
      </c>
    </row>
    <row r="1165" spans="1:33" x14ac:dyDescent="0.25">
      <c r="A1165" t="s">
        <v>2283</v>
      </c>
      <c r="D1165" t="s">
        <v>940</v>
      </c>
      <c r="E1165" t="s">
        <v>2290</v>
      </c>
      <c r="F1165">
        <v>1757</v>
      </c>
      <c r="G1165">
        <v>676</v>
      </c>
      <c r="H1165">
        <v>33</v>
      </c>
      <c r="J1165" t="s">
        <v>2285</v>
      </c>
      <c r="O1165" t="s">
        <v>57</v>
      </c>
      <c r="R1165" t="s">
        <v>89</v>
      </c>
      <c r="T1165" t="s">
        <v>89</v>
      </c>
      <c r="V1165" t="s">
        <v>137</v>
      </c>
      <c r="W1165" t="s">
        <v>92</v>
      </c>
      <c r="Y1165" t="s">
        <v>38</v>
      </c>
      <c r="AA1165" t="s">
        <v>38</v>
      </c>
      <c r="AB1165" t="s">
        <v>38</v>
      </c>
      <c r="AC1165" t="s">
        <v>38</v>
      </c>
      <c r="AD1165" t="s">
        <v>48</v>
      </c>
      <c r="AG1165" t="str">
        <f>IF(AD1165="United States", IFERROR(INDEX(Sheet2!$C:$C, MATCH(AE1165&amp;AF1165, Sheet2!$E:$E, 0)) &amp; ", " &amp; INDEX(Sheet2!$D:$D, MATCH(AE1165&amp;AF1165, Sheet2!$E:$E, 0)), ""), "-")</f>
        <v/>
      </c>
    </row>
    <row r="1166" spans="1:33" x14ac:dyDescent="0.25">
      <c r="A1166" t="s">
        <v>2283</v>
      </c>
      <c r="D1166" t="s">
        <v>334</v>
      </c>
      <c r="E1166" t="s">
        <v>191</v>
      </c>
      <c r="F1166">
        <v>1748</v>
      </c>
      <c r="G1166">
        <v>698</v>
      </c>
      <c r="H1166">
        <v>33</v>
      </c>
      <c r="J1166" t="s">
        <v>2285</v>
      </c>
      <c r="O1166" t="s">
        <v>41</v>
      </c>
      <c r="R1166" t="s">
        <v>89</v>
      </c>
      <c r="T1166" t="s">
        <v>89</v>
      </c>
      <c r="V1166" t="s">
        <v>137</v>
      </c>
      <c r="W1166" t="s">
        <v>92</v>
      </c>
      <c r="Y1166" t="s">
        <v>38</v>
      </c>
      <c r="AA1166" t="s">
        <v>38</v>
      </c>
      <c r="AB1166" t="s">
        <v>38</v>
      </c>
      <c r="AC1166" t="s">
        <v>38</v>
      </c>
      <c r="AD1166" t="s">
        <v>48</v>
      </c>
      <c r="AG1166" t="str">
        <f>IF(AD1166="United States", IFERROR(INDEX(Sheet2!$C:$C, MATCH(AE1166&amp;AF1166, Sheet2!$E:$E, 0)) &amp; ", " &amp; INDEX(Sheet2!$D:$D, MATCH(AE1166&amp;AF1166, Sheet2!$E:$E, 0)), ""), "-")</f>
        <v/>
      </c>
    </row>
    <row r="1167" spans="1:33" x14ac:dyDescent="0.25">
      <c r="A1167" t="s">
        <v>2283</v>
      </c>
      <c r="D1167" t="s">
        <v>621</v>
      </c>
      <c r="E1167" t="s">
        <v>402</v>
      </c>
      <c r="F1167">
        <v>1768</v>
      </c>
      <c r="G1167">
        <v>690</v>
      </c>
      <c r="H1167">
        <v>33</v>
      </c>
      <c r="J1167" t="s">
        <v>2285</v>
      </c>
      <c r="O1167" t="s">
        <v>54</v>
      </c>
      <c r="R1167" t="s">
        <v>89</v>
      </c>
      <c r="T1167" t="s">
        <v>89</v>
      </c>
      <c r="V1167" t="s">
        <v>137</v>
      </c>
      <c r="W1167" t="s">
        <v>92</v>
      </c>
      <c r="Y1167" t="s">
        <v>38</v>
      </c>
      <c r="AA1167" t="s">
        <v>38</v>
      </c>
      <c r="AB1167" t="s">
        <v>38</v>
      </c>
      <c r="AC1167" t="s">
        <v>38</v>
      </c>
      <c r="AD1167" t="s">
        <v>48</v>
      </c>
      <c r="AG1167" t="str">
        <f>IF(AD1167="United States", IFERROR(INDEX(Sheet2!$C:$C, MATCH(AE1167&amp;AF1167, Sheet2!$E:$E, 0)) &amp; ", " &amp; INDEX(Sheet2!$D:$D, MATCH(AE1167&amp;AF1167, Sheet2!$E:$E, 0)), ""), "-")</f>
        <v/>
      </c>
    </row>
    <row r="1168" spans="1:33" x14ac:dyDescent="0.25">
      <c r="A1168" t="s">
        <v>2283</v>
      </c>
      <c r="D1168" t="s">
        <v>1116</v>
      </c>
      <c r="E1168" t="s">
        <v>1897</v>
      </c>
      <c r="F1168">
        <v>1758</v>
      </c>
      <c r="G1168">
        <v>697</v>
      </c>
      <c r="H1168">
        <v>33</v>
      </c>
      <c r="J1168" t="s">
        <v>2285</v>
      </c>
      <c r="O1168" t="s">
        <v>41</v>
      </c>
      <c r="R1168" t="s">
        <v>89</v>
      </c>
      <c r="T1168" t="s">
        <v>89</v>
      </c>
      <c r="V1168" t="s">
        <v>137</v>
      </c>
      <c r="W1168" t="s">
        <v>92</v>
      </c>
      <c r="Y1168" t="s">
        <v>38</v>
      </c>
      <c r="AA1168" t="s">
        <v>38</v>
      </c>
      <c r="AB1168" t="s">
        <v>38</v>
      </c>
      <c r="AC1168" t="s">
        <v>38</v>
      </c>
      <c r="AD1168" t="s">
        <v>48</v>
      </c>
      <c r="AG1168" t="str">
        <f>IF(AD1168="United States", IFERROR(INDEX(Sheet2!$C:$C, MATCH(AE1168&amp;AF1168, Sheet2!$E:$E, 0)) &amp; ", " &amp; INDEX(Sheet2!$D:$D, MATCH(AE1168&amp;AF1168, Sheet2!$E:$E, 0)), ""), "-")</f>
        <v/>
      </c>
    </row>
    <row r="1169" spans="1:33" x14ac:dyDescent="0.25">
      <c r="A1169" t="s">
        <v>2283</v>
      </c>
      <c r="D1169" t="s">
        <v>1336</v>
      </c>
      <c r="E1169" t="s">
        <v>2291</v>
      </c>
      <c r="F1169">
        <v>1753</v>
      </c>
      <c r="G1169">
        <v>691</v>
      </c>
      <c r="H1169">
        <v>33</v>
      </c>
      <c r="J1169" t="s">
        <v>2285</v>
      </c>
      <c r="O1169" t="s">
        <v>41</v>
      </c>
      <c r="R1169" t="s">
        <v>89</v>
      </c>
      <c r="T1169" t="s">
        <v>89</v>
      </c>
      <c r="V1169" t="s">
        <v>137</v>
      </c>
      <c r="W1169" t="s">
        <v>92</v>
      </c>
      <c r="Y1169" t="s">
        <v>38</v>
      </c>
      <c r="AA1169" t="s">
        <v>38</v>
      </c>
      <c r="AB1169" t="s">
        <v>38</v>
      </c>
      <c r="AC1169" t="s">
        <v>38</v>
      </c>
      <c r="AD1169" t="s">
        <v>48</v>
      </c>
      <c r="AG1169" t="str">
        <f>IF(AD1169="United States", IFERROR(INDEX(Sheet2!$C:$C, MATCH(AE1169&amp;AF1169, Sheet2!$E:$E, 0)) &amp; ", " &amp; INDEX(Sheet2!$D:$D, MATCH(AE1169&amp;AF1169, Sheet2!$E:$E, 0)), ""), "-")</f>
        <v/>
      </c>
    </row>
    <row r="1170" spans="1:33" x14ac:dyDescent="0.25">
      <c r="A1170" t="s">
        <v>2283</v>
      </c>
      <c r="D1170" t="s">
        <v>2292</v>
      </c>
      <c r="E1170" t="s">
        <v>2291</v>
      </c>
      <c r="F1170">
        <v>1759</v>
      </c>
      <c r="G1170">
        <v>692</v>
      </c>
      <c r="H1170">
        <v>33</v>
      </c>
      <c r="J1170" t="s">
        <v>2285</v>
      </c>
      <c r="O1170" t="s">
        <v>57</v>
      </c>
      <c r="R1170" t="s">
        <v>89</v>
      </c>
      <c r="T1170" t="s">
        <v>89</v>
      </c>
      <c r="V1170" t="s">
        <v>137</v>
      </c>
      <c r="W1170" t="s">
        <v>92</v>
      </c>
      <c r="Y1170" t="s">
        <v>38</v>
      </c>
      <c r="AA1170" t="s">
        <v>38</v>
      </c>
      <c r="AB1170" t="s">
        <v>38</v>
      </c>
      <c r="AC1170" t="s">
        <v>38</v>
      </c>
      <c r="AD1170" t="s">
        <v>48</v>
      </c>
      <c r="AG1170" t="str">
        <f>IF(AD1170="United States", IFERROR(INDEX(Sheet2!$C:$C, MATCH(AE1170&amp;AF1170, Sheet2!$E:$E, 0)) &amp; ", " &amp; INDEX(Sheet2!$D:$D, MATCH(AE1170&amp;AF1170, Sheet2!$E:$E, 0)), ""), "-")</f>
        <v/>
      </c>
    </row>
    <row r="1171" spans="1:33" x14ac:dyDescent="0.25">
      <c r="A1171" t="s">
        <v>2283</v>
      </c>
      <c r="D1171" t="s">
        <v>361</v>
      </c>
      <c r="E1171" t="s">
        <v>818</v>
      </c>
      <c r="F1171">
        <v>1755</v>
      </c>
      <c r="G1171">
        <v>693</v>
      </c>
      <c r="H1171">
        <v>33</v>
      </c>
      <c r="J1171" t="s">
        <v>2285</v>
      </c>
      <c r="O1171" t="s">
        <v>41</v>
      </c>
      <c r="R1171" t="s">
        <v>89</v>
      </c>
      <c r="T1171" t="s">
        <v>89</v>
      </c>
      <c r="V1171" t="s">
        <v>137</v>
      </c>
      <c r="W1171" t="s">
        <v>92</v>
      </c>
      <c r="Y1171" t="s">
        <v>38</v>
      </c>
      <c r="AA1171" t="s">
        <v>38</v>
      </c>
      <c r="AB1171" t="s">
        <v>38</v>
      </c>
      <c r="AC1171" t="s">
        <v>38</v>
      </c>
      <c r="AD1171" t="s">
        <v>48</v>
      </c>
      <c r="AG1171" t="str">
        <f>IF(AD1171="United States", IFERROR(INDEX(Sheet2!$C:$C, MATCH(AE1171&amp;AF1171, Sheet2!$E:$E, 0)) &amp; ", " &amp; INDEX(Sheet2!$D:$D, MATCH(AE1171&amp;AF1171, Sheet2!$E:$E, 0)), ""), "-")</f>
        <v/>
      </c>
    </row>
    <row r="1172" spans="1:33" x14ac:dyDescent="0.25">
      <c r="A1172" t="s">
        <v>2283</v>
      </c>
      <c r="D1172" t="s">
        <v>518</v>
      </c>
      <c r="E1172" t="s">
        <v>2293</v>
      </c>
      <c r="F1172">
        <v>1762</v>
      </c>
      <c r="G1172">
        <v>689</v>
      </c>
      <c r="H1172">
        <v>33</v>
      </c>
      <c r="J1172" t="s">
        <v>2285</v>
      </c>
      <c r="O1172" t="s">
        <v>57</v>
      </c>
      <c r="R1172" t="s">
        <v>89</v>
      </c>
      <c r="T1172" t="s">
        <v>89</v>
      </c>
      <c r="V1172" t="s">
        <v>137</v>
      </c>
      <c r="W1172" t="s">
        <v>92</v>
      </c>
      <c r="Y1172" t="s">
        <v>38</v>
      </c>
      <c r="AA1172" t="s">
        <v>38</v>
      </c>
      <c r="AB1172" t="s">
        <v>38</v>
      </c>
      <c r="AC1172" t="s">
        <v>38</v>
      </c>
      <c r="AD1172" t="s">
        <v>48</v>
      </c>
      <c r="AG1172" t="str">
        <f>IF(AD1172="United States", IFERROR(INDEX(Sheet2!$C:$C, MATCH(AE1172&amp;AF1172, Sheet2!$E:$E, 0)) &amp; ", " &amp; INDEX(Sheet2!$D:$D, MATCH(AE1172&amp;AF1172, Sheet2!$E:$E, 0)), ""), "-")</f>
        <v/>
      </c>
    </row>
    <row r="1173" spans="1:33" x14ac:dyDescent="0.25">
      <c r="A1173" t="s">
        <v>2283</v>
      </c>
      <c r="D1173" t="s">
        <v>357</v>
      </c>
      <c r="E1173" t="s">
        <v>1936</v>
      </c>
      <c r="F1173">
        <v>1747</v>
      </c>
      <c r="G1173">
        <v>688</v>
      </c>
      <c r="H1173">
        <v>33</v>
      </c>
      <c r="J1173" t="s">
        <v>2285</v>
      </c>
      <c r="O1173" t="s">
        <v>41</v>
      </c>
      <c r="R1173" t="s">
        <v>89</v>
      </c>
      <c r="T1173" t="s">
        <v>89</v>
      </c>
      <c r="V1173" t="s">
        <v>137</v>
      </c>
      <c r="W1173" t="s">
        <v>92</v>
      </c>
      <c r="Y1173" t="s">
        <v>38</v>
      </c>
      <c r="AA1173" t="s">
        <v>38</v>
      </c>
      <c r="AB1173" t="s">
        <v>38</v>
      </c>
      <c r="AC1173" t="s">
        <v>38</v>
      </c>
      <c r="AD1173" t="s">
        <v>48</v>
      </c>
      <c r="AG1173" t="str">
        <f>IF(AD1173="United States", IFERROR(INDEX(Sheet2!$C:$C, MATCH(AE1173&amp;AF1173, Sheet2!$E:$E, 0)) &amp; ", " &amp; INDEX(Sheet2!$D:$D, MATCH(AE1173&amp;AF1173, Sheet2!$E:$E, 0)), ""), "-")</f>
        <v/>
      </c>
    </row>
    <row r="1174" spans="1:33" x14ac:dyDescent="0.25">
      <c r="A1174" t="s">
        <v>2283</v>
      </c>
      <c r="D1174" t="s">
        <v>114</v>
      </c>
      <c r="E1174" t="s">
        <v>38</v>
      </c>
      <c r="F1174">
        <v>1758</v>
      </c>
      <c r="G1174">
        <v>687</v>
      </c>
      <c r="H1174">
        <v>33</v>
      </c>
      <c r="J1174" t="s">
        <v>2285</v>
      </c>
      <c r="O1174" t="s">
        <v>57</v>
      </c>
      <c r="R1174" t="s">
        <v>89</v>
      </c>
      <c r="T1174" t="s">
        <v>89</v>
      </c>
      <c r="V1174" t="s">
        <v>137</v>
      </c>
      <c r="W1174" t="s">
        <v>92</v>
      </c>
      <c r="Y1174" t="s">
        <v>38</v>
      </c>
      <c r="AA1174" t="s">
        <v>38</v>
      </c>
      <c r="AB1174" t="s">
        <v>38</v>
      </c>
      <c r="AC1174" t="s">
        <v>38</v>
      </c>
      <c r="AD1174" t="s">
        <v>48</v>
      </c>
      <c r="AG1174" t="str">
        <f>IF(AD1174="United States", IFERROR(INDEX(Sheet2!$C:$C, MATCH(AE1174&amp;AF1174, Sheet2!$E:$E, 0)) &amp; ", " &amp; INDEX(Sheet2!$D:$D, MATCH(AE1174&amp;AF1174, Sheet2!$E:$E, 0)), ""), "-")</f>
        <v/>
      </c>
    </row>
    <row r="1175" spans="1:33" x14ac:dyDescent="0.25">
      <c r="A1175" t="s">
        <v>2283</v>
      </c>
      <c r="D1175" t="s">
        <v>210</v>
      </c>
      <c r="E1175" t="s">
        <v>268</v>
      </c>
      <c r="F1175">
        <v>1753</v>
      </c>
      <c r="G1175">
        <v>686</v>
      </c>
      <c r="H1175">
        <v>33</v>
      </c>
      <c r="J1175" t="s">
        <v>2285</v>
      </c>
      <c r="O1175" t="s">
        <v>41</v>
      </c>
      <c r="R1175" t="s">
        <v>89</v>
      </c>
      <c r="T1175" t="s">
        <v>89</v>
      </c>
      <c r="V1175" t="s">
        <v>137</v>
      </c>
      <c r="W1175" t="s">
        <v>92</v>
      </c>
      <c r="Y1175" t="s">
        <v>38</v>
      </c>
      <c r="AA1175" t="s">
        <v>38</v>
      </c>
      <c r="AB1175" t="s">
        <v>38</v>
      </c>
      <c r="AC1175" t="s">
        <v>38</v>
      </c>
      <c r="AD1175" t="s">
        <v>48</v>
      </c>
      <c r="AG1175" t="str">
        <f>IF(AD1175="United States", IFERROR(INDEX(Sheet2!$C:$C, MATCH(AE1175&amp;AF1175, Sheet2!$E:$E, 0)) &amp; ", " &amp; INDEX(Sheet2!$D:$D, MATCH(AE1175&amp;AF1175, Sheet2!$E:$E, 0)), ""), "-")</f>
        <v/>
      </c>
    </row>
    <row r="1176" spans="1:33" x14ac:dyDescent="0.25">
      <c r="A1176" t="s">
        <v>2283</v>
      </c>
      <c r="D1176" t="s">
        <v>639</v>
      </c>
      <c r="E1176" t="s">
        <v>2294</v>
      </c>
      <c r="F1176">
        <v>1765</v>
      </c>
      <c r="G1176">
        <v>685</v>
      </c>
      <c r="H1176">
        <v>33</v>
      </c>
      <c r="J1176" t="s">
        <v>2285</v>
      </c>
      <c r="O1176" t="s">
        <v>41</v>
      </c>
      <c r="R1176" t="s">
        <v>89</v>
      </c>
      <c r="T1176" t="s">
        <v>89</v>
      </c>
      <c r="V1176" t="s">
        <v>137</v>
      </c>
      <c r="W1176" t="s">
        <v>92</v>
      </c>
      <c r="Y1176" t="s">
        <v>38</v>
      </c>
      <c r="AA1176" t="s">
        <v>38</v>
      </c>
      <c r="AB1176" t="s">
        <v>38</v>
      </c>
      <c r="AC1176" t="s">
        <v>38</v>
      </c>
      <c r="AD1176" t="s">
        <v>48</v>
      </c>
      <c r="AG1176" t="str">
        <f>IF(AD1176="United States", IFERROR(INDEX(Sheet2!$C:$C, MATCH(AE1176&amp;AF1176, Sheet2!$E:$E, 0)) &amp; ", " &amp; INDEX(Sheet2!$D:$D, MATCH(AE1176&amp;AF1176, Sheet2!$E:$E, 0)), ""), "-")</f>
        <v/>
      </c>
    </row>
    <row r="1177" spans="1:33" x14ac:dyDescent="0.25">
      <c r="A1177" t="s">
        <v>2283</v>
      </c>
      <c r="D1177" t="s">
        <v>150</v>
      </c>
      <c r="E1177" t="s">
        <v>268</v>
      </c>
      <c r="F1177">
        <v>1756</v>
      </c>
      <c r="G1177">
        <v>684</v>
      </c>
      <c r="H1177">
        <v>33</v>
      </c>
      <c r="J1177" t="s">
        <v>2285</v>
      </c>
      <c r="O1177" t="s">
        <v>41</v>
      </c>
      <c r="R1177" t="s">
        <v>89</v>
      </c>
      <c r="T1177" t="s">
        <v>89</v>
      </c>
      <c r="V1177" t="s">
        <v>137</v>
      </c>
      <c r="W1177" t="s">
        <v>92</v>
      </c>
      <c r="Y1177" t="s">
        <v>38</v>
      </c>
      <c r="AA1177" t="s">
        <v>38</v>
      </c>
      <c r="AB1177" t="s">
        <v>38</v>
      </c>
      <c r="AC1177" t="s">
        <v>38</v>
      </c>
      <c r="AD1177" t="s">
        <v>48</v>
      </c>
      <c r="AG1177" t="str">
        <f>IF(AD1177="United States", IFERROR(INDEX(Sheet2!$C:$C, MATCH(AE1177&amp;AF1177, Sheet2!$E:$E, 0)) &amp; ", " &amp; INDEX(Sheet2!$D:$D, MATCH(AE1177&amp;AF1177, Sheet2!$E:$E, 0)), ""), "-")</f>
        <v/>
      </c>
    </row>
    <row r="1178" spans="1:33" x14ac:dyDescent="0.25">
      <c r="A1178" t="s">
        <v>2283</v>
      </c>
      <c r="D1178" t="s">
        <v>245</v>
      </c>
      <c r="E1178" t="s">
        <v>191</v>
      </c>
      <c r="F1178">
        <v>1772</v>
      </c>
      <c r="G1178">
        <v>683</v>
      </c>
      <c r="H1178">
        <v>33</v>
      </c>
      <c r="J1178" t="s">
        <v>2285</v>
      </c>
      <c r="O1178" t="s">
        <v>74</v>
      </c>
      <c r="R1178" t="s">
        <v>89</v>
      </c>
      <c r="T1178" t="s">
        <v>89</v>
      </c>
      <c r="V1178" t="s">
        <v>137</v>
      </c>
      <c r="W1178" t="s">
        <v>92</v>
      </c>
      <c r="Y1178" t="s">
        <v>38</v>
      </c>
      <c r="AA1178" t="s">
        <v>38</v>
      </c>
      <c r="AB1178" t="s">
        <v>38</v>
      </c>
      <c r="AC1178" t="s">
        <v>38</v>
      </c>
      <c r="AD1178" t="s">
        <v>48</v>
      </c>
      <c r="AG1178" t="str">
        <f>IF(AD1178="United States", IFERROR(INDEX(Sheet2!$C:$C, MATCH(AE1178&amp;AF1178, Sheet2!$E:$E, 0)) &amp; ", " &amp; INDEX(Sheet2!$D:$D, MATCH(AE1178&amp;AF1178, Sheet2!$E:$E, 0)), ""), "-")</f>
        <v/>
      </c>
    </row>
    <row r="1179" spans="1:33" x14ac:dyDescent="0.25">
      <c r="A1179" t="s">
        <v>2283</v>
      </c>
      <c r="D1179" t="s">
        <v>1003</v>
      </c>
      <c r="E1179" t="s">
        <v>2295</v>
      </c>
      <c r="F1179">
        <v>1738</v>
      </c>
      <c r="G1179">
        <v>682</v>
      </c>
      <c r="H1179">
        <v>33</v>
      </c>
      <c r="J1179" t="s">
        <v>2285</v>
      </c>
      <c r="O1179" t="s">
        <v>57</v>
      </c>
      <c r="R1179" t="s">
        <v>89</v>
      </c>
      <c r="T1179" t="s">
        <v>89</v>
      </c>
      <c r="V1179" t="s">
        <v>137</v>
      </c>
      <c r="W1179" t="s">
        <v>92</v>
      </c>
      <c r="Y1179" t="s">
        <v>38</v>
      </c>
      <c r="AA1179" t="s">
        <v>38</v>
      </c>
      <c r="AB1179" t="s">
        <v>38</v>
      </c>
      <c r="AC1179" t="s">
        <v>38</v>
      </c>
      <c r="AD1179" t="s">
        <v>48</v>
      </c>
      <c r="AG1179" t="str">
        <f>IF(AD1179="United States", IFERROR(INDEX(Sheet2!$C:$C, MATCH(AE1179&amp;AF1179, Sheet2!$E:$E, 0)) &amp; ", " &amp; INDEX(Sheet2!$D:$D, MATCH(AE1179&amp;AF1179, Sheet2!$E:$E, 0)), ""), "-")</f>
        <v/>
      </c>
    </row>
    <row r="1180" spans="1:33" x14ac:dyDescent="0.25">
      <c r="A1180" t="s">
        <v>2283</v>
      </c>
      <c r="D1180" t="s">
        <v>132</v>
      </c>
      <c r="E1180" t="s">
        <v>37</v>
      </c>
      <c r="F1180">
        <v>1749</v>
      </c>
      <c r="G1180">
        <v>694</v>
      </c>
      <c r="H1180">
        <v>33</v>
      </c>
      <c r="J1180" t="s">
        <v>2285</v>
      </c>
      <c r="O1180" t="s">
        <v>41</v>
      </c>
      <c r="R1180" t="s">
        <v>89</v>
      </c>
      <c r="T1180" t="s">
        <v>89</v>
      </c>
      <c r="V1180" t="s">
        <v>137</v>
      </c>
      <c r="W1180" t="s">
        <v>92</v>
      </c>
      <c r="Y1180" t="s">
        <v>38</v>
      </c>
      <c r="AA1180" t="s">
        <v>38</v>
      </c>
      <c r="AB1180" t="s">
        <v>38</v>
      </c>
      <c r="AC1180" t="s">
        <v>38</v>
      </c>
      <c r="AD1180" t="s">
        <v>48</v>
      </c>
      <c r="AG1180" t="str">
        <f>IF(AD1180="United States", IFERROR(INDEX(Sheet2!$C:$C, MATCH(AE1180&amp;AF1180, Sheet2!$E:$E, 0)) &amp; ", " &amp; INDEX(Sheet2!$D:$D, MATCH(AE1180&amp;AF1180, Sheet2!$E:$E, 0)), ""), "-")</f>
        <v/>
      </c>
    </row>
    <row r="1181" spans="1:33" x14ac:dyDescent="0.25">
      <c r="A1181" t="s">
        <v>2283</v>
      </c>
      <c r="D1181" t="s">
        <v>621</v>
      </c>
      <c r="E1181" t="s">
        <v>2296</v>
      </c>
      <c r="F1181">
        <v>1760</v>
      </c>
      <c r="G1181">
        <v>695</v>
      </c>
      <c r="H1181">
        <v>33</v>
      </c>
      <c r="J1181" t="s">
        <v>2285</v>
      </c>
      <c r="O1181" t="s">
        <v>41</v>
      </c>
      <c r="R1181" t="s">
        <v>89</v>
      </c>
      <c r="T1181" t="s">
        <v>89</v>
      </c>
      <c r="V1181" t="s">
        <v>137</v>
      </c>
      <c r="W1181" t="s">
        <v>92</v>
      </c>
      <c r="Y1181" t="s">
        <v>38</v>
      </c>
      <c r="AA1181" t="s">
        <v>38</v>
      </c>
      <c r="AB1181" t="s">
        <v>38</v>
      </c>
      <c r="AC1181" t="s">
        <v>38</v>
      </c>
      <c r="AD1181" t="s">
        <v>48</v>
      </c>
      <c r="AG1181" t="str">
        <f>IF(AD1181="United States", IFERROR(INDEX(Sheet2!$C:$C, MATCH(AE1181&amp;AF1181, Sheet2!$E:$E, 0)) &amp; ", " &amp; INDEX(Sheet2!$D:$D, MATCH(AE1181&amp;AF1181, Sheet2!$E:$E, 0)), ""), "-")</f>
        <v/>
      </c>
    </row>
    <row r="1182" spans="1:33" x14ac:dyDescent="0.25">
      <c r="A1182" t="s">
        <v>2283</v>
      </c>
      <c r="D1182" t="s">
        <v>104</v>
      </c>
      <c r="E1182" t="s">
        <v>2297</v>
      </c>
      <c r="F1182">
        <v>1756</v>
      </c>
      <c r="G1182">
        <v>696</v>
      </c>
      <c r="H1182">
        <v>33</v>
      </c>
      <c r="J1182" t="s">
        <v>2285</v>
      </c>
      <c r="O1182" t="s">
        <v>41</v>
      </c>
      <c r="R1182" t="s">
        <v>89</v>
      </c>
      <c r="T1182" t="s">
        <v>89</v>
      </c>
      <c r="V1182" t="s">
        <v>137</v>
      </c>
      <c r="W1182" t="s">
        <v>92</v>
      </c>
      <c r="Y1182" t="s">
        <v>38</v>
      </c>
      <c r="AA1182" t="s">
        <v>38</v>
      </c>
      <c r="AB1182" t="s">
        <v>38</v>
      </c>
      <c r="AC1182" t="s">
        <v>38</v>
      </c>
      <c r="AD1182" t="s">
        <v>48</v>
      </c>
      <c r="AG1182" t="str">
        <f>IF(AD1182="United States", IFERROR(INDEX(Sheet2!$C:$C, MATCH(AE1182&amp;AF1182, Sheet2!$E:$E, 0)) &amp; ", " &amp; INDEX(Sheet2!$D:$D, MATCH(AE1182&amp;AF1182, Sheet2!$E:$E, 0)), ""), "-")</f>
        <v/>
      </c>
    </row>
    <row r="1183" spans="1:33" x14ac:dyDescent="0.25">
      <c r="A1183" t="s">
        <v>2283</v>
      </c>
      <c r="D1183" t="s">
        <v>132</v>
      </c>
      <c r="E1183" t="s">
        <v>2295</v>
      </c>
      <c r="F1183">
        <v>1724</v>
      </c>
      <c r="G1183">
        <v>681</v>
      </c>
      <c r="H1183">
        <v>33</v>
      </c>
      <c r="J1183" t="s">
        <v>2285</v>
      </c>
      <c r="O1183" t="s">
        <v>41</v>
      </c>
      <c r="R1183" t="s">
        <v>89</v>
      </c>
      <c r="T1183" t="s">
        <v>89</v>
      </c>
      <c r="V1183" t="s">
        <v>137</v>
      </c>
      <c r="W1183" t="s">
        <v>92</v>
      </c>
      <c r="Y1183" t="s">
        <v>38</v>
      </c>
      <c r="AA1183" t="s">
        <v>38</v>
      </c>
      <c r="AB1183" t="s">
        <v>38</v>
      </c>
      <c r="AC1183" t="s">
        <v>38</v>
      </c>
      <c r="AD1183" t="s">
        <v>48</v>
      </c>
      <c r="AG1183" t="str">
        <f>IF(AD1183="United States", IFERROR(INDEX(Sheet2!$C:$C, MATCH(AE1183&amp;AF1183, Sheet2!$E:$E, 0)) &amp; ", " &amp; INDEX(Sheet2!$D:$D, MATCH(AE1183&amp;AF1183, Sheet2!$E:$E, 0)), ""), "-")</f>
        <v/>
      </c>
    </row>
    <row r="1184" spans="1:33" x14ac:dyDescent="0.25">
      <c r="A1184" t="s">
        <v>2283</v>
      </c>
      <c r="D1184" t="s">
        <v>621</v>
      </c>
      <c r="E1184" t="s">
        <v>2298</v>
      </c>
      <c r="F1184">
        <v>1761</v>
      </c>
      <c r="G1184">
        <v>680</v>
      </c>
      <c r="H1184">
        <v>33</v>
      </c>
      <c r="J1184" t="s">
        <v>2285</v>
      </c>
      <c r="O1184" t="s">
        <v>41</v>
      </c>
      <c r="R1184" t="s">
        <v>89</v>
      </c>
      <c r="T1184" t="s">
        <v>89</v>
      </c>
      <c r="V1184" t="s">
        <v>137</v>
      </c>
      <c r="W1184" t="s">
        <v>92</v>
      </c>
      <c r="Y1184" t="s">
        <v>38</v>
      </c>
      <c r="AA1184" t="s">
        <v>38</v>
      </c>
      <c r="AB1184" t="s">
        <v>38</v>
      </c>
      <c r="AC1184" t="s">
        <v>38</v>
      </c>
      <c r="AD1184" t="s">
        <v>48</v>
      </c>
      <c r="AG1184" t="str">
        <f>IF(AD1184="United States", IFERROR(INDEX(Sheet2!$C:$C, MATCH(AE1184&amp;AF1184, Sheet2!$E:$E, 0)) &amp; ", " &amp; INDEX(Sheet2!$D:$D, MATCH(AE1184&amp;AF1184, Sheet2!$E:$E, 0)), ""), "-")</f>
        <v/>
      </c>
    </row>
    <row r="1185" spans="1:33" x14ac:dyDescent="0.25">
      <c r="A1185" t="s">
        <v>2283</v>
      </c>
      <c r="D1185" t="s">
        <v>2299</v>
      </c>
      <c r="E1185" t="s">
        <v>2290</v>
      </c>
      <c r="F1185">
        <v>1782</v>
      </c>
      <c r="G1185">
        <v>679</v>
      </c>
      <c r="H1185">
        <v>33</v>
      </c>
      <c r="J1185" t="s">
        <v>2285</v>
      </c>
      <c r="O1185" t="s">
        <v>54</v>
      </c>
      <c r="R1185" t="s">
        <v>89</v>
      </c>
      <c r="T1185" t="s">
        <v>89</v>
      </c>
      <c r="V1185" t="s">
        <v>137</v>
      </c>
      <c r="W1185" t="s">
        <v>92</v>
      </c>
      <c r="Y1185" t="s">
        <v>38</v>
      </c>
      <c r="AA1185" t="s">
        <v>38</v>
      </c>
      <c r="AB1185" t="s">
        <v>38</v>
      </c>
      <c r="AC1185" t="s">
        <v>38</v>
      </c>
      <c r="AD1185" t="s">
        <v>48</v>
      </c>
      <c r="AG1185" t="str">
        <f>IF(AD1185="United States", IFERROR(INDEX(Sheet2!$C:$C, MATCH(AE1185&amp;AF1185, Sheet2!$E:$E, 0)) &amp; ", " &amp; INDEX(Sheet2!$D:$D, MATCH(AE1185&amp;AF1185, Sheet2!$E:$E, 0)), ""), "-")</f>
        <v/>
      </c>
    </row>
    <row r="1186" spans="1:33" x14ac:dyDescent="0.25">
      <c r="A1186" t="s">
        <v>2283</v>
      </c>
      <c r="D1186" t="s">
        <v>2300</v>
      </c>
      <c r="E1186" t="s">
        <v>2290</v>
      </c>
      <c r="F1186">
        <v>1777</v>
      </c>
      <c r="G1186">
        <v>678</v>
      </c>
      <c r="H1186">
        <v>33</v>
      </c>
      <c r="J1186" t="s">
        <v>2285</v>
      </c>
      <c r="O1186" t="s">
        <v>74</v>
      </c>
      <c r="R1186" t="s">
        <v>89</v>
      </c>
      <c r="T1186" t="s">
        <v>89</v>
      </c>
      <c r="V1186" t="s">
        <v>137</v>
      </c>
      <c r="W1186" t="s">
        <v>92</v>
      </c>
      <c r="Y1186" t="s">
        <v>38</v>
      </c>
      <c r="AA1186" t="s">
        <v>38</v>
      </c>
      <c r="AB1186" t="s">
        <v>38</v>
      </c>
      <c r="AC1186" t="s">
        <v>38</v>
      </c>
      <c r="AD1186" t="s">
        <v>48</v>
      </c>
      <c r="AG1186" t="str">
        <f>IF(AD1186="United States", IFERROR(INDEX(Sheet2!$C:$C, MATCH(AE1186&amp;AF1186, Sheet2!$E:$E, 0)) &amp; ", " &amp; INDEX(Sheet2!$D:$D, MATCH(AE1186&amp;AF1186, Sheet2!$E:$E, 0)), ""), "-")</f>
        <v/>
      </c>
    </row>
    <row r="1187" spans="1:33" x14ac:dyDescent="0.25">
      <c r="A1187" t="s">
        <v>2283</v>
      </c>
      <c r="D1187" t="s">
        <v>945</v>
      </c>
      <c r="E1187" t="s">
        <v>2290</v>
      </c>
      <c r="F1187">
        <v>1770</v>
      </c>
      <c r="G1187">
        <v>677</v>
      </c>
      <c r="H1187">
        <v>33</v>
      </c>
      <c r="J1187" t="s">
        <v>2285</v>
      </c>
      <c r="O1187" t="s">
        <v>54</v>
      </c>
      <c r="R1187" t="s">
        <v>89</v>
      </c>
      <c r="T1187" t="s">
        <v>89</v>
      </c>
      <c r="V1187" t="s">
        <v>137</v>
      </c>
      <c r="W1187" t="s">
        <v>92</v>
      </c>
      <c r="Y1187" t="s">
        <v>38</v>
      </c>
      <c r="AA1187" t="s">
        <v>38</v>
      </c>
      <c r="AB1187" t="s">
        <v>38</v>
      </c>
      <c r="AC1187" t="s">
        <v>38</v>
      </c>
      <c r="AD1187" t="s">
        <v>48</v>
      </c>
      <c r="AG1187" t="str">
        <f>IF(AD1187="United States", IFERROR(INDEX(Sheet2!$C:$C, MATCH(AE1187&amp;AF1187, Sheet2!$E:$E, 0)) &amp; ", " &amp; INDEX(Sheet2!$D:$D, MATCH(AE1187&amp;AF1187, Sheet2!$E:$E, 0)), ""), "-")</f>
        <v/>
      </c>
    </row>
    <row r="1188" spans="1:33" x14ac:dyDescent="0.25">
      <c r="A1188" t="s">
        <v>2283</v>
      </c>
      <c r="D1188" t="s">
        <v>1174</v>
      </c>
      <c r="E1188" t="s">
        <v>226</v>
      </c>
      <c r="F1188">
        <v>1763</v>
      </c>
      <c r="G1188">
        <v>674</v>
      </c>
      <c r="H1188">
        <v>33</v>
      </c>
      <c r="J1188" t="s">
        <v>2285</v>
      </c>
      <c r="O1188" t="s">
        <v>41</v>
      </c>
      <c r="R1188" t="s">
        <v>89</v>
      </c>
      <c r="T1188" t="s">
        <v>89</v>
      </c>
      <c r="V1188" t="s">
        <v>137</v>
      </c>
      <c r="W1188" t="s">
        <v>92</v>
      </c>
      <c r="Y1188" t="s">
        <v>38</v>
      </c>
      <c r="AA1188" t="s">
        <v>38</v>
      </c>
      <c r="AB1188" t="s">
        <v>38</v>
      </c>
      <c r="AC1188" t="s">
        <v>38</v>
      </c>
      <c r="AD1188" t="s">
        <v>48</v>
      </c>
      <c r="AG1188" t="str">
        <f>IF(AD1188="United States", IFERROR(INDEX(Sheet2!$C:$C, MATCH(AE1188&amp;AF1188, Sheet2!$E:$E, 0)) &amp; ", " &amp; INDEX(Sheet2!$D:$D, MATCH(AE1188&amp;AF1188, Sheet2!$E:$E, 0)), ""), "-")</f>
        <v/>
      </c>
    </row>
    <row r="1189" spans="1:33" x14ac:dyDescent="0.25">
      <c r="A1189" t="s">
        <v>2283</v>
      </c>
      <c r="D1189" t="s">
        <v>458</v>
      </c>
      <c r="E1189" t="s">
        <v>2301</v>
      </c>
      <c r="F1189">
        <v>1739</v>
      </c>
      <c r="G1189">
        <v>700</v>
      </c>
      <c r="H1189">
        <v>33</v>
      </c>
      <c r="J1189" t="s">
        <v>2285</v>
      </c>
      <c r="O1189" t="s">
        <v>41</v>
      </c>
      <c r="R1189" t="s">
        <v>89</v>
      </c>
      <c r="T1189" t="s">
        <v>89</v>
      </c>
      <c r="V1189" t="s">
        <v>137</v>
      </c>
      <c r="W1189" t="s">
        <v>92</v>
      </c>
      <c r="Y1189" t="s">
        <v>38</v>
      </c>
      <c r="AA1189" t="s">
        <v>38</v>
      </c>
      <c r="AB1189" t="s">
        <v>38</v>
      </c>
      <c r="AC1189" t="s">
        <v>38</v>
      </c>
      <c r="AD1189" t="s">
        <v>48</v>
      </c>
      <c r="AG1189" t="str">
        <f>IF(AD1189="United States", IFERROR(INDEX(Sheet2!$C:$C, MATCH(AE1189&amp;AF1189, Sheet2!$E:$E, 0)) &amp; ", " &amp; INDEX(Sheet2!$D:$D, MATCH(AE1189&amp;AF1189, Sheet2!$E:$E, 0)), ""), "-")</f>
        <v/>
      </c>
    </row>
    <row r="1190" spans="1:33" x14ac:dyDescent="0.25">
      <c r="A1190" t="s">
        <v>2283</v>
      </c>
      <c r="D1190" t="s">
        <v>36</v>
      </c>
      <c r="E1190" t="s">
        <v>191</v>
      </c>
      <c r="F1190">
        <v>1761</v>
      </c>
      <c r="G1190">
        <v>699</v>
      </c>
      <c r="H1190">
        <v>33</v>
      </c>
      <c r="J1190" t="s">
        <v>2285</v>
      </c>
      <c r="O1190" t="s">
        <v>41</v>
      </c>
      <c r="R1190" t="s">
        <v>89</v>
      </c>
      <c r="T1190" t="s">
        <v>89</v>
      </c>
      <c r="V1190" t="s">
        <v>137</v>
      </c>
      <c r="W1190" t="s">
        <v>92</v>
      </c>
      <c r="Y1190" t="s">
        <v>38</v>
      </c>
      <c r="AA1190" t="s">
        <v>38</v>
      </c>
      <c r="AB1190" t="s">
        <v>38</v>
      </c>
      <c r="AC1190" t="s">
        <v>38</v>
      </c>
      <c r="AD1190" t="s">
        <v>48</v>
      </c>
      <c r="AG1190" t="str">
        <f>IF(AD1190="United States", IFERROR(INDEX(Sheet2!$C:$C, MATCH(AE1190&amp;AF1190, Sheet2!$E:$E, 0)) &amp; ", " &amp; INDEX(Sheet2!$D:$D, MATCH(AE1190&amp;AF1190, Sheet2!$E:$E, 0)), ""), "-")</f>
        <v/>
      </c>
    </row>
    <row r="1191" spans="1:33" x14ac:dyDescent="0.25">
      <c r="A1191" t="s">
        <v>2302</v>
      </c>
      <c r="B1191" t="s">
        <v>2303</v>
      </c>
      <c r="C1191" t="s">
        <v>2304</v>
      </c>
      <c r="D1191" t="s">
        <v>210</v>
      </c>
      <c r="E1191" t="s">
        <v>268</v>
      </c>
      <c r="F1191">
        <v>1736</v>
      </c>
      <c r="G1191">
        <v>565</v>
      </c>
      <c r="H1191" t="s">
        <v>1810</v>
      </c>
      <c r="I1191" t="s">
        <v>39</v>
      </c>
      <c r="J1191" t="s">
        <v>2305</v>
      </c>
      <c r="K1191" t="s">
        <v>38</v>
      </c>
      <c r="L1191" t="s">
        <v>38</v>
      </c>
      <c r="M1191" t="s">
        <v>38</v>
      </c>
      <c r="N1191" t="s">
        <v>38</v>
      </c>
      <c r="O1191" t="s">
        <v>41</v>
      </c>
      <c r="P1191" t="s">
        <v>42</v>
      </c>
      <c r="Q1191" t="s">
        <v>43</v>
      </c>
      <c r="R1191" t="s">
        <v>89</v>
      </c>
      <c r="S1191" t="s">
        <v>153</v>
      </c>
      <c r="T1191" t="s">
        <v>89</v>
      </c>
      <c r="U1191" t="s">
        <v>38</v>
      </c>
      <c r="V1191" t="s">
        <v>597</v>
      </c>
      <c r="W1191" t="s">
        <v>92</v>
      </c>
      <c r="X1191" t="s">
        <v>38</v>
      </c>
      <c r="Y1191" t="s">
        <v>2306</v>
      </c>
      <c r="Z1191" t="s">
        <v>42</v>
      </c>
      <c r="AA1191" t="s">
        <v>155</v>
      </c>
      <c r="AB1191" t="s">
        <v>38</v>
      </c>
      <c r="AC1191" t="s">
        <v>153</v>
      </c>
      <c r="AD1191" t="s">
        <v>48</v>
      </c>
      <c r="AG1191" t="str">
        <f>IF(AD1191="United States", IFERROR(INDEX(Sheet2!$C:$C, MATCH(AE1191&amp;AF1191, Sheet2!$E:$E, 0)) &amp; ", " &amp; INDEX(Sheet2!$D:$D, MATCH(AE1191&amp;AF1191, Sheet2!$E:$E, 0)), ""), "-")</f>
        <v/>
      </c>
    </row>
    <row r="1192" spans="1:33" x14ac:dyDescent="0.25">
      <c r="A1192" t="s">
        <v>2302</v>
      </c>
      <c r="B1192" t="s">
        <v>2307</v>
      </c>
      <c r="C1192" t="s">
        <v>2304</v>
      </c>
      <c r="D1192" t="s">
        <v>226</v>
      </c>
      <c r="E1192" t="s">
        <v>120</v>
      </c>
      <c r="F1192">
        <v>1747</v>
      </c>
      <c r="G1192">
        <v>567</v>
      </c>
      <c r="H1192" t="s">
        <v>1810</v>
      </c>
      <c r="I1192" t="s">
        <v>39</v>
      </c>
      <c r="J1192" t="s">
        <v>2305</v>
      </c>
      <c r="K1192" t="s">
        <v>38</v>
      </c>
      <c r="L1192" t="s">
        <v>38</v>
      </c>
      <c r="M1192" t="s">
        <v>38</v>
      </c>
      <c r="N1192" t="s">
        <v>38</v>
      </c>
      <c r="O1192" t="s">
        <v>41</v>
      </c>
      <c r="P1192" t="s">
        <v>42</v>
      </c>
      <c r="Q1192" t="s">
        <v>43</v>
      </c>
      <c r="R1192" t="s">
        <v>89</v>
      </c>
      <c r="S1192" t="s">
        <v>153</v>
      </c>
      <c r="T1192" t="s">
        <v>89</v>
      </c>
      <c r="U1192" t="s">
        <v>38</v>
      </c>
      <c r="V1192" t="s">
        <v>597</v>
      </c>
      <c r="W1192" t="s">
        <v>92</v>
      </c>
      <c r="X1192" t="s">
        <v>38</v>
      </c>
      <c r="Y1192" t="s">
        <v>2306</v>
      </c>
      <c r="Z1192" t="s">
        <v>42</v>
      </c>
      <c r="AA1192" t="s">
        <v>155</v>
      </c>
      <c r="AB1192" t="s">
        <v>38</v>
      </c>
      <c r="AC1192" t="s">
        <v>153</v>
      </c>
      <c r="AD1192" t="s">
        <v>48</v>
      </c>
      <c r="AG1192" t="str">
        <f>IF(AD1192="United States", IFERROR(INDEX(Sheet2!$C:$C, MATCH(AE1192&amp;AF1192, Sheet2!$E:$E, 0)) &amp; ", " &amp; INDEX(Sheet2!$D:$D, MATCH(AE1192&amp;AF1192, Sheet2!$E:$E, 0)), ""), "-")</f>
        <v/>
      </c>
    </row>
    <row r="1193" spans="1:33" x14ac:dyDescent="0.25">
      <c r="A1193" t="s">
        <v>2302</v>
      </c>
      <c r="B1193" t="s">
        <v>2308</v>
      </c>
      <c r="C1193" t="s">
        <v>2304</v>
      </c>
      <c r="D1193" t="s">
        <v>2130</v>
      </c>
      <c r="E1193" t="s">
        <v>38</v>
      </c>
      <c r="F1193">
        <v>1754</v>
      </c>
      <c r="G1193">
        <v>566</v>
      </c>
      <c r="H1193" t="s">
        <v>1810</v>
      </c>
      <c r="I1193" t="s">
        <v>39</v>
      </c>
      <c r="J1193" t="s">
        <v>2305</v>
      </c>
      <c r="K1193" t="s">
        <v>38</v>
      </c>
      <c r="L1193" t="s">
        <v>38</v>
      </c>
      <c r="M1193" t="s">
        <v>2309</v>
      </c>
      <c r="N1193" t="s">
        <v>38</v>
      </c>
      <c r="O1193" t="s">
        <v>57</v>
      </c>
      <c r="P1193" t="s">
        <v>42</v>
      </c>
      <c r="Q1193" t="s">
        <v>43</v>
      </c>
      <c r="R1193" t="s">
        <v>89</v>
      </c>
      <c r="S1193" t="s">
        <v>153</v>
      </c>
      <c r="T1193" t="s">
        <v>89</v>
      </c>
      <c r="U1193" t="s">
        <v>38</v>
      </c>
      <c r="V1193" t="s">
        <v>597</v>
      </c>
      <c r="W1193" t="s">
        <v>92</v>
      </c>
      <c r="X1193" t="s">
        <v>38</v>
      </c>
      <c r="Y1193" t="s">
        <v>2306</v>
      </c>
      <c r="Z1193" t="s">
        <v>42</v>
      </c>
      <c r="AA1193" t="s">
        <v>38</v>
      </c>
      <c r="AB1193" t="s">
        <v>38</v>
      </c>
      <c r="AC1193" t="s">
        <v>153</v>
      </c>
      <c r="AD1193" t="s">
        <v>48</v>
      </c>
      <c r="AG1193" t="str">
        <f>IF(AD1193="United States", IFERROR(INDEX(Sheet2!$C:$C, MATCH(AE1193&amp;AF1193, Sheet2!$E:$E, 0)) &amp; ", " &amp; INDEX(Sheet2!$D:$D, MATCH(AE1193&amp;AF1193, Sheet2!$E:$E, 0)), ""), "-")</f>
        <v/>
      </c>
    </row>
    <row r="1194" spans="1:33" x14ac:dyDescent="0.25">
      <c r="A1194" t="s">
        <v>2302</v>
      </c>
      <c r="B1194" t="s">
        <v>2310</v>
      </c>
      <c r="C1194" t="s">
        <v>2304</v>
      </c>
      <c r="D1194" t="s">
        <v>2311</v>
      </c>
      <c r="E1194" t="s">
        <v>38</v>
      </c>
      <c r="F1194">
        <v>1733</v>
      </c>
      <c r="G1194">
        <v>569</v>
      </c>
      <c r="H1194" t="s">
        <v>1810</v>
      </c>
      <c r="I1194" t="s">
        <v>39</v>
      </c>
      <c r="J1194" t="s">
        <v>2305</v>
      </c>
      <c r="K1194" t="s">
        <v>38</v>
      </c>
      <c r="L1194" t="s">
        <v>38</v>
      </c>
      <c r="M1194" t="s">
        <v>38</v>
      </c>
      <c r="N1194" t="s">
        <v>38</v>
      </c>
      <c r="O1194" t="s">
        <v>57</v>
      </c>
      <c r="P1194" t="s">
        <v>42</v>
      </c>
      <c r="Q1194" t="s">
        <v>43</v>
      </c>
      <c r="R1194" t="s">
        <v>89</v>
      </c>
      <c r="S1194" t="s">
        <v>153</v>
      </c>
      <c r="T1194" t="s">
        <v>89</v>
      </c>
      <c r="U1194" t="s">
        <v>38</v>
      </c>
      <c r="V1194" t="s">
        <v>597</v>
      </c>
      <c r="W1194" t="s">
        <v>92</v>
      </c>
      <c r="X1194" t="s">
        <v>38</v>
      </c>
      <c r="Y1194" t="s">
        <v>2312</v>
      </c>
      <c r="Z1194" t="s">
        <v>42</v>
      </c>
      <c r="AA1194" t="s">
        <v>597</v>
      </c>
      <c r="AB1194" t="s">
        <v>155</v>
      </c>
      <c r="AC1194" t="s">
        <v>153</v>
      </c>
      <c r="AD1194" t="s">
        <v>48</v>
      </c>
      <c r="AG1194" t="str">
        <f>IF(AD1194="United States", IFERROR(INDEX(Sheet2!$C:$C, MATCH(AE1194&amp;AF1194, Sheet2!$E:$E, 0)) &amp; ", " &amp; INDEX(Sheet2!$D:$D, MATCH(AE1194&amp;AF1194, Sheet2!$E:$E, 0)), ""), "-")</f>
        <v/>
      </c>
    </row>
    <row r="1195" spans="1:33" x14ac:dyDescent="0.25">
      <c r="A1195" t="s">
        <v>2302</v>
      </c>
      <c r="B1195" t="s">
        <v>2313</v>
      </c>
      <c r="C1195" t="s">
        <v>2304</v>
      </c>
      <c r="D1195" t="s">
        <v>1886</v>
      </c>
      <c r="E1195" t="s">
        <v>38</v>
      </c>
      <c r="F1195">
        <v>1771</v>
      </c>
      <c r="G1195">
        <v>570</v>
      </c>
      <c r="H1195" t="s">
        <v>1810</v>
      </c>
      <c r="I1195" t="s">
        <v>39</v>
      </c>
      <c r="J1195" t="s">
        <v>2305</v>
      </c>
      <c r="K1195" t="s">
        <v>38</v>
      </c>
      <c r="L1195" t="s">
        <v>38</v>
      </c>
      <c r="M1195" t="s">
        <v>38</v>
      </c>
      <c r="N1195" t="s">
        <v>38</v>
      </c>
      <c r="O1195" t="s">
        <v>54</v>
      </c>
      <c r="P1195" t="s">
        <v>42</v>
      </c>
      <c r="Q1195" t="s">
        <v>43</v>
      </c>
      <c r="R1195" t="s">
        <v>89</v>
      </c>
      <c r="S1195" t="s">
        <v>153</v>
      </c>
      <c r="T1195" t="s">
        <v>89</v>
      </c>
      <c r="U1195" t="s">
        <v>38</v>
      </c>
      <c r="V1195" t="s">
        <v>597</v>
      </c>
      <c r="W1195" t="s">
        <v>92</v>
      </c>
      <c r="X1195" t="s">
        <v>38</v>
      </c>
      <c r="Y1195" t="s">
        <v>2312</v>
      </c>
      <c r="Z1195" t="s">
        <v>42</v>
      </c>
      <c r="AA1195" t="s">
        <v>597</v>
      </c>
      <c r="AB1195" t="s">
        <v>155</v>
      </c>
      <c r="AC1195" t="s">
        <v>153</v>
      </c>
      <c r="AD1195" t="s">
        <v>48</v>
      </c>
      <c r="AG1195" t="str">
        <f>IF(AD1195="United States", IFERROR(INDEX(Sheet2!$C:$C, MATCH(AE1195&amp;AF1195, Sheet2!$E:$E, 0)) &amp; ", " &amp; INDEX(Sheet2!$D:$D, MATCH(AE1195&amp;AF1195, Sheet2!$E:$E, 0)), ""), "-")</f>
        <v/>
      </c>
    </row>
    <row r="1196" spans="1:33" x14ac:dyDescent="0.25">
      <c r="A1196" t="s">
        <v>2302</v>
      </c>
      <c r="B1196" t="s">
        <v>2314</v>
      </c>
      <c r="C1196" t="s">
        <v>2304</v>
      </c>
      <c r="D1196" t="s">
        <v>1122</v>
      </c>
      <c r="E1196" t="s">
        <v>38</v>
      </c>
      <c r="F1196">
        <v>1762</v>
      </c>
      <c r="G1196">
        <v>571</v>
      </c>
      <c r="H1196" t="s">
        <v>1810</v>
      </c>
      <c r="I1196" t="s">
        <v>39</v>
      </c>
      <c r="J1196" t="s">
        <v>2305</v>
      </c>
      <c r="K1196" t="s">
        <v>38</v>
      </c>
      <c r="L1196" t="s">
        <v>38</v>
      </c>
      <c r="M1196" t="s">
        <v>38</v>
      </c>
      <c r="N1196" t="s">
        <v>38</v>
      </c>
      <c r="O1196" t="s">
        <v>41</v>
      </c>
      <c r="P1196" t="s">
        <v>42</v>
      </c>
      <c r="Q1196" t="s">
        <v>43</v>
      </c>
      <c r="R1196" t="s">
        <v>89</v>
      </c>
      <c r="S1196" t="s">
        <v>153</v>
      </c>
      <c r="T1196" t="s">
        <v>89</v>
      </c>
      <c r="U1196" t="s">
        <v>38</v>
      </c>
      <c r="V1196" t="s">
        <v>597</v>
      </c>
      <c r="W1196" t="s">
        <v>92</v>
      </c>
      <c r="X1196" t="s">
        <v>38</v>
      </c>
      <c r="Y1196" t="s">
        <v>2315</v>
      </c>
      <c r="Z1196" t="s">
        <v>42</v>
      </c>
      <c r="AA1196" t="s">
        <v>2316</v>
      </c>
      <c r="AB1196" t="s">
        <v>2317</v>
      </c>
      <c r="AC1196" t="s">
        <v>155</v>
      </c>
      <c r="AD1196" t="s">
        <v>48</v>
      </c>
      <c r="AG1196" t="str">
        <f>IF(AD1196="United States", IFERROR(INDEX(Sheet2!$C:$C, MATCH(AE1196&amp;AF1196, Sheet2!$E:$E, 0)) &amp; ", " &amp; INDEX(Sheet2!$D:$D, MATCH(AE1196&amp;AF1196, Sheet2!$E:$E, 0)), ""), "-")</f>
        <v/>
      </c>
    </row>
    <row r="1197" spans="1:33" x14ac:dyDescent="0.25">
      <c r="A1197" t="s">
        <v>2302</v>
      </c>
      <c r="B1197" t="s">
        <v>2318</v>
      </c>
      <c r="C1197" t="s">
        <v>2304</v>
      </c>
      <c r="D1197" t="s">
        <v>513</v>
      </c>
      <c r="E1197" t="s">
        <v>2319</v>
      </c>
      <c r="F1197">
        <v>1774</v>
      </c>
      <c r="G1197">
        <v>572</v>
      </c>
      <c r="H1197" t="s">
        <v>1810</v>
      </c>
      <c r="I1197" t="s">
        <v>39</v>
      </c>
      <c r="J1197" t="s">
        <v>2305</v>
      </c>
      <c r="K1197" t="s">
        <v>38</v>
      </c>
      <c r="L1197" t="s">
        <v>38</v>
      </c>
      <c r="M1197" t="s">
        <v>38</v>
      </c>
      <c r="N1197" t="s">
        <v>38</v>
      </c>
      <c r="O1197" t="s">
        <v>54</v>
      </c>
      <c r="P1197" t="s">
        <v>42</v>
      </c>
      <c r="Q1197" t="s">
        <v>43</v>
      </c>
      <c r="R1197" t="s">
        <v>89</v>
      </c>
      <c r="S1197" t="s">
        <v>89</v>
      </c>
      <c r="T1197" t="s">
        <v>89</v>
      </c>
      <c r="U1197" t="s">
        <v>38</v>
      </c>
      <c r="V1197" t="s">
        <v>597</v>
      </c>
      <c r="W1197" t="s">
        <v>92</v>
      </c>
      <c r="X1197" t="s">
        <v>38</v>
      </c>
      <c r="Y1197" t="s">
        <v>2320</v>
      </c>
      <c r="Z1197" t="s">
        <v>42</v>
      </c>
      <c r="AA1197" t="s">
        <v>89</v>
      </c>
      <c r="AB1197" t="s">
        <v>38</v>
      </c>
      <c r="AC1197" t="s">
        <v>89</v>
      </c>
      <c r="AD1197" t="s">
        <v>48</v>
      </c>
      <c r="AG1197" t="str">
        <f>IF(AD1197="United States", IFERROR(INDEX(Sheet2!$C:$C, MATCH(AE1197&amp;AF1197, Sheet2!$E:$E, 0)) &amp; ", " &amp; INDEX(Sheet2!$D:$D, MATCH(AE1197&amp;AF1197, Sheet2!$E:$E, 0)), ""), "-")</f>
        <v/>
      </c>
    </row>
    <row r="1198" spans="1:33" x14ac:dyDescent="0.25">
      <c r="A1198" t="s">
        <v>2302</v>
      </c>
      <c r="B1198" t="s">
        <v>2321</v>
      </c>
      <c r="C1198" t="s">
        <v>2304</v>
      </c>
      <c r="D1198" t="s">
        <v>518</v>
      </c>
      <c r="E1198" t="s">
        <v>2322</v>
      </c>
      <c r="F1198">
        <v>1762</v>
      </c>
      <c r="G1198">
        <v>573</v>
      </c>
      <c r="H1198" t="s">
        <v>1810</v>
      </c>
      <c r="I1198" t="s">
        <v>39</v>
      </c>
      <c r="J1198" t="s">
        <v>2305</v>
      </c>
      <c r="K1198" t="s">
        <v>38</v>
      </c>
      <c r="L1198" t="s">
        <v>38</v>
      </c>
      <c r="M1198" t="s">
        <v>38</v>
      </c>
      <c r="N1198" t="s">
        <v>38</v>
      </c>
      <c r="O1198" t="s">
        <v>74</v>
      </c>
      <c r="P1198" t="s">
        <v>42</v>
      </c>
      <c r="Q1198" t="s">
        <v>43</v>
      </c>
      <c r="R1198" t="s">
        <v>89</v>
      </c>
      <c r="S1198" t="s">
        <v>45</v>
      </c>
      <c r="T1198" t="s">
        <v>89</v>
      </c>
      <c r="U1198" t="s">
        <v>38</v>
      </c>
      <c r="V1198" t="s">
        <v>597</v>
      </c>
      <c r="W1198" t="s">
        <v>92</v>
      </c>
      <c r="X1198" t="s">
        <v>38</v>
      </c>
      <c r="Y1198" t="s">
        <v>2323</v>
      </c>
      <c r="Z1198" t="s">
        <v>42</v>
      </c>
      <c r="AA1198" t="s">
        <v>2324</v>
      </c>
      <c r="AB1198" t="s">
        <v>38</v>
      </c>
      <c r="AC1198" t="s">
        <v>45</v>
      </c>
      <c r="AD1198" t="s">
        <v>48</v>
      </c>
      <c r="AG1198" t="str">
        <f>IF(AD1198="United States", IFERROR(INDEX(Sheet2!$C:$C, MATCH(AE1198&amp;AF1198, Sheet2!$E:$E, 0)) &amp; ", " &amp; INDEX(Sheet2!$D:$D, MATCH(AE1198&amp;AF1198, Sheet2!$E:$E, 0)), ""), "-")</f>
        <v/>
      </c>
    </row>
    <row r="1199" spans="1:33" x14ac:dyDescent="0.25">
      <c r="A1199" t="s">
        <v>2302</v>
      </c>
      <c r="B1199" t="s">
        <v>2325</v>
      </c>
      <c r="C1199" t="s">
        <v>2304</v>
      </c>
      <c r="D1199" t="s">
        <v>114</v>
      </c>
      <c r="E1199" t="s">
        <v>38</v>
      </c>
      <c r="F1199">
        <v>1728</v>
      </c>
      <c r="G1199">
        <v>568</v>
      </c>
      <c r="H1199" t="s">
        <v>1810</v>
      </c>
      <c r="I1199" t="s">
        <v>39</v>
      </c>
      <c r="J1199" t="s">
        <v>2305</v>
      </c>
      <c r="K1199" t="s">
        <v>38</v>
      </c>
      <c r="L1199" t="s">
        <v>38</v>
      </c>
      <c r="M1199" t="s">
        <v>38</v>
      </c>
      <c r="N1199" t="s">
        <v>38</v>
      </c>
      <c r="O1199" t="s">
        <v>57</v>
      </c>
      <c r="P1199" t="s">
        <v>42</v>
      </c>
      <c r="Q1199" t="s">
        <v>124</v>
      </c>
      <c r="R1199" t="s">
        <v>89</v>
      </c>
      <c r="S1199" t="s">
        <v>153</v>
      </c>
      <c r="T1199" t="s">
        <v>89</v>
      </c>
      <c r="U1199" t="s">
        <v>38</v>
      </c>
      <c r="V1199" t="s">
        <v>597</v>
      </c>
      <c r="W1199" t="s">
        <v>92</v>
      </c>
      <c r="X1199" t="s">
        <v>38</v>
      </c>
      <c r="Y1199" t="s">
        <v>2326</v>
      </c>
      <c r="Z1199" t="s">
        <v>42</v>
      </c>
      <c r="AA1199" t="s">
        <v>38</v>
      </c>
      <c r="AB1199" t="s">
        <v>38</v>
      </c>
      <c r="AC1199" t="s">
        <v>153</v>
      </c>
      <c r="AD1199" t="s">
        <v>48</v>
      </c>
      <c r="AG1199" t="str">
        <f>IF(AD1199="United States", IFERROR(INDEX(Sheet2!$C:$C, MATCH(AE1199&amp;AF1199, Sheet2!$E:$E, 0)) &amp; ", " &amp; INDEX(Sheet2!$D:$D, MATCH(AE1199&amp;AF1199, Sheet2!$E:$E, 0)), ""), "-")</f>
        <v/>
      </c>
    </row>
    <row r="1200" spans="1:33" x14ac:dyDescent="0.25">
      <c r="A1200" t="s">
        <v>2327</v>
      </c>
      <c r="B1200" t="s">
        <v>2328</v>
      </c>
      <c r="C1200" t="s">
        <v>2329</v>
      </c>
      <c r="D1200" t="s">
        <v>2330</v>
      </c>
      <c r="E1200" t="s">
        <v>38</v>
      </c>
      <c r="F1200">
        <v>1771</v>
      </c>
      <c r="G1200">
        <v>2114</v>
      </c>
      <c r="H1200" t="s">
        <v>1184</v>
      </c>
      <c r="I1200" t="s">
        <v>87</v>
      </c>
      <c r="J1200" t="s">
        <v>2331</v>
      </c>
      <c r="K1200" t="s">
        <v>38</v>
      </c>
      <c r="L1200" t="s">
        <v>38</v>
      </c>
      <c r="M1200" t="s">
        <v>38</v>
      </c>
      <c r="N1200" t="s">
        <v>38</v>
      </c>
      <c r="O1200" t="s">
        <v>54</v>
      </c>
      <c r="P1200" t="s">
        <v>42</v>
      </c>
      <c r="Q1200" t="s">
        <v>43</v>
      </c>
      <c r="R1200" t="s">
        <v>89</v>
      </c>
      <c r="S1200" t="s">
        <v>38</v>
      </c>
      <c r="T1200" t="s">
        <v>89</v>
      </c>
      <c r="U1200" t="s">
        <v>301</v>
      </c>
      <c r="V1200" t="s">
        <v>137</v>
      </c>
      <c r="W1200" t="s">
        <v>92</v>
      </c>
      <c r="X1200" t="s">
        <v>302</v>
      </c>
      <c r="Y1200" t="s">
        <v>2332</v>
      </c>
      <c r="Z1200" t="s">
        <v>42</v>
      </c>
      <c r="AA1200" t="s">
        <v>38</v>
      </c>
      <c r="AB1200" t="s">
        <v>38</v>
      </c>
      <c r="AC1200" t="s">
        <v>38</v>
      </c>
      <c r="AD1200" t="s">
        <v>48</v>
      </c>
      <c r="AG1200" t="str">
        <f>IF(AD1200="United States", IFERROR(INDEX(Sheet2!$C:$C, MATCH(AE1200&amp;AF1200, Sheet2!$E:$E, 0)) &amp; ", " &amp; INDEX(Sheet2!$D:$D, MATCH(AE1200&amp;AF1200, Sheet2!$E:$E, 0)), ""), "-")</f>
        <v/>
      </c>
    </row>
    <row r="1201" spans="1:33" x14ac:dyDescent="0.25">
      <c r="A1201" t="s">
        <v>2327</v>
      </c>
      <c r="B1201" t="s">
        <v>2333</v>
      </c>
      <c r="C1201" t="s">
        <v>2329</v>
      </c>
      <c r="D1201" t="s">
        <v>1192</v>
      </c>
      <c r="E1201" t="s">
        <v>38</v>
      </c>
      <c r="F1201">
        <v>1773</v>
      </c>
      <c r="G1201">
        <v>2116</v>
      </c>
      <c r="H1201" t="s">
        <v>1184</v>
      </c>
      <c r="I1201" t="s">
        <v>87</v>
      </c>
      <c r="J1201" t="s">
        <v>2331</v>
      </c>
      <c r="K1201" t="s">
        <v>38</v>
      </c>
      <c r="L1201" t="s">
        <v>38</v>
      </c>
      <c r="M1201" t="s">
        <v>38</v>
      </c>
      <c r="N1201" t="s">
        <v>38</v>
      </c>
      <c r="O1201" t="s">
        <v>74</v>
      </c>
      <c r="P1201" t="s">
        <v>42</v>
      </c>
      <c r="Q1201" t="s">
        <v>43</v>
      </c>
      <c r="R1201" t="s">
        <v>89</v>
      </c>
      <c r="S1201" t="s">
        <v>38</v>
      </c>
      <c r="T1201" t="s">
        <v>89</v>
      </c>
      <c r="U1201" t="s">
        <v>301</v>
      </c>
      <c r="V1201" t="s">
        <v>137</v>
      </c>
      <c r="W1201" t="s">
        <v>92</v>
      </c>
      <c r="X1201" t="s">
        <v>302</v>
      </c>
      <c r="Y1201" t="s">
        <v>2334</v>
      </c>
      <c r="Z1201" t="s">
        <v>42</v>
      </c>
      <c r="AA1201" t="s">
        <v>38</v>
      </c>
      <c r="AB1201" t="s">
        <v>38</v>
      </c>
      <c r="AC1201" t="s">
        <v>38</v>
      </c>
      <c r="AD1201" t="s">
        <v>48</v>
      </c>
      <c r="AG1201" t="str">
        <f>IF(AD1201="United States", IFERROR(INDEX(Sheet2!$C:$C, MATCH(AE1201&amp;AF1201, Sheet2!$E:$E, 0)) &amp; ", " &amp; INDEX(Sheet2!$D:$D, MATCH(AE1201&amp;AF1201, Sheet2!$E:$E, 0)), ""), "-")</f>
        <v/>
      </c>
    </row>
    <row r="1202" spans="1:33" x14ac:dyDescent="0.25">
      <c r="A1202" t="s">
        <v>2327</v>
      </c>
      <c r="B1202" t="s">
        <v>2335</v>
      </c>
      <c r="C1202" t="s">
        <v>2329</v>
      </c>
      <c r="D1202" t="s">
        <v>2336</v>
      </c>
      <c r="E1202" t="s">
        <v>38</v>
      </c>
      <c r="F1202">
        <v>1768</v>
      </c>
      <c r="G1202">
        <v>2115</v>
      </c>
      <c r="H1202" t="s">
        <v>1184</v>
      </c>
      <c r="I1202" t="s">
        <v>87</v>
      </c>
      <c r="J1202" t="s">
        <v>2331</v>
      </c>
      <c r="K1202" t="s">
        <v>38</v>
      </c>
      <c r="L1202" t="s">
        <v>38</v>
      </c>
      <c r="M1202" t="s">
        <v>38</v>
      </c>
      <c r="N1202" t="s">
        <v>38</v>
      </c>
      <c r="O1202" t="s">
        <v>54</v>
      </c>
      <c r="P1202" t="s">
        <v>42</v>
      </c>
      <c r="Q1202" t="s">
        <v>43</v>
      </c>
      <c r="R1202" t="s">
        <v>89</v>
      </c>
      <c r="S1202" t="s">
        <v>38</v>
      </c>
      <c r="T1202" t="s">
        <v>89</v>
      </c>
      <c r="U1202" t="s">
        <v>301</v>
      </c>
      <c r="V1202" t="s">
        <v>137</v>
      </c>
      <c r="W1202" t="s">
        <v>92</v>
      </c>
      <c r="X1202" t="s">
        <v>302</v>
      </c>
      <c r="Y1202" t="s">
        <v>2337</v>
      </c>
      <c r="Z1202" t="s">
        <v>42</v>
      </c>
      <c r="AA1202" t="s">
        <v>38</v>
      </c>
      <c r="AB1202" t="s">
        <v>38</v>
      </c>
      <c r="AC1202" t="s">
        <v>38</v>
      </c>
      <c r="AD1202" t="s">
        <v>48</v>
      </c>
      <c r="AG1202" t="str">
        <f>IF(AD1202="United States", IFERROR(INDEX(Sheet2!$C:$C, MATCH(AE1202&amp;AF1202, Sheet2!$E:$E, 0)) &amp; ", " &amp; INDEX(Sheet2!$D:$D, MATCH(AE1202&amp;AF1202, Sheet2!$E:$E, 0)), ""), "-")</f>
        <v/>
      </c>
    </row>
    <row r="1203" spans="1:33" x14ac:dyDescent="0.25">
      <c r="A1203" t="s">
        <v>2327</v>
      </c>
      <c r="B1203" t="s">
        <v>2338</v>
      </c>
      <c r="C1203" t="s">
        <v>2329</v>
      </c>
      <c r="D1203" t="s">
        <v>388</v>
      </c>
      <c r="E1203" t="s">
        <v>38</v>
      </c>
      <c r="F1203">
        <v>1764</v>
      </c>
      <c r="G1203">
        <v>2113</v>
      </c>
      <c r="H1203" t="s">
        <v>1184</v>
      </c>
      <c r="I1203" t="s">
        <v>87</v>
      </c>
      <c r="J1203" t="s">
        <v>2331</v>
      </c>
      <c r="K1203" t="s">
        <v>38</v>
      </c>
      <c r="L1203" t="s">
        <v>38</v>
      </c>
      <c r="M1203" t="s">
        <v>38</v>
      </c>
      <c r="N1203" t="s">
        <v>38</v>
      </c>
      <c r="O1203" t="s">
        <v>41</v>
      </c>
      <c r="P1203" t="s">
        <v>42</v>
      </c>
      <c r="Q1203" t="s">
        <v>43</v>
      </c>
      <c r="R1203" t="s">
        <v>89</v>
      </c>
      <c r="S1203" t="s">
        <v>38</v>
      </c>
      <c r="T1203" t="s">
        <v>89</v>
      </c>
      <c r="U1203" t="s">
        <v>301</v>
      </c>
      <c r="V1203" t="s">
        <v>137</v>
      </c>
      <c r="W1203" t="s">
        <v>92</v>
      </c>
      <c r="X1203" t="s">
        <v>302</v>
      </c>
      <c r="Y1203" t="s">
        <v>2332</v>
      </c>
      <c r="Z1203" t="s">
        <v>42</v>
      </c>
      <c r="AA1203" t="s">
        <v>38</v>
      </c>
      <c r="AB1203" t="s">
        <v>38</v>
      </c>
      <c r="AC1203" t="s">
        <v>38</v>
      </c>
      <c r="AD1203" t="s">
        <v>48</v>
      </c>
      <c r="AG1203" t="str">
        <f>IF(AD1203="United States", IFERROR(INDEX(Sheet2!$C:$C, MATCH(AE1203&amp;AF1203, Sheet2!$E:$E, 0)) &amp; ", " &amp; INDEX(Sheet2!$D:$D, MATCH(AE1203&amp;AF1203, Sheet2!$E:$E, 0)), ""), "-")</f>
        <v/>
      </c>
    </row>
    <row r="1204" spans="1:33" x14ac:dyDescent="0.25">
      <c r="A1204" t="s">
        <v>2339</v>
      </c>
      <c r="B1204" t="s">
        <v>2340</v>
      </c>
      <c r="C1204" t="s">
        <v>2341</v>
      </c>
      <c r="D1204" t="s">
        <v>1643</v>
      </c>
      <c r="E1204" t="s">
        <v>290</v>
      </c>
      <c r="F1204">
        <v>1763</v>
      </c>
      <c r="G1204">
        <v>1770</v>
      </c>
      <c r="H1204" t="s">
        <v>38</v>
      </c>
      <c r="I1204" t="s">
        <v>80</v>
      </c>
      <c r="J1204" t="s">
        <v>2342</v>
      </c>
      <c r="K1204" t="s">
        <v>38</v>
      </c>
      <c r="L1204" t="s">
        <v>38</v>
      </c>
      <c r="M1204" t="s">
        <v>38</v>
      </c>
      <c r="N1204" t="s">
        <v>38</v>
      </c>
      <c r="O1204" t="s">
        <v>41</v>
      </c>
      <c r="P1204" t="s">
        <v>42</v>
      </c>
      <c r="Q1204" t="s">
        <v>43</v>
      </c>
      <c r="R1204" t="s">
        <v>2343</v>
      </c>
      <c r="S1204" t="s">
        <v>45</v>
      </c>
      <c r="T1204" t="s">
        <v>38</v>
      </c>
      <c r="U1204" t="s">
        <v>38</v>
      </c>
      <c r="V1204" t="s">
        <v>137</v>
      </c>
      <c r="W1204" t="s">
        <v>38</v>
      </c>
      <c r="X1204" t="s">
        <v>38</v>
      </c>
      <c r="Y1204" t="s">
        <v>38</v>
      </c>
      <c r="Z1204" t="s">
        <v>42</v>
      </c>
      <c r="AA1204" t="s">
        <v>2343</v>
      </c>
      <c r="AB1204" t="s">
        <v>38</v>
      </c>
      <c r="AC1204" t="s">
        <v>45</v>
      </c>
      <c r="AD1204" t="s">
        <v>48</v>
      </c>
      <c r="AG1204" t="str">
        <f>IF(AD1204="United States", IFERROR(INDEX(Sheet2!$C:$C, MATCH(AE1204&amp;AF1204, Sheet2!$E:$E, 0)) &amp; ", " &amp; INDEX(Sheet2!$D:$D, MATCH(AE1204&amp;AF1204, Sheet2!$E:$E, 0)), ""), "-")</f>
        <v/>
      </c>
    </row>
    <row r="1205" spans="1:33" x14ac:dyDescent="0.25">
      <c r="A1205" t="s">
        <v>2344</v>
      </c>
      <c r="B1205" t="s">
        <v>2345</v>
      </c>
      <c r="C1205" t="s">
        <v>2346</v>
      </c>
      <c r="D1205" t="s">
        <v>2347</v>
      </c>
      <c r="E1205" t="s">
        <v>38</v>
      </c>
      <c r="F1205">
        <v>1773</v>
      </c>
      <c r="G1205">
        <v>881</v>
      </c>
      <c r="H1205" t="s">
        <v>38</v>
      </c>
      <c r="I1205" t="s">
        <v>80</v>
      </c>
      <c r="J1205" t="s">
        <v>38</v>
      </c>
      <c r="K1205" t="s">
        <v>38</v>
      </c>
      <c r="L1205" t="s">
        <v>38</v>
      </c>
      <c r="M1205" t="s">
        <v>38</v>
      </c>
      <c r="N1205" t="s">
        <v>38</v>
      </c>
      <c r="O1205" t="s">
        <v>54</v>
      </c>
      <c r="P1205" t="s">
        <v>42</v>
      </c>
      <c r="Q1205" t="s">
        <v>43</v>
      </c>
      <c r="R1205" t="s">
        <v>38</v>
      </c>
      <c r="S1205" t="s">
        <v>201</v>
      </c>
      <c r="T1205" t="s">
        <v>38</v>
      </c>
      <c r="U1205" t="s">
        <v>38</v>
      </c>
      <c r="V1205" t="s">
        <v>38</v>
      </c>
      <c r="W1205" t="s">
        <v>38</v>
      </c>
      <c r="X1205" t="s">
        <v>38</v>
      </c>
      <c r="Y1205" t="s">
        <v>2348</v>
      </c>
      <c r="Z1205" t="s">
        <v>42</v>
      </c>
      <c r="AA1205" t="s">
        <v>2349</v>
      </c>
      <c r="AB1205" t="s">
        <v>201</v>
      </c>
      <c r="AC1205" t="s">
        <v>89</v>
      </c>
      <c r="AD1205" t="s">
        <v>48</v>
      </c>
      <c r="AG1205" t="str">
        <f>IF(AD1205="United States", IFERROR(INDEX(Sheet2!$C:$C, MATCH(AE1205&amp;AF1205, Sheet2!$E:$E, 0)) &amp; ", " &amp; INDEX(Sheet2!$D:$D, MATCH(AE1205&amp;AF1205, Sheet2!$E:$E, 0)), ""), "-")</f>
        <v/>
      </c>
    </row>
    <row r="1206" spans="1:33" x14ac:dyDescent="0.25">
      <c r="A1206" t="s">
        <v>2344</v>
      </c>
      <c r="B1206" t="s">
        <v>2345</v>
      </c>
      <c r="C1206" t="s">
        <v>2346</v>
      </c>
      <c r="D1206" t="s">
        <v>2347</v>
      </c>
      <c r="E1206" t="s">
        <v>38</v>
      </c>
      <c r="F1206">
        <v>1773</v>
      </c>
      <c r="G1206">
        <v>1157</v>
      </c>
      <c r="H1206" t="s">
        <v>38</v>
      </c>
      <c r="I1206" t="s">
        <v>80</v>
      </c>
      <c r="J1206" t="s">
        <v>38</v>
      </c>
      <c r="K1206" t="s">
        <v>38</v>
      </c>
      <c r="L1206" t="s">
        <v>38</v>
      </c>
      <c r="M1206" t="s">
        <v>38</v>
      </c>
      <c r="N1206" t="s">
        <v>38</v>
      </c>
      <c r="O1206" t="s">
        <v>54</v>
      </c>
      <c r="P1206" t="s">
        <v>42</v>
      </c>
      <c r="Q1206" t="s">
        <v>43</v>
      </c>
      <c r="R1206" t="s">
        <v>38</v>
      </c>
      <c r="S1206" t="s">
        <v>201</v>
      </c>
      <c r="T1206" t="s">
        <v>38</v>
      </c>
      <c r="U1206" t="s">
        <v>38</v>
      </c>
      <c r="V1206" t="s">
        <v>38</v>
      </c>
      <c r="W1206" t="s">
        <v>38</v>
      </c>
      <c r="X1206" t="s">
        <v>38</v>
      </c>
      <c r="Y1206" t="s">
        <v>2348</v>
      </c>
      <c r="Z1206" t="s">
        <v>42</v>
      </c>
      <c r="AA1206" t="s">
        <v>2349</v>
      </c>
      <c r="AB1206" t="s">
        <v>201</v>
      </c>
      <c r="AC1206" t="s">
        <v>89</v>
      </c>
      <c r="AD1206" t="s">
        <v>48</v>
      </c>
      <c r="AG1206" t="str">
        <f>IF(AD1206="United States", IFERROR(INDEX(Sheet2!$C:$C, MATCH(AE1206&amp;AF1206, Sheet2!$E:$E, 0)) &amp; ", " &amp; INDEX(Sheet2!$D:$D, MATCH(AE1206&amp;AF1206, Sheet2!$E:$E, 0)), ""), "-")</f>
        <v/>
      </c>
    </row>
    <row r="1207" spans="1:33" x14ac:dyDescent="0.25">
      <c r="A1207" t="s">
        <v>2350</v>
      </c>
      <c r="B1207" t="s">
        <v>2351</v>
      </c>
      <c r="C1207" t="s">
        <v>2352</v>
      </c>
      <c r="D1207" t="s">
        <v>101</v>
      </c>
      <c r="E1207" t="s">
        <v>2353</v>
      </c>
      <c r="F1207">
        <v>1755</v>
      </c>
      <c r="G1207">
        <v>663</v>
      </c>
      <c r="H1207" t="s">
        <v>2354</v>
      </c>
      <c r="I1207" t="s">
        <v>39</v>
      </c>
      <c r="J1207" t="s">
        <v>2355</v>
      </c>
      <c r="K1207" t="s">
        <v>38</v>
      </c>
      <c r="L1207" t="s">
        <v>38</v>
      </c>
      <c r="M1207" t="s">
        <v>38</v>
      </c>
      <c r="N1207" t="s">
        <v>38</v>
      </c>
      <c r="O1207" t="s">
        <v>41</v>
      </c>
      <c r="P1207" t="s">
        <v>42</v>
      </c>
      <c r="Q1207" t="s">
        <v>43</v>
      </c>
      <c r="R1207" t="s">
        <v>89</v>
      </c>
      <c r="S1207" t="s">
        <v>45</v>
      </c>
      <c r="T1207" t="s">
        <v>89</v>
      </c>
      <c r="U1207" t="s">
        <v>38</v>
      </c>
      <c r="V1207" t="s">
        <v>91</v>
      </c>
      <c r="W1207" t="s">
        <v>92</v>
      </c>
      <c r="X1207" t="s">
        <v>38</v>
      </c>
      <c r="Y1207" t="s">
        <v>2356</v>
      </c>
      <c r="Z1207" t="s">
        <v>42</v>
      </c>
      <c r="AA1207" t="s">
        <v>617</v>
      </c>
      <c r="AB1207" t="s">
        <v>38</v>
      </c>
      <c r="AC1207" t="s">
        <v>45</v>
      </c>
      <c r="AD1207" t="s">
        <v>48</v>
      </c>
      <c r="AG1207" t="str">
        <f>IF(AD1207="United States", IFERROR(INDEX(Sheet2!$C:$C, MATCH(AE1207&amp;AF1207, Sheet2!$E:$E, 0)) &amp; ", " &amp; INDEX(Sheet2!$D:$D, MATCH(AE1207&amp;AF1207, Sheet2!$E:$E, 0)), ""), "-")</f>
        <v/>
      </c>
    </row>
    <row r="1208" spans="1:33" x14ac:dyDescent="0.25">
      <c r="A1208" t="s">
        <v>2350</v>
      </c>
      <c r="B1208" t="s">
        <v>2357</v>
      </c>
      <c r="C1208" t="s">
        <v>2352</v>
      </c>
      <c r="D1208" t="s">
        <v>1491</v>
      </c>
      <c r="E1208" t="s">
        <v>2358</v>
      </c>
      <c r="F1208">
        <v>1765</v>
      </c>
      <c r="G1208">
        <v>664</v>
      </c>
      <c r="H1208" t="s">
        <v>2354</v>
      </c>
      <c r="I1208" t="s">
        <v>39</v>
      </c>
      <c r="J1208" t="s">
        <v>2355</v>
      </c>
      <c r="K1208" t="s">
        <v>38</v>
      </c>
      <c r="L1208" t="s">
        <v>38</v>
      </c>
      <c r="M1208" t="s">
        <v>38</v>
      </c>
      <c r="N1208" t="s">
        <v>38</v>
      </c>
      <c r="O1208" t="s">
        <v>41</v>
      </c>
      <c r="P1208" t="s">
        <v>42</v>
      </c>
      <c r="Q1208" t="s">
        <v>43</v>
      </c>
      <c r="R1208" t="s">
        <v>89</v>
      </c>
      <c r="S1208" t="s">
        <v>45</v>
      </c>
      <c r="T1208" t="s">
        <v>89</v>
      </c>
      <c r="U1208" t="s">
        <v>38</v>
      </c>
      <c r="V1208" t="s">
        <v>91</v>
      </c>
      <c r="W1208" t="s">
        <v>92</v>
      </c>
      <c r="X1208" t="s">
        <v>38</v>
      </c>
      <c r="Y1208" t="s">
        <v>2359</v>
      </c>
      <c r="Z1208" t="s">
        <v>42</v>
      </c>
      <c r="AA1208" t="s">
        <v>1511</v>
      </c>
      <c r="AB1208" t="s">
        <v>38</v>
      </c>
      <c r="AC1208" t="s">
        <v>45</v>
      </c>
      <c r="AD1208" t="s">
        <v>48</v>
      </c>
      <c r="AG1208" t="str">
        <f>IF(AD1208="United States", IFERROR(INDEX(Sheet2!$C:$C, MATCH(AE1208&amp;AF1208, Sheet2!$E:$E, 0)) &amp; ", " &amp; INDEX(Sheet2!$D:$D, MATCH(AE1208&amp;AF1208, Sheet2!$E:$E, 0)), ""), "-")</f>
        <v/>
      </c>
    </row>
    <row r="1209" spans="1:33" x14ac:dyDescent="0.25">
      <c r="A1209" t="s">
        <v>2350</v>
      </c>
      <c r="B1209" t="s">
        <v>2360</v>
      </c>
      <c r="C1209" t="s">
        <v>2352</v>
      </c>
      <c r="D1209" t="s">
        <v>210</v>
      </c>
      <c r="E1209" t="s">
        <v>2361</v>
      </c>
      <c r="F1209">
        <v>1768</v>
      </c>
      <c r="G1209">
        <v>661</v>
      </c>
      <c r="H1209" t="s">
        <v>2354</v>
      </c>
      <c r="I1209" t="s">
        <v>39</v>
      </c>
      <c r="J1209" t="s">
        <v>2355</v>
      </c>
      <c r="K1209" t="s">
        <v>38</v>
      </c>
      <c r="L1209" t="s">
        <v>38</v>
      </c>
      <c r="M1209" t="s">
        <v>38</v>
      </c>
      <c r="N1209" t="s">
        <v>38</v>
      </c>
      <c r="O1209" t="s">
        <v>54</v>
      </c>
      <c r="P1209" t="s">
        <v>42</v>
      </c>
      <c r="Q1209" t="s">
        <v>43</v>
      </c>
      <c r="R1209" t="s">
        <v>89</v>
      </c>
      <c r="S1209" t="s">
        <v>38</v>
      </c>
      <c r="T1209" t="s">
        <v>89</v>
      </c>
      <c r="U1209" t="s">
        <v>38</v>
      </c>
      <c r="V1209" t="s">
        <v>91</v>
      </c>
      <c r="W1209" t="s">
        <v>92</v>
      </c>
      <c r="X1209" t="s">
        <v>38</v>
      </c>
      <c r="Y1209" t="s">
        <v>2362</v>
      </c>
      <c r="Z1209" t="s">
        <v>42</v>
      </c>
      <c r="AA1209" t="s">
        <v>38</v>
      </c>
      <c r="AB1209" t="s">
        <v>38</v>
      </c>
      <c r="AC1209" t="s">
        <v>38</v>
      </c>
      <c r="AD1209" t="s">
        <v>48</v>
      </c>
      <c r="AG1209" t="str">
        <f>IF(AD1209="United States", IFERROR(INDEX(Sheet2!$C:$C, MATCH(AE1209&amp;AF1209, Sheet2!$E:$E, 0)) &amp; ", " &amp; INDEX(Sheet2!$D:$D, MATCH(AE1209&amp;AF1209, Sheet2!$E:$E, 0)), ""), "-")</f>
        <v/>
      </c>
    </row>
    <row r="1210" spans="1:33" x14ac:dyDescent="0.25">
      <c r="A1210" t="s">
        <v>2350</v>
      </c>
      <c r="B1210" t="s">
        <v>2363</v>
      </c>
      <c r="C1210" t="s">
        <v>2352</v>
      </c>
      <c r="D1210" t="s">
        <v>361</v>
      </c>
      <c r="E1210" t="s">
        <v>2364</v>
      </c>
      <c r="F1210">
        <v>1755</v>
      </c>
      <c r="G1210">
        <v>662</v>
      </c>
      <c r="H1210" t="s">
        <v>2354</v>
      </c>
      <c r="I1210" t="s">
        <v>39</v>
      </c>
      <c r="J1210" t="s">
        <v>2355</v>
      </c>
      <c r="K1210" t="s">
        <v>38</v>
      </c>
      <c r="L1210" t="s">
        <v>38</v>
      </c>
      <c r="M1210" t="s">
        <v>38</v>
      </c>
      <c r="N1210" t="s">
        <v>38</v>
      </c>
      <c r="O1210" t="s">
        <v>41</v>
      </c>
      <c r="P1210" t="s">
        <v>42</v>
      </c>
      <c r="Q1210" t="s">
        <v>43</v>
      </c>
      <c r="R1210" t="s">
        <v>89</v>
      </c>
      <c r="S1210" t="s">
        <v>38</v>
      </c>
      <c r="T1210" t="s">
        <v>89</v>
      </c>
      <c r="U1210" t="s">
        <v>38</v>
      </c>
      <c r="V1210" t="s">
        <v>91</v>
      </c>
      <c r="W1210" t="s">
        <v>92</v>
      </c>
      <c r="X1210" t="s">
        <v>38</v>
      </c>
      <c r="Y1210" t="s">
        <v>2362</v>
      </c>
      <c r="Z1210" t="s">
        <v>42</v>
      </c>
      <c r="AA1210" t="s">
        <v>38</v>
      </c>
      <c r="AB1210" t="s">
        <v>38</v>
      </c>
      <c r="AC1210" t="s">
        <v>38</v>
      </c>
      <c r="AD1210" t="s">
        <v>48</v>
      </c>
      <c r="AG1210" t="str">
        <f>IF(AD1210="United States", IFERROR(INDEX(Sheet2!$C:$C, MATCH(AE1210&amp;AF1210, Sheet2!$E:$E, 0)) &amp; ", " &amp; INDEX(Sheet2!$D:$D, MATCH(AE1210&amp;AF1210, Sheet2!$E:$E, 0)), ""), "-")</f>
        <v/>
      </c>
    </row>
    <row r="1211" spans="1:33" x14ac:dyDescent="0.25">
      <c r="A1211" t="s">
        <v>2350</v>
      </c>
      <c r="B1211" t="s">
        <v>2365</v>
      </c>
      <c r="C1211" t="s">
        <v>2352</v>
      </c>
      <c r="D1211" t="s">
        <v>1126</v>
      </c>
      <c r="E1211" t="s">
        <v>2366</v>
      </c>
      <c r="F1211">
        <v>1723</v>
      </c>
      <c r="G1211">
        <v>655</v>
      </c>
      <c r="H1211" t="s">
        <v>2354</v>
      </c>
      <c r="I1211" t="s">
        <v>39</v>
      </c>
      <c r="J1211" t="s">
        <v>2355</v>
      </c>
      <c r="K1211" t="s">
        <v>38</v>
      </c>
      <c r="L1211" t="s">
        <v>38</v>
      </c>
      <c r="M1211" t="s">
        <v>38</v>
      </c>
      <c r="N1211" t="s">
        <v>38</v>
      </c>
      <c r="O1211" t="s">
        <v>41</v>
      </c>
      <c r="P1211" t="s">
        <v>42</v>
      </c>
      <c r="Q1211" t="s">
        <v>43</v>
      </c>
      <c r="R1211" t="s">
        <v>89</v>
      </c>
      <c r="S1211" t="s">
        <v>38</v>
      </c>
      <c r="T1211" t="s">
        <v>89</v>
      </c>
      <c r="U1211" t="s">
        <v>38</v>
      </c>
      <c r="V1211" t="s">
        <v>91</v>
      </c>
      <c r="W1211" t="s">
        <v>92</v>
      </c>
      <c r="X1211" t="s">
        <v>38</v>
      </c>
      <c r="Y1211" t="s">
        <v>2367</v>
      </c>
      <c r="Z1211" t="s">
        <v>42</v>
      </c>
      <c r="AA1211" t="s">
        <v>38</v>
      </c>
      <c r="AB1211" t="s">
        <v>38</v>
      </c>
      <c r="AC1211" t="s">
        <v>38</v>
      </c>
      <c r="AD1211" t="s">
        <v>48</v>
      </c>
      <c r="AG1211" t="str">
        <f>IF(AD1211="United States", IFERROR(INDEX(Sheet2!$C:$C, MATCH(AE1211&amp;AF1211, Sheet2!$E:$E, 0)) &amp; ", " &amp; INDEX(Sheet2!$D:$D, MATCH(AE1211&amp;AF1211, Sheet2!$E:$E, 0)), ""), "-")</f>
        <v/>
      </c>
    </row>
    <row r="1212" spans="1:33" x14ac:dyDescent="0.25">
      <c r="A1212" t="s">
        <v>2350</v>
      </c>
      <c r="B1212" t="s">
        <v>2368</v>
      </c>
      <c r="C1212" t="s">
        <v>2352</v>
      </c>
      <c r="D1212" t="s">
        <v>2146</v>
      </c>
      <c r="E1212" t="s">
        <v>38</v>
      </c>
      <c r="F1212">
        <v>1778</v>
      </c>
      <c r="G1212">
        <v>660</v>
      </c>
      <c r="H1212" t="s">
        <v>2354</v>
      </c>
      <c r="I1212" t="s">
        <v>39</v>
      </c>
      <c r="J1212" t="s">
        <v>2355</v>
      </c>
      <c r="K1212" t="s">
        <v>38</v>
      </c>
      <c r="L1212" t="s">
        <v>38</v>
      </c>
      <c r="M1212" t="s">
        <v>38</v>
      </c>
      <c r="N1212" t="s">
        <v>38</v>
      </c>
      <c r="O1212" t="s">
        <v>54</v>
      </c>
      <c r="P1212" t="s">
        <v>42</v>
      </c>
      <c r="Q1212" t="s">
        <v>43</v>
      </c>
      <c r="R1212" t="s">
        <v>89</v>
      </c>
      <c r="S1212" t="s">
        <v>38</v>
      </c>
      <c r="T1212" t="s">
        <v>89</v>
      </c>
      <c r="U1212" t="s">
        <v>38</v>
      </c>
      <c r="V1212" t="s">
        <v>91</v>
      </c>
      <c r="W1212" t="s">
        <v>92</v>
      </c>
      <c r="X1212" t="s">
        <v>38</v>
      </c>
      <c r="Y1212" t="s">
        <v>2362</v>
      </c>
      <c r="Z1212" t="s">
        <v>42</v>
      </c>
      <c r="AA1212" t="s">
        <v>38</v>
      </c>
      <c r="AB1212" t="s">
        <v>38</v>
      </c>
      <c r="AC1212" t="s">
        <v>1566</v>
      </c>
      <c r="AD1212" t="s">
        <v>48</v>
      </c>
      <c r="AG1212" t="str">
        <f>IF(AD1212="United States", IFERROR(INDEX(Sheet2!$C:$C, MATCH(AE1212&amp;AF1212, Sheet2!$E:$E, 0)) &amp; ", " &amp; INDEX(Sheet2!$D:$D, MATCH(AE1212&amp;AF1212, Sheet2!$E:$E, 0)), ""), "-")</f>
        <v/>
      </c>
    </row>
    <row r="1213" spans="1:33" x14ac:dyDescent="0.25">
      <c r="A1213" t="s">
        <v>2350</v>
      </c>
      <c r="B1213" t="s">
        <v>2369</v>
      </c>
      <c r="C1213" t="s">
        <v>2352</v>
      </c>
      <c r="D1213" t="s">
        <v>2146</v>
      </c>
      <c r="E1213" t="s">
        <v>38</v>
      </c>
      <c r="F1213">
        <v>1757</v>
      </c>
      <c r="G1213">
        <v>659</v>
      </c>
      <c r="H1213" t="s">
        <v>2354</v>
      </c>
      <c r="I1213" t="s">
        <v>39</v>
      </c>
      <c r="J1213" t="s">
        <v>2355</v>
      </c>
      <c r="K1213" t="s">
        <v>38</v>
      </c>
      <c r="L1213" t="s">
        <v>38</v>
      </c>
      <c r="M1213" t="s">
        <v>38</v>
      </c>
      <c r="N1213" t="s">
        <v>38</v>
      </c>
      <c r="O1213" t="s">
        <v>57</v>
      </c>
      <c r="P1213" t="s">
        <v>42</v>
      </c>
      <c r="Q1213" t="s">
        <v>43</v>
      </c>
      <c r="R1213" t="s">
        <v>89</v>
      </c>
      <c r="S1213" t="s">
        <v>38</v>
      </c>
      <c r="T1213" t="s">
        <v>89</v>
      </c>
      <c r="U1213" t="s">
        <v>38</v>
      </c>
      <c r="V1213" t="s">
        <v>91</v>
      </c>
      <c r="W1213" t="s">
        <v>92</v>
      </c>
      <c r="X1213" t="s">
        <v>38</v>
      </c>
      <c r="Y1213" t="s">
        <v>2362</v>
      </c>
      <c r="Z1213" t="s">
        <v>42</v>
      </c>
      <c r="AA1213" t="s">
        <v>38</v>
      </c>
      <c r="AB1213" t="s">
        <v>38</v>
      </c>
      <c r="AC1213" t="s">
        <v>1566</v>
      </c>
      <c r="AD1213" t="s">
        <v>48</v>
      </c>
      <c r="AG1213" t="str">
        <f>IF(AD1213="United States", IFERROR(INDEX(Sheet2!$C:$C, MATCH(AE1213&amp;AF1213, Sheet2!$E:$E, 0)) &amp; ", " &amp; INDEX(Sheet2!$D:$D, MATCH(AE1213&amp;AF1213, Sheet2!$E:$E, 0)), ""), "-")</f>
        <v/>
      </c>
    </row>
    <row r="1214" spans="1:33" x14ac:dyDescent="0.25">
      <c r="A1214" t="s">
        <v>2350</v>
      </c>
      <c r="B1214" t="s">
        <v>2370</v>
      </c>
      <c r="C1214" t="s">
        <v>2352</v>
      </c>
      <c r="D1214" t="s">
        <v>132</v>
      </c>
      <c r="E1214" t="s">
        <v>2371</v>
      </c>
      <c r="F1214">
        <v>1758</v>
      </c>
      <c r="G1214">
        <v>658</v>
      </c>
      <c r="H1214" t="s">
        <v>2354</v>
      </c>
      <c r="I1214" t="s">
        <v>39</v>
      </c>
      <c r="J1214" t="s">
        <v>2355</v>
      </c>
      <c r="K1214" t="s">
        <v>38</v>
      </c>
      <c r="L1214" t="s">
        <v>38</v>
      </c>
      <c r="M1214" t="s">
        <v>38</v>
      </c>
      <c r="N1214" t="s">
        <v>38</v>
      </c>
      <c r="O1214" t="s">
        <v>41</v>
      </c>
      <c r="P1214" t="s">
        <v>42</v>
      </c>
      <c r="Q1214" t="s">
        <v>43</v>
      </c>
      <c r="R1214" t="s">
        <v>89</v>
      </c>
      <c r="S1214" t="s">
        <v>45</v>
      </c>
      <c r="T1214" t="s">
        <v>89</v>
      </c>
      <c r="U1214" t="s">
        <v>38</v>
      </c>
      <c r="V1214" t="s">
        <v>91</v>
      </c>
      <c r="W1214" t="s">
        <v>92</v>
      </c>
      <c r="X1214" t="s">
        <v>38</v>
      </c>
      <c r="Y1214" t="s">
        <v>2372</v>
      </c>
      <c r="Z1214" t="s">
        <v>42</v>
      </c>
      <c r="AA1214" t="s">
        <v>38</v>
      </c>
      <c r="AB1214" t="s">
        <v>38</v>
      </c>
      <c r="AC1214" t="s">
        <v>45</v>
      </c>
      <c r="AD1214" t="s">
        <v>48</v>
      </c>
      <c r="AG1214" t="str">
        <f>IF(AD1214="United States", IFERROR(INDEX(Sheet2!$C:$C, MATCH(AE1214&amp;AF1214, Sheet2!$E:$E, 0)) &amp; ", " &amp; INDEX(Sheet2!$D:$D, MATCH(AE1214&amp;AF1214, Sheet2!$E:$E, 0)), ""), "-")</f>
        <v/>
      </c>
    </row>
    <row r="1215" spans="1:33" x14ac:dyDescent="0.25">
      <c r="A1215" t="s">
        <v>2350</v>
      </c>
      <c r="B1215" t="s">
        <v>2373</v>
      </c>
      <c r="C1215" t="s">
        <v>2352</v>
      </c>
      <c r="D1215" t="s">
        <v>352</v>
      </c>
      <c r="E1215" t="s">
        <v>2366</v>
      </c>
      <c r="F1215">
        <v>1779</v>
      </c>
      <c r="G1215">
        <v>657</v>
      </c>
      <c r="H1215" t="s">
        <v>2354</v>
      </c>
      <c r="I1215" t="s">
        <v>39</v>
      </c>
      <c r="J1215" t="s">
        <v>2355</v>
      </c>
      <c r="K1215" t="s">
        <v>38</v>
      </c>
      <c r="L1215" t="s">
        <v>38</v>
      </c>
      <c r="M1215" t="s">
        <v>38</v>
      </c>
      <c r="N1215" t="s">
        <v>38</v>
      </c>
      <c r="O1215" t="s">
        <v>54</v>
      </c>
      <c r="P1215" t="s">
        <v>42</v>
      </c>
      <c r="Q1215" t="s">
        <v>43</v>
      </c>
      <c r="R1215" t="s">
        <v>89</v>
      </c>
      <c r="S1215" t="s">
        <v>38</v>
      </c>
      <c r="T1215" t="s">
        <v>89</v>
      </c>
      <c r="U1215" t="s">
        <v>38</v>
      </c>
      <c r="V1215" t="s">
        <v>91</v>
      </c>
      <c r="W1215" t="s">
        <v>92</v>
      </c>
      <c r="X1215" t="s">
        <v>38</v>
      </c>
      <c r="Y1215" t="s">
        <v>2367</v>
      </c>
      <c r="Z1215" t="s">
        <v>42</v>
      </c>
      <c r="AA1215" t="s">
        <v>38</v>
      </c>
      <c r="AB1215" t="s">
        <v>38</v>
      </c>
      <c r="AC1215" t="s">
        <v>38</v>
      </c>
      <c r="AD1215" t="s">
        <v>48</v>
      </c>
      <c r="AG1215" t="str">
        <f>IF(AD1215="United States", IFERROR(INDEX(Sheet2!$C:$C, MATCH(AE1215&amp;AF1215, Sheet2!$E:$E, 0)) &amp; ", " &amp; INDEX(Sheet2!$D:$D, MATCH(AE1215&amp;AF1215, Sheet2!$E:$E, 0)), ""), "-")</f>
        <v/>
      </c>
    </row>
    <row r="1216" spans="1:33" x14ac:dyDescent="0.25">
      <c r="A1216" t="s">
        <v>2350</v>
      </c>
      <c r="B1216" t="s">
        <v>2374</v>
      </c>
      <c r="C1216" t="s">
        <v>2352</v>
      </c>
      <c r="D1216" t="s">
        <v>774</v>
      </c>
      <c r="E1216" t="s">
        <v>2366</v>
      </c>
      <c r="F1216">
        <v>1755</v>
      </c>
      <c r="G1216">
        <v>656</v>
      </c>
      <c r="H1216" t="s">
        <v>2354</v>
      </c>
      <c r="I1216" t="s">
        <v>39</v>
      </c>
      <c r="J1216" t="s">
        <v>2355</v>
      </c>
      <c r="K1216" t="s">
        <v>38</v>
      </c>
      <c r="L1216" t="s">
        <v>38</v>
      </c>
      <c r="M1216" t="s">
        <v>38</v>
      </c>
      <c r="N1216" t="s">
        <v>38</v>
      </c>
      <c r="O1216" t="s">
        <v>41</v>
      </c>
      <c r="P1216" t="s">
        <v>42</v>
      </c>
      <c r="Q1216" t="s">
        <v>43</v>
      </c>
      <c r="R1216" t="s">
        <v>89</v>
      </c>
      <c r="S1216" t="s">
        <v>38</v>
      </c>
      <c r="T1216" t="s">
        <v>89</v>
      </c>
      <c r="U1216" t="s">
        <v>38</v>
      </c>
      <c r="V1216" t="s">
        <v>91</v>
      </c>
      <c r="W1216" t="s">
        <v>92</v>
      </c>
      <c r="X1216" t="s">
        <v>38</v>
      </c>
      <c r="Y1216" t="s">
        <v>2367</v>
      </c>
      <c r="Z1216" t="s">
        <v>42</v>
      </c>
      <c r="AA1216" t="s">
        <v>38</v>
      </c>
      <c r="AB1216" t="s">
        <v>38</v>
      </c>
      <c r="AC1216" t="s">
        <v>38</v>
      </c>
      <c r="AD1216" t="s">
        <v>48</v>
      </c>
      <c r="AG1216" t="str">
        <f>IF(AD1216="United States", IFERROR(INDEX(Sheet2!$C:$C, MATCH(AE1216&amp;AF1216, Sheet2!$E:$E, 0)) &amp; ", " &amp; INDEX(Sheet2!$D:$D, MATCH(AE1216&amp;AF1216, Sheet2!$E:$E, 0)), ""), "-")</f>
        <v/>
      </c>
    </row>
    <row r="1217" spans="1:33" x14ac:dyDescent="0.25">
      <c r="A1217" t="s">
        <v>2375</v>
      </c>
      <c r="D1217" t="s">
        <v>2376</v>
      </c>
      <c r="E1217" t="s">
        <v>2377</v>
      </c>
      <c r="F1217">
        <v>1758</v>
      </c>
      <c r="G1217">
        <v>664</v>
      </c>
      <c r="H1217">
        <v>31</v>
      </c>
      <c r="J1217" t="s">
        <v>2378</v>
      </c>
      <c r="O1217" t="s">
        <v>41</v>
      </c>
      <c r="R1217" t="s">
        <v>89</v>
      </c>
      <c r="T1217" t="s">
        <v>89</v>
      </c>
      <c r="V1217" t="s">
        <v>137</v>
      </c>
      <c r="W1217" t="s">
        <v>92</v>
      </c>
      <c r="Y1217" t="s">
        <v>38</v>
      </c>
      <c r="AA1217" t="s">
        <v>38</v>
      </c>
      <c r="AB1217" t="s">
        <v>38</v>
      </c>
      <c r="AC1217" t="s">
        <v>38</v>
      </c>
      <c r="AD1217" t="s">
        <v>48</v>
      </c>
      <c r="AG1217" t="str">
        <f>IF(AD1217="United States", IFERROR(INDEX(Sheet2!$C:$C, MATCH(AE1217&amp;AF1217, Sheet2!$E:$E, 0)) &amp; ", " &amp; INDEX(Sheet2!$D:$D, MATCH(AE1217&amp;AF1217, Sheet2!$E:$E, 0)), ""), "-")</f>
        <v/>
      </c>
    </row>
    <row r="1218" spans="1:33" x14ac:dyDescent="0.25">
      <c r="A1218" t="s">
        <v>2375</v>
      </c>
      <c r="D1218" t="s">
        <v>113</v>
      </c>
      <c r="E1218" t="s">
        <v>2379</v>
      </c>
      <c r="F1218">
        <v>1758</v>
      </c>
      <c r="G1218">
        <v>663</v>
      </c>
      <c r="H1218">
        <v>31</v>
      </c>
      <c r="J1218" t="s">
        <v>2378</v>
      </c>
      <c r="O1218" t="s">
        <v>41</v>
      </c>
      <c r="R1218" t="s">
        <v>89</v>
      </c>
      <c r="T1218" t="s">
        <v>89</v>
      </c>
      <c r="V1218" t="s">
        <v>137</v>
      </c>
      <c r="W1218" t="s">
        <v>92</v>
      </c>
      <c r="Y1218" t="s">
        <v>38</v>
      </c>
      <c r="AA1218" t="s">
        <v>38</v>
      </c>
      <c r="AB1218" t="s">
        <v>38</v>
      </c>
      <c r="AC1218" t="s">
        <v>38</v>
      </c>
      <c r="AD1218" t="s">
        <v>48</v>
      </c>
      <c r="AG1218" t="str">
        <f>IF(AD1218="United States", IFERROR(INDEX(Sheet2!$C:$C, MATCH(AE1218&amp;AF1218, Sheet2!$E:$E, 0)) &amp; ", " &amp; INDEX(Sheet2!$D:$D, MATCH(AE1218&amp;AF1218, Sheet2!$E:$E, 0)), ""), "-")</f>
        <v/>
      </c>
    </row>
    <row r="1219" spans="1:33" x14ac:dyDescent="0.25">
      <c r="A1219" t="s">
        <v>2375</v>
      </c>
      <c r="D1219" t="s">
        <v>210</v>
      </c>
      <c r="E1219" t="s">
        <v>275</v>
      </c>
      <c r="F1219">
        <v>1754</v>
      </c>
      <c r="G1219">
        <v>662</v>
      </c>
      <c r="H1219">
        <v>31</v>
      </c>
      <c r="J1219" t="s">
        <v>2378</v>
      </c>
      <c r="O1219" t="s">
        <v>41</v>
      </c>
      <c r="R1219" t="s">
        <v>89</v>
      </c>
      <c r="T1219" t="s">
        <v>89</v>
      </c>
      <c r="V1219" t="s">
        <v>137</v>
      </c>
      <c r="W1219" t="s">
        <v>92</v>
      </c>
      <c r="Y1219" t="s">
        <v>38</v>
      </c>
      <c r="AA1219" t="s">
        <v>38</v>
      </c>
      <c r="AB1219" t="s">
        <v>38</v>
      </c>
      <c r="AC1219" t="s">
        <v>38</v>
      </c>
      <c r="AD1219" t="s">
        <v>48</v>
      </c>
      <c r="AG1219" t="str">
        <f>IF(AD1219="United States", IFERROR(INDEX(Sheet2!$C:$C, MATCH(AE1219&amp;AF1219, Sheet2!$E:$E, 0)) &amp; ", " &amp; INDEX(Sheet2!$D:$D, MATCH(AE1219&amp;AF1219, Sheet2!$E:$E, 0)), ""), "-")</f>
        <v/>
      </c>
    </row>
    <row r="1220" spans="1:33" x14ac:dyDescent="0.25">
      <c r="A1220" t="s">
        <v>2375</v>
      </c>
      <c r="D1220" t="s">
        <v>807</v>
      </c>
      <c r="E1220" t="s">
        <v>38</v>
      </c>
      <c r="F1220">
        <v>1760</v>
      </c>
      <c r="G1220">
        <v>660</v>
      </c>
      <c r="H1220">
        <v>31</v>
      </c>
      <c r="J1220" t="s">
        <v>2378</v>
      </c>
      <c r="O1220" t="s">
        <v>41</v>
      </c>
      <c r="R1220" t="s">
        <v>89</v>
      </c>
      <c r="T1220" t="s">
        <v>89</v>
      </c>
      <c r="V1220" t="s">
        <v>137</v>
      </c>
      <c r="W1220" t="s">
        <v>92</v>
      </c>
      <c r="Y1220" t="s">
        <v>38</v>
      </c>
      <c r="AA1220" t="s">
        <v>38</v>
      </c>
      <c r="AB1220" t="s">
        <v>38</v>
      </c>
      <c r="AC1220" t="s">
        <v>38</v>
      </c>
      <c r="AD1220" t="s">
        <v>48</v>
      </c>
      <c r="AG1220" t="str">
        <f>IF(AD1220="United States", IFERROR(INDEX(Sheet2!$C:$C, MATCH(AE1220&amp;AF1220, Sheet2!$E:$E, 0)) &amp; ", " &amp; INDEX(Sheet2!$D:$D, MATCH(AE1220&amp;AF1220, Sheet2!$E:$E, 0)), ""), "-")</f>
        <v/>
      </c>
    </row>
    <row r="1221" spans="1:33" x14ac:dyDescent="0.25">
      <c r="A1221" t="s">
        <v>2375</v>
      </c>
      <c r="D1221" t="s">
        <v>150</v>
      </c>
      <c r="E1221" t="s">
        <v>268</v>
      </c>
      <c r="F1221">
        <v>1743</v>
      </c>
      <c r="G1221">
        <v>661</v>
      </c>
      <c r="H1221">
        <v>31</v>
      </c>
      <c r="J1221" t="s">
        <v>2378</v>
      </c>
      <c r="O1221" t="s">
        <v>41</v>
      </c>
      <c r="R1221" t="s">
        <v>89</v>
      </c>
      <c r="T1221" t="s">
        <v>89</v>
      </c>
      <c r="V1221" t="s">
        <v>137</v>
      </c>
      <c r="W1221" t="s">
        <v>92</v>
      </c>
      <c r="Y1221" t="s">
        <v>38</v>
      </c>
      <c r="AA1221" t="s">
        <v>38</v>
      </c>
      <c r="AB1221" t="s">
        <v>38</v>
      </c>
      <c r="AC1221" t="s">
        <v>38</v>
      </c>
      <c r="AD1221" t="s">
        <v>48</v>
      </c>
      <c r="AG1221" t="str">
        <f>IF(AD1221="United States", IFERROR(INDEX(Sheet2!$C:$C, MATCH(AE1221&amp;AF1221, Sheet2!$E:$E, 0)) &amp; ", " &amp; INDEX(Sheet2!$D:$D, MATCH(AE1221&amp;AF1221, Sheet2!$E:$E, 0)), ""), "-")</f>
        <v/>
      </c>
    </row>
    <row r="1222" spans="1:33" x14ac:dyDescent="0.25">
      <c r="A1222" t="s">
        <v>235</v>
      </c>
      <c r="B1222" t="s">
        <v>2380</v>
      </c>
      <c r="C1222" t="s">
        <v>2381</v>
      </c>
      <c r="D1222" t="s">
        <v>200</v>
      </c>
      <c r="E1222" t="s">
        <v>2382</v>
      </c>
      <c r="F1222">
        <v>1756</v>
      </c>
      <c r="G1222">
        <v>1923</v>
      </c>
      <c r="H1222" t="s">
        <v>1979</v>
      </c>
      <c r="I1222" t="s">
        <v>80</v>
      </c>
      <c r="J1222" t="s">
        <v>38</v>
      </c>
      <c r="K1222" t="s">
        <v>38</v>
      </c>
      <c r="L1222" t="s">
        <v>38</v>
      </c>
      <c r="M1222" t="s">
        <v>38</v>
      </c>
      <c r="N1222" t="s">
        <v>38</v>
      </c>
      <c r="O1222" t="s">
        <v>41</v>
      </c>
      <c r="P1222" t="s">
        <v>42</v>
      </c>
      <c r="Q1222" t="s">
        <v>43</v>
      </c>
      <c r="R1222" t="s">
        <v>89</v>
      </c>
      <c r="S1222" t="s">
        <v>38</v>
      </c>
      <c r="T1222" t="s">
        <v>89</v>
      </c>
      <c r="U1222" t="s">
        <v>38</v>
      </c>
      <c r="V1222" t="s">
        <v>38</v>
      </c>
      <c r="W1222" t="s">
        <v>92</v>
      </c>
      <c r="X1222" t="s">
        <v>38</v>
      </c>
      <c r="Y1222" t="s">
        <v>2383</v>
      </c>
      <c r="Z1222" t="s">
        <v>42</v>
      </c>
      <c r="AA1222" t="s">
        <v>38</v>
      </c>
      <c r="AB1222" t="s">
        <v>38</v>
      </c>
      <c r="AC1222" t="s">
        <v>120</v>
      </c>
      <c r="AD1222" t="s">
        <v>48</v>
      </c>
      <c r="AG1222" t="str">
        <f>IF(AD1222="United States", IFERROR(INDEX(Sheet2!$C:$C, MATCH(AE1222&amp;AF1222, Sheet2!$E:$E, 0)) &amp; ", " &amp; INDEX(Sheet2!$D:$D, MATCH(AE1222&amp;AF1222, Sheet2!$E:$E, 0)), ""), "-")</f>
        <v/>
      </c>
    </row>
    <row r="1223" spans="1:33" x14ac:dyDescent="0.25">
      <c r="A1223" t="s">
        <v>235</v>
      </c>
      <c r="B1223" t="s">
        <v>2384</v>
      </c>
      <c r="C1223" t="s">
        <v>2385</v>
      </c>
      <c r="D1223" t="s">
        <v>210</v>
      </c>
      <c r="E1223" t="s">
        <v>2386</v>
      </c>
      <c r="F1223">
        <v>1765</v>
      </c>
      <c r="G1223">
        <v>396</v>
      </c>
      <c r="H1223" t="s">
        <v>1979</v>
      </c>
      <c r="I1223" t="s">
        <v>39</v>
      </c>
      <c r="J1223" t="s">
        <v>2387</v>
      </c>
      <c r="K1223" t="s">
        <v>569</v>
      </c>
      <c r="L1223" t="s">
        <v>2386</v>
      </c>
      <c r="M1223" t="s">
        <v>352</v>
      </c>
      <c r="N1223" t="s">
        <v>2386</v>
      </c>
      <c r="O1223" t="s">
        <v>41</v>
      </c>
      <c r="P1223" t="s">
        <v>42</v>
      </c>
      <c r="Q1223" t="s">
        <v>43</v>
      </c>
      <c r="R1223" t="s">
        <v>89</v>
      </c>
      <c r="S1223" t="s">
        <v>38</v>
      </c>
      <c r="T1223" t="s">
        <v>89</v>
      </c>
      <c r="U1223" t="s">
        <v>38</v>
      </c>
      <c r="V1223" t="s">
        <v>137</v>
      </c>
      <c r="W1223" t="s">
        <v>92</v>
      </c>
      <c r="X1223" t="s">
        <v>38</v>
      </c>
      <c r="Y1223" t="s">
        <v>40</v>
      </c>
      <c r="Z1223" t="s">
        <v>42</v>
      </c>
      <c r="AA1223" t="s">
        <v>265</v>
      </c>
      <c r="AB1223" t="s">
        <v>38</v>
      </c>
      <c r="AC1223" t="s">
        <v>562</v>
      </c>
      <c r="AD1223" t="s">
        <v>48</v>
      </c>
      <c r="AG1223" t="str">
        <f>IF(AD1223="United States", IFERROR(INDEX(Sheet2!$C:$C, MATCH(AE1223&amp;AF1223, Sheet2!$E:$E, 0)) &amp; ", " &amp; INDEX(Sheet2!$D:$D, MATCH(AE1223&amp;AF1223, Sheet2!$E:$E, 0)), ""), "-")</f>
        <v/>
      </c>
    </row>
    <row r="1224" spans="1:33" x14ac:dyDescent="0.25">
      <c r="A1224" t="s">
        <v>235</v>
      </c>
      <c r="B1224" t="s">
        <v>2388</v>
      </c>
      <c r="C1224" t="s">
        <v>2385</v>
      </c>
      <c r="D1224" t="s">
        <v>204</v>
      </c>
      <c r="E1224" t="s">
        <v>2386</v>
      </c>
      <c r="F1224">
        <v>1684</v>
      </c>
      <c r="G1224">
        <v>397</v>
      </c>
      <c r="H1224" t="s">
        <v>38</v>
      </c>
      <c r="I1224" t="s">
        <v>39</v>
      </c>
      <c r="J1224" t="s">
        <v>2387</v>
      </c>
      <c r="K1224" t="s">
        <v>210</v>
      </c>
      <c r="L1224" t="s">
        <v>2386</v>
      </c>
      <c r="M1224" t="s">
        <v>352</v>
      </c>
      <c r="N1224" t="s">
        <v>2386</v>
      </c>
      <c r="O1224" t="s">
        <v>54</v>
      </c>
      <c r="P1224" t="s">
        <v>42</v>
      </c>
      <c r="Q1224" t="s">
        <v>43</v>
      </c>
      <c r="R1224" t="s">
        <v>38</v>
      </c>
      <c r="S1224" t="s">
        <v>38</v>
      </c>
      <c r="T1224" t="s">
        <v>38</v>
      </c>
      <c r="U1224" t="s">
        <v>38</v>
      </c>
      <c r="V1224" t="s">
        <v>137</v>
      </c>
      <c r="W1224" t="s">
        <v>38</v>
      </c>
      <c r="X1224" t="s">
        <v>38</v>
      </c>
      <c r="Y1224" t="s">
        <v>40</v>
      </c>
      <c r="Z1224" t="s">
        <v>42</v>
      </c>
      <c r="AA1224" t="s">
        <v>38</v>
      </c>
      <c r="AB1224" t="s">
        <v>38</v>
      </c>
      <c r="AC1224" t="s">
        <v>38</v>
      </c>
      <c r="AD1224" t="s">
        <v>48</v>
      </c>
      <c r="AG1224" t="str">
        <f>IF(AD1224="United States", IFERROR(INDEX(Sheet2!$C:$C, MATCH(AE1224&amp;AF1224, Sheet2!$E:$E, 0)) &amp; ", " &amp; INDEX(Sheet2!$D:$D, MATCH(AE1224&amp;AF1224, Sheet2!$E:$E, 0)), ""), "-")</f>
        <v/>
      </c>
    </row>
    <row r="1225" spans="1:33" x14ac:dyDescent="0.25">
      <c r="A1225" t="s">
        <v>235</v>
      </c>
      <c r="B1225" t="s">
        <v>2389</v>
      </c>
      <c r="C1225" t="s">
        <v>2390</v>
      </c>
      <c r="D1225" t="s">
        <v>835</v>
      </c>
      <c r="E1225" t="s">
        <v>1432</v>
      </c>
      <c r="F1225">
        <v>1749</v>
      </c>
      <c r="G1225">
        <v>2699</v>
      </c>
      <c r="I1225" t="s">
        <v>39</v>
      </c>
      <c r="J1225" t="s">
        <v>2391</v>
      </c>
      <c r="O1225" t="s">
        <v>57</v>
      </c>
      <c r="P1225" t="s">
        <v>42</v>
      </c>
      <c r="Q1225" t="s">
        <v>43</v>
      </c>
      <c r="R1225" t="s">
        <v>1423</v>
      </c>
      <c r="S1225" t="s">
        <v>89</v>
      </c>
      <c r="V1225" t="s">
        <v>270</v>
      </c>
      <c r="Y1225" t="s">
        <v>2392</v>
      </c>
      <c r="Z1225" t="s">
        <v>42</v>
      </c>
      <c r="AA1225" t="s">
        <v>1423</v>
      </c>
      <c r="AB1225" t="s">
        <v>38</v>
      </c>
      <c r="AC1225" t="s">
        <v>89</v>
      </c>
      <c r="AD1225" t="s">
        <v>48</v>
      </c>
      <c r="AG1225" t="str">
        <f>IF(AD1225="United States", IFERROR(INDEX(Sheet2!$C:$C, MATCH(AE1225&amp;AF1225, Sheet2!$E:$E, 0)) &amp; ", " &amp; INDEX(Sheet2!$D:$D, MATCH(AE1225&amp;AF1225, Sheet2!$E:$E, 0)), ""), "-")</f>
        <v/>
      </c>
    </row>
    <row r="1226" spans="1:33" x14ac:dyDescent="0.25">
      <c r="A1226" t="s">
        <v>235</v>
      </c>
      <c r="B1226" t="s">
        <v>2393</v>
      </c>
      <c r="C1226" t="s">
        <v>2385</v>
      </c>
      <c r="D1226" t="s">
        <v>357</v>
      </c>
      <c r="E1226" t="s">
        <v>2394</v>
      </c>
      <c r="F1226">
        <v>1763</v>
      </c>
      <c r="G1226">
        <v>2693</v>
      </c>
      <c r="I1226" t="s">
        <v>39</v>
      </c>
      <c r="J1226" t="s">
        <v>2387</v>
      </c>
      <c r="O1226" t="s">
        <v>41</v>
      </c>
      <c r="P1226" t="s">
        <v>42</v>
      </c>
      <c r="Q1226" t="s">
        <v>43</v>
      </c>
      <c r="R1226" t="s">
        <v>2395</v>
      </c>
      <c r="S1226" t="s">
        <v>201</v>
      </c>
      <c r="V1226" t="s">
        <v>137</v>
      </c>
      <c r="Y1226" t="s">
        <v>2396</v>
      </c>
      <c r="Z1226" t="s">
        <v>42</v>
      </c>
      <c r="AA1226" t="s">
        <v>265</v>
      </c>
      <c r="AB1226" t="s">
        <v>38</v>
      </c>
      <c r="AC1226" t="s">
        <v>201</v>
      </c>
      <c r="AD1226" t="s">
        <v>48</v>
      </c>
      <c r="AG1226" t="str">
        <f>IF(AD1226="United States", IFERROR(INDEX(Sheet2!$C:$C, MATCH(AE1226&amp;AF1226, Sheet2!$E:$E, 0)) &amp; ", " &amp; INDEX(Sheet2!$D:$D, MATCH(AE1226&amp;AF1226, Sheet2!$E:$E, 0)), ""), "-")</f>
        <v/>
      </c>
    </row>
    <row r="1227" spans="1:33" x14ac:dyDescent="0.25">
      <c r="A1227" t="s">
        <v>235</v>
      </c>
      <c r="B1227" t="s">
        <v>2397</v>
      </c>
      <c r="C1227" t="s">
        <v>2381</v>
      </c>
      <c r="D1227" t="s">
        <v>834</v>
      </c>
      <c r="E1227" t="s">
        <v>1684</v>
      </c>
      <c r="F1227">
        <v>1745</v>
      </c>
      <c r="G1227">
        <v>1918</v>
      </c>
      <c r="H1227" t="s">
        <v>38</v>
      </c>
      <c r="I1227" t="s">
        <v>80</v>
      </c>
      <c r="J1227" t="s">
        <v>38</v>
      </c>
      <c r="K1227" t="s">
        <v>38</v>
      </c>
      <c r="L1227" t="s">
        <v>38</v>
      </c>
      <c r="M1227" t="s">
        <v>38</v>
      </c>
      <c r="N1227" t="s">
        <v>38</v>
      </c>
      <c r="O1227" t="s">
        <v>57</v>
      </c>
      <c r="P1227" t="s">
        <v>42</v>
      </c>
      <c r="Q1227" t="s">
        <v>43</v>
      </c>
      <c r="R1227" t="s">
        <v>38</v>
      </c>
      <c r="S1227" t="s">
        <v>38</v>
      </c>
      <c r="T1227" t="s">
        <v>38</v>
      </c>
      <c r="U1227" t="s">
        <v>38</v>
      </c>
      <c r="V1227" t="s">
        <v>38</v>
      </c>
      <c r="W1227" t="s">
        <v>38</v>
      </c>
      <c r="X1227" t="s">
        <v>38</v>
      </c>
      <c r="Y1227" t="s">
        <v>2398</v>
      </c>
      <c r="Z1227" t="s">
        <v>42</v>
      </c>
      <c r="AA1227" t="s">
        <v>38</v>
      </c>
      <c r="AB1227" t="s">
        <v>38</v>
      </c>
      <c r="AC1227" t="s">
        <v>38</v>
      </c>
      <c r="AD1227" t="s">
        <v>48</v>
      </c>
      <c r="AG1227" t="str">
        <f>IF(AD1227="United States", IFERROR(INDEX(Sheet2!$C:$C, MATCH(AE1227&amp;AF1227, Sheet2!$E:$E, 0)) &amp; ", " &amp; INDEX(Sheet2!$D:$D, MATCH(AE1227&amp;AF1227, Sheet2!$E:$E, 0)), ""), "-")</f>
        <v/>
      </c>
    </row>
    <row r="1228" spans="1:33" x14ac:dyDescent="0.25">
      <c r="A1228" t="s">
        <v>235</v>
      </c>
      <c r="B1228" t="s">
        <v>2399</v>
      </c>
      <c r="C1228" t="s">
        <v>2385</v>
      </c>
      <c r="D1228" t="s">
        <v>621</v>
      </c>
      <c r="E1228" t="s">
        <v>132</v>
      </c>
      <c r="F1228">
        <v>1780</v>
      </c>
      <c r="G1228">
        <v>2694</v>
      </c>
      <c r="I1228" t="s">
        <v>39</v>
      </c>
      <c r="J1228" t="s">
        <v>2387</v>
      </c>
      <c r="K1228" t="s">
        <v>357</v>
      </c>
      <c r="L1228" t="s">
        <v>2394</v>
      </c>
      <c r="O1228" t="s">
        <v>54</v>
      </c>
      <c r="P1228" t="s">
        <v>42</v>
      </c>
      <c r="Q1228" t="s">
        <v>43</v>
      </c>
      <c r="V1228" t="s">
        <v>137</v>
      </c>
      <c r="Y1228" t="s">
        <v>2400</v>
      </c>
      <c r="Z1228" t="s">
        <v>42</v>
      </c>
      <c r="AA1228" t="s">
        <v>38</v>
      </c>
      <c r="AB1228" t="s">
        <v>38</v>
      </c>
      <c r="AC1228" t="s">
        <v>1813</v>
      </c>
      <c r="AD1228" t="s">
        <v>48</v>
      </c>
      <c r="AG1228" t="str">
        <f>IF(AD1228="United States", IFERROR(INDEX(Sheet2!$C:$C, MATCH(AE1228&amp;AF1228, Sheet2!$E:$E, 0)) &amp; ", " &amp; INDEX(Sheet2!$D:$D, MATCH(AE1228&amp;AF1228, Sheet2!$E:$E, 0)), ""), "-")</f>
        <v/>
      </c>
    </row>
    <row r="1229" spans="1:33" x14ac:dyDescent="0.25">
      <c r="A1229" t="s">
        <v>235</v>
      </c>
      <c r="B1229" t="s">
        <v>2401</v>
      </c>
      <c r="C1229" t="s">
        <v>2381</v>
      </c>
      <c r="D1229" t="s">
        <v>72</v>
      </c>
      <c r="E1229" t="s">
        <v>1861</v>
      </c>
      <c r="F1229">
        <v>1753</v>
      </c>
      <c r="G1229">
        <v>1919</v>
      </c>
      <c r="H1229" t="s">
        <v>173</v>
      </c>
      <c r="I1229" t="s">
        <v>80</v>
      </c>
      <c r="J1229" t="s">
        <v>38</v>
      </c>
      <c r="K1229" t="s">
        <v>38</v>
      </c>
      <c r="L1229" t="s">
        <v>38</v>
      </c>
      <c r="M1229" t="s">
        <v>38</v>
      </c>
      <c r="N1229" t="s">
        <v>38</v>
      </c>
      <c r="O1229" t="s">
        <v>57</v>
      </c>
      <c r="P1229" t="s">
        <v>42</v>
      </c>
      <c r="Q1229" t="s">
        <v>43</v>
      </c>
      <c r="R1229" t="s">
        <v>89</v>
      </c>
      <c r="S1229" t="s">
        <v>38</v>
      </c>
      <c r="T1229" t="s">
        <v>89</v>
      </c>
      <c r="U1229" t="s">
        <v>38</v>
      </c>
      <c r="V1229" t="s">
        <v>38</v>
      </c>
      <c r="W1229" t="s">
        <v>92</v>
      </c>
      <c r="X1229" t="s">
        <v>38</v>
      </c>
      <c r="Y1229" t="s">
        <v>38</v>
      </c>
      <c r="Z1229" t="s">
        <v>42</v>
      </c>
      <c r="AA1229" t="s">
        <v>38</v>
      </c>
      <c r="AB1229" t="s">
        <v>38</v>
      </c>
      <c r="AC1229" t="s">
        <v>38</v>
      </c>
      <c r="AD1229" t="s">
        <v>48</v>
      </c>
      <c r="AG1229" t="str">
        <f>IF(AD1229="United States", IFERROR(INDEX(Sheet2!$C:$C, MATCH(AE1229&amp;AF1229, Sheet2!$E:$E, 0)) &amp; ", " &amp; INDEX(Sheet2!$D:$D, MATCH(AE1229&amp;AF1229, Sheet2!$E:$E, 0)), ""), "-")</f>
        <v/>
      </c>
    </row>
    <row r="1230" spans="1:33" x14ac:dyDescent="0.25">
      <c r="A1230" t="s">
        <v>235</v>
      </c>
      <c r="B1230" t="s">
        <v>2402</v>
      </c>
      <c r="C1230" t="s">
        <v>2381</v>
      </c>
      <c r="D1230" t="s">
        <v>285</v>
      </c>
      <c r="E1230" t="s">
        <v>1861</v>
      </c>
      <c r="F1230">
        <v>1779</v>
      </c>
      <c r="G1230">
        <v>1920</v>
      </c>
      <c r="H1230" t="s">
        <v>173</v>
      </c>
      <c r="I1230" t="s">
        <v>80</v>
      </c>
      <c r="J1230" t="s">
        <v>38</v>
      </c>
      <c r="K1230" t="s">
        <v>38</v>
      </c>
      <c r="L1230" t="s">
        <v>38</v>
      </c>
      <c r="M1230" t="s">
        <v>38</v>
      </c>
      <c r="N1230" t="s">
        <v>38</v>
      </c>
      <c r="O1230" t="s">
        <v>54</v>
      </c>
      <c r="P1230" t="s">
        <v>42</v>
      </c>
      <c r="Q1230" t="s">
        <v>43</v>
      </c>
      <c r="R1230" t="s">
        <v>89</v>
      </c>
      <c r="S1230" t="s">
        <v>38</v>
      </c>
      <c r="T1230" t="s">
        <v>89</v>
      </c>
      <c r="U1230" t="s">
        <v>38</v>
      </c>
      <c r="V1230" t="s">
        <v>38</v>
      </c>
      <c r="W1230" t="s">
        <v>92</v>
      </c>
      <c r="X1230" t="s">
        <v>38</v>
      </c>
      <c r="Y1230" t="s">
        <v>38</v>
      </c>
      <c r="Z1230" t="s">
        <v>42</v>
      </c>
      <c r="AA1230" t="s">
        <v>38</v>
      </c>
      <c r="AB1230" t="s">
        <v>38</v>
      </c>
      <c r="AC1230" t="s">
        <v>38</v>
      </c>
      <c r="AD1230" t="s">
        <v>48</v>
      </c>
      <c r="AG1230" t="str">
        <f>IF(AD1230="United States", IFERROR(INDEX(Sheet2!$C:$C, MATCH(AE1230&amp;AF1230, Sheet2!$E:$E, 0)) &amp; ", " &amp; INDEX(Sheet2!$D:$D, MATCH(AE1230&amp;AF1230, Sheet2!$E:$E, 0)), ""), "-")</f>
        <v/>
      </c>
    </row>
    <row r="1231" spans="1:33" x14ac:dyDescent="0.25">
      <c r="A1231" t="s">
        <v>235</v>
      </c>
      <c r="B1231" t="s">
        <v>2403</v>
      </c>
      <c r="C1231" t="s">
        <v>2381</v>
      </c>
      <c r="D1231" t="s">
        <v>140</v>
      </c>
      <c r="E1231" t="s">
        <v>2404</v>
      </c>
      <c r="F1231">
        <v>1770</v>
      </c>
      <c r="G1231">
        <v>1921</v>
      </c>
      <c r="H1231" t="s">
        <v>173</v>
      </c>
      <c r="I1231" t="s">
        <v>80</v>
      </c>
      <c r="J1231" t="s">
        <v>38</v>
      </c>
      <c r="K1231" t="s">
        <v>38</v>
      </c>
      <c r="L1231" t="s">
        <v>38</v>
      </c>
      <c r="M1231" t="s">
        <v>38</v>
      </c>
      <c r="N1231" t="s">
        <v>38</v>
      </c>
      <c r="O1231" t="s">
        <v>74</v>
      </c>
      <c r="P1231" t="s">
        <v>42</v>
      </c>
      <c r="Q1231" t="s">
        <v>43</v>
      </c>
      <c r="R1231" t="s">
        <v>89</v>
      </c>
      <c r="S1231" t="s">
        <v>38</v>
      </c>
      <c r="T1231" t="s">
        <v>89</v>
      </c>
      <c r="U1231" t="s">
        <v>38</v>
      </c>
      <c r="V1231" t="s">
        <v>38</v>
      </c>
      <c r="W1231" t="s">
        <v>92</v>
      </c>
      <c r="X1231" t="s">
        <v>38</v>
      </c>
      <c r="Y1231" t="s">
        <v>2405</v>
      </c>
      <c r="Z1231" t="s">
        <v>42</v>
      </c>
      <c r="AA1231" t="s">
        <v>38</v>
      </c>
      <c r="AB1231" t="s">
        <v>38</v>
      </c>
      <c r="AC1231" t="s">
        <v>38</v>
      </c>
      <c r="AD1231" t="s">
        <v>48</v>
      </c>
      <c r="AG1231" t="str">
        <f>IF(AD1231="United States", IFERROR(INDEX(Sheet2!$C:$C, MATCH(AE1231&amp;AF1231, Sheet2!$E:$E, 0)) &amp; ", " &amp; INDEX(Sheet2!$D:$D, MATCH(AE1231&amp;AF1231, Sheet2!$E:$E, 0)), ""), "-")</f>
        <v/>
      </c>
    </row>
    <row r="1232" spans="1:33" x14ac:dyDescent="0.25">
      <c r="A1232" t="s">
        <v>235</v>
      </c>
      <c r="B1232" t="s">
        <v>2406</v>
      </c>
      <c r="C1232" t="s">
        <v>2381</v>
      </c>
      <c r="D1232" t="s">
        <v>676</v>
      </c>
      <c r="E1232" t="s">
        <v>2382</v>
      </c>
      <c r="F1232">
        <v>1757</v>
      </c>
      <c r="G1232">
        <v>1922</v>
      </c>
      <c r="H1232" t="s">
        <v>173</v>
      </c>
      <c r="I1232" t="s">
        <v>80</v>
      </c>
      <c r="J1232" t="s">
        <v>38</v>
      </c>
      <c r="K1232" t="s">
        <v>38</v>
      </c>
      <c r="L1232" t="s">
        <v>38</v>
      </c>
      <c r="M1232" t="s">
        <v>38</v>
      </c>
      <c r="N1232" t="s">
        <v>38</v>
      </c>
      <c r="O1232" t="s">
        <v>57</v>
      </c>
      <c r="P1232" t="s">
        <v>42</v>
      </c>
      <c r="Q1232" t="s">
        <v>43</v>
      </c>
      <c r="R1232" t="s">
        <v>89</v>
      </c>
      <c r="S1232" t="s">
        <v>89</v>
      </c>
      <c r="T1232" t="s">
        <v>89</v>
      </c>
      <c r="U1232" t="s">
        <v>38</v>
      </c>
      <c r="V1232" t="s">
        <v>38</v>
      </c>
      <c r="W1232" t="s">
        <v>92</v>
      </c>
      <c r="X1232" t="s">
        <v>38</v>
      </c>
      <c r="Y1232" t="s">
        <v>2383</v>
      </c>
      <c r="Z1232" t="s">
        <v>42</v>
      </c>
      <c r="AA1232" t="s">
        <v>89</v>
      </c>
      <c r="AB1232" t="s">
        <v>89</v>
      </c>
      <c r="AC1232" t="s">
        <v>89</v>
      </c>
      <c r="AD1232" t="s">
        <v>48</v>
      </c>
      <c r="AG1232" t="str">
        <f>IF(AD1232="United States", IFERROR(INDEX(Sheet2!$C:$C, MATCH(AE1232&amp;AF1232, Sheet2!$E:$E, 0)) &amp; ", " &amp; INDEX(Sheet2!$D:$D, MATCH(AE1232&amp;AF1232, Sheet2!$E:$E, 0)), ""), "-")</f>
        <v/>
      </c>
    </row>
    <row r="1233" spans="1:33" x14ac:dyDescent="0.25">
      <c r="A1233" t="s">
        <v>235</v>
      </c>
      <c r="B1233" t="s">
        <v>2407</v>
      </c>
      <c r="C1233" t="s">
        <v>2381</v>
      </c>
      <c r="D1233" t="s">
        <v>140</v>
      </c>
      <c r="E1233" t="s">
        <v>38</v>
      </c>
      <c r="F1233">
        <v>1767</v>
      </c>
      <c r="G1233">
        <v>1924</v>
      </c>
      <c r="H1233" t="s">
        <v>173</v>
      </c>
      <c r="I1233" t="s">
        <v>80</v>
      </c>
      <c r="J1233" t="s">
        <v>38</v>
      </c>
      <c r="K1233" t="s">
        <v>38</v>
      </c>
      <c r="L1233" t="s">
        <v>38</v>
      </c>
      <c r="M1233" t="s">
        <v>38</v>
      </c>
      <c r="N1233" t="s">
        <v>38</v>
      </c>
      <c r="O1233" t="s">
        <v>74</v>
      </c>
      <c r="P1233" t="s">
        <v>42</v>
      </c>
      <c r="Q1233" t="s">
        <v>43</v>
      </c>
      <c r="R1233" t="s">
        <v>89</v>
      </c>
      <c r="S1233" t="s">
        <v>38</v>
      </c>
      <c r="T1233" t="s">
        <v>89</v>
      </c>
      <c r="U1233" t="s">
        <v>38</v>
      </c>
      <c r="V1233" t="s">
        <v>38</v>
      </c>
      <c r="W1233" t="s">
        <v>92</v>
      </c>
      <c r="X1233" t="s">
        <v>38</v>
      </c>
      <c r="Y1233" t="s">
        <v>2383</v>
      </c>
      <c r="Z1233" t="s">
        <v>42</v>
      </c>
      <c r="AA1233" t="s">
        <v>38</v>
      </c>
      <c r="AB1233" t="s">
        <v>38</v>
      </c>
      <c r="AC1233" t="s">
        <v>38</v>
      </c>
      <c r="AD1233" t="s">
        <v>48</v>
      </c>
      <c r="AG1233" t="str">
        <f>IF(AD1233="United States", IFERROR(INDEX(Sheet2!$C:$C, MATCH(AE1233&amp;AF1233, Sheet2!$E:$E, 0)) &amp; ", " &amp; INDEX(Sheet2!$D:$D, MATCH(AE1233&amp;AF1233, Sheet2!$E:$E, 0)), ""), "-")</f>
        <v/>
      </c>
    </row>
    <row r="1234" spans="1:33" x14ac:dyDescent="0.25">
      <c r="A1234" t="s">
        <v>235</v>
      </c>
      <c r="B1234" t="s">
        <v>2408</v>
      </c>
      <c r="C1234" t="s">
        <v>2381</v>
      </c>
      <c r="D1234" t="s">
        <v>991</v>
      </c>
      <c r="E1234" t="s">
        <v>38</v>
      </c>
      <c r="F1234">
        <v>1772</v>
      </c>
      <c r="G1234">
        <v>1932</v>
      </c>
      <c r="H1234" t="s">
        <v>38</v>
      </c>
      <c r="I1234" t="s">
        <v>80</v>
      </c>
      <c r="J1234" t="s">
        <v>38</v>
      </c>
      <c r="K1234" t="s">
        <v>38</v>
      </c>
      <c r="L1234" t="s">
        <v>38</v>
      </c>
      <c r="M1234" t="s">
        <v>38</v>
      </c>
      <c r="N1234" t="s">
        <v>38</v>
      </c>
      <c r="O1234" t="s">
        <v>54</v>
      </c>
      <c r="P1234" t="s">
        <v>42</v>
      </c>
      <c r="Q1234" t="s">
        <v>43</v>
      </c>
      <c r="R1234" t="s">
        <v>38</v>
      </c>
      <c r="S1234" t="s">
        <v>38</v>
      </c>
      <c r="T1234" t="s">
        <v>38</v>
      </c>
      <c r="U1234" t="s">
        <v>38</v>
      </c>
      <c r="V1234" t="s">
        <v>38</v>
      </c>
      <c r="W1234" t="s">
        <v>38</v>
      </c>
      <c r="X1234" t="s">
        <v>38</v>
      </c>
      <c r="Y1234" t="s">
        <v>2409</v>
      </c>
      <c r="Z1234" t="s">
        <v>42</v>
      </c>
      <c r="AA1234" t="s">
        <v>38</v>
      </c>
      <c r="AB1234" t="s">
        <v>38</v>
      </c>
      <c r="AC1234" t="s">
        <v>38</v>
      </c>
      <c r="AD1234" t="s">
        <v>48</v>
      </c>
      <c r="AG1234" t="str">
        <f>IF(AD1234="United States", IFERROR(INDEX(Sheet2!$C:$C, MATCH(AE1234&amp;AF1234, Sheet2!$E:$E, 0)) &amp; ", " &amp; INDEX(Sheet2!$D:$D, MATCH(AE1234&amp;AF1234, Sheet2!$E:$E, 0)), ""), "-")</f>
        <v/>
      </c>
    </row>
    <row r="1235" spans="1:33" x14ac:dyDescent="0.25">
      <c r="A1235" t="s">
        <v>235</v>
      </c>
      <c r="B1235" t="s">
        <v>2410</v>
      </c>
      <c r="C1235" t="s">
        <v>2381</v>
      </c>
      <c r="D1235" t="s">
        <v>2411</v>
      </c>
      <c r="E1235" t="s">
        <v>2412</v>
      </c>
      <c r="F1235">
        <v>1767</v>
      </c>
      <c r="G1235">
        <v>1926</v>
      </c>
      <c r="H1235" t="s">
        <v>38</v>
      </c>
      <c r="I1235" t="s">
        <v>80</v>
      </c>
      <c r="J1235" t="s">
        <v>38</v>
      </c>
      <c r="K1235" t="s">
        <v>38</v>
      </c>
      <c r="L1235" t="s">
        <v>38</v>
      </c>
      <c r="M1235" t="s">
        <v>38</v>
      </c>
      <c r="N1235" t="s">
        <v>38</v>
      </c>
      <c r="O1235" t="s">
        <v>54</v>
      </c>
      <c r="P1235" t="s">
        <v>42</v>
      </c>
      <c r="Q1235" t="s">
        <v>43</v>
      </c>
      <c r="R1235" t="s">
        <v>38</v>
      </c>
      <c r="S1235" t="s">
        <v>38</v>
      </c>
      <c r="T1235" t="s">
        <v>38</v>
      </c>
      <c r="U1235" t="s">
        <v>38</v>
      </c>
      <c r="V1235" t="s">
        <v>38</v>
      </c>
      <c r="W1235" t="s">
        <v>38</v>
      </c>
      <c r="X1235" t="s">
        <v>38</v>
      </c>
      <c r="Y1235" t="s">
        <v>2413</v>
      </c>
      <c r="Z1235" t="s">
        <v>42</v>
      </c>
      <c r="AA1235" t="s">
        <v>38</v>
      </c>
      <c r="AB1235" t="s">
        <v>38</v>
      </c>
      <c r="AC1235" t="s">
        <v>38</v>
      </c>
      <c r="AD1235" t="s">
        <v>48</v>
      </c>
      <c r="AG1235" t="str">
        <f>IF(AD1235="United States", IFERROR(INDEX(Sheet2!$C:$C, MATCH(AE1235&amp;AF1235, Sheet2!$E:$E, 0)) &amp; ", " &amp; INDEX(Sheet2!$D:$D, MATCH(AE1235&amp;AF1235, Sheet2!$E:$E, 0)), ""), "-")</f>
        <v/>
      </c>
    </row>
    <row r="1236" spans="1:33" x14ac:dyDescent="0.25">
      <c r="A1236" t="s">
        <v>235</v>
      </c>
      <c r="B1236" t="s">
        <v>2414</v>
      </c>
      <c r="C1236" t="s">
        <v>2381</v>
      </c>
      <c r="D1236" t="s">
        <v>774</v>
      </c>
      <c r="E1236" t="s">
        <v>37</v>
      </c>
      <c r="F1236">
        <v>1772</v>
      </c>
      <c r="G1236">
        <v>1927</v>
      </c>
      <c r="H1236" t="s">
        <v>38</v>
      </c>
      <c r="I1236" t="s">
        <v>80</v>
      </c>
      <c r="J1236" t="s">
        <v>38</v>
      </c>
      <c r="K1236" t="s">
        <v>38</v>
      </c>
      <c r="L1236" t="s">
        <v>38</v>
      </c>
      <c r="M1236" t="s">
        <v>38</v>
      </c>
      <c r="N1236" t="s">
        <v>38</v>
      </c>
      <c r="O1236" t="s">
        <v>54</v>
      </c>
      <c r="P1236" t="s">
        <v>42</v>
      </c>
      <c r="Q1236" t="s">
        <v>43</v>
      </c>
      <c r="R1236" t="s">
        <v>38</v>
      </c>
      <c r="S1236" t="s">
        <v>38</v>
      </c>
      <c r="T1236" t="s">
        <v>38</v>
      </c>
      <c r="U1236" t="s">
        <v>38</v>
      </c>
      <c r="V1236" t="s">
        <v>38</v>
      </c>
      <c r="W1236" t="s">
        <v>38</v>
      </c>
      <c r="X1236" t="s">
        <v>38</v>
      </c>
      <c r="Y1236" t="s">
        <v>2415</v>
      </c>
      <c r="Z1236" t="s">
        <v>42</v>
      </c>
      <c r="AA1236" t="s">
        <v>38</v>
      </c>
      <c r="AB1236" t="s">
        <v>38</v>
      </c>
      <c r="AC1236" t="s">
        <v>38</v>
      </c>
      <c r="AD1236" t="s">
        <v>48</v>
      </c>
      <c r="AG1236" t="str">
        <f>IF(AD1236="United States", IFERROR(INDEX(Sheet2!$C:$C, MATCH(AE1236&amp;AF1236, Sheet2!$E:$E, 0)) &amp; ", " &amp; INDEX(Sheet2!$D:$D, MATCH(AE1236&amp;AF1236, Sheet2!$E:$E, 0)), ""), "-")</f>
        <v/>
      </c>
    </row>
    <row r="1237" spans="1:33" x14ac:dyDescent="0.25">
      <c r="A1237" t="s">
        <v>235</v>
      </c>
      <c r="B1237" t="s">
        <v>2416</v>
      </c>
      <c r="C1237" t="s">
        <v>2381</v>
      </c>
      <c r="D1237" t="s">
        <v>927</v>
      </c>
      <c r="E1237" t="s">
        <v>2417</v>
      </c>
      <c r="F1237">
        <v>1764</v>
      </c>
      <c r="G1237">
        <v>1928</v>
      </c>
      <c r="H1237" t="s">
        <v>38</v>
      </c>
      <c r="I1237" t="s">
        <v>80</v>
      </c>
      <c r="J1237" t="s">
        <v>38</v>
      </c>
      <c r="K1237" t="s">
        <v>38</v>
      </c>
      <c r="L1237" t="s">
        <v>38</v>
      </c>
      <c r="M1237" t="s">
        <v>38</v>
      </c>
      <c r="N1237" t="s">
        <v>38</v>
      </c>
      <c r="O1237" t="s">
        <v>41</v>
      </c>
      <c r="P1237" t="s">
        <v>42</v>
      </c>
      <c r="Q1237" t="s">
        <v>43</v>
      </c>
      <c r="R1237" t="s">
        <v>38</v>
      </c>
      <c r="S1237" t="s">
        <v>38</v>
      </c>
      <c r="T1237" t="s">
        <v>38</v>
      </c>
      <c r="U1237" t="s">
        <v>38</v>
      </c>
      <c r="V1237" t="s">
        <v>38</v>
      </c>
      <c r="W1237" t="s">
        <v>38</v>
      </c>
      <c r="X1237" t="s">
        <v>38</v>
      </c>
      <c r="Y1237" t="s">
        <v>2418</v>
      </c>
      <c r="Z1237" t="s">
        <v>42</v>
      </c>
      <c r="AA1237" t="s">
        <v>38</v>
      </c>
      <c r="AB1237" t="s">
        <v>38</v>
      </c>
      <c r="AC1237" t="s">
        <v>38</v>
      </c>
      <c r="AD1237" t="s">
        <v>48</v>
      </c>
      <c r="AG1237" t="str">
        <f>IF(AD1237="United States", IFERROR(INDEX(Sheet2!$C:$C, MATCH(AE1237&amp;AF1237, Sheet2!$E:$E, 0)) &amp; ", " &amp; INDEX(Sheet2!$D:$D, MATCH(AE1237&amp;AF1237, Sheet2!$E:$E, 0)), ""), "-")</f>
        <v/>
      </c>
    </row>
    <row r="1238" spans="1:33" x14ac:dyDescent="0.25">
      <c r="A1238" t="s">
        <v>235</v>
      </c>
      <c r="B1238" t="s">
        <v>2419</v>
      </c>
      <c r="C1238" t="s">
        <v>2381</v>
      </c>
      <c r="D1238" t="s">
        <v>458</v>
      </c>
      <c r="E1238" t="s">
        <v>2420</v>
      </c>
      <c r="F1238">
        <v>1739</v>
      </c>
      <c r="G1238">
        <v>1929</v>
      </c>
      <c r="H1238" t="s">
        <v>38</v>
      </c>
      <c r="I1238" t="s">
        <v>80</v>
      </c>
      <c r="J1238" t="s">
        <v>38</v>
      </c>
      <c r="K1238" t="s">
        <v>38</v>
      </c>
      <c r="L1238" t="s">
        <v>38</v>
      </c>
      <c r="M1238" t="s">
        <v>38</v>
      </c>
      <c r="N1238" t="s">
        <v>38</v>
      </c>
      <c r="O1238" t="s">
        <v>41</v>
      </c>
      <c r="P1238" t="s">
        <v>42</v>
      </c>
      <c r="Q1238" t="s">
        <v>43</v>
      </c>
      <c r="R1238" t="s">
        <v>38</v>
      </c>
      <c r="S1238" t="s">
        <v>153</v>
      </c>
      <c r="T1238" t="s">
        <v>38</v>
      </c>
      <c r="U1238" t="s">
        <v>38</v>
      </c>
      <c r="V1238" t="s">
        <v>38</v>
      </c>
      <c r="W1238" t="s">
        <v>38</v>
      </c>
      <c r="X1238" t="s">
        <v>38</v>
      </c>
      <c r="Y1238" t="s">
        <v>2421</v>
      </c>
      <c r="Z1238" t="s">
        <v>42</v>
      </c>
      <c r="AA1238" t="s">
        <v>38</v>
      </c>
      <c r="AB1238" t="s">
        <v>38</v>
      </c>
      <c r="AC1238" t="s">
        <v>153</v>
      </c>
      <c r="AD1238" t="s">
        <v>48</v>
      </c>
      <c r="AG1238" t="str">
        <f>IF(AD1238="United States", IFERROR(INDEX(Sheet2!$C:$C, MATCH(AE1238&amp;AF1238, Sheet2!$E:$E, 0)) &amp; ", " &amp; INDEX(Sheet2!$D:$D, MATCH(AE1238&amp;AF1238, Sheet2!$E:$E, 0)), ""), "-")</f>
        <v/>
      </c>
    </row>
    <row r="1239" spans="1:33" x14ac:dyDescent="0.25">
      <c r="A1239" t="s">
        <v>235</v>
      </c>
      <c r="B1239" t="s">
        <v>2422</v>
      </c>
      <c r="C1239" t="s">
        <v>2381</v>
      </c>
      <c r="D1239" t="s">
        <v>2423</v>
      </c>
      <c r="E1239" t="s">
        <v>38</v>
      </c>
      <c r="F1239">
        <v>1753</v>
      </c>
      <c r="G1239">
        <v>1930</v>
      </c>
      <c r="H1239" t="s">
        <v>38</v>
      </c>
      <c r="I1239" t="s">
        <v>80</v>
      </c>
      <c r="J1239" t="s">
        <v>38</v>
      </c>
      <c r="K1239" t="s">
        <v>38</v>
      </c>
      <c r="L1239" t="s">
        <v>38</v>
      </c>
      <c r="M1239" t="s">
        <v>38</v>
      </c>
      <c r="N1239" t="s">
        <v>38</v>
      </c>
      <c r="O1239" t="s">
        <v>57</v>
      </c>
      <c r="P1239" t="s">
        <v>42</v>
      </c>
      <c r="Q1239" t="s">
        <v>43</v>
      </c>
      <c r="R1239" t="s">
        <v>38</v>
      </c>
      <c r="S1239" t="s">
        <v>38</v>
      </c>
      <c r="T1239" t="s">
        <v>38</v>
      </c>
      <c r="U1239" t="s">
        <v>38</v>
      </c>
      <c r="V1239" t="s">
        <v>38</v>
      </c>
      <c r="W1239" t="s">
        <v>38</v>
      </c>
      <c r="X1239" t="s">
        <v>38</v>
      </c>
      <c r="Y1239" t="s">
        <v>2424</v>
      </c>
      <c r="Z1239" t="s">
        <v>42</v>
      </c>
      <c r="AA1239" t="s">
        <v>38</v>
      </c>
      <c r="AB1239" t="s">
        <v>38</v>
      </c>
      <c r="AC1239" t="s">
        <v>2423</v>
      </c>
      <c r="AD1239" t="s">
        <v>48</v>
      </c>
      <c r="AG1239" t="str">
        <f>IF(AD1239="United States", IFERROR(INDEX(Sheet2!$C:$C, MATCH(AE1239&amp;AF1239, Sheet2!$E:$E, 0)) &amp; ", " &amp; INDEX(Sheet2!$D:$D, MATCH(AE1239&amp;AF1239, Sheet2!$E:$E, 0)), ""), "-")</f>
        <v/>
      </c>
    </row>
    <row r="1240" spans="1:33" x14ac:dyDescent="0.25">
      <c r="A1240" t="s">
        <v>235</v>
      </c>
      <c r="B1240" t="s">
        <v>2425</v>
      </c>
      <c r="C1240" t="s">
        <v>2381</v>
      </c>
      <c r="D1240" t="s">
        <v>2426</v>
      </c>
      <c r="E1240" t="s">
        <v>38</v>
      </c>
      <c r="F1240" t="s">
        <v>38</v>
      </c>
      <c r="G1240">
        <v>1931</v>
      </c>
      <c r="H1240" t="s">
        <v>38</v>
      </c>
      <c r="I1240" t="s">
        <v>80</v>
      </c>
      <c r="J1240" t="s">
        <v>38</v>
      </c>
      <c r="K1240" t="s">
        <v>38</v>
      </c>
      <c r="L1240" t="s">
        <v>38</v>
      </c>
      <c r="M1240" t="s">
        <v>38</v>
      </c>
      <c r="N1240" t="s">
        <v>38</v>
      </c>
      <c r="O1240" t="s">
        <v>54</v>
      </c>
      <c r="P1240" t="s">
        <v>42</v>
      </c>
      <c r="Q1240" t="s">
        <v>43</v>
      </c>
      <c r="R1240" t="s">
        <v>38</v>
      </c>
      <c r="S1240" t="s">
        <v>38</v>
      </c>
      <c r="T1240" t="s">
        <v>38</v>
      </c>
      <c r="U1240" t="s">
        <v>38</v>
      </c>
      <c r="V1240" t="s">
        <v>38</v>
      </c>
      <c r="W1240" t="s">
        <v>38</v>
      </c>
      <c r="X1240" t="s">
        <v>38</v>
      </c>
      <c r="Y1240" t="s">
        <v>2424</v>
      </c>
      <c r="Z1240" t="s">
        <v>42</v>
      </c>
      <c r="AA1240" t="s">
        <v>38</v>
      </c>
      <c r="AB1240" t="s">
        <v>38</v>
      </c>
      <c r="AC1240" t="s">
        <v>38</v>
      </c>
      <c r="AD1240" t="s">
        <v>48</v>
      </c>
      <c r="AG1240" t="str">
        <f>IF(AD1240="United States", IFERROR(INDEX(Sheet2!$C:$C, MATCH(AE1240&amp;AF1240, Sheet2!$E:$E, 0)) &amp; ", " &amp; INDEX(Sheet2!$D:$D, MATCH(AE1240&amp;AF1240, Sheet2!$E:$E, 0)), ""), "-")</f>
        <v/>
      </c>
    </row>
    <row r="1241" spans="1:33" x14ac:dyDescent="0.25">
      <c r="A1241" t="s">
        <v>235</v>
      </c>
      <c r="B1241" t="s">
        <v>2427</v>
      </c>
      <c r="C1241" t="s">
        <v>2385</v>
      </c>
      <c r="D1241" t="s">
        <v>352</v>
      </c>
      <c r="E1241" t="s">
        <v>2386</v>
      </c>
      <c r="F1241">
        <v>1747</v>
      </c>
      <c r="G1241">
        <v>395</v>
      </c>
      <c r="H1241" t="s">
        <v>1979</v>
      </c>
      <c r="I1241" t="s">
        <v>39</v>
      </c>
      <c r="J1241" t="s">
        <v>2387</v>
      </c>
      <c r="K1241" t="s">
        <v>38</v>
      </c>
      <c r="L1241" t="s">
        <v>38</v>
      </c>
      <c r="M1241" t="s">
        <v>38</v>
      </c>
      <c r="N1241" t="s">
        <v>38</v>
      </c>
      <c r="O1241" t="s">
        <v>57</v>
      </c>
      <c r="P1241" t="s">
        <v>42</v>
      </c>
      <c r="Q1241" t="s">
        <v>43</v>
      </c>
      <c r="R1241" t="s">
        <v>89</v>
      </c>
      <c r="S1241" t="s">
        <v>38</v>
      </c>
      <c r="T1241" t="s">
        <v>89</v>
      </c>
      <c r="U1241" t="s">
        <v>38</v>
      </c>
      <c r="V1241" t="s">
        <v>137</v>
      </c>
      <c r="W1241" t="s">
        <v>92</v>
      </c>
      <c r="X1241" t="s">
        <v>38</v>
      </c>
      <c r="Y1241" t="s">
        <v>40</v>
      </c>
      <c r="Z1241" t="s">
        <v>42</v>
      </c>
      <c r="AA1241" t="s">
        <v>265</v>
      </c>
      <c r="AB1241" t="s">
        <v>38</v>
      </c>
      <c r="AC1241" t="s">
        <v>562</v>
      </c>
      <c r="AD1241" t="s">
        <v>48</v>
      </c>
      <c r="AG1241" t="str">
        <f>IF(AD1241="United States", IFERROR(INDEX(Sheet2!$C:$C, MATCH(AE1241&amp;AF1241, Sheet2!$E:$E, 0)) &amp; ", " &amp; INDEX(Sheet2!$D:$D, MATCH(AE1241&amp;AF1241, Sheet2!$E:$E, 0)), ""), "-")</f>
        <v/>
      </c>
    </row>
    <row r="1242" spans="1:33" x14ac:dyDescent="0.25">
      <c r="A1242" t="s">
        <v>235</v>
      </c>
      <c r="B1242" t="s">
        <v>2428</v>
      </c>
      <c r="C1242" t="s">
        <v>2385</v>
      </c>
      <c r="D1242" t="s">
        <v>200</v>
      </c>
      <c r="E1242" t="s">
        <v>2429</v>
      </c>
      <c r="F1242">
        <v>1771</v>
      </c>
      <c r="G1242">
        <v>388</v>
      </c>
      <c r="H1242" t="s">
        <v>1979</v>
      </c>
      <c r="I1242" t="s">
        <v>39</v>
      </c>
      <c r="J1242" t="s">
        <v>2387</v>
      </c>
      <c r="K1242" t="s">
        <v>38</v>
      </c>
      <c r="L1242" t="s">
        <v>38</v>
      </c>
      <c r="M1242" t="s">
        <v>38</v>
      </c>
      <c r="N1242" t="s">
        <v>38</v>
      </c>
      <c r="O1242" t="s">
        <v>54</v>
      </c>
      <c r="P1242" t="s">
        <v>42</v>
      </c>
      <c r="Q1242" t="s">
        <v>43</v>
      </c>
      <c r="R1242" t="s">
        <v>89</v>
      </c>
      <c r="S1242" t="s">
        <v>45</v>
      </c>
      <c r="T1242" t="s">
        <v>89</v>
      </c>
      <c r="U1242" t="s">
        <v>38</v>
      </c>
      <c r="V1242" t="s">
        <v>137</v>
      </c>
      <c r="W1242" t="s">
        <v>92</v>
      </c>
      <c r="X1242" t="s">
        <v>38</v>
      </c>
      <c r="Y1242" t="s">
        <v>2430</v>
      </c>
      <c r="Z1242" t="s">
        <v>42</v>
      </c>
      <c r="AA1242" t="s">
        <v>2431</v>
      </c>
      <c r="AB1242" t="s">
        <v>38</v>
      </c>
      <c r="AC1242" t="s">
        <v>45</v>
      </c>
      <c r="AD1242" t="s">
        <v>48</v>
      </c>
      <c r="AG1242" t="str">
        <f>IF(AD1242="United States", IFERROR(INDEX(Sheet2!$C:$C, MATCH(AE1242&amp;AF1242, Sheet2!$E:$E, 0)) &amp; ", " &amp; INDEX(Sheet2!$D:$D, MATCH(AE1242&amp;AF1242, Sheet2!$E:$E, 0)), ""), "-")</f>
        <v/>
      </c>
    </row>
    <row r="1243" spans="1:33" x14ac:dyDescent="0.25">
      <c r="A1243" t="s">
        <v>235</v>
      </c>
      <c r="B1243" t="s">
        <v>2432</v>
      </c>
      <c r="C1243" t="s">
        <v>2385</v>
      </c>
      <c r="D1243" t="s">
        <v>1660</v>
      </c>
      <c r="E1243" t="s">
        <v>38</v>
      </c>
      <c r="F1243">
        <v>1762</v>
      </c>
      <c r="G1243">
        <v>389</v>
      </c>
      <c r="H1243" t="s">
        <v>1979</v>
      </c>
      <c r="I1243" t="s">
        <v>39</v>
      </c>
      <c r="J1243" t="s">
        <v>2387</v>
      </c>
      <c r="K1243" t="s">
        <v>38</v>
      </c>
      <c r="L1243" t="s">
        <v>38</v>
      </c>
      <c r="M1243" t="s">
        <v>38</v>
      </c>
      <c r="N1243" t="s">
        <v>38</v>
      </c>
      <c r="O1243" t="s">
        <v>41</v>
      </c>
      <c r="P1243" t="s">
        <v>42</v>
      </c>
      <c r="Q1243" t="s">
        <v>43</v>
      </c>
      <c r="R1243" t="s">
        <v>89</v>
      </c>
      <c r="S1243" t="s">
        <v>38</v>
      </c>
      <c r="T1243" t="s">
        <v>89</v>
      </c>
      <c r="U1243" t="s">
        <v>38</v>
      </c>
      <c r="V1243" t="s">
        <v>137</v>
      </c>
      <c r="W1243" t="s">
        <v>92</v>
      </c>
      <c r="X1243" t="s">
        <v>38</v>
      </c>
      <c r="Y1243" t="s">
        <v>2433</v>
      </c>
      <c r="Z1243" t="s">
        <v>42</v>
      </c>
      <c r="AA1243" t="s">
        <v>38</v>
      </c>
      <c r="AB1243" t="s">
        <v>38</v>
      </c>
      <c r="AC1243" t="s">
        <v>166</v>
      </c>
      <c r="AD1243" t="s">
        <v>48</v>
      </c>
      <c r="AG1243" t="str">
        <f>IF(AD1243="United States", IFERROR(INDEX(Sheet2!$C:$C, MATCH(AE1243&amp;AF1243, Sheet2!$E:$E, 0)) &amp; ", " &amp; INDEX(Sheet2!$D:$D, MATCH(AE1243&amp;AF1243, Sheet2!$E:$E, 0)), ""), "-")</f>
        <v/>
      </c>
    </row>
    <row r="1244" spans="1:33" x14ac:dyDescent="0.25">
      <c r="A1244" t="s">
        <v>235</v>
      </c>
      <c r="B1244" t="s">
        <v>2434</v>
      </c>
      <c r="C1244" t="s">
        <v>2385</v>
      </c>
      <c r="D1244" t="s">
        <v>245</v>
      </c>
      <c r="E1244" t="s">
        <v>913</v>
      </c>
      <c r="F1244">
        <v>1761</v>
      </c>
      <c r="G1244">
        <v>390</v>
      </c>
      <c r="H1244" t="s">
        <v>1979</v>
      </c>
      <c r="I1244" t="s">
        <v>39</v>
      </c>
      <c r="J1244" t="s">
        <v>2387</v>
      </c>
      <c r="K1244" t="s">
        <v>38</v>
      </c>
      <c r="L1244" t="s">
        <v>38</v>
      </c>
      <c r="M1244" t="s">
        <v>38</v>
      </c>
      <c r="N1244" t="s">
        <v>38</v>
      </c>
      <c r="O1244" t="s">
        <v>54</v>
      </c>
      <c r="P1244" t="s">
        <v>42</v>
      </c>
      <c r="Q1244" t="s">
        <v>43</v>
      </c>
      <c r="R1244" t="s">
        <v>89</v>
      </c>
      <c r="S1244" t="s">
        <v>38</v>
      </c>
      <c r="T1244" t="s">
        <v>89</v>
      </c>
      <c r="U1244" t="s">
        <v>38</v>
      </c>
      <c r="V1244" t="s">
        <v>137</v>
      </c>
      <c r="W1244" t="s">
        <v>92</v>
      </c>
      <c r="X1244" t="s">
        <v>38</v>
      </c>
      <c r="Y1244" t="s">
        <v>2433</v>
      </c>
      <c r="Z1244" t="s">
        <v>42</v>
      </c>
      <c r="AA1244" t="s">
        <v>38</v>
      </c>
      <c r="AB1244" t="s">
        <v>38</v>
      </c>
      <c r="AC1244" t="s">
        <v>166</v>
      </c>
      <c r="AD1244" t="s">
        <v>48</v>
      </c>
      <c r="AG1244" t="str">
        <f>IF(AD1244="United States", IFERROR(INDEX(Sheet2!$C:$C, MATCH(AE1244&amp;AF1244, Sheet2!$E:$E, 0)) &amp; ", " &amp; INDEX(Sheet2!$D:$D, MATCH(AE1244&amp;AF1244, Sheet2!$E:$E, 0)), ""), "-")</f>
        <v/>
      </c>
    </row>
    <row r="1245" spans="1:33" x14ac:dyDescent="0.25">
      <c r="A1245" t="s">
        <v>235</v>
      </c>
      <c r="B1245" t="s">
        <v>2435</v>
      </c>
      <c r="C1245" t="s">
        <v>2385</v>
      </c>
      <c r="D1245" t="s">
        <v>361</v>
      </c>
      <c r="E1245" t="s">
        <v>1507</v>
      </c>
      <c r="F1245">
        <v>1765</v>
      </c>
      <c r="G1245">
        <v>391</v>
      </c>
      <c r="H1245" t="s">
        <v>1979</v>
      </c>
      <c r="I1245" t="s">
        <v>39</v>
      </c>
      <c r="J1245" t="s">
        <v>2387</v>
      </c>
      <c r="K1245" t="s">
        <v>38</v>
      </c>
      <c r="L1245" t="s">
        <v>38</v>
      </c>
      <c r="M1245" t="s">
        <v>38</v>
      </c>
      <c r="N1245" t="s">
        <v>38</v>
      </c>
      <c r="O1245" t="s">
        <v>41</v>
      </c>
      <c r="P1245" t="s">
        <v>42</v>
      </c>
      <c r="Q1245" t="s">
        <v>43</v>
      </c>
      <c r="R1245" t="s">
        <v>89</v>
      </c>
      <c r="S1245" t="s">
        <v>38</v>
      </c>
      <c r="T1245" t="s">
        <v>89</v>
      </c>
      <c r="U1245" t="s">
        <v>38</v>
      </c>
      <c r="V1245" t="s">
        <v>137</v>
      </c>
      <c r="W1245" t="s">
        <v>92</v>
      </c>
      <c r="X1245" t="s">
        <v>38</v>
      </c>
      <c r="Y1245" t="s">
        <v>40</v>
      </c>
      <c r="Z1245" t="s">
        <v>42</v>
      </c>
      <c r="AA1245" t="s">
        <v>38</v>
      </c>
      <c r="AB1245" t="s">
        <v>38</v>
      </c>
      <c r="AC1245" t="s">
        <v>767</v>
      </c>
      <c r="AD1245" t="s">
        <v>48</v>
      </c>
      <c r="AG1245" t="str">
        <f>IF(AD1245="United States", IFERROR(INDEX(Sheet2!$C:$C, MATCH(AE1245&amp;AF1245, Sheet2!$E:$E, 0)) &amp; ", " &amp; INDEX(Sheet2!$D:$D, MATCH(AE1245&amp;AF1245, Sheet2!$E:$E, 0)), ""), "-")</f>
        <v/>
      </c>
    </row>
    <row r="1246" spans="1:33" x14ac:dyDescent="0.25">
      <c r="A1246" t="s">
        <v>235</v>
      </c>
      <c r="B1246" t="s">
        <v>2436</v>
      </c>
      <c r="C1246" t="s">
        <v>2385</v>
      </c>
      <c r="D1246" t="s">
        <v>639</v>
      </c>
      <c r="E1246" t="s">
        <v>268</v>
      </c>
      <c r="F1246">
        <v>1760</v>
      </c>
      <c r="G1246">
        <v>392</v>
      </c>
      <c r="H1246" t="s">
        <v>1979</v>
      </c>
      <c r="I1246" t="s">
        <v>39</v>
      </c>
      <c r="J1246" t="s">
        <v>2387</v>
      </c>
      <c r="K1246" t="s">
        <v>38</v>
      </c>
      <c r="L1246" t="s">
        <v>38</v>
      </c>
      <c r="M1246" t="s">
        <v>38</v>
      </c>
      <c r="N1246" t="s">
        <v>38</v>
      </c>
      <c r="O1246" t="s">
        <v>41</v>
      </c>
      <c r="P1246" t="s">
        <v>42</v>
      </c>
      <c r="Q1246" t="s">
        <v>43</v>
      </c>
      <c r="R1246" t="s">
        <v>89</v>
      </c>
      <c r="S1246" t="s">
        <v>153</v>
      </c>
      <c r="T1246" t="s">
        <v>89</v>
      </c>
      <c r="U1246" t="s">
        <v>38</v>
      </c>
      <c r="V1246" t="s">
        <v>137</v>
      </c>
      <c r="W1246" t="s">
        <v>92</v>
      </c>
      <c r="X1246" t="s">
        <v>38</v>
      </c>
      <c r="Y1246" t="s">
        <v>2400</v>
      </c>
      <c r="Z1246" t="s">
        <v>42</v>
      </c>
      <c r="AA1246" t="s">
        <v>155</v>
      </c>
      <c r="AB1246" t="s">
        <v>38</v>
      </c>
      <c r="AC1246" t="s">
        <v>153</v>
      </c>
      <c r="AD1246" t="s">
        <v>48</v>
      </c>
      <c r="AG1246" t="str">
        <f>IF(AD1246="United States", IFERROR(INDEX(Sheet2!$C:$C, MATCH(AE1246&amp;AF1246, Sheet2!$E:$E, 0)) &amp; ", " &amp; INDEX(Sheet2!$D:$D, MATCH(AE1246&amp;AF1246, Sheet2!$E:$E, 0)), ""), "-")</f>
        <v/>
      </c>
    </row>
    <row r="1247" spans="1:33" x14ac:dyDescent="0.25">
      <c r="A1247" t="s">
        <v>235</v>
      </c>
      <c r="B1247" t="s">
        <v>2437</v>
      </c>
      <c r="C1247" t="s">
        <v>2385</v>
      </c>
      <c r="D1247" t="s">
        <v>495</v>
      </c>
      <c r="E1247" t="s">
        <v>191</v>
      </c>
      <c r="F1247">
        <v>1761</v>
      </c>
      <c r="G1247">
        <v>393</v>
      </c>
      <c r="H1247" t="s">
        <v>1979</v>
      </c>
      <c r="I1247" t="s">
        <v>39</v>
      </c>
      <c r="J1247" t="s">
        <v>2387</v>
      </c>
      <c r="K1247" t="s">
        <v>38</v>
      </c>
      <c r="L1247" t="s">
        <v>38</v>
      </c>
      <c r="M1247" t="s">
        <v>38</v>
      </c>
      <c r="N1247" t="s">
        <v>38</v>
      </c>
      <c r="O1247" t="s">
        <v>57</v>
      </c>
      <c r="P1247" t="s">
        <v>42</v>
      </c>
      <c r="Q1247" t="s">
        <v>43</v>
      </c>
      <c r="R1247" t="s">
        <v>89</v>
      </c>
      <c r="S1247" t="s">
        <v>153</v>
      </c>
      <c r="T1247" t="s">
        <v>89</v>
      </c>
      <c r="U1247" t="s">
        <v>38</v>
      </c>
      <c r="V1247" t="s">
        <v>137</v>
      </c>
      <c r="W1247" t="s">
        <v>92</v>
      </c>
      <c r="X1247" t="s">
        <v>38</v>
      </c>
      <c r="Y1247" t="s">
        <v>2400</v>
      </c>
      <c r="Z1247" t="s">
        <v>42</v>
      </c>
      <c r="AA1247" t="s">
        <v>155</v>
      </c>
      <c r="AB1247" t="s">
        <v>38</v>
      </c>
      <c r="AC1247" t="s">
        <v>153</v>
      </c>
      <c r="AD1247" t="s">
        <v>48</v>
      </c>
      <c r="AG1247" t="str">
        <f>IF(AD1247="United States", IFERROR(INDEX(Sheet2!$C:$C, MATCH(AE1247&amp;AF1247, Sheet2!$E:$E, 0)) &amp; ", " &amp; INDEX(Sheet2!$D:$D, MATCH(AE1247&amp;AF1247, Sheet2!$E:$E, 0)), ""), "-")</f>
        <v/>
      </c>
    </row>
    <row r="1248" spans="1:33" x14ac:dyDescent="0.25">
      <c r="A1248" t="s">
        <v>235</v>
      </c>
      <c r="B1248" t="s">
        <v>2438</v>
      </c>
      <c r="C1248" t="s">
        <v>2381</v>
      </c>
      <c r="D1248" t="s">
        <v>210</v>
      </c>
      <c r="E1248" t="s">
        <v>2439</v>
      </c>
      <c r="F1248">
        <v>1761</v>
      </c>
      <c r="G1248">
        <v>1925</v>
      </c>
      <c r="H1248" t="s">
        <v>1979</v>
      </c>
      <c r="I1248" t="s">
        <v>80</v>
      </c>
      <c r="J1248" t="s">
        <v>38</v>
      </c>
      <c r="K1248" t="s">
        <v>38</v>
      </c>
      <c r="L1248" t="s">
        <v>38</v>
      </c>
      <c r="M1248" t="s">
        <v>38</v>
      </c>
      <c r="N1248" t="s">
        <v>38</v>
      </c>
      <c r="O1248" t="s">
        <v>41</v>
      </c>
      <c r="P1248" t="s">
        <v>42</v>
      </c>
      <c r="Q1248" t="s">
        <v>43</v>
      </c>
      <c r="R1248" t="s">
        <v>89</v>
      </c>
      <c r="S1248" t="s">
        <v>38</v>
      </c>
      <c r="T1248" t="s">
        <v>89</v>
      </c>
      <c r="U1248" t="s">
        <v>38</v>
      </c>
      <c r="V1248" t="s">
        <v>38</v>
      </c>
      <c r="W1248" t="s">
        <v>92</v>
      </c>
      <c r="X1248" t="s">
        <v>38</v>
      </c>
      <c r="Y1248" t="s">
        <v>2440</v>
      </c>
      <c r="Z1248" t="s">
        <v>42</v>
      </c>
      <c r="AA1248" t="s">
        <v>38</v>
      </c>
      <c r="AB1248" t="s">
        <v>38</v>
      </c>
      <c r="AC1248" t="s">
        <v>155</v>
      </c>
      <c r="AD1248" t="s">
        <v>48</v>
      </c>
      <c r="AG1248" t="str">
        <f>IF(AD1248="United States", IFERROR(INDEX(Sheet2!$C:$C, MATCH(AE1248&amp;AF1248, Sheet2!$E:$E, 0)) &amp; ", " &amp; INDEX(Sheet2!$D:$D, MATCH(AE1248&amp;AF1248, Sheet2!$E:$E, 0)), ""), "-")</f>
        <v/>
      </c>
    </row>
    <row r="1249" spans="1:33" x14ac:dyDescent="0.25">
      <c r="A1249" t="s">
        <v>235</v>
      </c>
      <c r="B1249" t="s">
        <v>2441</v>
      </c>
      <c r="C1249" t="s">
        <v>2385</v>
      </c>
      <c r="D1249" t="s">
        <v>569</v>
      </c>
      <c r="E1249" t="s">
        <v>2386</v>
      </c>
      <c r="F1249">
        <v>1736</v>
      </c>
      <c r="G1249">
        <v>394</v>
      </c>
      <c r="H1249" t="s">
        <v>1979</v>
      </c>
      <c r="I1249" t="s">
        <v>39</v>
      </c>
      <c r="J1249" t="s">
        <v>2387</v>
      </c>
      <c r="K1249" t="s">
        <v>38</v>
      </c>
      <c r="L1249" t="s">
        <v>38</v>
      </c>
      <c r="M1249" t="s">
        <v>38</v>
      </c>
      <c r="N1249" t="s">
        <v>38</v>
      </c>
      <c r="O1249" t="s">
        <v>41</v>
      </c>
      <c r="P1249" t="s">
        <v>42</v>
      </c>
      <c r="Q1249" t="s">
        <v>43</v>
      </c>
      <c r="R1249" t="s">
        <v>89</v>
      </c>
      <c r="S1249" t="s">
        <v>38</v>
      </c>
      <c r="T1249" t="s">
        <v>89</v>
      </c>
      <c r="U1249" t="s">
        <v>38</v>
      </c>
      <c r="V1249" t="s">
        <v>137</v>
      </c>
      <c r="W1249" t="s">
        <v>92</v>
      </c>
      <c r="X1249" t="s">
        <v>38</v>
      </c>
      <c r="Y1249" t="s">
        <v>40</v>
      </c>
      <c r="Z1249" t="s">
        <v>42</v>
      </c>
      <c r="AA1249" t="s">
        <v>265</v>
      </c>
      <c r="AB1249" t="s">
        <v>38</v>
      </c>
      <c r="AC1249" t="s">
        <v>562</v>
      </c>
      <c r="AD1249" t="s">
        <v>48</v>
      </c>
      <c r="AG1249" t="str">
        <f>IF(AD1249="United States", IFERROR(INDEX(Sheet2!$C:$C, MATCH(AE1249&amp;AF1249, Sheet2!$E:$E, 0)) &amp; ", " &amp; INDEX(Sheet2!$D:$D, MATCH(AE1249&amp;AF1249, Sheet2!$E:$E, 0)), ""), "-")</f>
        <v/>
      </c>
    </row>
    <row r="1250" spans="1:33" x14ac:dyDescent="0.25">
      <c r="A1250" t="s">
        <v>235</v>
      </c>
      <c r="B1250" t="s">
        <v>2442</v>
      </c>
      <c r="C1250" t="s">
        <v>2390</v>
      </c>
      <c r="D1250" t="s">
        <v>106</v>
      </c>
      <c r="E1250" t="s">
        <v>1432</v>
      </c>
      <c r="F1250">
        <v>1781</v>
      </c>
      <c r="G1250">
        <v>760</v>
      </c>
      <c r="H1250" t="s">
        <v>1979</v>
      </c>
      <c r="I1250" t="s">
        <v>39</v>
      </c>
      <c r="J1250" t="s">
        <v>2391</v>
      </c>
      <c r="K1250" t="s">
        <v>38</v>
      </c>
      <c r="L1250" t="s">
        <v>38</v>
      </c>
      <c r="M1250" t="s">
        <v>38</v>
      </c>
      <c r="N1250" t="s">
        <v>38</v>
      </c>
      <c r="O1250" t="s">
        <v>54</v>
      </c>
      <c r="P1250" t="s">
        <v>42</v>
      </c>
      <c r="Q1250" t="s">
        <v>43</v>
      </c>
      <c r="R1250" t="s">
        <v>89</v>
      </c>
      <c r="S1250" t="s">
        <v>38</v>
      </c>
      <c r="T1250" t="s">
        <v>89</v>
      </c>
      <c r="U1250" t="s">
        <v>38</v>
      </c>
      <c r="V1250" t="s">
        <v>270</v>
      </c>
      <c r="W1250" t="s">
        <v>92</v>
      </c>
      <c r="X1250" t="s">
        <v>38</v>
      </c>
      <c r="Y1250" t="s">
        <v>2392</v>
      </c>
      <c r="Z1250" t="s">
        <v>42</v>
      </c>
      <c r="AA1250" t="s">
        <v>38</v>
      </c>
      <c r="AB1250" t="s">
        <v>38</v>
      </c>
      <c r="AC1250" t="s">
        <v>38</v>
      </c>
      <c r="AD1250" t="s">
        <v>48</v>
      </c>
      <c r="AG1250" t="str">
        <f>IF(AD1250="United States", IFERROR(INDEX(Sheet2!$C:$C, MATCH(AE1250&amp;AF1250, Sheet2!$E:$E, 0)) &amp; ", " &amp; INDEX(Sheet2!$D:$D, MATCH(AE1250&amp;AF1250, Sheet2!$E:$E, 0)), ""), "-")</f>
        <v/>
      </c>
    </row>
    <row r="1251" spans="1:33" x14ac:dyDescent="0.25">
      <c r="A1251" t="s">
        <v>235</v>
      </c>
      <c r="D1251" t="s">
        <v>2443</v>
      </c>
      <c r="E1251" t="s">
        <v>412</v>
      </c>
      <c r="F1251">
        <v>1765</v>
      </c>
      <c r="G1251">
        <v>433</v>
      </c>
      <c r="H1251">
        <v>26</v>
      </c>
      <c r="J1251" t="s">
        <v>2387</v>
      </c>
      <c r="O1251" t="s">
        <v>41</v>
      </c>
      <c r="R1251" t="s">
        <v>89</v>
      </c>
      <c r="T1251" t="s">
        <v>89</v>
      </c>
      <c r="V1251" t="s">
        <v>137</v>
      </c>
      <c r="W1251" t="s">
        <v>92</v>
      </c>
      <c r="Y1251" t="s">
        <v>38</v>
      </c>
      <c r="AA1251" t="s">
        <v>38</v>
      </c>
      <c r="AB1251" t="s">
        <v>38</v>
      </c>
      <c r="AC1251" t="s">
        <v>38</v>
      </c>
      <c r="AD1251" t="s">
        <v>48</v>
      </c>
      <c r="AG1251" t="str">
        <f>IF(AD1251="United States", IFERROR(INDEX(Sheet2!$C:$C, MATCH(AE1251&amp;AF1251, Sheet2!$E:$E, 0)) &amp; ", " &amp; INDEX(Sheet2!$D:$D, MATCH(AE1251&amp;AF1251, Sheet2!$E:$E, 0)), ""), "-")</f>
        <v/>
      </c>
    </row>
    <row r="1252" spans="1:33" x14ac:dyDescent="0.25">
      <c r="A1252" t="s">
        <v>235</v>
      </c>
      <c r="B1252" t="s">
        <v>2444</v>
      </c>
      <c r="C1252" t="s">
        <v>2390</v>
      </c>
      <c r="D1252" t="s">
        <v>1876</v>
      </c>
      <c r="E1252" t="s">
        <v>2445</v>
      </c>
      <c r="F1252">
        <v>1759</v>
      </c>
      <c r="G1252">
        <v>759</v>
      </c>
      <c r="H1252" t="s">
        <v>38</v>
      </c>
      <c r="I1252" t="s">
        <v>39</v>
      </c>
      <c r="J1252" t="s">
        <v>2391</v>
      </c>
      <c r="K1252" t="s">
        <v>38</v>
      </c>
      <c r="L1252" t="s">
        <v>38</v>
      </c>
      <c r="M1252" t="s">
        <v>38</v>
      </c>
      <c r="N1252" t="s">
        <v>38</v>
      </c>
      <c r="O1252" t="s">
        <v>41</v>
      </c>
      <c r="P1252" t="s">
        <v>42</v>
      </c>
      <c r="Q1252" t="s">
        <v>43</v>
      </c>
      <c r="R1252" t="s">
        <v>2446</v>
      </c>
      <c r="S1252" t="s">
        <v>45</v>
      </c>
      <c r="T1252" t="s">
        <v>38</v>
      </c>
      <c r="U1252" t="s">
        <v>38</v>
      </c>
      <c r="V1252" t="s">
        <v>270</v>
      </c>
      <c r="W1252" t="s">
        <v>38</v>
      </c>
      <c r="X1252" t="s">
        <v>38</v>
      </c>
      <c r="Y1252" t="s">
        <v>2447</v>
      </c>
      <c r="Z1252" t="s">
        <v>42</v>
      </c>
      <c r="AA1252" t="s">
        <v>2446</v>
      </c>
      <c r="AB1252" t="s">
        <v>45</v>
      </c>
      <c r="AC1252" t="s">
        <v>2071</v>
      </c>
      <c r="AD1252" t="s">
        <v>48</v>
      </c>
      <c r="AG1252" t="str">
        <f>IF(AD1252="United States", IFERROR(INDEX(Sheet2!$C:$C, MATCH(AE1252&amp;AF1252, Sheet2!$E:$E, 0)) &amp; ", " &amp; INDEX(Sheet2!$D:$D, MATCH(AE1252&amp;AF1252, Sheet2!$E:$E, 0)), ""), "-")</f>
        <v/>
      </c>
    </row>
    <row r="1253" spans="1:33" x14ac:dyDescent="0.25">
      <c r="A1253" t="s">
        <v>235</v>
      </c>
      <c r="D1253" t="s">
        <v>2448</v>
      </c>
      <c r="E1253" t="s">
        <v>412</v>
      </c>
      <c r="F1253">
        <v>1774</v>
      </c>
      <c r="G1253">
        <v>434</v>
      </c>
      <c r="H1253">
        <v>26</v>
      </c>
      <c r="J1253" t="s">
        <v>2387</v>
      </c>
      <c r="O1253" t="s">
        <v>54</v>
      </c>
      <c r="R1253" t="s">
        <v>89</v>
      </c>
      <c r="T1253" t="s">
        <v>89</v>
      </c>
      <c r="V1253" t="s">
        <v>137</v>
      </c>
      <c r="W1253" t="s">
        <v>92</v>
      </c>
      <c r="Y1253" t="s">
        <v>38</v>
      </c>
      <c r="AA1253" t="s">
        <v>38</v>
      </c>
      <c r="AB1253" t="s">
        <v>38</v>
      </c>
      <c r="AC1253" t="s">
        <v>38</v>
      </c>
      <c r="AD1253" t="s">
        <v>48</v>
      </c>
      <c r="AG1253" t="str">
        <f>IF(AD1253="United States", IFERROR(INDEX(Sheet2!$C:$C, MATCH(AE1253&amp;AF1253, Sheet2!$E:$E, 0)) &amp; ", " &amp; INDEX(Sheet2!$D:$D, MATCH(AE1253&amp;AF1253, Sheet2!$E:$E, 0)), ""), "-")</f>
        <v/>
      </c>
    </row>
    <row r="1254" spans="1:33" x14ac:dyDescent="0.25">
      <c r="A1254" t="s">
        <v>2449</v>
      </c>
      <c r="D1254" t="s">
        <v>343</v>
      </c>
      <c r="E1254" t="s">
        <v>2450</v>
      </c>
      <c r="F1254">
        <v>1767</v>
      </c>
      <c r="G1254">
        <v>131</v>
      </c>
      <c r="H1254">
        <v>20</v>
      </c>
      <c r="J1254" t="s">
        <v>2451</v>
      </c>
      <c r="O1254" t="s">
        <v>41</v>
      </c>
      <c r="R1254" t="s">
        <v>2452</v>
      </c>
      <c r="T1254" t="s">
        <v>89</v>
      </c>
      <c r="U1254" t="s">
        <v>2453</v>
      </c>
      <c r="V1254" t="s">
        <v>111</v>
      </c>
      <c r="W1254" t="s">
        <v>92</v>
      </c>
      <c r="Y1254" t="s">
        <v>38</v>
      </c>
      <c r="AA1254" t="s">
        <v>38</v>
      </c>
      <c r="AB1254" t="s">
        <v>38</v>
      </c>
      <c r="AC1254" t="s">
        <v>38</v>
      </c>
      <c r="AD1254" t="s">
        <v>48</v>
      </c>
      <c r="AG1254" t="str">
        <f>IF(AD1254="United States", IFERROR(INDEX(Sheet2!$C:$C, MATCH(AE1254&amp;AF1254, Sheet2!$E:$E, 0)) &amp; ", " &amp; INDEX(Sheet2!$D:$D, MATCH(AE1254&amp;AF1254, Sheet2!$E:$E, 0)), ""), "-")</f>
        <v/>
      </c>
    </row>
    <row r="1255" spans="1:33" x14ac:dyDescent="0.25">
      <c r="A1255" t="s">
        <v>2449</v>
      </c>
      <c r="D1255" t="s">
        <v>222</v>
      </c>
      <c r="E1255" t="s">
        <v>2450</v>
      </c>
      <c r="F1255">
        <v>1763</v>
      </c>
      <c r="G1255">
        <v>133</v>
      </c>
      <c r="H1255">
        <v>20</v>
      </c>
      <c r="J1255" t="s">
        <v>2451</v>
      </c>
      <c r="O1255" t="s">
        <v>57</v>
      </c>
      <c r="R1255" t="s">
        <v>89</v>
      </c>
      <c r="T1255" t="s">
        <v>89</v>
      </c>
      <c r="U1255" t="s">
        <v>2453</v>
      </c>
      <c r="V1255" t="s">
        <v>111</v>
      </c>
      <c r="W1255" t="s">
        <v>92</v>
      </c>
      <c r="Y1255" t="s">
        <v>38</v>
      </c>
      <c r="AA1255" t="s">
        <v>38</v>
      </c>
      <c r="AB1255" t="s">
        <v>38</v>
      </c>
      <c r="AC1255" t="s">
        <v>38</v>
      </c>
      <c r="AD1255" t="s">
        <v>48</v>
      </c>
      <c r="AG1255" t="str">
        <f>IF(AD1255="United States", IFERROR(INDEX(Sheet2!$C:$C, MATCH(AE1255&amp;AF1255, Sheet2!$E:$E, 0)) &amp; ", " &amp; INDEX(Sheet2!$D:$D, MATCH(AE1255&amp;AF1255, Sheet2!$E:$E, 0)), ""), "-")</f>
        <v/>
      </c>
    </row>
    <row r="1256" spans="1:33" x14ac:dyDescent="0.25">
      <c r="A1256" t="s">
        <v>2449</v>
      </c>
      <c r="D1256" t="s">
        <v>2454</v>
      </c>
      <c r="E1256" t="s">
        <v>2450</v>
      </c>
      <c r="F1256">
        <v>1780</v>
      </c>
      <c r="G1256">
        <v>134</v>
      </c>
      <c r="H1256">
        <v>20</v>
      </c>
      <c r="J1256" t="s">
        <v>2451</v>
      </c>
      <c r="O1256" t="s">
        <v>74</v>
      </c>
      <c r="R1256" t="s">
        <v>89</v>
      </c>
      <c r="T1256" t="s">
        <v>89</v>
      </c>
      <c r="U1256" t="s">
        <v>2453</v>
      </c>
      <c r="V1256" t="s">
        <v>111</v>
      </c>
      <c r="W1256" t="s">
        <v>92</v>
      </c>
      <c r="Y1256" t="s">
        <v>38</v>
      </c>
      <c r="AA1256" t="s">
        <v>38</v>
      </c>
      <c r="AB1256" t="s">
        <v>38</v>
      </c>
      <c r="AC1256" t="s">
        <v>38</v>
      </c>
      <c r="AD1256" t="s">
        <v>48</v>
      </c>
      <c r="AG1256" t="str">
        <f>IF(AD1256="United States", IFERROR(INDEX(Sheet2!$C:$C, MATCH(AE1256&amp;AF1256, Sheet2!$E:$E, 0)) &amp; ", " &amp; INDEX(Sheet2!$D:$D, MATCH(AE1256&amp;AF1256, Sheet2!$E:$E, 0)), ""), "-")</f>
        <v/>
      </c>
    </row>
    <row r="1257" spans="1:33" x14ac:dyDescent="0.25">
      <c r="A1257" t="s">
        <v>2449</v>
      </c>
      <c r="D1257" t="s">
        <v>2455</v>
      </c>
      <c r="E1257" t="s">
        <v>427</v>
      </c>
      <c r="F1257">
        <v>1763</v>
      </c>
      <c r="G1257">
        <v>135</v>
      </c>
      <c r="H1257">
        <v>20</v>
      </c>
      <c r="J1257" t="s">
        <v>2451</v>
      </c>
      <c r="O1257" t="s">
        <v>41</v>
      </c>
      <c r="R1257" t="s">
        <v>89</v>
      </c>
      <c r="T1257" t="s">
        <v>89</v>
      </c>
      <c r="U1257" t="s">
        <v>2453</v>
      </c>
      <c r="V1257" t="s">
        <v>111</v>
      </c>
      <c r="W1257" t="s">
        <v>92</v>
      </c>
      <c r="Y1257" t="s">
        <v>38</v>
      </c>
      <c r="AA1257" t="s">
        <v>38</v>
      </c>
      <c r="AB1257" t="s">
        <v>38</v>
      </c>
      <c r="AC1257" t="s">
        <v>38</v>
      </c>
      <c r="AD1257" t="s">
        <v>48</v>
      </c>
      <c r="AG1257" t="str">
        <f>IF(AD1257="United States", IFERROR(INDEX(Sheet2!$C:$C, MATCH(AE1257&amp;AF1257, Sheet2!$E:$E, 0)) &amp; ", " &amp; INDEX(Sheet2!$D:$D, MATCH(AE1257&amp;AF1257, Sheet2!$E:$E, 0)), ""), "-")</f>
        <v/>
      </c>
    </row>
    <row r="1258" spans="1:33" x14ac:dyDescent="0.25">
      <c r="A1258" t="s">
        <v>2449</v>
      </c>
      <c r="D1258" t="s">
        <v>157</v>
      </c>
      <c r="E1258" t="s">
        <v>2456</v>
      </c>
      <c r="F1258">
        <v>1759</v>
      </c>
      <c r="G1258">
        <v>136</v>
      </c>
      <c r="H1258">
        <v>20</v>
      </c>
      <c r="J1258" t="s">
        <v>2451</v>
      </c>
      <c r="O1258" t="s">
        <v>57</v>
      </c>
      <c r="R1258" t="s">
        <v>89</v>
      </c>
      <c r="T1258" t="s">
        <v>89</v>
      </c>
      <c r="U1258" t="s">
        <v>2453</v>
      </c>
      <c r="V1258" t="s">
        <v>111</v>
      </c>
      <c r="W1258" t="s">
        <v>92</v>
      </c>
      <c r="Y1258" t="s">
        <v>38</v>
      </c>
      <c r="AA1258" t="s">
        <v>38</v>
      </c>
      <c r="AB1258" t="s">
        <v>38</v>
      </c>
      <c r="AC1258" t="s">
        <v>38</v>
      </c>
      <c r="AD1258" t="s">
        <v>48</v>
      </c>
      <c r="AG1258" t="str">
        <f>IF(AD1258="United States", IFERROR(INDEX(Sheet2!$C:$C, MATCH(AE1258&amp;AF1258, Sheet2!$E:$E, 0)) &amp; ", " &amp; INDEX(Sheet2!$D:$D, MATCH(AE1258&amp;AF1258, Sheet2!$E:$E, 0)), ""), "-")</f>
        <v/>
      </c>
    </row>
    <row r="1259" spans="1:33" x14ac:dyDescent="0.25">
      <c r="A1259" t="s">
        <v>2449</v>
      </c>
      <c r="D1259" t="s">
        <v>210</v>
      </c>
      <c r="E1259" t="s">
        <v>2457</v>
      </c>
      <c r="F1259">
        <v>1781</v>
      </c>
      <c r="G1259">
        <v>137</v>
      </c>
      <c r="H1259">
        <v>20</v>
      </c>
      <c r="J1259" t="s">
        <v>2451</v>
      </c>
      <c r="O1259" t="s">
        <v>54</v>
      </c>
      <c r="R1259" t="s">
        <v>89</v>
      </c>
      <c r="T1259" t="s">
        <v>89</v>
      </c>
      <c r="U1259" t="s">
        <v>2453</v>
      </c>
      <c r="V1259" t="s">
        <v>111</v>
      </c>
      <c r="W1259" t="s">
        <v>92</v>
      </c>
      <c r="Y1259" t="s">
        <v>38</v>
      </c>
      <c r="AA1259" t="s">
        <v>38</v>
      </c>
      <c r="AB1259" t="s">
        <v>38</v>
      </c>
      <c r="AC1259" t="s">
        <v>38</v>
      </c>
      <c r="AD1259" t="s">
        <v>48</v>
      </c>
      <c r="AG1259" t="str">
        <f>IF(AD1259="United States", IFERROR(INDEX(Sheet2!$C:$C, MATCH(AE1259&amp;AF1259, Sheet2!$E:$E, 0)) &amp; ", " &amp; INDEX(Sheet2!$D:$D, MATCH(AE1259&amp;AF1259, Sheet2!$E:$E, 0)), ""), "-")</f>
        <v/>
      </c>
    </row>
    <row r="1260" spans="1:33" x14ac:dyDescent="0.25">
      <c r="A1260" t="s">
        <v>2449</v>
      </c>
      <c r="D1260" t="s">
        <v>226</v>
      </c>
      <c r="E1260" t="s">
        <v>2457</v>
      </c>
      <c r="F1260">
        <v>1759</v>
      </c>
      <c r="G1260">
        <v>138</v>
      </c>
      <c r="H1260">
        <v>20</v>
      </c>
      <c r="J1260" t="s">
        <v>2451</v>
      </c>
      <c r="O1260" t="s">
        <v>41</v>
      </c>
      <c r="R1260" t="s">
        <v>89</v>
      </c>
      <c r="T1260" t="s">
        <v>89</v>
      </c>
      <c r="U1260" t="s">
        <v>2453</v>
      </c>
      <c r="V1260" t="s">
        <v>111</v>
      </c>
      <c r="W1260" t="s">
        <v>92</v>
      </c>
      <c r="Y1260" t="s">
        <v>38</v>
      </c>
      <c r="AA1260" t="s">
        <v>38</v>
      </c>
      <c r="AB1260" t="s">
        <v>38</v>
      </c>
      <c r="AC1260" t="s">
        <v>38</v>
      </c>
      <c r="AD1260" t="s">
        <v>48</v>
      </c>
      <c r="AG1260" t="str">
        <f>IF(AD1260="United States", IFERROR(INDEX(Sheet2!$C:$C, MATCH(AE1260&amp;AF1260, Sheet2!$E:$E, 0)) &amp; ", " &amp; INDEX(Sheet2!$D:$D, MATCH(AE1260&amp;AF1260, Sheet2!$E:$E, 0)), ""), "-")</f>
        <v/>
      </c>
    </row>
    <row r="1261" spans="1:33" x14ac:dyDescent="0.25">
      <c r="A1261" t="s">
        <v>2449</v>
      </c>
      <c r="D1261" t="s">
        <v>1116</v>
      </c>
      <c r="E1261" t="s">
        <v>583</v>
      </c>
      <c r="F1261">
        <v>1763</v>
      </c>
      <c r="G1261">
        <v>139</v>
      </c>
      <c r="H1261">
        <v>20</v>
      </c>
      <c r="J1261" t="s">
        <v>2451</v>
      </c>
      <c r="O1261" t="s">
        <v>41</v>
      </c>
      <c r="R1261" t="s">
        <v>89</v>
      </c>
      <c r="T1261" t="s">
        <v>89</v>
      </c>
      <c r="U1261" t="s">
        <v>2453</v>
      </c>
      <c r="V1261" t="s">
        <v>111</v>
      </c>
      <c r="W1261" t="s">
        <v>92</v>
      </c>
      <c r="Y1261" t="s">
        <v>38</v>
      </c>
      <c r="AA1261" t="s">
        <v>38</v>
      </c>
      <c r="AB1261" t="s">
        <v>38</v>
      </c>
      <c r="AC1261" t="s">
        <v>38</v>
      </c>
      <c r="AD1261" t="s">
        <v>48</v>
      </c>
      <c r="AG1261" t="str">
        <f>IF(AD1261="United States", IFERROR(INDEX(Sheet2!$C:$C, MATCH(AE1261&amp;AF1261, Sheet2!$E:$E, 0)) &amp; ", " &amp; INDEX(Sheet2!$D:$D, MATCH(AE1261&amp;AF1261, Sheet2!$E:$E, 0)), ""), "-")</f>
        <v/>
      </c>
    </row>
    <row r="1262" spans="1:33" x14ac:dyDescent="0.25">
      <c r="A1262" t="s">
        <v>2449</v>
      </c>
      <c r="D1262" t="s">
        <v>2458</v>
      </c>
      <c r="E1262" t="s">
        <v>2291</v>
      </c>
      <c r="F1262">
        <v>1741</v>
      </c>
      <c r="G1262">
        <v>140</v>
      </c>
      <c r="H1262">
        <v>20</v>
      </c>
      <c r="J1262" t="s">
        <v>2451</v>
      </c>
      <c r="O1262" t="s">
        <v>41</v>
      </c>
      <c r="R1262" t="s">
        <v>89</v>
      </c>
      <c r="T1262" t="s">
        <v>89</v>
      </c>
      <c r="U1262" t="s">
        <v>2453</v>
      </c>
      <c r="V1262" t="s">
        <v>111</v>
      </c>
      <c r="W1262" t="s">
        <v>92</v>
      </c>
      <c r="Y1262" t="s">
        <v>38</v>
      </c>
      <c r="AA1262" t="s">
        <v>38</v>
      </c>
      <c r="AB1262" t="s">
        <v>38</v>
      </c>
      <c r="AC1262" t="s">
        <v>38</v>
      </c>
      <c r="AD1262" t="s">
        <v>48</v>
      </c>
      <c r="AG1262" t="str">
        <f>IF(AD1262="United States", IFERROR(INDEX(Sheet2!$C:$C, MATCH(AE1262&amp;AF1262, Sheet2!$E:$E, 0)) &amp; ", " &amp; INDEX(Sheet2!$D:$D, MATCH(AE1262&amp;AF1262, Sheet2!$E:$E, 0)), ""), "-")</f>
        <v/>
      </c>
    </row>
    <row r="1263" spans="1:33" x14ac:dyDescent="0.25">
      <c r="A1263" t="s">
        <v>2449</v>
      </c>
      <c r="D1263" t="s">
        <v>2459</v>
      </c>
      <c r="E1263" t="s">
        <v>2460</v>
      </c>
      <c r="F1263">
        <v>1760</v>
      </c>
      <c r="G1263">
        <v>141</v>
      </c>
      <c r="H1263">
        <v>20</v>
      </c>
      <c r="J1263" t="s">
        <v>2451</v>
      </c>
      <c r="O1263" t="s">
        <v>41</v>
      </c>
      <c r="R1263" t="s">
        <v>89</v>
      </c>
      <c r="T1263" t="s">
        <v>89</v>
      </c>
      <c r="U1263" t="s">
        <v>2453</v>
      </c>
      <c r="V1263" t="s">
        <v>111</v>
      </c>
      <c r="W1263" t="s">
        <v>92</v>
      </c>
      <c r="Y1263" t="s">
        <v>38</v>
      </c>
      <c r="AA1263" t="s">
        <v>38</v>
      </c>
      <c r="AB1263" t="s">
        <v>38</v>
      </c>
      <c r="AC1263" t="s">
        <v>38</v>
      </c>
      <c r="AD1263" t="s">
        <v>48</v>
      </c>
      <c r="AG1263" t="str">
        <f>IF(AD1263="United States", IFERROR(INDEX(Sheet2!$C:$C, MATCH(AE1263&amp;AF1263, Sheet2!$E:$E, 0)) &amp; ", " &amp; INDEX(Sheet2!$D:$D, MATCH(AE1263&amp;AF1263, Sheet2!$E:$E, 0)), ""), "-")</f>
        <v/>
      </c>
    </row>
    <row r="1264" spans="1:33" x14ac:dyDescent="0.25">
      <c r="A1264" t="s">
        <v>2449</v>
      </c>
      <c r="D1264" t="s">
        <v>352</v>
      </c>
      <c r="E1264" t="s">
        <v>2461</v>
      </c>
      <c r="F1264">
        <v>1738</v>
      </c>
      <c r="G1264">
        <v>142</v>
      </c>
      <c r="H1264">
        <v>20</v>
      </c>
      <c r="J1264" t="s">
        <v>2451</v>
      </c>
      <c r="O1264" t="s">
        <v>57</v>
      </c>
      <c r="R1264" t="s">
        <v>89</v>
      </c>
      <c r="T1264" t="s">
        <v>89</v>
      </c>
      <c r="U1264" t="s">
        <v>2453</v>
      </c>
      <c r="V1264" t="s">
        <v>111</v>
      </c>
      <c r="W1264" t="s">
        <v>92</v>
      </c>
      <c r="Y1264" t="s">
        <v>38</v>
      </c>
      <c r="AA1264" t="s">
        <v>38</v>
      </c>
      <c r="AB1264" t="s">
        <v>38</v>
      </c>
      <c r="AC1264" t="s">
        <v>38</v>
      </c>
      <c r="AD1264" t="s">
        <v>48</v>
      </c>
      <c r="AG1264" t="str">
        <f>IF(AD1264="United States", IFERROR(INDEX(Sheet2!$C:$C, MATCH(AE1264&amp;AF1264, Sheet2!$E:$E, 0)) &amp; ", " &amp; INDEX(Sheet2!$D:$D, MATCH(AE1264&amp;AF1264, Sheet2!$E:$E, 0)), ""), "-")</f>
        <v/>
      </c>
    </row>
    <row r="1265" spans="1:33" x14ac:dyDescent="0.25">
      <c r="A1265" t="s">
        <v>2449</v>
      </c>
      <c r="D1265" t="s">
        <v>2462</v>
      </c>
      <c r="E1265" t="s">
        <v>2463</v>
      </c>
      <c r="F1265">
        <v>1759</v>
      </c>
      <c r="G1265">
        <v>143</v>
      </c>
      <c r="H1265">
        <v>20</v>
      </c>
      <c r="J1265" t="s">
        <v>2451</v>
      </c>
      <c r="O1265" t="s">
        <v>57</v>
      </c>
      <c r="R1265" t="s">
        <v>89</v>
      </c>
      <c r="T1265" t="s">
        <v>89</v>
      </c>
      <c r="U1265" t="s">
        <v>2453</v>
      </c>
      <c r="V1265" t="s">
        <v>111</v>
      </c>
      <c r="W1265" t="s">
        <v>92</v>
      </c>
      <c r="Y1265" t="s">
        <v>38</v>
      </c>
      <c r="AA1265" t="s">
        <v>38</v>
      </c>
      <c r="AB1265" t="s">
        <v>38</v>
      </c>
      <c r="AC1265" t="s">
        <v>38</v>
      </c>
      <c r="AD1265" t="s">
        <v>48</v>
      </c>
      <c r="AG1265" t="str">
        <f>IF(AD1265="United States", IFERROR(INDEX(Sheet2!$C:$C, MATCH(AE1265&amp;AF1265, Sheet2!$E:$E, 0)) &amp; ", " &amp; INDEX(Sheet2!$D:$D, MATCH(AE1265&amp;AF1265, Sheet2!$E:$E, 0)), ""), "-")</f>
        <v/>
      </c>
    </row>
    <row r="1266" spans="1:33" x14ac:dyDescent="0.25">
      <c r="A1266" t="s">
        <v>2449</v>
      </c>
      <c r="D1266" t="s">
        <v>113</v>
      </c>
      <c r="E1266" t="s">
        <v>2070</v>
      </c>
      <c r="F1266">
        <v>1753</v>
      </c>
      <c r="G1266">
        <v>144</v>
      </c>
      <c r="H1266">
        <v>20</v>
      </c>
      <c r="J1266" t="s">
        <v>2451</v>
      </c>
      <c r="O1266" t="s">
        <v>41</v>
      </c>
      <c r="R1266" t="s">
        <v>89</v>
      </c>
      <c r="T1266" t="s">
        <v>89</v>
      </c>
      <c r="U1266" t="s">
        <v>2453</v>
      </c>
      <c r="V1266" t="s">
        <v>111</v>
      </c>
      <c r="W1266" t="s">
        <v>92</v>
      </c>
      <c r="Y1266" t="s">
        <v>38</v>
      </c>
      <c r="AA1266" t="s">
        <v>38</v>
      </c>
      <c r="AB1266" t="s">
        <v>38</v>
      </c>
      <c r="AC1266" t="s">
        <v>38</v>
      </c>
      <c r="AD1266" t="s">
        <v>48</v>
      </c>
      <c r="AG1266" t="str">
        <f>IF(AD1266="United States", IFERROR(INDEX(Sheet2!$C:$C, MATCH(AE1266&amp;AF1266, Sheet2!$E:$E, 0)) &amp; ", " &amp; INDEX(Sheet2!$D:$D, MATCH(AE1266&amp;AF1266, Sheet2!$E:$E, 0)), ""), "-")</f>
        <v/>
      </c>
    </row>
    <row r="1267" spans="1:33" x14ac:dyDescent="0.25">
      <c r="A1267" t="s">
        <v>2449</v>
      </c>
      <c r="D1267" t="s">
        <v>210</v>
      </c>
      <c r="E1267" t="s">
        <v>2450</v>
      </c>
      <c r="F1267">
        <v>1764</v>
      </c>
      <c r="G1267">
        <v>132</v>
      </c>
      <c r="H1267">
        <v>20</v>
      </c>
      <c r="J1267" t="s">
        <v>2451</v>
      </c>
      <c r="O1267" t="s">
        <v>41</v>
      </c>
      <c r="R1267" t="s">
        <v>89</v>
      </c>
      <c r="T1267" t="s">
        <v>89</v>
      </c>
      <c r="U1267" t="s">
        <v>2453</v>
      </c>
      <c r="V1267" t="s">
        <v>111</v>
      </c>
      <c r="W1267" t="s">
        <v>92</v>
      </c>
      <c r="Y1267" t="s">
        <v>38</v>
      </c>
      <c r="AA1267" t="s">
        <v>38</v>
      </c>
      <c r="AB1267" t="s">
        <v>38</v>
      </c>
      <c r="AC1267" t="s">
        <v>38</v>
      </c>
      <c r="AD1267" t="s">
        <v>48</v>
      </c>
      <c r="AG1267" t="str">
        <f>IF(AD1267="United States", IFERROR(INDEX(Sheet2!$C:$C, MATCH(AE1267&amp;AF1267, Sheet2!$E:$E, 0)) &amp; ", " &amp; INDEX(Sheet2!$D:$D, MATCH(AE1267&amp;AF1267, Sheet2!$E:$E, 0)), ""), "-")</f>
        <v/>
      </c>
    </row>
    <row r="1268" spans="1:33" x14ac:dyDescent="0.25">
      <c r="A1268" t="s">
        <v>2449</v>
      </c>
      <c r="D1268" t="s">
        <v>1740</v>
      </c>
      <c r="E1268" t="s">
        <v>38</v>
      </c>
      <c r="F1268">
        <v>1763</v>
      </c>
      <c r="G1268">
        <v>2024</v>
      </c>
      <c r="H1268">
        <v>66</v>
      </c>
      <c r="J1268" t="s">
        <v>2464</v>
      </c>
      <c r="O1268" t="s">
        <v>41</v>
      </c>
      <c r="R1268" t="s">
        <v>89</v>
      </c>
      <c r="T1268" t="s">
        <v>89</v>
      </c>
      <c r="U1268" t="s">
        <v>2453</v>
      </c>
      <c r="V1268" t="s">
        <v>137</v>
      </c>
      <c r="W1268" t="s">
        <v>92</v>
      </c>
      <c r="Y1268" t="s">
        <v>38</v>
      </c>
      <c r="AA1268" t="s">
        <v>38</v>
      </c>
      <c r="AB1268" t="s">
        <v>38</v>
      </c>
      <c r="AC1268" t="s">
        <v>38</v>
      </c>
      <c r="AD1268" t="s">
        <v>48</v>
      </c>
      <c r="AG1268" t="str">
        <f>IF(AD1268="United States", IFERROR(INDEX(Sheet2!$C:$C, MATCH(AE1268&amp;AF1268, Sheet2!$E:$E, 0)) &amp; ", " &amp; INDEX(Sheet2!$D:$D, MATCH(AE1268&amp;AF1268, Sheet2!$E:$E, 0)), ""), "-")</f>
        <v/>
      </c>
    </row>
    <row r="1269" spans="1:33" x14ac:dyDescent="0.25">
      <c r="A1269" t="s">
        <v>2449</v>
      </c>
      <c r="D1269" t="s">
        <v>245</v>
      </c>
      <c r="E1269" t="s">
        <v>2465</v>
      </c>
      <c r="F1269">
        <v>1762</v>
      </c>
      <c r="G1269">
        <v>146</v>
      </c>
      <c r="H1269">
        <v>20</v>
      </c>
      <c r="J1269" t="s">
        <v>2451</v>
      </c>
      <c r="O1269" t="s">
        <v>57</v>
      </c>
      <c r="R1269" t="s">
        <v>89</v>
      </c>
      <c r="T1269" t="s">
        <v>89</v>
      </c>
      <c r="U1269" t="s">
        <v>2453</v>
      </c>
      <c r="V1269" t="s">
        <v>111</v>
      </c>
      <c r="W1269" t="s">
        <v>92</v>
      </c>
      <c r="Y1269" t="s">
        <v>38</v>
      </c>
      <c r="AA1269" t="s">
        <v>38</v>
      </c>
      <c r="AB1269" t="s">
        <v>38</v>
      </c>
      <c r="AC1269" t="s">
        <v>38</v>
      </c>
      <c r="AD1269" t="s">
        <v>48</v>
      </c>
      <c r="AG1269" t="str">
        <f>IF(AD1269="United States", IFERROR(INDEX(Sheet2!$C:$C, MATCH(AE1269&amp;AF1269, Sheet2!$E:$E, 0)) &amp; ", " &amp; INDEX(Sheet2!$D:$D, MATCH(AE1269&amp;AF1269, Sheet2!$E:$E, 0)), ""), "-")</f>
        <v/>
      </c>
    </row>
    <row r="1270" spans="1:33" x14ac:dyDescent="0.25">
      <c r="A1270" t="s">
        <v>2449</v>
      </c>
      <c r="D1270" t="s">
        <v>463</v>
      </c>
      <c r="E1270" t="s">
        <v>2465</v>
      </c>
      <c r="F1270">
        <v>1755</v>
      </c>
      <c r="G1270">
        <v>145</v>
      </c>
      <c r="H1270">
        <v>20</v>
      </c>
      <c r="J1270" t="s">
        <v>2451</v>
      </c>
      <c r="O1270" t="s">
        <v>41</v>
      </c>
      <c r="R1270" t="s">
        <v>89</v>
      </c>
      <c r="T1270" t="s">
        <v>89</v>
      </c>
      <c r="U1270" t="s">
        <v>2453</v>
      </c>
      <c r="V1270" t="s">
        <v>111</v>
      </c>
      <c r="W1270" t="s">
        <v>92</v>
      </c>
      <c r="Y1270" t="s">
        <v>38</v>
      </c>
      <c r="AA1270" t="s">
        <v>38</v>
      </c>
      <c r="AB1270" t="s">
        <v>38</v>
      </c>
      <c r="AC1270" t="s">
        <v>38</v>
      </c>
      <c r="AD1270" t="s">
        <v>48</v>
      </c>
      <c r="AG1270" t="str">
        <f>IF(AD1270="United States", IFERROR(INDEX(Sheet2!$C:$C, MATCH(AE1270&amp;AF1270, Sheet2!$E:$E, 0)) &amp; ", " &amp; INDEX(Sheet2!$D:$D, MATCH(AE1270&amp;AF1270, Sheet2!$E:$E, 0)), ""), "-")</f>
        <v/>
      </c>
    </row>
    <row r="1271" spans="1:33" x14ac:dyDescent="0.25">
      <c r="A1271" t="s">
        <v>2466</v>
      </c>
      <c r="B1271" t="s">
        <v>2467</v>
      </c>
      <c r="C1271" t="s">
        <v>2468</v>
      </c>
      <c r="D1271" t="s">
        <v>1778</v>
      </c>
      <c r="E1271" t="s">
        <v>1779</v>
      </c>
      <c r="F1271">
        <v>1768</v>
      </c>
      <c r="G1271">
        <v>2709</v>
      </c>
      <c r="I1271" t="s">
        <v>80</v>
      </c>
      <c r="J1271" t="s">
        <v>2469</v>
      </c>
      <c r="M1271" t="s">
        <v>222</v>
      </c>
      <c r="N1271" t="s">
        <v>1139</v>
      </c>
      <c r="O1271" t="s">
        <v>54</v>
      </c>
      <c r="P1271" t="s">
        <v>42</v>
      </c>
      <c r="Q1271" t="s">
        <v>43</v>
      </c>
      <c r="R1271" t="s">
        <v>1781</v>
      </c>
      <c r="S1271" t="s">
        <v>89</v>
      </c>
      <c r="V1271" t="s">
        <v>740</v>
      </c>
      <c r="Y1271" t="s">
        <v>38</v>
      </c>
      <c r="Z1271" t="s">
        <v>42</v>
      </c>
      <c r="AA1271" t="s">
        <v>1782</v>
      </c>
      <c r="AB1271" t="s">
        <v>1783</v>
      </c>
      <c r="AC1271" t="s">
        <v>89</v>
      </c>
      <c r="AD1271" t="s">
        <v>48</v>
      </c>
      <c r="AG1271" t="str">
        <f>IF(AD1271="United States", IFERROR(INDEX(Sheet2!$C:$C, MATCH(AE1271&amp;AF1271, Sheet2!$E:$E, 0)) &amp; ", " &amp; INDEX(Sheet2!$D:$D, MATCH(AE1271&amp;AF1271, Sheet2!$E:$E, 0)), ""), "-")</f>
        <v/>
      </c>
    </row>
    <row r="1272" spans="1:33" x14ac:dyDescent="0.25">
      <c r="A1272" t="s">
        <v>2466</v>
      </c>
      <c r="D1272" t="s">
        <v>181</v>
      </c>
      <c r="E1272" t="s">
        <v>256</v>
      </c>
      <c r="F1272">
        <v>1781</v>
      </c>
      <c r="G1272">
        <v>1683</v>
      </c>
      <c r="H1272">
        <v>57</v>
      </c>
      <c r="J1272" t="s">
        <v>2469</v>
      </c>
      <c r="O1272" t="s">
        <v>183</v>
      </c>
      <c r="R1272" t="s">
        <v>89</v>
      </c>
      <c r="T1272" t="s">
        <v>89</v>
      </c>
      <c r="U1272" t="s">
        <v>2453</v>
      </c>
      <c r="V1272" t="s">
        <v>740</v>
      </c>
      <c r="W1272" t="s">
        <v>92</v>
      </c>
      <c r="Y1272" t="s">
        <v>38</v>
      </c>
      <c r="AA1272" t="s">
        <v>38</v>
      </c>
      <c r="AB1272" t="s">
        <v>38</v>
      </c>
      <c r="AC1272" t="s">
        <v>38</v>
      </c>
      <c r="AD1272" t="s">
        <v>48</v>
      </c>
      <c r="AG1272" t="str">
        <f>IF(AD1272="United States", IFERROR(INDEX(Sheet2!$C:$C, MATCH(AE1272&amp;AF1272, Sheet2!$E:$E, 0)) &amp; ", " &amp; INDEX(Sheet2!$D:$D, MATCH(AE1272&amp;AF1272, Sheet2!$E:$E, 0)), ""), "-")</f>
        <v/>
      </c>
    </row>
    <row r="1273" spans="1:33" x14ac:dyDescent="0.25">
      <c r="A1273" t="s">
        <v>2466</v>
      </c>
      <c r="D1273" t="s">
        <v>1806</v>
      </c>
      <c r="E1273" t="s">
        <v>2470</v>
      </c>
      <c r="F1273" t="s">
        <v>38</v>
      </c>
      <c r="G1273">
        <v>1687</v>
      </c>
      <c r="H1273">
        <v>57</v>
      </c>
      <c r="J1273" t="s">
        <v>2469</v>
      </c>
      <c r="O1273" t="s">
        <v>183</v>
      </c>
      <c r="R1273" t="s">
        <v>89</v>
      </c>
      <c r="T1273" t="s">
        <v>89</v>
      </c>
      <c r="U1273" t="s">
        <v>2453</v>
      </c>
      <c r="V1273" t="s">
        <v>740</v>
      </c>
      <c r="W1273" t="s">
        <v>92</v>
      </c>
      <c r="Y1273" t="s">
        <v>38</v>
      </c>
      <c r="AA1273" t="s">
        <v>38</v>
      </c>
      <c r="AB1273" t="s">
        <v>38</v>
      </c>
      <c r="AC1273" t="s">
        <v>38</v>
      </c>
      <c r="AD1273" t="s">
        <v>48</v>
      </c>
      <c r="AG1273" t="str">
        <f>IF(AD1273="United States", IFERROR(INDEX(Sheet2!$C:$C, MATCH(AE1273&amp;AF1273, Sheet2!$E:$E, 0)) &amp; ", " &amp; INDEX(Sheet2!$D:$D, MATCH(AE1273&amp;AF1273, Sheet2!$E:$E, 0)), ""), "-")</f>
        <v/>
      </c>
    </row>
    <row r="1274" spans="1:33" x14ac:dyDescent="0.25">
      <c r="A1274" t="s">
        <v>2466</v>
      </c>
      <c r="B1274" t="s">
        <v>2471</v>
      </c>
      <c r="C1274" t="s">
        <v>2468</v>
      </c>
      <c r="D1274" t="s">
        <v>2376</v>
      </c>
      <c r="E1274" t="s">
        <v>38</v>
      </c>
      <c r="F1274">
        <v>1760</v>
      </c>
      <c r="G1274">
        <v>1780</v>
      </c>
      <c r="H1274" t="s">
        <v>2472</v>
      </c>
      <c r="I1274" t="s">
        <v>80</v>
      </c>
      <c r="J1274" t="s">
        <v>2469</v>
      </c>
      <c r="K1274" t="s">
        <v>38</v>
      </c>
      <c r="L1274" t="s">
        <v>38</v>
      </c>
      <c r="M1274" t="s">
        <v>38</v>
      </c>
      <c r="N1274" t="s">
        <v>38</v>
      </c>
      <c r="O1274" t="s">
        <v>41</v>
      </c>
      <c r="P1274" t="s">
        <v>42</v>
      </c>
      <c r="Q1274" t="s">
        <v>43</v>
      </c>
      <c r="R1274" t="s">
        <v>89</v>
      </c>
      <c r="S1274" t="s">
        <v>38</v>
      </c>
      <c r="T1274" t="s">
        <v>89</v>
      </c>
      <c r="U1274" t="s">
        <v>2453</v>
      </c>
      <c r="V1274" t="s">
        <v>740</v>
      </c>
      <c r="W1274" t="s">
        <v>92</v>
      </c>
      <c r="X1274" t="s">
        <v>38</v>
      </c>
      <c r="Y1274" t="s">
        <v>2473</v>
      </c>
      <c r="Z1274" t="s">
        <v>42</v>
      </c>
      <c r="AA1274" t="s">
        <v>38</v>
      </c>
      <c r="AB1274" t="s">
        <v>38</v>
      </c>
      <c r="AC1274" t="s">
        <v>38</v>
      </c>
      <c r="AD1274" t="s">
        <v>48</v>
      </c>
      <c r="AG1274" t="str">
        <f>IF(AD1274="United States", IFERROR(INDEX(Sheet2!$C:$C, MATCH(AE1274&amp;AF1274, Sheet2!$E:$E, 0)) &amp; ", " &amp; INDEX(Sheet2!$D:$D, MATCH(AE1274&amp;AF1274, Sheet2!$E:$E, 0)), ""), "-")</f>
        <v/>
      </c>
    </row>
    <row r="1275" spans="1:33" x14ac:dyDescent="0.25">
      <c r="A1275" t="s">
        <v>2466</v>
      </c>
      <c r="B1275" t="s">
        <v>2474</v>
      </c>
      <c r="C1275" t="s">
        <v>2468</v>
      </c>
      <c r="D1275" t="s">
        <v>2475</v>
      </c>
      <c r="E1275" t="s">
        <v>38</v>
      </c>
      <c r="F1275">
        <v>1756</v>
      </c>
      <c r="G1275">
        <v>1779</v>
      </c>
      <c r="H1275" t="s">
        <v>38</v>
      </c>
      <c r="I1275" t="s">
        <v>80</v>
      </c>
      <c r="J1275" t="s">
        <v>2469</v>
      </c>
      <c r="K1275" t="s">
        <v>38</v>
      </c>
      <c r="L1275" t="s">
        <v>38</v>
      </c>
      <c r="M1275" t="s">
        <v>38</v>
      </c>
      <c r="N1275" t="s">
        <v>38</v>
      </c>
      <c r="O1275" t="s">
        <v>57</v>
      </c>
      <c r="P1275" t="s">
        <v>42</v>
      </c>
      <c r="Q1275" t="s">
        <v>43</v>
      </c>
      <c r="R1275" t="s">
        <v>38</v>
      </c>
      <c r="S1275" t="s">
        <v>38</v>
      </c>
      <c r="T1275" t="s">
        <v>38</v>
      </c>
      <c r="U1275" t="s">
        <v>38</v>
      </c>
      <c r="V1275" t="s">
        <v>740</v>
      </c>
      <c r="W1275" t="s">
        <v>38</v>
      </c>
      <c r="X1275" t="s">
        <v>38</v>
      </c>
      <c r="Y1275" t="s">
        <v>2476</v>
      </c>
      <c r="Z1275" t="s">
        <v>42</v>
      </c>
      <c r="AA1275" t="s">
        <v>38</v>
      </c>
      <c r="AB1275" t="s">
        <v>38</v>
      </c>
      <c r="AC1275" t="s">
        <v>38</v>
      </c>
      <c r="AD1275" t="s">
        <v>48</v>
      </c>
      <c r="AG1275" t="str">
        <f>IF(AD1275="United States", IFERROR(INDEX(Sheet2!$C:$C, MATCH(AE1275&amp;AF1275, Sheet2!$E:$E, 0)) &amp; ", " &amp; INDEX(Sheet2!$D:$D, MATCH(AE1275&amp;AF1275, Sheet2!$E:$E, 0)), ""), "-")</f>
        <v/>
      </c>
    </row>
    <row r="1276" spans="1:33" x14ac:dyDescent="0.25">
      <c r="A1276" t="s">
        <v>2466</v>
      </c>
      <c r="D1276" t="s">
        <v>181</v>
      </c>
      <c r="E1276" t="s">
        <v>256</v>
      </c>
      <c r="F1276">
        <v>1773</v>
      </c>
      <c r="G1276">
        <v>1681</v>
      </c>
      <c r="H1276">
        <v>57</v>
      </c>
      <c r="J1276" t="s">
        <v>2469</v>
      </c>
      <c r="O1276" t="s">
        <v>183</v>
      </c>
      <c r="R1276" t="s">
        <v>89</v>
      </c>
      <c r="T1276" t="s">
        <v>89</v>
      </c>
      <c r="U1276" t="s">
        <v>2453</v>
      </c>
      <c r="V1276" t="s">
        <v>740</v>
      </c>
      <c r="W1276" t="s">
        <v>92</v>
      </c>
      <c r="Y1276" t="s">
        <v>38</v>
      </c>
      <c r="AA1276" t="s">
        <v>38</v>
      </c>
      <c r="AB1276" t="s">
        <v>38</v>
      </c>
      <c r="AC1276" t="s">
        <v>38</v>
      </c>
      <c r="AD1276" t="s">
        <v>48</v>
      </c>
      <c r="AG1276" t="str">
        <f>IF(AD1276="United States", IFERROR(INDEX(Sheet2!$C:$C, MATCH(AE1276&amp;AF1276, Sheet2!$E:$E, 0)) &amp; ", " &amp; INDEX(Sheet2!$D:$D, MATCH(AE1276&amp;AF1276, Sheet2!$E:$E, 0)), ""), "-")</f>
        <v/>
      </c>
    </row>
    <row r="1277" spans="1:33" x14ac:dyDescent="0.25">
      <c r="A1277" t="s">
        <v>2466</v>
      </c>
      <c r="B1277" t="s">
        <v>2477</v>
      </c>
      <c r="C1277" t="s">
        <v>2468</v>
      </c>
      <c r="D1277" t="s">
        <v>2470</v>
      </c>
      <c r="E1277" t="s">
        <v>38</v>
      </c>
      <c r="F1277">
        <v>1765</v>
      </c>
      <c r="G1277">
        <v>1777</v>
      </c>
      <c r="H1277" t="s">
        <v>2472</v>
      </c>
      <c r="I1277" t="s">
        <v>80</v>
      </c>
      <c r="J1277" t="s">
        <v>2469</v>
      </c>
      <c r="K1277" t="s">
        <v>38</v>
      </c>
      <c r="L1277" t="s">
        <v>38</v>
      </c>
      <c r="M1277" t="s">
        <v>72</v>
      </c>
      <c r="N1277" t="s">
        <v>191</v>
      </c>
      <c r="O1277" t="s">
        <v>74</v>
      </c>
      <c r="P1277" t="s">
        <v>125</v>
      </c>
      <c r="Q1277" t="s">
        <v>124</v>
      </c>
      <c r="R1277" t="s">
        <v>89</v>
      </c>
      <c r="S1277" t="s">
        <v>89</v>
      </c>
      <c r="T1277" t="s">
        <v>89</v>
      </c>
      <c r="U1277" t="s">
        <v>2453</v>
      </c>
      <c r="V1277" t="s">
        <v>740</v>
      </c>
      <c r="W1277" t="s">
        <v>92</v>
      </c>
      <c r="X1277" t="s">
        <v>38</v>
      </c>
      <c r="Y1277" t="s">
        <v>2478</v>
      </c>
      <c r="Z1277" t="s">
        <v>125</v>
      </c>
      <c r="AA1277" t="s">
        <v>38</v>
      </c>
      <c r="AB1277" t="s">
        <v>38</v>
      </c>
      <c r="AC1277" t="s">
        <v>89</v>
      </c>
      <c r="AD1277" t="s">
        <v>48</v>
      </c>
      <c r="AG1277" t="str">
        <f>IF(AD1277="United States", IFERROR(INDEX(Sheet2!$C:$C, MATCH(AE1277&amp;AF1277, Sheet2!$E:$E, 0)) &amp; ", " &amp; INDEX(Sheet2!$D:$D, MATCH(AE1277&amp;AF1277, Sheet2!$E:$E, 0)), ""), "-")</f>
        <v/>
      </c>
    </row>
    <row r="1278" spans="1:33" x14ac:dyDescent="0.25">
      <c r="A1278" t="s">
        <v>2466</v>
      </c>
      <c r="B1278" t="s">
        <v>2479</v>
      </c>
      <c r="C1278" t="s">
        <v>2468</v>
      </c>
      <c r="D1278" t="s">
        <v>2121</v>
      </c>
      <c r="E1278" t="s">
        <v>38</v>
      </c>
      <c r="F1278">
        <v>1733</v>
      </c>
      <c r="G1278">
        <v>1776</v>
      </c>
      <c r="H1278" t="s">
        <v>2472</v>
      </c>
      <c r="I1278" t="s">
        <v>80</v>
      </c>
      <c r="J1278" t="s">
        <v>2469</v>
      </c>
      <c r="K1278" t="s">
        <v>38</v>
      </c>
      <c r="L1278" t="s">
        <v>38</v>
      </c>
      <c r="M1278" t="s">
        <v>38</v>
      </c>
      <c r="N1278" t="s">
        <v>38</v>
      </c>
      <c r="O1278" t="s">
        <v>41</v>
      </c>
      <c r="P1278" t="s">
        <v>42</v>
      </c>
      <c r="Q1278" t="s">
        <v>43</v>
      </c>
      <c r="R1278" t="s">
        <v>89</v>
      </c>
      <c r="S1278" t="s">
        <v>89</v>
      </c>
      <c r="T1278" t="s">
        <v>89</v>
      </c>
      <c r="U1278" t="s">
        <v>2453</v>
      </c>
      <c r="V1278" t="s">
        <v>740</v>
      </c>
      <c r="W1278" t="s">
        <v>92</v>
      </c>
      <c r="X1278" t="s">
        <v>38</v>
      </c>
      <c r="Y1278" t="s">
        <v>2478</v>
      </c>
      <c r="Z1278" t="s">
        <v>42</v>
      </c>
      <c r="AA1278" t="s">
        <v>38</v>
      </c>
      <c r="AB1278" t="s">
        <v>38</v>
      </c>
      <c r="AC1278" t="s">
        <v>89</v>
      </c>
      <c r="AD1278" t="s">
        <v>48</v>
      </c>
      <c r="AG1278" t="str">
        <f>IF(AD1278="United States", IFERROR(INDEX(Sheet2!$C:$C, MATCH(AE1278&amp;AF1278, Sheet2!$E:$E, 0)) &amp; ", " &amp; INDEX(Sheet2!$D:$D, MATCH(AE1278&amp;AF1278, Sheet2!$E:$E, 0)), ""), "-")</f>
        <v/>
      </c>
    </row>
    <row r="1279" spans="1:33" x14ac:dyDescent="0.25">
      <c r="A1279" t="s">
        <v>2466</v>
      </c>
      <c r="B1279" t="s">
        <v>2480</v>
      </c>
      <c r="C1279" t="s">
        <v>2468</v>
      </c>
      <c r="D1279" t="s">
        <v>361</v>
      </c>
      <c r="E1279" t="s">
        <v>38</v>
      </c>
      <c r="F1279">
        <v>1762</v>
      </c>
      <c r="G1279">
        <v>1775</v>
      </c>
      <c r="H1279" t="s">
        <v>2472</v>
      </c>
      <c r="I1279" t="s">
        <v>80</v>
      </c>
      <c r="J1279" t="s">
        <v>2469</v>
      </c>
      <c r="K1279" t="s">
        <v>38</v>
      </c>
      <c r="L1279" t="s">
        <v>38</v>
      </c>
      <c r="M1279" t="s">
        <v>38</v>
      </c>
      <c r="N1279" t="s">
        <v>38</v>
      </c>
      <c r="O1279" t="s">
        <v>41</v>
      </c>
      <c r="P1279" t="s">
        <v>42</v>
      </c>
      <c r="Q1279" t="s">
        <v>43</v>
      </c>
      <c r="R1279" t="s">
        <v>89</v>
      </c>
      <c r="S1279" t="s">
        <v>201</v>
      </c>
      <c r="T1279" t="s">
        <v>89</v>
      </c>
      <c r="U1279" t="s">
        <v>2453</v>
      </c>
      <c r="V1279" t="s">
        <v>740</v>
      </c>
      <c r="W1279" t="s">
        <v>92</v>
      </c>
      <c r="X1279" t="s">
        <v>38</v>
      </c>
      <c r="Y1279" t="s">
        <v>2481</v>
      </c>
      <c r="Z1279" t="s">
        <v>42</v>
      </c>
      <c r="AA1279" t="s">
        <v>265</v>
      </c>
      <c r="AB1279" t="s">
        <v>38</v>
      </c>
      <c r="AC1279" t="s">
        <v>201</v>
      </c>
      <c r="AD1279" t="s">
        <v>48</v>
      </c>
      <c r="AG1279" t="str">
        <f>IF(AD1279="United States", IFERROR(INDEX(Sheet2!$C:$C, MATCH(AE1279&amp;AF1279, Sheet2!$E:$E, 0)) &amp; ", " &amp; INDEX(Sheet2!$D:$D, MATCH(AE1279&amp;AF1279, Sheet2!$E:$E, 0)), ""), "-")</f>
        <v/>
      </c>
    </row>
    <row r="1280" spans="1:33" x14ac:dyDescent="0.25">
      <c r="A1280" t="s">
        <v>2466</v>
      </c>
      <c r="B1280" t="s">
        <v>2482</v>
      </c>
      <c r="C1280" t="s">
        <v>2468</v>
      </c>
      <c r="D1280" t="s">
        <v>938</v>
      </c>
      <c r="E1280" t="s">
        <v>629</v>
      </c>
      <c r="F1280">
        <v>1757</v>
      </c>
      <c r="G1280">
        <v>1773</v>
      </c>
      <c r="H1280" t="s">
        <v>2472</v>
      </c>
      <c r="I1280" t="s">
        <v>80</v>
      </c>
      <c r="J1280" t="s">
        <v>2469</v>
      </c>
      <c r="K1280" t="s">
        <v>38</v>
      </c>
      <c r="L1280" t="s">
        <v>38</v>
      </c>
      <c r="M1280" t="s">
        <v>38</v>
      </c>
      <c r="N1280" t="s">
        <v>38</v>
      </c>
      <c r="O1280" t="s">
        <v>41</v>
      </c>
      <c r="P1280" t="s">
        <v>42</v>
      </c>
      <c r="Q1280" t="s">
        <v>43</v>
      </c>
      <c r="R1280" t="s">
        <v>89</v>
      </c>
      <c r="S1280" t="s">
        <v>38</v>
      </c>
      <c r="T1280" t="s">
        <v>89</v>
      </c>
      <c r="U1280" t="s">
        <v>2453</v>
      </c>
      <c r="V1280" t="s">
        <v>740</v>
      </c>
      <c r="W1280" t="s">
        <v>92</v>
      </c>
      <c r="X1280" t="s">
        <v>38</v>
      </c>
      <c r="Y1280" t="s">
        <v>2483</v>
      </c>
      <c r="Z1280" t="s">
        <v>42</v>
      </c>
      <c r="AA1280" t="s">
        <v>630</v>
      </c>
      <c r="AB1280" t="s">
        <v>38</v>
      </c>
      <c r="AC1280" t="s">
        <v>70</v>
      </c>
      <c r="AD1280" t="s">
        <v>48</v>
      </c>
      <c r="AG1280" t="str">
        <f>IF(AD1280="United States", IFERROR(INDEX(Sheet2!$C:$C, MATCH(AE1280&amp;AF1280, Sheet2!$E:$E, 0)) &amp; ", " &amp; INDEX(Sheet2!$D:$D, MATCH(AE1280&amp;AF1280, Sheet2!$E:$E, 0)), ""), "-")</f>
        <v/>
      </c>
    </row>
    <row r="1281" spans="1:33" x14ac:dyDescent="0.25">
      <c r="A1281" t="s">
        <v>2466</v>
      </c>
      <c r="B1281" t="s">
        <v>2484</v>
      </c>
      <c r="C1281" t="s">
        <v>2485</v>
      </c>
      <c r="D1281" t="s">
        <v>1740</v>
      </c>
      <c r="E1281" t="s">
        <v>38</v>
      </c>
      <c r="F1281">
        <v>1763</v>
      </c>
      <c r="G1281">
        <v>2080</v>
      </c>
      <c r="H1281" t="s">
        <v>38</v>
      </c>
      <c r="I1281" t="s">
        <v>87</v>
      </c>
      <c r="J1281" t="s">
        <v>2451</v>
      </c>
      <c r="K1281" t="s">
        <v>38</v>
      </c>
      <c r="L1281" t="s">
        <v>38</v>
      </c>
      <c r="M1281" t="s">
        <v>38</v>
      </c>
      <c r="N1281" t="s">
        <v>38</v>
      </c>
      <c r="O1281" t="s">
        <v>41</v>
      </c>
      <c r="P1281" t="s">
        <v>42</v>
      </c>
      <c r="Q1281" t="s">
        <v>43</v>
      </c>
      <c r="R1281" t="s">
        <v>38</v>
      </c>
      <c r="S1281" t="s">
        <v>38</v>
      </c>
      <c r="T1281" t="s">
        <v>38</v>
      </c>
      <c r="U1281" t="s">
        <v>38</v>
      </c>
      <c r="V1281" t="s">
        <v>137</v>
      </c>
      <c r="W1281" t="s">
        <v>38</v>
      </c>
      <c r="X1281" t="s">
        <v>38</v>
      </c>
      <c r="Y1281" t="s">
        <v>2486</v>
      </c>
      <c r="Z1281" t="s">
        <v>42</v>
      </c>
      <c r="AA1281" t="s">
        <v>38</v>
      </c>
      <c r="AB1281" t="s">
        <v>38</v>
      </c>
      <c r="AC1281" t="s">
        <v>38</v>
      </c>
      <c r="AD1281" t="s">
        <v>48</v>
      </c>
      <c r="AG1281" t="str">
        <f>IF(AD1281="United States", IFERROR(INDEX(Sheet2!$C:$C, MATCH(AE1281&amp;AF1281, Sheet2!$E:$E, 0)) &amp; ", " &amp; INDEX(Sheet2!$D:$D, MATCH(AE1281&amp;AF1281, Sheet2!$E:$E, 0)), ""), "-")</f>
        <v/>
      </c>
    </row>
    <row r="1282" spans="1:33" x14ac:dyDescent="0.25">
      <c r="A1282" t="s">
        <v>2466</v>
      </c>
      <c r="B1282" t="s">
        <v>2487</v>
      </c>
      <c r="C1282" t="s">
        <v>2468</v>
      </c>
      <c r="D1282" t="s">
        <v>1126</v>
      </c>
      <c r="E1282" t="s">
        <v>1141</v>
      </c>
      <c r="F1282">
        <v>1758</v>
      </c>
      <c r="G1282">
        <v>1772</v>
      </c>
      <c r="H1282" t="s">
        <v>2472</v>
      </c>
      <c r="I1282" t="s">
        <v>80</v>
      </c>
      <c r="J1282" t="s">
        <v>2469</v>
      </c>
      <c r="K1282" t="s">
        <v>38</v>
      </c>
      <c r="L1282" t="s">
        <v>38</v>
      </c>
      <c r="M1282" t="s">
        <v>38</v>
      </c>
      <c r="N1282" t="s">
        <v>38</v>
      </c>
      <c r="O1282" t="s">
        <v>41</v>
      </c>
      <c r="P1282" t="s">
        <v>42</v>
      </c>
      <c r="Q1282" t="s">
        <v>43</v>
      </c>
      <c r="R1282" t="s">
        <v>89</v>
      </c>
      <c r="S1282" t="s">
        <v>38</v>
      </c>
      <c r="T1282" t="s">
        <v>89</v>
      </c>
      <c r="U1282" t="s">
        <v>2453</v>
      </c>
      <c r="V1282" t="s">
        <v>740</v>
      </c>
      <c r="W1282" t="s">
        <v>92</v>
      </c>
      <c r="X1282" t="s">
        <v>38</v>
      </c>
      <c r="Y1282" t="s">
        <v>2483</v>
      </c>
      <c r="Z1282" t="s">
        <v>42</v>
      </c>
      <c r="AA1282" t="s">
        <v>613</v>
      </c>
      <c r="AB1282" t="s">
        <v>38</v>
      </c>
      <c r="AC1282" t="s">
        <v>70</v>
      </c>
      <c r="AD1282" t="s">
        <v>48</v>
      </c>
      <c r="AG1282" t="str">
        <f>IF(AD1282="United States", IFERROR(INDEX(Sheet2!$C:$C, MATCH(AE1282&amp;AF1282, Sheet2!$E:$E, 0)) &amp; ", " &amp; INDEX(Sheet2!$D:$D, MATCH(AE1282&amp;AF1282, Sheet2!$E:$E, 0)), ""), "-")</f>
        <v/>
      </c>
    </row>
    <row r="1283" spans="1:33" x14ac:dyDescent="0.25">
      <c r="A1283" t="s">
        <v>2466</v>
      </c>
      <c r="D1283" t="s">
        <v>181</v>
      </c>
      <c r="E1283" t="s">
        <v>256</v>
      </c>
      <c r="F1283">
        <v>1777</v>
      </c>
      <c r="G1283">
        <v>1682</v>
      </c>
      <c r="H1283">
        <v>57</v>
      </c>
      <c r="J1283" t="s">
        <v>2469</v>
      </c>
      <c r="O1283" t="s">
        <v>183</v>
      </c>
      <c r="R1283" t="s">
        <v>89</v>
      </c>
      <c r="T1283" t="s">
        <v>89</v>
      </c>
      <c r="U1283" t="s">
        <v>2453</v>
      </c>
      <c r="V1283" t="s">
        <v>740</v>
      </c>
      <c r="W1283" t="s">
        <v>92</v>
      </c>
      <c r="Y1283" t="s">
        <v>38</v>
      </c>
      <c r="AA1283" t="s">
        <v>38</v>
      </c>
      <c r="AB1283" t="s">
        <v>38</v>
      </c>
      <c r="AC1283" t="s">
        <v>38</v>
      </c>
      <c r="AD1283" t="s">
        <v>48</v>
      </c>
      <c r="AG1283" t="str">
        <f>IF(AD1283="United States", IFERROR(INDEX(Sheet2!$C:$C, MATCH(AE1283&amp;AF1283, Sheet2!$E:$E, 0)) &amp; ", " &amp; INDEX(Sheet2!$D:$D, MATCH(AE1283&amp;AF1283, Sheet2!$E:$E, 0)), ""), "-")</f>
        <v/>
      </c>
    </row>
    <row r="1284" spans="1:33" x14ac:dyDescent="0.25">
      <c r="A1284" t="s">
        <v>2466</v>
      </c>
      <c r="B1284" t="s">
        <v>2488</v>
      </c>
      <c r="C1284" t="s">
        <v>2468</v>
      </c>
      <c r="D1284" t="s">
        <v>980</v>
      </c>
      <c r="E1284" t="s">
        <v>38</v>
      </c>
      <c r="F1284">
        <v>1737</v>
      </c>
      <c r="G1284">
        <v>1778</v>
      </c>
      <c r="H1284" t="s">
        <v>2472</v>
      </c>
      <c r="I1284" t="s">
        <v>80</v>
      </c>
      <c r="J1284" t="s">
        <v>2469</v>
      </c>
      <c r="K1284" t="s">
        <v>38</v>
      </c>
      <c r="L1284" t="s">
        <v>38</v>
      </c>
      <c r="M1284" t="s">
        <v>38</v>
      </c>
      <c r="N1284" t="s">
        <v>38</v>
      </c>
      <c r="O1284" t="s">
        <v>57</v>
      </c>
      <c r="P1284" t="s">
        <v>42</v>
      </c>
      <c r="Q1284" t="s">
        <v>43</v>
      </c>
      <c r="R1284" t="s">
        <v>89</v>
      </c>
      <c r="S1284" t="s">
        <v>38</v>
      </c>
      <c r="T1284" t="s">
        <v>89</v>
      </c>
      <c r="U1284" t="s">
        <v>2453</v>
      </c>
      <c r="V1284" t="s">
        <v>740</v>
      </c>
      <c r="W1284" t="s">
        <v>92</v>
      </c>
      <c r="X1284" t="s">
        <v>38</v>
      </c>
      <c r="Y1284" t="s">
        <v>2476</v>
      </c>
      <c r="Z1284" t="s">
        <v>42</v>
      </c>
      <c r="AA1284" t="s">
        <v>38</v>
      </c>
      <c r="AB1284" t="s">
        <v>38</v>
      </c>
      <c r="AC1284" t="s">
        <v>38</v>
      </c>
      <c r="AD1284" t="s">
        <v>48</v>
      </c>
      <c r="AG1284" t="str">
        <f>IF(AD1284="United States", IFERROR(INDEX(Sheet2!$C:$C, MATCH(AE1284&amp;AF1284, Sheet2!$E:$E, 0)) &amp; ", " &amp; INDEX(Sheet2!$D:$D, MATCH(AE1284&amp;AF1284, Sheet2!$E:$E, 0)), ""), "-")</f>
        <v/>
      </c>
    </row>
    <row r="1285" spans="1:33" x14ac:dyDescent="0.25">
      <c r="A1285" t="s">
        <v>2466</v>
      </c>
      <c r="B1285" t="s">
        <v>2489</v>
      </c>
      <c r="C1285" t="s">
        <v>2485</v>
      </c>
      <c r="D1285" t="s">
        <v>62</v>
      </c>
      <c r="E1285" t="s">
        <v>2490</v>
      </c>
      <c r="F1285">
        <v>1743</v>
      </c>
      <c r="G1285">
        <v>2081</v>
      </c>
      <c r="H1285" t="s">
        <v>1026</v>
      </c>
      <c r="I1285" t="s">
        <v>87</v>
      </c>
      <c r="J1285" t="s">
        <v>2451</v>
      </c>
      <c r="K1285" t="s">
        <v>38</v>
      </c>
      <c r="L1285" t="s">
        <v>38</v>
      </c>
      <c r="M1285" t="s">
        <v>38</v>
      </c>
      <c r="N1285" t="s">
        <v>38</v>
      </c>
      <c r="O1285" t="s">
        <v>41</v>
      </c>
      <c r="P1285" t="s">
        <v>42</v>
      </c>
      <c r="Q1285" t="s">
        <v>43</v>
      </c>
      <c r="R1285" t="s">
        <v>89</v>
      </c>
      <c r="S1285" t="s">
        <v>38</v>
      </c>
      <c r="T1285" t="s">
        <v>89</v>
      </c>
      <c r="U1285" t="s">
        <v>2453</v>
      </c>
      <c r="V1285" t="s">
        <v>137</v>
      </c>
      <c r="W1285" t="s">
        <v>92</v>
      </c>
      <c r="X1285" t="s">
        <v>38</v>
      </c>
      <c r="Y1285" t="s">
        <v>2486</v>
      </c>
      <c r="Z1285" t="s">
        <v>42</v>
      </c>
      <c r="AA1285" t="s">
        <v>38</v>
      </c>
      <c r="AB1285" t="s">
        <v>38</v>
      </c>
      <c r="AC1285" t="s">
        <v>562</v>
      </c>
      <c r="AD1285" t="s">
        <v>48</v>
      </c>
      <c r="AG1285" t="str">
        <f>IF(AD1285="United States", IFERROR(INDEX(Sheet2!$C:$C, MATCH(AE1285&amp;AF1285, Sheet2!$E:$E, 0)) &amp; ", " &amp; INDEX(Sheet2!$D:$D, MATCH(AE1285&amp;AF1285, Sheet2!$E:$E, 0)), ""), "-")</f>
        <v/>
      </c>
    </row>
    <row r="1286" spans="1:33" x14ac:dyDescent="0.25">
      <c r="A1286" t="s">
        <v>2466</v>
      </c>
      <c r="B1286" t="s">
        <v>2491</v>
      </c>
      <c r="C1286" t="s">
        <v>2492</v>
      </c>
      <c r="D1286" t="s">
        <v>2493</v>
      </c>
      <c r="E1286" t="s">
        <v>2494</v>
      </c>
      <c r="F1286">
        <v>1759</v>
      </c>
      <c r="G1286">
        <v>129</v>
      </c>
      <c r="H1286" t="s">
        <v>38</v>
      </c>
      <c r="I1286" t="s">
        <v>39</v>
      </c>
      <c r="J1286" t="s">
        <v>2451</v>
      </c>
      <c r="K1286" t="s">
        <v>38</v>
      </c>
      <c r="L1286" t="s">
        <v>38</v>
      </c>
      <c r="M1286" t="s">
        <v>38</v>
      </c>
      <c r="N1286" t="s">
        <v>38</v>
      </c>
      <c r="O1286" t="s">
        <v>57</v>
      </c>
      <c r="P1286" t="s">
        <v>42</v>
      </c>
      <c r="Q1286" t="s">
        <v>43</v>
      </c>
      <c r="R1286" t="s">
        <v>2495</v>
      </c>
      <c r="S1286" t="s">
        <v>201</v>
      </c>
      <c r="T1286" t="s">
        <v>38</v>
      </c>
      <c r="U1286" t="s">
        <v>38</v>
      </c>
      <c r="V1286" t="s">
        <v>91</v>
      </c>
      <c r="W1286" t="s">
        <v>38</v>
      </c>
      <c r="X1286" t="s">
        <v>38</v>
      </c>
      <c r="Y1286" t="s">
        <v>2496</v>
      </c>
      <c r="Z1286" t="s">
        <v>42</v>
      </c>
      <c r="AA1286" t="s">
        <v>38</v>
      </c>
      <c r="AB1286" t="s">
        <v>38</v>
      </c>
      <c r="AC1286" t="s">
        <v>201</v>
      </c>
      <c r="AD1286" t="s">
        <v>48</v>
      </c>
      <c r="AG1286" t="str">
        <f>IF(AD1286="United States", IFERROR(INDEX(Sheet2!$C:$C, MATCH(AE1286&amp;AF1286, Sheet2!$E:$E, 0)) &amp; ", " &amp; INDEX(Sheet2!$D:$D, MATCH(AE1286&amp;AF1286, Sheet2!$E:$E, 0)), ""), "-")</f>
        <v/>
      </c>
    </row>
    <row r="1287" spans="1:33" x14ac:dyDescent="0.25">
      <c r="A1287" t="s">
        <v>2466</v>
      </c>
      <c r="B1287" t="s">
        <v>2497</v>
      </c>
      <c r="C1287" t="s">
        <v>2492</v>
      </c>
      <c r="D1287" t="s">
        <v>1871</v>
      </c>
      <c r="E1287" t="s">
        <v>2291</v>
      </c>
      <c r="F1287">
        <v>1741</v>
      </c>
      <c r="G1287">
        <v>126</v>
      </c>
      <c r="H1287" t="s">
        <v>38</v>
      </c>
      <c r="I1287" t="s">
        <v>39</v>
      </c>
      <c r="J1287" t="s">
        <v>2451</v>
      </c>
      <c r="K1287" t="s">
        <v>38</v>
      </c>
      <c r="L1287" t="s">
        <v>38</v>
      </c>
      <c r="M1287" t="s">
        <v>38</v>
      </c>
      <c r="N1287" t="s">
        <v>38</v>
      </c>
      <c r="O1287" t="s">
        <v>41</v>
      </c>
      <c r="P1287" t="s">
        <v>42</v>
      </c>
      <c r="Q1287" t="s">
        <v>43</v>
      </c>
      <c r="R1287" t="s">
        <v>2498</v>
      </c>
      <c r="S1287" t="s">
        <v>45</v>
      </c>
      <c r="T1287" t="s">
        <v>38</v>
      </c>
      <c r="U1287" t="s">
        <v>38</v>
      </c>
      <c r="V1287" t="s">
        <v>91</v>
      </c>
      <c r="W1287" t="s">
        <v>38</v>
      </c>
      <c r="X1287" t="s">
        <v>38</v>
      </c>
      <c r="Y1287" t="s">
        <v>2496</v>
      </c>
      <c r="Z1287" t="s">
        <v>42</v>
      </c>
      <c r="AA1287" t="s">
        <v>2499</v>
      </c>
      <c r="AB1287" t="s">
        <v>38</v>
      </c>
      <c r="AC1287" t="s">
        <v>45</v>
      </c>
      <c r="AD1287" t="s">
        <v>48</v>
      </c>
      <c r="AG1287" t="str">
        <f>IF(AD1287="United States", IFERROR(INDEX(Sheet2!$C:$C, MATCH(AE1287&amp;AF1287, Sheet2!$E:$E, 0)) &amp; ", " &amp; INDEX(Sheet2!$D:$D, MATCH(AE1287&amp;AF1287, Sheet2!$E:$E, 0)), ""), "-")</f>
        <v/>
      </c>
    </row>
    <row r="1288" spans="1:33" x14ac:dyDescent="0.25">
      <c r="A1288" t="s">
        <v>2466</v>
      </c>
      <c r="B1288" t="s">
        <v>2500</v>
      </c>
      <c r="C1288" t="s">
        <v>2492</v>
      </c>
      <c r="D1288" t="s">
        <v>2459</v>
      </c>
      <c r="E1288" t="s">
        <v>2460</v>
      </c>
      <c r="F1288">
        <v>1760</v>
      </c>
      <c r="G1288">
        <v>127</v>
      </c>
      <c r="H1288" t="s">
        <v>38</v>
      </c>
      <c r="I1288" t="s">
        <v>39</v>
      </c>
      <c r="J1288" t="s">
        <v>2451</v>
      </c>
      <c r="K1288" t="s">
        <v>38</v>
      </c>
      <c r="L1288" t="s">
        <v>38</v>
      </c>
      <c r="M1288" t="s">
        <v>38</v>
      </c>
      <c r="N1288" t="s">
        <v>38</v>
      </c>
      <c r="O1288" t="s">
        <v>41</v>
      </c>
      <c r="P1288" t="s">
        <v>42</v>
      </c>
      <c r="Q1288" t="s">
        <v>43</v>
      </c>
      <c r="R1288" t="s">
        <v>38</v>
      </c>
      <c r="S1288" t="s">
        <v>38</v>
      </c>
      <c r="T1288" t="s">
        <v>38</v>
      </c>
      <c r="U1288" t="s">
        <v>38</v>
      </c>
      <c r="V1288" t="s">
        <v>91</v>
      </c>
      <c r="W1288" t="s">
        <v>38</v>
      </c>
      <c r="X1288" t="s">
        <v>38</v>
      </c>
      <c r="Y1288" t="s">
        <v>2496</v>
      </c>
      <c r="Z1288" t="s">
        <v>42</v>
      </c>
      <c r="AA1288" t="s">
        <v>70</v>
      </c>
      <c r="AB1288" t="s">
        <v>38</v>
      </c>
      <c r="AC1288" t="s">
        <v>627</v>
      </c>
      <c r="AD1288" t="s">
        <v>48</v>
      </c>
      <c r="AG1288" t="str">
        <f>IF(AD1288="United States", IFERROR(INDEX(Sheet2!$C:$C, MATCH(AE1288&amp;AF1288, Sheet2!$E:$E, 0)) &amp; ", " &amp; INDEX(Sheet2!$D:$D, MATCH(AE1288&amp;AF1288, Sheet2!$E:$E, 0)), ""), "-")</f>
        <v/>
      </c>
    </row>
    <row r="1289" spans="1:33" x14ac:dyDescent="0.25">
      <c r="A1289" t="s">
        <v>2466</v>
      </c>
      <c r="B1289" t="s">
        <v>2501</v>
      </c>
      <c r="C1289" t="s">
        <v>2492</v>
      </c>
      <c r="D1289" t="s">
        <v>352</v>
      </c>
      <c r="E1289" t="s">
        <v>2502</v>
      </c>
      <c r="F1289">
        <v>1758</v>
      </c>
      <c r="G1289">
        <v>128</v>
      </c>
      <c r="H1289" t="s">
        <v>38</v>
      </c>
      <c r="I1289" t="s">
        <v>39</v>
      </c>
      <c r="J1289" t="s">
        <v>2451</v>
      </c>
      <c r="K1289" t="s">
        <v>38</v>
      </c>
      <c r="L1289" t="s">
        <v>38</v>
      </c>
      <c r="M1289" t="s">
        <v>38</v>
      </c>
      <c r="N1289" t="s">
        <v>38</v>
      </c>
      <c r="O1289" t="s">
        <v>57</v>
      </c>
      <c r="P1289" t="s">
        <v>42</v>
      </c>
      <c r="Q1289" t="s">
        <v>43</v>
      </c>
      <c r="R1289" t="s">
        <v>38</v>
      </c>
      <c r="S1289" t="s">
        <v>38</v>
      </c>
      <c r="T1289" t="s">
        <v>38</v>
      </c>
      <c r="U1289" t="s">
        <v>38</v>
      </c>
      <c r="V1289" t="s">
        <v>91</v>
      </c>
      <c r="W1289" t="s">
        <v>38</v>
      </c>
      <c r="X1289" t="s">
        <v>38</v>
      </c>
      <c r="Y1289" t="s">
        <v>2496</v>
      </c>
      <c r="Z1289" t="s">
        <v>42</v>
      </c>
      <c r="AA1289" t="s">
        <v>38</v>
      </c>
      <c r="AB1289" t="s">
        <v>38</v>
      </c>
      <c r="AC1289" t="s">
        <v>38</v>
      </c>
      <c r="AD1289" t="s">
        <v>48</v>
      </c>
      <c r="AG1289" t="str">
        <f>IF(AD1289="United States", IFERROR(INDEX(Sheet2!$C:$C, MATCH(AE1289&amp;AF1289, Sheet2!$E:$E, 0)) &amp; ", " &amp; INDEX(Sheet2!$D:$D, MATCH(AE1289&amp;AF1289, Sheet2!$E:$E, 0)), ""), "-")</f>
        <v/>
      </c>
    </row>
    <row r="1290" spans="1:33" x14ac:dyDescent="0.25">
      <c r="A1290" t="s">
        <v>2466</v>
      </c>
      <c r="B1290" t="s">
        <v>2503</v>
      </c>
      <c r="C1290" t="s">
        <v>2492</v>
      </c>
      <c r="D1290" t="s">
        <v>113</v>
      </c>
      <c r="E1290" t="s">
        <v>2070</v>
      </c>
      <c r="F1290">
        <v>1753</v>
      </c>
      <c r="G1290">
        <v>130</v>
      </c>
      <c r="H1290" t="s">
        <v>38</v>
      </c>
      <c r="I1290" t="s">
        <v>39</v>
      </c>
      <c r="J1290" t="s">
        <v>2451</v>
      </c>
      <c r="K1290" t="s">
        <v>38</v>
      </c>
      <c r="L1290" t="s">
        <v>38</v>
      </c>
      <c r="M1290" t="s">
        <v>38</v>
      </c>
      <c r="N1290" t="s">
        <v>38</v>
      </c>
      <c r="O1290" t="s">
        <v>41</v>
      </c>
      <c r="P1290" t="s">
        <v>42</v>
      </c>
      <c r="Q1290" t="s">
        <v>43</v>
      </c>
      <c r="R1290" t="s">
        <v>38</v>
      </c>
      <c r="S1290" t="s">
        <v>38</v>
      </c>
      <c r="T1290" t="s">
        <v>38</v>
      </c>
      <c r="U1290" t="s">
        <v>38</v>
      </c>
      <c r="V1290" t="s">
        <v>91</v>
      </c>
      <c r="W1290" t="s">
        <v>38</v>
      </c>
      <c r="X1290" t="s">
        <v>38</v>
      </c>
      <c r="Y1290" t="s">
        <v>2496</v>
      </c>
      <c r="Z1290" t="s">
        <v>42</v>
      </c>
      <c r="AA1290" t="s">
        <v>38</v>
      </c>
      <c r="AB1290" t="s">
        <v>38</v>
      </c>
      <c r="AC1290" t="s">
        <v>2504</v>
      </c>
      <c r="AD1290" t="s">
        <v>48</v>
      </c>
      <c r="AG1290" t="str">
        <f>IF(AD1290="United States", IFERROR(INDEX(Sheet2!$C:$C, MATCH(AE1290&amp;AF1290, Sheet2!$E:$E, 0)) &amp; ", " &amp; INDEX(Sheet2!$D:$D, MATCH(AE1290&amp;AF1290, Sheet2!$E:$E, 0)), ""), "-")</f>
        <v/>
      </c>
    </row>
    <row r="1291" spans="1:33" x14ac:dyDescent="0.25">
      <c r="A1291" t="s">
        <v>2466</v>
      </c>
      <c r="B1291" t="s">
        <v>2505</v>
      </c>
      <c r="C1291" t="s">
        <v>2492</v>
      </c>
      <c r="D1291" t="s">
        <v>463</v>
      </c>
      <c r="E1291" t="s">
        <v>2465</v>
      </c>
      <c r="F1291">
        <v>1755</v>
      </c>
      <c r="G1291">
        <v>131</v>
      </c>
      <c r="H1291" t="s">
        <v>38</v>
      </c>
      <c r="I1291" t="s">
        <v>39</v>
      </c>
      <c r="J1291" t="s">
        <v>2451</v>
      </c>
      <c r="K1291" t="s">
        <v>38</v>
      </c>
      <c r="L1291" t="s">
        <v>38</v>
      </c>
      <c r="M1291" t="s">
        <v>2493</v>
      </c>
      <c r="N1291" t="s">
        <v>2494</v>
      </c>
      <c r="O1291" t="s">
        <v>41</v>
      </c>
      <c r="P1291" t="s">
        <v>42</v>
      </c>
      <c r="Q1291" t="s">
        <v>43</v>
      </c>
      <c r="R1291" t="s">
        <v>38</v>
      </c>
      <c r="S1291" t="s">
        <v>89</v>
      </c>
      <c r="T1291" t="s">
        <v>38</v>
      </c>
      <c r="U1291" t="s">
        <v>38</v>
      </c>
      <c r="V1291" t="s">
        <v>91</v>
      </c>
      <c r="W1291" t="s">
        <v>38</v>
      </c>
      <c r="X1291" t="s">
        <v>38</v>
      </c>
      <c r="Y1291" t="s">
        <v>2506</v>
      </c>
      <c r="Z1291" t="s">
        <v>42</v>
      </c>
      <c r="AA1291" t="s">
        <v>155</v>
      </c>
      <c r="AB1291" t="s">
        <v>38</v>
      </c>
      <c r="AC1291" t="s">
        <v>89</v>
      </c>
      <c r="AD1291" t="s">
        <v>48</v>
      </c>
      <c r="AG1291" t="str">
        <f>IF(AD1291="United States", IFERROR(INDEX(Sheet2!$C:$C, MATCH(AE1291&amp;AF1291, Sheet2!$E:$E, 0)) &amp; ", " &amp; INDEX(Sheet2!$D:$D, MATCH(AE1291&amp;AF1291, Sheet2!$E:$E, 0)), ""), "-")</f>
        <v/>
      </c>
    </row>
    <row r="1292" spans="1:33" x14ac:dyDescent="0.25">
      <c r="A1292" t="s">
        <v>2466</v>
      </c>
      <c r="B1292" t="s">
        <v>2507</v>
      </c>
      <c r="C1292" t="s">
        <v>2492</v>
      </c>
      <c r="D1292" t="s">
        <v>245</v>
      </c>
      <c r="E1292" t="s">
        <v>2465</v>
      </c>
      <c r="F1292">
        <v>1762</v>
      </c>
      <c r="G1292">
        <v>132</v>
      </c>
      <c r="H1292" t="s">
        <v>38</v>
      </c>
      <c r="I1292" t="s">
        <v>39</v>
      </c>
      <c r="J1292" t="s">
        <v>2451</v>
      </c>
      <c r="K1292" t="s">
        <v>38</v>
      </c>
      <c r="L1292" t="s">
        <v>38</v>
      </c>
      <c r="M1292" t="s">
        <v>38</v>
      </c>
      <c r="N1292" t="s">
        <v>38</v>
      </c>
      <c r="O1292" t="s">
        <v>41</v>
      </c>
      <c r="P1292" t="s">
        <v>42</v>
      </c>
      <c r="Q1292" t="s">
        <v>43</v>
      </c>
      <c r="R1292" t="s">
        <v>38</v>
      </c>
      <c r="S1292" t="s">
        <v>89</v>
      </c>
      <c r="T1292" t="s">
        <v>38</v>
      </c>
      <c r="U1292" t="s">
        <v>38</v>
      </c>
      <c r="V1292" t="s">
        <v>91</v>
      </c>
      <c r="W1292" t="s">
        <v>38</v>
      </c>
      <c r="X1292" t="s">
        <v>38</v>
      </c>
      <c r="Y1292" t="s">
        <v>2506</v>
      </c>
      <c r="Z1292" t="s">
        <v>42</v>
      </c>
      <c r="AA1292" t="s">
        <v>155</v>
      </c>
      <c r="AB1292" t="s">
        <v>38</v>
      </c>
      <c r="AC1292" t="s">
        <v>89</v>
      </c>
      <c r="AD1292" t="s">
        <v>48</v>
      </c>
      <c r="AG1292" t="str">
        <f>IF(AD1292="United States", IFERROR(INDEX(Sheet2!$C:$C, MATCH(AE1292&amp;AF1292, Sheet2!$E:$E, 0)) &amp; ", " &amp; INDEX(Sheet2!$D:$D, MATCH(AE1292&amp;AF1292, Sheet2!$E:$E, 0)), ""), "-")</f>
        <v/>
      </c>
    </row>
    <row r="1293" spans="1:33" x14ac:dyDescent="0.25">
      <c r="A1293" t="s">
        <v>2466</v>
      </c>
      <c r="B1293" t="s">
        <v>2508</v>
      </c>
      <c r="C1293" t="s">
        <v>2492</v>
      </c>
      <c r="D1293" t="s">
        <v>1116</v>
      </c>
      <c r="E1293" t="s">
        <v>583</v>
      </c>
      <c r="F1293">
        <v>1763</v>
      </c>
      <c r="G1293">
        <v>125</v>
      </c>
      <c r="H1293" t="s">
        <v>38</v>
      </c>
      <c r="I1293" t="s">
        <v>39</v>
      </c>
      <c r="J1293" t="s">
        <v>2451</v>
      </c>
      <c r="K1293" t="s">
        <v>38</v>
      </c>
      <c r="L1293" t="s">
        <v>38</v>
      </c>
      <c r="M1293" t="s">
        <v>38</v>
      </c>
      <c r="N1293" t="s">
        <v>38</v>
      </c>
      <c r="O1293" t="s">
        <v>41</v>
      </c>
      <c r="P1293" t="s">
        <v>42</v>
      </c>
      <c r="Q1293" t="s">
        <v>43</v>
      </c>
      <c r="R1293" t="s">
        <v>2509</v>
      </c>
      <c r="S1293" t="s">
        <v>45</v>
      </c>
      <c r="T1293" t="s">
        <v>38</v>
      </c>
      <c r="U1293" t="s">
        <v>38</v>
      </c>
      <c r="V1293" t="s">
        <v>91</v>
      </c>
      <c r="W1293" t="s">
        <v>38</v>
      </c>
      <c r="X1293" t="s">
        <v>38</v>
      </c>
      <c r="Y1293" t="s">
        <v>2496</v>
      </c>
      <c r="Z1293" t="s">
        <v>42</v>
      </c>
      <c r="AA1293" t="s">
        <v>45</v>
      </c>
      <c r="AB1293" t="s">
        <v>38</v>
      </c>
      <c r="AC1293" t="s">
        <v>89</v>
      </c>
      <c r="AD1293" t="s">
        <v>48</v>
      </c>
      <c r="AG1293" t="str">
        <f>IF(AD1293="United States", IFERROR(INDEX(Sheet2!$C:$C, MATCH(AE1293&amp;AF1293, Sheet2!$E:$E, 0)) &amp; ", " &amp; INDEX(Sheet2!$D:$D, MATCH(AE1293&amp;AF1293, Sheet2!$E:$E, 0)), ""), "-")</f>
        <v/>
      </c>
    </row>
    <row r="1294" spans="1:33" x14ac:dyDescent="0.25">
      <c r="A1294" t="s">
        <v>2466</v>
      </c>
      <c r="B1294" t="s">
        <v>2510</v>
      </c>
      <c r="C1294" t="s">
        <v>2485</v>
      </c>
      <c r="D1294" t="s">
        <v>2330</v>
      </c>
      <c r="E1294" t="s">
        <v>38</v>
      </c>
      <c r="F1294">
        <v>1753</v>
      </c>
      <c r="G1294">
        <v>2089</v>
      </c>
      <c r="H1294" t="s">
        <v>1026</v>
      </c>
      <c r="I1294" t="s">
        <v>87</v>
      </c>
      <c r="J1294" t="s">
        <v>2451</v>
      </c>
      <c r="K1294" t="s">
        <v>38</v>
      </c>
      <c r="L1294" t="s">
        <v>38</v>
      </c>
      <c r="M1294" t="s">
        <v>38</v>
      </c>
      <c r="N1294" t="s">
        <v>38</v>
      </c>
      <c r="O1294" t="s">
        <v>57</v>
      </c>
      <c r="P1294" t="s">
        <v>42</v>
      </c>
      <c r="Q1294" t="s">
        <v>43</v>
      </c>
      <c r="R1294" t="s">
        <v>89</v>
      </c>
      <c r="S1294" t="s">
        <v>38</v>
      </c>
      <c r="T1294" t="s">
        <v>89</v>
      </c>
      <c r="U1294" t="s">
        <v>2453</v>
      </c>
      <c r="V1294" t="s">
        <v>137</v>
      </c>
      <c r="W1294" t="s">
        <v>92</v>
      </c>
      <c r="X1294" t="s">
        <v>38</v>
      </c>
      <c r="Y1294" t="s">
        <v>2511</v>
      </c>
      <c r="Z1294" t="s">
        <v>42</v>
      </c>
      <c r="AA1294" t="s">
        <v>38</v>
      </c>
      <c r="AB1294" t="s">
        <v>38</v>
      </c>
      <c r="AC1294" t="s">
        <v>38</v>
      </c>
      <c r="AD1294" t="s">
        <v>48</v>
      </c>
      <c r="AG1294" t="str">
        <f>IF(AD1294="United States", IFERROR(INDEX(Sheet2!$C:$C, MATCH(AE1294&amp;AF1294, Sheet2!$E:$E, 0)) &amp; ", " &amp; INDEX(Sheet2!$D:$D, MATCH(AE1294&amp;AF1294, Sheet2!$E:$E, 0)), ""), "-")</f>
        <v/>
      </c>
    </row>
    <row r="1295" spans="1:33" x14ac:dyDescent="0.25">
      <c r="A1295" t="s">
        <v>2466</v>
      </c>
      <c r="B1295" t="s">
        <v>2512</v>
      </c>
      <c r="C1295" t="s">
        <v>2485</v>
      </c>
      <c r="D1295" t="s">
        <v>343</v>
      </c>
      <c r="E1295" t="s">
        <v>38</v>
      </c>
      <c r="F1295">
        <v>1758</v>
      </c>
      <c r="G1295">
        <v>2087</v>
      </c>
      <c r="H1295" t="s">
        <v>1026</v>
      </c>
      <c r="I1295" t="s">
        <v>87</v>
      </c>
      <c r="J1295" t="s">
        <v>2451</v>
      </c>
      <c r="K1295" t="s">
        <v>38</v>
      </c>
      <c r="L1295" t="s">
        <v>38</v>
      </c>
      <c r="M1295" t="s">
        <v>38</v>
      </c>
      <c r="N1295" t="s">
        <v>38</v>
      </c>
      <c r="O1295" t="s">
        <v>41</v>
      </c>
      <c r="P1295" t="s">
        <v>42</v>
      </c>
      <c r="Q1295" t="s">
        <v>43</v>
      </c>
      <c r="R1295" t="s">
        <v>89</v>
      </c>
      <c r="S1295" t="s">
        <v>38</v>
      </c>
      <c r="T1295" t="s">
        <v>89</v>
      </c>
      <c r="U1295" t="s">
        <v>2453</v>
      </c>
      <c r="V1295" t="s">
        <v>137</v>
      </c>
      <c r="W1295" t="s">
        <v>92</v>
      </c>
      <c r="X1295" t="s">
        <v>38</v>
      </c>
      <c r="Y1295" t="s">
        <v>2513</v>
      </c>
      <c r="Z1295" t="s">
        <v>42</v>
      </c>
      <c r="AA1295" t="s">
        <v>38</v>
      </c>
      <c r="AB1295" t="s">
        <v>38</v>
      </c>
      <c r="AC1295" t="s">
        <v>38</v>
      </c>
      <c r="AD1295" t="s">
        <v>48</v>
      </c>
      <c r="AG1295" t="str">
        <f>IF(AD1295="United States", IFERROR(INDEX(Sheet2!$C:$C, MATCH(AE1295&amp;AF1295, Sheet2!$E:$E, 0)) &amp; ", " &amp; INDEX(Sheet2!$D:$D, MATCH(AE1295&amp;AF1295, Sheet2!$E:$E, 0)), ""), "-")</f>
        <v/>
      </c>
    </row>
    <row r="1296" spans="1:33" x14ac:dyDescent="0.25">
      <c r="A1296" t="s">
        <v>2466</v>
      </c>
      <c r="B1296" t="s">
        <v>2514</v>
      </c>
      <c r="C1296" t="s">
        <v>2485</v>
      </c>
      <c r="D1296" t="s">
        <v>2515</v>
      </c>
      <c r="E1296" t="s">
        <v>1734</v>
      </c>
      <c r="F1296">
        <v>1758</v>
      </c>
      <c r="G1296">
        <v>2086</v>
      </c>
      <c r="H1296" t="s">
        <v>1026</v>
      </c>
      <c r="I1296" t="s">
        <v>87</v>
      </c>
      <c r="J1296" t="s">
        <v>2451</v>
      </c>
      <c r="K1296" t="s">
        <v>38</v>
      </c>
      <c r="L1296" t="s">
        <v>38</v>
      </c>
      <c r="M1296" t="s">
        <v>38</v>
      </c>
      <c r="N1296" t="s">
        <v>38</v>
      </c>
      <c r="O1296" t="s">
        <v>41</v>
      </c>
      <c r="P1296" t="s">
        <v>42</v>
      </c>
      <c r="Q1296" t="s">
        <v>43</v>
      </c>
      <c r="R1296" t="s">
        <v>89</v>
      </c>
      <c r="S1296" t="s">
        <v>153</v>
      </c>
      <c r="T1296" t="s">
        <v>89</v>
      </c>
      <c r="U1296" t="s">
        <v>2453</v>
      </c>
      <c r="V1296" t="s">
        <v>137</v>
      </c>
      <c r="W1296" t="s">
        <v>92</v>
      </c>
      <c r="X1296" t="s">
        <v>38</v>
      </c>
      <c r="Y1296" t="s">
        <v>2516</v>
      </c>
      <c r="Z1296" t="s">
        <v>42</v>
      </c>
      <c r="AA1296" t="s">
        <v>38</v>
      </c>
      <c r="AB1296" t="s">
        <v>38</v>
      </c>
      <c r="AC1296" t="s">
        <v>153</v>
      </c>
      <c r="AD1296" t="s">
        <v>48</v>
      </c>
      <c r="AG1296" t="str">
        <f>IF(AD1296="United States", IFERROR(INDEX(Sheet2!$C:$C, MATCH(AE1296&amp;AF1296, Sheet2!$E:$E, 0)) &amp; ", " &amp; INDEX(Sheet2!$D:$D, MATCH(AE1296&amp;AF1296, Sheet2!$E:$E, 0)), ""), "-")</f>
        <v/>
      </c>
    </row>
    <row r="1297" spans="1:33" x14ac:dyDescent="0.25">
      <c r="A1297" t="s">
        <v>2466</v>
      </c>
      <c r="B1297" t="s">
        <v>2517</v>
      </c>
      <c r="C1297" t="s">
        <v>2485</v>
      </c>
      <c r="D1297" t="s">
        <v>222</v>
      </c>
      <c r="E1297" t="s">
        <v>2518</v>
      </c>
      <c r="F1297">
        <v>1741</v>
      </c>
      <c r="G1297">
        <v>2085</v>
      </c>
      <c r="H1297" t="s">
        <v>1026</v>
      </c>
      <c r="I1297" t="s">
        <v>87</v>
      </c>
      <c r="J1297" t="s">
        <v>2451</v>
      </c>
      <c r="K1297" t="s">
        <v>38</v>
      </c>
      <c r="L1297" t="s">
        <v>38</v>
      </c>
      <c r="M1297" t="s">
        <v>38</v>
      </c>
      <c r="N1297" t="s">
        <v>38</v>
      </c>
      <c r="O1297" t="s">
        <v>57</v>
      </c>
      <c r="P1297" t="s">
        <v>42</v>
      </c>
      <c r="Q1297" t="s">
        <v>43</v>
      </c>
      <c r="R1297" t="s">
        <v>89</v>
      </c>
      <c r="S1297" t="s">
        <v>45</v>
      </c>
      <c r="T1297" t="s">
        <v>89</v>
      </c>
      <c r="U1297" t="s">
        <v>2453</v>
      </c>
      <c r="V1297" t="s">
        <v>137</v>
      </c>
      <c r="W1297" t="s">
        <v>92</v>
      </c>
      <c r="X1297" t="s">
        <v>38</v>
      </c>
      <c r="Y1297" t="s">
        <v>2519</v>
      </c>
      <c r="Z1297" t="s">
        <v>42</v>
      </c>
      <c r="AA1297" t="s">
        <v>1135</v>
      </c>
      <c r="AB1297" t="s">
        <v>38</v>
      </c>
      <c r="AC1297" t="s">
        <v>45</v>
      </c>
      <c r="AD1297" t="s">
        <v>48</v>
      </c>
      <c r="AG1297" t="str">
        <f>IF(AD1297="United States", IFERROR(INDEX(Sheet2!$C:$C, MATCH(AE1297&amp;AF1297, Sheet2!$E:$E, 0)) &amp; ", " &amp; INDEX(Sheet2!$D:$D, MATCH(AE1297&amp;AF1297, Sheet2!$E:$E, 0)), ""), "-")</f>
        <v/>
      </c>
    </row>
    <row r="1298" spans="1:33" x14ac:dyDescent="0.25">
      <c r="A1298" t="s">
        <v>2466</v>
      </c>
      <c r="B1298" t="s">
        <v>2520</v>
      </c>
      <c r="C1298" t="s">
        <v>2485</v>
      </c>
      <c r="D1298" t="s">
        <v>210</v>
      </c>
      <c r="E1298" t="s">
        <v>448</v>
      </c>
      <c r="F1298">
        <v>1738</v>
      </c>
      <c r="G1298">
        <v>2084</v>
      </c>
      <c r="H1298" t="s">
        <v>1026</v>
      </c>
      <c r="I1298" t="s">
        <v>87</v>
      </c>
      <c r="J1298" t="s">
        <v>2451</v>
      </c>
      <c r="K1298" t="s">
        <v>38</v>
      </c>
      <c r="L1298" t="s">
        <v>38</v>
      </c>
      <c r="M1298" t="s">
        <v>38</v>
      </c>
      <c r="N1298" t="s">
        <v>38</v>
      </c>
      <c r="O1298" t="s">
        <v>41</v>
      </c>
      <c r="P1298" t="s">
        <v>42</v>
      </c>
      <c r="Q1298" t="s">
        <v>43</v>
      </c>
      <c r="R1298" t="s">
        <v>89</v>
      </c>
      <c r="S1298" t="s">
        <v>38</v>
      </c>
      <c r="T1298" t="s">
        <v>89</v>
      </c>
      <c r="U1298" t="s">
        <v>2453</v>
      </c>
      <c r="V1298" t="s">
        <v>137</v>
      </c>
      <c r="W1298" t="s">
        <v>92</v>
      </c>
      <c r="X1298" t="s">
        <v>38</v>
      </c>
      <c r="Y1298" t="s">
        <v>2516</v>
      </c>
      <c r="Z1298" t="s">
        <v>42</v>
      </c>
      <c r="AA1298" t="s">
        <v>38</v>
      </c>
      <c r="AB1298" t="s">
        <v>38</v>
      </c>
      <c r="AC1298" t="s">
        <v>2504</v>
      </c>
      <c r="AD1298" t="s">
        <v>48</v>
      </c>
      <c r="AG1298" t="str">
        <f>IF(AD1298="United States", IFERROR(INDEX(Sheet2!$C:$C, MATCH(AE1298&amp;AF1298, Sheet2!$E:$E, 0)) &amp; ", " &amp; INDEX(Sheet2!$D:$D, MATCH(AE1298&amp;AF1298, Sheet2!$E:$E, 0)), ""), "-")</f>
        <v/>
      </c>
    </row>
    <row r="1299" spans="1:33" x14ac:dyDescent="0.25">
      <c r="A1299" t="s">
        <v>2466</v>
      </c>
      <c r="B1299" t="s">
        <v>2521</v>
      </c>
      <c r="C1299" t="s">
        <v>2485</v>
      </c>
      <c r="D1299" t="s">
        <v>50</v>
      </c>
      <c r="E1299" t="s">
        <v>38</v>
      </c>
      <c r="F1299">
        <v>1743</v>
      </c>
      <c r="G1299">
        <v>2083</v>
      </c>
      <c r="H1299" t="s">
        <v>1026</v>
      </c>
      <c r="I1299" t="s">
        <v>87</v>
      </c>
      <c r="J1299" t="s">
        <v>2451</v>
      </c>
      <c r="K1299" t="s">
        <v>38</v>
      </c>
      <c r="L1299" t="s">
        <v>38</v>
      </c>
      <c r="M1299" t="s">
        <v>38</v>
      </c>
      <c r="N1299" t="s">
        <v>38</v>
      </c>
      <c r="O1299" t="s">
        <v>57</v>
      </c>
      <c r="P1299" t="s">
        <v>42</v>
      </c>
      <c r="Q1299" t="s">
        <v>43</v>
      </c>
      <c r="R1299" t="s">
        <v>89</v>
      </c>
      <c r="S1299" t="s">
        <v>38</v>
      </c>
      <c r="T1299" t="s">
        <v>89</v>
      </c>
      <c r="U1299" t="s">
        <v>2453</v>
      </c>
      <c r="V1299" t="s">
        <v>137</v>
      </c>
      <c r="W1299" t="s">
        <v>92</v>
      </c>
      <c r="X1299" t="s">
        <v>38</v>
      </c>
      <c r="Y1299" t="s">
        <v>1327</v>
      </c>
      <c r="Z1299" t="s">
        <v>42</v>
      </c>
      <c r="AA1299" t="s">
        <v>38</v>
      </c>
      <c r="AB1299" t="s">
        <v>38</v>
      </c>
      <c r="AC1299" t="s">
        <v>38</v>
      </c>
      <c r="AD1299" t="s">
        <v>48</v>
      </c>
      <c r="AG1299" t="str">
        <f>IF(AD1299="United States", IFERROR(INDEX(Sheet2!$C:$C, MATCH(AE1299&amp;AF1299, Sheet2!$E:$E, 0)) &amp; ", " &amp; INDEX(Sheet2!$D:$D, MATCH(AE1299&amp;AF1299, Sheet2!$E:$E, 0)), ""), "-")</f>
        <v/>
      </c>
    </row>
    <row r="1300" spans="1:33" x14ac:dyDescent="0.25">
      <c r="A1300" t="s">
        <v>2466</v>
      </c>
      <c r="B1300" t="s">
        <v>2522</v>
      </c>
      <c r="C1300" t="s">
        <v>2485</v>
      </c>
      <c r="D1300" t="s">
        <v>535</v>
      </c>
      <c r="E1300" t="s">
        <v>38</v>
      </c>
      <c r="F1300">
        <v>1738</v>
      </c>
      <c r="G1300">
        <v>2082</v>
      </c>
      <c r="H1300" t="s">
        <v>1026</v>
      </c>
      <c r="I1300" t="s">
        <v>87</v>
      </c>
      <c r="J1300" t="s">
        <v>2451</v>
      </c>
      <c r="K1300" t="s">
        <v>38</v>
      </c>
      <c r="L1300" t="s">
        <v>38</v>
      </c>
      <c r="M1300" t="s">
        <v>38</v>
      </c>
      <c r="N1300" t="s">
        <v>38</v>
      </c>
      <c r="O1300" t="s">
        <v>57</v>
      </c>
      <c r="P1300" t="s">
        <v>42</v>
      </c>
      <c r="Q1300" t="s">
        <v>43</v>
      </c>
      <c r="R1300" t="s">
        <v>89</v>
      </c>
      <c r="S1300" t="s">
        <v>38</v>
      </c>
      <c r="T1300" t="s">
        <v>89</v>
      </c>
      <c r="U1300" t="s">
        <v>2453</v>
      </c>
      <c r="V1300" t="s">
        <v>137</v>
      </c>
      <c r="W1300" t="s">
        <v>92</v>
      </c>
      <c r="X1300" t="s">
        <v>38</v>
      </c>
      <c r="Y1300" t="s">
        <v>2486</v>
      </c>
      <c r="Z1300" t="s">
        <v>42</v>
      </c>
      <c r="AA1300" t="s">
        <v>38</v>
      </c>
      <c r="AB1300" t="s">
        <v>38</v>
      </c>
      <c r="AC1300" t="s">
        <v>38</v>
      </c>
      <c r="AD1300" t="s">
        <v>48</v>
      </c>
      <c r="AG1300" t="str">
        <f>IF(AD1300="United States", IFERROR(INDEX(Sheet2!$C:$C, MATCH(AE1300&amp;AF1300, Sheet2!$E:$E, 0)) &amp; ", " &amp; INDEX(Sheet2!$D:$D, MATCH(AE1300&amp;AF1300, Sheet2!$E:$E, 0)), ""), "-")</f>
        <v/>
      </c>
    </row>
    <row r="1301" spans="1:33" x14ac:dyDescent="0.25">
      <c r="A1301" t="s">
        <v>2466</v>
      </c>
      <c r="B1301" t="s">
        <v>2523</v>
      </c>
      <c r="C1301" t="s">
        <v>2485</v>
      </c>
      <c r="D1301" t="s">
        <v>2524</v>
      </c>
      <c r="E1301" t="s">
        <v>38</v>
      </c>
      <c r="F1301">
        <v>1779</v>
      </c>
      <c r="G1301">
        <v>2088</v>
      </c>
      <c r="H1301" t="s">
        <v>1026</v>
      </c>
      <c r="I1301" t="s">
        <v>87</v>
      </c>
      <c r="J1301" t="s">
        <v>2451</v>
      </c>
      <c r="K1301" t="s">
        <v>38</v>
      </c>
      <c r="L1301" t="s">
        <v>38</v>
      </c>
      <c r="M1301" t="s">
        <v>38</v>
      </c>
      <c r="N1301" t="s">
        <v>38</v>
      </c>
      <c r="O1301" t="s">
        <v>54</v>
      </c>
      <c r="P1301" t="s">
        <v>42</v>
      </c>
      <c r="Q1301" t="s">
        <v>43</v>
      </c>
      <c r="R1301" t="s">
        <v>89</v>
      </c>
      <c r="S1301" t="s">
        <v>38</v>
      </c>
      <c r="T1301" t="s">
        <v>89</v>
      </c>
      <c r="U1301" t="s">
        <v>2453</v>
      </c>
      <c r="V1301" t="s">
        <v>137</v>
      </c>
      <c r="W1301" t="s">
        <v>92</v>
      </c>
      <c r="X1301" t="s">
        <v>38</v>
      </c>
      <c r="Y1301" t="s">
        <v>2511</v>
      </c>
      <c r="Z1301" t="s">
        <v>42</v>
      </c>
      <c r="AA1301" t="s">
        <v>38</v>
      </c>
      <c r="AB1301" t="s">
        <v>38</v>
      </c>
      <c r="AC1301" t="s">
        <v>38</v>
      </c>
      <c r="AD1301" t="s">
        <v>48</v>
      </c>
      <c r="AG1301" t="str">
        <f>IF(AD1301="United States", IFERROR(INDEX(Sheet2!$C:$C, MATCH(AE1301&amp;AF1301, Sheet2!$E:$E, 0)) &amp; ", " &amp; INDEX(Sheet2!$D:$D, MATCH(AE1301&amp;AF1301, Sheet2!$E:$E, 0)), ""), "-")</f>
        <v/>
      </c>
    </row>
    <row r="1302" spans="1:33" x14ac:dyDescent="0.25">
      <c r="A1302" t="s">
        <v>2466</v>
      </c>
      <c r="B1302" t="s">
        <v>2525</v>
      </c>
      <c r="C1302" t="s">
        <v>2492</v>
      </c>
      <c r="D1302" t="s">
        <v>226</v>
      </c>
      <c r="E1302" t="s">
        <v>2457</v>
      </c>
      <c r="F1302">
        <v>1759</v>
      </c>
      <c r="G1302">
        <v>124</v>
      </c>
      <c r="H1302" t="s">
        <v>38</v>
      </c>
      <c r="I1302" t="s">
        <v>39</v>
      </c>
      <c r="J1302" t="s">
        <v>2451</v>
      </c>
      <c r="K1302" t="s">
        <v>38</v>
      </c>
      <c r="L1302" t="s">
        <v>38</v>
      </c>
      <c r="M1302" t="s">
        <v>38</v>
      </c>
      <c r="N1302" t="s">
        <v>38</v>
      </c>
      <c r="O1302" t="s">
        <v>41</v>
      </c>
      <c r="P1302" t="s">
        <v>42</v>
      </c>
      <c r="Q1302" t="s">
        <v>43</v>
      </c>
      <c r="R1302" t="s">
        <v>666</v>
      </c>
      <c r="S1302" t="s">
        <v>201</v>
      </c>
      <c r="T1302" t="s">
        <v>38</v>
      </c>
      <c r="U1302" t="s">
        <v>38</v>
      </c>
      <c r="V1302" t="s">
        <v>91</v>
      </c>
      <c r="W1302" t="s">
        <v>38</v>
      </c>
      <c r="X1302" t="s">
        <v>38</v>
      </c>
      <c r="Y1302" t="s">
        <v>2526</v>
      </c>
      <c r="Z1302" t="s">
        <v>42</v>
      </c>
      <c r="AA1302" t="s">
        <v>666</v>
      </c>
      <c r="AB1302" t="s">
        <v>38</v>
      </c>
      <c r="AC1302" t="s">
        <v>201</v>
      </c>
      <c r="AD1302" t="s">
        <v>48</v>
      </c>
      <c r="AG1302" t="str">
        <f>IF(AD1302="United States", IFERROR(INDEX(Sheet2!$C:$C, MATCH(AE1302&amp;AF1302, Sheet2!$E:$E, 0)) &amp; ", " &amp; INDEX(Sheet2!$D:$D, MATCH(AE1302&amp;AF1302, Sheet2!$E:$E, 0)), ""), "-")</f>
        <v/>
      </c>
    </row>
    <row r="1303" spans="1:33" x14ac:dyDescent="0.25">
      <c r="A1303" t="s">
        <v>2466</v>
      </c>
      <c r="B1303" t="s">
        <v>2527</v>
      </c>
      <c r="C1303" t="s">
        <v>2468</v>
      </c>
      <c r="D1303" t="s">
        <v>256</v>
      </c>
      <c r="E1303" t="s">
        <v>38</v>
      </c>
      <c r="F1303">
        <v>1744</v>
      </c>
      <c r="G1303">
        <v>1774</v>
      </c>
      <c r="H1303" t="s">
        <v>2472</v>
      </c>
      <c r="I1303" t="s">
        <v>80</v>
      </c>
      <c r="J1303" t="s">
        <v>2469</v>
      </c>
      <c r="K1303" t="s">
        <v>38</v>
      </c>
      <c r="L1303" t="s">
        <v>38</v>
      </c>
      <c r="M1303" t="s">
        <v>38</v>
      </c>
      <c r="N1303" t="s">
        <v>38</v>
      </c>
      <c r="O1303" t="s">
        <v>74</v>
      </c>
      <c r="P1303" t="s">
        <v>42</v>
      </c>
      <c r="Q1303" t="s">
        <v>43</v>
      </c>
      <c r="R1303" t="s">
        <v>89</v>
      </c>
      <c r="S1303" t="s">
        <v>38</v>
      </c>
      <c r="T1303" t="s">
        <v>89</v>
      </c>
      <c r="U1303" t="s">
        <v>2453</v>
      </c>
      <c r="V1303" t="s">
        <v>740</v>
      </c>
      <c r="W1303" t="s">
        <v>92</v>
      </c>
      <c r="X1303" t="s">
        <v>38</v>
      </c>
      <c r="Y1303" t="s">
        <v>2483</v>
      </c>
      <c r="Z1303" t="s">
        <v>42</v>
      </c>
      <c r="AA1303" t="s">
        <v>2528</v>
      </c>
      <c r="AB1303" t="s">
        <v>38</v>
      </c>
      <c r="AC1303" t="s">
        <v>60</v>
      </c>
      <c r="AD1303" t="s">
        <v>48</v>
      </c>
      <c r="AG1303" t="str">
        <f>IF(AD1303="United States", IFERROR(INDEX(Sheet2!$C:$C, MATCH(AE1303&amp;AF1303, Sheet2!$E:$E, 0)) &amp; ", " &amp; INDEX(Sheet2!$D:$D, MATCH(AE1303&amp;AF1303, Sheet2!$E:$E, 0)), ""), "-")</f>
        <v/>
      </c>
    </row>
    <row r="1304" spans="1:33" x14ac:dyDescent="0.25">
      <c r="A1304" t="s">
        <v>2466</v>
      </c>
      <c r="B1304" t="s">
        <v>2529</v>
      </c>
      <c r="C1304" t="s">
        <v>2492</v>
      </c>
      <c r="D1304" t="s">
        <v>210</v>
      </c>
      <c r="E1304" t="s">
        <v>2457</v>
      </c>
      <c r="F1304">
        <v>1781</v>
      </c>
      <c r="G1304">
        <v>123</v>
      </c>
      <c r="H1304" t="s">
        <v>1026</v>
      </c>
      <c r="I1304" t="s">
        <v>39</v>
      </c>
      <c r="J1304" t="s">
        <v>2451</v>
      </c>
      <c r="K1304" t="s">
        <v>38</v>
      </c>
      <c r="L1304" t="s">
        <v>38</v>
      </c>
      <c r="M1304" t="s">
        <v>38</v>
      </c>
      <c r="N1304" t="s">
        <v>38</v>
      </c>
      <c r="O1304" t="s">
        <v>54</v>
      </c>
      <c r="P1304" t="s">
        <v>125</v>
      </c>
      <c r="Q1304" t="s">
        <v>124</v>
      </c>
      <c r="R1304" t="s">
        <v>89</v>
      </c>
      <c r="S1304" t="s">
        <v>38</v>
      </c>
      <c r="T1304" t="s">
        <v>89</v>
      </c>
      <c r="U1304" t="s">
        <v>2453</v>
      </c>
      <c r="V1304" t="s">
        <v>91</v>
      </c>
      <c r="W1304" t="s">
        <v>92</v>
      </c>
      <c r="X1304" t="s">
        <v>38</v>
      </c>
      <c r="Y1304" t="s">
        <v>2526</v>
      </c>
      <c r="Z1304" t="s">
        <v>125</v>
      </c>
      <c r="AA1304" t="s">
        <v>38</v>
      </c>
      <c r="AB1304" t="s">
        <v>38</v>
      </c>
      <c r="AC1304" t="s">
        <v>38</v>
      </c>
      <c r="AD1304" t="s">
        <v>48</v>
      </c>
      <c r="AG1304" t="str">
        <f>IF(AD1304="United States", IFERROR(INDEX(Sheet2!$C:$C, MATCH(AE1304&amp;AF1304, Sheet2!$E:$E, 0)) &amp; ", " &amp; INDEX(Sheet2!$D:$D, MATCH(AE1304&amp;AF1304, Sheet2!$E:$E, 0)), ""), "-")</f>
        <v/>
      </c>
    </row>
    <row r="1305" spans="1:33" x14ac:dyDescent="0.25">
      <c r="A1305" t="s">
        <v>2466</v>
      </c>
      <c r="B1305" t="s">
        <v>2530</v>
      </c>
      <c r="C1305" t="s">
        <v>2492</v>
      </c>
      <c r="D1305" t="s">
        <v>343</v>
      </c>
      <c r="E1305" t="s">
        <v>2450</v>
      </c>
      <c r="F1305">
        <v>1767</v>
      </c>
      <c r="G1305">
        <v>117</v>
      </c>
      <c r="H1305" t="s">
        <v>1026</v>
      </c>
      <c r="I1305" t="s">
        <v>39</v>
      </c>
      <c r="J1305" t="s">
        <v>2451</v>
      </c>
      <c r="K1305" t="s">
        <v>38</v>
      </c>
      <c r="L1305" t="s">
        <v>38</v>
      </c>
      <c r="M1305" t="s">
        <v>38</v>
      </c>
      <c r="N1305" t="s">
        <v>38</v>
      </c>
      <c r="O1305" t="s">
        <v>54</v>
      </c>
      <c r="P1305" t="s">
        <v>42</v>
      </c>
      <c r="Q1305" t="s">
        <v>43</v>
      </c>
      <c r="R1305" t="s">
        <v>89</v>
      </c>
      <c r="S1305" t="s">
        <v>38</v>
      </c>
      <c r="T1305" t="s">
        <v>89</v>
      </c>
      <c r="U1305" t="s">
        <v>2453</v>
      </c>
      <c r="V1305" t="s">
        <v>91</v>
      </c>
      <c r="W1305" t="s">
        <v>92</v>
      </c>
      <c r="X1305" t="s">
        <v>38</v>
      </c>
      <c r="Y1305" t="s">
        <v>2526</v>
      </c>
      <c r="Z1305" t="s">
        <v>42</v>
      </c>
      <c r="AA1305" t="s">
        <v>38</v>
      </c>
      <c r="AB1305" t="s">
        <v>38</v>
      </c>
      <c r="AC1305" t="s">
        <v>672</v>
      </c>
      <c r="AD1305" t="s">
        <v>672</v>
      </c>
      <c r="AG1305" t="str">
        <f>IF(AD1305="United States", IFERROR(INDEX(Sheet2!$C:$C, MATCH(AE1305&amp;AF1305, Sheet2!$E:$E, 0)) &amp; ", " &amp; INDEX(Sheet2!$D:$D, MATCH(AE1305&amp;AF1305, Sheet2!$E:$E, 0)), ""), "18.1850507, -77.3947693")</f>
        <v>18.1850507, -77.3947693</v>
      </c>
    </row>
    <row r="1306" spans="1:33" x14ac:dyDescent="0.25">
      <c r="A1306" t="s">
        <v>2466</v>
      </c>
      <c r="B1306" t="s">
        <v>2531</v>
      </c>
      <c r="C1306" t="s">
        <v>2468</v>
      </c>
      <c r="D1306" t="s">
        <v>1174</v>
      </c>
      <c r="E1306" t="s">
        <v>2532</v>
      </c>
      <c r="F1306">
        <v>1743</v>
      </c>
      <c r="G1306">
        <v>1771</v>
      </c>
      <c r="H1306" t="s">
        <v>38</v>
      </c>
      <c r="I1306" t="s">
        <v>80</v>
      </c>
      <c r="J1306" t="s">
        <v>2469</v>
      </c>
      <c r="K1306" t="s">
        <v>38</v>
      </c>
      <c r="L1306" t="s">
        <v>38</v>
      </c>
      <c r="M1306" t="s">
        <v>38</v>
      </c>
      <c r="N1306" t="s">
        <v>38</v>
      </c>
      <c r="O1306" t="s">
        <v>41</v>
      </c>
      <c r="P1306" t="s">
        <v>42</v>
      </c>
      <c r="Q1306" t="s">
        <v>43</v>
      </c>
      <c r="R1306" t="s">
        <v>38</v>
      </c>
      <c r="S1306" t="s">
        <v>38</v>
      </c>
      <c r="T1306" t="s">
        <v>38</v>
      </c>
      <c r="U1306" t="s">
        <v>38</v>
      </c>
      <c r="V1306" t="s">
        <v>740</v>
      </c>
      <c r="W1306" t="s">
        <v>38</v>
      </c>
      <c r="X1306" t="s">
        <v>38</v>
      </c>
      <c r="Y1306" t="s">
        <v>2483</v>
      </c>
      <c r="Z1306" t="s">
        <v>42</v>
      </c>
      <c r="AA1306" t="s">
        <v>630</v>
      </c>
      <c r="AB1306" t="s">
        <v>38</v>
      </c>
      <c r="AC1306" t="s">
        <v>70</v>
      </c>
      <c r="AD1306" t="s">
        <v>48</v>
      </c>
      <c r="AG1306" t="str">
        <f>IF(AD1306="United States", IFERROR(INDEX(Sheet2!$C:$C, MATCH(AE1306&amp;AF1306, Sheet2!$E:$E, 0)) &amp; ", " &amp; INDEX(Sheet2!$D:$D, MATCH(AE1306&amp;AF1306, Sheet2!$E:$E, 0)), ""), "-")</f>
        <v/>
      </c>
    </row>
    <row r="1307" spans="1:33" x14ac:dyDescent="0.25">
      <c r="A1307" t="s">
        <v>2466</v>
      </c>
      <c r="B1307" t="s">
        <v>2533</v>
      </c>
      <c r="C1307" t="s">
        <v>2492</v>
      </c>
      <c r="D1307" t="s">
        <v>222</v>
      </c>
      <c r="E1307" t="s">
        <v>2450</v>
      </c>
      <c r="F1307">
        <v>1763</v>
      </c>
      <c r="G1307">
        <v>119</v>
      </c>
      <c r="H1307" t="s">
        <v>1026</v>
      </c>
      <c r="I1307" t="s">
        <v>39</v>
      </c>
      <c r="J1307" t="s">
        <v>2451</v>
      </c>
      <c r="K1307" t="s">
        <v>38</v>
      </c>
      <c r="L1307" t="s">
        <v>38</v>
      </c>
      <c r="M1307" t="s">
        <v>38</v>
      </c>
      <c r="N1307" t="s">
        <v>38</v>
      </c>
      <c r="O1307" t="s">
        <v>57</v>
      </c>
      <c r="P1307" t="s">
        <v>42</v>
      </c>
      <c r="Q1307" t="s">
        <v>43</v>
      </c>
      <c r="R1307" t="s">
        <v>89</v>
      </c>
      <c r="S1307" t="s">
        <v>38</v>
      </c>
      <c r="T1307" t="s">
        <v>89</v>
      </c>
      <c r="U1307" t="s">
        <v>2453</v>
      </c>
      <c r="V1307" t="s">
        <v>91</v>
      </c>
      <c r="W1307" t="s">
        <v>92</v>
      </c>
      <c r="X1307" t="s">
        <v>38</v>
      </c>
      <c r="Y1307" t="s">
        <v>2526</v>
      </c>
      <c r="Z1307" t="s">
        <v>42</v>
      </c>
      <c r="AA1307" t="s">
        <v>38</v>
      </c>
      <c r="AB1307" t="s">
        <v>38</v>
      </c>
      <c r="AC1307" t="s">
        <v>38</v>
      </c>
      <c r="AD1307" t="s">
        <v>48</v>
      </c>
      <c r="AG1307" t="str">
        <f>IF(AD1307="United States", IFERROR(INDEX(Sheet2!$C:$C, MATCH(AE1307&amp;AF1307, Sheet2!$E:$E, 0)) &amp; ", " &amp; INDEX(Sheet2!$D:$D, MATCH(AE1307&amp;AF1307, Sheet2!$E:$E, 0)), ""), "-")</f>
        <v/>
      </c>
    </row>
    <row r="1308" spans="1:33" x14ac:dyDescent="0.25">
      <c r="A1308" t="s">
        <v>2466</v>
      </c>
      <c r="B1308" t="s">
        <v>2534</v>
      </c>
      <c r="C1308" t="s">
        <v>2492</v>
      </c>
      <c r="D1308" t="s">
        <v>210</v>
      </c>
      <c r="E1308" t="s">
        <v>2450</v>
      </c>
      <c r="F1308">
        <v>1764</v>
      </c>
      <c r="G1308">
        <v>118</v>
      </c>
      <c r="H1308" t="s">
        <v>1026</v>
      </c>
      <c r="I1308" t="s">
        <v>39</v>
      </c>
      <c r="J1308" t="s">
        <v>2451</v>
      </c>
      <c r="K1308" t="s">
        <v>38</v>
      </c>
      <c r="L1308" t="s">
        <v>38</v>
      </c>
      <c r="M1308" t="s">
        <v>38</v>
      </c>
      <c r="N1308" t="s">
        <v>38</v>
      </c>
      <c r="O1308" t="s">
        <v>41</v>
      </c>
      <c r="P1308" t="s">
        <v>42</v>
      </c>
      <c r="Q1308" t="s">
        <v>43</v>
      </c>
      <c r="R1308" t="s">
        <v>89</v>
      </c>
      <c r="S1308" t="s">
        <v>38</v>
      </c>
      <c r="T1308" t="s">
        <v>89</v>
      </c>
      <c r="U1308" t="s">
        <v>2453</v>
      </c>
      <c r="V1308" t="s">
        <v>91</v>
      </c>
      <c r="W1308" t="s">
        <v>92</v>
      </c>
      <c r="X1308" t="s">
        <v>38</v>
      </c>
      <c r="Y1308" t="s">
        <v>2526</v>
      </c>
      <c r="Z1308" t="s">
        <v>42</v>
      </c>
      <c r="AA1308" t="s">
        <v>38</v>
      </c>
      <c r="AB1308" t="s">
        <v>38</v>
      </c>
      <c r="AC1308" t="s">
        <v>38</v>
      </c>
      <c r="AD1308" t="s">
        <v>48</v>
      </c>
      <c r="AG1308" t="str">
        <f>IF(AD1308="United States", IFERROR(INDEX(Sheet2!$C:$C, MATCH(AE1308&amp;AF1308, Sheet2!$E:$E, 0)) &amp; ", " &amp; INDEX(Sheet2!$D:$D, MATCH(AE1308&amp;AF1308, Sheet2!$E:$E, 0)), ""), "-")</f>
        <v/>
      </c>
    </row>
    <row r="1309" spans="1:33" x14ac:dyDescent="0.25">
      <c r="A1309" t="s">
        <v>2466</v>
      </c>
      <c r="B1309" t="s">
        <v>2535</v>
      </c>
      <c r="C1309" t="s">
        <v>2492</v>
      </c>
      <c r="D1309" t="s">
        <v>1515</v>
      </c>
      <c r="E1309" t="s">
        <v>427</v>
      </c>
      <c r="F1309">
        <v>1763</v>
      </c>
      <c r="G1309">
        <v>121</v>
      </c>
      <c r="H1309" t="s">
        <v>38</v>
      </c>
      <c r="I1309" t="s">
        <v>39</v>
      </c>
      <c r="J1309" t="s">
        <v>2451</v>
      </c>
      <c r="K1309" t="s">
        <v>38</v>
      </c>
      <c r="L1309" t="s">
        <v>38</v>
      </c>
      <c r="M1309" t="s">
        <v>38</v>
      </c>
      <c r="N1309" t="s">
        <v>38</v>
      </c>
      <c r="O1309" t="s">
        <v>41</v>
      </c>
      <c r="P1309" t="s">
        <v>42</v>
      </c>
      <c r="Q1309" t="s">
        <v>43</v>
      </c>
      <c r="R1309" t="s">
        <v>2536</v>
      </c>
      <c r="S1309" t="s">
        <v>45</v>
      </c>
      <c r="T1309" t="s">
        <v>38</v>
      </c>
      <c r="U1309" t="s">
        <v>38</v>
      </c>
      <c r="V1309" t="s">
        <v>91</v>
      </c>
      <c r="W1309" t="s">
        <v>38</v>
      </c>
      <c r="X1309" t="s">
        <v>38</v>
      </c>
      <c r="Y1309" t="s">
        <v>2526</v>
      </c>
      <c r="Z1309" t="s">
        <v>42</v>
      </c>
      <c r="AA1309" t="s">
        <v>45</v>
      </c>
      <c r="AB1309" t="s">
        <v>38</v>
      </c>
      <c r="AC1309" t="s">
        <v>89</v>
      </c>
      <c r="AD1309" t="s">
        <v>48</v>
      </c>
      <c r="AG1309" t="str">
        <f>IF(AD1309="United States", IFERROR(INDEX(Sheet2!$C:$C, MATCH(AE1309&amp;AF1309, Sheet2!$E:$E, 0)) &amp; ", " &amp; INDEX(Sheet2!$D:$D, MATCH(AE1309&amp;AF1309, Sheet2!$E:$E, 0)), ""), "-")</f>
        <v/>
      </c>
    </row>
    <row r="1310" spans="1:33" x14ac:dyDescent="0.25">
      <c r="A1310" t="s">
        <v>2466</v>
      </c>
      <c r="B1310" t="s">
        <v>2537</v>
      </c>
      <c r="C1310" t="s">
        <v>2492</v>
      </c>
      <c r="D1310" t="s">
        <v>157</v>
      </c>
      <c r="E1310" t="s">
        <v>2538</v>
      </c>
      <c r="F1310">
        <v>1759</v>
      </c>
      <c r="G1310">
        <v>122</v>
      </c>
      <c r="H1310" t="s">
        <v>38</v>
      </c>
      <c r="I1310" t="s">
        <v>39</v>
      </c>
      <c r="J1310" t="s">
        <v>2451</v>
      </c>
      <c r="K1310" t="s">
        <v>38</v>
      </c>
      <c r="L1310" t="s">
        <v>38</v>
      </c>
      <c r="M1310" t="s">
        <v>38</v>
      </c>
      <c r="N1310" t="s">
        <v>38</v>
      </c>
      <c r="O1310" t="s">
        <v>57</v>
      </c>
      <c r="P1310" t="s">
        <v>125</v>
      </c>
      <c r="Q1310" t="s">
        <v>124</v>
      </c>
      <c r="R1310" t="s">
        <v>38</v>
      </c>
      <c r="S1310" t="s">
        <v>38</v>
      </c>
      <c r="T1310" t="s">
        <v>38</v>
      </c>
      <c r="U1310" t="s">
        <v>38</v>
      </c>
      <c r="V1310" t="s">
        <v>91</v>
      </c>
      <c r="W1310" t="s">
        <v>38</v>
      </c>
      <c r="X1310" t="s">
        <v>38</v>
      </c>
      <c r="Y1310" t="s">
        <v>2526</v>
      </c>
      <c r="Z1310" t="s">
        <v>125</v>
      </c>
      <c r="AA1310" t="s">
        <v>38</v>
      </c>
      <c r="AB1310" t="s">
        <v>38</v>
      </c>
      <c r="AC1310" t="s">
        <v>38</v>
      </c>
      <c r="AD1310" t="s">
        <v>48</v>
      </c>
      <c r="AG1310" t="str">
        <f>IF(AD1310="United States", IFERROR(INDEX(Sheet2!$C:$C, MATCH(AE1310&amp;AF1310, Sheet2!$E:$E, 0)) &amp; ", " &amp; INDEX(Sheet2!$D:$D, MATCH(AE1310&amp;AF1310, Sheet2!$E:$E, 0)), ""), "-")</f>
        <v/>
      </c>
    </row>
    <row r="1311" spans="1:33" x14ac:dyDescent="0.25">
      <c r="A1311" t="s">
        <v>2466</v>
      </c>
      <c r="B1311" t="s">
        <v>2539</v>
      </c>
      <c r="C1311" t="s">
        <v>2492</v>
      </c>
      <c r="D1311" t="s">
        <v>2454</v>
      </c>
      <c r="E1311" t="s">
        <v>2450</v>
      </c>
      <c r="F1311">
        <v>1778</v>
      </c>
      <c r="G1311">
        <v>120</v>
      </c>
      <c r="H1311" t="s">
        <v>38</v>
      </c>
      <c r="I1311" t="s">
        <v>39</v>
      </c>
      <c r="J1311" t="s">
        <v>2451</v>
      </c>
      <c r="K1311" t="s">
        <v>38</v>
      </c>
      <c r="L1311" t="s">
        <v>38</v>
      </c>
      <c r="M1311" t="s">
        <v>38</v>
      </c>
      <c r="N1311" t="s">
        <v>38</v>
      </c>
      <c r="O1311" t="s">
        <v>54</v>
      </c>
      <c r="P1311" t="s">
        <v>125</v>
      </c>
      <c r="Q1311" t="s">
        <v>124</v>
      </c>
      <c r="R1311" t="s">
        <v>38</v>
      </c>
      <c r="S1311" t="s">
        <v>38</v>
      </c>
      <c r="T1311" t="s">
        <v>38</v>
      </c>
      <c r="U1311" t="s">
        <v>38</v>
      </c>
      <c r="V1311" t="s">
        <v>91</v>
      </c>
      <c r="W1311" t="s">
        <v>38</v>
      </c>
      <c r="X1311" t="s">
        <v>38</v>
      </c>
      <c r="Y1311" t="s">
        <v>2526</v>
      </c>
      <c r="Z1311" t="s">
        <v>125</v>
      </c>
      <c r="AA1311" t="s">
        <v>38</v>
      </c>
      <c r="AB1311" t="s">
        <v>38</v>
      </c>
      <c r="AC1311" t="s">
        <v>38</v>
      </c>
      <c r="AD1311" t="s">
        <v>48</v>
      </c>
      <c r="AG1311" t="str">
        <f>IF(AD1311="United States", IFERROR(INDEX(Sheet2!$C:$C, MATCH(AE1311&amp;AF1311, Sheet2!$E:$E, 0)) &amp; ", " &amp; INDEX(Sheet2!$D:$D, MATCH(AE1311&amp;AF1311, Sheet2!$E:$E, 0)), ""), "-")</f>
        <v/>
      </c>
    </row>
    <row r="1312" spans="1:33" x14ac:dyDescent="0.25">
      <c r="A1312" t="s">
        <v>2540</v>
      </c>
      <c r="B1312" t="s">
        <v>2541</v>
      </c>
      <c r="C1312" t="s">
        <v>2542</v>
      </c>
      <c r="D1312" t="s">
        <v>807</v>
      </c>
      <c r="E1312" t="s">
        <v>38</v>
      </c>
      <c r="F1312">
        <v>1760</v>
      </c>
      <c r="G1312">
        <v>596</v>
      </c>
      <c r="H1312" t="s">
        <v>38</v>
      </c>
      <c r="I1312" t="s">
        <v>39</v>
      </c>
      <c r="J1312" t="s">
        <v>2543</v>
      </c>
      <c r="K1312" t="s">
        <v>38</v>
      </c>
      <c r="L1312" t="s">
        <v>38</v>
      </c>
      <c r="M1312" t="s">
        <v>38</v>
      </c>
      <c r="N1312" t="s">
        <v>38</v>
      </c>
      <c r="O1312" t="s">
        <v>41</v>
      </c>
      <c r="P1312" t="s">
        <v>42</v>
      </c>
      <c r="Q1312" t="s">
        <v>43</v>
      </c>
      <c r="R1312" t="s">
        <v>682</v>
      </c>
      <c r="S1312" t="s">
        <v>45</v>
      </c>
      <c r="T1312" t="s">
        <v>38</v>
      </c>
      <c r="U1312" t="s">
        <v>38</v>
      </c>
      <c r="V1312" t="s">
        <v>137</v>
      </c>
      <c r="W1312" t="s">
        <v>38</v>
      </c>
      <c r="X1312" t="s">
        <v>38</v>
      </c>
      <c r="Y1312" t="s">
        <v>832</v>
      </c>
      <c r="Z1312" t="s">
        <v>42</v>
      </c>
      <c r="AA1312" t="s">
        <v>2544</v>
      </c>
      <c r="AB1312" t="s">
        <v>682</v>
      </c>
      <c r="AC1312" t="s">
        <v>45</v>
      </c>
      <c r="AD1312" t="s">
        <v>48</v>
      </c>
      <c r="AG1312" t="str">
        <f>IF(AD1312="United States", IFERROR(INDEX(Sheet2!$C:$C, MATCH(AE1312&amp;AF1312, Sheet2!$E:$E, 0)) &amp; ", " &amp; INDEX(Sheet2!$D:$D, MATCH(AE1312&amp;AF1312, Sheet2!$E:$E, 0)), ""), "-")</f>
        <v/>
      </c>
    </row>
    <row r="1313" spans="1:33" x14ac:dyDescent="0.25">
      <c r="A1313" t="s">
        <v>2540</v>
      </c>
      <c r="B1313" t="s">
        <v>2545</v>
      </c>
      <c r="C1313" t="s">
        <v>2542</v>
      </c>
      <c r="D1313" t="s">
        <v>150</v>
      </c>
      <c r="E1313" t="s">
        <v>268</v>
      </c>
      <c r="F1313">
        <v>1743</v>
      </c>
      <c r="G1313">
        <v>597</v>
      </c>
      <c r="H1313" t="s">
        <v>38</v>
      </c>
      <c r="I1313" t="s">
        <v>39</v>
      </c>
      <c r="J1313" t="s">
        <v>2543</v>
      </c>
      <c r="K1313" t="s">
        <v>38</v>
      </c>
      <c r="L1313" t="s">
        <v>38</v>
      </c>
      <c r="M1313" t="s">
        <v>38</v>
      </c>
      <c r="N1313" t="s">
        <v>38</v>
      </c>
      <c r="O1313" t="s">
        <v>41</v>
      </c>
      <c r="P1313" t="s">
        <v>42</v>
      </c>
      <c r="Q1313" t="s">
        <v>43</v>
      </c>
      <c r="R1313" t="s">
        <v>38</v>
      </c>
      <c r="S1313" t="s">
        <v>38</v>
      </c>
      <c r="T1313" t="s">
        <v>38</v>
      </c>
      <c r="U1313" t="s">
        <v>38</v>
      </c>
      <c r="V1313" t="s">
        <v>137</v>
      </c>
      <c r="W1313" t="s">
        <v>38</v>
      </c>
      <c r="X1313" t="s">
        <v>38</v>
      </c>
      <c r="Y1313" t="s">
        <v>832</v>
      </c>
      <c r="Z1313" t="s">
        <v>42</v>
      </c>
      <c r="AA1313" t="s">
        <v>2546</v>
      </c>
      <c r="AB1313" t="s">
        <v>38</v>
      </c>
      <c r="AC1313" t="s">
        <v>155</v>
      </c>
      <c r="AD1313" t="s">
        <v>48</v>
      </c>
      <c r="AG1313" t="str">
        <f>IF(AD1313="United States", IFERROR(INDEX(Sheet2!$C:$C, MATCH(AE1313&amp;AF1313, Sheet2!$E:$E, 0)) &amp; ", " &amp; INDEX(Sheet2!$D:$D, MATCH(AE1313&amp;AF1313, Sheet2!$E:$E, 0)), ""), "-")</f>
        <v/>
      </c>
    </row>
    <row r="1314" spans="1:33" x14ac:dyDescent="0.25">
      <c r="A1314" t="s">
        <v>2540</v>
      </c>
      <c r="B1314" t="s">
        <v>2547</v>
      </c>
      <c r="C1314" t="s">
        <v>2542</v>
      </c>
      <c r="D1314" t="s">
        <v>210</v>
      </c>
      <c r="E1314" t="s">
        <v>275</v>
      </c>
      <c r="F1314">
        <v>1754</v>
      </c>
      <c r="G1314">
        <v>598</v>
      </c>
      <c r="H1314" t="s">
        <v>38</v>
      </c>
      <c r="I1314" t="s">
        <v>39</v>
      </c>
      <c r="J1314" t="s">
        <v>2543</v>
      </c>
      <c r="K1314" t="s">
        <v>38</v>
      </c>
      <c r="L1314" t="s">
        <v>38</v>
      </c>
      <c r="M1314" t="s">
        <v>38</v>
      </c>
      <c r="N1314" t="s">
        <v>38</v>
      </c>
      <c r="O1314" t="s">
        <v>41</v>
      </c>
      <c r="P1314" t="s">
        <v>42</v>
      </c>
      <c r="Q1314" t="s">
        <v>43</v>
      </c>
      <c r="R1314" t="s">
        <v>38</v>
      </c>
      <c r="S1314" t="s">
        <v>38</v>
      </c>
      <c r="T1314" t="s">
        <v>38</v>
      </c>
      <c r="U1314" t="s">
        <v>38</v>
      </c>
      <c r="V1314" t="s">
        <v>137</v>
      </c>
      <c r="W1314" t="s">
        <v>38</v>
      </c>
      <c r="X1314" t="s">
        <v>38</v>
      </c>
      <c r="Y1314" t="s">
        <v>2548</v>
      </c>
      <c r="Z1314" t="s">
        <v>42</v>
      </c>
      <c r="AA1314" t="s">
        <v>38</v>
      </c>
      <c r="AB1314" t="s">
        <v>38</v>
      </c>
      <c r="AC1314" t="s">
        <v>155</v>
      </c>
      <c r="AD1314" t="s">
        <v>48</v>
      </c>
      <c r="AG1314" t="str">
        <f>IF(AD1314="United States", IFERROR(INDEX(Sheet2!$C:$C, MATCH(AE1314&amp;AF1314, Sheet2!$E:$E, 0)) &amp; ", " &amp; INDEX(Sheet2!$D:$D, MATCH(AE1314&amp;AF1314, Sheet2!$E:$E, 0)), ""), "-")</f>
        <v/>
      </c>
    </row>
    <row r="1315" spans="1:33" x14ac:dyDescent="0.25">
      <c r="A1315" t="s">
        <v>2540</v>
      </c>
      <c r="B1315" t="s">
        <v>2549</v>
      </c>
      <c r="C1315" t="s">
        <v>2542</v>
      </c>
      <c r="D1315" t="s">
        <v>113</v>
      </c>
      <c r="E1315" t="s">
        <v>2379</v>
      </c>
      <c r="F1315">
        <v>1758</v>
      </c>
      <c r="G1315">
        <v>599</v>
      </c>
      <c r="H1315" t="s">
        <v>38</v>
      </c>
      <c r="I1315" t="s">
        <v>39</v>
      </c>
      <c r="J1315" t="s">
        <v>2543</v>
      </c>
      <c r="K1315" t="s">
        <v>38</v>
      </c>
      <c r="L1315" t="s">
        <v>38</v>
      </c>
      <c r="M1315" t="s">
        <v>38</v>
      </c>
      <c r="N1315" t="s">
        <v>38</v>
      </c>
      <c r="O1315" t="s">
        <v>41</v>
      </c>
      <c r="P1315" t="s">
        <v>42</v>
      </c>
      <c r="Q1315" t="s">
        <v>43</v>
      </c>
      <c r="R1315" t="s">
        <v>2550</v>
      </c>
      <c r="S1315" t="s">
        <v>45</v>
      </c>
      <c r="T1315" t="s">
        <v>38</v>
      </c>
      <c r="U1315" t="s">
        <v>38</v>
      </c>
      <c r="V1315" t="s">
        <v>137</v>
      </c>
      <c r="W1315" t="s">
        <v>38</v>
      </c>
      <c r="X1315" t="s">
        <v>38</v>
      </c>
      <c r="Y1315" t="s">
        <v>2548</v>
      </c>
      <c r="Z1315" t="s">
        <v>42</v>
      </c>
      <c r="AA1315" t="s">
        <v>2550</v>
      </c>
      <c r="AB1315" t="s">
        <v>38</v>
      </c>
      <c r="AC1315" t="s">
        <v>45</v>
      </c>
      <c r="AD1315" t="s">
        <v>48</v>
      </c>
      <c r="AG1315" t="str">
        <f>IF(AD1315="United States", IFERROR(INDEX(Sheet2!$C:$C, MATCH(AE1315&amp;AF1315, Sheet2!$E:$E, 0)) &amp; ", " &amp; INDEX(Sheet2!$D:$D, MATCH(AE1315&amp;AF1315, Sheet2!$E:$E, 0)), ""), "-")</f>
        <v/>
      </c>
    </row>
    <row r="1316" spans="1:33" x14ac:dyDescent="0.25">
      <c r="A1316" t="s">
        <v>2540</v>
      </c>
      <c r="B1316" t="s">
        <v>2551</v>
      </c>
      <c r="C1316" t="s">
        <v>2542</v>
      </c>
      <c r="D1316" t="s">
        <v>2376</v>
      </c>
      <c r="E1316" t="s">
        <v>2377</v>
      </c>
      <c r="F1316">
        <v>1758</v>
      </c>
      <c r="G1316">
        <v>600</v>
      </c>
      <c r="H1316" t="s">
        <v>38</v>
      </c>
      <c r="I1316" t="s">
        <v>39</v>
      </c>
      <c r="J1316" t="s">
        <v>2543</v>
      </c>
      <c r="K1316" t="s">
        <v>38</v>
      </c>
      <c r="L1316" t="s">
        <v>38</v>
      </c>
      <c r="M1316" t="s">
        <v>38</v>
      </c>
      <c r="N1316" t="s">
        <v>38</v>
      </c>
      <c r="O1316" t="s">
        <v>41</v>
      </c>
      <c r="P1316" t="s">
        <v>125</v>
      </c>
      <c r="Q1316" t="s">
        <v>124</v>
      </c>
      <c r="R1316" t="s">
        <v>38</v>
      </c>
      <c r="S1316" t="s">
        <v>38</v>
      </c>
      <c r="T1316" t="s">
        <v>38</v>
      </c>
      <c r="U1316" t="s">
        <v>38</v>
      </c>
      <c r="V1316" t="s">
        <v>137</v>
      </c>
      <c r="W1316" t="s">
        <v>38</v>
      </c>
      <c r="X1316" t="s">
        <v>38</v>
      </c>
      <c r="Y1316" t="s">
        <v>832</v>
      </c>
      <c r="Z1316" t="s">
        <v>125</v>
      </c>
      <c r="AA1316" t="s">
        <v>38</v>
      </c>
      <c r="AB1316" t="s">
        <v>38</v>
      </c>
      <c r="AC1316" t="s">
        <v>38</v>
      </c>
      <c r="AD1316" t="s">
        <v>48</v>
      </c>
      <c r="AG1316" t="str">
        <f>IF(AD1316="United States", IFERROR(INDEX(Sheet2!$C:$C, MATCH(AE1316&amp;AF1316, Sheet2!$E:$E, 0)) &amp; ", " &amp; INDEX(Sheet2!$D:$D, MATCH(AE1316&amp;AF1316, Sheet2!$E:$E, 0)), ""), "-")</f>
        <v/>
      </c>
    </row>
    <row r="1317" spans="1:33" x14ac:dyDescent="0.25">
      <c r="A1317" t="s">
        <v>2552</v>
      </c>
      <c r="B1317" t="s">
        <v>2553</v>
      </c>
      <c r="C1317" t="s">
        <v>2554</v>
      </c>
      <c r="D1317" t="s">
        <v>200</v>
      </c>
      <c r="E1317" t="s">
        <v>38</v>
      </c>
      <c r="F1317">
        <v>1762</v>
      </c>
      <c r="G1317">
        <v>1785</v>
      </c>
      <c r="H1317" t="s">
        <v>313</v>
      </c>
      <c r="I1317" t="s">
        <v>80</v>
      </c>
      <c r="J1317" t="s">
        <v>38</v>
      </c>
      <c r="K1317" t="s">
        <v>38</v>
      </c>
      <c r="L1317" t="s">
        <v>38</v>
      </c>
      <c r="M1317" t="s">
        <v>38</v>
      </c>
      <c r="N1317" t="s">
        <v>38</v>
      </c>
      <c r="O1317" t="s">
        <v>41</v>
      </c>
      <c r="P1317" t="s">
        <v>42</v>
      </c>
      <c r="Q1317" t="s">
        <v>43</v>
      </c>
      <c r="R1317" t="s">
        <v>89</v>
      </c>
      <c r="S1317" t="s">
        <v>45</v>
      </c>
      <c r="T1317" t="s">
        <v>89</v>
      </c>
      <c r="U1317" t="s">
        <v>301</v>
      </c>
      <c r="V1317" t="s">
        <v>38</v>
      </c>
      <c r="W1317" t="s">
        <v>92</v>
      </c>
      <c r="X1317" t="s">
        <v>302</v>
      </c>
      <c r="Y1317" t="s">
        <v>2555</v>
      </c>
      <c r="Z1317" t="s">
        <v>42</v>
      </c>
      <c r="AA1317" t="s">
        <v>1244</v>
      </c>
      <c r="AB1317" t="s">
        <v>38</v>
      </c>
      <c r="AC1317" t="s">
        <v>45</v>
      </c>
      <c r="AD1317" t="s">
        <v>48</v>
      </c>
      <c r="AG1317" t="str">
        <f>IF(AD1317="United States", IFERROR(INDEX(Sheet2!$C:$C, MATCH(AE1317&amp;AF1317, Sheet2!$E:$E, 0)) &amp; ", " &amp; INDEX(Sheet2!$D:$D, MATCH(AE1317&amp;AF1317, Sheet2!$E:$E, 0)), ""), "-")</f>
        <v/>
      </c>
    </row>
    <row r="1318" spans="1:33" x14ac:dyDescent="0.25">
      <c r="A1318" t="s">
        <v>2556</v>
      </c>
      <c r="B1318" t="s">
        <v>2557</v>
      </c>
      <c r="C1318" t="s">
        <v>2558</v>
      </c>
      <c r="D1318" t="s">
        <v>772</v>
      </c>
      <c r="E1318" t="s">
        <v>38</v>
      </c>
      <c r="F1318">
        <v>1769</v>
      </c>
      <c r="G1318">
        <v>896</v>
      </c>
      <c r="H1318" t="s">
        <v>38</v>
      </c>
      <c r="I1318" t="s">
        <v>80</v>
      </c>
      <c r="J1318" t="s">
        <v>2559</v>
      </c>
      <c r="K1318" t="s">
        <v>38</v>
      </c>
      <c r="L1318" t="s">
        <v>38</v>
      </c>
      <c r="M1318" t="s">
        <v>38</v>
      </c>
      <c r="N1318" t="s">
        <v>38</v>
      </c>
      <c r="O1318" t="s">
        <v>54</v>
      </c>
      <c r="P1318" t="s">
        <v>42</v>
      </c>
      <c r="Q1318" t="s">
        <v>43</v>
      </c>
      <c r="R1318" t="s">
        <v>38</v>
      </c>
      <c r="S1318" t="s">
        <v>38</v>
      </c>
      <c r="T1318" t="s">
        <v>38</v>
      </c>
      <c r="U1318" t="s">
        <v>38</v>
      </c>
      <c r="V1318" t="s">
        <v>46</v>
      </c>
      <c r="W1318" t="s">
        <v>38</v>
      </c>
      <c r="X1318" t="s">
        <v>38</v>
      </c>
      <c r="Y1318" t="s">
        <v>2560</v>
      </c>
      <c r="Z1318" t="s">
        <v>42</v>
      </c>
      <c r="AA1318" t="s">
        <v>38</v>
      </c>
      <c r="AB1318" t="s">
        <v>38</v>
      </c>
      <c r="AC1318" t="s">
        <v>2556</v>
      </c>
      <c r="AD1318" t="s">
        <v>48</v>
      </c>
      <c r="AG1318" t="str">
        <f>IF(AD1318="United States", IFERROR(INDEX(Sheet2!$C:$C, MATCH(AE1318&amp;AF1318, Sheet2!$E:$E, 0)) &amp; ", " &amp; INDEX(Sheet2!$D:$D, MATCH(AE1318&amp;AF1318, Sheet2!$E:$E, 0)), ""), "-")</f>
        <v/>
      </c>
    </row>
    <row r="1319" spans="1:33" x14ac:dyDescent="0.25">
      <c r="A1319" t="s">
        <v>2556</v>
      </c>
      <c r="B1319" t="s">
        <v>2561</v>
      </c>
      <c r="C1319" t="s">
        <v>2558</v>
      </c>
      <c r="D1319" t="s">
        <v>50</v>
      </c>
      <c r="E1319" t="s">
        <v>38</v>
      </c>
      <c r="F1319">
        <v>1760</v>
      </c>
      <c r="G1319">
        <v>897</v>
      </c>
      <c r="H1319" t="s">
        <v>2270</v>
      </c>
      <c r="I1319" t="s">
        <v>80</v>
      </c>
      <c r="J1319" t="s">
        <v>2559</v>
      </c>
      <c r="K1319" t="s">
        <v>38</v>
      </c>
      <c r="L1319" t="s">
        <v>38</v>
      </c>
      <c r="M1319" t="s">
        <v>38</v>
      </c>
      <c r="N1319" t="s">
        <v>38</v>
      </c>
      <c r="O1319" t="s">
        <v>57</v>
      </c>
      <c r="P1319" t="s">
        <v>42</v>
      </c>
      <c r="Q1319" t="s">
        <v>43</v>
      </c>
      <c r="R1319" t="s">
        <v>89</v>
      </c>
      <c r="S1319" t="s">
        <v>38</v>
      </c>
      <c r="T1319" t="s">
        <v>89</v>
      </c>
      <c r="U1319" t="s">
        <v>38</v>
      </c>
      <c r="V1319" t="s">
        <v>46</v>
      </c>
      <c r="W1319" t="s">
        <v>92</v>
      </c>
      <c r="X1319" t="s">
        <v>38</v>
      </c>
      <c r="Y1319" t="s">
        <v>2560</v>
      </c>
      <c r="Z1319" t="s">
        <v>42</v>
      </c>
      <c r="AA1319" t="s">
        <v>2562</v>
      </c>
      <c r="AB1319" t="s">
        <v>38</v>
      </c>
      <c r="AC1319" t="s">
        <v>166</v>
      </c>
      <c r="AD1319" t="s">
        <v>48</v>
      </c>
      <c r="AG1319" t="str">
        <f>IF(AD1319="United States", IFERROR(INDEX(Sheet2!$C:$C, MATCH(AE1319&amp;AF1319, Sheet2!$E:$E, 0)) &amp; ", " &amp; INDEX(Sheet2!$D:$D, MATCH(AE1319&amp;AF1319, Sheet2!$E:$E, 0)), ""), "-")</f>
        <v/>
      </c>
    </row>
    <row r="1320" spans="1:33" x14ac:dyDescent="0.25">
      <c r="A1320" t="s">
        <v>2556</v>
      </c>
      <c r="B1320" t="s">
        <v>2563</v>
      </c>
      <c r="C1320" t="s">
        <v>2558</v>
      </c>
      <c r="D1320" t="s">
        <v>63</v>
      </c>
      <c r="E1320" t="s">
        <v>38</v>
      </c>
      <c r="F1320">
        <v>1760</v>
      </c>
      <c r="G1320">
        <v>1171</v>
      </c>
      <c r="H1320" t="s">
        <v>2270</v>
      </c>
      <c r="I1320" t="s">
        <v>80</v>
      </c>
      <c r="J1320" t="s">
        <v>2559</v>
      </c>
      <c r="K1320" t="s">
        <v>38</v>
      </c>
      <c r="L1320" t="s">
        <v>38</v>
      </c>
      <c r="M1320" t="s">
        <v>38</v>
      </c>
      <c r="N1320" t="s">
        <v>38</v>
      </c>
      <c r="O1320" t="s">
        <v>41</v>
      </c>
      <c r="P1320" t="s">
        <v>42</v>
      </c>
      <c r="Q1320" t="s">
        <v>43</v>
      </c>
      <c r="R1320" t="s">
        <v>89</v>
      </c>
      <c r="S1320" t="s">
        <v>89</v>
      </c>
      <c r="T1320" t="s">
        <v>89</v>
      </c>
      <c r="U1320" t="s">
        <v>38</v>
      </c>
      <c r="V1320" t="s">
        <v>46</v>
      </c>
      <c r="W1320" t="s">
        <v>92</v>
      </c>
      <c r="X1320" t="s">
        <v>38</v>
      </c>
      <c r="Y1320" t="s">
        <v>2560</v>
      </c>
      <c r="Z1320" t="s">
        <v>42</v>
      </c>
      <c r="AA1320" t="s">
        <v>38</v>
      </c>
      <c r="AB1320" t="s">
        <v>38</v>
      </c>
      <c r="AC1320" t="s">
        <v>89</v>
      </c>
      <c r="AD1320" t="s">
        <v>48</v>
      </c>
      <c r="AG1320" t="str">
        <f>IF(AD1320="United States", IFERROR(INDEX(Sheet2!$C:$C, MATCH(AE1320&amp;AF1320, Sheet2!$E:$E, 0)) &amp; ", " &amp; INDEX(Sheet2!$D:$D, MATCH(AE1320&amp;AF1320, Sheet2!$E:$E, 0)), ""), "-")</f>
        <v/>
      </c>
    </row>
    <row r="1321" spans="1:33" x14ac:dyDescent="0.25">
      <c r="A1321" t="s">
        <v>2556</v>
      </c>
      <c r="B1321" t="s">
        <v>2557</v>
      </c>
      <c r="C1321" t="s">
        <v>2558</v>
      </c>
      <c r="D1321" t="s">
        <v>772</v>
      </c>
      <c r="E1321" t="s">
        <v>38</v>
      </c>
      <c r="F1321">
        <v>1769</v>
      </c>
      <c r="G1321">
        <v>1172</v>
      </c>
      <c r="H1321" t="s">
        <v>38</v>
      </c>
      <c r="I1321" t="s">
        <v>80</v>
      </c>
      <c r="J1321" t="s">
        <v>2559</v>
      </c>
      <c r="K1321" t="s">
        <v>38</v>
      </c>
      <c r="L1321" t="s">
        <v>38</v>
      </c>
      <c r="M1321" t="s">
        <v>38</v>
      </c>
      <c r="N1321" t="s">
        <v>38</v>
      </c>
      <c r="O1321" t="s">
        <v>54</v>
      </c>
      <c r="P1321" t="s">
        <v>42</v>
      </c>
      <c r="Q1321" t="s">
        <v>43</v>
      </c>
      <c r="R1321" t="s">
        <v>38</v>
      </c>
      <c r="S1321" t="s">
        <v>38</v>
      </c>
      <c r="T1321" t="s">
        <v>38</v>
      </c>
      <c r="U1321" t="s">
        <v>38</v>
      </c>
      <c r="V1321" t="s">
        <v>46</v>
      </c>
      <c r="W1321" t="s">
        <v>38</v>
      </c>
      <c r="X1321" t="s">
        <v>38</v>
      </c>
      <c r="Y1321" t="s">
        <v>2560</v>
      </c>
      <c r="Z1321" t="s">
        <v>42</v>
      </c>
      <c r="AA1321" t="s">
        <v>38</v>
      </c>
      <c r="AB1321" t="s">
        <v>38</v>
      </c>
      <c r="AC1321" t="s">
        <v>2556</v>
      </c>
      <c r="AD1321" t="s">
        <v>48</v>
      </c>
      <c r="AG1321" t="str">
        <f>IF(AD1321="United States", IFERROR(INDEX(Sheet2!$C:$C, MATCH(AE1321&amp;AF1321, Sheet2!$E:$E, 0)) &amp; ", " &amp; INDEX(Sheet2!$D:$D, MATCH(AE1321&amp;AF1321, Sheet2!$E:$E, 0)), ""), "-")</f>
        <v/>
      </c>
    </row>
    <row r="1322" spans="1:33" x14ac:dyDescent="0.25">
      <c r="A1322" t="s">
        <v>2556</v>
      </c>
      <c r="B1322" t="s">
        <v>2563</v>
      </c>
      <c r="C1322" t="s">
        <v>2558</v>
      </c>
      <c r="D1322" t="s">
        <v>63</v>
      </c>
      <c r="E1322" t="s">
        <v>38</v>
      </c>
      <c r="F1322">
        <v>1760</v>
      </c>
      <c r="G1322">
        <v>895</v>
      </c>
      <c r="H1322" t="s">
        <v>2270</v>
      </c>
      <c r="I1322" t="s">
        <v>80</v>
      </c>
      <c r="J1322" t="s">
        <v>2559</v>
      </c>
      <c r="K1322" t="s">
        <v>38</v>
      </c>
      <c r="L1322" t="s">
        <v>38</v>
      </c>
      <c r="M1322" t="s">
        <v>38</v>
      </c>
      <c r="N1322" t="s">
        <v>38</v>
      </c>
      <c r="O1322" t="s">
        <v>41</v>
      </c>
      <c r="P1322" t="s">
        <v>42</v>
      </c>
      <c r="Q1322" t="s">
        <v>43</v>
      </c>
      <c r="R1322" t="s">
        <v>89</v>
      </c>
      <c r="S1322" t="s">
        <v>89</v>
      </c>
      <c r="T1322" t="s">
        <v>89</v>
      </c>
      <c r="U1322" t="s">
        <v>38</v>
      </c>
      <c r="V1322" t="s">
        <v>46</v>
      </c>
      <c r="W1322" t="s">
        <v>92</v>
      </c>
      <c r="X1322" t="s">
        <v>38</v>
      </c>
      <c r="Y1322" t="s">
        <v>2560</v>
      </c>
      <c r="Z1322" t="s">
        <v>42</v>
      </c>
      <c r="AA1322" t="s">
        <v>38</v>
      </c>
      <c r="AB1322" t="s">
        <v>38</v>
      </c>
      <c r="AC1322" t="s">
        <v>89</v>
      </c>
      <c r="AD1322" t="s">
        <v>48</v>
      </c>
      <c r="AG1322" t="str">
        <f>IF(AD1322="United States", IFERROR(INDEX(Sheet2!$C:$C, MATCH(AE1322&amp;AF1322, Sheet2!$E:$E, 0)) &amp; ", " &amp; INDEX(Sheet2!$D:$D, MATCH(AE1322&amp;AF1322, Sheet2!$E:$E, 0)), ""), "-")</f>
        <v/>
      </c>
    </row>
    <row r="1323" spans="1:33" x14ac:dyDescent="0.25">
      <c r="A1323" t="s">
        <v>2556</v>
      </c>
      <c r="B1323" t="s">
        <v>2561</v>
      </c>
      <c r="C1323" t="s">
        <v>2558</v>
      </c>
      <c r="D1323" t="s">
        <v>50</v>
      </c>
      <c r="E1323" t="s">
        <v>38</v>
      </c>
      <c r="F1323">
        <v>1760</v>
      </c>
      <c r="G1323">
        <v>1173</v>
      </c>
      <c r="H1323" t="s">
        <v>2270</v>
      </c>
      <c r="I1323" t="s">
        <v>80</v>
      </c>
      <c r="J1323" t="s">
        <v>2559</v>
      </c>
      <c r="K1323" t="s">
        <v>38</v>
      </c>
      <c r="L1323" t="s">
        <v>38</v>
      </c>
      <c r="M1323" t="s">
        <v>38</v>
      </c>
      <c r="N1323" t="s">
        <v>38</v>
      </c>
      <c r="O1323" t="s">
        <v>57</v>
      </c>
      <c r="P1323" t="s">
        <v>42</v>
      </c>
      <c r="Q1323" t="s">
        <v>43</v>
      </c>
      <c r="R1323" t="s">
        <v>89</v>
      </c>
      <c r="S1323" t="s">
        <v>38</v>
      </c>
      <c r="T1323" t="s">
        <v>89</v>
      </c>
      <c r="U1323" t="s">
        <v>38</v>
      </c>
      <c r="V1323" t="s">
        <v>46</v>
      </c>
      <c r="W1323" t="s">
        <v>92</v>
      </c>
      <c r="X1323" t="s">
        <v>38</v>
      </c>
      <c r="Y1323" t="s">
        <v>2560</v>
      </c>
      <c r="Z1323" t="s">
        <v>42</v>
      </c>
      <c r="AA1323" t="s">
        <v>2562</v>
      </c>
      <c r="AB1323" t="s">
        <v>38</v>
      </c>
      <c r="AC1323" t="s">
        <v>166</v>
      </c>
      <c r="AD1323" t="s">
        <v>48</v>
      </c>
      <c r="AG1323" t="str">
        <f>IF(AD1323="United States", IFERROR(INDEX(Sheet2!$C:$C, MATCH(AE1323&amp;AF1323, Sheet2!$E:$E, 0)) &amp; ", " &amp; INDEX(Sheet2!$D:$D, MATCH(AE1323&amp;AF1323, Sheet2!$E:$E, 0)), ""), "-")</f>
        <v/>
      </c>
    </row>
    <row r="1324" spans="1:33" x14ac:dyDescent="0.25">
      <c r="A1324" t="s">
        <v>2564</v>
      </c>
      <c r="B1324" t="s">
        <v>2565</v>
      </c>
      <c r="C1324" t="s">
        <v>2566</v>
      </c>
      <c r="D1324" t="s">
        <v>200</v>
      </c>
      <c r="F1324">
        <v>1756</v>
      </c>
      <c r="G1324">
        <v>2710</v>
      </c>
      <c r="I1324" t="s">
        <v>80</v>
      </c>
      <c r="J1324" t="s">
        <v>2567</v>
      </c>
      <c r="M1324" t="s">
        <v>222</v>
      </c>
      <c r="N1324" t="s">
        <v>1139</v>
      </c>
      <c r="O1324" t="s">
        <v>41</v>
      </c>
      <c r="P1324" t="s">
        <v>42</v>
      </c>
      <c r="Q1324" t="s">
        <v>43</v>
      </c>
      <c r="R1324" t="s">
        <v>2568</v>
      </c>
      <c r="S1324" t="s">
        <v>153</v>
      </c>
      <c r="V1324" t="s">
        <v>2569</v>
      </c>
      <c r="Y1324" t="s">
        <v>2570</v>
      </c>
      <c r="Z1324" t="s">
        <v>42</v>
      </c>
      <c r="AA1324" t="s">
        <v>2571</v>
      </c>
      <c r="AB1324" t="s">
        <v>155</v>
      </c>
      <c r="AC1324" t="s">
        <v>153</v>
      </c>
      <c r="AD1324" t="s">
        <v>48</v>
      </c>
      <c r="AG1324" t="str">
        <f>IF(AD1324="United States", IFERROR(INDEX(Sheet2!$C:$C, MATCH(AE1324&amp;AF1324, Sheet2!$E:$E, 0)) &amp; ", " &amp; INDEX(Sheet2!$D:$D, MATCH(AE1324&amp;AF1324, Sheet2!$E:$E, 0)), ""), "-")</f>
        <v/>
      </c>
    </row>
    <row r="1325" spans="1:33" x14ac:dyDescent="0.25">
      <c r="A1325" t="s">
        <v>2564</v>
      </c>
      <c r="B1325" t="s">
        <v>2572</v>
      </c>
      <c r="C1325" t="s">
        <v>2566</v>
      </c>
      <c r="D1325" t="s">
        <v>1491</v>
      </c>
      <c r="E1325" t="s">
        <v>38</v>
      </c>
      <c r="F1325">
        <v>1773</v>
      </c>
      <c r="G1325">
        <v>1782</v>
      </c>
      <c r="H1325" t="s">
        <v>313</v>
      </c>
      <c r="I1325" t="s">
        <v>80</v>
      </c>
      <c r="J1325" t="s">
        <v>38</v>
      </c>
      <c r="K1325" t="s">
        <v>38</v>
      </c>
      <c r="L1325" t="s">
        <v>38</v>
      </c>
      <c r="M1325" t="s">
        <v>38</v>
      </c>
      <c r="N1325" t="s">
        <v>38</v>
      </c>
      <c r="O1325" t="s">
        <v>54</v>
      </c>
      <c r="P1325" t="s">
        <v>42</v>
      </c>
      <c r="Q1325" t="s">
        <v>43</v>
      </c>
      <c r="R1325" t="s">
        <v>89</v>
      </c>
      <c r="S1325" t="s">
        <v>38</v>
      </c>
      <c r="T1325" t="s">
        <v>89</v>
      </c>
      <c r="U1325" t="s">
        <v>38</v>
      </c>
      <c r="V1325" t="s">
        <v>38</v>
      </c>
      <c r="W1325" t="s">
        <v>92</v>
      </c>
      <c r="X1325" t="s">
        <v>38</v>
      </c>
      <c r="Y1325" t="s">
        <v>2573</v>
      </c>
      <c r="Z1325" t="s">
        <v>42</v>
      </c>
      <c r="AA1325" t="s">
        <v>2571</v>
      </c>
      <c r="AB1325" t="s">
        <v>38</v>
      </c>
      <c r="AC1325" t="s">
        <v>593</v>
      </c>
      <c r="AD1325" t="s">
        <v>48</v>
      </c>
      <c r="AG1325" t="str">
        <f>IF(AD1325="United States", IFERROR(INDEX(Sheet2!$C:$C, MATCH(AE1325&amp;AF1325, Sheet2!$E:$E, 0)) &amp; ", " &amp; INDEX(Sheet2!$D:$D, MATCH(AE1325&amp;AF1325, Sheet2!$E:$E, 0)), ""), "-")</f>
        <v/>
      </c>
    </row>
    <row r="1326" spans="1:33" x14ac:dyDescent="0.25">
      <c r="A1326" t="s">
        <v>750</v>
      </c>
      <c r="B1326" t="s">
        <v>2574</v>
      </c>
      <c r="C1326" t="s">
        <v>2575</v>
      </c>
      <c r="D1326" t="s">
        <v>458</v>
      </c>
      <c r="E1326" t="s">
        <v>2576</v>
      </c>
      <c r="F1326">
        <v>1743</v>
      </c>
      <c r="G1326">
        <v>398</v>
      </c>
      <c r="H1326" t="s">
        <v>1979</v>
      </c>
      <c r="I1326" t="s">
        <v>39</v>
      </c>
      <c r="J1326" t="s">
        <v>2577</v>
      </c>
      <c r="K1326" t="s">
        <v>38</v>
      </c>
      <c r="L1326" t="s">
        <v>38</v>
      </c>
      <c r="M1326" t="s">
        <v>38</v>
      </c>
      <c r="N1326" t="s">
        <v>38</v>
      </c>
      <c r="O1326" t="s">
        <v>41</v>
      </c>
      <c r="P1326" t="s">
        <v>42</v>
      </c>
      <c r="Q1326" t="s">
        <v>43</v>
      </c>
      <c r="R1326" t="s">
        <v>89</v>
      </c>
      <c r="S1326" t="s">
        <v>38</v>
      </c>
      <c r="T1326" t="s">
        <v>89</v>
      </c>
      <c r="U1326" t="s">
        <v>301</v>
      </c>
      <c r="V1326" t="s">
        <v>270</v>
      </c>
      <c r="W1326" t="s">
        <v>92</v>
      </c>
      <c r="X1326" t="s">
        <v>302</v>
      </c>
      <c r="Y1326" t="s">
        <v>2578</v>
      </c>
      <c r="Z1326" t="s">
        <v>42</v>
      </c>
      <c r="AA1326" t="s">
        <v>2579</v>
      </c>
      <c r="AB1326" t="s">
        <v>38</v>
      </c>
      <c r="AC1326" t="s">
        <v>2580</v>
      </c>
      <c r="AD1326" t="s">
        <v>48</v>
      </c>
      <c r="AG1326" t="str">
        <f>IF(AD1326="United States", IFERROR(INDEX(Sheet2!$C:$C, MATCH(AE1326&amp;AF1326, Sheet2!$E:$E, 0)) &amp; ", " &amp; INDEX(Sheet2!$D:$D, MATCH(AE1326&amp;AF1326, Sheet2!$E:$E, 0)), ""), "-")</f>
        <v/>
      </c>
    </row>
    <row r="1327" spans="1:33" x14ac:dyDescent="0.25">
      <c r="A1327" t="s">
        <v>750</v>
      </c>
      <c r="B1327" t="s">
        <v>2581</v>
      </c>
      <c r="C1327" t="s">
        <v>2575</v>
      </c>
      <c r="D1327" t="s">
        <v>980</v>
      </c>
      <c r="E1327" t="s">
        <v>2582</v>
      </c>
      <c r="F1327">
        <v>1739</v>
      </c>
      <c r="G1327">
        <v>399</v>
      </c>
      <c r="H1327" t="s">
        <v>1979</v>
      </c>
      <c r="I1327" t="s">
        <v>39</v>
      </c>
      <c r="J1327" t="s">
        <v>2577</v>
      </c>
      <c r="K1327" t="s">
        <v>38</v>
      </c>
      <c r="L1327" t="s">
        <v>38</v>
      </c>
      <c r="M1327" t="s">
        <v>38</v>
      </c>
      <c r="N1327" t="s">
        <v>38</v>
      </c>
      <c r="O1327" t="s">
        <v>57</v>
      </c>
      <c r="P1327" t="s">
        <v>42</v>
      </c>
      <c r="Q1327" t="s">
        <v>43</v>
      </c>
      <c r="R1327" t="s">
        <v>89</v>
      </c>
      <c r="S1327" t="s">
        <v>38</v>
      </c>
      <c r="T1327" t="s">
        <v>89</v>
      </c>
      <c r="U1327" t="s">
        <v>301</v>
      </c>
      <c r="V1327" t="s">
        <v>270</v>
      </c>
      <c r="W1327" t="s">
        <v>92</v>
      </c>
      <c r="X1327" t="s">
        <v>302</v>
      </c>
      <c r="Y1327" t="s">
        <v>38</v>
      </c>
      <c r="Z1327" t="s">
        <v>42</v>
      </c>
      <c r="AA1327" t="s">
        <v>38</v>
      </c>
      <c r="AB1327" t="s">
        <v>38</v>
      </c>
      <c r="AC1327" t="s">
        <v>270</v>
      </c>
      <c r="AD1327" t="s">
        <v>48</v>
      </c>
      <c r="AG1327" t="str">
        <f>IF(AD1327="United States", IFERROR(INDEX(Sheet2!$C:$C, MATCH(AE1327&amp;AF1327, Sheet2!$E:$E, 0)) &amp; ", " &amp; INDEX(Sheet2!$D:$D, MATCH(AE1327&amp;AF1327, Sheet2!$E:$E, 0)), ""), "-")</f>
        <v/>
      </c>
    </row>
    <row r="1328" spans="1:33" x14ac:dyDescent="0.25">
      <c r="A1328" t="s">
        <v>750</v>
      </c>
      <c r="B1328" t="s">
        <v>2583</v>
      </c>
      <c r="C1328" t="s">
        <v>2575</v>
      </c>
      <c r="D1328" t="s">
        <v>513</v>
      </c>
      <c r="E1328" t="s">
        <v>2584</v>
      </c>
      <c r="F1328">
        <v>1773</v>
      </c>
      <c r="G1328">
        <v>400</v>
      </c>
      <c r="H1328" t="s">
        <v>1979</v>
      </c>
      <c r="I1328" t="s">
        <v>39</v>
      </c>
      <c r="J1328" t="s">
        <v>2577</v>
      </c>
      <c r="K1328" t="s">
        <v>38</v>
      </c>
      <c r="L1328" t="s">
        <v>38</v>
      </c>
      <c r="M1328" t="s">
        <v>38</v>
      </c>
      <c r="N1328" t="s">
        <v>38</v>
      </c>
      <c r="O1328" t="s">
        <v>54</v>
      </c>
      <c r="P1328" t="s">
        <v>42</v>
      </c>
      <c r="Q1328" t="s">
        <v>43</v>
      </c>
      <c r="R1328" t="s">
        <v>89</v>
      </c>
      <c r="S1328" t="s">
        <v>38</v>
      </c>
      <c r="T1328" t="s">
        <v>89</v>
      </c>
      <c r="U1328" t="s">
        <v>301</v>
      </c>
      <c r="V1328" t="s">
        <v>270</v>
      </c>
      <c r="W1328" t="s">
        <v>92</v>
      </c>
      <c r="X1328" t="s">
        <v>302</v>
      </c>
      <c r="Y1328" t="s">
        <v>38</v>
      </c>
      <c r="Z1328" t="s">
        <v>42</v>
      </c>
      <c r="AA1328" t="s">
        <v>38</v>
      </c>
      <c r="AB1328" t="s">
        <v>38</v>
      </c>
      <c r="AC1328" t="s">
        <v>270</v>
      </c>
      <c r="AD1328" t="s">
        <v>48</v>
      </c>
      <c r="AG1328" t="str">
        <f>IF(AD1328="United States", IFERROR(INDEX(Sheet2!$C:$C, MATCH(AE1328&amp;AF1328, Sheet2!$E:$E, 0)) &amp; ", " &amp; INDEX(Sheet2!$D:$D, MATCH(AE1328&amp;AF1328, Sheet2!$E:$E, 0)), ""), "-")</f>
        <v/>
      </c>
    </row>
    <row r="1329" spans="1:33" x14ac:dyDescent="0.25">
      <c r="A1329" t="s">
        <v>750</v>
      </c>
      <c r="B1329" t="s">
        <v>2585</v>
      </c>
      <c r="C1329" t="s">
        <v>2575</v>
      </c>
      <c r="D1329" t="s">
        <v>361</v>
      </c>
      <c r="E1329" t="s">
        <v>2586</v>
      </c>
      <c r="F1329">
        <v>1733</v>
      </c>
      <c r="G1329">
        <v>401</v>
      </c>
      <c r="H1329" t="s">
        <v>298</v>
      </c>
      <c r="I1329" t="s">
        <v>39</v>
      </c>
      <c r="J1329" t="s">
        <v>2577</v>
      </c>
      <c r="K1329" t="s">
        <v>38</v>
      </c>
      <c r="L1329" t="s">
        <v>38</v>
      </c>
      <c r="M1329" t="s">
        <v>38</v>
      </c>
      <c r="N1329" t="s">
        <v>38</v>
      </c>
      <c r="O1329" t="s">
        <v>41</v>
      </c>
      <c r="P1329" t="s">
        <v>42</v>
      </c>
      <c r="Q1329" t="s">
        <v>43</v>
      </c>
      <c r="R1329" t="s">
        <v>89</v>
      </c>
      <c r="S1329" t="s">
        <v>38</v>
      </c>
      <c r="T1329" t="s">
        <v>89</v>
      </c>
      <c r="U1329" t="s">
        <v>301</v>
      </c>
      <c r="V1329" t="s">
        <v>270</v>
      </c>
      <c r="W1329" t="s">
        <v>92</v>
      </c>
      <c r="X1329" t="s">
        <v>302</v>
      </c>
      <c r="Y1329" t="s">
        <v>2587</v>
      </c>
      <c r="Z1329" t="s">
        <v>42</v>
      </c>
      <c r="AA1329" t="s">
        <v>627</v>
      </c>
      <c r="AB1329" t="s">
        <v>38</v>
      </c>
      <c r="AC1329" t="s">
        <v>2580</v>
      </c>
      <c r="AD1329" t="s">
        <v>48</v>
      </c>
      <c r="AG1329" t="str">
        <f>IF(AD1329="United States", IFERROR(INDEX(Sheet2!$C:$C, MATCH(AE1329&amp;AF1329, Sheet2!$E:$E, 0)) &amp; ", " &amp; INDEX(Sheet2!$D:$D, MATCH(AE1329&amp;AF1329, Sheet2!$E:$E, 0)), ""), "-")</f>
        <v/>
      </c>
    </row>
    <row r="1330" spans="1:33" x14ac:dyDescent="0.25">
      <c r="A1330" t="s">
        <v>750</v>
      </c>
      <c r="D1330" t="s">
        <v>647</v>
      </c>
      <c r="E1330" t="s">
        <v>2025</v>
      </c>
      <c r="F1330">
        <v>1739</v>
      </c>
      <c r="G1330">
        <v>2171</v>
      </c>
      <c r="H1330">
        <v>69</v>
      </c>
      <c r="J1330" t="s">
        <v>2588</v>
      </c>
      <c r="O1330" t="s">
        <v>41</v>
      </c>
      <c r="R1330" t="s">
        <v>89</v>
      </c>
      <c r="T1330" t="s">
        <v>89</v>
      </c>
      <c r="U1330" t="s">
        <v>301</v>
      </c>
      <c r="V1330" t="s">
        <v>2589</v>
      </c>
      <c r="W1330" t="s">
        <v>92</v>
      </c>
      <c r="X1330" t="s">
        <v>302</v>
      </c>
      <c r="Y1330" t="s">
        <v>38</v>
      </c>
      <c r="AA1330" t="s">
        <v>38</v>
      </c>
      <c r="AB1330" t="s">
        <v>38</v>
      </c>
      <c r="AC1330" t="s">
        <v>38</v>
      </c>
      <c r="AD1330" t="s">
        <v>48</v>
      </c>
      <c r="AG1330" t="str">
        <f>IF(AD1330="United States", IFERROR(INDEX(Sheet2!$C:$C, MATCH(AE1330&amp;AF1330, Sheet2!$E:$E, 0)) &amp; ", " &amp; INDEX(Sheet2!$D:$D, MATCH(AE1330&amp;AF1330, Sheet2!$E:$E, 0)), ""), "-")</f>
        <v/>
      </c>
    </row>
    <row r="1331" spans="1:33" x14ac:dyDescent="0.25">
      <c r="A1331" t="s">
        <v>750</v>
      </c>
      <c r="B1331" t="s">
        <v>2590</v>
      </c>
      <c r="C1331" t="s">
        <v>2591</v>
      </c>
      <c r="D1331" t="s">
        <v>222</v>
      </c>
      <c r="F1331" t="s">
        <v>38</v>
      </c>
      <c r="G1331">
        <v>2727</v>
      </c>
      <c r="I1331" t="s">
        <v>87</v>
      </c>
      <c r="J1331" t="s">
        <v>38</v>
      </c>
      <c r="O1331" t="s">
        <v>41</v>
      </c>
      <c r="P1331" t="s">
        <v>42</v>
      </c>
      <c r="Q1331" t="s">
        <v>43</v>
      </c>
      <c r="V1331" t="s">
        <v>2592</v>
      </c>
      <c r="Y1331" t="s">
        <v>2593</v>
      </c>
      <c r="Z1331" t="s">
        <v>42</v>
      </c>
      <c r="AA1331" t="s">
        <v>38</v>
      </c>
      <c r="AB1331" t="s">
        <v>38</v>
      </c>
      <c r="AC1331" t="s">
        <v>38</v>
      </c>
      <c r="AD1331" t="s">
        <v>48</v>
      </c>
      <c r="AG1331" t="str">
        <f>IF(AD1331="United States", IFERROR(INDEX(Sheet2!$C:$C, MATCH(AE1331&amp;AF1331, Sheet2!$E:$E, 0)) &amp; ", " &amp; INDEX(Sheet2!$D:$D, MATCH(AE1331&amp;AF1331, Sheet2!$E:$E, 0)), ""), "-")</f>
        <v/>
      </c>
    </row>
    <row r="1332" spans="1:33" x14ac:dyDescent="0.25">
      <c r="A1332" t="s">
        <v>750</v>
      </c>
      <c r="B1332" t="s">
        <v>2594</v>
      </c>
      <c r="C1332" t="s">
        <v>2591</v>
      </c>
      <c r="D1332" t="s">
        <v>2595</v>
      </c>
      <c r="F1332" t="s">
        <v>38</v>
      </c>
      <c r="G1332">
        <v>2728</v>
      </c>
      <c r="I1332" t="s">
        <v>87</v>
      </c>
      <c r="J1332" t="s">
        <v>38</v>
      </c>
      <c r="O1332" t="s">
        <v>41</v>
      </c>
      <c r="P1332" t="s">
        <v>42</v>
      </c>
      <c r="Q1332" t="s">
        <v>43</v>
      </c>
      <c r="V1332" t="s">
        <v>2592</v>
      </c>
      <c r="Y1332" t="s">
        <v>2596</v>
      </c>
      <c r="Z1332" t="s">
        <v>42</v>
      </c>
      <c r="AA1332" t="s">
        <v>38</v>
      </c>
      <c r="AB1332" t="s">
        <v>38</v>
      </c>
      <c r="AC1332" t="s">
        <v>38</v>
      </c>
      <c r="AD1332" t="s">
        <v>48</v>
      </c>
      <c r="AG1332" t="str">
        <f>IF(AD1332="United States", IFERROR(INDEX(Sheet2!$C:$C, MATCH(AE1332&amp;AF1332, Sheet2!$E:$E, 0)) &amp; ", " &amp; INDEX(Sheet2!$D:$D, MATCH(AE1332&amp;AF1332, Sheet2!$E:$E, 0)), ""), "-")</f>
        <v/>
      </c>
    </row>
    <row r="1333" spans="1:33" x14ac:dyDescent="0.25">
      <c r="A1333" t="s">
        <v>750</v>
      </c>
      <c r="B1333" t="s">
        <v>2597</v>
      </c>
      <c r="C1333" t="s">
        <v>2575</v>
      </c>
      <c r="D1333" t="s">
        <v>177</v>
      </c>
      <c r="E1333" t="s">
        <v>38</v>
      </c>
      <c r="F1333">
        <v>1745</v>
      </c>
      <c r="G1333">
        <v>402</v>
      </c>
      <c r="H1333" t="s">
        <v>298</v>
      </c>
      <c r="I1333" t="s">
        <v>39</v>
      </c>
      <c r="J1333" t="s">
        <v>2577</v>
      </c>
      <c r="K1333" t="s">
        <v>38</v>
      </c>
      <c r="L1333" t="s">
        <v>38</v>
      </c>
      <c r="M1333" t="s">
        <v>38</v>
      </c>
      <c r="N1333" t="s">
        <v>38</v>
      </c>
      <c r="O1333" t="s">
        <v>41</v>
      </c>
      <c r="P1333" t="s">
        <v>42</v>
      </c>
      <c r="Q1333" t="s">
        <v>43</v>
      </c>
      <c r="R1333" t="s">
        <v>89</v>
      </c>
      <c r="S1333" t="s">
        <v>38</v>
      </c>
      <c r="T1333" t="s">
        <v>89</v>
      </c>
      <c r="U1333" t="s">
        <v>301</v>
      </c>
      <c r="V1333" t="s">
        <v>270</v>
      </c>
      <c r="W1333" t="s">
        <v>92</v>
      </c>
      <c r="X1333" t="s">
        <v>302</v>
      </c>
      <c r="Y1333" t="s">
        <v>2598</v>
      </c>
      <c r="Z1333" t="s">
        <v>42</v>
      </c>
      <c r="AA1333" t="s">
        <v>38</v>
      </c>
      <c r="AB1333" t="s">
        <v>38</v>
      </c>
      <c r="AC1333" t="s">
        <v>166</v>
      </c>
      <c r="AD1333" t="s">
        <v>48</v>
      </c>
      <c r="AG1333" t="str">
        <f>IF(AD1333="United States", IFERROR(INDEX(Sheet2!$C:$C, MATCH(AE1333&amp;AF1333, Sheet2!$E:$E, 0)) &amp; ", " &amp; INDEX(Sheet2!$D:$D, MATCH(AE1333&amp;AF1333, Sheet2!$E:$E, 0)), ""), "-")</f>
        <v/>
      </c>
    </row>
    <row r="1334" spans="1:33" x14ac:dyDescent="0.25">
      <c r="A1334" t="s">
        <v>750</v>
      </c>
      <c r="B1334" t="s">
        <v>2599</v>
      </c>
      <c r="C1334" t="s">
        <v>2591</v>
      </c>
      <c r="D1334" t="s">
        <v>36</v>
      </c>
      <c r="E1334" t="s">
        <v>38</v>
      </c>
      <c r="F1334">
        <v>1763</v>
      </c>
      <c r="G1334">
        <v>2203</v>
      </c>
      <c r="H1334" t="s">
        <v>2600</v>
      </c>
      <c r="I1334" t="s">
        <v>87</v>
      </c>
      <c r="J1334" t="s">
        <v>38</v>
      </c>
      <c r="K1334" t="s">
        <v>38</v>
      </c>
      <c r="L1334" t="s">
        <v>38</v>
      </c>
      <c r="M1334" t="s">
        <v>38</v>
      </c>
      <c r="N1334" t="s">
        <v>38</v>
      </c>
      <c r="O1334" t="s">
        <v>41</v>
      </c>
      <c r="P1334" t="s">
        <v>42</v>
      </c>
      <c r="Q1334" t="s">
        <v>43</v>
      </c>
      <c r="R1334" t="s">
        <v>89</v>
      </c>
      <c r="S1334" t="s">
        <v>38</v>
      </c>
      <c r="T1334" t="s">
        <v>89</v>
      </c>
      <c r="U1334" t="s">
        <v>301</v>
      </c>
      <c r="V1334" t="s">
        <v>38</v>
      </c>
      <c r="W1334" t="s">
        <v>92</v>
      </c>
      <c r="X1334" t="s">
        <v>302</v>
      </c>
      <c r="Y1334" t="s">
        <v>2596</v>
      </c>
      <c r="Z1334" t="s">
        <v>42</v>
      </c>
      <c r="AA1334" t="s">
        <v>38</v>
      </c>
      <c r="AB1334" t="s">
        <v>38</v>
      </c>
      <c r="AC1334" t="s">
        <v>38</v>
      </c>
      <c r="AD1334" t="s">
        <v>48</v>
      </c>
      <c r="AG1334" t="str">
        <f>IF(AD1334="United States", IFERROR(INDEX(Sheet2!$C:$C, MATCH(AE1334&amp;AF1334, Sheet2!$E:$E, 0)) &amp; ", " &amp; INDEX(Sheet2!$D:$D, MATCH(AE1334&amp;AF1334, Sheet2!$E:$E, 0)), ""), "-")</f>
        <v/>
      </c>
    </row>
    <row r="1335" spans="1:33" x14ac:dyDescent="0.25">
      <c r="A1335" t="s">
        <v>750</v>
      </c>
      <c r="B1335" t="s">
        <v>2601</v>
      </c>
      <c r="C1335" t="s">
        <v>2591</v>
      </c>
      <c r="D1335" t="s">
        <v>256</v>
      </c>
      <c r="E1335" t="s">
        <v>38</v>
      </c>
      <c r="F1335">
        <v>1733</v>
      </c>
      <c r="G1335">
        <v>2210</v>
      </c>
      <c r="H1335" t="s">
        <v>38</v>
      </c>
      <c r="I1335" t="s">
        <v>87</v>
      </c>
      <c r="J1335" t="s">
        <v>38</v>
      </c>
      <c r="K1335" t="s">
        <v>38</v>
      </c>
      <c r="L1335" t="s">
        <v>38</v>
      </c>
      <c r="M1335" t="s">
        <v>38</v>
      </c>
      <c r="N1335" t="s">
        <v>38</v>
      </c>
      <c r="O1335" t="s">
        <v>57</v>
      </c>
      <c r="P1335" t="s">
        <v>42</v>
      </c>
      <c r="Q1335" t="s">
        <v>43</v>
      </c>
      <c r="R1335" t="s">
        <v>38</v>
      </c>
      <c r="S1335" t="s">
        <v>38</v>
      </c>
      <c r="T1335" t="s">
        <v>38</v>
      </c>
      <c r="U1335" t="s">
        <v>38</v>
      </c>
      <c r="V1335" t="s">
        <v>38</v>
      </c>
      <c r="W1335" t="s">
        <v>38</v>
      </c>
      <c r="X1335" t="s">
        <v>38</v>
      </c>
      <c r="Y1335" t="s">
        <v>2602</v>
      </c>
      <c r="Z1335" t="s">
        <v>42</v>
      </c>
      <c r="AA1335" t="s">
        <v>38</v>
      </c>
      <c r="AB1335" t="s">
        <v>38</v>
      </c>
      <c r="AC1335" t="s">
        <v>38</v>
      </c>
      <c r="AD1335" t="s">
        <v>48</v>
      </c>
      <c r="AG1335" t="str">
        <f>IF(AD1335="United States", IFERROR(INDEX(Sheet2!$C:$C, MATCH(AE1335&amp;AF1335, Sheet2!$E:$E, 0)) &amp; ", " &amp; INDEX(Sheet2!$D:$D, MATCH(AE1335&amp;AF1335, Sheet2!$E:$E, 0)), ""), "-")</f>
        <v/>
      </c>
    </row>
    <row r="1336" spans="1:33" x14ac:dyDescent="0.25">
      <c r="A1336" t="s">
        <v>750</v>
      </c>
      <c r="B1336" t="s">
        <v>2603</v>
      </c>
      <c r="C1336" t="s">
        <v>2604</v>
      </c>
      <c r="D1336" t="s">
        <v>2605</v>
      </c>
      <c r="E1336" t="s">
        <v>38</v>
      </c>
      <c r="F1336">
        <v>1746</v>
      </c>
      <c r="G1336">
        <v>878</v>
      </c>
      <c r="H1336" t="s">
        <v>610</v>
      </c>
      <c r="I1336" t="s">
        <v>80</v>
      </c>
      <c r="J1336" t="s">
        <v>38</v>
      </c>
      <c r="K1336" t="s">
        <v>38</v>
      </c>
      <c r="L1336" t="s">
        <v>38</v>
      </c>
      <c r="M1336" t="s">
        <v>38</v>
      </c>
      <c r="N1336" t="s">
        <v>38</v>
      </c>
      <c r="O1336" t="s">
        <v>57</v>
      </c>
      <c r="P1336" t="s">
        <v>42</v>
      </c>
      <c r="Q1336" t="s">
        <v>43</v>
      </c>
      <c r="R1336" t="s">
        <v>89</v>
      </c>
      <c r="S1336" t="s">
        <v>38</v>
      </c>
      <c r="T1336" t="s">
        <v>89</v>
      </c>
      <c r="U1336" t="s">
        <v>301</v>
      </c>
      <c r="V1336" t="s">
        <v>38</v>
      </c>
      <c r="W1336" t="s">
        <v>92</v>
      </c>
      <c r="X1336" t="s">
        <v>302</v>
      </c>
      <c r="Y1336" t="s">
        <v>2606</v>
      </c>
      <c r="Z1336" t="s">
        <v>42</v>
      </c>
      <c r="AA1336" t="s">
        <v>38</v>
      </c>
      <c r="AB1336" t="s">
        <v>38</v>
      </c>
      <c r="AC1336" t="s">
        <v>155</v>
      </c>
      <c r="AD1336" t="s">
        <v>48</v>
      </c>
      <c r="AG1336" t="str">
        <f>IF(AD1336="United States", IFERROR(INDEX(Sheet2!$C:$C, MATCH(AE1336&amp;AF1336, Sheet2!$E:$E, 0)) &amp; ", " &amp; INDEX(Sheet2!$D:$D, MATCH(AE1336&amp;AF1336, Sheet2!$E:$E, 0)), ""), "-")</f>
        <v/>
      </c>
    </row>
    <row r="1337" spans="1:33" x14ac:dyDescent="0.25">
      <c r="A1337" t="s">
        <v>750</v>
      </c>
      <c r="B1337" t="s">
        <v>2607</v>
      </c>
      <c r="C1337" t="s">
        <v>2591</v>
      </c>
      <c r="D1337" t="s">
        <v>361</v>
      </c>
      <c r="E1337" t="s">
        <v>38</v>
      </c>
      <c r="F1337">
        <v>1773</v>
      </c>
      <c r="G1337">
        <v>2201</v>
      </c>
      <c r="H1337" t="s">
        <v>298</v>
      </c>
      <c r="I1337" t="s">
        <v>87</v>
      </c>
      <c r="J1337" t="s">
        <v>38</v>
      </c>
      <c r="K1337" t="s">
        <v>38</v>
      </c>
      <c r="L1337" t="s">
        <v>38</v>
      </c>
      <c r="M1337" t="s">
        <v>38</v>
      </c>
      <c r="N1337" t="s">
        <v>38</v>
      </c>
      <c r="O1337" t="s">
        <v>54</v>
      </c>
      <c r="P1337" t="s">
        <v>42</v>
      </c>
      <c r="Q1337" t="s">
        <v>43</v>
      </c>
      <c r="R1337" t="s">
        <v>89</v>
      </c>
      <c r="S1337" t="s">
        <v>38</v>
      </c>
      <c r="T1337" t="s">
        <v>89</v>
      </c>
      <c r="U1337" t="s">
        <v>301</v>
      </c>
      <c r="V1337" t="s">
        <v>38</v>
      </c>
      <c r="W1337" t="s">
        <v>92</v>
      </c>
      <c r="X1337" t="s">
        <v>302</v>
      </c>
      <c r="Y1337" t="s">
        <v>2596</v>
      </c>
      <c r="Z1337" t="s">
        <v>42</v>
      </c>
      <c r="AA1337" t="s">
        <v>38</v>
      </c>
      <c r="AB1337" t="s">
        <v>38</v>
      </c>
      <c r="AC1337" t="s">
        <v>38</v>
      </c>
      <c r="AD1337" t="s">
        <v>48</v>
      </c>
      <c r="AG1337" t="str">
        <f>IF(AD1337="United States", IFERROR(INDEX(Sheet2!$C:$C, MATCH(AE1337&amp;AF1337, Sheet2!$E:$E, 0)) &amp; ", " &amp; INDEX(Sheet2!$D:$D, MATCH(AE1337&amp;AF1337, Sheet2!$E:$E, 0)), ""), "-")</f>
        <v/>
      </c>
    </row>
    <row r="1338" spans="1:33" x14ac:dyDescent="0.25">
      <c r="A1338" t="s">
        <v>750</v>
      </c>
      <c r="B1338" t="s">
        <v>2608</v>
      </c>
      <c r="C1338" t="s">
        <v>2591</v>
      </c>
      <c r="D1338" t="s">
        <v>52</v>
      </c>
      <c r="E1338" t="s">
        <v>38</v>
      </c>
      <c r="F1338">
        <v>1757</v>
      </c>
      <c r="G1338">
        <v>2200</v>
      </c>
      <c r="H1338" t="s">
        <v>2600</v>
      </c>
      <c r="I1338" t="s">
        <v>87</v>
      </c>
      <c r="J1338" t="s">
        <v>38</v>
      </c>
      <c r="K1338" t="s">
        <v>38</v>
      </c>
      <c r="L1338" t="s">
        <v>38</v>
      </c>
      <c r="M1338" t="s">
        <v>38</v>
      </c>
      <c r="N1338" t="s">
        <v>38</v>
      </c>
      <c r="O1338" t="s">
        <v>57</v>
      </c>
      <c r="P1338" t="s">
        <v>42</v>
      </c>
      <c r="Q1338" t="s">
        <v>43</v>
      </c>
      <c r="R1338" t="s">
        <v>89</v>
      </c>
      <c r="S1338" t="s">
        <v>38</v>
      </c>
      <c r="T1338" t="s">
        <v>89</v>
      </c>
      <c r="U1338" t="s">
        <v>301</v>
      </c>
      <c r="V1338" t="s">
        <v>38</v>
      </c>
      <c r="W1338" t="s">
        <v>92</v>
      </c>
      <c r="X1338" t="s">
        <v>302</v>
      </c>
      <c r="Y1338" t="s">
        <v>2596</v>
      </c>
      <c r="Z1338" t="s">
        <v>42</v>
      </c>
      <c r="AA1338" t="s">
        <v>38</v>
      </c>
      <c r="AB1338" t="s">
        <v>38</v>
      </c>
      <c r="AC1338" t="s">
        <v>38</v>
      </c>
      <c r="AD1338" t="s">
        <v>48</v>
      </c>
      <c r="AG1338" t="str">
        <f>IF(AD1338="United States", IFERROR(INDEX(Sheet2!$C:$C, MATCH(AE1338&amp;AF1338, Sheet2!$E:$E, 0)) &amp; ", " &amp; INDEX(Sheet2!$D:$D, MATCH(AE1338&amp;AF1338, Sheet2!$E:$E, 0)), ""), "-")</f>
        <v/>
      </c>
    </row>
    <row r="1339" spans="1:33" x14ac:dyDescent="0.25">
      <c r="A1339" t="s">
        <v>750</v>
      </c>
      <c r="B1339" t="s">
        <v>2609</v>
      </c>
      <c r="C1339" t="s">
        <v>2591</v>
      </c>
      <c r="D1339" t="s">
        <v>114</v>
      </c>
      <c r="E1339" t="s">
        <v>38</v>
      </c>
      <c r="F1339">
        <v>1763</v>
      </c>
      <c r="G1339">
        <v>2199</v>
      </c>
      <c r="H1339" t="s">
        <v>2600</v>
      </c>
      <c r="I1339" t="s">
        <v>87</v>
      </c>
      <c r="J1339" t="s">
        <v>38</v>
      </c>
      <c r="K1339" t="s">
        <v>38</v>
      </c>
      <c r="L1339" t="s">
        <v>38</v>
      </c>
      <c r="M1339" t="s">
        <v>38</v>
      </c>
      <c r="N1339" t="s">
        <v>38</v>
      </c>
      <c r="O1339" t="s">
        <v>57</v>
      </c>
      <c r="P1339" t="s">
        <v>42</v>
      </c>
      <c r="Q1339" t="s">
        <v>43</v>
      </c>
      <c r="R1339" t="s">
        <v>89</v>
      </c>
      <c r="S1339" t="s">
        <v>38</v>
      </c>
      <c r="T1339" t="s">
        <v>89</v>
      </c>
      <c r="U1339" t="s">
        <v>301</v>
      </c>
      <c r="V1339" t="s">
        <v>38</v>
      </c>
      <c r="W1339" t="s">
        <v>92</v>
      </c>
      <c r="X1339" t="s">
        <v>302</v>
      </c>
      <c r="Y1339" t="s">
        <v>2593</v>
      </c>
      <c r="Z1339" t="s">
        <v>42</v>
      </c>
      <c r="AA1339" t="s">
        <v>38</v>
      </c>
      <c r="AB1339" t="s">
        <v>38</v>
      </c>
      <c r="AC1339" t="s">
        <v>38</v>
      </c>
      <c r="AD1339" t="s">
        <v>48</v>
      </c>
      <c r="AG1339" t="str">
        <f>IF(AD1339="United States", IFERROR(INDEX(Sheet2!$C:$C, MATCH(AE1339&amp;AF1339, Sheet2!$E:$E, 0)) &amp; ", " &amp; INDEX(Sheet2!$D:$D, MATCH(AE1339&amp;AF1339, Sheet2!$E:$E, 0)), ""), "-")</f>
        <v/>
      </c>
    </row>
    <row r="1340" spans="1:33" x14ac:dyDescent="0.25">
      <c r="A1340" t="s">
        <v>750</v>
      </c>
      <c r="B1340" t="s">
        <v>2610</v>
      </c>
      <c r="C1340" t="s">
        <v>2591</v>
      </c>
      <c r="D1340" t="s">
        <v>1238</v>
      </c>
      <c r="E1340" t="s">
        <v>38</v>
      </c>
      <c r="F1340">
        <v>1772</v>
      </c>
      <c r="G1340">
        <v>2211</v>
      </c>
      <c r="H1340" t="s">
        <v>2600</v>
      </c>
      <c r="I1340" t="s">
        <v>87</v>
      </c>
      <c r="J1340" t="s">
        <v>38</v>
      </c>
      <c r="K1340" t="s">
        <v>38</v>
      </c>
      <c r="L1340" t="s">
        <v>38</v>
      </c>
      <c r="M1340" t="s">
        <v>38</v>
      </c>
      <c r="N1340" t="s">
        <v>38</v>
      </c>
      <c r="O1340" t="s">
        <v>54</v>
      </c>
      <c r="P1340" t="s">
        <v>42</v>
      </c>
      <c r="Q1340" t="s">
        <v>43</v>
      </c>
      <c r="R1340" t="s">
        <v>89</v>
      </c>
      <c r="S1340" t="s">
        <v>38</v>
      </c>
      <c r="T1340" t="s">
        <v>89</v>
      </c>
      <c r="U1340" t="s">
        <v>301</v>
      </c>
      <c r="V1340" t="s">
        <v>38</v>
      </c>
      <c r="W1340" t="s">
        <v>92</v>
      </c>
      <c r="X1340" t="s">
        <v>302</v>
      </c>
      <c r="Y1340" t="s">
        <v>2602</v>
      </c>
      <c r="Z1340" t="s">
        <v>42</v>
      </c>
      <c r="AA1340" t="s">
        <v>38</v>
      </c>
      <c r="AB1340" t="s">
        <v>38</v>
      </c>
      <c r="AC1340" t="s">
        <v>38</v>
      </c>
      <c r="AD1340" t="s">
        <v>48</v>
      </c>
      <c r="AG1340" t="str">
        <f>IF(AD1340="United States", IFERROR(INDEX(Sheet2!$C:$C, MATCH(AE1340&amp;AF1340, Sheet2!$E:$E, 0)) &amp; ", " &amp; INDEX(Sheet2!$D:$D, MATCH(AE1340&amp;AF1340, Sheet2!$E:$E, 0)), ""), "-")</f>
        <v/>
      </c>
    </row>
    <row r="1341" spans="1:33" x14ac:dyDescent="0.25">
      <c r="A1341" t="s">
        <v>750</v>
      </c>
      <c r="B1341" t="s">
        <v>2611</v>
      </c>
      <c r="C1341" t="s">
        <v>2591</v>
      </c>
      <c r="D1341" t="s">
        <v>106</v>
      </c>
      <c r="E1341" t="s">
        <v>2113</v>
      </c>
      <c r="F1341">
        <v>1739</v>
      </c>
      <c r="G1341">
        <v>2209</v>
      </c>
      <c r="H1341" t="s">
        <v>2600</v>
      </c>
      <c r="I1341" t="s">
        <v>87</v>
      </c>
      <c r="J1341" t="s">
        <v>38</v>
      </c>
      <c r="K1341" t="s">
        <v>38</v>
      </c>
      <c r="L1341" t="s">
        <v>38</v>
      </c>
      <c r="M1341" t="s">
        <v>38</v>
      </c>
      <c r="N1341" t="s">
        <v>38</v>
      </c>
      <c r="O1341" t="s">
        <v>41</v>
      </c>
      <c r="P1341" t="s">
        <v>42</v>
      </c>
      <c r="Q1341" t="s">
        <v>43</v>
      </c>
      <c r="R1341" t="s">
        <v>89</v>
      </c>
      <c r="S1341" t="s">
        <v>89</v>
      </c>
      <c r="T1341" t="s">
        <v>89</v>
      </c>
      <c r="U1341" t="s">
        <v>301</v>
      </c>
      <c r="V1341" t="s">
        <v>38</v>
      </c>
      <c r="W1341" t="s">
        <v>92</v>
      </c>
      <c r="X1341" t="s">
        <v>302</v>
      </c>
      <c r="Y1341" t="s">
        <v>2602</v>
      </c>
      <c r="Z1341" t="s">
        <v>42</v>
      </c>
      <c r="AA1341" t="s">
        <v>2612</v>
      </c>
      <c r="AB1341" t="s">
        <v>38</v>
      </c>
      <c r="AC1341" t="s">
        <v>1101</v>
      </c>
      <c r="AD1341" t="s">
        <v>48</v>
      </c>
      <c r="AG1341" t="str">
        <f>IF(AD1341="United States", IFERROR(INDEX(Sheet2!$C:$C, MATCH(AE1341&amp;AF1341, Sheet2!$E:$E, 0)) &amp; ", " &amp; INDEX(Sheet2!$D:$D, MATCH(AE1341&amp;AF1341, Sheet2!$E:$E, 0)), ""), "-")</f>
        <v/>
      </c>
    </row>
    <row r="1342" spans="1:33" x14ac:dyDescent="0.25">
      <c r="A1342" t="s">
        <v>750</v>
      </c>
      <c r="B1342" t="s">
        <v>2613</v>
      </c>
      <c r="C1342" t="s">
        <v>2591</v>
      </c>
      <c r="D1342" t="s">
        <v>535</v>
      </c>
      <c r="E1342" t="s">
        <v>38</v>
      </c>
      <c r="F1342">
        <v>1767</v>
      </c>
      <c r="G1342">
        <v>2198</v>
      </c>
      <c r="H1342" t="s">
        <v>2600</v>
      </c>
      <c r="I1342" t="s">
        <v>87</v>
      </c>
      <c r="J1342" t="s">
        <v>38</v>
      </c>
      <c r="K1342" t="s">
        <v>38</v>
      </c>
      <c r="L1342" t="s">
        <v>38</v>
      </c>
      <c r="M1342" t="s">
        <v>38</v>
      </c>
      <c r="N1342" t="s">
        <v>38</v>
      </c>
      <c r="O1342" t="s">
        <v>74</v>
      </c>
      <c r="P1342" t="s">
        <v>42</v>
      </c>
      <c r="Q1342" t="s">
        <v>43</v>
      </c>
      <c r="R1342" t="s">
        <v>89</v>
      </c>
      <c r="S1342" t="s">
        <v>45</v>
      </c>
      <c r="T1342" t="s">
        <v>89</v>
      </c>
      <c r="U1342" t="s">
        <v>301</v>
      </c>
      <c r="V1342" t="s">
        <v>38</v>
      </c>
      <c r="W1342" t="s">
        <v>92</v>
      </c>
      <c r="X1342" t="s">
        <v>302</v>
      </c>
      <c r="Y1342" t="s">
        <v>2614</v>
      </c>
      <c r="Z1342" t="s">
        <v>42</v>
      </c>
      <c r="AA1342" t="s">
        <v>38</v>
      </c>
      <c r="AB1342" t="s">
        <v>38</v>
      </c>
      <c r="AC1342" t="s">
        <v>45</v>
      </c>
      <c r="AD1342" t="s">
        <v>48</v>
      </c>
      <c r="AG1342" t="str">
        <f>IF(AD1342="United States", IFERROR(INDEX(Sheet2!$C:$C, MATCH(AE1342&amp;AF1342, Sheet2!$E:$E, 0)) &amp; ", " &amp; INDEX(Sheet2!$D:$D, MATCH(AE1342&amp;AF1342, Sheet2!$E:$E, 0)), ""), "-")</f>
        <v/>
      </c>
    </row>
    <row r="1343" spans="1:33" x14ac:dyDescent="0.25">
      <c r="A1343" t="s">
        <v>750</v>
      </c>
      <c r="B1343" t="s">
        <v>2615</v>
      </c>
      <c r="C1343" t="s">
        <v>2591</v>
      </c>
      <c r="D1343" t="s">
        <v>210</v>
      </c>
      <c r="E1343" t="s">
        <v>38</v>
      </c>
      <c r="F1343">
        <v>1757</v>
      </c>
      <c r="G1343">
        <v>2214</v>
      </c>
      <c r="H1343" t="s">
        <v>2600</v>
      </c>
      <c r="I1343" t="s">
        <v>87</v>
      </c>
      <c r="J1343" t="s">
        <v>38</v>
      </c>
      <c r="K1343" t="s">
        <v>38</v>
      </c>
      <c r="L1343" t="s">
        <v>38</v>
      </c>
      <c r="M1343" t="s">
        <v>38</v>
      </c>
      <c r="N1343" t="s">
        <v>38</v>
      </c>
      <c r="O1343" t="s">
        <v>41</v>
      </c>
      <c r="P1343" t="s">
        <v>42</v>
      </c>
      <c r="Q1343" t="s">
        <v>43</v>
      </c>
      <c r="R1343" t="s">
        <v>89</v>
      </c>
      <c r="S1343" t="s">
        <v>38</v>
      </c>
      <c r="T1343" t="s">
        <v>89</v>
      </c>
      <c r="U1343" t="s">
        <v>301</v>
      </c>
      <c r="V1343" t="s">
        <v>38</v>
      </c>
      <c r="W1343" t="s">
        <v>92</v>
      </c>
      <c r="X1343" t="s">
        <v>302</v>
      </c>
      <c r="Y1343" t="s">
        <v>2616</v>
      </c>
      <c r="Z1343" t="s">
        <v>42</v>
      </c>
      <c r="AA1343" t="s">
        <v>38</v>
      </c>
      <c r="AB1343" t="s">
        <v>38</v>
      </c>
      <c r="AC1343" t="s">
        <v>38</v>
      </c>
      <c r="AD1343" t="s">
        <v>48</v>
      </c>
      <c r="AG1343" t="str">
        <f>IF(AD1343="United States", IFERROR(INDEX(Sheet2!$C:$C, MATCH(AE1343&amp;AF1343, Sheet2!$E:$E, 0)) &amp; ", " &amp; INDEX(Sheet2!$D:$D, MATCH(AE1343&amp;AF1343, Sheet2!$E:$E, 0)), ""), "-")</f>
        <v/>
      </c>
    </row>
    <row r="1344" spans="1:33" x14ac:dyDescent="0.25">
      <c r="A1344" t="s">
        <v>750</v>
      </c>
      <c r="B1344" t="s">
        <v>2617</v>
      </c>
      <c r="C1344" t="s">
        <v>2591</v>
      </c>
      <c r="D1344" t="s">
        <v>352</v>
      </c>
      <c r="E1344" t="s">
        <v>2618</v>
      </c>
      <c r="F1344">
        <v>1763</v>
      </c>
      <c r="G1344">
        <v>2208</v>
      </c>
      <c r="H1344" t="s">
        <v>2600</v>
      </c>
      <c r="I1344" t="s">
        <v>87</v>
      </c>
      <c r="J1344" t="s">
        <v>38</v>
      </c>
      <c r="K1344" t="s">
        <v>38</v>
      </c>
      <c r="L1344" t="s">
        <v>38</v>
      </c>
      <c r="M1344" t="s">
        <v>38</v>
      </c>
      <c r="N1344" t="s">
        <v>38</v>
      </c>
      <c r="O1344" t="s">
        <v>57</v>
      </c>
      <c r="P1344" t="s">
        <v>42</v>
      </c>
      <c r="Q1344" t="s">
        <v>43</v>
      </c>
      <c r="R1344" t="s">
        <v>89</v>
      </c>
      <c r="S1344" t="s">
        <v>38</v>
      </c>
      <c r="T1344" t="s">
        <v>89</v>
      </c>
      <c r="U1344" t="s">
        <v>301</v>
      </c>
      <c r="V1344" t="s">
        <v>38</v>
      </c>
      <c r="W1344" t="s">
        <v>92</v>
      </c>
      <c r="X1344" t="s">
        <v>302</v>
      </c>
      <c r="Y1344" t="s">
        <v>2619</v>
      </c>
      <c r="Z1344" t="s">
        <v>42</v>
      </c>
      <c r="AA1344" t="s">
        <v>38</v>
      </c>
      <c r="AB1344" t="s">
        <v>38</v>
      </c>
      <c r="AC1344" t="s">
        <v>166</v>
      </c>
      <c r="AD1344" t="s">
        <v>48</v>
      </c>
      <c r="AG1344" t="str">
        <f>IF(AD1344="United States", IFERROR(INDEX(Sheet2!$C:$C, MATCH(AE1344&amp;AF1344, Sheet2!$E:$E, 0)) &amp; ", " &amp; INDEX(Sheet2!$D:$D, MATCH(AE1344&amp;AF1344, Sheet2!$E:$E, 0)), ""), "-")</f>
        <v/>
      </c>
    </row>
    <row r="1345" spans="1:33" x14ac:dyDescent="0.25">
      <c r="A1345" t="s">
        <v>750</v>
      </c>
      <c r="B1345" t="s">
        <v>2620</v>
      </c>
      <c r="C1345" t="s">
        <v>2591</v>
      </c>
      <c r="D1345" t="s">
        <v>204</v>
      </c>
      <c r="E1345" t="s">
        <v>38</v>
      </c>
      <c r="F1345">
        <v>1733</v>
      </c>
      <c r="G1345">
        <v>2205</v>
      </c>
      <c r="H1345" t="s">
        <v>38</v>
      </c>
      <c r="I1345" t="s">
        <v>87</v>
      </c>
      <c r="J1345" t="s">
        <v>38</v>
      </c>
      <c r="K1345" t="s">
        <v>38</v>
      </c>
      <c r="L1345" t="s">
        <v>38</v>
      </c>
      <c r="M1345" t="s">
        <v>38</v>
      </c>
      <c r="N1345" t="s">
        <v>38</v>
      </c>
      <c r="O1345" t="s">
        <v>41</v>
      </c>
      <c r="P1345" t="s">
        <v>42</v>
      </c>
      <c r="Q1345" t="s">
        <v>43</v>
      </c>
      <c r="R1345" t="s">
        <v>38</v>
      </c>
      <c r="S1345" t="s">
        <v>38</v>
      </c>
      <c r="T1345" t="s">
        <v>38</v>
      </c>
      <c r="U1345" t="s">
        <v>38</v>
      </c>
      <c r="V1345" t="s">
        <v>38</v>
      </c>
      <c r="W1345" t="s">
        <v>38</v>
      </c>
      <c r="X1345" t="s">
        <v>38</v>
      </c>
      <c r="Y1345" t="s">
        <v>2621</v>
      </c>
      <c r="Z1345" t="s">
        <v>42</v>
      </c>
      <c r="AA1345" t="s">
        <v>38</v>
      </c>
      <c r="AB1345" t="s">
        <v>38</v>
      </c>
      <c r="AC1345" t="s">
        <v>38</v>
      </c>
      <c r="AD1345" t="s">
        <v>48</v>
      </c>
      <c r="AG1345" t="str">
        <f>IF(AD1345="United States", IFERROR(INDEX(Sheet2!$C:$C, MATCH(AE1345&amp;AF1345, Sheet2!$E:$E, 0)) &amp; ", " &amp; INDEX(Sheet2!$D:$D, MATCH(AE1345&amp;AF1345, Sheet2!$E:$E, 0)), ""), "-")</f>
        <v/>
      </c>
    </row>
    <row r="1346" spans="1:33" x14ac:dyDescent="0.25">
      <c r="A1346" t="s">
        <v>750</v>
      </c>
      <c r="B1346" t="s">
        <v>2622</v>
      </c>
      <c r="C1346" t="s">
        <v>2591</v>
      </c>
      <c r="D1346" t="s">
        <v>1430</v>
      </c>
      <c r="E1346" t="s">
        <v>2429</v>
      </c>
      <c r="F1346">
        <v>1733</v>
      </c>
      <c r="G1346">
        <v>2207</v>
      </c>
      <c r="H1346" t="s">
        <v>2600</v>
      </c>
      <c r="I1346" t="s">
        <v>87</v>
      </c>
      <c r="J1346" t="s">
        <v>38</v>
      </c>
      <c r="K1346" t="s">
        <v>38</v>
      </c>
      <c r="L1346" t="s">
        <v>38</v>
      </c>
      <c r="M1346" t="s">
        <v>38</v>
      </c>
      <c r="N1346" t="s">
        <v>38</v>
      </c>
      <c r="O1346" t="s">
        <v>41</v>
      </c>
      <c r="P1346" t="s">
        <v>42</v>
      </c>
      <c r="Q1346" t="s">
        <v>43</v>
      </c>
      <c r="R1346" t="s">
        <v>89</v>
      </c>
      <c r="S1346" t="s">
        <v>153</v>
      </c>
      <c r="T1346" t="s">
        <v>89</v>
      </c>
      <c r="U1346" t="s">
        <v>301</v>
      </c>
      <c r="V1346" t="s">
        <v>38</v>
      </c>
      <c r="W1346" t="s">
        <v>92</v>
      </c>
      <c r="X1346" t="s">
        <v>302</v>
      </c>
      <c r="Y1346" t="s">
        <v>2623</v>
      </c>
      <c r="Z1346" t="s">
        <v>42</v>
      </c>
      <c r="AA1346" t="s">
        <v>38</v>
      </c>
      <c r="AB1346" t="s">
        <v>38</v>
      </c>
      <c r="AC1346" t="s">
        <v>153</v>
      </c>
      <c r="AD1346" t="s">
        <v>48</v>
      </c>
      <c r="AG1346" t="str">
        <f>IF(AD1346="United States", IFERROR(INDEX(Sheet2!$C:$C, MATCH(AE1346&amp;AF1346, Sheet2!$E:$E, 0)) &amp; ", " &amp; INDEX(Sheet2!$D:$D, MATCH(AE1346&amp;AF1346, Sheet2!$E:$E, 0)), ""), "-")</f>
        <v/>
      </c>
    </row>
    <row r="1347" spans="1:33" x14ac:dyDescent="0.25">
      <c r="A1347" t="s">
        <v>750</v>
      </c>
      <c r="B1347" t="s">
        <v>2603</v>
      </c>
      <c r="C1347" t="s">
        <v>2604</v>
      </c>
      <c r="D1347" t="s">
        <v>2605</v>
      </c>
      <c r="E1347" t="s">
        <v>38</v>
      </c>
      <c r="F1347">
        <v>1746</v>
      </c>
      <c r="G1347">
        <v>1154</v>
      </c>
      <c r="H1347" t="s">
        <v>610</v>
      </c>
      <c r="I1347" t="s">
        <v>80</v>
      </c>
      <c r="J1347" t="s">
        <v>38</v>
      </c>
      <c r="K1347" t="s">
        <v>38</v>
      </c>
      <c r="L1347" t="s">
        <v>38</v>
      </c>
      <c r="M1347" t="s">
        <v>38</v>
      </c>
      <c r="N1347" t="s">
        <v>38</v>
      </c>
      <c r="O1347" t="s">
        <v>57</v>
      </c>
      <c r="P1347" t="s">
        <v>42</v>
      </c>
      <c r="Q1347" t="s">
        <v>43</v>
      </c>
      <c r="R1347" t="s">
        <v>89</v>
      </c>
      <c r="S1347" t="s">
        <v>38</v>
      </c>
      <c r="T1347" t="s">
        <v>89</v>
      </c>
      <c r="U1347" t="s">
        <v>301</v>
      </c>
      <c r="V1347" t="s">
        <v>38</v>
      </c>
      <c r="W1347" t="s">
        <v>92</v>
      </c>
      <c r="X1347" t="s">
        <v>302</v>
      </c>
      <c r="Y1347" t="s">
        <v>2606</v>
      </c>
      <c r="Z1347" t="s">
        <v>42</v>
      </c>
      <c r="AA1347" t="s">
        <v>38</v>
      </c>
      <c r="AB1347" t="s">
        <v>38</v>
      </c>
      <c r="AC1347" t="s">
        <v>155</v>
      </c>
      <c r="AD1347" t="s">
        <v>48</v>
      </c>
      <c r="AG1347" t="str">
        <f>IF(AD1347="United States", IFERROR(INDEX(Sheet2!$C:$C, MATCH(AE1347&amp;AF1347, Sheet2!$E:$E, 0)) &amp; ", " &amp; INDEX(Sheet2!$D:$D, MATCH(AE1347&amp;AF1347, Sheet2!$E:$E, 0)), ""), "-")</f>
        <v/>
      </c>
    </row>
    <row r="1348" spans="1:33" x14ac:dyDescent="0.25">
      <c r="A1348" t="s">
        <v>750</v>
      </c>
      <c r="B1348" t="s">
        <v>2624</v>
      </c>
      <c r="C1348" t="s">
        <v>2591</v>
      </c>
      <c r="D1348" t="s">
        <v>177</v>
      </c>
      <c r="E1348" t="s">
        <v>38</v>
      </c>
      <c r="F1348">
        <v>1772</v>
      </c>
      <c r="G1348">
        <v>2206</v>
      </c>
      <c r="H1348" t="s">
        <v>298</v>
      </c>
      <c r="I1348" t="s">
        <v>87</v>
      </c>
      <c r="J1348" t="s">
        <v>38</v>
      </c>
      <c r="K1348" t="s">
        <v>38</v>
      </c>
      <c r="L1348" t="s">
        <v>38</v>
      </c>
      <c r="M1348" t="s">
        <v>38</v>
      </c>
      <c r="N1348" t="s">
        <v>38</v>
      </c>
      <c r="O1348" t="s">
        <v>54</v>
      </c>
      <c r="P1348" t="s">
        <v>42</v>
      </c>
      <c r="Q1348" t="s">
        <v>43</v>
      </c>
      <c r="R1348" t="s">
        <v>89</v>
      </c>
      <c r="S1348" t="s">
        <v>38</v>
      </c>
      <c r="T1348" t="s">
        <v>89</v>
      </c>
      <c r="U1348" t="s">
        <v>301</v>
      </c>
      <c r="V1348" t="s">
        <v>38</v>
      </c>
      <c r="W1348" t="s">
        <v>92</v>
      </c>
      <c r="X1348" t="s">
        <v>302</v>
      </c>
      <c r="Y1348" t="s">
        <v>678</v>
      </c>
      <c r="Z1348" t="s">
        <v>42</v>
      </c>
      <c r="AA1348" t="s">
        <v>38</v>
      </c>
      <c r="AB1348" t="s">
        <v>38</v>
      </c>
      <c r="AC1348" t="s">
        <v>38</v>
      </c>
      <c r="AD1348" t="s">
        <v>48</v>
      </c>
      <c r="AG1348" t="str">
        <f>IF(AD1348="United States", IFERROR(INDEX(Sheet2!$C:$C, MATCH(AE1348&amp;AF1348, Sheet2!$E:$E, 0)) &amp; ", " &amp; INDEX(Sheet2!$D:$D, MATCH(AE1348&amp;AF1348, Sheet2!$E:$E, 0)), ""), "-")</f>
        <v/>
      </c>
    </row>
    <row r="1349" spans="1:33" x14ac:dyDescent="0.25">
      <c r="A1349" t="s">
        <v>750</v>
      </c>
      <c r="B1349" t="s">
        <v>2625</v>
      </c>
      <c r="C1349" t="s">
        <v>2591</v>
      </c>
      <c r="D1349" t="s">
        <v>980</v>
      </c>
      <c r="E1349" t="s">
        <v>38</v>
      </c>
      <c r="F1349">
        <v>1777</v>
      </c>
      <c r="G1349">
        <v>2202</v>
      </c>
      <c r="H1349" t="s">
        <v>1979</v>
      </c>
      <c r="I1349" t="s">
        <v>87</v>
      </c>
      <c r="J1349" t="s">
        <v>38</v>
      </c>
      <c r="K1349" t="s">
        <v>38</v>
      </c>
      <c r="L1349" t="s">
        <v>38</v>
      </c>
      <c r="M1349" t="s">
        <v>38</v>
      </c>
      <c r="N1349" t="s">
        <v>38</v>
      </c>
      <c r="O1349" t="s">
        <v>54</v>
      </c>
      <c r="P1349" t="s">
        <v>42</v>
      </c>
      <c r="Q1349" t="s">
        <v>43</v>
      </c>
      <c r="R1349" t="s">
        <v>89</v>
      </c>
      <c r="S1349" t="s">
        <v>38</v>
      </c>
      <c r="T1349" t="s">
        <v>89</v>
      </c>
      <c r="U1349" t="s">
        <v>301</v>
      </c>
      <c r="V1349" t="s">
        <v>38</v>
      </c>
      <c r="W1349" t="s">
        <v>92</v>
      </c>
      <c r="X1349" t="s">
        <v>302</v>
      </c>
      <c r="Y1349" t="s">
        <v>2596</v>
      </c>
      <c r="Z1349" t="s">
        <v>42</v>
      </c>
      <c r="AA1349" t="s">
        <v>38</v>
      </c>
      <c r="AB1349" t="s">
        <v>38</v>
      </c>
      <c r="AC1349" t="s">
        <v>38</v>
      </c>
      <c r="AD1349" t="s">
        <v>48</v>
      </c>
      <c r="AG1349" t="str">
        <f>IF(AD1349="United States", IFERROR(INDEX(Sheet2!$C:$C, MATCH(AE1349&amp;AF1349, Sheet2!$E:$E, 0)) &amp; ", " &amp; INDEX(Sheet2!$D:$D, MATCH(AE1349&amp;AF1349, Sheet2!$E:$E, 0)), ""), "-")</f>
        <v/>
      </c>
    </row>
    <row r="1350" spans="1:33" x14ac:dyDescent="0.25">
      <c r="A1350" t="s">
        <v>750</v>
      </c>
      <c r="B1350" t="s">
        <v>2626</v>
      </c>
      <c r="C1350" t="s">
        <v>2591</v>
      </c>
      <c r="D1350" t="s">
        <v>36</v>
      </c>
      <c r="E1350" t="s">
        <v>2429</v>
      </c>
      <c r="F1350">
        <v>1770</v>
      </c>
      <c r="G1350">
        <v>2213</v>
      </c>
      <c r="H1350" t="s">
        <v>2600</v>
      </c>
      <c r="I1350" t="s">
        <v>87</v>
      </c>
      <c r="J1350" t="s">
        <v>38</v>
      </c>
      <c r="K1350" t="s">
        <v>38</v>
      </c>
      <c r="L1350" t="s">
        <v>38</v>
      </c>
      <c r="M1350" t="s">
        <v>38</v>
      </c>
      <c r="N1350" t="s">
        <v>38</v>
      </c>
      <c r="O1350" t="s">
        <v>54</v>
      </c>
      <c r="P1350" t="s">
        <v>42</v>
      </c>
      <c r="Q1350" t="s">
        <v>43</v>
      </c>
      <c r="R1350" t="s">
        <v>89</v>
      </c>
      <c r="S1350" t="s">
        <v>153</v>
      </c>
      <c r="T1350" t="s">
        <v>89</v>
      </c>
      <c r="U1350" t="s">
        <v>301</v>
      </c>
      <c r="V1350" t="s">
        <v>38</v>
      </c>
      <c r="W1350" t="s">
        <v>92</v>
      </c>
      <c r="X1350" t="s">
        <v>302</v>
      </c>
      <c r="Y1350" t="s">
        <v>2623</v>
      </c>
      <c r="Z1350" t="s">
        <v>42</v>
      </c>
      <c r="AA1350" t="s">
        <v>38</v>
      </c>
      <c r="AB1350" t="s">
        <v>38</v>
      </c>
      <c r="AC1350" t="s">
        <v>153</v>
      </c>
      <c r="AD1350" t="s">
        <v>48</v>
      </c>
      <c r="AG1350" t="str">
        <f>IF(AD1350="United States", IFERROR(INDEX(Sheet2!$C:$C, MATCH(AE1350&amp;AF1350, Sheet2!$E:$E, 0)) &amp; ", " &amp; INDEX(Sheet2!$D:$D, MATCH(AE1350&amp;AF1350, Sheet2!$E:$E, 0)), ""), "-")</f>
        <v/>
      </c>
    </row>
    <row r="1351" spans="1:33" x14ac:dyDescent="0.25">
      <c r="A1351" t="s">
        <v>750</v>
      </c>
      <c r="B1351" t="s">
        <v>2627</v>
      </c>
      <c r="C1351" t="s">
        <v>2591</v>
      </c>
      <c r="D1351" t="s">
        <v>2628</v>
      </c>
      <c r="E1351" t="s">
        <v>226</v>
      </c>
      <c r="F1351">
        <v>1743</v>
      </c>
      <c r="G1351">
        <v>2212</v>
      </c>
      <c r="H1351" t="s">
        <v>2600</v>
      </c>
      <c r="I1351" t="s">
        <v>87</v>
      </c>
      <c r="J1351" t="s">
        <v>38</v>
      </c>
      <c r="K1351" t="s">
        <v>38</v>
      </c>
      <c r="L1351" t="s">
        <v>38</v>
      </c>
      <c r="M1351" t="s">
        <v>38</v>
      </c>
      <c r="N1351" t="s">
        <v>38</v>
      </c>
      <c r="O1351" t="s">
        <v>41</v>
      </c>
      <c r="P1351" t="s">
        <v>42</v>
      </c>
      <c r="Q1351" t="s">
        <v>43</v>
      </c>
      <c r="R1351" t="s">
        <v>89</v>
      </c>
      <c r="S1351" t="s">
        <v>153</v>
      </c>
      <c r="T1351" t="s">
        <v>89</v>
      </c>
      <c r="U1351" t="s">
        <v>301</v>
      </c>
      <c r="V1351" t="s">
        <v>38</v>
      </c>
      <c r="W1351" t="s">
        <v>92</v>
      </c>
      <c r="X1351" t="s">
        <v>302</v>
      </c>
      <c r="Y1351" t="s">
        <v>2614</v>
      </c>
      <c r="Z1351" t="s">
        <v>42</v>
      </c>
      <c r="AA1351" t="s">
        <v>38</v>
      </c>
      <c r="AB1351" t="s">
        <v>38</v>
      </c>
      <c r="AC1351" t="s">
        <v>153</v>
      </c>
      <c r="AD1351" t="s">
        <v>48</v>
      </c>
      <c r="AG1351" t="str">
        <f>IF(AD1351="United States", IFERROR(INDEX(Sheet2!$C:$C, MATCH(AE1351&amp;AF1351, Sheet2!$E:$E, 0)) &amp; ", " &amp; INDEX(Sheet2!$D:$D, MATCH(AE1351&amp;AF1351, Sheet2!$E:$E, 0)), ""), "-")</f>
        <v/>
      </c>
    </row>
    <row r="1352" spans="1:33" x14ac:dyDescent="0.25">
      <c r="A1352" t="s">
        <v>750</v>
      </c>
      <c r="B1352" t="s">
        <v>2629</v>
      </c>
      <c r="C1352" t="s">
        <v>2591</v>
      </c>
      <c r="D1352" t="s">
        <v>2630</v>
      </c>
      <c r="E1352" t="s">
        <v>38</v>
      </c>
      <c r="F1352">
        <v>1761</v>
      </c>
      <c r="G1352">
        <v>2204</v>
      </c>
      <c r="H1352" t="s">
        <v>38</v>
      </c>
      <c r="I1352" t="s">
        <v>87</v>
      </c>
      <c r="J1352" t="s">
        <v>38</v>
      </c>
      <c r="K1352" t="s">
        <v>38</v>
      </c>
      <c r="L1352" t="s">
        <v>38</v>
      </c>
      <c r="M1352" t="s">
        <v>38</v>
      </c>
      <c r="N1352" t="s">
        <v>38</v>
      </c>
      <c r="O1352" t="s">
        <v>41</v>
      </c>
      <c r="P1352" t="s">
        <v>42</v>
      </c>
      <c r="Q1352" t="s">
        <v>43</v>
      </c>
      <c r="R1352" t="s">
        <v>38</v>
      </c>
      <c r="S1352" t="s">
        <v>38</v>
      </c>
      <c r="T1352" t="s">
        <v>38</v>
      </c>
      <c r="U1352" t="s">
        <v>38</v>
      </c>
      <c r="V1352" t="s">
        <v>38</v>
      </c>
      <c r="W1352" t="s">
        <v>38</v>
      </c>
      <c r="X1352" t="s">
        <v>38</v>
      </c>
      <c r="Y1352" t="s">
        <v>2631</v>
      </c>
      <c r="Z1352" t="s">
        <v>42</v>
      </c>
      <c r="AA1352" t="s">
        <v>38</v>
      </c>
      <c r="AB1352" t="s">
        <v>38</v>
      </c>
      <c r="AC1352" t="s">
        <v>2630</v>
      </c>
      <c r="AD1352" t="s">
        <v>48</v>
      </c>
      <c r="AG1352" t="str">
        <f>IF(AD1352="United States", IFERROR(INDEX(Sheet2!$C:$C, MATCH(AE1352&amp;AF1352, Sheet2!$E:$E, 0)) &amp; ", " &amp; INDEX(Sheet2!$D:$D, MATCH(AE1352&amp;AF1352, Sheet2!$E:$E, 0)), ""), "-")</f>
        <v/>
      </c>
    </row>
    <row r="1353" spans="1:33" x14ac:dyDescent="0.25">
      <c r="A1353" t="s">
        <v>1038</v>
      </c>
      <c r="B1353" t="s">
        <v>2632</v>
      </c>
      <c r="C1353" t="s">
        <v>2633</v>
      </c>
      <c r="D1353" t="s">
        <v>132</v>
      </c>
      <c r="E1353" t="s">
        <v>38</v>
      </c>
      <c r="F1353">
        <v>1770</v>
      </c>
      <c r="G1353">
        <v>705</v>
      </c>
      <c r="H1353" t="s">
        <v>2634</v>
      </c>
      <c r="I1353" t="s">
        <v>39</v>
      </c>
      <c r="J1353" t="s">
        <v>2635</v>
      </c>
      <c r="K1353" t="s">
        <v>38</v>
      </c>
      <c r="L1353" t="s">
        <v>38</v>
      </c>
      <c r="M1353" t="s">
        <v>38</v>
      </c>
      <c r="N1353" t="s">
        <v>38</v>
      </c>
      <c r="O1353" t="s">
        <v>54</v>
      </c>
      <c r="P1353" t="s">
        <v>42</v>
      </c>
      <c r="Q1353" t="s">
        <v>43</v>
      </c>
      <c r="R1353" t="s">
        <v>89</v>
      </c>
      <c r="S1353" t="s">
        <v>38</v>
      </c>
      <c r="T1353" t="s">
        <v>89</v>
      </c>
      <c r="U1353" t="s">
        <v>301</v>
      </c>
      <c r="V1353" t="s">
        <v>270</v>
      </c>
      <c r="W1353" t="s">
        <v>92</v>
      </c>
      <c r="X1353" t="s">
        <v>302</v>
      </c>
      <c r="Y1353" t="s">
        <v>2636</v>
      </c>
      <c r="Z1353" t="s">
        <v>42</v>
      </c>
      <c r="AA1353" t="s">
        <v>38</v>
      </c>
      <c r="AB1353" t="s">
        <v>38</v>
      </c>
      <c r="AC1353" t="s">
        <v>38</v>
      </c>
      <c r="AD1353" t="s">
        <v>48</v>
      </c>
      <c r="AG1353" t="str">
        <f>IF(AD1353="United States", IFERROR(INDEX(Sheet2!$C:$C, MATCH(AE1353&amp;AF1353, Sheet2!$E:$E, 0)) &amp; ", " &amp; INDEX(Sheet2!$D:$D, MATCH(AE1353&amp;AF1353, Sheet2!$E:$E, 0)), ""), "-")</f>
        <v/>
      </c>
    </row>
    <row r="1354" spans="1:33" x14ac:dyDescent="0.25">
      <c r="A1354" t="s">
        <v>1038</v>
      </c>
      <c r="B1354" t="s">
        <v>2637</v>
      </c>
      <c r="C1354" t="s">
        <v>2633</v>
      </c>
      <c r="D1354" t="s">
        <v>63</v>
      </c>
      <c r="E1354" t="s">
        <v>38</v>
      </c>
      <c r="F1354">
        <v>1771</v>
      </c>
      <c r="G1354">
        <v>706</v>
      </c>
      <c r="H1354" t="s">
        <v>2634</v>
      </c>
      <c r="I1354" t="s">
        <v>39</v>
      </c>
      <c r="J1354" t="s">
        <v>2635</v>
      </c>
      <c r="K1354" t="s">
        <v>38</v>
      </c>
      <c r="L1354" t="s">
        <v>38</v>
      </c>
      <c r="M1354" t="s">
        <v>38</v>
      </c>
      <c r="N1354" t="s">
        <v>38</v>
      </c>
      <c r="O1354" t="s">
        <v>54</v>
      </c>
      <c r="P1354" t="s">
        <v>42</v>
      </c>
      <c r="Q1354" t="s">
        <v>43</v>
      </c>
      <c r="R1354" t="s">
        <v>89</v>
      </c>
      <c r="S1354" t="s">
        <v>38</v>
      </c>
      <c r="T1354" t="s">
        <v>89</v>
      </c>
      <c r="U1354" t="s">
        <v>301</v>
      </c>
      <c r="V1354" t="s">
        <v>270</v>
      </c>
      <c r="W1354" t="s">
        <v>92</v>
      </c>
      <c r="X1354" t="s">
        <v>302</v>
      </c>
      <c r="Y1354" t="s">
        <v>2638</v>
      </c>
      <c r="Z1354" t="s">
        <v>42</v>
      </c>
      <c r="AA1354" t="s">
        <v>38</v>
      </c>
      <c r="AB1354" t="s">
        <v>38</v>
      </c>
      <c r="AC1354" t="s">
        <v>91</v>
      </c>
      <c r="AD1354" t="s">
        <v>48</v>
      </c>
      <c r="AG1354" t="str">
        <f>IF(AD1354="United States", IFERROR(INDEX(Sheet2!$C:$C, MATCH(AE1354&amp;AF1354, Sheet2!$E:$E, 0)) &amp; ", " &amp; INDEX(Sheet2!$D:$D, MATCH(AE1354&amp;AF1354, Sheet2!$E:$E, 0)), ""), "-")</f>
        <v/>
      </c>
    </row>
    <row r="1355" spans="1:33" x14ac:dyDescent="0.25">
      <c r="A1355" t="s">
        <v>1038</v>
      </c>
      <c r="B1355" t="s">
        <v>2639</v>
      </c>
      <c r="C1355" t="s">
        <v>2633</v>
      </c>
      <c r="D1355" t="s">
        <v>445</v>
      </c>
      <c r="E1355" t="s">
        <v>38</v>
      </c>
      <c r="F1355">
        <v>1767</v>
      </c>
      <c r="G1355">
        <v>704</v>
      </c>
      <c r="H1355" t="s">
        <v>38</v>
      </c>
      <c r="I1355" t="s">
        <v>39</v>
      </c>
      <c r="J1355" t="s">
        <v>2635</v>
      </c>
      <c r="K1355" t="s">
        <v>38</v>
      </c>
      <c r="L1355" t="s">
        <v>38</v>
      </c>
      <c r="M1355" t="s">
        <v>38</v>
      </c>
      <c r="N1355" t="s">
        <v>38</v>
      </c>
      <c r="O1355" t="s">
        <v>74</v>
      </c>
      <c r="P1355" t="s">
        <v>42</v>
      </c>
      <c r="Q1355" t="s">
        <v>43</v>
      </c>
      <c r="R1355" t="s">
        <v>38</v>
      </c>
      <c r="S1355" t="s">
        <v>38</v>
      </c>
      <c r="T1355" t="s">
        <v>38</v>
      </c>
      <c r="U1355" t="s">
        <v>38</v>
      </c>
      <c r="V1355" t="s">
        <v>270</v>
      </c>
      <c r="W1355" t="s">
        <v>38</v>
      </c>
      <c r="X1355" t="s">
        <v>38</v>
      </c>
      <c r="Y1355" t="s">
        <v>2640</v>
      </c>
      <c r="Z1355" t="s">
        <v>42</v>
      </c>
      <c r="AA1355" t="s">
        <v>38</v>
      </c>
      <c r="AB1355" t="s">
        <v>38</v>
      </c>
      <c r="AC1355" t="s">
        <v>91</v>
      </c>
      <c r="AD1355" t="s">
        <v>48</v>
      </c>
      <c r="AG1355" t="str">
        <f>IF(AD1355="United States", IFERROR(INDEX(Sheet2!$C:$C, MATCH(AE1355&amp;AF1355, Sheet2!$E:$E, 0)) &amp; ", " &amp; INDEX(Sheet2!$D:$D, MATCH(AE1355&amp;AF1355, Sheet2!$E:$E, 0)), ""), "-")</f>
        <v/>
      </c>
    </row>
    <row r="1356" spans="1:33" x14ac:dyDescent="0.25">
      <c r="A1356" t="s">
        <v>1038</v>
      </c>
      <c r="B1356" t="s">
        <v>2641</v>
      </c>
      <c r="C1356" t="s">
        <v>2633</v>
      </c>
      <c r="D1356" t="s">
        <v>263</v>
      </c>
      <c r="E1356" t="s">
        <v>1654</v>
      </c>
      <c r="F1356">
        <v>1772</v>
      </c>
      <c r="G1356">
        <v>703</v>
      </c>
      <c r="H1356" t="s">
        <v>2634</v>
      </c>
      <c r="I1356" t="s">
        <v>39</v>
      </c>
      <c r="J1356" t="s">
        <v>2635</v>
      </c>
      <c r="K1356" t="s">
        <v>38</v>
      </c>
      <c r="L1356" t="s">
        <v>38</v>
      </c>
      <c r="M1356" t="s">
        <v>38</v>
      </c>
      <c r="N1356" t="s">
        <v>38</v>
      </c>
      <c r="O1356" t="s">
        <v>74</v>
      </c>
      <c r="P1356" t="s">
        <v>42</v>
      </c>
      <c r="Q1356" t="s">
        <v>43</v>
      </c>
      <c r="R1356" t="s">
        <v>89</v>
      </c>
      <c r="S1356" t="s">
        <v>45</v>
      </c>
      <c r="T1356" t="s">
        <v>89</v>
      </c>
      <c r="U1356" t="s">
        <v>301</v>
      </c>
      <c r="V1356" t="s">
        <v>270</v>
      </c>
      <c r="W1356" t="s">
        <v>92</v>
      </c>
      <c r="X1356" t="s">
        <v>302</v>
      </c>
      <c r="Y1356" t="s">
        <v>2642</v>
      </c>
      <c r="Z1356" t="s">
        <v>42</v>
      </c>
      <c r="AA1356" t="s">
        <v>38</v>
      </c>
      <c r="AB1356" t="s">
        <v>38</v>
      </c>
      <c r="AC1356" t="s">
        <v>45</v>
      </c>
      <c r="AD1356" t="s">
        <v>48</v>
      </c>
      <c r="AG1356" t="str">
        <f>IF(AD1356="United States", IFERROR(INDEX(Sheet2!$C:$C, MATCH(AE1356&amp;AF1356, Sheet2!$E:$E, 0)) &amp; ", " &amp; INDEX(Sheet2!$D:$D, MATCH(AE1356&amp;AF1356, Sheet2!$E:$E, 0)), ""), "-")</f>
        <v/>
      </c>
    </row>
    <row r="1357" spans="1:33" x14ac:dyDescent="0.25">
      <c r="A1357" t="s">
        <v>1038</v>
      </c>
      <c r="B1357" t="s">
        <v>2643</v>
      </c>
      <c r="C1357" t="s">
        <v>2644</v>
      </c>
      <c r="D1357" t="s">
        <v>113</v>
      </c>
      <c r="E1357" t="s">
        <v>2645</v>
      </c>
      <c r="F1357">
        <v>1760</v>
      </c>
      <c r="G1357">
        <v>2243</v>
      </c>
      <c r="H1357" t="s">
        <v>86</v>
      </c>
      <c r="I1357" t="s">
        <v>87</v>
      </c>
      <c r="J1357" t="s">
        <v>2646</v>
      </c>
      <c r="K1357" t="s">
        <v>38</v>
      </c>
      <c r="L1357" t="s">
        <v>38</v>
      </c>
      <c r="M1357" t="s">
        <v>38</v>
      </c>
      <c r="N1357" t="s">
        <v>38</v>
      </c>
      <c r="O1357" t="s">
        <v>41</v>
      </c>
      <c r="P1357" t="s">
        <v>42</v>
      </c>
      <c r="Q1357" t="s">
        <v>43</v>
      </c>
      <c r="R1357" t="s">
        <v>89</v>
      </c>
      <c r="S1357" t="s">
        <v>38</v>
      </c>
      <c r="T1357" t="s">
        <v>89</v>
      </c>
      <c r="U1357" t="s">
        <v>301</v>
      </c>
      <c r="V1357" t="s">
        <v>137</v>
      </c>
      <c r="W1357" t="s">
        <v>92</v>
      </c>
      <c r="X1357" t="s">
        <v>302</v>
      </c>
      <c r="Y1357" t="s">
        <v>2647</v>
      </c>
      <c r="Z1357" t="s">
        <v>42</v>
      </c>
      <c r="AA1357" t="s">
        <v>2648</v>
      </c>
      <c r="AB1357" t="s">
        <v>38</v>
      </c>
      <c r="AC1357" t="s">
        <v>60</v>
      </c>
      <c r="AD1357" t="s">
        <v>48</v>
      </c>
      <c r="AG1357" t="str">
        <f>IF(AD1357="United States", IFERROR(INDEX(Sheet2!$C:$C, MATCH(AE1357&amp;AF1357, Sheet2!$E:$E, 0)) &amp; ", " &amp; INDEX(Sheet2!$D:$D, MATCH(AE1357&amp;AF1357, Sheet2!$E:$E, 0)), ""), "-")</f>
        <v/>
      </c>
    </row>
    <row r="1358" spans="1:33" x14ac:dyDescent="0.25">
      <c r="A1358" t="s">
        <v>1038</v>
      </c>
      <c r="B1358" t="s">
        <v>2649</v>
      </c>
      <c r="C1358" t="s">
        <v>2644</v>
      </c>
      <c r="D1358" t="s">
        <v>406</v>
      </c>
      <c r="E1358" t="s">
        <v>2650</v>
      </c>
      <c r="F1358">
        <v>1753</v>
      </c>
      <c r="G1358">
        <v>2242</v>
      </c>
      <c r="H1358" t="s">
        <v>86</v>
      </c>
      <c r="I1358" t="s">
        <v>87</v>
      </c>
      <c r="J1358" t="s">
        <v>2646</v>
      </c>
      <c r="K1358" t="s">
        <v>38</v>
      </c>
      <c r="L1358" t="s">
        <v>38</v>
      </c>
      <c r="M1358" t="s">
        <v>38</v>
      </c>
      <c r="N1358" t="s">
        <v>38</v>
      </c>
      <c r="O1358" t="s">
        <v>41</v>
      </c>
      <c r="P1358" t="s">
        <v>42</v>
      </c>
      <c r="Q1358" t="s">
        <v>43</v>
      </c>
      <c r="R1358" t="s">
        <v>89</v>
      </c>
      <c r="S1358" t="s">
        <v>38</v>
      </c>
      <c r="T1358" t="s">
        <v>89</v>
      </c>
      <c r="U1358" t="s">
        <v>301</v>
      </c>
      <c r="V1358" t="s">
        <v>137</v>
      </c>
      <c r="W1358" t="s">
        <v>92</v>
      </c>
      <c r="X1358" t="s">
        <v>302</v>
      </c>
      <c r="Y1358" t="s">
        <v>2651</v>
      </c>
      <c r="Z1358" t="s">
        <v>42</v>
      </c>
      <c r="AA1358" t="s">
        <v>38</v>
      </c>
      <c r="AB1358" t="s">
        <v>38</v>
      </c>
      <c r="AC1358" t="s">
        <v>38</v>
      </c>
      <c r="AD1358" t="s">
        <v>48</v>
      </c>
      <c r="AG1358" t="str">
        <f>IF(AD1358="United States", IFERROR(INDEX(Sheet2!$C:$C, MATCH(AE1358&amp;AF1358, Sheet2!$E:$E, 0)) &amp; ", " &amp; INDEX(Sheet2!$D:$D, MATCH(AE1358&amp;AF1358, Sheet2!$E:$E, 0)), ""), "-")</f>
        <v/>
      </c>
    </row>
    <row r="1359" spans="1:33" x14ac:dyDescent="0.25">
      <c r="A1359" t="s">
        <v>1038</v>
      </c>
      <c r="B1359" t="s">
        <v>2652</v>
      </c>
      <c r="C1359" t="s">
        <v>2644</v>
      </c>
      <c r="D1359" t="s">
        <v>615</v>
      </c>
      <c r="E1359" t="s">
        <v>2653</v>
      </c>
      <c r="F1359">
        <v>1774</v>
      </c>
      <c r="G1359">
        <v>2241</v>
      </c>
      <c r="H1359" t="s">
        <v>38</v>
      </c>
      <c r="I1359" t="s">
        <v>87</v>
      </c>
      <c r="J1359" t="s">
        <v>2646</v>
      </c>
      <c r="K1359" t="s">
        <v>38</v>
      </c>
      <c r="L1359" t="s">
        <v>38</v>
      </c>
      <c r="M1359" t="s">
        <v>38</v>
      </c>
      <c r="N1359" t="s">
        <v>38</v>
      </c>
      <c r="O1359" t="s">
        <v>74</v>
      </c>
      <c r="P1359" t="s">
        <v>42</v>
      </c>
      <c r="Q1359" t="s">
        <v>43</v>
      </c>
      <c r="R1359" t="s">
        <v>38</v>
      </c>
      <c r="S1359" t="s">
        <v>38</v>
      </c>
      <c r="T1359" t="s">
        <v>38</v>
      </c>
      <c r="U1359" t="s">
        <v>38</v>
      </c>
      <c r="V1359" t="s">
        <v>137</v>
      </c>
      <c r="W1359" t="s">
        <v>38</v>
      </c>
      <c r="X1359" t="s">
        <v>38</v>
      </c>
      <c r="Y1359" t="s">
        <v>2654</v>
      </c>
      <c r="Z1359" t="s">
        <v>42</v>
      </c>
      <c r="AA1359" t="s">
        <v>38</v>
      </c>
      <c r="AB1359" t="s">
        <v>38</v>
      </c>
      <c r="AC1359" t="s">
        <v>38</v>
      </c>
      <c r="AD1359" t="s">
        <v>48</v>
      </c>
      <c r="AG1359" t="str">
        <f>IF(AD1359="United States", IFERROR(INDEX(Sheet2!$C:$C, MATCH(AE1359&amp;AF1359, Sheet2!$E:$E, 0)) &amp; ", " &amp; INDEX(Sheet2!$D:$D, MATCH(AE1359&amp;AF1359, Sheet2!$E:$E, 0)), ""), "-")</f>
        <v/>
      </c>
    </row>
    <row r="1360" spans="1:33" x14ac:dyDescent="0.25">
      <c r="A1360" t="s">
        <v>1038</v>
      </c>
      <c r="B1360" t="s">
        <v>2655</v>
      </c>
      <c r="C1360" t="s">
        <v>2644</v>
      </c>
      <c r="D1360" t="s">
        <v>150</v>
      </c>
      <c r="E1360" t="s">
        <v>38</v>
      </c>
      <c r="F1360">
        <v>1775</v>
      </c>
      <c r="G1360">
        <v>2240</v>
      </c>
      <c r="H1360" t="s">
        <v>86</v>
      </c>
      <c r="I1360" t="s">
        <v>87</v>
      </c>
      <c r="J1360" t="s">
        <v>2646</v>
      </c>
      <c r="K1360" t="s">
        <v>38</v>
      </c>
      <c r="L1360" t="s">
        <v>38</v>
      </c>
      <c r="M1360" t="s">
        <v>38</v>
      </c>
      <c r="N1360" t="s">
        <v>38</v>
      </c>
      <c r="O1360" t="s">
        <v>74</v>
      </c>
      <c r="P1360" t="s">
        <v>42</v>
      </c>
      <c r="Q1360" t="s">
        <v>43</v>
      </c>
      <c r="R1360" t="s">
        <v>89</v>
      </c>
      <c r="S1360" t="s">
        <v>38</v>
      </c>
      <c r="T1360" t="s">
        <v>89</v>
      </c>
      <c r="U1360" t="s">
        <v>301</v>
      </c>
      <c r="V1360" t="s">
        <v>137</v>
      </c>
      <c r="W1360" t="s">
        <v>92</v>
      </c>
      <c r="X1360" t="s">
        <v>302</v>
      </c>
      <c r="Y1360" t="s">
        <v>2656</v>
      </c>
      <c r="Z1360" t="s">
        <v>42</v>
      </c>
      <c r="AA1360" t="s">
        <v>38</v>
      </c>
      <c r="AB1360" t="s">
        <v>38</v>
      </c>
      <c r="AC1360" t="s">
        <v>38</v>
      </c>
      <c r="AD1360" t="s">
        <v>48</v>
      </c>
      <c r="AG1360" t="str">
        <f>IF(AD1360="United States", IFERROR(INDEX(Sheet2!$C:$C, MATCH(AE1360&amp;AF1360, Sheet2!$E:$E, 0)) &amp; ", " &amp; INDEX(Sheet2!$D:$D, MATCH(AE1360&amp;AF1360, Sheet2!$E:$E, 0)), ""), "-")</f>
        <v/>
      </c>
    </row>
    <row r="1361" spans="1:33" x14ac:dyDescent="0.25">
      <c r="A1361" t="s">
        <v>1038</v>
      </c>
      <c r="B1361" t="s">
        <v>2657</v>
      </c>
      <c r="C1361" t="s">
        <v>2644</v>
      </c>
      <c r="D1361" t="s">
        <v>1845</v>
      </c>
      <c r="E1361" t="s">
        <v>2658</v>
      </c>
      <c r="F1361">
        <v>1751</v>
      </c>
      <c r="G1361">
        <v>2239</v>
      </c>
      <c r="H1361" t="s">
        <v>86</v>
      </c>
      <c r="I1361" t="s">
        <v>87</v>
      </c>
      <c r="J1361" t="s">
        <v>2646</v>
      </c>
      <c r="K1361" t="s">
        <v>38</v>
      </c>
      <c r="L1361" t="s">
        <v>38</v>
      </c>
      <c r="M1361" t="s">
        <v>38</v>
      </c>
      <c r="N1361" t="s">
        <v>38</v>
      </c>
      <c r="O1361" t="s">
        <v>57</v>
      </c>
      <c r="P1361" t="s">
        <v>42</v>
      </c>
      <c r="Q1361" t="s">
        <v>43</v>
      </c>
      <c r="R1361" t="s">
        <v>89</v>
      </c>
      <c r="S1361" t="s">
        <v>38</v>
      </c>
      <c r="T1361" t="s">
        <v>89</v>
      </c>
      <c r="U1361" t="s">
        <v>301</v>
      </c>
      <c r="V1361" t="s">
        <v>137</v>
      </c>
      <c r="W1361" t="s">
        <v>92</v>
      </c>
      <c r="X1361" t="s">
        <v>302</v>
      </c>
      <c r="Y1361" t="s">
        <v>2656</v>
      </c>
      <c r="Z1361" t="s">
        <v>42</v>
      </c>
      <c r="AA1361" t="s">
        <v>38</v>
      </c>
      <c r="AB1361" t="s">
        <v>38</v>
      </c>
      <c r="AC1361" t="s">
        <v>38</v>
      </c>
      <c r="AD1361" t="s">
        <v>48</v>
      </c>
      <c r="AG1361" t="str">
        <f>IF(AD1361="United States", IFERROR(INDEX(Sheet2!$C:$C, MATCH(AE1361&amp;AF1361, Sheet2!$E:$E, 0)) &amp; ", " &amp; INDEX(Sheet2!$D:$D, MATCH(AE1361&amp;AF1361, Sheet2!$E:$E, 0)), ""), "-")</f>
        <v/>
      </c>
    </row>
    <row r="1362" spans="1:33" x14ac:dyDescent="0.25">
      <c r="A1362" t="s">
        <v>1230</v>
      </c>
      <c r="B1362" t="s">
        <v>2659</v>
      </c>
      <c r="C1362" t="s">
        <v>2660</v>
      </c>
      <c r="D1362" t="s">
        <v>2661</v>
      </c>
      <c r="E1362" t="s">
        <v>2662</v>
      </c>
      <c r="F1362">
        <v>1769</v>
      </c>
      <c r="G1362">
        <v>306</v>
      </c>
      <c r="H1362" t="s">
        <v>435</v>
      </c>
      <c r="I1362" t="s">
        <v>39</v>
      </c>
      <c r="J1362" t="s">
        <v>2663</v>
      </c>
      <c r="K1362" t="s">
        <v>38</v>
      </c>
      <c r="L1362" t="s">
        <v>38</v>
      </c>
      <c r="M1362" t="s">
        <v>38</v>
      </c>
      <c r="N1362" t="s">
        <v>38</v>
      </c>
      <c r="O1362" t="s">
        <v>54</v>
      </c>
      <c r="P1362" t="s">
        <v>42</v>
      </c>
      <c r="Q1362" t="s">
        <v>43</v>
      </c>
      <c r="R1362" t="s">
        <v>89</v>
      </c>
      <c r="S1362" t="s">
        <v>38</v>
      </c>
      <c r="T1362" t="s">
        <v>89</v>
      </c>
      <c r="U1362" t="s">
        <v>301</v>
      </c>
      <c r="V1362" t="s">
        <v>137</v>
      </c>
      <c r="W1362" t="s">
        <v>92</v>
      </c>
      <c r="X1362" t="s">
        <v>302</v>
      </c>
      <c r="Y1362" t="s">
        <v>2664</v>
      </c>
      <c r="Z1362" t="s">
        <v>42</v>
      </c>
      <c r="AA1362" t="s">
        <v>38</v>
      </c>
      <c r="AB1362" t="s">
        <v>38</v>
      </c>
      <c r="AC1362" t="s">
        <v>38</v>
      </c>
      <c r="AD1362" t="s">
        <v>48</v>
      </c>
      <c r="AG1362" t="str">
        <f>IF(AD1362="United States", IFERROR(INDEX(Sheet2!$C:$C, MATCH(AE1362&amp;AF1362, Sheet2!$E:$E, 0)) &amp; ", " &amp; INDEX(Sheet2!$D:$D, MATCH(AE1362&amp;AF1362, Sheet2!$E:$E, 0)), ""), "-")</f>
        <v/>
      </c>
    </row>
    <row r="1363" spans="1:33" x14ac:dyDescent="0.25">
      <c r="A1363" t="s">
        <v>1230</v>
      </c>
      <c r="B1363" t="s">
        <v>2665</v>
      </c>
      <c r="C1363" t="s">
        <v>2660</v>
      </c>
      <c r="D1363" t="s">
        <v>63</v>
      </c>
      <c r="E1363" t="s">
        <v>1879</v>
      </c>
      <c r="F1363">
        <v>1758</v>
      </c>
      <c r="G1363">
        <v>2689</v>
      </c>
      <c r="I1363" t="s">
        <v>39</v>
      </c>
      <c r="J1363" t="s">
        <v>2663</v>
      </c>
      <c r="O1363" t="s">
        <v>41</v>
      </c>
      <c r="P1363" t="s">
        <v>42</v>
      </c>
      <c r="Q1363" t="s">
        <v>43</v>
      </c>
      <c r="R1363" t="s">
        <v>855</v>
      </c>
      <c r="S1363" t="s">
        <v>45</v>
      </c>
      <c r="V1363" t="s">
        <v>137</v>
      </c>
      <c r="Y1363" t="s">
        <v>2664</v>
      </c>
      <c r="Z1363" t="s">
        <v>42</v>
      </c>
      <c r="AA1363" t="s">
        <v>855</v>
      </c>
      <c r="AB1363" t="s">
        <v>38</v>
      </c>
      <c r="AC1363" t="s">
        <v>45</v>
      </c>
      <c r="AD1363" t="s">
        <v>48</v>
      </c>
      <c r="AG1363" t="str">
        <f>IF(AD1363="United States", IFERROR(INDEX(Sheet2!$C:$C, MATCH(AE1363&amp;AF1363, Sheet2!$E:$E, 0)) &amp; ", " &amp; INDEX(Sheet2!$D:$D, MATCH(AE1363&amp;AF1363, Sheet2!$E:$E, 0)), ""), "-")</f>
        <v/>
      </c>
    </row>
    <row r="1364" spans="1:33" x14ac:dyDescent="0.25">
      <c r="A1364" t="s">
        <v>2666</v>
      </c>
      <c r="B1364" t="s">
        <v>2667</v>
      </c>
      <c r="C1364" t="s">
        <v>2668</v>
      </c>
      <c r="D1364" t="s">
        <v>150</v>
      </c>
      <c r="E1364" t="s">
        <v>1684</v>
      </c>
      <c r="F1364">
        <v>1771</v>
      </c>
      <c r="G1364">
        <v>2175</v>
      </c>
      <c r="H1364" t="s">
        <v>2669</v>
      </c>
      <c r="I1364" t="s">
        <v>87</v>
      </c>
      <c r="J1364" t="s">
        <v>2670</v>
      </c>
      <c r="K1364" t="s">
        <v>38</v>
      </c>
      <c r="L1364" t="s">
        <v>38</v>
      </c>
      <c r="M1364" t="s">
        <v>38</v>
      </c>
      <c r="N1364" t="s">
        <v>38</v>
      </c>
      <c r="O1364" t="s">
        <v>54</v>
      </c>
      <c r="P1364" t="s">
        <v>42</v>
      </c>
      <c r="Q1364" t="s">
        <v>43</v>
      </c>
      <c r="R1364" t="s">
        <v>89</v>
      </c>
      <c r="S1364" t="s">
        <v>38</v>
      </c>
      <c r="T1364" t="s">
        <v>89</v>
      </c>
      <c r="U1364" t="s">
        <v>301</v>
      </c>
      <c r="V1364" t="s">
        <v>91</v>
      </c>
      <c r="W1364" t="s">
        <v>92</v>
      </c>
      <c r="X1364" t="s">
        <v>302</v>
      </c>
      <c r="Y1364" t="s">
        <v>2671</v>
      </c>
      <c r="Z1364" t="s">
        <v>42</v>
      </c>
      <c r="AA1364" t="s">
        <v>38</v>
      </c>
      <c r="AB1364" t="s">
        <v>38</v>
      </c>
      <c r="AC1364" t="s">
        <v>38</v>
      </c>
      <c r="AD1364" t="s">
        <v>48</v>
      </c>
      <c r="AG1364" t="str">
        <f>IF(AD1364="United States", IFERROR(INDEX(Sheet2!$C:$C, MATCH(AE1364&amp;AF1364, Sheet2!$E:$E, 0)) &amp; ", " &amp; INDEX(Sheet2!$D:$D, MATCH(AE1364&amp;AF1364, Sheet2!$E:$E, 0)), ""), "-")</f>
        <v/>
      </c>
    </row>
    <row r="1365" spans="1:33" x14ac:dyDescent="0.25">
      <c r="A1365" t="s">
        <v>2666</v>
      </c>
      <c r="B1365" t="s">
        <v>2672</v>
      </c>
      <c r="C1365" t="s">
        <v>2668</v>
      </c>
      <c r="D1365" t="s">
        <v>63</v>
      </c>
      <c r="E1365" t="s">
        <v>38</v>
      </c>
      <c r="F1365">
        <v>1761</v>
      </c>
      <c r="G1365">
        <v>2174</v>
      </c>
      <c r="H1365" t="s">
        <v>2669</v>
      </c>
      <c r="I1365" t="s">
        <v>87</v>
      </c>
      <c r="J1365" t="s">
        <v>2670</v>
      </c>
      <c r="K1365" t="s">
        <v>38</v>
      </c>
      <c r="L1365" t="s">
        <v>38</v>
      </c>
      <c r="M1365" t="s">
        <v>38</v>
      </c>
      <c r="N1365" t="s">
        <v>38</v>
      </c>
      <c r="O1365" t="s">
        <v>41</v>
      </c>
      <c r="P1365" t="s">
        <v>42</v>
      </c>
      <c r="Q1365" t="s">
        <v>43</v>
      </c>
      <c r="R1365" t="s">
        <v>89</v>
      </c>
      <c r="S1365" t="s">
        <v>38</v>
      </c>
      <c r="T1365" t="s">
        <v>89</v>
      </c>
      <c r="U1365" t="s">
        <v>301</v>
      </c>
      <c r="V1365" t="s">
        <v>91</v>
      </c>
      <c r="W1365" t="s">
        <v>92</v>
      </c>
      <c r="X1365" t="s">
        <v>302</v>
      </c>
      <c r="Y1365" t="s">
        <v>2673</v>
      </c>
      <c r="Z1365" t="s">
        <v>42</v>
      </c>
      <c r="AA1365" t="s">
        <v>38</v>
      </c>
      <c r="AB1365" t="s">
        <v>38</v>
      </c>
      <c r="AC1365" t="s">
        <v>38</v>
      </c>
      <c r="AD1365" t="s">
        <v>48</v>
      </c>
      <c r="AG1365" t="str">
        <f>IF(AD1365="United States", IFERROR(INDEX(Sheet2!$C:$C, MATCH(AE1365&amp;AF1365, Sheet2!$E:$E, 0)) &amp; ", " &amp; INDEX(Sheet2!$D:$D, MATCH(AE1365&amp;AF1365, Sheet2!$E:$E, 0)), ""), "-")</f>
        <v/>
      </c>
    </row>
    <row r="1366" spans="1:33" x14ac:dyDescent="0.25">
      <c r="A1366" t="s">
        <v>2666</v>
      </c>
      <c r="B1366" t="s">
        <v>2674</v>
      </c>
      <c r="C1366" t="s">
        <v>2668</v>
      </c>
      <c r="D1366" t="s">
        <v>1376</v>
      </c>
      <c r="E1366" t="s">
        <v>38</v>
      </c>
      <c r="F1366">
        <v>1770</v>
      </c>
      <c r="G1366">
        <v>2173</v>
      </c>
      <c r="H1366" t="s">
        <v>38</v>
      </c>
      <c r="I1366" t="s">
        <v>87</v>
      </c>
      <c r="J1366" t="s">
        <v>2670</v>
      </c>
      <c r="K1366" t="s">
        <v>38</v>
      </c>
      <c r="L1366" t="s">
        <v>38</v>
      </c>
      <c r="M1366" t="s">
        <v>38</v>
      </c>
      <c r="N1366" t="s">
        <v>38</v>
      </c>
      <c r="O1366" t="s">
        <v>74</v>
      </c>
      <c r="P1366" t="s">
        <v>42</v>
      </c>
      <c r="Q1366" t="s">
        <v>43</v>
      </c>
      <c r="R1366" t="s">
        <v>38</v>
      </c>
      <c r="S1366" t="s">
        <v>38</v>
      </c>
      <c r="T1366" t="s">
        <v>38</v>
      </c>
      <c r="U1366" t="s">
        <v>38</v>
      </c>
      <c r="V1366" t="s">
        <v>91</v>
      </c>
      <c r="W1366" t="s">
        <v>38</v>
      </c>
      <c r="X1366" t="s">
        <v>38</v>
      </c>
      <c r="Y1366" t="s">
        <v>2675</v>
      </c>
      <c r="Z1366" t="s">
        <v>42</v>
      </c>
      <c r="AA1366" t="s">
        <v>38</v>
      </c>
      <c r="AB1366" t="s">
        <v>38</v>
      </c>
      <c r="AC1366" t="s">
        <v>1376</v>
      </c>
      <c r="AD1366" t="s">
        <v>48</v>
      </c>
      <c r="AG1366" t="str">
        <f>IF(AD1366="United States", IFERROR(INDEX(Sheet2!$C:$C, MATCH(AE1366&amp;AF1366, Sheet2!$E:$E, 0)) &amp; ", " &amp; INDEX(Sheet2!$D:$D, MATCH(AE1366&amp;AF1366, Sheet2!$E:$E, 0)), ""), "-")</f>
        <v/>
      </c>
    </row>
    <row r="1367" spans="1:33" x14ac:dyDescent="0.25">
      <c r="A1367" t="s">
        <v>2676</v>
      </c>
      <c r="D1367" t="s">
        <v>2677</v>
      </c>
      <c r="E1367" t="s">
        <v>2678</v>
      </c>
      <c r="F1367">
        <v>1733</v>
      </c>
      <c r="G1367">
        <v>2556</v>
      </c>
      <c r="H1367">
        <v>78</v>
      </c>
      <c r="J1367" t="s">
        <v>2679</v>
      </c>
      <c r="O1367" t="s">
        <v>41</v>
      </c>
      <c r="R1367" t="s">
        <v>89</v>
      </c>
      <c r="T1367" t="s">
        <v>89</v>
      </c>
      <c r="V1367" t="s">
        <v>1619</v>
      </c>
      <c r="W1367" t="s">
        <v>92</v>
      </c>
      <c r="Y1367" t="s">
        <v>38</v>
      </c>
      <c r="AA1367" t="s">
        <v>38</v>
      </c>
      <c r="AB1367" t="s">
        <v>38</v>
      </c>
      <c r="AC1367" t="s">
        <v>38</v>
      </c>
      <c r="AD1367" t="s">
        <v>48</v>
      </c>
      <c r="AG1367" t="str">
        <f>IF(AD1367="United States", IFERROR(INDEX(Sheet2!$C:$C, MATCH(AE1367&amp;AF1367, Sheet2!$E:$E, 0)) &amp; ", " &amp; INDEX(Sheet2!$D:$D, MATCH(AE1367&amp;AF1367, Sheet2!$E:$E, 0)), ""), "-")</f>
        <v/>
      </c>
    </row>
    <row r="1368" spans="1:33" x14ac:dyDescent="0.25">
      <c r="A1368" t="s">
        <v>2676</v>
      </c>
      <c r="B1368" t="s">
        <v>2680</v>
      </c>
      <c r="C1368" t="s">
        <v>2681</v>
      </c>
      <c r="D1368" t="s">
        <v>2682</v>
      </c>
      <c r="E1368" t="s">
        <v>38</v>
      </c>
      <c r="F1368">
        <v>1766</v>
      </c>
      <c r="G1368">
        <v>2564</v>
      </c>
      <c r="H1368" t="s">
        <v>2683</v>
      </c>
      <c r="I1368" t="s">
        <v>87</v>
      </c>
      <c r="J1368" t="s">
        <v>38</v>
      </c>
      <c r="K1368" t="s">
        <v>38</v>
      </c>
      <c r="L1368" t="s">
        <v>38</v>
      </c>
      <c r="M1368" t="s">
        <v>38</v>
      </c>
      <c r="N1368" t="s">
        <v>38</v>
      </c>
      <c r="O1368" t="s">
        <v>74</v>
      </c>
      <c r="P1368" t="s">
        <v>42</v>
      </c>
      <c r="Q1368" t="s">
        <v>43</v>
      </c>
      <c r="R1368" t="s">
        <v>89</v>
      </c>
      <c r="S1368" t="s">
        <v>38</v>
      </c>
      <c r="T1368" t="s">
        <v>89</v>
      </c>
      <c r="U1368" t="s">
        <v>38</v>
      </c>
      <c r="V1368" t="s">
        <v>38</v>
      </c>
      <c r="W1368" t="s">
        <v>92</v>
      </c>
      <c r="X1368" t="s">
        <v>38</v>
      </c>
      <c r="Y1368" t="s">
        <v>2684</v>
      </c>
      <c r="Z1368" t="s">
        <v>42</v>
      </c>
      <c r="AA1368" t="s">
        <v>38</v>
      </c>
      <c r="AB1368" t="s">
        <v>38</v>
      </c>
      <c r="AC1368" t="s">
        <v>38</v>
      </c>
      <c r="AD1368" t="s">
        <v>48</v>
      </c>
      <c r="AG1368" t="str">
        <f>IF(AD1368="United States", IFERROR(INDEX(Sheet2!$C:$C, MATCH(AE1368&amp;AF1368, Sheet2!$E:$E, 0)) &amp; ", " &amp; INDEX(Sheet2!$D:$D, MATCH(AE1368&amp;AF1368, Sheet2!$E:$E, 0)), ""), "-")</f>
        <v/>
      </c>
    </row>
    <row r="1369" spans="1:33" x14ac:dyDescent="0.25">
      <c r="A1369" t="s">
        <v>2676</v>
      </c>
      <c r="B1369" t="s">
        <v>2685</v>
      </c>
      <c r="C1369" t="s">
        <v>2681</v>
      </c>
      <c r="D1369" t="s">
        <v>2682</v>
      </c>
      <c r="E1369" t="s">
        <v>38</v>
      </c>
      <c r="F1369">
        <v>1766</v>
      </c>
      <c r="G1369">
        <v>2565</v>
      </c>
      <c r="H1369" t="s">
        <v>2683</v>
      </c>
      <c r="I1369" t="s">
        <v>87</v>
      </c>
      <c r="J1369" t="s">
        <v>38</v>
      </c>
      <c r="K1369" t="s">
        <v>38</v>
      </c>
      <c r="L1369" t="s">
        <v>38</v>
      </c>
      <c r="M1369" t="s">
        <v>38</v>
      </c>
      <c r="N1369" t="s">
        <v>38</v>
      </c>
      <c r="O1369" t="s">
        <v>74</v>
      </c>
      <c r="P1369" t="s">
        <v>42</v>
      </c>
      <c r="Q1369" t="s">
        <v>43</v>
      </c>
      <c r="R1369" t="s">
        <v>89</v>
      </c>
      <c r="S1369" t="s">
        <v>38</v>
      </c>
      <c r="T1369" t="s">
        <v>89</v>
      </c>
      <c r="U1369" t="s">
        <v>38</v>
      </c>
      <c r="V1369" t="s">
        <v>38</v>
      </c>
      <c r="W1369" t="s">
        <v>92</v>
      </c>
      <c r="X1369" t="s">
        <v>38</v>
      </c>
      <c r="Y1369" t="s">
        <v>2684</v>
      </c>
      <c r="Z1369" t="s">
        <v>42</v>
      </c>
      <c r="AA1369" t="s">
        <v>38</v>
      </c>
      <c r="AB1369" t="s">
        <v>38</v>
      </c>
      <c r="AC1369" t="s">
        <v>38</v>
      </c>
      <c r="AD1369" t="s">
        <v>48</v>
      </c>
      <c r="AG1369" t="str">
        <f>IF(AD1369="United States", IFERROR(INDEX(Sheet2!$C:$C, MATCH(AE1369&amp;AF1369, Sheet2!$E:$E, 0)) &amp; ", " &amp; INDEX(Sheet2!$D:$D, MATCH(AE1369&amp;AF1369, Sheet2!$E:$E, 0)), ""), "-")</f>
        <v/>
      </c>
    </row>
    <row r="1370" spans="1:33" x14ac:dyDescent="0.25">
      <c r="A1370" t="s">
        <v>2676</v>
      </c>
      <c r="B1370" t="s">
        <v>2686</v>
      </c>
      <c r="C1370" t="s">
        <v>2681</v>
      </c>
      <c r="D1370" t="s">
        <v>104</v>
      </c>
      <c r="E1370" t="s">
        <v>38</v>
      </c>
      <c r="F1370">
        <v>1779</v>
      </c>
      <c r="G1370">
        <v>2566</v>
      </c>
      <c r="H1370" t="s">
        <v>2683</v>
      </c>
      <c r="I1370" t="s">
        <v>87</v>
      </c>
      <c r="J1370" t="s">
        <v>38</v>
      </c>
      <c r="K1370" t="s">
        <v>38</v>
      </c>
      <c r="L1370" t="s">
        <v>38</v>
      </c>
      <c r="M1370" t="s">
        <v>38</v>
      </c>
      <c r="N1370" t="s">
        <v>38</v>
      </c>
      <c r="O1370" t="s">
        <v>54</v>
      </c>
      <c r="P1370" t="s">
        <v>42</v>
      </c>
      <c r="Q1370" t="s">
        <v>43</v>
      </c>
      <c r="R1370" t="s">
        <v>89</v>
      </c>
      <c r="S1370" t="s">
        <v>38</v>
      </c>
      <c r="T1370" t="s">
        <v>89</v>
      </c>
      <c r="U1370" t="s">
        <v>38</v>
      </c>
      <c r="V1370" t="s">
        <v>38</v>
      </c>
      <c r="W1370" t="s">
        <v>92</v>
      </c>
      <c r="X1370" t="s">
        <v>38</v>
      </c>
      <c r="Y1370" t="s">
        <v>2684</v>
      </c>
      <c r="Z1370" t="s">
        <v>42</v>
      </c>
      <c r="AA1370" t="s">
        <v>38</v>
      </c>
      <c r="AB1370" t="s">
        <v>38</v>
      </c>
      <c r="AC1370" t="s">
        <v>104</v>
      </c>
      <c r="AD1370" t="s">
        <v>48</v>
      </c>
      <c r="AG1370" t="str">
        <f>IF(AD1370="United States", IFERROR(INDEX(Sheet2!$C:$C, MATCH(AE1370&amp;AF1370, Sheet2!$E:$E, 0)) &amp; ", " &amp; INDEX(Sheet2!$D:$D, MATCH(AE1370&amp;AF1370, Sheet2!$E:$E, 0)), ""), "-")</f>
        <v/>
      </c>
    </row>
    <row r="1371" spans="1:33" x14ac:dyDescent="0.25">
      <c r="A1371" t="s">
        <v>2676</v>
      </c>
      <c r="B1371" t="s">
        <v>2687</v>
      </c>
      <c r="C1371" t="s">
        <v>2681</v>
      </c>
      <c r="D1371" t="s">
        <v>2688</v>
      </c>
      <c r="E1371" t="s">
        <v>2689</v>
      </c>
      <c r="F1371">
        <v>1764</v>
      </c>
      <c r="G1371">
        <v>2567</v>
      </c>
      <c r="H1371" t="s">
        <v>38</v>
      </c>
      <c r="I1371" t="s">
        <v>87</v>
      </c>
      <c r="J1371" t="s">
        <v>38</v>
      </c>
      <c r="K1371" t="s">
        <v>38</v>
      </c>
      <c r="L1371" t="s">
        <v>38</v>
      </c>
      <c r="M1371" t="s">
        <v>38</v>
      </c>
      <c r="N1371" t="s">
        <v>38</v>
      </c>
      <c r="O1371" t="s">
        <v>41</v>
      </c>
      <c r="P1371" t="s">
        <v>42</v>
      </c>
      <c r="Q1371" t="s">
        <v>43</v>
      </c>
      <c r="R1371" t="s">
        <v>38</v>
      </c>
      <c r="S1371" t="s">
        <v>38</v>
      </c>
      <c r="T1371" t="s">
        <v>38</v>
      </c>
      <c r="U1371" t="s">
        <v>38</v>
      </c>
      <c r="V1371" t="s">
        <v>38</v>
      </c>
      <c r="W1371" t="s">
        <v>38</v>
      </c>
      <c r="X1371" t="s">
        <v>38</v>
      </c>
      <c r="Y1371" t="s">
        <v>38</v>
      </c>
      <c r="Z1371" t="s">
        <v>42</v>
      </c>
      <c r="AA1371" t="s">
        <v>38</v>
      </c>
      <c r="AB1371" t="s">
        <v>38</v>
      </c>
      <c r="AC1371" t="s">
        <v>38</v>
      </c>
      <c r="AD1371" t="s">
        <v>48</v>
      </c>
      <c r="AG1371" t="str">
        <f>IF(AD1371="United States", IFERROR(INDEX(Sheet2!$C:$C, MATCH(AE1371&amp;AF1371, Sheet2!$E:$E, 0)) &amp; ", " &amp; INDEX(Sheet2!$D:$D, MATCH(AE1371&amp;AF1371, Sheet2!$E:$E, 0)), ""), "-")</f>
        <v/>
      </c>
    </row>
    <row r="1372" spans="1:33" x14ac:dyDescent="0.25">
      <c r="A1372" t="s">
        <v>2676</v>
      </c>
      <c r="B1372" t="s">
        <v>2690</v>
      </c>
      <c r="C1372" t="s">
        <v>2681</v>
      </c>
      <c r="D1372" t="s">
        <v>2691</v>
      </c>
      <c r="E1372" t="s">
        <v>2692</v>
      </c>
      <c r="F1372">
        <v>1733</v>
      </c>
      <c r="G1372">
        <v>2561</v>
      </c>
      <c r="H1372" t="s">
        <v>2683</v>
      </c>
      <c r="I1372" t="s">
        <v>87</v>
      </c>
      <c r="J1372" t="s">
        <v>38</v>
      </c>
      <c r="K1372" t="s">
        <v>38</v>
      </c>
      <c r="L1372" t="s">
        <v>38</v>
      </c>
      <c r="M1372" t="s">
        <v>38</v>
      </c>
      <c r="N1372" t="s">
        <v>38</v>
      </c>
      <c r="O1372" t="s">
        <v>41</v>
      </c>
      <c r="P1372" t="s">
        <v>42</v>
      </c>
      <c r="Q1372" t="s">
        <v>43</v>
      </c>
      <c r="R1372" t="s">
        <v>89</v>
      </c>
      <c r="S1372" t="s">
        <v>153</v>
      </c>
      <c r="T1372" t="s">
        <v>89</v>
      </c>
      <c r="U1372" t="s">
        <v>38</v>
      </c>
      <c r="V1372" t="s">
        <v>38</v>
      </c>
      <c r="W1372" t="s">
        <v>92</v>
      </c>
      <c r="X1372" t="s">
        <v>38</v>
      </c>
      <c r="Y1372" t="s">
        <v>2684</v>
      </c>
      <c r="Z1372" t="s">
        <v>42</v>
      </c>
      <c r="AA1372" t="s">
        <v>2693</v>
      </c>
      <c r="AB1372" t="s">
        <v>38</v>
      </c>
      <c r="AC1372" t="s">
        <v>153</v>
      </c>
      <c r="AD1372" t="s">
        <v>48</v>
      </c>
      <c r="AG1372" t="str">
        <f>IF(AD1372="United States", IFERROR(INDEX(Sheet2!$C:$C, MATCH(AE1372&amp;AF1372, Sheet2!$E:$E, 0)) &amp; ", " &amp; INDEX(Sheet2!$D:$D, MATCH(AE1372&amp;AF1372, Sheet2!$E:$E, 0)), ""), "-")</f>
        <v/>
      </c>
    </row>
    <row r="1373" spans="1:33" x14ac:dyDescent="0.25">
      <c r="A1373" t="s">
        <v>2676</v>
      </c>
      <c r="B1373" t="s">
        <v>2694</v>
      </c>
      <c r="C1373" t="s">
        <v>2681</v>
      </c>
      <c r="D1373" t="s">
        <v>195</v>
      </c>
      <c r="E1373" t="s">
        <v>1439</v>
      </c>
      <c r="F1373">
        <v>1726</v>
      </c>
      <c r="G1373">
        <v>2562</v>
      </c>
      <c r="H1373" t="s">
        <v>2683</v>
      </c>
      <c r="I1373" t="s">
        <v>87</v>
      </c>
      <c r="J1373" t="s">
        <v>38</v>
      </c>
      <c r="K1373" t="s">
        <v>38</v>
      </c>
      <c r="L1373" t="s">
        <v>38</v>
      </c>
      <c r="M1373" t="s">
        <v>38</v>
      </c>
      <c r="N1373" t="s">
        <v>38</v>
      </c>
      <c r="O1373" t="s">
        <v>41</v>
      </c>
      <c r="P1373" t="s">
        <v>42</v>
      </c>
      <c r="Q1373" t="s">
        <v>43</v>
      </c>
      <c r="R1373" t="s">
        <v>89</v>
      </c>
      <c r="S1373" t="s">
        <v>153</v>
      </c>
      <c r="T1373" t="s">
        <v>89</v>
      </c>
      <c r="U1373" t="s">
        <v>38</v>
      </c>
      <c r="V1373" t="s">
        <v>38</v>
      </c>
      <c r="W1373" t="s">
        <v>92</v>
      </c>
      <c r="X1373" t="s">
        <v>38</v>
      </c>
      <c r="Y1373" t="s">
        <v>2684</v>
      </c>
      <c r="Z1373" t="s">
        <v>42</v>
      </c>
      <c r="AA1373" t="s">
        <v>548</v>
      </c>
      <c r="AB1373" t="s">
        <v>38</v>
      </c>
      <c r="AC1373" t="s">
        <v>153</v>
      </c>
      <c r="AD1373" t="s">
        <v>48</v>
      </c>
      <c r="AG1373" t="str">
        <f>IF(AD1373="United States", IFERROR(INDEX(Sheet2!$C:$C, MATCH(AE1373&amp;AF1373, Sheet2!$E:$E, 0)) &amp; ", " &amp; INDEX(Sheet2!$D:$D, MATCH(AE1373&amp;AF1373, Sheet2!$E:$E, 0)), ""), "-")</f>
        <v/>
      </c>
    </row>
    <row r="1374" spans="1:33" x14ac:dyDescent="0.25">
      <c r="A1374" t="s">
        <v>2676</v>
      </c>
      <c r="B1374" t="s">
        <v>2695</v>
      </c>
      <c r="C1374" t="s">
        <v>2681</v>
      </c>
      <c r="D1374" t="s">
        <v>1174</v>
      </c>
      <c r="E1374" t="s">
        <v>38</v>
      </c>
      <c r="F1374">
        <v>1773</v>
      </c>
      <c r="G1374">
        <v>2563</v>
      </c>
      <c r="H1374" t="s">
        <v>2683</v>
      </c>
      <c r="I1374" t="s">
        <v>87</v>
      </c>
      <c r="J1374" t="s">
        <v>38</v>
      </c>
      <c r="K1374" t="s">
        <v>38</v>
      </c>
      <c r="L1374" t="s">
        <v>38</v>
      </c>
      <c r="M1374" t="s">
        <v>38</v>
      </c>
      <c r="N1374" t="s">
        <v>38</v>
      </c>
      <c r="O1374" t="s">
        <v>54</v>
      </c>
      <c r="P1374" t="s">
        <v>42</v>
      </c>
      <c r="Q1374" t="s">
        <v>43</v>
      </c>
      <c r="R1374" t="s">
        <v>89</v>
      </c>
      <c r="S1374" t="s">
        <v>38</v>
      </c>
      <c r="T1374" t="s">
        <v>89</v>
      </c>
      <c r="U1374" t="s">
        <v>38</v>
      </c>
      <c r="V1374" t="s">
        <v>38</v>
      </c>
      <c r="W1374" t="s">
        <v>92</v>
      </c>
      <c r="X1374" t="s">
        <v>38</v>
      </c>
      <c r="Y1374" t="s">
        <v>2684</v>
      </c>
      <c r="Z1374" t="s">
        <v>42</v>
      </c>
      <c r="AA1374" t="s">
        <v>38</v>
      </c>
      <c r="AB1374" t="s">
        <v>38</v>
      </c>
      <c r="AC1374" t="s">
        <v>38</v>
      </c>
      <c r="AD1374" t="s">
        <v>48</v>
      </c>
      <c r="AG1374" t="str">
        <f>IF(AD1374="United States", IFERROR(INDEX(Sheet2!$C:$C, MATCH(AE1374&amp;AF1374, Sheet2!$E:$E, 0)) &amp; ", " &amp; INDEX(Sheet2!$D:$D, MATCH(AE1374&amp;AF1374, Sheet2!$E:$E, 0)), ""), "-")</f>
        <v/>
      </c>
    </row>
    <row r="1375" spans="1:33" x14ac:dyDescent="0.25">
      <c r="A1375" t="s">
        <v>2696</v>
      </c>
      <c r="D1375" t="s">
        <v>2697</v>
      </c>
      <c r="E1375" t="s">
        <v>38</v>
      </c>
      <c r="F1375">
        <v>1723</v>
      </c>
      <c r="G1375">
        <v>2003</v>
      </c>
      <c r="H1375">
        <v>65</v>
      </c>
      <c r="J1375" t="s">
        <v>2698</v>
      </c>
      <c r="O1375" t="s">
        <v>41</v>
      </c>
      <c r="R1375" t="s">
        <v>89</v>
      </c>
      <c r="T1375" t="s">
        <v>89</v>
      </c>
      <c r="W1375" t="s">
        <v>92</v>
      </c>
      <c r="Y1375" t="s">
        <v>38</v>
      </c>
      <c r="AA1375" t="s">
        <v>38</v>
      </c>
      <c r="AB1375" t="s">
        <v>38</v>
      </c>
      <c r="AC1375" t="s">
        <v>38</v>
      </c>
      <c r="AD1375" t="s">
        <v>48</v>
      </c>
      <c r="AG1375" t="str">
        <f>IF(AD1375="United States", IFERROR(INDEX(Sheet2!$C:$C, MATCH(AE1375&amp;AF1375, Sheet2!$E:$E, 0)) &amp; ", " &amp; INDEX(Sheet2!$D:$D, MATCH(AE1375&amp;AF1375, Sheet2!$E:$E, 0)), ""), "-")</f>
        <v/>
      </c>
    </row>
    <row r="1376" spans="1:33" x14ac:dyDescent="0.25">
      <c r="A1376" t="s">
        <v>2696</v>
      </c>
      <c r="D1376" t="s">
        <v>720</v>
      </c>
      <c r="E1376" t="s">
        <v>38</v>
      </c>
      <c r="F1376">
        <v>1758</v>
      </c>
      <c r="G1376">
        <v>2004</v>
      </c>
      <c r="H1376">
        <v>65</v>
      </c>
      <c r="J1376" t="s">
        <v>2698</v>
      </c>
      <c r="O1376" t="s">
        <v>41</v>
      </c>
      <c r="R1376" t="s">
        <v>89</v>
      </c>
      <c r="T1376" t="s">
        <v>89</v>
      </c>
      <c r="W1376" t="s">
        <v>92</v>
      </c>
      <c r="Y1376" t="s">
        <v>38</v>
      </c>
      <c r="AA1376" t="s">
        <v>38</v>
      </c>
      <c r="AB1376" t="s">
        <v>38</v>
      </c>
      <c r="AC1376" t="s">
        <v>38</v>
      </c>
      <c r="AD1376" t="s">
        <v>48</v>
      </c>
      <c r="AG1376" t="str">
        <f>IF(AD1376="United States", IFERROR(INDEX(Sheet2!$C:$C, MATCH(AE1376&amp;AF1376, Sheet2!$E:$E, 0)) &amp; ", " &amp; INDEX(Sheet2!$D:$D, MATCH(AE1376&amp;AF1376, Sheet2!$E:$E, 0)), ""), "-")</f>
        <v/>
      </c>
    </row>
    <row r="1377" spans="1:33" x14ac:dyDescent="0.25">
      <c r="A1377" t="s">
        <v>2696</v>
      </c>
      <c r="D1377" t="s">
        <v>807</v>
      </c>
      <c r="E1377" t="s">
        <v>38</v>
      </c>
      <c r="F1377">
        <v>1735</v>
      </c>
      <c r="G1377">
        <v>2002</v>
      </c>
      <c r="H1377">
        <v>65</v>
      </c>
      <c r="J1377" t="s">
        <v>2698</v>
      </c>
      <c r="O1377" t="s">
        <v>41</v>
      </c>
      <c r="R1377" t="s">
        <v>89</v>
      </c>
      <c r="T1377" t="s">
        <v>89</v>
      </c>
      <c r="W1377" t="s">
        <v>92</v>
      </c>
      <c r="Y1377" t="s">
        <v>38</v>
      </c>
      <c r="AA1377" t="s">
        <v>38</v>
      </c>
      <c r="AB1377" t="s">
        <v>38</v>
      </c>
      <c r="AC1377" t="s">
        <v>38</v>
      </c>
      <c r="AD1377" t="s">
        <v>48</v>
      </c>
      <c r="AG1377" t="str">
        <f>IF(AD1377="United States", IFERROR(INDEX(Sheet2!$C:$C, MATCH(AE1377&amp;AF1377, Sheet2!$E:$E, 0)) &amp; ", " &amp; INDEX(Sheet2!$D:$D, MATCH(AE1377&amp;AF1377, Sheet2!$E:$E, 0)), ""), "-")</f>
        <v/>
      </c>
    </row>
    <row r="1378" spans="1:33" x14ac:dyDescent="0.25">
      <c r="A1378" t="s">
        <v>463</v>
      </c>
      <c r="B1378" t="s">
        <v>2699</v>
      </c>
      <c r="C1378" t="s">
        <v>2700</v>
      </c>
      <c r="D1378" t="s">
        <v>650</v>
      </c>
      <c r="E1378" t="s">
        <v>38</v>
      </c>
      <c r="F1378">
        <v>1757</v>
      </c>
      <c r="G1378">
        <v>816</v>
      </c>
      <c r="H1378" t="s">
        <v>269</v>
      </c>
      <c r="I1378" t="s">
        <v>39</v>
      </c>
      <c r="J1378" t="s">
        <v>2701</v>
      </c>
      <c r="K1378" t="s">
        <v>38</v>
      </c>
      <c r="L1378" t="s">
        <v>38</v>
      </c>
      <c r="M1378" t="s">
        <v>38</v>
      </c>
      <c r="N1378" t="s">
        <v>38</v>
      </c>
      <c r="O1378" t="s">
        <v>57</v>
      </c>
      <c r="P1378" t="s">
        <v>42</v>
      </c>
      <c r="Q1378" t="s">
        <v>43</v>
      </c>
      <c r="R1378" t="s">
        <v>89</v>
      </c>
      <c r="S1378" t="s">
        <v>38</v>
      </c>
      <c r="T1378" t="s">
        <v>89</v>
      </c>
      <c r="U1378" t="s">
        <v>301</v>
      </c>
      <c r="V1378" t="s">
        <v>270</v>
      </c>
      <c r="W1378" t="s">
        <v>92</v>
      </c>
      <c r="X1378" t="s">
        <v>302</v>
      </c>
      <c r="Y1378" t="s">
        <v>2702</v>
      </c>
      <c r="Z1378" t="s">
        <v>42</v>
      </c>
      <c r="AA1378" t="s">
        <v>38</v>
      </c>
      <c r="AB1378" t="s">
        <v>38</v>
      </c>
      <c r="AC1378" t="s">
        <v>38</v>
      </c>
      <c r="AD1378" t="s">
        <v>48</v>
      </c>
      <c r="AG1378" t="str">
        <f>IF(AD1378="United States", IFERROR(INDEX(Sheet2!$C:$C, MATCH(AE1378&amp;AF1378, Sheet2!$E:$E, 0)) &amp; ", " &amp; INDEX(Sheet2!$D:$D, MATCH(AE1378&amp;AF1378, Sheet2!$E:$E, 0)), ""), "-")</f>
        <v/>
      </c>
    </row>
    <row r="1379" spans="1:33" x14ac:dyDescent="0.25">
      <c r="A1379" t="s">
        <v>463</v>
      </c>
      <c r="B1379" t="s">
        <v>2703</v>
      </c>
      <c r="C1379" t="s">
        <v>2704</v>
      </c>
      <c r="D1379" t="s">
        <v>803</v>
      </c>
      <c r="E1379" t="s">
        <v>2705</v>
      </c>
      <c r="F1379">
        <v>1764</v>
      </c>
      <c r="G1379">
        <v>2512</v>
      </c>
      <c r="H1379" t="s">
        <v>2706</v>
      </c>
      <c r="I1379" t="s">
        <v>87</v>
      </c>
      <c r="J1379" t="s">
        <v>2707</v>
      </c>
      <c r="K1379" t="s">
        <v>38</v>
      </c>
      <c r="L1379" t="s">
        <v>38</v>
      </c>
      <c r="M1379" t="s">
        <v>38</v>
      </c>
      <c r="N1379" t="s">
        <v>38</v>
      </c>
      <c r="O1379" t="s">
        <v>57</v>
      </c>
      <c r="P1379" t="s">
        <v>42</v>
      </c>
      <c r="Q1379" t="s">
        <v>43</v>
      </c>
      <c r="R1379" t="s">
        <v>89</v>
      </c>
      <c r="S1379" t="s">
        <v>153</v>
      </c>
      <c r="T1379" t="s">
        <v>89</v>
      </c>
      <c r="U1379" t="s">
        <v>301</v>
      </c>
      <c r="V1379" t="s">
        <v>740</v>
      </c>
      <c r="W1379" t="s">
        <v>92</v>
      </c>
      <c r="X1379" t="s">
        <v>302</v>
      </c>
      <c r="Y1379" t="s">
        <v>2708</v>
      </c>
      <c r="Z1379" t="s">
        <v>42</v>
      </c>
      <c r="AA1379" t="s">
        <v>155</v>
      </c>
      <c r="AB1379" t="s">
        <v>38</v>
      </c>
      <c r="AC1379" t="s">
        <v>153</v>
      </c>
      <c r="AD1379" t="s">
        <v>48</v>
      </c>
      <c r="AG1379" t="str">
        <f>IF(AD1379="United States", IFERROR(INDEX(Sheet2!$C:$C, MATCH(AE1379&amp;AF1379, Sheet2!$E:$E, 0)) &amp; ", " &amp; INDEX(Sheet2!$D:$D, MATCH(AE1379&amp;AF1379, Sheet2!$E:$E, 0)), ""), "-")</f>
        <v/>
      </c>
    </row>
    <row r="1380" spans="1:33" x14ac:dyDescent="0.25">
      <c r="A1380" t="s">
        <v>463</v>
      </c>
      <c r="B1380" t="s">
        <v>2709</v>
      </c>
      <c r="C1380" t="s">
        <v>2704</v>
      </c>
      <c r="D1380" t="s">
        <v>621</v>
      </c>
      <c r="E1380" t="s">
        <v>38</v>
      </c>
      <c r="F1380">
        <v>1755</v>
      </c>
      <c r="G1380">
        <v>2513</v>
      </c>
      <c r="H1380" t="s">
        <v>2179</v>
      </c>
      <c r="I1380" t="s">
        <v>87</v>
      </c>
      <c r="J1380" t="s">
        <v>2707</v>
      </c>
      <c r="K1380" t="s">
        <v>38</v>
      </c>
      <c r="L1380" t="s">
        <v>38</v>
      </c>
      <c r="M1380" t="s">
        <v>38</v>
      </c>
      <c r="N1380" t="s">
        <v>38</v>
      </c>
      <c r="O1380" t="s">
        <v>41</v>
      </c>
      <c r="P1380" t="s">
        <v>42</v>
      </c>
      <c r="Q1380" t="s">
        <v>43</v>
      </c>
      <c r="R1380" t="s">
        <v>89</v>
      </c>
      <c r="S1380" t="s">
        <v>38</v>
      </c>
      <c r="T1380" t="s">
        <v>89</v>
      </c>
      <c r="U1380" t="s">
        <v>301</v>
      </c>
      <c r="V1380" t="s">
        <v>740</v>
      </c>
      <c r="W1380" t="s">
        <v>92</v>
      </c>
      <c r="X1380" t="s">
        <v>302</v>
      </c>
      <c r="Y1380" t="s">
        <v>2710</v>
      </c>
      <c r="Z1380" t="s">
        <v>42</v>
      </c>
      <c r="AA1380" t="s">
        <v>166</v>
      </c>
      <c r="AB1380" t="s">
        <v>38</v>
      </c>
      <c r="AC1380" t="s">
        <v>2711</v>
      </c>
      <c r="AD1380" t="s">
        <v>48</v>
      </c>
      <c r="AG1380" t="str">
        <f>IF(AD1380="United States", IFERROR(INDEX(Sheet2!$C:$C, MATCH(AE1380&amp;AF1380, Sheet2!$E:$E, 0)) &amp; ", " &amp; INDEX(Sheet2!$D:$D, MATCH(AE1380&amp;AF1380, Sheet2!$E:$E, 0)), ""), "-")</f>
        <v/>
      </c>
    </row>
    <row r="1381" spans="1:33" x14ac:dyDescent="0.25">
      <c r="A1381" t="s">
        <v>463</v>
      </c>
      <c r="B1381" t="s">
        <v>2712</v>
      </c>
      <c r="C1381" t="s">
        <v>2704</v>
      </c>
      <c r="D1381" t="s">
        <v>352</v>
      </c>
      <c r="E1381" t="s">
        <v>38</v>
      </c>
      <c r="F1381">
        <v>1763</v>
      </c>
      <c r="G1381">
        <v>2514</v>
      </c>
      <c r="H1381" t="s">
        <v>269</v>
      </c>
      <c r="I1381" t="s">
        <v>87</v>
      </c>
      <c r="J1381" t="s">
        <v>2707</v>
      </c>
      <c r="K1381" t="s">
        <v>38</v>
      </c>
      <c r="L1381" t="s">
        <v>38</v>
      </c>
      <c r="M1381" t="s">
        <v>38</v>
      </c>
      <c r="N1381" t="s">
        <v>38</v>
      </c>
      <c r="O1381" t="s">
        <v>57</v>
      </c>
      <c r="P1381" t="s">
        <v>42</v>
      </c>
      <c r="Q1381" t="s">
        <v>43</v>
      </c>
      <c r="R1381" t="s">
        <v>89</v>
      </c>
      <c r="S1381" t="s">
        <v>38</v>
      </c>
      <c r="T1381" t="s">
        <v>89</v>
      </c>
      <c r="U1381" t="s">
        <v>301</v>
      </c>
      <c r="V1381" t="s">
        <v>740</v>
      </c>
      <c r="W1381" t="s">
        <v>92</v>
      </c>
      <c r="X1381" t="s">
        <v>302</v>
      </c>
      <c r="Y1381" t="s">
        <v>2710</v>
      </c>
      <c r="Z1381" t="s">
        <v>42</v>
      </c>
      <c r="AA1381" t="s">
        <v>155</v>
      </c>
      <c r="AB1381" t="s">
        <v>38</v>
      </c>
      <c r="AC1381" t="s">
        <v>2711</v>
      </c>
      <c r="AD1381" t="s">
        <v>48</v>
      </c>
      <c r="AG1381" t="str">
        <f>IF(AD1381="United States", IFERROR(INDEX(Sheet2!$C:$C, MATCH(AE1381&amp;AF1381, Sheet2!$E:$E, 0)) &amp; ", " &amp; INDEX(Sheet2!$D:$D, MATCH(AE1381&amp;AF1381, Sheet2!$E:$E, 0)), ""), "-")</f>
        <v/>
      </c>
    </row>
    <row r="1382" spans="1:33" x14ac:dyDescent="0.25">
      <c r="A1382" t="s">
        <v>463</v>
      </c>
      <c r="B1382" t="s">
        <v>2713</v>
      </c>
      <c r="C1382" t="s">
        <v>2704</v>
      </c>
      <c r="D1382" t="s">
        <v>1164</v>
      </c>
      <c r="E1382" t="s">
        <v>793</v>
      </c>
      <c r="F1382">
        <v>1760</v>
      </c>
      <c r="G1382">
        <v>2515</v>
      </c>
      <c r="H1382" t="s">
        <v>536</v>
      </c>
      <c r="I1382" t="s">
        <v>87</v>
      </c>
      <c r="J1382" t="s">
        <v>2707</v>
      </c>
      <c r="K1382" t="s">
        <v>38</v>
      </c>
      <c r="L1382" t="s">
        <v>38</v>
      </c>
      <c r="M1382" t="s">
        <v>38</v>
      </c>
      <c r="N1382" t="s">
        <v>38</v>
      </c>
      <c r="O1382" t="s">
        <v>57</v>
      </c>
      <c r="P1382" t="s">
        <v>42</v>
      </c>
      <c r="Q1382" t="s">
        <v>124</v>
      </c>
      <c r="R1382" t="s">
        <v>89</v>
      </c>
      <c r="S1382" t="s">
        <v>153</v>
      </c>
      <c r="T1382" t="s">
        <v>89</v>
      </c>
      <c r="U1382" t="s">
        <v>301</v>
      </c>
      <c r="V1382" t="s">
        <v>740</v>
      </c>
      <c r="W1382" t="s">
        <v>92</v>
      </c>
      <c r="X1382" t="s">
        <v>302</v>
      </c>
      <c r="Y1382" t="s">
        <v>2714</v>
      </c>
      <c r="Z1382" t="s">
        <v>42</v>
      </c>
      <c r="AA1382" t="s">
        <v>2715</v>
      </c>
      <c r="AB1382" t="s">
        <v>38</v>
      </c>
      <c r="AC1382" t="s">
        <v>153</v>
      </c>
      <c r="AD1382" t="s">
        <v>48</v>
      </c>
      <c r="AG1382" t="str">
        <f>IF(AD1382="United States", IFERROR(INDEX(Sheet2!$C:$C, MATCH(AE1382&amp;AF1382, Sheet2!$E:$E, 0)) &amp; ", " &amp; INDEX(Sheet2!$D:$D, MATCH(AE1382&amp;AF1382, Sheet2!$E:$E, 0)), ""), "-")</f>
        <v/>
      </c>
    </row>
    <row r="1383" spans="1:33" x14ac:dyDescent="0.25">
      <c r="A1383" t="s">
        <v>463</v>
      </c>
      <c r="B1383" t="s">
        <v>2716</v>
      </c>
      <c r="C1383" t="s">
        <v>2704</v>
      </c>
      <c r="D1383" t="s">
        <v>2717</v>
      </c>
      <c r="E1383" t="s">
        <v>1084</v>
      </c>
      <c r="F1383">
        <v>1753</v>
      </c>
      <c r="G1383">
        <v>2516</v>
      </c>
      <c r="H1383" t="s">
        <v>2706</v>
      </c>
      <c r="I1383" t="s">
        <v>87</v>
      </c>
      <c r="J1383" t="s">
        <v>2707</v>
      </c>
      <c r="K1383" t="s">
        <v>38</v>
      </c>
      <c r="L1383" t="s">
        <v>38</v>
      </c>
      <c r="M1383" t="s">
        <v>38</v>
      </c>
      <c r="N1383" t="s">
        <v>38</v>
      </c>
      <c r="O1383" t="s">
        <v>57</v>
      </c>
      <c r="P1383" t="s">
        <v>42</v>
      </c>
      <c r="Q1383" t="s">
        <v>43</v>
      </c>
      <c r="R1383" t="s">
        <v>89</v>
      </c>
      <c r="S1383" t="s">
        <v>89</v>
      </c>
      <c r="T1383" t="s">
        <v>89</v>
      </c>
      <c r="U1383" t="s">
        <v>301</v>
      </c>
      <c r="V1383" t="s">
        <v>740</v>
      </c>
      <c r="W1383" t="s">
        <v>92</v>
      </c>
      <c r="X1383" t="s">
        <v>302</v>
      </c>
      <c r="Y1383" t="s">
        <v>2708</v>
      </c>
      <c r="Z1383" t="s">
        <v>42</v>
      </c>
      <c r="AA1383" t="s">
        <v>38</v>
      </c>
      <c r="AB1383" t="s">
        <v>38</v>
      </c>
      <c r="AC1383" t="s">
        <v>89</v>
      </c>
      <c r="AD1383" t="s">
        <v>48</v>
      </c>
      <c r="AG1383" t="str">
        <f>IF(AD1383="United States", IFERROR(INDEX(Sheet2!$C:$C, MATCH(AE1383&amp;AF1383, Sheet2!$E:$E, 0)) &amp; ", " &amp; INDEX(Sheet2!$D:$D, MATCH(AE1383&amp;AF1383, Sheet2!$E:$E, 0)), ""), "-")</f>
        <v/>
      </c>
    </row>
    <row r="1384" spans="1:33" x14ac:dyDescent="0.25">
      <c r="A1384" t="s">
        <v>463</v>
      </c>
      <c r="B1384" t="s">
        <v>2718</v>
      </c>
      <c r="C1384" t="s">
        <v>2719</v>
      </c>
      <c r="D1384" t="s">
        <v>245</v>
      </c>
      <c r="E1384" t="s">
        <v>38</v>
      </c>
      <c r="F1384">
        <v>1772</v>
      </c>
      <c r="G1384">
        <v>2222</v>
      </c>
      <c r="H1384" t="s">
        <v>2600</v>
      </c>
      <c r="I1384" t="s">
        <v>87</v>
      </c>
      <c r="J1384" t="s">
        <v>38</v>
      </c>
      <c r="K1384" t="s">
        <v>38</v>
      </c>
      <c r="L1384" t="s">
        <v>38</v>
      </c>
      <c r="M1384" t="s">
        <v>38</v>
      </c>
      <c r="N1384" t="s">
        <v>38</v>
      </c>
      <c r="O1384" t="s">
        <v>54</v>
      </c>
      <c r="P1384" t="s">
        <v>42</v>
      </c>
      <c r="Q1384" t="s">
        <v>43</v>
      </c>
      <c r="R1384" t="s">
        <v>89</v>
      </c>
      <c r="S1384" t="s">
        <v>38</v>
      </c>
      <c r="T1384" t="s">
        <v>89</v>
      </c>
      <c r="U1384" t="s">
        <v>301</v>
      </c>
      <c r="V1384" t="s">
        <v>38</v>
      </c>
      <c r="W1384" t="s">
        <v>92</v>
      </c>
      <c r="X1384" t="s">
        <v>302</v>
      </c>
      <c r="Y1384" t="s">
        <v>2720</v>
      </c>
      <c r="Z1384" t="s">
        <v>42</v>
      </c>
      <c r="AA1384" t="s">
        <v>38</v>
      </c>
      <c r="AB1384" t="s">
        <v>38</v>
      </c>
      <c r="AC1384" t="s">
        <v>2721</v>
      </c>
      <c r="AD1384" t="s">
        <v>48</v>
      </c>
      <c r="AG1384" t="str">
        <f>IF(AD1384="United States", IFERROR(INDEX(Sheet2!$C:$C, MATCH(AE1384&amp;AF1384, Sheet2!$E:$E, 0)) &amp; ", " &amp; INDEX(Sheet2!$D:$D, MATCH(AE1384&amp;AF1384, Sheet2!$E:$E, 0)), ""), "-")</f>
        <v/>
      </c>
    </row>
    <row r="1385" spans="1:33" x14ac:dyDescent="0.25">
      <c r="A1385" t="s">
        <v>463</v>
      </c>
      <c r="B1385" t="s">
        <v>2722</v>
      </c>
      <c r="C1385" t="s">
        <v>2704</v>
      </c>
      <c r="D1385" t="s">
        <v>1140</v>
      </c>
      <c r="E1385" t="s">
        <v>38</v>
      </c>
      <c r="F1385">
        <v>1770</v>
      </c>
      <c r="G1385">
        <v>2517</v>
      </c>
      <c r="H1385" t="s">
        <v>2706</v>
      </c>
      <c r="I1385" t="s">
        <v>87</v>
      </c>
      <c r="J1385" t="s">
        <v>2707</v>
      </c>
      <c r="K1385" t="s">
        <v>38</v>
      </c>
      <c r="L1385" t="s">
        <v>38</v>
      </c>
      <c r="M1385" t="s">
        <v>38</v>
      </c>
      <c r="N1385" t="s">
        <v>38</v>
      </c>
      <c r="O1385" t="s">
        <v>74</v>
      </c>
      <c r="P1385" t="s">
        <v>42</v>
      </c>
      <c r="Q1385" t="s">
        <v>43</v>
      </c>
      <c r="R1385" t="s">
        <v>89</v>
      </c>
      <c r="S1385" t="s">
        <v>89</v>
      </c>
      <c r="T1385" t="s">
        <v>89</v>
      </c>
      <c r="U1385" t="s">
        <v>301</v>
      </c>
      <c r="V1385" t="s">
        <v>740</v>
      </c>
      <c r="W1385" t="s">
        <v>92</v>
      </c>
      <c r="X1385" t="s">
        <v>302</v>
      </c>
      <c r="Y1385" t="s">
        <v>2708</v>
      </c>
      <c r="Z1385" t="s">
        <v>42</v>
      </c>
      <c r="AA1385" t="s">
        <v>38</v>
      </c>
      <c r="AB1385" t="s">
        <v>38</v>
      </c>
      <c r="AC1385" t="s">
        <v>89</v>
      </c>
      <c r="AD1385" t="s">
        <v>48</v>
      </c>
      <c r="AG1385" t="str">
        <f>IF(AD1385="United States", IFERROR(INDEX(Sheet2!$C:$C, MATCH(AE1385&amp;AF1385, Sheet2!$E:$E, 0)) &amp; ", " &amp; INDEX(Sheet2!$D:$D, MATCH(AE1385&amp;AF1385, Sheet2!$E:$E, 0)), ""), "-")</f>
        <v/>
      </c>
    </row>
    <row r="1386" spans="1:33" x14ac:dyDescent="0.25">
      <c r="A1386" t="s">
        <v>463</v>
      </c>
      <c r="B1386" t="s">
        <v>2723</v>
      </c>
      <c r="C1386" t="s">
        <v>2704</v>
      </c>
      <c r="D1386" t="s">
        <v>495</v>
      </c>
      <c r="E1386" t="s">
        <v>465</v>
      </c>
      <c r="F1386">
        <v>1758</v>
      </c>
      <c r="G1386">
        <v>2518</v>
      </c>
      <c r="H1386" t="s">
        <v>2706</v>
      </c>
      <c r="I1386" t="s">
        <v>87</v>
      </c>
      <c r="J1386" t="s">
        <v>2707</v>
      </c>
      <c r="K1386" t="s">
        <v>38</v>
      </c>
      <c r="L1386" t="s">
        <v>38</v>
      </c>
      <c r="M1386" t="s">
        <v>38</v>
      </c>
      <c r="N1386" t="s">
        <v>38</v>
      </c>
      <c r="O1386" t="s">
        <v>57</v>
      </c>
      <c r="P1386" t="s">
        <v>42</v>
      </c>
      <c r="Q1386" t="s">
        <v>43</v>
      </c>
      <c r="R1386" t="s">
        <v>89</v>
      </c>
      <c r="S1386" t="s">
        <v>45</v>
      </c>
      <c r="T1386" t="s">
        <v>89</v>
      </c>
      <c r="U1386" t="s">
        <v>301</v>
      </c>
      <c r="V1386" t="s">
        <v>740</v>
      </c>
      <c r="W1386" t="s">
        <v>92</v>
      </c>
      <c r="X1386" t="s">
        <v>302</v>
      </c>
      <c r="Y1386" t="s">
        <v>2724</v>
      </c>
      <c r="Z1386" t="s">
        <v>42</v>
      </c>
      <c r="AA1386" t="s">
        <v>169</v>
      </c>
      <c r="AB1386" t="s">
        <v>38</v>
      </c>
      <c r="AC1386" t="s">
        <v>45</v>
      </c>
      <c r="AD1386" t="s">
        <v>48</v>
      </c>
      <c r="AG1386" t="str">
        <f>IF(AD1386="United States", IFERROR(INDEX(Sheet2!$C:$C, MATCH(AE1386&amp;AF1386, Sheet2!$E:$E, 0)) &amp; ", " &amp; INDEX(Sheet2!$D:$D, MATCH(AE1386&amp;AF1386, Sheet2!$E:$E, 0)), ""), "-")</f>
        <v/>
      </c>
    </row>
    <row r="1387" spans="1:33" x14ac:dyDescent="0.25">
      <c r="A1387" t="s">
        <v>463</v>
      </c>
      <c r="B1387" t="s">
        <v>2725</v>
      </c>
      <c r="C1387" t="s">
        <v>2704</v>
      </c>
      <c r="D1387" t="s">
        <v>1840</v>
      </c>
      <c r="E1387" t="s">
        <v>38</v>
      </c>
      <c r="F1387">
        <v>1776</v>
      </c>
      <c r="G1387">
        <v>2519</v>
      </c>
      <c r="H1387" t="s">
        <v>2706</v>
      </c>
      <c r="I1387" t="s">
        <v>87</v>
      </c>
      <c r="J1387" t="s">
        <v>2707</v>
      </c>
      <c r="K1387" t="s">
        <v>38</v>
      </c>
      <c r="L1387" t="s">
        <v>38</v>
      </c>
      <c r="M1387" t="s">
        <v>38</v>
      </c>
      <c r="N1387" t="s">
        <v>38</v>
      </c>
      <c r="O1387" t="s">
        <v>74</v>
      </c>
      <c r="P1387" t="s">
        <v>42</v>
      </c>
      <c r="Q1387" t="s">
        <v>43</v>
      </c>
      <c r="R1387" t="s">
        <v>89</v>
      </c>
      <c r="S1387" t="s">
        <v>38</v>
      </c>
      <c r="T1387" t="s">
        <v>89</v>
      </c>
      <c r="U1387" t="s">
        <v>301</v>
      </c>
      <c r="V1387" t="s">
        <v>740</v>
      </c>
      <c r="W1387" t="s">
        <v>92</v>
      </c>
      <c r="X1387" t="s">
        <v>302</v>
      </c>
      <c r="Y1387" t="s">
        <v>2724</v>
      </c>
      <c r="Z1387" t="s">
        <v>42</v>
      </c>
      <c r="AA1387" t="s">
        <v>38</v>
      </c>
      <c r="AB1387" t="s">
        <v>38</v>
      </c>
      <c r="AC1387" t="s">
        <v>38</v>
      </c>
      <c r="AD1387" t="s">
        <v>48</v>
      </c>
      <c r="AG1387" t="str">
        <f>IF(AD1387="United States", IFERROR(INDEX(Sheet2!$C:$C, MATCH(AE1387&amp;AF1387, Sheet2!$E:$E, 0)) &amp; ", " &amp; INDEX(Sheet2!$D:$D, MATCH(AE1387&amp;AF1387, Sheet2!$E:$E, 0)), ""), "-")</f>
        <v/>
      </c>
    </row>
    <row r="1388" spans="1:33" x14ac:dyDescent="0.25">
      <c r="A1388" t="s">
        <v>463</v>
      </c>
      <c r="B1388" t="s">
        <v>2726</v>
      </c>
      <c r="C1388" t="s">
        <v>2704</v>
      </c>
      <c r="D1388" t="s">
        <v>132</v>
      </c>
      <c r="E1388" t="s">
        <v>2727</v>
      </c>
      <c r="F1388">
        <v>1759</v>
      </c>
      <c r="G1388">
        <v>2511</v>
      </c>
      <c r="H1388" t="s">
        <v>2706</v>
      </c>
      <c r="I1388" t="s">
        <v>87</v>
      </c>
      <c r="J1388" t="s">
        <v>2707</v>
      </c>
      <c r="K1388" t="s">
        <v>38</v>
      </c>
      <c r="L1388" t="s">
        <v>38</v>
      </c>
      <c r="M1388" t="s">
        <v>38</v>
      </c>
      <c r="N1388" t="s">
        <v>38</v>
      </c>
      <c r="O1388" t="s">
        <v>41</v>
      </c>
      <c r="P1388" t="s">
        <v>42</v>
      </c>
      <c r="Q1388" t="s">
        <v>43</v>
      </c>
      <c r="R1388" t="s">
        <v>89</v>
      </c>
      <c r="S1388" t="s">
        <v>45</v>
      </c>
      <c r="T1388" t="s">
        <v>89</v>
      </c>
      <c r="U1388" t="s">
        <v>301</v>
      </c>
      <c r="V1388" t="s">
        <v>740</v>
      </c>
      <c r="W1388" t="s">
        <v>92</v>
      </c>
      <c r="X1388" t="s">
        <v>302</v>
      </c>
      <c r="Y1388" t="s">
        <v>2708</v>
      </c>
      <c r="Z1388" t="s">
        <v>42</v>
      </c>
      <c r="AA1388" t="s">
        <v>247</v>
      </c>
      <c r="AB1388" t="s">
        <v>38</v>
      </c>
      <c r="AC1388" t="s">
        <v>45</v>
      </c>
      <c r="AD1388" t="s">
        <v>48</v>
      </c>
      <c r="AG1388" t="str">
        <f>IF(AD1388="United States", IFERROR(INDEX(Sheet2!$C:$C, MATCH(AE1388&amp;AF1388, Sheet2!$E:$E, 0)) &amp; ", " &amp; INDEX(Sheet2!$D:$D, MATCH(AE1388&amp;AF1388, Sheet2!$E:$E, 0)), ""), "-")</f>
        <v/>
      </c>
    </row>
    <row r="1389" spans="1:33" x14ac:dyDescent="0.25">
      <c r="A1389" t="s">
        <v>463</v>
      </c>
      <c r="B1389" t="s">
        <v>2728</v>
      </c>
      <c r="C1389" t="s">
        <v>2704</v>
      </c>
      <c r="D1389" t="s">
        <v>190</v>
      </c>
      <c r="E1389" t="s">
        <v>38</v>
      </c>
      <c r="F1389">
        <v>1774</v>
      </c>
      <c r="G1389">
        <v>2520</v>
      </c>
      <c r="H1389" t="s">
        <v>2706</v>
      </c>
      <c r="I1389" t="s">
        <v>87</v>
      </c>
      <c r="J1389" t="s">
        <v>2707</v>
      </c>
      <c r="K1389" t="s">
        <v>38</v>
      </c>
      <c r="L1389" t="s">
        <v>38</v>
      </c>
      <c r="M1389" t="s">
        <v>38</v>
      </c>
      <c r="N1389" t="s">
        <v>38</v>
      </c>
      <c r="O1389" t="s">
        <v>54</v>
      </c>
      <c r="P1389" t="s">
        <v>42</v>
      </c>
      <c r="Q1389" t="s">
        <v>43</v>
      </c>
      <c r="R1389" t="s">
        <v>89</v>
      </c>
      <c r="S1389" t="s">
        <v>38</v>
      </c>
      <c r="T1389" t="s">
        <v>89</v>
      </c>
      <c r="U1389" t="s">
        <v>301</v>
      </c>
      <c r="V1389" t="s">
        <v>740</v>
      </c>
      <c r="W1389" t="s">
        <v>92</v>
      </c>
      <c r="X1389" t="s">
        <v>302</v>
      </c>
      <c r="Y1389" t="s">
        <v>2724</v>
      </c>
      <c r="Z1389" t="s">
        <v>42</v>
      </c>
      <c r="AA1389" t="s">
        <v>38</v>
      </c>
      <c r="AB1389" t="s">
        <v>38</v>
      </c>
      <c r="AC1389" t="s">
        <v>38</v>
      </c>
      <c r="AD1389" t="s">
        <v>48</v>
      </c>
      <c r="AG1389" t="str">
        <f>IF(AD1389="United States", IFERROR(INDEX(Sheet2!$C:$C, MATCH(AE1389&amp;AF1389, Sheet2!$E:$E, 0)) &amp; ", " &amp; INDEX(Sheet2!$D:$D, MATCH(AE1389&amp;AF1389, Sheet2!$E:$E, 0)), ""), "-")</f>
        <v/>
      </c>
    </row>
    <row r="1390" spans="1:33" x14ac:dyDescent="0.25">
      <c r="A1390" t="s">
        <v>463</v>
      </c>
      <c r="B1390" t="s">
        <v>2729</v>
      </c>
      <c r="C1390" t="s">
        <v>2719</v>
      </c>
      <c r="D1390" t="s">
        <v>150</v>
      </c>
      <c r="E1390" t="s">
        <v>38</v>
      </c>
      <c r="F1390">
        <v>1773</v>
      </c>
      <c r="G1390">
        <v>2221</v>
      </c>
      <c r="H1390" t="s">
        <v>2600</v>
      </c>
      <c r="I1390" t="s">
        <v>87</v>
      </c>
      <c r="J1390" t="s">
        <v>38</v>
      </c>
      <c r="K1390" t="s">
        <v>38</v>
      </c>
      <c r="L1390" t="s">
        <v>38</v>
      </c>
      <c r="M1390" t="s">
        <v>38</v>
      </c>
      <c r="N1390" t="s">
        <v>38</v>
      </c>
      <c r="O1390" t="s">
        <v>54</v>
      </c>
      <c r="P1390" t="s">
        <v>42</v>
      </c>
      <c r="Q1390" t="s">
        <v>43</v>
      </c>
      <c r="R1390" t="s">
        <v>89</v>
      </c>
      <c r="S1390" t="s">
        <v>38</v>
      </c>
      <c r="T1390" t="s">
        <v>89</v>
      </c>
      <c r="U1390" t="s">
        <v>301</v>
      </c>
      <c r="V1390" t="s">
        <v>38</v>
      </c>
      <c r="W1390" t="s">
        <v>92</v>
      </c>
      <c r="X1390" t="s">
        <v>302</v>
      </c>
      <c r="Y1390" t="s">
        <v>2720</v>
      </c>
      <c r="Z1390" t="s">
        <v>42</v>
      </c>
      <c r="AA1390" t="s">
        <v>38</v>
      </c>
      <c r="AB1390" t="s">
        <v>38</v>
      </c>
      <c r="AC1390" t="s">
        <v>2721</v>
      </c>
      <c r="AD1390" t="s">
        <v>48</v>
      </c>
      <c r="AG1390" t="str">
        <f>IF(AD1390="United States", IFERROR(INDEX(Sheet2!$C:$C, MATCH(AE1390&amp;AF1390, Sheet2!$E:$E, 0)) &amp; ", " &amp; INDEX(Sheet2!$D:$D, MATCH(AE1390&amp;AF1390, Sheet2!$E:$E, 0)), ""), "-")</f>
        <v/>
      </c>
    </row>
    <row r="1391" spans="1:33" x14ac:dyDescent="0.25">
      <c r="A1391" t="s">
        <v>463</v>
      </c>
      <c r="B1391" t="s">
        <v>2730</v>
      </c>
      <c r="C1391" t="s">
        <v>2704</v>
      </c>
      <c r="D1391" t="s">
        <v>140</v>
      </c>
      <c r="E1391" t="s">
        <v>2731</v>
      </c>
      <c r="F1391">
        <v>1769</v>
      </c>
      <c r="G1391">
        <v>2523</v>
      </c>
      <c r="H1391" t="s">
        <v>2706</v>
      </c>
      <c r="I1391" t="s">
        <v>87</v>
      </c>
      <c r="J1391" t="s">
        <v>2707</v>
      </c>
      <c r="K1391" t="s">
        <v>38</v>
      </c>
      <c r="L1391" t="s">
        <v>38</v>
      </c>
      <c r="M1391" t="s">
        <v>38</v>
      </c>
      <c r="N1391" t="s">
        <v>38</v>
      </c>
      <c r="O1391" t="s">
        <v>74</v>
      </c>
      <c r="P1391" t="s">
        <v>42</v>
      </c>
      <c r="Q1391" t="s">
        <v>43</v>
      </c>
      <c r="R1391" t="s">
        <v>89</v>
      </c>
      <c r="S1391" t="s">
        <v>153</v>
      </c>
      <c r="T1391" t="s">
        <v>89</v>
      </c>
      <c r="U1391" t="s">
        <v>301</v>
      </c>
      <c r="V1391" t="s">
        <v>740</v>
      </c>
      <c r="W1391" t="s">
        <v>92</v>
      </c>
      <c r="X1391" t="s">
        <v>302</v>
      </c>
      <c r="Y1391" t="s">
        <v>2724</v>
      </c>
      <c r="Z1391" t="s">
        <v>42</v>
      </c>
      <c r="AA1391" t="s">
        <v>1882</v>
      </c>
      <c r="AB1391" t="s">
        <v>38</v>
      </c>
      <c r="AC1391" t="s">
        <v>153</v>
      </c>
      <c r="AD1391" t="s">
        <v>48</v>
      </c>
      <c r="AG1391" t="str">
        <f>IF(AD1391="United States", IFERROR(INDEX(Sheet2!$C:$C, MATCH(AE1391&amp;AF1391, Sheet2!$E:$E, 0)) &amp; ", " &amp; INDEX(Sheet2!$D:$D, MATCH(AE1391&amp;AF1391, Sheet2!$E:$E, 0)), ""), "-")</f>
        <v/>
      </c>
    </row>
    <row r="1392" spans="1:33" x14ac:dyDescent="0.25">
      <c r="A1392" t="s">
        <v>463</v>
      </c>
      <c r="B1392" t="s">
        <v>2732</v>
      </c>
      <c r="C1392" t="s">
        <v>2704</v>
      </c>
      <c r="D1392" t="s">
        <v>114</v>
      </c>
      <c r="E1392" t="s">
        <v>2733</v>
      </c>
      <c r="F1392">
        <v>1759</v>
      </c>
      <c r="G1392">
        <v>2524</v>
      </c>
      <c r="H1392" t="s">
        <v>2706</v>
      </c>
      <c r="I1392" t="s">
        <v>87</v>
      </c>
      <c r="J1392" t="s">
        <v>2707</v>
      </c>
      <c r="K1392" t="s">
        <v>38</v>
      </c>
      <c r="L1392" t="s">
        <v>38</v>
      </c>
      <c r="M1392" t="s">
        <v>38</v>
      </c>
      <c r="N1392" t="s">
        <v>38</v>
      </c>
      <c r="O1392" t="s">
        <v>57</v>
      </c>
      <c r="P1392" t="s">
        <v>42</v>
      </c>
      <c r="Q1392" t="s">
        <v>43</v>
      </c>
      <c r="R1392" t="s">
        <v>89</v>
      </c>
      <c r="S1392" t="s">
        <v>45</v>
      </c>
      <c r="T1392" t="s">
        <v>89</v>
      </c>
      <c r="U1392" t="s">
        <v>301</v>
      </c>
      <c r="V1392" t="s">
        <v>740</v>
      </c>
      <c r="W1392" t="s">
        <v>92</v>
      </c>
      <c r="X1392" t="s">
        <v>302</v>
      </c>
      <c r="Y1392" t="s">
        <v>2724</v>
      </c>
      <c r="Z1392" t="s">
        <v>42</v>
      </c>
      <c r="AA1392" t="s">
        <v>143</v>
      </c>
      <c r="AB1392" t="s">
        <v>38</v>
      </c>
      <c r="AC1392" t="s">
        <v>45</v>
      </c>
      <c r="AD1392" t="s">
        <v>48</v>
      </c>
      <c r="AG1392" t="str">
        <f>IF(AD1392="United States", IFERROR(INDEX(Sheet2!$C:$C, MATCH(AE1392&amp;AF1392, Sheet2!$E:$E, 0)) &amp; ", " &amp; INDEX(Sheet2!$D:$D, MATCH(AE1392&amp;AF1392, Sheet2!$E:$E, 0)), ""), "-")</f>
        <v/>
      </c>
    </row>
    <row r="1393" spans="1:33" x14ac:dyDescent="0.25">
      <c r="A1393" t="s">
        <v>463</v>
      </c>
      <c r="B1393" t="s">
        <v>2734</v>
      </c>
      <c r="C1393" t="s">
        <v>2704</v>
      </c>
      <c r="D1393" t="s">
        <v>2735</v>
      </c>
      <c r="E1393" t="s">
        <v>38</v>
      </c>
      <c r="F1393">
        <v>1728</v>
      </c>
      <c r="G1393">
        <v>2525</v>
      </c>
      <c r="H1393" t="s">
        <v>2706</v>
      </c>
      <c r="I1393" t="s">
        <v>87</v>
      </c>
      <c r="J1393" t="s">
        <v>2707</v>
      </c>
      <c r="K1393" t="s">
        <v>38</v>
      </c>
      <c r="L1393" t="s">
        <v>38</v>
      </c>
      <c r="M1393" t="s">
        <v>38</v>
      </c>
      <c r="N1393" t="s">
        <v>38</v>
      </c>
      <c r="O1393" t="s">
        <v>57</v>
      </c>
      <c r="P1393" t="s">
        <v>42</v>
      </c>
      <c r="Q1393" t="s">
        <v>43</v>
      </c>
      <c r="R1393" t="s">
        <v>89</v>
      </c>
      <c r="S1393" t="s">
        <v>38</v>
      </c>
      <c r="T1393" t="s">
        <v>89</v>
      </c>
      <c r="U1393" t="s">
        <v>301</v>
      </c>
      <c r="V1393" t="s">
        <v>740</v>
      </c>
      <c r="W1393" t="s">
        <v>92</v>
      </c>
      <c r="X1393" t="s">
        <v>302</v>
      </c>
      <c r="Y1393" t="s">
        <v>2724</v>
      </c>
      <c r="Z1393" t="s">
        <v>42</v>
      </c>
      <c r="AA1393" t="s">
        <v>38</v>
      </c>
      <c r="AB1393" t="s">
        <v>38</v>
      </c>
      <c r="AC1393" t="s">
        <v>38</v>
      </c>
      <c r="AD1393" t="s">
        <v>48</v>
      </c>
      <c r="AG1393" t="str">
        <f>IF(AD1393="United States", IFERROR(INDEX(Sheet2!$C:$C, MATCH(AE1393&amp;AF1393, Sheet2!$E:$E, 0)) &amp; ", " &amp; INDEX(Sheet2!$D:$D, MATCH(AE1393&amp;AF1393, Sheet2!$E:$E, 0)), ""), "-")</f>
        <v/>
      </c>
    </row>
    <row r="1394" spans="1:33" x14ac:dyDescent="0.25">
      <c r="A1394" t="s">
        <v>463</v>
      </c>
      <c r="B1394" t="s">
        <v>2736</v>
      </c>
      <c r="C1394" t="s">
        <v>2704</v>
      </c>
      <c r="D1394" t="s">
        <v>132</v>
      </c>
      <c r="E1394" t="s">
        <v>2737</v>
      </c>
      <c r="F1394">
        <v>1755</v>
      </c>
      <c r="G1394">
        <v>2526</v>
      </c>
      <c r="H1394" t="s">
        <v>2706</v>
      </c>
      <c r="I1394" t="s">
        <v>87</v>
      </c>
      <c r="J1394" t="s">
        <v>2707</v>
      </c>
      <c r="K1394" t="s">
        <v>38</v>
      </c>
      <c r="L1394" t="s">
        <v>38</v>
      </c>
      <c r="M1394" t="s">
        <v>38</v>
      </c>
      <c r="N1394" t="s">
        <v>38</v>
      </c>
      <c r="O1394" t="s">
        <v>41</v>
      </c>
      <c r="P1394" t="s">
        <v>42</v>
      </c>
      <c r="Q1394" t="s">
        <v>43</v>
      </c>
      <c r="R1394" t="s">
        <v>89</v>
      </c>
      <c r="S1394" t="s">
        <v>38</v>
      </c>
      <c r="T1394" t="s">
        <v>89</v>
      </c>
      <c r="U1394" t="s">
        <v>301</v>
      </c>
      <c r="V1394" t="s">
        <v>740</v>
      </c>
      <c r="W1394" t="s">
        <v>92</v>
      </c>
      <c r="X1394" t="s">
        <v>302</v>
      </c>
      <c r="Y1394" t="s">
        <v>2724</v>
      </c>
      <c r="Z1394" t="s">
        <v>42</v>
      </c>
      <c r="AA1394" t="s">
        <v>38</v>
      </c>
      <c r="AB1394" t="s">
        <v>38</v>
      </c>
      <c r="AC1394" t="s">
        <v>38</v>
      </c>
      <c r="AD1394" t="s">
        <v>48</v>
      </c>
      <c r="AG1394" t="str">
        <f>IF(AD1394="United States", IFERROR(INDEX(Sheet2!$C:$C, MATCH(AE1394&amp;AF1394, Sheet2!$E:$E, 0)) &amp; ", " &amp; INDEX(Sheet2!$D:$D, MATCH(AE1394&amp;AF1394, Sheet2!$E:$E, 0)), ""), "-")</f>
        <v/>
      </c>
    </row>
    <row r="1395" spans="1:33" x14ac:dyDescent="0.25">
      <c r="A1395" t="s">
        <v>463</v>
      </c>
      <c r="B1395" t="s">
        <v>2738</v>
      </c>
      <c r="C1395" t="s">
        <v>2704</v>
      </c>
      <c r="D1395" t="s">
        <v>980</v>
      </c>
      <c r="E1395" t="s">
        <v>38</v>
      </c>
      <c r="F1395">
        <v>1760</v>
      </c>
      <c r="G1395">
        <v>2527</v>
      </c>
      <c r="H1395" t="s">
        <v>38</v>
      </c>
      <c r="I1395" t="s">
        <v>87</v>
      </c>
      <c r="J1395" t="s">
        <v>2707</v>
      </c>
      <c r="K1395" t="s">
        <v>38</v>
      </c>
      <c r="L1395" t="s">
        <v>38</v>
      </c>
      <c r="M1395" t="s">
        <v>38</v>
      </c>
      <c r="N1395" t="s">
        <v>38</v>
      </c>
      <c r="O1395" t="s">
        <v>57</v>
      </c>
      <c r="P1395" t="s">
        <v>42</v>
      </c>
      <c r="Q1395" t="s">
        <v>43</v>
      </c>
      <c r="R1395" t="s">
        <v>38</v>
      </c>
      <c r="S1395" t="s">
        <v>38</v>
      </c>
      <c r="T1395" t="s">
        <v>38</v>
      </c>
      <c r="U1395" t="s">
        <v>38</v>
      </c>
      <c r="V1395" t="s">
        <v>740</v>
      </c>
      <c r="W1395" t="s">
        <v>38</v>
      </c>
      <c r="X1395" t="s">
        <v>38</v>
      </c>
      <c r="Y1395" t="s">
        <v>2724</v>
      </c>
      <c r="Z1395" t="s">
        <v>42</v>
      </c>
      <c r="AA1395" t="s">
        <v>38</v>
      </c>
      <c r="AB1395" t="s">
        <v>38</v>
      </c>
      <c r="AC1395" t="s">
        <v>38</v>
      </c>
      <c r="AD1395" t="s">
        <v>48</v>
      </c>
      <c r="AG1395" t="str">
        <f>IF(AD1395="United States", IFERROR(INDEX(Sheet2!$C:$C, MATCH(AE1395&amp;AF1395, Sheet2!$E:$E, 0)) &amp; ", " &amp; INDEX(Sheet2!$D:$D, MATCH(AE1395&amp;AF1395, Sheet2!$E:$E, 0)), ""), "-")</f>
        <v/>
      </c>
    </row>
    <row r="1396" spans="1:33" x14ac:dyDescent="0.25">
      <c r="A1396" t="s">
        <v>463</v>
      </c>
      <c r="B1396" t="s">
        <v>2739</v>
      </c>
      <c r="C1396" t="s">
        <v>2704</v>
      </c>
      <c r="D1396" t="s">
        <v>458</v>
      </c>
      <c r="E1396" t="s">
        <v>2740</v>
      </c>
      <c r="F1396">
        <v>1762</v>
      </c>
      <c r="G1396">
        <v>2528</v>
      </c>
      <c r="H1396" t="s">
        <v>38</v>
      </c>
      <c r="I1396" t="s">
        <v>87</v>
      </c>
      <c r="J1396" t="s">
        <v>2707</v>
      </c>
      <c r="K1396" t="s">
        <v>38</v>
      </c>
      <c r="L1396" t="s">
        <v>38</v>
      </c>
      <c r="M1396" t="s">
        <v>38</v>
      </c>
      <c r="N1396" t="s">
        <v>38</v>
      </c>
      <c r="O1396" t="s">
        <v>41</v>
      </c>
      <c r="P1396" t="s">
        <v>42</v>
      </c>
      <c r="Q1396" t="s">
        <v>43</v>
      </c>
      <c r="R1396" t="s">
        <v>2741</v>
      </c>
      <c r="S1396" t="s">
        <v>153</v>
      </c>
      <c r="T1396" t="s">
        <v>38</v>
      </c>
      <c r="U1396" t="s">
        <v>38</v>
      </c>
      <c r="V1396" t="s">
        <v>740</v>
      </c>
      <c r="W1396" t="s">
        <v>38</v>
      </c>
      <c r="X1396" t="s">
        <v>38</v>
      </c>
      <c r="Y1396" t="s">
        <v>2724</v>
      </c>
      <c r="Z1396" t="s">
        <v>42</v>
      </c>
      <c r="AA1396" t="s">
        <v>2741</v>
      </c>
      <c r="AB1396" t="s">
        <v>38</v>
      </c>
      <c r="AC1396" t="s">
        <v>153</v>
      </c>
      <c r="AD1396" t="s">
        <v>48</v>
      </c>
      <c r="AG1396" t="str">
        <f>IF(AD1396="United States", IFERROR(INDEX(Sheet2!$C:$C, MATCH(AE1396&amp;AF1396, Sheet2!$E:$E, 0)) &amp; ", " &amp; INDEX(Sheet2!$D:$D, MATCH(AE1396&amp;AF1396, Sheet2!$E:$E, 0)), ""), "-")</f>
        <v/>
      </c>
    </row>
    <row r="1397" spans="1:33" x14ac:dyDescent="0.25">
      <c r="A1397" t="s">
        <v>463</v>
      </c>
      <c r="B1397" t="s">
        <v>2742</v>
      </c>
      <c r="C1397" t="s">
        <v>2704</v>
      </c>
      <c r="D1397" t="s">
        <v>72</v>
      </c>
      <c r="E1397" t="s">
        <v>2743</v>
      </c>
      <c r="F1397">
        <v>1748</v>
      </c>
      <c r="G1397">
        <v>2529</v>
      </c>
      <c r="H1397" t="s">
        <v>2706</v>
      </c>
      <c r="I1397" t="s">
        <v>87</v>
      </c>
      <c r="J1397" t="s">
        <v>2707</v>
      </c>
      <c r="K1397" t="s">
        <v>38</v>
      </c>
      <c r="L1397" t="s">
        <v>38</v>
      </c>
      <c r="M1397" t="s">
        <v>38</v>
      </c>
      <c r="N1397" t="s">
        <v>38</v>
      </c>
      <c r="O1397" t="s">
        <v>57</v>
      </c>
      <c r="P1397" t="s">
        <v>42</v>
      </c>
      <c r="Q1397" t="s">
        <v>43</v>
      </c>
      <c r="R1397" t="s">
        <v>89</v>
      </c>
      <c r="S1397" t="s">
        <v>38</v>
      </c>
      <c r="T1397" t="s">
        <v>89</v>
      </c>
      <c r="U1397" t="s">
        <v>301</v>
      </c>
      <c r="V1397" t="s">
        <v>740</v>
      </c>
      <c r="W1397" t="s">
        <v>92</v>
      </c>
      <c r="X1397" t="s">
        <v>302</v>
      </c>
      <c r="Y1397" t="s">
        <v>2708</v>
      </c>
      <c r="Z1397" t="s">
        <v>42</v>
      </c>
      <c r="AA1397" t="s">
        <v>38</v>
      </c>
      <c r="AB1397" t="s">
        <v>38</v>
      </c>
      <c r="AC1397" t="s">
        <v>38</v>
      </c>
      <c r="AD1397" t="s">
        <v>48</v>
      </c>
      <c r="AG1397" t="str">
        <f>IF(AD1397="United States", IFERROR(INDEX(Sheet2!$C:$C, MATCH(AE1397&amp;AF1397, Sheet2!$E:$E, 0)) &amp; ", " &amp; INDEX(Sheet2!$D:$D, MATCH(AE1397&amp;AF1397, Sheet2!$E:$E, 0)), ""), "-")</f>
        <v/>
      </c>
    </row>
    <row r="1398" spans="1:33" x14ac:dyDescent="0.25">
      <c r="A1398" t="s">
        <v>463</v>
      </c>
      <c r="B1398" t="s">
        <v>2744</v>
      </c>
      <c r="C1398" t="s">
        <v>2704</v>
      </c>
      <c r="D1398" t="s">
        <v>834</v>
      </c>
      <c r="E1398" t="s">
        <v>2745</v>
      </c>
      <c r="F1398">
        <v>1763</v>
      </c>
      <c r="G1398">
        <v>2530</v>
      </c>
      <c r="H1398" t="s">
        <v>38</v>
      </c>
      <c r="I1398" t="s">
        <v>87</v>
      </c>
      <c r="J1398" t="s">
        <v>2707</v>
      </c>
      <c r="K1398" t="s">
        <v>38</v>
      </c>
      <c r="L1398" t="s">
        <v>38</v>
      </c>
      <c r="M1398" t="s">
        <v>38</v>
      </c>
      <c r="N1398" t="s">
        <v>38</v>
      </c>
      <c r="O1398" t="s">
        <v>57</v>
      </c>
      <c r="P1398" t="s">
        <v>42</v>
      </c>
      <c r="Q1398" t="s">
        <v>43</v>
      </c>
      <c r="R1398" t="s">
        <v>166</v>
      </c>
      <c r="S1398" t="s">
        <v>165</v>
      </c>
      <c r="T1398" t="s">
        <v>38</v>
      </c>
      <c r="U1398" t="s">
        <v>38</v>
      </c>
      <c r="V1398" t="s">
        <v>740</v>
      </c>
      <c r="W1398" t="s">
        <v>38</v>
      </c>
      <c r="X1398" t="s">
        <v>38</v>
      </c>
      <c r="Y1398" t="s">
        <v>2708</v>
      </c>
      <c r="Z1398" t="s">
        <v>42</v>
      </c>
      <c r="AA1398" t="s">
        <v>166</v>
      </c>
      <c r="AB1398" t="s">
        <v>38</v>
      </c>
      <c r="AC1398" t="s">
        <v>165</v>
      </c>
      <c r="AD1398" t="s">
        <v>48</v>
      </c>
      <c r="AG1398" t="str">
        <f>IF(AD1398="United States", IFERROR(INDEX(Sheet2!$C:$C, MATCH(AE1398&amp;AF1398, Sheet2!$E:$E, 0)) &amp; ", " &amp; INDEX(Sheet2!$D:$D, MATCH(AE1398&amp;AF1398, Sheet2!$E:$E, 0)), ""), "-")</f>
        <v/>
      </c>
    </row>
    <row r="1399" spans="1:33" x14ac:dyDescent="0.25">
      <c r="A1399" t="s">
        <v>463</v>
      </c>
      <c r="B1399" t="s">
        <v>2746</v>
      </c>
      <c r="C1399" t="s">
        <v>2704</v>
      </c>
      <c r="D1399" t="s">
        <v>1274</v>
      </c>
      <c r="E1399" t="s">
        <v>2747</v>
      </c>
      <c r="F1399">
        <v>1753</v>
      </c>
      <c r="G1399">
        <v>2521</v>
      </c>
      <c r="H1399" t="s">
        <v>2706</v>
      </c>
      <c r="I1399" t="s">
        <v>87</v>
      </c>
      <c r="J1399" t="s">
        <v>2707</v>
      </c>
      <c r="K1399" t="s">
        <v>38</v>
      </c>
      <c r="L1399" t="s">
        <v>38</v>
      </c>
      <c r="M1399" t="s">
        <v>38</v>
      </c>
      <c r="N1399" t="s">
        <v>38</v>
      </c>
      <c r="O1399" t="s">
        <v>57</v>
      </c>
      <c r="P1399" t="s">
        <v>42</v>
      </c>
      <c r="Q1399" t="s">
        <v>43</v>
      </c>
      <c r="R1399" t="s">
        <v>89</v>
      </c>
      <c r="S1399" t="s">
        <v>153</v>
      </c>
      <c r="T1399" t="s">
        <v>89</v>
      </c>
      <c r="U1399" t="s">
        <v>301</v>
      </c>
      <c r="V1399" t="s">
        <v>740</v>
      </c>
      <c r="W1399" t="s">
        <v>92</v>
      </c>
      <c r="X1399" t="s">
        <v>302</v>
      </c>
      <c r="Y1399" t="s">
        <v>2724</v>
      </c>
      <c r="Z1399" t="s">
        <v>42</v>
      </c>
      <c r="AA1399" t="s">
        <v>1882</v>
      </c>
      <c r="AB1399" t="s">
        <v>38</v>
      </c>
      <c r="AC1399" t="s">
        <v>153</v>
      </c>
      <c r="AD1399" t="s">
        <v>48</v>
      </c>
      <c r="AG1399" t="str">
        <f>IF(AD1399="United States", IFERROR(INDEX(Sheet2!$C:$C, MATCH(AE1399&amp;AF1399, Sheet2!$E:$E, 0)) &amp; ", " &amp; INDEX(Sheet2!$D:$D, MATCH(AE1399&amp;AF1399, Sheet2!$E:$E, 0)), ""), "-")</f>
        <v/>
      </c>
    </row>
    <row r="1400" spans="1:33" x14ac:dyDescent="0.25">
      <c r="A1400" t="s">
        <v>463</v>
      </c>
      <c r="B1400" t="s">
        <v>2748</v>
      </c>
      <c r="C1400" t="s">
        <v>2704</v>
      </c>
      <c r="D1400" t="s">
        <v>140</v>
      </c>
      <c r="E1400" t="s">
        <v>2178</v>
      </c>
      <c r="F1400">
        <v>1739</v>
      </c>
      <c r="G1400">
        <v>2510</v>
      </c>
      <c r="H1400" t="s">
        <v>2706</v>
      </c>
      <c r="I1400" t="s">
        <v>87</v>
      </c>
      <c r="J1400" t="s">
        <v>2707</v>
      </c>
      <c r="K1400" t="s">
        <v>38</v>
      </c>
      <c r="L1400" t="s">
        <v>38</v>
      </c>
      <c r="M1400" t="s">
        <v>38</v>
      </c>
      <c r="N1400" t="s">
        <v>38</v>
      </c>
      <c r="O1400" t="s">
        <v>41</v>
      </c>
      <c r="P1400" t="s">
        <v>42</v>
      </c>
      <c r="Q1400" t="s">
        <v>43</v>
      </c>
      <c r="R1400" t="s">
        <v>89</v>
      </c>
      <c r="S1400" t="s">
        <v>38</v>
      </c>
      <c r="T1400" t="s">
        <v>89</v>
      </c>
      <c r="U1400" t="s">
        <v>301</v>
      </c>
      <c r="V1400" t="s">
        <v>740</v>
      </c>
      <c r="W1400" t="s">
        <v>92</v>
      </c>
      <c r="X1400" t="s">
        <v>302</v>
      </c>
      <c r="Y1400" t="s">
        <v>2724</v>
      </c>
      <c r="Z1400" t="s">
        <v>42</v>
      </c>
      <c r="AA1400" t="s">
        <v>2749</v>
      </c>
      <c r="AB1400" t="s">
        <v>38</v>
      </c>
      <c r="AC1400" t="s">
        <v>60</v>
      </c>
      <c r="AD1400" t="s">
        <v>48</v>
      </c>
      <c r="AG1400" t="str">
        <f>IF(AD1400="United States", IFERROR(INDEX(Sheet2!$C:$C, MATCH(AE1400&amp;AF1400, Sheet2!$E:$E, 0)) &amp; ", " &amp; INDEX(Sheet2!$D:$D, MATCH(AE1400&amp;AF1400, Sheet2!$E:$E, 0)), ""), "-")</f>
        <v/>
      </c>
    </row>
    <row r="1401" spans="1:33" x14ac:dyDescent="0.25">
      <c r="A1401" t="s">
        <v>463</v>
      </c>
      <c r="B1401" t="s">
        <v>2750</v>
      </c>
      <c r="C1401" t="s">
        <v>2704</v>
      </c>
      <c r="D1401" t="s">
        <v>2751</v>
      </c>
      <c r="E1401" t="s">
        <v>2178</v>
      </c>
      <c r="F1401">
        <v>1718</v>
      </c>
      <c r="G1401">
        <v>2509</v>
      </c>
      <c r="H1401" t="s">
        <v>2706</v>
      </c>
      <c r="I1401" t="s">
        <v>87</v>
      </c>
      <c r="J1401" t="s">
        <v>2707</v>
      </c>
      <c r="K1401" t="s">
        <v>38</v>
      </c>
      <c r="L1401" t="s">
        <v>38</v>
      </c>
      <c r="M1401" t="s">
        <v>38</v>
      </c>
      <c r="N1401" t="s">
        <v>38</v>
      </c>
      <c r="O1401" t="s">
        <v>57</v>
      </c>
      <c r="P1401" t="s">
        <v>42</v>
      </c>
      <c r="Q1401" t="s">
        <v>43</v>
      </c>
      <c r="R1401" t="s">
        <v>89</v>
      </c>
      <c r="S1401" t="s">
        <v>38</v>
      </c>
      <c r="T1401" t="s">
        <v>89</v>
      </c>
      <c r="U1401" t="s">
        <v>301</v>
      </c>
      <c r="V1401" t="s">
        <v>740</v>
      </c>
      <c r="W1401" t="s">
        <v>92</v>
      </c>
      <c r="X1401" t="s">
        <v>302</v>
      </c>
      <c r="Y1401" t="s">
        <v>2724</v>
      </c>
      <c r="Z1401" t="s">
        <v>42</v>
      </c>
      <c r="AA1401" t="s">
        <v>38</v>
      </c>
      <c r="AB1401" t="s">
        <v>38</v>
      </c>
      <c r="AC1401" t="s">
        <v>730</v>
      </c>
      <c r="AD1401" t="s">
        <v>48</v>
      </c>
      <c r="AG1401" t="str">
        <f>IF(AD1401="United States", IFERROR(INDEX(Sheet2!$C:$C, MATCH(AE1401&amp;AF1401, Sheet2!$E:$E, 0)) &amp; ", " &amp; INDEX(Sheet2!$D:$D, MATCH(AE1401&amp;AF1401, Sheet2!$E:$E, 0)), ""), "-")</f>
        <v/>
      </c>
    </row>
    <row r="1402" spans="1:33" x14ac:dyDescent="0.25">
      <c r="A1402" t="s">
        <v>463</v>
      </c>
      <c r="B1402" t="s">
        <v>2752</v>
      </c>
      <c r="C1402" t="s">
        <v>2753</v>
      </c>
      <c r="D1402" t="s">
        <v>885</v>
      </c>
      <c r="E1402" t="s">
        <v>2754</v>
      </c>
      <c r="F1402">
        <v>1721</v>
      </c>
      <c r="G1402">
        <v>2361</v>
      </c>
      <c r="H1402" t="s">
        <v>1873</v>
      </c>
      <c r="I1402" t="s">
        <v>87</v>
      </c>
      <c r="J1402" t="s">
        <v>38</v>
      </c>
      <c r="K1402" t="s">
        <v>38</v>
      </c>
      <c r="L1402" t="s">
        <v>38</v>
      </c>
      <c r="M1402" t="s">
        <v>245</v>
      </c>
      <c r="N1402" t="s">
        <v>38</v>
      </c>
      <c r="O1402" t="s">
        <v>57</v>
      </c>
      <c r="P1402" t="s">
        <v>42</v>
      </c>
      <c r="Q1402" t="s">
        <v>43</v>
      </c>
      <c r="R1402" t="s">
        <v>89</v>
      </c>
      <c r="S1402" t="s">
        <v>45</v>
      </c>
      <c r="T1402" t="s">
        <v>89</v>
      </c>
      <c r="U1402" t="s">
        <v>301</v>
      </c>
      <c r="V1402" t="s">
        <v>38</v>
      </c>
      <c r="W1402" t="s">
        <v>92</v>
      </c>
      <c r="X1402" t="s">
        <v>302</v>
      </c>
      <c r="Y1402" t="s">
        <v>38</v>
      </c>
      <c r="Z1402" t="s">
        <v>42</v>
      </c>
      <c r="AA1402" t="s">
        <v>241</v>
      </c>
      <c r="AB1402" t="s">
        <v>38</v>
      </c>
      <c r="AC1402" t="s">
        <v>45</v>
      </c>
      <c r="AD1402" t="s">
        <v>48</v>
      </c>
      <c r="AG1402" t="str">
        <f>IF(AD1402="United States", IFERROR(INDEX(Sheet2!$C:$C, MATCH(AE1402&amp;AF1402, Sheet2!$E:$E, 0)) &amp; ", " &amp; INDEX(Sheet2!$D:$D, MATCH(AE1402&amp;AF1402, Sheet2!$E:$E, 0)), ""), "-")</f>
        <v/>
      </c>
    </row>
    <row r="1403" spans="1:33" x14ac:dyDescent="0.25">
      <c r="A1403" t="s">
        <v>463</v>
      </c>
      <c r="B1403" t="s">
        <v>2755</v>
      </c>
      <c r="C1403" t="s">
        <v>2700</v>
      </c>
      <c r="D1403" t="s">
        <v>352</v>
      </c>
      <c r="E1403" t="s">
        <v>38</v>
      </c>
      <c r="F1403">
        <v>1772</v>
      </c>
      <c r="G1403">
        <v>817</v>
      </c>
      <c r="H1403" t="s">
        <v>269</v>
      </c>
      <c r="I1403" t="s">
        <v>39</v>
      </c>
      <c r="J1403" t="s">
        <v>2701</v>
      </c>
      <c r="K1403" t="s">
        <v>38</v>
      </c>
      <c r="L1403" t="s">
        <v>38</v>
      </c>
      <c r="M1403" t="s">
        <v>38</v>
      </c>
      <c r="N1403" t="s">
        <v>38</v>
      </c>
      <c r="O1403" t="s">
        <v>54</v>
      </c>
      <c r="P1403" t="s">
        <v>42</v>
      </c>
      <c r="Q1403" t="s">
        <v>43</v>
      </c>
      <c r="R1403" t="s">
        <v>89</v>
      </c>
      <c r="S1403" t="s">
        <v>38</v>
      </c>
      <c r="T1403" t="s">
        <v>89</v>
      </c>
      <c r="U1403" t="s">
        <v>301</v>
      </c>
      <c r="V1403" t="s">
        <v>270</v>
      </c>
      <c r="W1403" t="s">
        <v>92</v>
      </c>
      <c r="X1403" t="s">
        <v>302</v>
      </c>
      <c r="Y1403" t="s">
        <v>2756</v>
      </c>
      <c r="Z1403" t="s">
        <v>42</v>
      </c>
      <c r="AA1403" t="s">
        <v>38</v>
      </c>
      <c r="AB1403" t="s">
        <v>38</v>
      </c>
      <c r="AC1403" t="s">
        <v>1171</v>
      </c>
      <c r="AD1403" t="s">
        <v>48</v>
      </c>
      <c r="AG1403" t="str">
        <f>IF(AD1403="United States", IFERROR(INDEX(Sheet2!$C:$C, MATCH(AE1403&amp;AF1403, Sheet2!$E:$E, 0)) &amp; ", " &amp; INDEX(Sheet2!$D:$D, MATCH(AE1403&amp;AF1403, Sheet2!$E:$E, 0)), ""), "-")</f>
        <v/>
      </c>
    </row>
    <row r="1404" spans="1:33" x14ac:dyDescent="0.25">
      <c r="A1404" t="s">
        <v>463</v>
      </c>
      <c r="B1404" t="s">
        <v>2757</v>
      </c>
      <c r="C1404" t="s">
        <v>2704</v>
      </c>
      <c r="D1404" t="s">
        <v>1122</v>
      </c>
      <c r="E1404" t="s">
        <v>2758</v>
      </c>
      <c r="F1404">
        <v>1765</v>
      </c>
      <c r="G1404">
        <v>2531</v>
      </c>
      <c r="H1404" t="s">
        <v>2706</v>
      </c>
      <c r="I1404" t="s">
        <v>87</v>
      </c>
      <c r="J1404" t="s">
        <v>2707</v>
      </c>
      <c r="K1404" t="s">
        <v>38</v>
      </c>
      <c r="L1404" t="s">
        <v>38</v>
      </c>
      <c r="M1404" t="s">
        <v>38</v>
      </c>
      <c r="N1404" t="s">
        <v>38</v>
      </c>
      <c r="O1404" t="s">
        <v>41</v>
      </c>
      <c r="P1404" t="s">
        <v>42</v>
      </c>
      <c r="Q1404" t="s">
        <v>43</v>
      </c>
      <c r="R1404" t="s">
        <v>89</v>
      </c>
      <c r="S1404" t="s">
        <v>153</v>
      </c>
      <c r="T1404" t="s">
        <v>89</v>
      </c>
      <c r="U1404" t="s">
        <v>301</v>
      </c>
      <c r="V1404" t="s">
        <v>740</v>
      </c>
      <c r="W1404" t="s">
        <v>92</v>
      </c>
      <c r="X1404" t="s">
        <v>302</v>
      </c>
      <c r="Y1404" t="s">
        <v>2759</v>
      </c>
      <c r="Z1404" t="s">
        <v>42</v>
      </c>
      <c r="AA1404" t="s">
        <v>548</v>
      </c>
      <c r="AB1404" t="s">
        <v>38</v>
      </c>
      <c r="AC1404" t="s">
        <v>153</v>
      </c>
      <c r="AD1404" t="s">
        <v>48</v>
      </c>
      <c r="AG1404" t="str">
        <f>IF(AD1404="United States", IFERROR(INDEX(Sheet2!$C:$C, MATCH(AE1404&amp;AF1404, Sheet2!$E:$E, 0)) &amp; ", " &amp; INDEX(Sheet2!$D:$D, MATCH(AE1404&amp;AF1404, Sheet2!$E:$E, 0)), ""), "-")</f>
        <v/>
      </c>
    </row>
    <row r="1405" spans="1:33" x14ac:dyDescent="0.25">
      <c r="A1405" t="s">
        <v>463</v>
      </c>
      <c r="B1405" t="s">
        <v>2760</v>
      </c>
      <c r="C1405" t="s">
        <v>2700</v>
      </c>
      <c r="D1405" t="s">
        <v>361</v>
      </c>
      <c r="E1405" t="s">
        <v>38</v>
      </c>
      <c r="F1405">
        <v>1779</v>
      </c>
      <c r="G1405">
        <v>818</v>
      </c>
      <c r="H1405" t="s">
        <v>269</v>
      </c>
      <c r="I1405" t="s">
        <v>39</v>
      </c>
      <c r="J1405" t="s">
        <v>2701</v>
      </c>
      <c r="K1405" t="s">
        <v>38</v>
      </c>
      <c r="L1405" t="s">
        <v>38</v>
      </c>
      <c r="M1405" t="s">
        <v>38</v>
      </c>
      <c r="N1405" t="s">
        <v>38</v>
      </c>
      <c r="O1405" t="s">
        <v>54</v>
      </c>
      <c r="P1405" t="s">
        <v>42</v>
      </c>
      <c r="Q1405" t="s">
        <v>43</v>
      </c>
      <c r="R1405" t="s">
        <v>89</v>
      </c>
      <c r="S1405" t="s">
        <v>38</v>
      </c>
      <c r="T1405" t="s">
        <v>89</v>
      </c>
      <c r="U1405" t="s">
        <v>301</v>
      </c>
      <c r="V1405" t="s">
        <v>270</v>
      </c>
      <c r="W1405" t="s">
        <v>92</v>
      </c>
      <c r="X1405" t="s">
        <v>302</v>
      </c>
      <c r="Y1405" t="s">
        <v>2756</v>
      </c>
      <c r="Z1405" t="s">
        <v>42</v>
      </c>
      <c r="AA1405" t="s">
        <v>38</v>
      </c>
      <c r="AB1405" t="s">
        <v>38</v>
      </c>
      <c r="AC1405" t="s">
        <v>38</v>
      </c>
      <c r="AD1405" t="s">
        <v>48</v>
      </c>
      <c r="AG1405" t="str">
        <f>IF(AD1405="United States", IFERROR(INDEX(Sheet2!$C:$C, MATCH(AE1405&amp;AF1405, Sheet2!$E:$E, 0)) &amp; ", " &amp; INDEX(Sheet2!$D:$D, MATCH(AE1405&amp;AF1405, Sheet2!$E:$E, 0)), ""), "-")</f>
        <v/>
      </c>
    </row>
    <row r="1406" spans="1:33" x14ac:dyDescent="0.25">
      <c r="A1406" t="s">
        <v>463</v>
      </c>
      <c r="B1406" t="s">
        <v>2761</v>
      </c>
      <c r="C1406" t="s">
        <v>2753</v>
      </c>
      <c r="D1406" t="s">
        <v>2762</v>
      </c>
      <c r="E1406" t="s">
        <v>2763</v>
      </c>
      <c r="F1406">
        <v>1775</v>
      </c>
      <c r="G1406">
        <v>2365</v>
      </c>
      <c r="H1406" t="s">
        <v>38</v>
      </c>
      <c r="I1406" t="s">
        <v>87</v>
      </c>
      <c r="J1406" t="s">
        <v>38</v>
      </c>
      <c r="K1406" t="s">
        <v>38</v>
      </c>
      <c r="L1406" t="s">
        <v>38</v>
      </c>
      <c r="M1406" t="s">
        <v>38</v>
      </c>
      <c r="N1406" t="s">
        <v>38</v>
      </c>
      <c r="O1406" t="s">
        <v>74</v>
      </c>
      <c r="P1406" t="s">
        <v>42</v>
      </c>
      <c r="Q1406" t="s">
        <v>43</v>
      </c>
      <c r="R1406" t="s">
        <v>2764</v>
      </c>
      <c r="S1406" t="s">
        <v>153</v>
      </c>
      <c r="T1406" t="s">
        <v>38</v>
      </c>
      <c r="U1406" t="s">
        <v>38</v>
      </c>
      <c r="V1406" t="s">
        <v>38</v>
      </c>
      <c r="W1406" t="s">
        <v>38</v>
      </c>
      <c r="X1406" t="s">
        <v>38</v>
      </c>
      <c r="Y1406" t="s">
        <v>1874</v>
      </c>
      <c r="Z1406" t="s">
        <v>42</v>
      </c>
      <c r="AA1406" t="s">
        <v>155</v>
      </c>
      <c r="AB1406" t="s">
        <v>38</v>
      </c>
      <c r="AC1406" t="s">
        <v>153</v>
      </c>
      <c r="AD1406" t="s">
        <v>48</v>
      </c>
      <c r="AG1406" t="str">
        <f>IF(AD1406="United States", IFERROR(INDEX(Sheet2!$C:$C, MATCH(AE1406&amp;AF1406, Sheet2!$E:$E, 0)) &amp; ", " &amp; INDEX(Sheet2!$D:$D, MATCH(AE1406&amp;AF1406, Sheet2!$E:$E, 0)), ""), "-")</f>
        <v/>
      </c>
    </row>
    <row r="1407" spans="1:33" x14ac:dyDescent="0.25">
      <c r="A1407" t="s">
        <v>463</v>
      </c>
      <c r="D1407" t="s">
        <v>2765</v>
      </c>
      <c r="E1407" t="s">
        <v>2766</v>
      </c>
      <c r="F1407">
        <v>1759</v>
      </c>
      <c r="G1407">
        <v>2554</v>
      </c>
      <c r="H1407">
        <v>78</v>
      </c>
      <c r="J1407" t="s">
        <v>2707</v>
      </c>
      <c r="O1407" t="s">
        <v>41</v>
      </c>
      <c r="R1407" t="s">
        <v>89</v>
      </c>
      <c r="T1407" t="s">
        <v>89</v>
      </c>
      <c r="U1407" t="s">
        <v>301</v>
      </c>
      <c r="V1407" t="s">
        <v>1045</v>
      </c>
      <c r="W1407" t="s">
        <v>92</v>
      </c>
      <c r="X1407" t="s">
        <v>302</v>
      </c>
      <c r="Y1407" t="s">
        <v>38</v>
      </c>
      <c r="AA1407" t="s">
        <v>38</v>
      </c>
      <c r="AB1407" t="s">
        <v>38</v>
      </c>
      <c r="AC1407" t="s">
        <v>38</v>
      </c>
      <c r="AD1407" t="s">
        <v>48</v>
      </c>
      <c r="AG1407" t="str">
        <f>IF(AD1407="United States", IFERROR(INDEX(Sheet2!$C:$C, MATCH(AE1407&amp;AF1407, Sheet2!$E:$E, 0)) &amp; ", " &amp; INDEX(Sheet2!$D:$D, MATCH(AE1407&amp;AF1407, Sheet2!$E:$E, 0)), ""), "-")</f>
        <v/>
      </c>
    </row>
    <row r="1408" spans="1:33" x14ac:dyDescent="0.25">
      <c r="A1408" t="s">
        <v>463</v>
      </c>
      <c r="B1408" t="s">
        <v>2767</v>
      </c>
      <c r="C1408" t="s">
        <v>2768</v>
      </c>
      <c r="D1408" t="s">
        <v>1197</v>
      </c>
      <c r="E1408" t="s">
        <v>992</v>
      </c>
      <c r="F1408">
        <v>1742</v>
      </c>
      <c r="G1408">
        <v>771</v>
      </c>
      <c r="H1408" t="s">
        <v>2179</v>
      </c>
      <c r="I1408" t="s">
        <v>39</v>
      </c>
      <c r="J1408" t="s">
        <v>2769</v>
      </c>
      <c r="K1408" t="s">
        <v>38</v>
      </c>
      <c r="L1408" t="s">
        <v>38</v>
      </c>
      <c r="M1408" t="s">
        <v>38</v>
      </c>
      <c r="N1408" t="s">
        <v>38</v>
      </c>
      <c r="O1408" t="s">
        <v>57</v>
      </c>
      <c r="P1408" t="s">
        <v>42</v>
      </c>
      <c r="Q1408" t="s">
        <v>43</v>
      </c>
      <c r="R1408" t="s">
        <v>89</v>
      </c>
      <c r="S1408" t="s">
        <v>38</v>
      </c>
      <c r="T1408" t="s">
        <v>89</v>
      </c>
      <c r="U1408" t="s">
        <v>301</v>
      </c>
      <c r="V1408" t="s">
        <v>270</v>
      </c>
      <c r="W1408" t="s">
        <v>92</v>
      </c>
      <c r="X1408" t="s">
        <v>302</v>
      </c>
      <c r="Y1408" t="s">
        <v>2770</v>
      </c>
      <c r="Z1408" t="s">
        <v>42</v>
      </c>
      <c r="AA1408" t="s">
        <v>38</v>
      </c>
      <c r="AB1408" t="s">
        <v>38</v>
      </c>
      <c r="AC1408" t="s">
        <v>2771</v>
      </c>
      <c r="AD1408" t="s">
        <v>48</v>
      </c>
      <c r="AG1408" t="str">
        <f>IF(AD1408="United States", IFERROR(INDEX(Sheet2!$C:$C, MATCH(AE1408&amp;AF1408, Sheet2!$E:$E, 0)) &amp; ", " &amp; INDEX(Sheet2!$D:$D, MATCH(AE1408&amp;AF1408, Sheet2!$E:$E, 0)), ""), "-")</f>
        <v/>
      </c>
    </row>
    <row r="1409" spans="1:33" x14ac:dyDescent="0.25">
      <c r="A1409" t="s">
        <v>463</v>
      </c>
      <c r="B1409" t="s">
        <v>2772</v>
      </c>
      <c r="C1409" t="s">
        <v>2768</v>
      </c>
      <c r="D1409" t="s">
        <v>621</v>
      </c>
      <c r="E1409" t="s">
        <v>2291</v>
      </c>
      <c r="F1409">
        <v>1747</v>
      </c>
      <c r="G1409">
        <v>770</v>
      </c>
      <c r="H1409" t="s">
        <v>2179</v>
      </c>
      <c r="I1409" t="s">
        <v>39</v>
      </c>
      <c r="J1409" t="s">
        <v>2769</v>
      </c>
      <c r="K1409" t="s">
        <v>38</v>
      </c>
      <c r="L1409" t="s">
        <v>38</v>
      </c>
      <c r="M1409" t="s">
        <v>38</v>
      </c>
      <c r="N1409" t="s">
        <v>38</v>
      </c>
      <c r="O1409" t="s">
        <v>41</v>
      </c>
      <c r="P1409" t="s">
        <v>42</v>
      </c>
      <c r="Q1409" t="s">
        <v>43</v>
      </c>
      <c r="R1409" t="s">
        <v>89</v>
      </c>
      <c r="S1409" t="s">
        <v>45</v>
      </c>
      <c r="T1409" t="s">
        <v>89</v>
      </c>
      <c r="U1409" t="s">
        <v>301</v>
      </c>
      <c r="V1409" t="s">
        <v>270</v>
      </c>
      <c r="W1409" t="s">
        <v>92</v>
      </c>
      <c r="X1409" t="s">
        <v>302</v>
      </c>
      <c r="Y1409" t="s">
        <v>2770</v>
      </c>
      <c r="Z1409" t="s">
        <v>42</v>
      </c>
      <c r="AA1409" t="s">
        <v>38</v>
      </c>
      <c r="AB1409" t="s">
        <v>38</v>
      </c>
      <c r="AC1409" t="s">
        <v>45</v>
      </c>
      <c r="AD1409" t="s">
        <v>48</v>
      </c>
      <c r="AG1409" t="str">
        <f>IF(AD1409="United States", IFERROR(INDEX(Sheet2!$C:$C, MATCH(AE1409&amp;AF1409, Sheet2!$E:$E, 0)) &amp; ", " &amp; INDEX(Sheet2!$D:$D, MATCH(AE1409&amp;AF1409, Sheet2!$E:$E, 0)), ""), "-")</f>
        <v/>
      </c>
    </row>
    <row r="1410" spans="1:33" x14ac:dyDescent="0.25">
      <c r="A1410" t="s">
        <v>463</v>
      </c>
      <c r="B1410" t="s">
        <v>2773</v>
      </c>
      <c r="C1410" t="s">
        <v>2704</v>
      </c>
      <c r="D1410" t="s">
        <v>226</v>
      </c>
      <c r="E1410" t="s">
        <v>2774</v>
      </c>
      <c r="F1410">
        <v>1738</v>
      </c>
      <c r="G1410">
        <v>2497</v>
      </c>
      <c r="H1410" t="s">
        <v>536</v>
      </c>
      <c r="I1410" t="s">
        <v>87</v>
      </c>
      <c r="J1410" t="s">
        <v>2707</v>
      </c>
      <c r="K1410" t="s">
        <v>38</v>
      </c>
      <c r="L1410" t="s">
        <v>38</v>
      </c>
      <c r="M1410" t="s">
        <v>38</v>
      </c>
      <c r="N1410" t="s">
        <v>38</v>
      </c>
      <c r="O1410" t="s">
        <v>41</v>
      </c>
      <c r="P1410" t="s">
        <v>42</v>
      </c>
      <c r="Q1410" t="s">
        <v>43</v>
      </c>
      <c r="R1410" t="s">
        <v>89</v>
      </c>
      <c r="S1410" t="s">
        <v>286</v>
      </c>
      <c r="T1410" t="s">
        <v>89</v>
      </c>
      <c r="U1410" t="s">
        <v>301</v>
      </c>
      <c r="V1410" t="s">
        <v>740</v>
      </c>
      <c r="W1410" t="s">
        <v>92</v>
      </c>
      <c r="X1410" t="s">
        <v>302</v>
      </c>
      <c r="Y1410" t="s">
        <v>2724</v>
      </c>
      <c r="Z1410" t="s">
        <v>42</v>
      </c>
      <c r="AA1410" t="s">
        <v>2238</v>
      </c>
      <c r="AB1410" t="s">
        <v>38</v>
      </c>
      <c r="AC1410" t="s">
        <v>286</v>
      </c>
      <c r="AD1410" t="s">
        <v>48</v>
      </c>
      <c r="AG1410" t="str">
        <f>IF(AD1410="United States", IFERROR(INDEX(Sheet2!$C:$C, MATCH(AE1410&amp;AF1410, Sheet2!$E:$E, 0)) &amp; ", " &amp; INDEX(Sheet2!$D:$D, MATCH(AE1410&amp;AF1410, Sheet2!$E:$E, 0)), ""), "-")</f>
        <v/>
      </c>
    </row>
    <row r="1411" spans="1:33" x14ac:dyDescent="0.25">
      <c r="A1411" t="s">
        <v>463</v>
      </c>
      <c r="B1411" t="s">
        <v>2775</v>
      </c>
      <c r="C1411" t="s">
        <v>2704</v>
      </c>
      <c r="D1411" t="s">
        <v>2776</v>
      </c>
      <c r="E1411" t="s">
        <v>2777</v>
      </c>
      <c r="F1411">
        <v>1749</v>
      </c>
      <c r="G1411">
        <v>2498</v>
      </c>
      <c r="H1411" t="s">
        <v>536</v>
      </c>
      <c r="I1411" t="s">
        <v>87</v>
      </c>
      <c r="J1411" t="s">
        <v>2707</v>
      </c>
      <c r="K1411" t="s">
        <v>38</v>
      </c>
      <c r="L1411" t="s">
        <v>38</v>
      </c>
      <c r="M1411" t="s">
        <v>38</v>
      </c>
      <c r="N1411" t="s">
        <v>38</v>
      </c>
      <c r="O1411" t="s">
        <v>41</v>
      </c>
      <c r="P1411" t="s">
        <v>42</v>
      </c>
      <c r="Q1411" t="s">
        <v>43</v>
      </c>
      <c r="R1411" t="s">
        <v>89</v>
      </c>
      <c r="S1411" t="s">
        <v>286</v>
      </c>
      <c r="T1411" t="s">
        <v>89</v>
      </c>
      <c r="U1411" t="s">
        <v>301</v>
      </c>
      <c r="V1411" t="s">
        <v>740</v>
      </c>
      <c r="W1411" t="s">
        <v>92</v>
      </c>
      <c r="X1411" t="s">
        <v>302</v>
      </c>
      <c r="Y1411" t="s">
        <v>2724</v>
      </c>
      <c r="Z1411" t="s">
        <v>42</v>
      </c>
      <c r="AA1411" t="s">
        <v>2238</v>
      </c>
      <c r="AB1411" t="s">
        <v>38</v>
      </c>
      <c r="AC1411" t="s">
        <v>286</v>
      </c>
      <c r="AD1411" t="s">
        <v>48</v>
      </c>
      <c r="AG1411" t="str">
        <f>IF(AD1411="United States", IFERROR(INDEX(Sheet2!$C:$C, MATCH(AE1411&amp;AF1411, Sheet2!$E:$E, 0)) &amp; ", " &amp; INDEX(Sheet2!$D:$D, MATCH(AE1411&amp;AF1411, Sheet2!$E:$E, 0)), ""), "-")</f>
        <v/>
      </c>
    </row>
    <row r="1412" spans="1:33" x14ac:dyDescent="0.25">
      <c r="A1412" t="s">
        <v>463</v>
      </c>
      <c r="B1412" t="s">
        <v>2778</v>
      </c>
      <c r="C1412" t="s">
        <v>2704</v>
      </c>
      <c r="D1412" t="s">
        <v>113</v>
      </c>
      <c r="E1412" t="s">
        <v>2779</v>
      </c>
      <c r="F1412">
        <v>1748</v>
      </c>
      <c r="G1412">
        <v>2499</v>
      </c>
      <c r="H1412" t="s">
        <v>536</v>
      </c>
      <c r="I1412" t="s">
        <v>87</v>
      </c>
      <c r="J1412" t="s">
        <v>2707</v>
      </c>
      <c r="K1412" t="s">
        <v>38</v>
      </c>
      <c r="L1412" t="s">
        <v>38</v>
      </c>
      <c r="M1412" t="s">
        <v>38</v>
      </c>
      <c r="N1412" t="s">
        <v>38</v>
      </c>
      <c r="O1412" t="s">
        <v>41</v>
      </c>
      <c r="P1412" t="s">
        <v>42</v>
      </c>
      <c r="Q1412" t="s">
        <v>43</v>
      </c>
      <c r="R1412" t="s">
        <v>89</v>
      </c>
      <c r="S1412" t="s">
        <v>45</v>
      </c>
      <c r="T1412" t="s">
        <v>89</v>
      </c>
      <c r="U1412" t="s">
        <v>301</v>
      </c>
      <c r="V1412" t="s">
        <v>740</v>
      </c>
      <c r="W1412" t="s">
        <v>92</v>
      </c>
      <c r="X1412" t="s">
        <v>302</v>
      </c>
      <c r="Y1412" t="s">
        <v>2724</v>
      </c>
      <c r="Z1412" t="s">
        <v>42</v>
      </c>
      <c r="AA1412" t="s">
        <v>1322</v>
      </c>
      <c r="AB1412" t="s">
        <v>38</v>
      </c>
      <c r="AC1412" t="s">
        <v>45</v>
      </c>
      <c r="AD1412" t="s">
        <v>48</v>
      </c>
      <c r="AG1412" t="str">
        <f>IF(AD1412="United States", IFERROR(INDEX(Sheet2!$C:$C, MATCH(AE1412&amp;AF1412, Sheet2!$E:$E, 0)) &amp; ", " &amp; INDEX(Sheet2!$D:$D, MATCH(AE1412&amp;AF1412, Sheet2!$E:$E, 0)), ""), "-")</f>
        <v/>
      </c>
    </row>
    <row r="1413" spans="1:33" x14ac:dyDescent="0.25">
      <c r="A1413" t="s">
        <v>463</v>
      </c>
      <c r="B1413" t="s">
        <v>2780</v>
      </c>
      <c r="C1413" t="s">
        <v>2704</v>
      </c>
      <c r="D1413" t="s">
        <v>1107</v>
      </c>
      <c r="E1413" t="s">
        <v>38</v>
      </c>
      <c r="F1413">
        <v>1765</v>
      </c>
      <c r="G1413">
        <v>2500</v>
      </c>
      <c r="H1413" t="s">
        <v>536</v>
      </c>
      <c r="I1413" t="s">
        <v>87</v>
      </c>
      <c r="J1413" t="s">
        <v>2707</v>
      </c>
      <c r="K1413" t="s">
        <v>38</v>
      </c>
      <c r="L1413" t="s">
        <v>38</v>
      </c>
      <c r="M1413" t="s">
        <v>38</v>
      </c>
      <c r="N1413" t="s">
        <v>38</v>
      </c>
      <c r="O1413" t="s">
        <v>41</v>
      </c>
      <c r="P1413" t="s">
        <v>42</v>
      </c>
      <c r="Q1413" t="s">
        <v>43</v>
      </c>
      <c r="R1413" t="s">
        <v>89</v>
      </c>
      <c r="S1413" t="s">
        <v>286</v>
      </c>
      <c r="T1413" t="s">
        <v>89</v>
      </c>
      <c r="U1413" t="s">
        <v>301</v>
      </c>
      <c r="V1413" t="s">
        <v>740</v>
      </c>
      <c r="W1413" t="s">
        <v>92</v>
      </c>
      <c r="X1413" t="s">
        <v>302</v>
      </c>
      <c r="Y1413" t="s">
        <v>2781</v>
      </c>
      <c r="Z1413" t="s">
        <v>42</v>
      </c>
      <c r="AA1413" t="s">
        <v>38</v>
      </c>
      <c r="AB1413" t="s">
        <v>38</v>
      </c>
      <c r="AC1413" t="s">
        <v>286</v>
      </c>
      <c r="AD1413" t="s">
        <v>48</v>
      </c>
      <c r="AG1413" t="str">
        <f>IF(AD1413="United States", IFERROR(INDEX(Sheet2!$C:$C, MATCH(AE1413&amp;AF1413, Sheet2!$E:$E, 0)) &amp; ", " &amp; INDEX(Sheet2!$D:$D, MATCH(AE1413&amp;AF1413, Sheet2!$E:$E, 0)), ""), "-")</f>
        <v/>
      </c>
    </row>
    <row r="1414" spans="1:33" x14ac:dyDescent="0.25">
      <c r="A1414" t="s">
        <v>463</v>
      </c>
      <c r="B1414" t="s">
        <v>2782</v>
      </c>
      <c r="C1414" t="s">
        <v>2704</v>
      </c>
      <c r="D1414" t="s">
        <v>50</v>
      </c>
      <c r="E1414" t="s">
        <v>2783</v>
      </c>
      <c r="F1414">
        <v>1753</v>
      </c>
      <c r="G1414">
        <v>2501</v>
      </c>
      <c r="H1414" t="s">
        <v>536</v>
      </c>
      <c r="I1414" t="s">
        <v>87</v>
      </c>
      <c r="J1414" t="s">
        <v>2707</v>
      </c>
      <c r="K1414" t="s">
        <v>38</v>
      </c>
      <c r="L1414" t="s">
        <v>38</v>
      </c>
      <c r="M1414" t="s">
        <v>38</v>
      </c>
      <c r="N1414" t="s">
        <v>38</v>
      </c>
      <c r="O1414" t="s">
        <v>57</v>
      </c>
      <c r="P1414" t="s">
        <v>42</v>
      </c>
      <c r="Q1414" t="s">
        <v>43</v>
      </c>
      <c r="R1414" t="s">
        <v>89</v>
      </c>
      <c r="S1414" t="s">
        <v>153</v>
      </c>
      <c r="T1414" t="s">
        <v>89</v>
      </c>
      <c r="U1414" t="s">
        <v>301</v>
      </c>
      <c r="V1414" t="s">
        <v>740</v>
      </c>
      <c r="W1414" t="s">
        <v>92</v>
      </c>
      <c r="X1414" t="s">
        <v>302</v>
      </c>
      <c r="Y1414" t="s">
        <v>2724</v>
      </c>
      <c r="Z1414" t="s">
        <v>42</v>
      </c>
      <c r="AA1414" t="s">
        <v>2784</v>
      </c>
      <c r="AB1414" t="s">
        <v>38</v>
      </c>
      <c r="AC1414" t="s">
        <v>153</v>
      </c>
      <c r="AD1414" t="s">
        <v>48</v>
      </c>
      <c r="AG1414" t="str">
        <f>IF(AD1414="United States", IFERROR(INDEX(Sheet2!$C:$C, MATCH(AE1414&amp;AF1414, Sheet2!$E:$E, 0)) &amp; ", " &amp; INDEX(Sheet2!$D:$D, MATCH(AE1414&amp;AF1414, Sheet2!$E:$E, 0)), ""), "-")</f>
        <v/>
      </c>
    </row>
    <row r="1415" spans="1:33" x14ac:dyDescent="0.25">
      <c r="A1415" t="s">
        <v>463</v>
      </c>
      <c r="B1415" t="s">
        <v>2785</v>
      </c>
      <c r="C1415" t="s">
        <v>2704</v>
      </c>
      <c r="D1415" t="s">
        <v>505</v>
      </c>
      <c r="E1415" t="s">
        <v>38</v>
      </c>
      <c r="F1415">
        <v>1771</v>
      </c>
      <c r="G1415">
        <v>2502</v>
      </c>
      <c r="H1415" t="s">
        <v>38</v>
      </c>
      <c r="I1415" t="s">
        <v>87</v>
      </c>
      <c r="J1415" t="s">
        <v>2707</v>
      </c>
      <c r="K1415" t="s">
        <v>38</v>
      </c>
      <c r="L1415" t="s">
        <v>38</v>
      </c>
      <c r="M1415" t="s">
        <v>38</v>
      </c>
      <c r="N1415" t="s">
        <v>38</v>
      </c>
      <c r="O1415" t="s">
        <v>54</v>
      </c>
      <c r="P1415" t="s">
        <v>42</v>
      </c>
      <c r="Q1415" t="s">
        <v>43</v>
      </c>
      <c r="R1415" t="s">
        <v>2784</v>
      </c>
      <c r="S1415" t="s">
        <v>153</v>
      </c>
      <c r="T1415" t="s">
        <v>38</v>
      </c>
      <c r="U1415" t="s">
        <v>38</v>
      </c>
      <c r="V1415" t="s">
        <v>740</v>
      </c>
      <c r="W1415" t="s">
        <v>38</v>
      </c>
      <c r="X1415" t="s">
        <v>38</v>
      </c>
      <c r="Y1415" t="s">
        <v>2724</v>
      </c>
      <c r="Z1415" t="s">
        <v>42</v>
      </c>
      <c r="AA1415" t="s">
        <v>505</v>
      </c>
      <c r="AB1415" t="s">
        <v>2784</v>
      </c>
      <c r="AC1415" t="s">
        <v>153</v>
      </c>
      <c r="AD1415" t="s">
        <v>48</v>
      </c>
      <c r="AG1415" t="str">
        <f>IF(AD1415="United States", IFERROR(INDEX(Sheet2!$C:$C, MATCH(AE1415&amp;AF1415, Sheet2!$E:$E, 0)) &amp; ", " &amp; INDEX(Sheet2!$D:$D, MATCH(AE1415&amp;AF1415, Sheet2!$E:$E, 0)), ""), "-")</f>
        <v/>
      </c>
    </row>
    <row r="1416" spans="1:33" x14ac:dyDescent="0.25">
      <c r="A1416" t="s">
        <v>463</v>
      </c>
      <c r="B1416" t="s">
        <v>2786</v>
      </c>
      <c r="C1416" t="s">
        <v>2704</v>
      </c>
      <c r="D1416" t="s">
        <v>210</v>
      </c>
      <c r="E1416" t="s">
        <v>2787</v>
      </c>
      <c r="F1416" t="s">
        <v>38</v>
      </c>
      <c r="G1416">
        <v>2503</v>
      </c>
      <c r="H1416" t="s">
        <v>536</v>
      </c>
      <c r="I1416" t="s">
        <v>87</v>
      </c>
      <c r="J1416" t="s">
        <v>2707</v>
      </c>
      <c r="K1416" t="s">
        <v>38</v>
      </c>
      <c r="L1416" t="s">
        <v>38</v>
      </c>
      <c r="M1416" t="s">
        <v>38</v>
      </c>
      <c r="N1416" t="s">
        <v>38</v>
      </c>
      <c r="O1416" t="s">
        <v>54</v>
      </c>
      <c r="P1416" t="s">
        <v>42</v>
      </c>
      <c r="Q1416" t="s">
        <v>43</v>
      </c>
      <c r="R1416" t="s">
        <v>89</v>
      </c>
      <c r="S1416" t="s">
        <v>38</v>
      </c>
      <c r="T1416" t="s">
        <v>89</v>
      </c>
      <c r="U1416" t="s">
        <v>301</v>
      </c>
      <c r="V1416" t="s">
        <v>740</v>
      </c>
      <c r="W1416" t="s">
        <v>92</v>
      </c>
      <c r="X1416" t="s">
        <v>302</v>
      </c>
      <c r="Y1416" t="s">
        <v>38</v>
      </c>
      <c r="Z1416" t="s">
        <v>42</v>
      </c>
      <c r="AA1416" t="s">
        <v>38</v>
      </c>
      <c r="AB1416" t="s">
        <v>38</v>
      </c>
      <c r="AC1416" t="s">
        <v>38</v>
      </c>
      <c r="AD1416" t="s">
        <v>48</v>
      </c>
      <c r="AG1416" t="str">
        <f>IF(AD1416="United States", IFERROR(INDEX(Sheet2!$C:$C, MATCH(AE1416&amp;AF1416, Sheet2!$E:$E, 0)) &amp; ", " &amp; INDEX(Sheet2!$D:$D, MATCH(AE1416&amp;AF1416, Sheet2!$E:$E, 0)), ""), "-")</f>
        <v/>
      </c>
    </row>
    <row r="1417" spans="1:33" x14ac:dyDescent="0.25">
      <c r="A1417" t="s">
        <v>463</v>
      </c>
      <c r="B1417" t="s">
        <v>2788</v>
      </c>
      <c r="C1417" t="s">
        <v>2704</v>
      </c>
      <c r="D1417" t="s">
        <v>245</v>
      </c>
      <c r="E1417" t="s">
        <v>489</v>
      </c>
      <c r="F1417">
        <v>1764</v>
      </c>
      <c r="G1417">
        <v>2505</v>
      </c>
      <c r="H1417" t="s">
        <v>2600</v>
      </c>
      <c r="I1417" t="s">
        <v>87</v>
      </c>
      <c r="J1417" t="s">
        <v>2707</v>
      </c>
      <c r="K1417" t="s">
        <v>38</v>
      </c>
      <c r="L1417" t="s">
        <v>38</v>
      </c>
      <c r="M1417" t="s">
        <v>38</v>
      </c>
      <c r="N1417" t="s">
        <v>38</v>
      </c>
      <c r="O1417" t="s">
        <v>57</v>
      </c>
      <c r="P1417" t="s">
        <v>42</v>
      </c>
      <c r="Q1417" t="s">
        <v>43</v>
      </c>
      <c r="R1417" t="s">
        <v>89</v>
      </c>
      <c r="S1417" t="s">
        <v>153</v>
      </c>
      <c r="T1417" t="s">
        <v>89</v>
      </c>
      <c r="U1417" t="s">
        <v>301</v>
      </c>
      <c r="V1417" t="s">
        <v>740</v>
      </c>
      <c r="W1417" t="s">
        <v>92</v>
      </c>
      <c r="X1417" t="s">
        <v>302</v>
      </c>
      <c r="Y1417" t="s">
        <v>2724</v>
      </c>
      <c r="Z1417" t="s">
        <v>42</v>
      </c>
      <c r="AA1417" t="s">
        <v>155</v>
      </c>
      <c r="AB1417" t="s">
        <v>38</v>
      </c>
      <c r="AC1417" t="s">
        <v>153</v>
      </c>
      <c r="AD1417" t="s">
        <v>48</v>
      </c>
      <c r="AG1417" t="str">
        <f>IF(AD1417="United States", IFERROR(INDEX(Sheet2!$C:$C, MATCH(AE1417&amp;AF1417, Sheet2!$E:$E, 0)) &amp; ", " &amp; INDEX(Sheet2!$D:$D, MATCH(AE1417&amp;AF1417, Sheet2!$E:$E, 0)), ""), "-")</f>
        <v/>
      </c>
    </row>
    <row r="1418" spans="1:33" x14ac:dyDescent="0.25">
      <c r="A1418" t="s">
        <v>463</v>
      </c>
      <c r="B1418" t="s">
        <v>2789</v>
      </c>
      <c r="C1418" t="s">
        <v>2704</v>
      </c>
      <c r="D1418" t="s">
        <v>1164</v>
      </c>
      <c r="E1418" t="s">
        <v>38</v>
      </c>
      <c r="F1418">
        <v>1758</v>
      </c>
      <c r="G1418">
        <v>2506</v>
      </c>
      <c r="H1418" t="s">
        <v>536</v>
      </c>
      <c r="I1418" t="s">
        <v>87</v>
      </c>
      <c r="J1418" t="s">
        <v>2707</v>
      </c>
      <c r="K1418" t="s">
        <v>38</v>
      </c>
      <c r="L1418" t="s">
        <v>38</v>
      </c>
      <c r="M1418" t="s">
        <v>38</v>
      </c>
      <c r="N1418" t="s">
        <v>38</v>
      </c>
      <c r="O1418" t="s">
        <v>57</v>
      </c>
      <c r="P1418" t="s">
        <v>42</v>
      </c>
      <c r="Q1418" t="s">
        <v>43</v>
      </c>
      <c r="R1418" t="s">
        <v>89</v>
      </c>
      <c r="S1418" t="s">
        <v>38</v>
      </c>
      <c r="T1418" t="s">
        <v>89</v>
      </c>
      <c r="U1418" t="s">
        <v>301</v>
      </c>
      <c r="V1418" t="s">
        <v>740</v>
      </c>
      <c r="W1418" t="s">
        <v>92</v>
      </c>
      <c r="X1418" t="s">
        <v>302</v>
      </c>
      <c r="Y1418" t="s">
        <v>2440</v>
      </c>
      <c r="Z1418" t="s">
        <v>42</v>
      </c>
      <c r="AA1418" t="s">
        <v>38</v>
      </c>
      <c r="AB1418" t="s">
        <v>38</v>
      </c>
      <c r="AC1418" t="s">
        <v>38</v>
      </c>
      <c r="AD1418" t="s">
        <v>48</v>
      </c>
      <c r="AG1418" t="str">
        <f>IF(AD1418="United States", IFERROR(INDEX(Sheet2!$C:$C, MATCH(AE1418&amp;AF1418, Sheet2!$E:$E, 0)) &amp; ", " &amp; INDEX(Sheet2!$D:$D, MATCH(AE1418&amp;AF1418, Sheet2!$E:$E, 0)), ""), "-")</f>
        <v/>
      </c>
    </row>
    <row r="1419" spans="1:33" x14ac:dyDescent="0.25">
      <c r="A1419" t="s">
        <v>463</v>
      </c>
      <c r="B1419" t="s">
        <v>2790</v>
      </c>
      <c r="C1419" t="s">
        <v>2704</v>
      </c>
      <c r="D1419" t="s">
        <v>1174</v>
      </c>
      <c r="E1419" t="s">
        <v>38</v>
      </c>
      <c r="F1419">
        <v>1781</v>
      </c>
      <c r="G1419">
        <v>2507</v>
      </c>
      <c r="H1419" t="s">
        <v>1873</v>
      </c>
      <c r="I1419" t="s">
        <v>87</v>
      </c>
      <c r="J1419" t="s">
        <v>2707</v>
      </c>
      <c r="K1419" t="s">
        <v>38</v>
      </c>
      <c r="L1419" t="s">
        <v>38</v>
      </c>
      <c r="M1419" t="s">
        <v>38</v>
      </c>
      <c r="N1419" t="s">
        <v>38</v>
      </c>
      <c r="O1419" t="s">
        <v>54</v>
      </c>
      <c r="P1419" t="s">
        <v>42</v>
      </c>
      <c r="Q1419" t="s">
        <v>43</v>
      </c>
      <c r="R1419" t="s">
        <v>89</v>
      </c>
      <c r="S1419" t="s">
        <v>38</v>
      </c>
      <c r="T1419" t="s">
        <v>89</v>
      </c>
      <c r="U1419" t="s">
        <v>301</v>
      </c>
      <c r="V1419" t="s">
        <v>740</v>
      </c>
      <c r="W1419" t="s">
        <v>92</v>
      </c>
      <c r="X1419" t="s">
        <v>302</v>
      </c>
      <c r="Y1419" t="s">
        <v>2440</v>
      </c>
      <c r="Z1419" t="s">
        <v>42</v>
      </c>
      <c r="AA1419" t="s">
        <v>38</v>
      </c>
      <c r="AB1419" t="s">
        <v>38</v>
      </c>
      <c r="AC1419" t="s">
        <v>38</v>
      </c>
      <c r="AD1419" t="s">
        <v>48</v>
      </c>
      <c r="AG1419" t="str">
        <f>IF(AD1419="United States", IFERROR(INDEX(Sheet2!$C:$C, MATCH(AE1419&amp;AF1419, Sheet2!$E:$E, 0)) &amp; ", " &amp; INDEX(Sheet2!$D:$D, MATCH(AE1419&amp;AF1419, Sheet2!$E:$E, 0)), ""), "-")</f>
        <v/>
      </c>
    </row>
    <row r="1420" spans="1:33" x14ac:dyDescent="0.25">
      <c r="A1420" t="s">
        <v>463</v>
      </c>
      <c r="B1420" t="s">
        <v>2791</v>
      </c>
      <c r="C1420" t="s">
        <v>2704</v>
      </c>
      <c r="D1420" t="s">
        <v>2792</v>
      </c>
      <c r="E1420" t="s">
        <v>1377</v>
      </c>
      <c r="F1420">
        <v>1734</v>
      </c>
      <c r="G1420">
        <v>2508</v>
      </c>
      <c r="H1420" t="s">
        <v>536</v>
      </c>
      <c r="I1420" t="s">
        <v>87</v>
      </c>
      <c r="J1420" t="s">
        <v>2707</v>
      </c>
      <c r="K1420" t="s">
        <v>38</v>
      </c>
      <c r="L1420" t="s">
        <v>38</v>
      </c>
      <c r="M1420" t="s">
        <v>38</v>
      </c>
      <c r="N1420" t="s">
        <v>38</v>
      </c>
      <c r="O1420" t="s">
        <v>57</v>
      </c>
      <c r="P1420" t="s">
        <v>42</v>
      </c>
      <c r="Q1420" t="s">
        <v>43</v>
      </c>
      <c r="R1420" t="s">
        <v>89</v>
      </c>
      <c r="S1420" t="s">
        <v>89</v>
      </c>
      <c r="T1420" t="s">
        <v>89</v>
      </c>
      <c r="U1420" t="s">
        <v>301</v>
      </c>
      <c r="V1420" t="s">
        <v>740</v>
      </c>
      <c r="W1420" t="s">
        <v>92</v>
      </c>
      <c r="X1420" t="s">
        <v>302</v>
      </c>
      <c r="Y1420" t="s">
        <v>2724</v>
      </c>
      <c r="Z1420" t="s">
        <v>42</v>
      </c>
      <c r="AA1420" t="s">
        <v>38</v>
      </c>
      <c r="AB1420" t="s">
        <v>38</v>
      </c>
      <c r="AC1420" t="s">
        <v>89</v>
      </c>
      <c r="AD1420" t="s">
        <v>48</v>
      </c>
      <c r="AG1420" t="str">
        <f>IF(AD1420="United States", IFERROR(INDEX(Sheet2!$C:$C, MATCH(AE1420&amp;AF1420, Sheet2!$E:$E, 0)) &amp; ", " &amp; INDEX(Sheet2!$D:$D, MATCH(AE1420&amp;AF1420, Sheet2!$E:$E, 0)), ""), "-")</f>
        <v/>
      </c>
    </row>
    <row r="1421" spans="1:33" x14ac:dyDescent="0.25">
      <c r="A1421" t="s">
        <v>463</v>
      </c>
      <c r="B1421" t="s">
        <v>2793</v>
      </c>
      <c r="C1421" t="s">
        <v>2753</v>
      </c>
      <c r="D1421" t="s">
        <v>106</v>
      </c>
      <c r="E1421" t="s">
        <v>2794</v>
      </c>
      <c r="F1421">
        <v>1758</v>
      </c>
      <c r="G1421">
        <v>2364</v>
      </c>
      <c r="H1421" t="s">
        <v>1873</v>
      </c>
      <c r="I1421" t="s">
        <v>87</v>
      </c>
      <c r="J1421" t="s">
        <v>38</v>
      </c>
      <c r="K1421" t="s">
        <v>38</v>
      </c>
      <c r="L1421" t="s">
        <v>38</v>
      </c>
      <c r="M1421" t="s">
        <v>38</v>
      </c>
      <c r="N1421" t="s">
        <v>38</v>
      </c>
      <c r="O1421" t="s">
        <v>41</v>
      </c>
      <c r="P1421" t="s">
        <v>42</v>
      </c>
      <c r="Q1421" t="s">
        <v>43</v>
      </c>
      <c r="R1421" t="s">
        <v>89</v>
      </c>
      <c r="S1421" t="s">
        <v>38</v>
      </c>
      <c r="T1421" t="s">
        <v>89</v>
      </c>
      <c r="U1421" t="s">
        <v>301</v>
      </c>
      <c r="V1421" t="s">
        <v>38</v>
      </c>
      <c r="W1421" t="s">
        <v>92</v>
      </c>
      <c r="X1421" t="s">
        <v>302</v>
      </c>
      <c r="Y1421" t="s">
        <v>1874</v>
      </c>
      <c r="Z1421" t="s">
        <v>42</v>
      </c>
      <c r="AA1421" t="s">
        <v>38</v>
      </c>
      <c r="AB1421" t="s">
        <v>38</v>
      </c>
      <c r="AC1421" t="s">
        <v>2580</v>
      </c>
      <c r="AD1421" t="s">
        <v>48</v>
      </c>
      <c r="AG1421" t="str">
        <f>IF(AD1421="United States", IFERROR(INDEX(Sheet2!$C:$C, MATCH(AE1421&amp;AF1421, Sheet2!$E:$E, 0)) &amp; ", " &amp; INDEX(Sheet2!$D:$D, MATCH(AE1421&amp;AF1421, Sheet2!$E:$E, 0)), ""), "-")</f>
        <v/>
      </c>
    </row>
    <row r="1422" spans="1:33" x14ac:dyDescent="0.25">
      <c r="A1422" t="s">
        <v>463</v>
      </c>
      <c r="B1422" t="s">
        <v>2795</v>
      </c>
      <c r="C1422" t="s">
        <v>2753</v>
      </c>
      <c r="D1422" t="s">
        <v>1643</v>
      </c>
      <c r="E1422" t="s">
        <v>1684</v>
      </c>
      <c r="F1422">
        <v>1743</v>
      </c>
      <c r="G1422">
        <v>2363</v>
      </c>
      <c r="H1422" t="s">
        <v>38</v>
      </c>
      <c r="I1422" t="s">
        <v>87</v>
      </c>
      <c r="J1422" t="s">
        <v>38</v>
      </c>
      <c r="K1422" t="s">
        <v>38</v>
      </c>
      <c r="L1422" t="s">
        <v>38</v>
      </c>
      <c r="M1422" t="s">
        <v>38</v>
      </c>
      <c r="N1422" t="s">
        <v>38</v>
      </c>
      <c r="O1422" t="s">
        <v>41</v>
      </c>
      <c r="P1422" t="s">
        <v>42</v>
      </c>
      <c r="Q1422" t="s">
        <v>43</v>
      </c>
      <c r="R1422" t="s">
        <v>38</v>
      </c>
      <c r="S1422" t="s">
        <v>38</v>
      </c>
      <c r="T1422" t="s">
        <v>38</v>
      </c>
      <c r="U1422" t="s">
        <v>38</v>
      </c>
      <c r="V1422" t="s">
        <v>38</v>
      </c>
      <c r="W1422" t="s">
        <v>38</v>
      </c>
      <c r="X1422" t="s">
        <v>38</v>
      </c>
      <c r="Y1422" t="s">
        <v>1874</v>
      </c>
      <c r="Z1422" t="s">
        <v>42</v>
      </c>
      <c r="AA1422" t="s">
        <v>38</v>
      </c>
      <c r="AB1422" t="s">
        <v>38</v>
      </c>
      <c r="AC1422" t="s">
        <v>593</v>
      </c>
      <c r="AD1422" t="s">
        <v>48</v>
      </c>
      <c r="AG1422" t="str">
        <f>IF(AD1422="United States", IFERROR(INDEX(Sheet2!$C:$C, MATCH(AE1422&amp;AF1422, Sheet2!$E:$E, 0)) &amp; ", " &amp; INDEX(Sheet2!$D:$D, MATCH(AE1422&amp;AF1422, Sheet2!$E:$E, 0)), ""), "-")</f>
        <v/>
      </c>
    </row>
    <row r="1423" spans="1:33" x14ac:dyDescent="0.25">
      <c r="A1423" t="s">
        <v>463</v>
      </c>
      <c r="B1423" t="s">
        <v>2796</v>
      </c>
      <c r="C1423" t="s">
        <v>2753</v>
      </c>
      <c r="D1423" t="s">
        <v>2797</v>
      </c>
      <c r="E1423" t="s">
        <v>1684</v>
      </c>
      <c r="F1423">
        <v>1749</v>
      </c>
      <c r="G1423">
        <v>2362</v>
      </c>
      <c r="H1423" t="s">
        <v>38</v>
      </c>
      <c r="I1423" t="s">
        <v>87</v>
      </c>
      <c r="J1423" t="s">
        <v>38</v>
      </c>
      <c r="K1423" t="s">
        <v>38</v>
      </c>
      <c r="L1423" t="s">
        <v>38</v>
      </c>
      <c r="M1423" t="s">
        <v>38</v>
      </c>
      <c r="N1423" t="s">
        <v>38</v>
      </c>
      <c r="O1423" t="s">
        <v>57</v>
      </c>
      <c r="P1423" t="s">
        <v>42</v>
      </c>
      <c r="Q1423" t="s">
        <v>43</v>
      </c>
      <c r="R1423" t="s">
        <v>38</v>
      </c>
      <c r="S1423" t="s">
        <v>38</v>
      </c>
      <c r="T1423" t="s">
        <v>38</v>
      </c>
      <c r="U1423" t="s">
        <v>38</v>
      </c>
      <c r="V1423" t="s">
        <v>38</v>
      </c>
      <c r="W1423" t="s">
        <v>38</v>
      </c>
      <c r="X1423" t="s">
        <v>38</v>
      </c>
      <c r="Y1423" t="s">
        <v>1874</v>
      </c>
      <c r="Z1423" t="s">
        <v>42</v>
      </c>
      <c r="AA1423" t="s">
        <v>38</v>
      </c>
      <c r="AB1423" t="s">
        <v>38</v>
      </c>
      <c r="AC1423" t="s">
        <v>593</v>
      </c>
      <c r="AD1423" t="s">
        <v>48</v>
      </c>
      <c r="AG1423" t="str">
        <f>IF(AD1423="United States", IFERROR(INDEX(Sheet2!$C:$C, MATCH(AE1423&amp;AF1423, Sheet2!$E:$E, 0)) &amp; ", " &amp; INDEX(Sheet2!$D:$D, MATCH(AE1423&amp;AF1423, Sheet2!$E:$E, 0)), ""), "-")</f>
        <v/>
      </c>
    </row>
    <row r="1424" spans="1:33" x14ac:dyDescent="0.25">
      <c r="A1424" t="s">
        <v>463</v>
      </c>
      <c r="B1424" t="s">
        <v>2798</v>
      </c>
      <c r="C1424" t="s">
        <v>2700</v>
      </c>
      <c r="D1424" t="s">
        <v>334</v>
      </c>
      <c r="E1424" t="s">
        <v>1641</v>
      </c>
      <c r="F1424">
        <v>1763</v>
      </c>
      <c r="G1424">
        <v>815</v>
      </c>
      <c r="H1424" t="s">
        <v>269</v>
      </c>
      <c r="I1424" t="s">
        <v>39</v>
      </c>
      <c r="J1424" t="s">
        <v>2701</v>
      </c>
      <c r="K1424" t="s">
        <v>38</v>
      </c>
      <c r="L1424" t="s">
        <v>38</v>
      </c>
      <c r="M1424" t="s">
        <v>38</v>
      </c>
      <c r="N1424" t="s">
        <v>38</v>
      </c>
      <c r="O1424" t="s">
        <v>41</v>
      </c>
      <c r="P1424" t="s">
        <v>42</v>
      </c>
      <c r="Q1424" t="s">
        <v>43</v>
      </c>
      <c r="R1424" t="s">
        <v>89</v>
      </c>
      <c r="S1424" t="s">
        <v>45</v>
      </c>
      <c r="T1424" t="s">
        <v>89</v>
      </c>
      <c r="U1424" t="s">
        <v>301</v>
      </c>
      <c r="V1424" t="s">
        <v>270</v>
      </c>
      <c r="W1424" t="s">
        <v>92</v>
      </c>
      <c r="X1424" t="s">
        <v>302</v>
      </c>
      <c r="Y1424" t="s">
        <v>2799</v>
      </c>
      <c r="Z1424" t="s">
        <v>42</v>
      </c>
      <c r="AA1424" t="s">
        <v>2800</v>
      </c>
      <c r="AB1424" t="s">
        <v>38</v>
      </c>
      <c r="AC1424" t="s">
        <v>45</v>
      </c>
      <c r="AD1424" t="s">
        <v>48</v>
      </c>
      <c r="AG1424" t="str">
        <f>IF(AD1424="United States", IFERROR(INDEX(Sheet2!$C:$C, MATCH(AE1424&amp;AF1424, Sheet2!$E:$E, 0)) &amp; ", " &amp; INDEX(Sheet2!$D:$D, MATCH(AE1424&amp;AF1424, Sheet2!$E:$E, 0)), ""), "-")</f>
        <v/>
      </c>
    </row>
    <row r="1425" spans="1:33" x14ac:dyDescent="0.25">
      <c r="A1425" t="s">
        <v>463</v>
      </c>
      <c r="B1425" t="s">
        <v>2801</v>
      </c>
      <c r="C1425" t="s">
        <v>2704</v>
      </c>
      <c r="D1425" t="s">
        <v>207</v>
      </c>
      <c r="E1425" t="s">
        <v>37</v>
      </c>
      <c r="F1425">
        <v>1759</v>
      </c>
      <c r="G1425">
        <v>2532</v>
      </c>
      <c r="H1425" t="s">
        <v>2706</v>
      </c>
      <c r="I1425" t="s">
        <v>87</v>
      </c>
      <c r="J1425" t="s">
        <v>2707</v>
      </c>
      <c r="K1425" t="s">
        <v>38</v>
      </c>
      <c r="L1425" t="s">
        <v>38</v>
      </c>
      <c r="M1425" t="s">
        <v>38</v>
      </c>
      <c r="N1425" t="s">
        <v>38</v>
      </c>
      <c r="O1425" t="s">
        <v>57</v>
      </c>
      <c r="P1425" t="s">
        <v>42</v>
      </c>
      <c r="Q1425" t="s">
        <v>43</v>
      </c>
      <c r="R1425" t="s">
        <v>89</v>
      </c>
      <c r="S1425" t="s">
        <v>165</v>
      </c>
      <c r="T1425" t="s">
        <v>89</v>
      </c>
      <c r="U1425" t="s">
        <v>301</v>
      </c>
      <c r="V1425" t="s">
        <v>740</v>
      </c>
      <c r="W1425" t="s">
        <v>92</v>
      </c>
      <c r="X1425" t="s">
        <v>302</v>
      </c>
      <c r="Y1425" t="s">
        <v>2759</v>
      </c>
      <c r="Z1425" t="s">
        <v>42</v>
      </c>
      <c r="AA1425" t="s">
        <v>166</v>
      </c>
      <c r="AB1425" t="s">
        <v>38</v>
      </c>
      <c r="AC1425" t="s">
        <v>165</v>
      </c>
      <c r="AD1425" t="s">
        <v>48</v>
      </c>
      <c r="AG1425" t="str">
        <f>IF(AD1425="United States", IFERROR(INDEX(Sheet2!$C:$C, MATCH(AE1425&amp;AF1425, Sheet2!$E:$E, 0)) &amp; ", " &amp; INDEX(Sheet2!$D:$D, MATCH(AE1425&amp;AF1425, Sheet2!$E:$E, 0)), ""), "-")</f>
        <v/>
      </c>
    </row>
    <row r="1426" spans="1:33" x14ac:dyDescent="0.25">
      <c r="A1426" t="s">
        <v>463</v>
      </c>
      <c r="B1426" t="s">
        <v>2802</v>
      </c>
      <c r="C1426" t="s">
        <v>2704</v>
      </c>
      <c r="D1426" t="s">
        <v>210</v>
      </c>
      <c r="E1426" t="s">
        <v>2803</v>
      </c>
      <c r="F1426">
        <v>1748</v>
      </c>
      <c r="G1426">
        <v>2504</v>
      </c>
      <c r="H1426" t="s">
        <v>536</v>
      </c>
      <c r="I1426" t="s">
        <v>87</v>
      </c>
      <c r="J1426" t="s">
        <v>2707</v>
      </c>
      <c r="K1426" t="s">
        <v>38</v>
      </c>
      <c r="L1426" t="s">
        <v>38</v>
      </c>
      <c r="M1426" t="s">
        <v>38</v>
      </c>
      <c r="N1426" t="s">
        <v>38</v>
      </c>
      <c r="O1426" t="s">
        <v>41</v>
      </c>
      <c r="P1426" t="s">
        <v>42</v>
      </c>
      <c r="Q1426" t="s">
        <v>43</v>
      </c>
      <c r="R1426" t="s">
        <v>89</v>
      </c>
      <c r="S1426" t="s">
        <v>38</v>
      </c>
      <c r="T1426" t="s">
        <v>89</v>
      </c>
      <c r="U1426" t="s">
        <v>301</v>
      </c>
      <c r="V1426" t="s">
        <v>740</v>
      </c>
      <c r="W1426" t="s">
        <v>92</v>
      </c>
      <c r="X1426" t="s">
        <v>302</v>
      </c>
      <c r="Y1426" t="s">
        <v>2724</v>
      </c>
      <c r="Z1426" t="s">
        <v>42</v>
      </c>
      <c r="AA1426" t="s">
        <v>38</v>
      </c>
      <c r="AB1426" t="s">
        <v>38</v>
      </c>
      <c r="AC1426" t="s">
        <v>593</v>
      </c>
      <c r="AD1426" t="s">
        <v>48</v>
      </c>
      <c r="AG1426" t="str">
        <f>IF(AD1426="United States", IFERROR(INDEX(Sheet2!$C:$C, MATCH(AE1426&amp;AF1426, Sheet2!$E:$E, 0)) &amp; ", " &amp; INDEX(Sheet2!$D:$D, MATCH(AE1426&amp;AF1426, Sheet2!$E:$E, 0)), ""), "-")</f>
        <v/>
      </c>
    </row>
    <row r="1427" spans="1:33" x14ac:dyDescent="0.25">
      <c r="A1427" t="s">
        <v>463</v>
      </c>
      <c r="B1427" t="s">
        <v>2804</v>
      </c>
      <c r="C1427" t="s">
        <v>2704</v>
      </c>
      <c r="D1427" t="s">
        <v>106</v>
      </c>
      <c r="E1427" t="s">
        <v>38</v>
      </c>
      <c r="F1427">
        <v>1780</v>
      </c>
      <c r="G1427">
        <v>2534</v>
      </c>
      <c r="H1427" t="s">
        <v>1873</v>
      </c>
      <c r="I1427" t="s">
        <v>87</v>
      </c>
      <c r="J1427" t="s">
        <v>2707</v>
      </c>
      <c r="K1427" t="s">
        <v>38</v>
      </c>
      <c r="L1427" t="s">
        <v>38</v>
      </c>
      <c r="M1427" t="s">
        <v>38</v>
      </c>
      <c r="N1427" t="s">
        <v>38</v>
      </c>
      <c r="O1427" t="s">
        <v>54</v>
      </c>
      <c r="P1427" t="s">
        <v>42</v>
      </c>
      <c r="Q1427" t="s">
        <v>43</v>
      </c>
      <c r="R1427" t="s">
        <v>89</v>
      </c>
      <c r="S1427" t="s">
        <v>38</v>
      </c>
      <c r="T1427" t="s">
        <v>89</v>
      </c>
      <c r="U1427" t="s">
        <v>301</v>
      </c>
      <c r="V1427" t="s">
        <v>740</v>
      </c>
      <c r="W1427" t="s">
        <v>92</v>
      </c>
      <c r="X1427" t="s">
        <v>302</v>
      </c>
      <c r="Y1427" t="s">
        <v>2759</v>
      </c>
      <c r="Z1427" t="s">
        <v>42</v>
      </c>
      <c r="AA1427" t="s">
        <v>38</v>
      </c>
      <c r="AB1427" t="s">
        <v>38</v>
      </c>
      <c r="AC1427" t="s">
        <v>38</v>
      </c>
      <c r="AD1427" t="s">
        <v>48</v>
      </c>
      <c r="AG1427" t="str">
        <f>IF(AD1427="United States", IFERROR(INDEX(Sheet2!$C:$C, MATCH(AE1427&amp;AF1427, Sheet2!$E:$E, 0)) &amp; ", " &amp; INDEX(Sheet2!$D:$D, MATCH(AE1427&amp;AF1427, Sheet2!$E:$E, 0)), ""), "-")</f>
        <v/>
      </c>
    </row>
    <row r="1428" spans="1:33" x14ac:dyDescent="0.25">
      <c r="A1428" t="s">
        <v>463</v>
      </c>
      <c r="B1428" t="s">
        <v>2805</v>
      </c>
      <c r="C1428" t="s">
        <v>2704</v>
      </c>
      <c r="D1428" t="s">
        <v>106</v>
      </c>
      <c r="E1428" t="s">
        <v>38</v>
      </c>
      <c r="F1428">
        <v>1780</v>
      </c>
      <c r="G1428">
        <v>2544</v>
      </c>
      <c r="H1428" t="s">
        <v>1873</v>
      </c>
      <c r="I1428" t="s">
        <v>87</v>
      </c>
      <c r="J1428" t="s">
        <v>2707</v>
      </c>
      <c r="K1428" t="s">
        <v>38</v>
      </c>
      <c r="L1428" t="s">
        <v>38</v>
      </c>
      <c r="M1428" t="s">
        <v>38</v>
      </c>
      <c r="N1428" t="s">
        <v>38</v>
      </c>
      <c r="O1428" t="s">
        <v>54</v>
      </c>
      <c r="P1428" t="s">
        <v>42</v>
      </c>
      <c r="Q1428" t="s">
        <v>43</v>
      </c>
      <c r="R1428" t="s">
        <v>89</v>
      </c>
      <c r="S1428" t="s">
        <v>38</v>
      </c>
      <c r="T1428" t="s">
        <v>89</v>
      </c>
      <c r="U1428" t="s">
        <v>301</v>
      </c>
      <c r="V1428" t="s">
        <v>740</v>
      </c>
      <c r="W1428" t="s">
        <v>92</v>
      </c>
      <c r="X1428" t="s">
        <v>302</v>
      </c>
      <c r="Y1428" t="s">
        <v>2806</v>
      </c>
      <c r="Z1428" t="s">
        <v>42</v>
      </c>
      <c r="AA1428" t="s">
        <v>38</v>
      </c>
      <c r="AB1428" t="s">
        <v>38</v>
      </c>
      <c r="AC1428" t="s">
        <v>38</v>
      </c>
      <c r="AD1428" t="s">
        <v>48</v>
      </c>
      <c r="AG1428" t="str">
        <f>IF(AD1428="United States", IFERROR(INDEX(Sheet2!$C:$C, MATCH(AE1428&amp;AF1428, Sheet2!$E:$E, 0)) &amp; ", " &amp; INDEX(Sheet2!$D:$D, MATCH(AE1428&amp;AF1428, Sheet2!$E:$E, 0)), ""), "-")</f>
        <v/>
      </c>
    </row>
    <row r="1429" spans="1:33" x14ac:dyDescent="0.25">
      <c r="A1429" t="s">
        <v>463</v>
      </c>
      <c r="B1429" t="s">
        <v>2807</v>
      </c>
      <c r="C1429" t="s">
        <v>2704</v>
      </c>
      <c r="D1429" t="s">
        <v>834</v>
      </c>
      <c r="E1429" t="s">
        <v>38</v>
      </c>
      <c r="F1429">
        <v>1758</v>
      </c>
      <c r="G1429">
        <v>2545</v>
      </c>
      <c r="H1429" t="s">
        <v>38</v>
      </c>
      <c r="I1429" t="s">
        <v>87</v>
      </c>
      <c r="J1429" t="s">
        <v>2707</v>
      </c>
      <c r="K1429" t="s">
        <v>38</v>
      </c>
      <c r="L1429" t="s">
        <v>38</v>
      </c>
      <c r="M1429" t="s">
        <v>515</v>
      </c>
      <c r="N1429" t="s">
        <v>2740</v>
      </c>
      <c r="O1429" t="s">
        <v>57</v>
      </c>
      <c r="P1429" t="s">
        <v>42</v>
      </c>
      <c r="Q1429" t="s">
        <v>43</v>
      </c>
      <c r="R1429" t="s">
        <v>38</v>
      </c>
      <c r="S1429" t="s">
        <v>38</v>
      </c>
      <c r="T1429" t="s">
        <v>38</v>
      </c>
      <c r="U1429" t="s">
        <v>38</v>
      </c>
      <c r="V1429" t="s">
        <v>740</v>
      </c>
      <c r="W1429" t="s">
        <v>38</v>
      </c>
      <c r="X1429" t="s">
        <v>38</v>
      </c>
      <c r="Y1429" t="s">
        <v>2724</v>
      </c>
      <c r="Z1429" t="s">
        <v>42</v>
      </c>
      <c r="AA1429" t="s">
        <v>38</v>
      </c>
      <c r="AB1429" t="s">
        <v>38</v>
      </c>
      <c r="AC1429" t="s">
        <v>166</v>
      </c>
      <c r="AD1429" t="s">
        <v>48</v>
      </c>
      <c r="AG1429" t="str">
        <f>IF(AD1429="United States", IFERROR(INDEX(Sheet2!$C:$C, MATCH(AE1429&amp;AF1429, Sheet2!$E:$E, 0)) &amp; ", " &amp; INDEX(Sheet2!$D:$D, MATCH(AE1429&amp;AF1429, Sheet2!$E:$E, 0)), ""), "-")</f>
        <v/>
      </c>
    </row>
    <row r="1430" spans="1:33" x14ac:dyDescent="0.25">
      <c r="A1430" t="s">
        <v>463</v>
      </c>
      <c r="B1430" t="s">
        <v>2808</v>
      </c>
      <c r="C1430" t="s">
        <v>2704</v>
      </c>
      <c r="D1430" t="s">
        <v>210</v>
      </c>
      <c r="E1430" t="s">
        <v>2809</v>
      </c>
      <c r="F1430">
        <v>1746</v>
      </c>
      <c r="G1430">
        <v>2546</v>
      </c>
      <c r="H1430" t="s">
        <v>536</v>
      </c>
      <c r="I1430" t="s">
        <v>87</v>
      </c>
      <c r="J1430" t="s">
        <v>2707</v>
      </c>
      <c r="K1430" t="s">
        <v>38</v>
      </c>
      <c r="L1430" t="s">
        <v>38</v>
      </c>
      <c r="M1430" t="s">
        <v>38</v>
      </c>
      <c r="N1430" t="s">
        <v>38</v>
      </c>
      <c r="O1430" t="s">
        <v>41</v>
      </c>
      <c r="P1430" t="s">
        <v>42</v>
      </c>
      <c r="Q1430" t="s">
        <v>43</v>
      </c>
      <c r="R1430" t="s">
        <v>89</v>
      </c>
      <c r="S1430" t="s">
        <v>153</v>
      </c>
      <c r="T1430" t="s">
        <v>89</v>
      </c>
      <c r="U1430" t="s">
        <v>301</v>
      </c>
      <c r="V1430" t="s">
        <v>740</v>
      </c>
      <c r="W1430" t="s">
        <v>92</v>
      </c>
      <c r="X1430" t="s">
        <v>302</v>
      </c>
      <c r="Y1430" t="s">
        <v>2810</v>
      </c>
      <c r="Z1430" t="s">
        <v>42</v>
      </c>
      <c r="AA1430" t="s">
        <v>1882</v>
      </c>
      <c r="AB1430" t="s">
        <v>38</v>
      </c>
      <c r="AC1430" t="s">
        <v>153</v>
      </c>
      <c r="AD1430" t="s">
        <v>48</v>
      </c>
      <c r="AG1430" t="str">
        <f>IF(AD1430="United States", IFERROR(INDEX(Sheet2!$C:$C, MATCH(AE1430&amp;AF1430, Sheet2!$E:$E, 0)) &amp; ", " &amp; INDEX(Sheet2!$D:$D, MATCH(AE1430&amp;AF1430, Sheet2!$E:$E, 0)), ""), "-")</f>
        <v/>
      </c>
    </row>
    <row r="1431" spans="1:33" x14ac:dyDescent="0.25">
      <c r="A1431" t="s">
        <v>463</v>
      </c>
      <c r="B1431" t="s">
        <v>2811</v>
      </c>
      <c r="C1431" t="s">
        <v>2704</v>
      </c>
      <c r="D1431" t="s">
        <v>1238</v>
      </c>
      <c r="E1431" t="s">
        <v>38</v>
      </c>
      <c r="F1431">
        <v>1758</v>
      </c>
      <c r="G1431">
        <v>2547</v>
      </c>
      <c r="H1431" t="s">
        <v>2706</v>
      </c>
      <c r="I1431" t="s">
        <v>87</v>
      </c>
      <c r="J1431" t="s">
        <v>2707</v>
      </c>
      <c r="K1431" t="s">
        <v>38</v>
      </c>
      <c r="L1431" t="s">
        <v>38</v>
      </c>
      <c r="M1431" t="s">
        <v>38</v>
      </c>
      <c r="N1431" t="s">
        <v>38</v>
      </c>
      <c r="O1431" t="s">
        <v>57</v>
      </c>
      <c r="P1431" t="s">
        <v>42</v>
      </c>
      <c r="Q1431" t="s">
        <v>43</v>
      </c>
      <c r="R1431" t="s">
        <v>89</v>
      </c>
      <c r="S1431" t="s">
        <v>153</v>
      </c>
      <c r="T1431" t="s">
        <v>89</v>
      </c>
      <c r="U1431" t="s">
        <v>301</v>
      </c>
      <c r="V1431" t="s">
        <v>740</v>
      </c>
      <c r="W1431" t="s">
        <v>92</v>
      </c>
      <c r="X1431" t="s">
        <v>302</v>
      </c>
      <c r="Y1431" t="s">
        <v>2810</v>
      </c>
      <c r="Z1431" t="s">
        <v>42</v>
      </c>
      <c r="AA1431" t="s">
        <v>1882</v>
      </c>
      <c r="AB1431" t="s">
        <v>38</v>
      </c>
      <c r="AC1431" t="s">
        <v>153</v>
      </c>
      <c r="AD1431" t="s">
        <v>48</v>
      </c>
      <c r="AG1431" t="str">
        <f>IF(AD1431="United States", IFERROR(INDEX(Sheet2!$C:$C, MATCH(AE1431&amp;AF1431, Sheet2!$E:$E, 0)) &amp; ", " &amp; INDEX(Sheet2!$D:$D, MATCH(AE1431&amp;AF1431, Sheet2!$E:$E, 0)), ""), "-")</f>
        <v/>
      </c>
    </row>
    <row r="1432" spans="1:33" x14ac:dyDescent="0.25">
      <c r="A1432" t="s">
        <v>463</v>
      </c>
      <c r="B1432" t="s">
        <v>2812</v>
      </c>
      <c r="C1432" t="s">
        <v>2704</v>
      </c>
      <c r="D1432" t="s">
        <v>1954</v>
      </c>
      <c r="E1432" t="s">
        <v>38</v>
      </c>
      <c r="F1432">
        <v>1776</v>
      </c>
      <c r="G1432">
        <v>2548</v>
      </c>
      <c r="H1432" t="s">
        <v>2706</v>
      </c>
      <c r="I1432" t="s">
        <v>87</v>
      </c>
      <c r="J1432" t="s">
        <v>2707</v>
      </c>
      <c r="K1432" t="s">
        <v>38</v>
      </c>
      <c r="L1432" t="s">
        <v>38</v>
      </c>
      <c r="M1432" t="s">
        <v>38</v>
      </c>
      <c r="N1432" t="s">
        <v>38</v>
      </c>
      <c r="O1432" t="s">
        <v>74</v>
      </c>
      <c r="P1432" t="s">
        <v>42</v>
      </c>
      <c r="Q1432" t="s">
        <v>43</v>
      </c>
      <c r="R1432" t="s">
        <v>89</v>
      </c>
      <c r="S1432" t="s">
        <v>153</v>
      </c>
      <c r="T1432" t="s">
        <v>89</v>
      </c>
      <c r="U1432" t="s">
        <v>301</v>
      </c>
      <c r="V1432" t="s">
        <v>740</v>
      </c>
      <c r="W1432" t="s">
        <v>92</v>
      </c>
      <c r="X1432" t="s">
        <v>302</v>
      </c>
      <c r="Y1432" t="s">
        <v>2810</v>
      </c>
      <c r="Z1432" t="s">
        <v>42</v>
      </c>
      <c r="AA1432" t="s">
        <v>1882</v>
      </c>
      <c r="AB1432" t="s">
        <v>38</v>
      </c>
      <c r="AC1432" t="s">
        <v>153</v>
      </c>
      <c r="AD1432" t="s">
        <v>48</v>
      </c>
      <c r="AG1432" t="str">
        <f>IF(AD1432="United States", IFERROR(INDEX(Sheet2!$C:$C, MATCH(AE1432&amp;AF1432, Sheet2!$E:$E, 0)) &amp; ", " &amp; INDEX(Sheet2!$D:$D, MATCH(AE1432&amp;AF1432, Sheet2!$E:$E, 0)), ""), "-")</f>
        <v/>
      </c>
    </row>
    <row r="1433" spans="1:33" x14ac:dyDescent="0.25">
      <c r="A1433" t="s">
        <v>463</v>
      </c>
      <c r="B1433" t="s">
        <v>2813</v>
      </c>
      <c r="C1433" t="s">
        <v>2704</v>
      </c>
      <c r="D1433" t="s">
        <v>162</v>
      </c>
      <c r="E1433" t="s">
        <v>38</v>
      </c>
      <c r="F1433">
        <v>1776</v>
      </c>
      <c r="G1433">
        <v>2549</v>
      </c>
      <c r="H1433" t="s">
        <v>2706</v>
      </c>
      <c r="I1433" t="s">
        <v>87</v>
      </c>
      <c r="J1433" t="s">
        <v>2707</v>
      </c>
      <c r="K1433" t="s">
        <v>38</v>
      </c>
      <c r="L1433" t="s">
        <v>38</v>
      </c>
      <c r="M1433" t="s">
        <v>38</v>
      </c>
      <c r="N1433" t="s">
        <v>38</v>
      </c>
      <c r="O1433" t="s">
        <v>54</v>
      </c>
      <c r="P1433" t="s">
        <v>42</v>
      </c>
      <c r="Q1433" t="s">
        <v>43</v>
      </c>
      <c r="R1433" t="s">
        <v>89</v>
      </c>
      <c r="S1433" t="s">
        <v>38</v>
      </c>
      <c r="T1433" t="s">
        <v>89</v>
      </c>
      <c r="U1433" t="s">
        <v>301</v>
      </c>
      <c r="V1433" t="s">
        <v>740</v>
      </c>
      <c r="W1433" t="s">
        <v>92</v>
      </c>
      <c r="X1433" t="s">
        <v>302</v>
      </c>
      <c r="Y1433" t="s">
        <v>2810</v>
      </c>
      <c r="Z1433" t="s">
        <v>42</v>
      </c>
      <c r="AA1433" t="s">
        <v>38</v>
      </c>
      <c r="AB1433" t="s">
        <v>38</v>
      </c>
      <c r="AC1433" t="s">
        <v>162</v>
      </c>
      <c r="AD1433" t="s">
        <v>48</v>
      </c>
      <c r="AG1433" t="str">
        <f>IF(AD1433="United States", IFERROR(INDEX(Sheet2!$C:$C, MATCH(AE1433&amp;AF1433, Sheet2!$E:$E, 0)) &amp; ", " &amp; INDEX(Sheet2!$D:$D, MATCH(AE1433&amp;AF1433, Sheet2!$E:$E, 0)), ""), "-")</f>
        <v/>
      </c>
    </row>
    <row r="1434" spans="1:33" x14ac:dyDescent="0.25">
      <c r="A1434" t="s">
        <v>463</v>
      </c>
      <c r="B1434" t="s">
        <v>2814</v>
      </c>
      <c r="C1434" t="s">
        <v>2704</v>
      </c>
      <c r="D1434" t="s">
        <v>1110</v>
      </c>
      <c r="E1434" t="s">
        <v>38</v>
      </c>
      <c r="F1434">
        <v>1778</v>
      </c>
      <c r="G1434">
        <v>2533</v>
      </c>
      <c r="H1434" t="s">
        <v>2706</v>
      </c>
      <c r="I1434" t="s">
        <v>87</v>
      </c>
      <c r="J1434" t="s">
        <v>2707</v>
      </c>
      <c r="K1434" t="s">
        <v>38</v>
      </c>
      <c r="L1434" t="s">
        <v>38</v>
      </c>
      <c r="M1434" t="s">
        <v>38</v>
      </c>
      <c r="N1434" t="s">
        <v>38</v>
      </c>
      <c r="O1434" t="s">
        <v>54</v>
      </c>
      <c r="P1434" t="s">
        <v>42</v>
      </c>
      <c r="Q1434" t="s">
        <v>43</v>
      </c>
      <c r="R1434" t="s">
        <v>89</v>
      </c>
      <c r="S1434" t="s">
        <v>38</v>
      </c>
      <c r="T1434" t="s">
        <v>89</v>
      </c>
      <c r="U1434" t="s">
        <v>301</v>
      </c>
      <c r="V1434" t="s">
        <v>740</v>
      </c>
      <c r="W1434" t="s">
        <v>92</v>
      </c>
      <c r="X1434" t="s">
        <v>302</v>
      </c>
      <c r="Y1434" t="s">
        <v>2759</v>
      </c>
      <c r="Z1434" t="s">
        <v>42</v>
      </c>
      <c r="AA1434" t="s">
        <v>38</v>
      </c>
      <c r="AB1434" t="s">
        <v>38</v>
      </c>
      <c r="AC1434" t="s">
        <v>38</v>
      </c>
      <c r="AD1434" t="s">
        <v>48</v>
      </c>
      <c r="AG1434" t="str">
        <f>IF(AD1434="United States", IFERROR(INDEX(Sheet2!$C:$C, MATCH(AE1434&amp;AF1434, Sheet2!$E:$E, 0)) &amp; ", " &amp; INDEX(Sheet2!$D:$D, MATCH(AE1434&amp;AF1434, Sheet2!$E:$E, 0)), ""), "-")</f>
        <v/>
      </c>
    </row>
    <row r="1435" spans="1:33" x14ac:dyDescent="0.25">
      <c r="A1435" t="s">
        <v>463</v>
      </c>
      <c r="B1435" t="s">
        <v>2815</v>
      </c>
      <c r="C1435" t="s">
        <v>2704</v>
      </c>
      <c r="D1435" t="s">
        <v>2816</v>
      </c>
      <c r="E1435" t="s">
        <v>2817</v>
      </c>
      <c r="F1435">
        <v>1739</v>
      </c>
      <c r="G1435">
        <v>2550</v>
      </c>
      <c r="H1435" t="s">
        <v>2706</v>
      </c>
      <c r="I1435" t="s">
        <v>87</v>
      </c>
      <c r="J1435" t="s">
        <v>2707</v>
      </c>
      <c r="K1435" t="s">
        <v>38</v>
      </c>
      <c r="L1435" t="s">
        <v>38</v>
      </c>
      <c r="M1435" t="s">
        <v>38</v>
      </c>
      <c r="N1435" t="s">
        <v>38</v>
      </c>
      <c r="O1435" t="s">
        <v>41</v>
      </c>
      <c r="P1435" t="s">
        <v>42</v>
      </c>
      <c r="Q1435" t="s">
        <v>43</v>
      </c>
      <c r="R1435" t="s">
        <v>89</v>
      </c>
      <c r="S1435" t="s">
        <v>153</v>
      </c>
      <c r="T1435" t="s">
        <v>89</v>
      </c>
      <c r="U1435" t="s">
        <v>301</v>
      </c>
      <c r="V1435" t="s">
        <v>740</v>
      </c>
      <c r="W1435" t="s">
        <v>92</v>
      </c>
      <c r="X1435" t="s">
        <v>302</v>
      </c>
      <c r="Y1435" t="s">
        <v>2810</v>
      </c>
      <c r="Z1435" t="s">
        <v>42</v>
      </c>
      <c r="AA1435" t="s">
        <v>2818</v>
      </c>
      <c r="AB1435" t="s">
        <v>38</v>
      </c>
      <c r="AC1435" t="s">
        <v>153</v>
      </c>
      <c r="AD1435" t="s">
        <v>48</v>
      </c>
      <c r="AG1435" t="str">
        <f>IF(AD1435="United States", IFERROR(INDEX(Sheet2!$C:$C, MATCH(AE1435&amp;AF1435, Sheet2!$E:$E, 0)) &amp; ", " &amp; INDEX(Sheet2!$D:$D, MATCH(AE1435&amp;AF1435, Sheet2!$E:$E, 0)), ""), "-")</f>
        <v/>
      </c>
    </row>
    <row r="1436" spans="1:33" x14ac:dyDescent="0.25">
      <c r="A1436" t="s">
        <v>463</v>
      </c>
      <c r="B1436" t="s">
        <v>2819</v>
      </c>
      <c r="C1436" t="s">
        <v>2704</v>
      </c>
      <c r="D1436" t="s">
        <v>2146</v>
      </c>
      <c r="E1436" t="s">
        <v>38</v>
      </c>
      <c r="F1436">
        <v>1778</v>
      </c>
      <c r="G1436">
        <v>2543</v>
      </c>
      <c r="H1436" t="s">
        <v>2706</v>
      </c>
      <c r="I1436" t="s">
        <v>87</v>
      </c>
      <c r="J1436" t="s">
        <v>2707</v>
      </c>
      <c r="K1436" t="s">
        <v>38</v>
      </c>
      <c r="L1436" t="s">
        <v>38</v>
      </c>
      <c r="M1436" t="s">
        <v>38</v>
      </c>
      <c r="N1436" t="s">
        <v>38</v>
      </c>
      <c r="O1436" t="s">
        <v>54</v>
      </c>
      <c r="P1436" t="s">
        <v>42</v>
      </c>
      <c r="Q1436" t="s">
        <v>43</v>
      </c>
      <c r="R1436" t="s">
        <v>89</v>
      </c>
      <c r="S1436" t="s">
        <v>38</v>
      </c>
      <c r="T1436" t="s">
        <v>89</v>
      </c>
      <c r="U1436" t="s">
        <v>301</v>
      </c>
      <c r="V1436" t="s">
        <v>740</v>
      </c>
      <c r="W1436" t="s">
        <v>92</v>
      </c>
      <c r="X1436" t="s">
        <v>302</v>
      </c>
      <c r="Y1436" t="s">
        <v>2806</v>
      </c>
      <c r="Z1436" t="s">
        <v>42</v>
      </c>
      <c r="AA1436" t="s">
        <v>38</v>
      </c>
      <c r="AB1436" t="s">
        <v>38</v>
      </c>
      <c r="AC1436" t="s">
        <v>38</v>
      </c>
      <c r="AD1436" t="s">
        <v>48</v>
      </c>
      <c r="AG1436" t="str">
        <f>IF(AD1436="United States", IFERROR(INDEX(Sheet2!$C:$C, MATCH(AE1436&amp;AF1436, Sheet2!$E:$E, 0)) &amp; ", " &amp; INDEX(Sheet2!$D:$D, MATCH(AE1436&amp;AF1436, Sheet2!$E:$E, 0)), ""), "-")</f>
        <v/>
      </c>
    </row>
    <row r="1437" spans="1:33" x14ac:dyDescent="0.25">
      <c r="A1437" t="s">
        <v>463</v>
      </c>
      <c r="B1437" t="s">
        <v>2820</v>
      </c>
      <c r="C1437" t="s">
        <v>2704</v>
      </c>
      <c r="D1437" t="s">
        <v>980</v>
      </c>
      <c r="E1437" t="s">
        <v>38</v>
      </c>
      <c r="F1437">
        <v>1753</v>
      </c>
      <c r="G1437">
        <v>2551</v>
      </c>
      <c r="H1437" t="s">
        <v>38</v>
      </c>
      <c r="I1437" t="s">
        <v>87</v>
      </c>
      <c r="J1437" t="s">
        <v>2707</v>
      </c>
      <c r="K1437" t="s">
        <v>38</v>
      </c>
      <c r="L1437" t="s">
        <v>38</v>
      </c>
      <c r="M1437" t="s">
        <v>38</v>
      </c>
      <c r="N1437" t="s">
        <v>38</v>
      </c>
      <c r="O1437" t="s">
        <v>57</v>
      </c>
      <c r="P1437" t="s">
        <v>42</v>
      </c>
      <c r="Q1437" t="s">
        <v>43</v>
      </c>
      <c r="R1437" t="s">
        <v>2818</v>
      </c>
      <c r="S1437" t="s">
        <v>153</v>
      </c>
      <c r="T1437" t="s">
        <v>38</v>
      </c>
      <c r="U1437" t="s">
        <v>38</v>
      </c>
      <c r="V1437" t="s">
        <v>740</v>
      </c>
      <c r="W1437" t="s">
        <v>38</v>
      </c>
      <c r="X1437" t="s">
        <v>38</v>
      </c>
      <c r="Y1437" t="s">
        <v>2810</v>
      </c>
      <c r="Z1437" t="s">
        <v>42</v>
      </c>
      <c r="AA1437" t="s">
        <v>2818</v>
      </c>
      <c r="AB1437" t="s">
        <v>38</v>
      </c>
      <c r="AC1437" t="s">
        <v>153</v>
      </c>
      <c r="AD1437" t="s">
        <v>48</v>
      </c>
      <c r="AG1437" t="str">
        <f>IF(AD1437="United States", IFERROR(INDEX(Sheet2!$C:$C, MATCH(AE1437&amp;AF1437, Sheet2!$E:$E, 0)) &amp; ", " &amp; INDEX(Sheet2!$D:$D, MATCH(AE1437&amp;AF1437, Sheet2!$E:$E, 0)), ""), "-")</f>
        <v/>
      </c>
    </row>
    <row r="1438" spans="1:33" x14ac:dyDescent="0.25">
      <c r="A1438" t="s">
        <v>463</v>
      </c>
      <c r="B1438" t="s">
        <v>2821</v>
      </c>
      <c r="C1438" t="s">
        <v>2704</v>
      </c>
      <c r="D1438" t="s">
        <v>245</v>
      </c>
      <c r="E1438" t="s">
        <v>38</v>
      </c>
      <c r="F1438">
        <v>1777</v>
      </c>
      <c r="G1438">
        <v>2553</v>
      </c>
      <c r="H1438" t="s">
        <v>2600</v>
      </c>
      <c r="I1438" t="s">
        <v>87</v>
      </c>
      <c r="J1438" t="s">
        <v>2707</v>
      </c>
      <c r="K1438" t="s">
        <v>38</v>
      </c>
      <c r="L1438" t="s">
        <v>38</v>
      </c>
      <c r="M1438" t="s">
        <v>38</v>
      </c>
      <c r="N1438" t="s">
        <v>38</v>
      </c>
      <c r="O1438" t="s">
        <v>74</v>
      </c>
      <c r="P1438" t="s">
        <v>42</v>
      </c>
      <c r="Q1438" t="s">
        <v>43</v>
      </c>
      <c r="R1438" t="s">
        <v>89</v>
      </c>
      <c r="S1438" t="s">
        <v>153</v>
      </c>
      <c r="T1438" t="s">
        <v>89</v>
      </c>
      <c r="U1438" t="s">
        <v>301</v>
      </c>
      <c r="V1438" t="s">
        <v>740</v>
      </c>
      <c r="W1438" t="s">
        <v>92</v>
      </c>
      <c r="X1438" t="s">
        <v>302</v>
      </c>
      <c r="Y1438" t="s">
        <v>2810</v>
      </c>
      <c r="Z1438" t="s">
        <v>42</v>
      </c>
      <c r="AA1438" t="s">
        <v>2818</v>
      </c>
      <c r="AB1438" t="s">
        <v>38</v>
      </c>
      <c r="AC1438" t="s">
        <v>153</v>
      </c>
      <c r="AD1438" t="s">
        <v>48</v>
      </c>
      <c r="AG1438" t="str">
        <f>IF(AD1438="United States", IFERROR(INDEX(Sheet2!$C:$C, MATCH(AE1438&amp;AF1438, Sheet2!$E:$E, 0)) &amp; ", " &amp; INDEX(Sheet2!$D:$D, MATCH(AE1438&amp;AF1438, Sheet2!$E:$E, 0)), ""), "-")</f>
        <v/>
      </c>
    </row>
    <row r="1439" spans="1:33" x14ac:dyDescent="0.25">
      <c r="A1439" t="s">
        <v>463</v>
      </c>
      <c r="B1439" t="s">
        <v>2822</v>
      </c>
      <c r="C1439" t="s">
        <v>2704</v>
      </c>
      <c r="D1439" t="s">
        <v>2823</v>
      </c>
      <c r="E1439" t="s">
        <v>38</v>
      </c>
      <c r="F1439">
        <v>1782</v>
      </c>
      <c r="G1439">
        <v>2554</v>
      </c>
      <c r="H1439" t="s">
        <v>2706</v>
      </c>
      <c r="I1439" t="s">
        <v>87</v>
      </c>
      <c r="J1439" t="s">
        <v>2707</v>
      </c>
      <c r="K1439" t="s">
        <v>38</v>
      </c>
      <c r="L1439" t="s">
        <v>38</v>
      </c>
      <c r="M1439" t="s">
        <v>38</v>
      </c>
      <c r="N1439" t="s">
        <v>38</v>
      </c>
      <c r="O1439" t="s">
        <v>74</v>
      </c>
      <c r="P1439" t="s">
        <v>42</v>
      </c>
      <c r="Q1439" t="s">
        <v>43</v>
      </c>
      <c r="R1439" t="s">
        <v>89</v>
      </c>
      <c r="S1439" t="s">
        <v>38</v>
      </c>
      <c r="T1439" t="s">
        <v>89</v>
      </c>
      <c r="U1439" t="s">
        <v>301</v>
      </c>
      <c r="V1439" t="s">
        <v>740</v>
      </c>
      <c r="W1439" t="s">
        <v>92</v>
      </c>
      <c r="X1439" t="s">
        <v>302</v>
      </c>
      <c r="Y1439" t="s">
        <v>2810</v>
      </c>
      <c r="Z1439" t="s">
        <v>42</v>
      </c>
      <c r="AA1439" t="s">
        <v>38</v>
      </c>
      <c r="AB1439" t="s">
        <v>38</v>
      </c>
      <c r="AC1439" t="s">
        <v>38</v>
      </c>
      <c r="AD1439" t="s">
        <v>48</v>
      </c>
      <c r="AG1439" t="str">
        <f>IF(AD1439="United States", IFERROR(INDEX(Sheet2!$C:$C, MATCH(AE1439&amp;AF1439, Sheet2!$E:$E, 0)) &amp; ", " &amp; INDEX(Sheet2!$D:$D, MATCH(AE1439&amp;AF1439, Sheet2!$E:$E, 0)), ""), "-")</f>
        <v/>
      </c>
    </row>
    <row r="1440" spans="1:33" x14ac:dyDescent="0.25">
      <c r="A1440" t="s">
        <v>463</v>
      </c>
      <c r="B1440" t="s">
        <v>2824</v>
      </c>
      <c r="C1440" t="s">
        <v>2704</v>
      </c>
      <c r="D1440" t="s">
        <v>36</v>
      </c>
      <c r="E1440" t="s">
        <v>2825</v>
      </c>
      <c r="F1440">
        <v>1758</v>
      </c>
      <c r="G1440">
        <v>2555</v>
      </c>
      <c r="H1440" t="s">
        <v>2706</v>
      </c>
      <c r="I1440" t="s">
        <v>87</v>
      </c>
      <c r="J1440" t="s">
        <v>2707</v>
      </c>
      <c r="K1440" t="s">
        <v>38</v>
      </c>
      <c r="L1440" t="s">
        <v>38</v>
      </c>
      <c r="M1440" t="s">
        <v>38</v>
      </c>
      <c r="N1440" t="s">
        <v>38</v>
      </c>
      <c r="O1440" t="s">
        <v>41</v>
      </c>
      <c r="P1440" t="s">
        <v>42</v>
      </c>
      <c r="Q1440" t="s">
        <v>43</v>
      </c>
      <c r="R1440" t="s">
        <v>89</v>
      </c>
      <c r="S1440" t="s">
        <v>38</v>
      </c>
      <c r="T1440" t="s">
        <v>89</v>
      </c>
      <c r="U1440" t="s">
        <v>301</v>
      </c>
      <c r="V1440" t="s">
        <v>740</v>
      </c>
      <c r="W1440" t="s">
        <v>92</v>
      </c>
      <c r="X1440" t="s">
        <v>302</v>
      </c>
      <c r="Y1440" t="s">
        <v>2810</v>
      </c>
      <c r="Z1440" t="s">
        <v>42</v>
      </c>
      <c r="AA1440" t="s">
        <v>38</v>
      </c>
      <c r="AB1440" t="s">
        <v>38</v>
      </c>
      <c r="AC1440" t="s">
        <v>38</v>
      </c>
      <c r="AD1440" t="s">
        <v>48</v>
      </c>
      <c r="AG1440" t="str">
        <f>IF(AD1440="United States", IFERROR(INDEX(Sheet2!$C:$C, MATCH(AE1440&amp;AF1440, Sheet2!$E:$E, 0)) &amp; ", " &amp; INDEX(Sheet2!$D:$D, MATCH(AE1440&amp;AF1440, Sheet2!$E:$E, 0)), ""), "-")</f>
        <v/>
      </c>
    </row>
    <row r="1441" spans="1:33" x14ac:dyDescent="0.25">
      <c r="A1441" t="s">
        <v>463</v>
      </c>
      <c r="B1441" t="s">
        <v>2826</v>
      </c>
      <c r="C1441" t="s">
        <v>2827</v>
      </c>
      <c r="D1441" t="s">
        <v>245</v>
      </c>
      <c r="E1441" t="s">
        <v>2828</v>
      </c>
      <c r="F1441">
        <v>1751</v>
      </c>
      <c r="G1441">
        <v>2556</v>
      </c>
      <c r="H1441" t="s">
        <v>2600</v>
      </c>
      <c r="I1441" t="s">
        <v>87</v>
      </c>
      <c r="J1441" t="s">
        <v>38</v>
      </c>
      <c r="K1441" t="s">
        <v>38</v>
      </c>
      <c r="L1441" t="s">
        <v>38</v>
      </c>
      <c r="M1441" t="s">
        <v>38</v>
      </c>
      <c r="N1441" t="s">
        <v>38</v>
      </c>
      <c r="O1441" t="s">
        <v>57</v>
      </c>
      <c r="P1441" t="s">
        <v>42</v>
      </c>
      <c r="Q1441" t="s">
        <v>43</v>
      </c>
      <c r="R1441" t="s">
        <v>89</v>
      </c>
      <c r="S1441" t="s">
        <v>153</v>
      </c>
      <c r="T1441" t="s">
        <v>89</v>
      </c>
      <c r="U1441" t="s">
        <v>301</v>
      </c>
      <c r="V1441" t="s">
        <v>38</v>
      </c>
      <c r="W1441" t="s">
        <v>92</v>
      </c>
      <c r="X1441" t="s">
        <v>302</v>
      </c>
      <c r="Y1441" t="s">
        <v>2829</v>
      </c>
      <c r="Z1441" t="s">
        <v>42</v>
      </c>
      <c r="AA1441" t="s">
        <v>38</v>
      </c>
      <c r="AB1441" t="s">
        <v>38</v>
      </c>
      <c r="AC1441" t="s">
        <v>153</v>
      </c>
      <c r="AD1441" t="s">
        <v>48</v>
      </c>
      <c r="AG1441" t="str">
        <f>IF(AD1441="United States", IFERROR(INDEX(Sheet2!$C:$C, MATCH(AE1441&amp;AF1441, Sheet2!$E:$E, 0)) &amp; ", " &amp; INDEX(Sheet2!$D:$D, MATCH(AE1441&amp;AF1441, Sheet2!$E:$E, 0)), ""), "-")</f>
        <v/>
      </c>
    </row>
    <row r="1442" spans="1:33" x14ac:dyDescent="0.25">
      <c r="A1442" t="s">
        <v>463</v>
      </c>
      <c r="B1442" t="s">
        <v>2830</v>
      </c>
      <c r="C1442" t="s">
        <v>2827</v>
      </c>
      <c r="D1442" t="s">
        <v>50</v>
      </c>
      <c r="E1442" t="s">
        <v>38</v>
      </c>
      <c r="F1442">
        <v>1771</v>
      </c>
      <c r="G1442">
        <v>2557</v>
      </c>
      <c r="H1442" t="s">
        <v>536</v>
      </c>
      <c r="I1442" t="s">
        <v>87</v>
      </c>
      <c r="J1442" t="s">
        <v>38</v>
      </c>
      <c r="K1442" t="s">
        <v>38</v>
      </c>
      <c r="L1442" t="s">
        <v>38</v>
      </c>
      <c r="M1442" t="s">
        <v>38</v>
      </c>
      <c r="N1442" t="s">
        <v>38</v>
      </c>
      <c r="O1442" t="s">
        <v>74</v>
      </c>
      <c r="P1442" t="s">
        <v>42</v>
      </c>
      <c r="Q1442" t="s">
        <v>43</v>
      </c>
      <c r="R1442" t="s">
        <v>89</v>
      </c>
      <c r="S1442" t="s">
        <v>153</v>
      </c>
      <c r="T1442" t="s">
        <v>89</v>
      </c>
      <c r="U1442" t="s">
        <v>301</v>
      </c>
      <c r="V1442" t="s">
        <v>38</v>
      </c>
      <c r="W1442" t="s">
        <v>92</v>
      </c>
      <c r="X1442" t="s">
        <v>302</v>
      </c>
      <c r="Y1442" t="s">
        <v>2831</v>
      </c>
      <c r="Z1442" t="s">
        <v>42</v>
      </c>
      <c r="AA1442" t="s">
        <v>38</v>
      </c>
      <c r="AB1442" t="s">
        <v>38</v>
      </c>
      <c r="AC1442" t="s">
        <v>153</v>
      </c>
      <c r="AD1442" t="s">
        <v>48</v>
      </c>
      <c r="AG1442" t="str">
        <f>IF(AD1442="United States", IFERROR(INDEX(Sheet2!$C:$C, MATCH(AE1442&amp;AF1442, Sheet2!$E:$E, 0)) &amp; ", " &amp; INDEX(Sheet2!$D:$D, MATCH(AE1442&amp;AF1442, Sheet2!$E:$E, 0)), ""), "-")</f>
        <v/>
      </c>
    </row>
    <row r="1443" spans="1:33" x14ac:dyDescent="0.25">
      <c r="A1443" t="s">
        <v>463</v>
      </c>
      <c r="B1443" t="s">
        <v>2832</v>
      </c>
      <c r="C1443" t="s">
        <v>2827</v>
      </c>
      <c r="D1443" t="s">
        <v>63</v>
      </c>
      <c r="E1443" t="s">
        <v>38</v>
      </c>
      <c r="F1443">
        <v>1781</v>
      </c>
      <c r="G1443">
        <v>2558</v>
      </c>
      <c r="H1443" t="s">
        <v>2706</v>
      </c>
      <c r="I1443" t="s">
        <v>87</v>
      </c>
      <c r="J1443" t="s">
        <v>38</v>
      </c>
      <c r="K1443" t="s">
        <v>38</v>
      </c>
      <c r="L1443" t="s">
        <v>38</v>
      </c>
      <c r="M1443" t="s">
        <v>38</v>
      </c>
      <c r="N1443" t="s">
        <v>38</v>
      </c>
      <c r="O1443" t="s">
        <v>54</v>
      </c>
      <c r="P1443" t="s">
        <v>42</v>
      </c>
      <c r="Q1443" t="s">
        <v>43</v>
      </c>
      <c r="R1443" t="s">
        <v>89</v>
      </c>
      <c r="S1443" t="s">
        <v>153</v>
      </c>
      <c r="T1443" t="s">
        <v>89</v>
      </c>
      <c r="U1443" t="s">
        <v>301</v>
      </c>
      <c r="V1443" t="s">
        <v>38</v>
      </c>
      <c r="W1443" t="s">
        <v>92</v>
      </c>
      <c r="X1443" t="s">
        <v>302</v>
      </c>
      <c r="Y1443" t="s">
        <v>2831</v>
      </c>
      <c r="Z1443" t="s">
        <v>42</v>
      </c>
      <c r="AA1443" t="s">
        <v>38</v>
      </c>
      <c r="AB1443" t="s">
        <v>38</v>
      </c>
      <c r="AC1443" t="s">
        <v>153</v>
      </c>
      <c r="AD1443" t="s">
        <v>48</v>
      </c>
      <c r="AG1443" t="str">
        <f>IF(AD1443="United States", IFERROR(INDEX(Sheet2!$C:$C, MATCH(AE1443&amp;AF1443, Sheet2!$E:$E, 0)) &amp; ", " &amp; INDEX(Sheet2!$D:$D, MATCH(AE1443&amp;AF1443, Sheet2!$E:$E, 0)), ""), "-")</f>
        <v/>
      </c>
    </row>
    <row r="1444" spans="1:33" x14ac:dyDescent="0.25">
      <c r="A1444" t="s">
        <v>463</v>
      </c>
      <c r="B1444" t="s">
        <v>2833</v>
      </c>
      <c r="C1444" t="s">
        <v>2827</v>
      </c>
      <c r="D1444" t="s">
        <v>2816</v>
      </c>
      <c r="E1444" t="s">
        <v>2834</v>
      </c>
      <c r="F1444">
        <v>1759</v>
      </c>
      <c r="G1444">
        <v>2559</v>
      </c>
      <c r="H1444" t="s">
        <v>2706</v>
      </c>
      <c r="I1444" t="s">
        <v>87</v>
      </c>
      <c r="J1444" t="s">
        <v>38</v>
      </c>
      <c r="K1444" t="s">
        <v>38</v>
      </c>
      <c r="L1444" t="s">
        <v>38</v>
      </c>
      <c r="M1444" t="s">
        <v>38</v>
      </c>
      <c r="N1444" t="s">
        <v>38</v>
      </c>
      <c r="O1444" t="s">
        <v>41</v>
      </c>
      <c r="P1444" t="s">
        <v>42</v>
      </c>
      <c r="Q1444" t="s">
        <v>43</v>
      </c>
      <c r="R1444" t="s">
        <v>89</v>
      </c>
      <c r="S1444" t="s">
        <v>153</v>
      </c>
      <c r="T1444" t="s">
        <v>89</v>
      </c>
      <c r="U1444" t="s">
        <v>301</v>
      </c>
      <c r="V1444" t="s">
        <v>38</v>
      </c>
      <c r="W1444" t="s">
        <v>92</v>
      </c>
      <c r="X1444" t="s">
        <v>302</v>
      </c>
      <c r="Y1444" t="s">
        <v>2810</v>
      </c>
      <c r="Z1444" t="s">
        <v>42</v>
      </c>
      <c r="AA1444" t="s">
        <v>38</v>
      </c>
      <c r="AB1444" t="s">
        <v>38</v>
      </c>
      <c r="AC1444" t="s">
        <v>153</v>
      </c>
      <c r="AD1444" t="s">
        <v>48</v>
      </c>
      <c r="AG1444" t="str">
        <f>IF(AD1444="United States", IFERROR(INDEX(Sheet2!$C:$C, MATCH(AE1444&amp;AF1444, Sheet2!$E:$E, 0)) &amp; ", " &amp; INDEX(Sheet2!$D:$D, MATCH(AE1444&amp;AF1444, Sheet2!$E:$E, 0)), ""), "-")</f>
        <v/>
      </c>
    </row>
    <row r="1445" spans="1:33" x14ac:dyDescent="0.25">
      <c r="A1445" t="s">
        <v>463</v>
      </c>
      <c r="B1445" t="s">
        <v>2835</v>
      </c>
      <c r="C1445" t="s">
        <v>2827</v>
      </c>
      <c r="D1445" t="s">
        <v>63</v>
      </c>
      <c r="E1445" t="s">
        <v>2836</v>
      </c>
      <c r="F1445">
        <v>1740</v>
      </c>
      <c r="G1445">
        <v>2560</v>
      </c>
      <c r="H1445" t="s">
        <v>2706</v>
      </c>
      <c r="I1445" t="s">
        <v>87</v>
      </c>
      <c r="J1445" t="s">
        <v>38</v>
      </c>
      <c r="K1445" t="s">
        <v>38</v>
      </c>
      <c r="L1445" t="s">
        <v>38</v>
      </c>
      <c r="M1445" t="s">
        <v>38</v>
      </c>
      <c r="N1445" t="s">
        <v>38</v>
      </c>
      <c r="O1445" t="s">
        <v>41</v>
      </c>
      <c r="P1445" t="s">
        <v>42</v>
      </c>
      <c r="Q1445" t="s">
        <v>43</v>
      </c>
      <c r="R1445" t="s">
        <v>89</v>
      </c>
      <c r="S1445" t="s">
        <v>153</v>
      </c>
      <c r="T1445" t="s">
        <v>89</v>
      </c>
      <c r="U1445" t="s">
        <v>301</v>
      </c>
      <c r="V1445" t="s">
        <v>38</v>
      </c>
      <c r="W1445" t="s">
        <v>92</v>
      </c>
      <c r="X1445" t="s">
        <v>302</v>
      </c>
      <c r="Y1445" t="s">
        <v>2810</v>
      </c>
      <c r="Z1445" t="s">
        <v>42</v>
      </c>
      <c r="AA1445" t="s">
        <v>2837</v>
      </c>
      <c r="AB1445" t="s">
        <v>38</v>
      </c>
      <c r="AC1445" t="s">
        <v>153</v>
      </c>
      <c r="AD1445" t="s">
        <v>48</v>
      </c>
      <c r="AG1445" t="str">
        <f>IF(AD1445="United States", IFERROR(INDEX(Sheet2!$C:$C, MATCH(AE1445&amp;AF1445, Sheet2!$E:$E, 0)) &amp; ", " &amp; INDEX(Sheet2!$D:$D, MATCH(AE1445&amp;AF1445, Sheet2!$E:$E, 0)), ""), "-")</f>
        <v/>
      </c>
    </row>
    <row r="1446" spans="1:33" x14ac:dyDescent="0.25">
      <c r="A1446" t="s">
        <v>463</v>
      </c>
      <c r="B1446" t="s">
        <v>2838</v>
      </c>
      <c r="C1446" t="s">
        <v>2704</v>
      </c>
      <c r="D1446" t="s">
        <v>569</v>
      </c>
      <c r="E1446" t="s">
        <v>38</v>
      </c>
      <c r="F1446">
        <v>1775</v>
      </c>
      <c r="G1446">
        <v>2552</v>
      </c>
      <c r="H1446" t="s">
        <v>2706</v>
      </c>
      <c r="I1446" t="s">
        <v>87</v>
      </c>
      <c r="J1446" t="s">
        <v>2707</v>
      </c>
      <c r="K1446" t="s">
        <v>38</v>
      </c>
      <c r="L1446" t="s">
        <v>38</v>
      </c>
      <c r="M1446" t="s">
        <v>38</v>
      </c>
      <c r="N1446" t="s">
        <v>38</v>
      </c>
      <c r="O1446" t="s">
        <v>54</v>
      </c>
      <c r="P1446" t="s">
        <v>42</v>
      </c>
      <c r="Q1446" t="s">
        <v>43</v>
      </c>
      <c r="R1446" t="s">
        <v>89</v>
      </c>
      <c r="S1446" t="s">
        <v>153</v>
      </c>
      <c r="T1446" t="s">
        <v>89</v>
      </c>
      <c r="U1446" t="s">
        <v>301</v>
      </c>
      <c r="V1446" t="s">
        <v>740</v>
      </c>
      <c r="W1446" t="s">
        <v>92</v>
      </c>
      <c r="X1446" t="s">
        <v>302</v>
      </c>
      <c r="Y1446" t="s">
        <v>2810</v>
      </c>
      <c r="Z1446" t="s">
        <v>42</v>
      </c>
      <c r="AA1446" t="s">
        <v>2818</v>
      </c>
      <c r="AB1446" t="s">
        <v>38</v>
      </c>
      <c r="AC1446" t="s">
        <v>153</v>
      </c>
      <c r="AD1446" t="s">
        <v>48</v>
      </c>
      <c r="AG1446" t="str">
        <f>IF(AD1446="United States", IFERROR(INDEX(Sheet2!$C:$C, MATCH(AE1446&amp;AF1446, Sheet2!$E:$E, 0)) &amp; ", " &amp; INDEX(Sheet2!$D:$D, MATCH(AE1446&amp;AF1446, Sheet2!$E:$E, 0)), ""), "-")</f>
        <v/>
      </c>
    </row>
    <row r="1447" spans="1:33" x14ac:dyDescent="0.25">
      <c r="A1447" t="s">
        <v>463</v>
      </c>
      <c r="B1447" t="s">
        <v>2839</v>
      </c>
      <c r="C1447" t="s">
        <v>2704</v>
      </c>
      <c r="D1447" t="s">
        <v>515</v>
      </c>
      <c r="E1447" t="s">
        <v>2740</v>
      </c>
      <c r="F1447">
        <v>1739</v>
      </c>
      <c r="G1447">
        <v>2542</v>
      </c>
      <c r="H1447" t="s">
        <v>2706</v>
      </c>
      <c r="I1447" t="s">
        <v>87</v>
      </c>
      <c r="J1447" t="s">
        <v>2707</v>
      </c>
      <c r="K1447" t="s">
        <v>38</v>
      </c>
      <c r="L1447" t="s">
        <v>38</v>
      </c>
      <c r="M1447" t="s">
        <v>38</v>
      </c>
      <c r="N1447" t="s">
        <v>38</v>
      </c>
      <c r="O1447" t="s">
        <v>57</v>
      </c>
      <c r="P1447" t="s">
        <v>42</v>
      </c>
      <c r="Q1447" t="s">
        <v>43</v>
      </c>
      <c r="R1447" t="s">
        <v>89</v>
      </c>
      <c r="S1447" t="s">
        <v>38</v>
      </c>
      <c r="T1447" t="s">
        <v>89</v>
      </c>
      <c r="U1447" t="s">
        <v>301</v>
      </c>
      <c r="V1447" t="s">
        <v>740</v>
      </c>
      <c r="W1447" t="s">
        <v>92</v>
      </c>
      <c r="X1447" t="s">
        <v>302</v>
      </c>
      <c r="Y1447" t="s">
        <v>2806</v>
      </c>
      <c r="Z1447" t="s">
        <v>42</v>
      </c>
      <c r="AA1447" t="s">
        <v>38</v>
      </c>
      <c r="AB1447" t="s">
        <v>38</v>
      </c>
      <c r="AC1447" t="s">
        <v>38</v>
      </c>
      <c r="AD1447" t="s">
        <v>48</v>
      </c>
      <c r="AG1447" t="str">
        <f>IF(AD1447="United States", IFERROR(INDEX(Sheet2!$C:$C, MATCH(AE1447&amp;AF1447, Sheet2!$E:$E, 0)) &amp; ", " &amp; INDEX(Sheet2!$D:$D, MATCH(AE1447&amp;AF1447, Sheet2!$E:$E, 0)), ""), "-")</f>
        <v/>
      </c>
    </row>
    <row r="1448" spans="1:33" x14ac:dyDescent="0.25">
      <c r="A1448" t="s">
        <v>463</v>
      </c>
      <c r="B1448" t="s">
        <v>2840</v>
      </c>
      <c r="C1448" t="s">
        <v>2704</v>
      </c>
      <c r="D1448" t="s">
        <v>1087</v>
      </c>
      <c r="E1448" t="s">
        <v>2841</v>
      </c>
      <c r="F1448">
        <v>1757</v>
      </c>
      <c r="G1448">
        <v>2522</v>
      </c>
      <c r="H1448" t="s">
        <v>2706</v>
      </c>
      <c r="I1448" t="s">
        <v>87</v>
      </c>
      <c r="J1448" t="s">
        <v>2707</v>
      </c>
      <c r="K1448" t="s">
        <v>38</v>
      </c>
      <c r="L1448" t="s">
        <v>38</v>
      </c>
      <c r="M1448" t="s">
        <v>38</v>
      </c>
      <c r="N1448" t="s">
        <v>38</v>
      </c>
      <c r="O1448" t="s">
        <v>41</v>
      </c>
      <c r="P1448" t="s">
        <v>42</v>
      </c>
      <c r="Q1448" t="s">
        <v>43</v>
      </c>
      <c r="R1448" t="s">
        <v>89</v>
      </c>
      <c r="S1448" t="s">
        <v>153</v>
      </c>
      <c r="T1448" t="s">
        <v>89</v>
      </c>
      <c r="U1448" t="s">
        <v>301</v>
      </c>
      <c r="V1448" t="s">
        <v>740</v>
      </c>
      <c r="W1448" t="s">
        <v>92</v>
      </c>
      <c r="X1448" t="s">
        <v>302</v>
      </c>
      <c r="Y1448" t="s">
        <v>2724</v>
      </c>
      <c r="Z1448" t="s">
        <v>42</v>
      </c>
      <c r="AA1448" t="s">
        <v>2818</v>
      </c>
      <c r="AB1448" t="s">
        <v>38</v>
      </c>
      <c r="AC1448" t="s">
        <v>153</v>
      </c>
      <c r="AD1448" t="s">
        <v>48</v>
      </c>
      <c r="AG1448" t="str">
        <f>IF(AD1448="United States", IFERROR(INDEX(Sheet2!$C:$C, MATCH(AE1448&amp;AF1448, Sheet2!$E:$E, 0)) &amp; ", " &amp; INDEX(Sheet2!$D:$D, MATCH(AE1448&amp;AF1448, Sheet2!$E:$E, 0)), ""), "-")</f>
        <v/>
      </c>
    </row>
    <row r="1449" spans="1:33" x14ac:dyDescent="0.25">
      <c r="A1449" t="s">
        <v>463</v>
      </c>
      <c r="B1449" t="s">
        <v>2842</v>
      </c>
      <c r="C1449" t="s">
        <v>2704</v>
      </c>
      <c r="D1449" t="s">
        <v>63</v>
      </c>
      <c r="E1449" t="s">
        <v>38</v>
      </c>
      <c r="F1449" t="s">
        <v>38</v>
      </c>
      <c r="G1449">
        <v>2540</v>
      </c>
      <c r="H1449" t="s">
        <v>2706</v>
      </c>
      <c r="I1449" t="s">
        <v>87</v>
      </c>
      <c r="J1449" t="s">
        <v>2707</v>
      </c>
      <c r="K1449" t="s">
        <v>38</v>
      </c>
      <c r="L1449" t="s">
        <v>38</v>
      </c>
      <c r="M1449" t="s">
        <v>38</v>
      </c>
      <c r="N1449" t="s">
        <v>38</v>
      </c>
      <c r="O1449" t="s">
        <v>54</v>
      </c>
      <c r="P1449" t="s">
        <v>42</v>
      </c>
      <c r="Q1449" t="s">
        <v>43</v>
      </c>
      <c r="R1449" t="s">
        <v>89</v>
      </c>
      <c r="S1449" t="s">
        <v>38</v>
      </c>
      <c r="T1449" t="s">
        <v>89</v>
      </c>
      <c r="U1449" t="s">
        <v>301</v>
      </c>
      <c r="V1449" t="s">
        <v>740</v>
      </c>
      <c r="W1449" t="s">
        <v>92</v>
      </c>
      <c r="X1449" t="s">
        <v>302</v>
      </c>
      <c r="Y1449" t="s">
        <v>2843</v>
      </c>
      <c r="Z1449" t="s">
        <v>42</v>
      </c>
      <c r="AA1449" t="s">
        <v>38</v>
      </c>
      <c r="AB1449" t="s">
        <v>38</v>
      </c>
      <c r="AC1449" t="s">
        <v>38</v>
      </c>
      <c r="AD1449" t="s">
        <v>48</v>
      </c>
      <c r="AG1449" t="str">
        <f>IF(AD1449="United States", IFERROR(INDEX(Sheet2!$C:$C, MATCH(AE1449&amp;AF1449, Sheet2!$E:$E, 0)) &amp; ", " &amp; INDEX(Sheet2!$D:$D, MATCH(AE1449&amp;AF1449, Sheet2!$E:$E, 0)), ""), "-")</f>
        <v/>
      </c>
    </row>
    <row r="1450" spans="1:33" x14ac:dyDescent="0.25">
      <c r="A1450" t="s">
        <v>463</v>
      </c>
      <c r="B1450" t="s">
        <v>2844</v>
      </c>
      <c r="C1450" t="s">
        <v>2704</v>
      </c>
      <c r="D1450" t="s">
        <v>352</v>
      </c>
      <c r="E1450" t="s">
        <v>38</v>
      </c>
      <c r="F1450">
        <v>1778</v>
      </c>
      <c r="G1450">
        <v>2539</v>
      </c>
      <c r="H1450" t="s">
        <v>269</v>
      </c>
      <c r="I1450" t="s">
        <v>87</v>
      </c>
      <c r="J1450" t="s">
        <v>2707</v>
      </c>
      <c r="K1450" t="s">
        <v>38</v>
      </c>
      <c r="L1450" t="s">
        <v>38</v>
      </c>
      <c r="M1450" t="s">
        <v>38</v>
      </c>
      <c r="N1450" t="s">
        <v>38</v>
      </c>
      <c r="O1450" t="s">
        <v>54</v>
      </c>
      <c r="P1450" t="s">
        <v>42</v>
      </c>
      <c r="Q1450" t="s">
        <v>43</v>
      </c>
      <c r="R1450" t="s">
        <v>89</v>
      </c>
      <c r="S1450" t="s">
        <v>38</v>
      </c>
      <c r="T1450" t="s">
        <v>89</v>
      </c>
      <c r="U1450" t="s">
        <v>301</v>
      </c>
      <c r="V1450" t="s">
        <v>740</v>
      </c>
      <c r="W1450" t="s">
        <v>92</v>
      </c>
      <c r="X1450" t="s">
        <v>302</v>
      </c>
      <c r="Y1450" t="s">
        <v>2843</v>
      </c>
      <c r="Z1450" t="s">
        <v>42</v>
      </c>
      <c r="AA1450" t="s">
        <v>38</v>
      </c>
      <c r="AB1450" t="s">
        <v>38</v>
      </c>
      <c r="AC1450" t="s">
        <v>38</v>
      </c>
      <c r="AD1450" t="s">
        <v>48</v>
      </c>
      <c r="AG1450" t="str">
        <f>IF(AD1450="United States", IFERROR(INDEX(Sheet2!$C:$C, MATCH(AE1450&amp;AF1450, Sheet2!$E:$E, 0)) &amp; ", " &amp; INDEX(Sheet2!$D:$D, MATCH(AE1450&amp;AF1450, Sheet2!$E:$E, 0)), ""), "-")</f>
        <v/>
      </c>
    </row>
    <row r="1451" spans="1:33" x14ac:dyDescent="0.25">
      <c r="A1451" t="s">
        <v>463</v>
      </c>
      <c r="B1451" t="s">
        <v>2845</v>
      </c>
      <c r="C1451" t="s">
        <v>2704</v>
      </c>
      <c r="D1451" t="s">
        <v>129</v>
      </c>
      <c r="E1451" t="s">
        <v>38</v>
      </c>
      <c r="F1451">
        <v>1756</v>
      </c>
      <c r="G1451">
        <v>2538</v>
      </c>
      <c r="H1451" t="s">
        <v>2706</v>
      </c>
      <c r="I1451" t="s">
        <v>87</v>
      </c>
      <c r="J1451" t="s">
        <v>2707</v>
      </c>
      <c r="K1451" t="s">
        <v>38</v>
      </c>
      <c r="L1451" t="s">
        <v>38</v>
      </c>
      <c r="M1451" t="s">
        <v>38</v>
      </c>
      <c r="N1451" t="s">
        <v>38</v>
      </c>
      <c r="O1451" t="s">
        <v>57</v>
      </c>
      <c r="P1451" t="s">
        <v>42</v>
      </c>
      <c r="Q1451" t="s">
        <v>43</v>
      </c>
      <c r="R1451" t="s">
        <v>89</v>
      </c>
      <c r="S1451" t="s">
        <v>38</v>
      </c>
      <c r="T1451" t="s">
        <v>89</v>
      </c>
      <c r="U1451" t="s">
        <v>301</v>
      </c>
      <c r="V1451" t="s">
        <v>740</v>
      </c>
      <c r="W1451" t="s">
        <v>92</v>
      </c>
      <c r="X1451" t="s">
        <v>302</v>
      </c>
      <c r="Y1451" t="s">
        <v>2843</v>
      </c>
      <c r="Z1451" t="s">
        <v>42</v>
      </c>
      <c r="AA1451" t="s">
        <v>38</v>
      </c>
      <c r="AB1451" t="s">
        <v>38</v>
      </c>
      <c r="AC1451" t="s">
        <v>38</v>
      </c>
      <c r="AD1451" t="s">
        <v>48</v>
      </c>
      <c r="AG1451" t="str">
        <f>IF(AD1451="United States", IFERROR(INDEX(Sheet2!$C:$C, MATCH(AE1451&amp;AF1451, Sheet2!$E:$E, 0)) &amp; ", " &amp; INDEX(Sheet2!$D:$D, MATCH(AE1451&amp;AF1451, Sheet2!$E:$E, 0)), ""), "-")</f>
        <v/>
      </c>
    </row>
    <row r="1452" spans="1:33" x14ac:dyDescent="0.25">
      <c r="A1452" t="s">
        <v>463</v>
      </c>
      <c r="B1452" t="s">
        <v>2846</v>
      </c>
      <c r="C1452" t="s">
        <v>2704</v>
      </c>
      <c r="D1452" t="s">
        <v>1551</v>
      </c>
      <c r="E1452" t="s">
        <v>38</v>
      </c>
      <c r="F1452">
        <v>1772</v>
      </c>
      <c r="G1452">
        <v>2541</v>
      </c>
      <c r="H1452" t="s">
        <v>38</v>
      </c>
      <c r="I1452" t="s">
        <v>87</v>
      </c>
      <c r="J1452" t="s">
        <v>2707</v>
      </c>
      <c r="K1452" t="s">
        <v>38</v>
      </c>
      <c r="L1452" t="s">
        <v>38</v>
      </c>
      <c r="M1452" t="s">
        <v>38</v>
      </c>
      <c r="N1452" t="s">
        <v>38</v>
      </c>
      <c r="O1452" t="s">
        <v>74</v>
      </c>
      <c r="P1452" t="s">
        <v>42</v>
      </c>
      <c r="Q1452" t="s">
        <v>43</v>
      </c>
      <c r="R1452" t="s">
        <v>38</v>
      </c>
      <c r="S1452" t="s">
        <v>38</v>
      </c>
      <c r="T1452" t="s">
        <v>38</v>
      </c>
      <c r="U1452" t="s">
        <v>38</v>
      </c>
      <c r="V1452" t="s">
        <v>740</v>
      </c>
      <c r="W1452" t="s">
        <v>38</v>
      </c>
      <c r="X1452" t="s">
        <v>38</v>
      </c>
      <c r="Y1452" t="s">
        <v>2806</v>
      </c>
      <c r="Z1452" t="s">
        <v>42</v>
      </c>
      <c r="AA1452" t="s">
        <v>38</v>
      </c>
      <c r="AB1452" t="s">
        <v>38</v>
      </c>
      <c r="AC1452" t="s">
        <v>38</v>
      </c>
      <c r="AD1452" t="s">
        <v>48</v>
      </c>
      <c r="AG1452" t="str">
        <f>IF(AD1452="United States", IFERROR(INDEX(Sheet2!$C:$C, MATCH(AE1452&amp;AF1452, Sheet2!$E:$E, 0)) &amp; ", " &amp; INDEX(Sheet2!$D:$D, MATCH(AE1452&amp;AF1452, Sheet2!$E:$E, 0)), ""), "-")</f>
        <v/>
      </c>
    </row>
    <row r="1453" spans="1:33" x14ac:dyDescent="0.25">
      <c r="A1453" t="s">
        <v>463</v>
      </c>
      <c r="B1453" t="s">
        <v>2847</v>
      </c>
      <c r="C1453" t="s">
        <v>2704</v>
      </c>
      <c r="D1453" t="s">
        <v>62</v>
      </c>
      <c r="E1453" t="s">
        <v>37</v>
      </c>
      <c r="F1453">
        <v>1750</v>
      </c>
      <c r="G1453">
        <v>2535</v>
      </c>
      <c r="H1453" t="s">
        <v>2706</v>
      </c>
      <c r="I1453" t="s">
        <v>87</v>
      </c>
      <c r="J1453" t="s">
        <v>2707</v>
      </c>
      <c r="K1453" t="s">
        <v>38</v>
      </c>
      <c r="L1453" t="s">
        <v>38</v>
      </c>
      <c r="M1453" t="s">
        <v>38</v>
      </c>
      <c r="N1453" t="s">
        <v>38</v>
      </c>
      <c r="O1453" t="s">
        <v>41</v>
      </c>
      <c r="P1453" t="s">
        <v>42</v>
      </c>
      <c r="Q1453" t="s">
        <v>43</v>
      </c>
      <c r="R1453" t="s">
        <v>89</v>
      </c>
      <c r="S1453" t="s">
        <v>165</v>
      </c>
      <c r="T1453" t="s">
        <v>89</v>
      </c>
      <c r="U1453" t="s">
        <v>301</v>
      </c>
      <c r="V1453" t="s">
        <v>740</v>
      </c>
      <c r="W1453" t="s">
        <v>92</v>
      </c>
      <c r="X1453" t="s">
        <v>302</v>
      </c>
      <c r="Y1453" t="s">
        <v>2759</v>
      </c>
      <c r="Z1453" t="s">
        <v>42</v>
      </c>
      <c r="AA1453" t="s">
        <v>166</v>
      </c>
      <c r="AB1453" t="s">
        <v>38</v>
      </c>
      <c r="AC1453" t="s">
        <v>165</v>
      </c>
      <c r="AD1453" t="s">
        <v>48</v>
      </c>
      <c r="AG1453" t="str">
        <f>IF(AD1453="United States", IFERROR(INDEX(Sheet2!$C:$C, MATCH(AE1453&amp;AF1453, Sheet2!$E:$E, 0)) &amp; ", " &amp; INDEX(Sheet2!$D:$D, MATCH(AE1453&amp;AF1453, Sheet2!$E:$E, 0)), ""), "-")</f>
        <v/>
      </c>
    </row>
    <row r="1454" spans="1:33" x14ac:dyDescent="0.25">
      <c r="A1454" t="s">
        <v>463</v>
      </c>
      <c r="B1454" t="s">
        <v>2848</v>
      </c>
      <c r="C1454" t="s">
        <v>2704</v>
      </c>
      <c r="D1454" t="s">
        <v>2016</v>
      </c>
      <c r="E1454" t="s">
        <v>38</v>
      </c>
      <c r="F1454">
        <v>1759</v>
      </c>
      <c r="G1454">
        <v>2536</v>
      </c>
      <c r="H1454" t="s">
        <v>2706</v>
      </c>
      <c r="I1454" t="s">
        <v>87</v>
      </c>
      <c r="J1454" t="s">
        <v>2707</v>
      </c>
      <c r="K1454" t="s">
        <v>38</v>
      </c>
      <c r="L1454" t="s">
        <v>38</v>
      </c>
      <c r="M1454" t="s">
        <v>38</v>
      </c>
      <c r="N1454" t="s">
        <v>38</v>
      </c>
      <c r="O1454" t="s">
        <v>41</v>
      </c>
      <c r="P1454" t="s">
        <v>42</v>
      </c>
      <c r="Q1454" t="s">
        <v>43</v>
      </c>
      <c r="R1454" t="s">
        <v>89</v>
      </c>
      <c r="S1454" t="s">
        <v>153</v>
      </c>
      <c r="T1454" t="s">
        <v>89</v>
      </c>
      <c r="U1454" t="s">
        <v>301</v>
      </c>
      <c r="V1454" t="s">
        <v>740</v>
      </c>
      <c r="W1454" t="s">
        <v>92</v>
      </c>
      <c r="X1454" t="s">
        <v>302</v>
      </c>
      <c r="Y1454" t="s">
        <v>2759</v>
      </c>
      <c r="Z1454" t="s">
        <v>42</v>
      </c>
      <c r="AA1454" t="s">
        <v>2849</v>
      </c>
      <c r="AB1454" t="s">
        <v>38</v>
      </c>
      <c r="AC1454" t="s">
        <v>153</v>
      </c>
      <c r="AD1454" t="s">
        <v>48</v>
      </c>
      <c r="AG1454" t="str">
        <f>IF(AD1454="United States", IFERROR(INDEX(Sheet2!$C:$C, MATCH(AE1454&amp;AF1454, Sheet2!$E:$E, 0)) &amp; ", " &amp; INDEX(Sheet2!$D:$D, MATCH(AE1454&amp;AF1454, Sheet2!$E:$E, 0)), ""), "-")</f>
        <v/>
      </c>
    </row>
    <row r="1455" spans="1:33" x14ac:dyDescent="0.25">
      <c r="A1455" t="s">
        <v>463</v>
      </c>
      <c r="B1455" t="s">
        <v>2850</v>
      </c>
      <c r="C1455" t="s">
        <v>2704</v>
      </c>
      <c r="D1455" t="s">
        <v>513</v>
      </c>
      <c r="E1455" t="s">
        <v>2851</v>
      </c>
      <c r="F1455">
        <v>1746</v>
      </c>
      <c r="G1455">
        <v>2537</v>
      </c>
      <c r="H1455" t="s">
        <v>2706</v>
      </c>
      <c r="I1455" t="s">
        <v>87</v>
      </c>
      <c r="J1455" t="s">
        <v>2707</v>
      </c>
      <c r="K1455" t="s">
        <v>38</v>
      </c>
      <c r="L1455" t="s">
        <v>38</v>
      </c>
      <c r="M1455" t="s">
        <v>38</v>
      </c>
      <c r="N1455" t="s">
        <v>38</v>
      </c>
      <c r="O1455" t="s">
        <v>41</v>
      </c>
      <c r="P1455" t="s">
        <v>42</v>
      </c>
      <c r="Q1455" t="s">
        <v>43</v>
      </c>
      <c r="R1455" t="s">
        <v>89</v>
      </c>
      <c r="S1455" t="s">
        <v>201</v>
      </c>
      <c r="T1455" t="s">
        <v>89</v>
      </c>
      <c r="U1455" t="s">
        <v>301</v>
      </c>
      <c r="V1455" t="s">
        <v>740</v>
      </c>
      <c r="W1455" t="s">
        <v>92</v>
      </c>
      <c r="X1455" t="s">
        <v>302</v>
      </c>
      <c r="Y1455" t="s">
        <v>2843</v>
      </c>
      <c r="Z1455" t="s">
        <v>42</v>
      </c>
      <c r="AA1455" t="s">
        <v>265</v>
      </c>
      <c r="AB1455" t="s">
        <v>38</v>
      </c>
      <c r="AC1455" t="s">
        <v>201</v>
      </c>
      <c r="AD1455" t="s">
        <v>48</v>
      </c>
      <c r="AG1455" t="str">
        <f>IF(AD1455="United States", IFERROR(INDEX(Sheet2!$C:$C, MATCH(AE1455&amp;AF1455, Sheet2!$E:$E, 0)) &amp; ", " &amp; INDEX(Sheet2!$D:$D, MATCH(AE1455&amp;AF1455, Sheet2!$E:$E, 0)), ""), "-")</f>
        <v/>
      </c>
    </row>
    <row r="1456" spans="1:33" x14ac:dyDescent="0.25">
      <c r="A1456" t="s">
        <v>1845</v>
      </c>
      <c r="B1456" t="s">
        <v>2852</v>
      </c>
      <c r="C1456" t="s">
        <v>2853</v>
      </c>
      <c r="D1456" t="s">
        <v>36</v>
      </c>
      <c r="E1456" t="s">
        <v>133</v>
      </c>
      <c r="F1456">
        <v>1747</v>
      </c>
      <c r="G1456">
        <v>525</v>
      </c>
      <c r="H1456" t="s">
        <v>381</v>
      </c>
      <c r="I1456" t="s">
        <v>39</v>
      </c>
      <c r="J1456" t="s">
        <v>2854</v>
      </c>
      <c r="K1456" t="s">
        <v>38</v>
      </c>
      <c r="L1456" t="s">
        <v>38</v>
      </c>
      <c r="M1456" t="s">
        <v>38</v>
      </c>
      <c r="N1456" t="s">
        <v>38</v>
      </c>
      <c r="O1456" t="s">
        <v>41</v>
      </c>
      <c r="P1456" t="s">
        <v>42</v>
      </c>
      <c r="Q1456" t="s">
        <v>43</v>
      </c>
      <c r="R1456" t="s">
        <v>89</v>
      </c>
      <c r="S1456" t="s">
        <v>45</v>
      </c>
      <c r="T1456" t="s">
        <v>89</v>
      </c>
      <c r="U1456" t="s">
        <v>38</v>
      </c>
      <c r="V1456" t="s">
        <v>137</v>
      </c>
      <c r="W1456" t="s">
        <v>92</v>
      </c>
      <c r="X1456" t="s">
        <v>38</v>
      </c>
      <c r="Y1456" t="s">
        <v>2855</v>
      </c>
      <c r="Z1456" t="s">
        <v>42</v>
      </c>
      <c r="AA1456" t="s">
        <v>1351</v>
      </c>
      <c r="AB1456" t="s">
        <v>38</v>
      </c>
      <c r="AC1456" t="s">
        <v>45</v>
      </c>
      <c r="AD1456" t="s">
        <v>48</v>
      </c>
      <c r="AG1456" t="str">
        <f>IF(AD1456="United States", IFERROR(INDEX(Sheet2!$C:$C, MATCH(AE1456&amp;AF1456, Sheet2!$E:$E, 0)) &amp; ", " &amp; INDEX(Sheet2!$D:$D, MATCH(AE1456&amp;AF1456, Sheet2!$E:$E, 0)), ""), "-")</f>
        <v/>
      </c>
    </row>
    <row r="1457" spans="1:33" x14ac:dyDescent="0.25">
      <c r="A1457" t="s">
        <v>2856</v>
      </c>
      <c r="B1457" t="s">
        <v>2857</v>
      </c>
      <c r="C1457" t="s">
        <v>2858</v>
      </c>
      <c r="D1457" t="s">
        <v>1126</v>
      </c>
      <c r="E1457" t="s">
        <v>38</v>
      </c>
      <c r="F1457">
        <v>1774</v>
      </c>
      <c r="G1457">
        <v>1960</v>
      </c>
      <c r="H1457" t="s">
        <v>398</v>
      </c>
      <c r="I1457" t="s">
        <v>80</v>
      </c>
      <c r="J1457" t="s">
        <v>38</v>
      </c>
      <c r="K1457" t="s">
        <v>38</v>
      </c>
      <c r="L1457" t="s">
        <v>38</v>
      </c>
      <c r="M1457" t="s">
        <v>38</v>
      </c>
      <c r="N1457" t="s">
        <v>38</v>
      </c>
      <c r="O1457" t="s">
        <v>54</v>
      </c>
      <c r="P1457" t="s">
        <v>42</v>
      </c>
      <c r="Q1457" t="s">
        <v>43</v>
      </c>
      <c r="R1457" t="s">
        <v>89</v>
      </c>
      <c r="S1457" t="s">
        <v>286</v>
      </c>
      <c r="T1457" t="s">
        <v>89</v>
      </c>
      <c r="U1457" t="s">
        <v>301</v>
      </c>
      <c r="V1457" t="s">
        <v>91</v>
      </c>
      <c r="W1457" t="s">
        <v>92</v>
      </c>
      <c r="X1457" t="s">
        <v>302</v>
      </c>
      <c r="Y1457" t="s">
        <v>2859</v>
      </c>
      <c r="Z1457" t="s">
        <v>42</v>
      </c>
      <c r="AA1457" t="s">
        <v>38</v>
      </c>
      <c r="AB1457" t="s">
        <v>38</v>
      </c>
      <c r="AC1457" t="s">
        <v>286</v>
      </c>
      <c r="AD1457" t="s">
        <v>48</v>
      </c>
      <c r="AG1457" t="str">
        <f>IF(AD1457="United States", IFERROR(INDEX(Sheet2!$C:$C, MATCH(AE1457&amp;AF1457, Sheet2!$E:$E, 0)) &amp; ", " &amp; INDEX(Sheet2!$D:$D, MATCH(AE1457&amp;AF1457, Sheet2!$E:$E, 0)), ""), "-")</f>
        <v/>
      </c>
    </row>
    <row r="1458" spans="1:33" x14ac:dyDescent="0.25">
      <c r="A1458" t="s">
        <v>2856</v>
      </c>
      <c r="B1458" t="s">
        <v>2860</v>
      </c>
      <c r="C1458" t="s">
        <v>2858</v>
      </c>
      <c r="D1458" t="s">
        <v>626</v>
      </c>
      <c r="E1458" t="s">
        <v>2861</v>
      </c>
      <c r="F1458">
        <v>1761</v>
      </c>
      <c r="G1458">
        <v>1961</v>
      </c>
      <c r="H1458" t="s">
        <v>398</v>
      </c>
      <c r="I1458" t="s">
        <v>80</v>
      </c>
      <c r="J1458" t="s">
        <v>38</v>
      </c>
      <c r="K1458" t="s">
        <v>38</v>
      </c>
      <c r="L1458" t="s">
        <v>38</v>
      </c>
      <c r="M1458" t="s">
        <v>38</v>
      </c>
      <c r="N1458" t="s">
        <v>38</v>
      </c>
      <c r="O1458" t="s">
        <v>41</v>
      </c>
      <c r="P1458" t="s">
        <v>42</v>
      </c>
      <c r="Q1458" t="s">
        <v>43</v>
      </c>
      <c r="R1458" t="s">
        <v>89</v>
      </c>
      <c r="S1458" t="s">
        <v>45</v>
      </c>
      <c r="T1458" t="s">
        <v>89</v>
      </c>
      <c r="U1458" t="s">
        <v>301</v>
      </c>
      <c r="V1458" t="s">
        <v>91</v>
      </c>
      <c r="W1458" t="s">
        <v>92</v>
      </c>
      <c r="X1458" t="s">
        <v>302</v>
      </c>
      <c r="Y1458" t="s">
        <v>2862</v>
      </c>
      <c r="Z1458" t="s">
        <v>42</v>
      </c>
      <c r="AA1458" t="s">
        <v>241</v>
      </c>
      <c r="AB1458" t="s">
        <v>38</v>
      </c>
      <c r="AC1458" t="s">
        <v>45</v>
      </c>
      <c r="AD1458" t="s">
        <v>48</v>
      </c>
      <c r="AG1458" t="str">
        <f>IF(AD1458="United States", IFERROR(INDEX(Sheet2!$C:$C, MATCH(AE1458&amp;AF1458, Sheet2!$E:$E, 0)) &amp; ", " &amp; INDEX(Sheet2!$D:$D, MATCH(AE1458&amp;AF1458, Sheet2!$E:$E, 0)), ""), "-")</f>
        <v/>
      </c>
    </row>
    <row r="1459" spans="1:33" x14ac:dyDescent="0.25">
      <c r="A1459" t="s">
        <v>2856</v>
      </c>
      <c r="B1459" t="s">
        <v>2863</v>
      </c>
      <c r="C1459" t="s">
        <v>2858</v>
      </c>
      <c r="D1459" t="s">
        <v>2376</v>
      </c>
      <c r="E1459" t="s">
        <v>2864</v>
      </c>
      <c r="F1459">
        <v>1750</v>
      </c>
      <c r="G1459">
        <v>1962</v>
      </c>
      <c r="H1459" t="s">
        <v>398</v>
      </c>
      <c r="I1459" t="s">
        <v>80</v>
      </c>
      <c r="J1459" t="s">
        <v>38</v>
      </c>
      <c r="K1459" t="s">
        <v>38</v>
      </c>
      <c r="L1459" t="s">
        <v>38</v>
      </c>
      <c r="M1459" t="s">
        <v>38</v>
      </c>
      <c r="N1459" t="s">
        <v>38</v>
      </c>
      <c r="O1459" t="s">
        <v>41</v>
      </c>
      <c r="P1459" t="s">
        <v>42</v>
      </c>
      <c r="Q1459" t="s">
        <v>43</v>
      </c>
      <c r="R1459" t="s">
        <v>89</v>
      </c>
      <c r="S1459" t="s">
        <v>45</v>
      </c>
      <c r="T1459" t="s">
        <v>89</v>
      </c>
      <c r="U1459" t="s">
        <v>301</v>
      </c>
      <c r="V1459" t="s">
        <v>91</v>
      </c>
      <c r="W1459" t="s">
        <v>92</v>
      </c>
      <c r="X1459" t="s">
        <v>302</v>
      </c>
      <c r="Y1459" t="s">
        <v>2372</v>
      </c>
      <c r="Z1459" t="s">
        <v>42</v>
      </c>
      <c r="AA1459" t="s">
        <v>241</v>
      </c>
      <c r="AB1459" t="s">
        <v>38</v>
      </c>
      <c r="AC1459" t="s">
        <v>45</v>
      </c>
      <c r="AD1459" t="s">
        <v>48</v>
      </c>
      <c r="AG1459" t="str">
        <f>IF(AD1459="United States", IFERROR(INDEX(Sheet2!$C:$C, MATCH(AE1459&amp;AF1459, Sheet2!$E:$E, 0)) &amp; ", " &amp; INDEX(Sheet2!$D:$D, MATCH(AE1459&amp;AF1459, Sheet2!$E:$E, 0)), ""), "-")</f>
        <v/>
      </c>
    </row>
    <row r="1460" spans="1:33" x14ac:dyDescent="0.25">
      <c r="A1460" t="s">
        <v>2865</v>
      </c>
      <c r="B1460" t="s">
        <v>2866</v>
      </c>
      <c r="C1460" t="s">
        <v>2867</v>
      </c>
      <c r="D1460" t="s">
        <v>226</v>
      </c>
      <c r="E1460" t="s">
        <v>2032</v>
      </c>
      <c r="F1460">
        <v>1759</v>
      </c>
      <c r="G1460">
        <v>905</v>
      </c>
      <c r="H1460" t="s">
        <v>2270</v>
      </c>
      <c r="I1460" t="s">
        <v>80</v>
      </c>
      <c r="J1460" t="s">
        <v>2868</v>
      </c>
      <c r="K1460" t="s">
        <v>38</v>
      </c>
      <c r="L1460" t="s">
        <v>38</v>
      </c>
      <c r="M1460" t="s">
        <v>38</v>
      </c>
      <c r="N1460" t="s">
        <v>38</v>
      </c>
      <c r="O1460" t="s">
        <v>41</v>
      </c>
      <c r="P1460" t="s">
        <v>42</v>
      </c>
      <c r="Q1460" t="s">
        <v>43</v>
      </c>
      <c r="R1460" t="s">
        <v>89</v>
      </c>
      <c r="S1460" t="s">
        <v>165</v>
      </c>
      <c r="T1460" t="s">
        <v>89</v>
      </c>
      <c r="U1460" t="s">
        <v>301</v>
      </c>
      <c r="V1460" t="s">
        <v>137</v>
      </c>
      <c r="W1460" t="s">
        <v>92</v>
      </c>
      <c r="X1460" t="s">
        <v>302</v>
      </c>
      <c r="Y1460" t="s">
        <v>2869</v>
      </c>
      <c r="Z1460" t="s">
        <v>42</v>
      </c>
      <c r="AA1460" t="s">
        <v>166</v>
      </c>
      <c r="AB1460" t="s">
        <v>38</v>
      </c>
      <c r="AC1460" t="s">
        <v>165</v>
      </c>
      <c r="AD1460" t="s">
        <v>48</v>
      </c>
      <c r="AG1460" t="str">
        <f>IF(AD1460="United States", IFERROR(INDEX(Sheet2!$C:$C, MATCH(AE1460&amp;AF1460, Sheet2!$E:$E, 0)) &amp; ", " &amp; INDEX(Sheet2!$D:$D, MATCH(AE1460&amp;AF1460, Sheet2!$E:$E, 0)), ""), "-")</f>
        <v/>
      </c>
    </row>
    <row r="1461" spans="1:33" x14ac:dyDescent="0.25">
      <c r="A1461" t="s">
        <v>2865</v>
      </c>
      <c r="B1461" t="s">
        <v>2870</v>
      </c>
      <c r="C1461" t="s">
        <v>2867</v>
      </c>
      <c r="D1461" t="s">
        <v>113</v>
      </c>
      <c r="E1461" t="s">
        <v>2192</v>
      </c>
      <c r="F1461">
        <v>1760</v>
      </c>
      <c r="G1461">
        <v>904</v>
      </c>
      <c r="H1461" t="s">
        <v>2270</v>
      </c>
      <c r="I1461" t="s">
        <v>80</v>
      </c>
      <c r="J1461" t="s">
        <v>2868</v>
      </c>
      <c r="K1461" t="s">
        <v>38</v>
      </c>
      <c r="L1461" t="s">
        <v>38</v>
      </c>
      <c r="M1461" t="s">
        <v>38</v>
      </c>
      <c r="N1461" t="s">
        <v>38</v>
      </c>
      <c r="O1461" t="s">
        <v>41</v>
      </c>
      <c r="P1461" t="s">
        <v>42</v>
      </c>
      <c r="Q1461" t="s">
        <v>124</v>
      </c>
      <c r="R1461" t="s">
        <v>89</v>
      </c>
      <c r="S1461" t="s">
        <v>153</v>
      </c>
      <c r="T1461" t="s">
        <v>89</v>
      </c>
      <c r="U1461" t="s">
        <v>301</v>
      </c>
      <c r="V1461" t="s">
        <v>137</v>
      </c>
      <c r="W1461" t="s">
        <v>92</v>
      </c>
      <c r="X1461" t="s">
        <v>302</v>
      </c>
      <c r="Y1461" t="s">
        <v>1650</v>
      </c>
      <c r="Z1461" t="s">
        <v>42</v>
      </c>
      <c r="AA1461" t="s">
        <v>812</v>
      </c>
      <c r="AB1461" t="s">
        <v>38</v>
      </c>
      <c r="AC1461" t="s">
        <v>153</v>
      </c>
      <c r="AD1461" t="s">
        <v>48</v>
      </c>
      <c r="AG1461" t="str">
        <f>IF(AD1461="United States", IFERROR(INDEX(Sheet2!$C:$C, MATCH(AE1461&amp;AF1461, Sheet2!$E:$E, 0)) &amp; ", " &amp; INDEX(Sheet2!$D:$D, MATCH(AE1461&amp;AF1461, Sheet2!$E:$E, 0)), ""), "-")</f>
        <v/>
      </c>
    </row>
    <row r="1462" spans="1:33" x14ac:dyDescent="0.25">
      <c r="A1462" t="s">
        <v>2865</v>
      </c>
      <c r="B1462" t="s">
        <v>2871</v>
      </c>
      <c r="C1462" t="s">
        <v>2872</v>
      </c>
      <c r="D1462" t="s">
        <v>1116</v>
      </c>
      <c r="E1462" t="s">
        <v>2873</v>
      </c>
      <c r="F1462">
        <v>1759</v>
      </c>
      <c r="G1462">
        <v>290</v>
      </c>
      <c r="H1462" t="s">
        <v>435</v>
      </c>
      <c r="I1462" t="s">
        <v>39</v>
      </c>
      <c r="J1462" t="s">
        <v>2868</v>
      </c>
      <c r="K1462" t="s">
        <v>38</v>
      </c>
      <c r="L1462" t="s">
        <v>38</v>
      </c>
      <c r="M1462" t="s">
        <v>38</v>
      </c>
      <c r="N1462" t="s">
        <v>38</v>
      </c>
      <c r="O1462" t="s">
        <v>41</v>
      </c>
      <c r="P1462" t="s">
        <v>125</v>
      </c>
      <c r="Q1462" t="s">
        <v>124</v>
      </c>
      <c r="R1462" t="s">
        <v>89</v>
      </c>
      <c r="S1462" t="s">
        <v>45</v>
      </c>
      <c r="T1462" t="s">
        <v>89</v>
      </c>
      <c r="U1462" t="s">
        <v>301</v>
      </c>
      <c r="V1462" t="s">
        <v>137</v>
      </c>
      <c r="W1462" t="s">
        <v>92</v>
      </c>
      <c r="X1462" t="s">
        <v>302</v>
      </c>
      <c r="Y1462" t="s">
        <v>2874</v>
      </c>
      <c r="Z1462" t="s">
        <v>125</v>
      </c>
      <c r="AA1462" t="s">
        <v>38</v>
      </c>
      <c r="AB1462" t="s">
        <v>38</v>
      </c>
      <c r="AC1462" t="s">
        <v>45</v>
      </c>
      <c r="AD1462" t="s">
        <v>48</v>
      </c>
      <c r="AG1462" t="str">
        <f>IF(AD1462="United States", IFERROR(INDEX(Sheet2!$C:$C, MATCH(AE1462&amp;AF1462, Sheet2!$E:$E, 0)) &amp; ", " &amp; INDEX(Sheet2!$D:$D, MATCH(AE1462&amp;AF1462, Sheet2!$E:$E, 0)), ""), "-")</f>
        <v/>
      </c>
    </row>
    <row r="1463" spans="1:33" x14ac:dyDescent="0.25">
      <c r="A1463" t="s">
        <v>2865</v>
      </c>
      <c r="B1463" t="s">
        <v>2875</v>
      </c>
      <c r="C1463" t="s">
        <v>2872</v>
      </c>
      <c r="D1463" t="s">
        <v>101</v>
      </c>
      <c r="E1463" t="s">
        <v>633</v>
      </c>
      <c r="F1463">
        <v>1757</v>
      </c>
      <c r="G1463">
        <v>291</v>
      </c>
      <c r="H1463" t="s">
        <v>435</v>
      </c>
      <c r="I1463" t="s">
        <v>39</v>
      </c>
      <c r="J1463" t="s">
        <v>2868</v>
      </c>
      <c r="K1463" t="s">
        <v>38</v>
      </c>
      <c r="L1463" t="s">
        <v>38</v>
      </c>
      <c r="M1463" t="s">
        <v>38</v>
      </c>
      <c r="N1463" t="s">
        <v>38</v>
      </c>
      <c r="O1463" t="s">
        <v>41</v>
      </c>
      <c r="P1463" t="s">
        <v>42</v>
      </c>
      <c r="Q1463" t="s">
        <v>43</v>
      </c>
      <c r="R1463" t="s">
        <v>89</v>
      </c>
      <c r="S1463" t="s">
        <v>38</v>
      </c>
      <c r="T1463" t="s">
        <v>89</v>
      </c>
      <c r="U1463" t="s">
        <v>301</v>
      </c>
      <c r="V1463" t="s">
        <v>137</v>
      </c>
      <c r="W1463" t="s">
        <v>92</v>
      </c>
      <c r="X1463" t="s">
        <v>302</v>
      </c>
      <c r="Y1463" t="s">
        <v>2876</v>
      </c>
      <c r="Z1463" t="s">
        <v>42</v>
      </c>
      <c r="AA1463" t="s">
        <v>38</v>
      </c>
      <c r="AB1463" t="s">
        <v>38</v>
      </c>
      <c r="AC1463" t="s">
        <v>38</v>
      </c>
      <c r="AD1463" t="s">
        <v>48</v>
      </c>
      <c r="AG1463" t="str">
        <f>IF(AD1463="United States", IFERROR(INDEX(Sheet2!$C:$C, MATCH(AE1463&amp;AF1463, Sheet2!$E:$E, 0)) &amp; ", " &amp; INDEX(Sheet2!$D:$D, MATCH(AE1463&amp;AF1463, Sheet2!$E:$E, 0)), ""), "-")</f>
        <v/>
      </c>
    </row>
    <row r="1464" spans="1:33" x14ac:dyDescent="0.25">
      <c r="A1464" t="s">
        <v>2865</v>
      </c>
      <c r="B1464" t="s">
        <v>2877</v>
      </c>
      <c r="C1464" t="s">
        <v>2872</v>
      </c>
      <c r="D1464" t="s">
        <v>626</v>
      </c>
      <c r="E1464" t="s">
        <v>973</v>
      </c>
      <c r="F1464">
        <v>1761</v>
      </c>
      <c r="G1464">
        <v>296</v>
      </c>
      <c r="H1464" t="s">
        <v>435</v>
      </c>
      <c r="I1464" t="s">
        <v>39</v>
      </c>
      <c r="J1464" t="s">
        <v>2868</v>
      </c>
      <c r="K1464" t="s">
        <v>38</v>
      </c>
      <c r="L1464" t="s">
        <v>38</v>
      </c>
      <c r="M1464" t="s">
        <v>38</v>
      </c>
      <c r="N1464" t="s">
        <v>38</v>
      </c>
      <c r="O1464" t="s">
        <v>41</v>
      </c>
      <c r="P1464" t="s">
        <v>42</v>
      </c>
      <c r="Q1464" t="s">
        <v>43</v>
      </c>
      <c r="R1464" t="s">
        <v>89</v>
      </c>
      <c r="S1464" t="s">
        <v>45</v>
      </c>
      <c r="T1464" t="s">
        <v>89</v>
      </c>
      <c r="U1464" t="s">
        <v>301</v>
      </c>
      <c r="V1464" t="s">
        <v>137</v>
      </c>
      <c r="W1464" t="s">
        <v>92</v>
      </c>
      <c r="X1464" t="s">
        <v>302</v>
      </c>
      <c r="Y1464" t="s">
        <v>2878</v>
      </c>
      <c r="Z1464" t="s">
        <v>42</v>
      </c>
      <c r="AA1464" t="s">
        <v>38</v>
      </c>
      <c r="AB1464" t="s">
        <v>38</v>
      </c>
      <c r="AC1464" t="s">
        <v>45</v>
      </c>
      <c r="AD1464" t="s">
        <v>48</v>
      </c>
      <c r="AG1464" t="str">
        <f>IF(AD1464="United States", IFERROR(INDEX(Sheet2!$C:$C, MATCH(AE1464&amp;AF1464, Sheet2!$E:$E, 0)) &amp; ", " &amp; INDEX(Sheet2!$D:$D, MATCH(AE1464&amp;AF1464, Sheet2!$E:$E, 0)), ""), "-")</f>
        <v/>
      </c>
    </row>
    <row r="1465" spans="1:33" x14ac:dyDescent="0.25">
      <c r="A1465" t="s">
        <v>2865</v>
      </c>
      <c r="B1465" t="s">
        <v>2879</v>
      </c>
      <c r="C1465" t="s">
        <v>2872</v>
      </c>
      <c r="D1465" t="s">
        <v>513</v>
      </c>
      <c r="E1465" t="s">
        <v>2880</v>
      </c>
      <c r="F1465">
        <v>1753</v>
      </c>
      <c r="G1465">
        <v>293</v>
      </c>
      <c r="H1465" t="s">
        <v>435</v>
      </c>
      <c r="I1465" t="s">
        <v>39</v>
      </c>
      <c r="J1465" t="s">
        <v>2868</v>
      </c>
      <c r="K1465" t="s">
        <v>38</v>
      </c>
      <c r="L1465" t="s">
        <v>38</v>
      </c>
      <c r="M1465" t="s">
        <v>38</v>
      </c>
      <c r="N1465" t="s">
        <v>38</v>
      </c>
      <c r="O1465" t="s">
        <v>41</v>
      </c>
      <c r="P1465" t="s">
        <v>42</v>
      </c>
      <c r="Q1465" t="s">
        <v>43</v>
      </c>
      <c r="R1465" t="s">
        <v>89</v>
      </c>
      <c r="S1465" t="s">
        <v>153</v>
      </c>
      <c r="T1465" t="s">
        <v>89</v>
      </c>
      <c r="U1465" t="s">
        <v>301</v>
      </c>
      <c r="V1465" t="s">
        <v>137</v>
      </c>
      <c r="W1465" t="s">
        <v>92</v>
      </c>
      <c r="X1465" t="s">
        <v>302</v>
      </c>
      <c r="Y1465" t="s">
        <v>2881</v>
      </c>
      <c r="Z1465" t="s">
        <v>42</v>
      </c>
      <c r="AA1465" t="s">
        <v>1882</v>
      </c>
      <c r="AB1465" t="s">
        <v>38</v>
      </c>
      <c r="AC1465" t="s">
        <v>153</v>
      </c>
      <c r="AD1465" t="s">
        <v>48</v>
      </c>
      <c r="AG1465" t="str">
        <f>IF(AD1465="United States", IFERROR(INDEX(Sheet2!$C:$C, MATCH(AE1465&amp;AF1465, Sheet2!$E:$E, 0)) &amp; ", " &amp; INDEX(Sheet2!$D:$D, MATCH(AE1465&amp;AF1465, Sheet2!$E:$E, 0)), ""), "-")</f>
        <v/>
      </c>
    </row>
    <row r="1466" spans="1:33" x14ac:dyDescent="0.25">
      <c r="A1466" t="s">
        <v>2865</v>
      </c>
      <c r="B1466" t="s">
        <v>2882</v>
      </c>
      <c r="C1466" t="s">
        <v>2872</v>
      </c>
      <c r="D1466" t="s">
        <v>1382</v>
      </c>
      <c r="E1466" t="s">
        <v>2880</v>
      </c>
      <c r="F1466">
        <v>1738</v>
      </c>
      <c r="G1466">
        <v>294</v>
      </c>
      <c r="H1466" t="s">
        <v>435</v>
      </c>
      <c r="I1466" t="s">
        <v>39</v>
      </c>
      <c r="J1466" t="s">
        <v>2868</v>
      </c>
      <c r="K1466" t="s">
        <v>38</v>
      </c>
      <c r="L1466" t="s">
        <v>38</v>
      </c>
      <c r="M1466" t="s">
        <v>38</v>
      </c>
      <c r="N1466" t="s">
        <v>38</v>
      </c>
      <c r="O1466" t="s">
        <v>41</v>
      </c>
      <c r="P1466" t="s">
        <v>42</v>
      </c>
      <c r="Q1466" t="s">
        <v>43</v>
      </c>
      <c r="R1466" t="s">
        <v>89</v>
      </c>
      <c r="S1466" t="s">
        <v>153</v>
      </c>
      <c r="T1466" t="s">
        <v>89</v>
      </c>
      <c r="U1466" t="s">
        <v>301</v>
      </c>
      <c r="V1466" t="s">
        <v>137</v>
      </c>
      <c r="W1466" t="s">
        <v>92</v>
      </c>
      <c r="X1466" t="s">
        <v>302</v>
      </c>
      <c r="Y1466" t="s">
        <v>2881</v>
      </c>
      <c r="Z1466" t="s">
        <v>42</v>
      </c>
      <c r="AA1466" t="s">
        <v>1882</v>
      </c>
      <c r="AB1466" t="s">
        <v>38</v>
      </c>
      <c r="AC1466" t="s">
        <v>153</v>
      </c>
      <c r="AD1466" t="s">
        <v>48</v>
      </c>
      <c r="AG1466" t="str">
        <f>IF(AD1466="United States", IFERROR(INDEX(Sheet2!$C:$C, MATCH(AE1466&amp;AF1466, Sheet2!$E:$E, 0)) &amp; ", " &amp; INDEX(Sheet2!$D:$D, MATCH(AE1466&amp;AF1466, Sheet2!$E:$E, 0)), ""), "-")</f>
        <v/>
      </c>
    </row>
    <row r="1467" spans="1:33" x14ac:dyDescent="0.25">
      <c r="A1467" t="s">
        <v>2865</v>
      </c>
      <c r="B1467" t="s">
        <v>2883</v>
      </c>
      <c r="C1467" t="s">
        <v>2872</v>
      </c>
      <c r="D1467" t="s">
        <v>1129</v>
      </c>
      <c r="E1467" t="s">
        <v>2880</v>
      </c>
      <c r="F1467">
        <v>1776</v>
      </c>
      <c r="G1467">
        <v>295</v>
      </c>
      <c r="H1467" t="s">
        <v>435</v>
      </c>
      <c r="I1467" t="s">
        <v>39</v>
      </c>
      <c r="J1467" t="s">
        <v>2868</v>
      </c>
      <c r="K1467" t="s">
        <v>38</v>
      </c>
      <c r="L1467" t="s">
        <v>38</v>
      </c>
      <c r="M1467" t="s">
        <v>38</v>
      </c>
      <c r="N1467" t="s">
        <v>38</v>
      </c>
      <c r="O1467" t="s">
        <v>54</v>
      </c>
      <c r="P1467" t="s">
        <v>42</v>
      </c>
      <c r="Q1467" t="s">
        <v>43</v>
      </c>
      <c r="R1467" t="s">
        <v>89</v>
      </c>
      <c r="S1467" t="s">
        <v>153</v>
      </c>
      <c r="T1467" t="s">
        <v>89</v>
      </c>
      <c r="U1467" t="s">
        <v>301</v>
      </c>
      <c r="V1467" t="s">
        <v>137</v>
      </c>
      <c r="W1467" t="s">
        <v>92</v>
      </c>
      <c r="X1467" t="s">
        <v>302</v>
      </c>
      <c r="Y1467" t="s">
        <v>2881</v>
      </c>
      <c r="Z1467" t="s">
        <v>42</v>
      </c>
      <c r="AA1467" t="s">
        <v>1882</v>
      </c>
      <c r="AB1467" t="s">
        <v>38</v>
      </c>
      <c r="AC1467" t="s">
        <v>153</v>
      </c>
      <c r="AD1467" t="s">
        <v>48</v>
      </c>
      <c r="AG1467" t="str">
        <f>IF(AD1467="United States", IFERROR(INDEX(Sheet2!$C:$C, MATCH(AE1467&amp;AF1467, Sheet2!$E:$E, 0)) &amp; ", " &amp; INDEX(Sheet2!$D:$D, MATCH(AE1467&amp;AF1467, Sheet2!$E:$E, 0)), ""), "-")</f>
        <v/>
      </c>
    </row>
    <row r="1468" spans="1:33" x14ac:dyDescent="0.25">
      <c r="A1468" t="s">
        <v>2865</v>
      </c>
      <c r="B1468" t="s">
        <v>2884</v>
      </c>
      <c r="C1468" t="s">
        <v>2867</v>
      </c>
      <c r="D1468" t="s">
        <v>1122</v>
      </c>
      <c r="E1468" t="s">
        <v>2885</v>
      </c>
      <c r="F1468">
        <v>1762</v>
      </c>
      <c r="G1468">
        <v>906</v>
      </c>
      <c r="H1468" t="s">
        <v>381</v>
      </c>
      <c r="I1468" t="s">
        <v>80</v>
      </c>
      <c r="J1468" t="s">
        <v>2868</v>
      </c>
      <c r="K1468" t="s">
        <v>38</v>
      </c>
      <c r="L1468" t="s">
        <v>38</v>
      </c>
      <c r="M1468" t="s">
        <v>38</v>
      </c>
      <c r="N1468" t="s">
        <v>38</v>
      </c>
      <c r="O1468" t="s">
        <v>41</v>
      </c>
      <c r="P1468" t="s">
        <v>42</v>
      </c>
      <c r="Q1468" t="s">
        <v>43</v>
      </c>
      <c r="R1468" t="s">
        <v>89</v>
      </c>
      <c r="S1468" t="s">
        <v>153</v>
      </c>
      <c r="T1468" t="s">
        <v>89</v>
      </c>
      <c r="U1468" t="s">
        <v>301</v>
      </c>
      <c r="V1468" t="s">
        <v>137</v>
      </c>
      <c r="W1468" t="s">
        <v>92</v>
      </c>
      <c r="X1468" t="s">
        <v>302</v>
      </c>
      <c r="Y1468" t="s">
        <v>2886</v>
      </c>
      <c r="Z1468" t="s">
        <v>42</v>
      </c>
      <c r="AA1468" t="s">
        <v>155</v>
      </c>
      <c r="AB1468" t="s">
        <v>38</v>
      </c>
      <c r="AC1468" t="s">
        <v>153</v>
      </c>
      <c r="AD1468" t="s">
        <v>48</v>
      </c>
      <c r="AG1468" t="str">
        <f>IF(AD1468="United States", IFERROR(INDEX(Sheet2!$C:$C, MATCH(AE1468&amp;AF1468, Sheet2!$E:$E, 0)) &amp; ", " &amp; INDEX(Sheet2!$D:$D, MATCH(AE1468&amp;AF1468, Sheet2!$E:$E, 0)), ""), "-")</f>
        <v/>
      </c>
    </row>
    <row r="1469" spans="1:33" x14ac:dyDescent="0.25">
      <c r="A1469" t="s">
        <v>2865</v>
      </c>
      <c r="B1469" t="s">
        <v>2887</v>
      </c>
      <c r="C1469" t="s">
        <v>2872</v>
      </c>
      <c r="D1469" t="s">
        <v>2888</v>
      </c>
      <c r="E1469" t="s">
        <v>2889</v>
      </c>
      <c r="F1469">
        <v>1751</v>
      </c>
      <c r="G1469">
        <v>292</v>
      </c>
      <c r="H1469" t="s">
        <v>38</v>
      </c>
      <c r="I1469" t="s">
        <v>39</v>
      </c>
      <c r="J1469" t="s">
        <v>2868</v>
      </c>
      <c r="K1469" t="s">
        <v>38</v>
      </c>
      <c r="L1469" t="s">
        <v>38</v>
      </c>
      <c r="M1469" t="s">
        <v>38</v>
      </c>
      <c r="N1469" t="s">
        <v>38</v>
      </c>
      <c r="O1469" t="s">
        <v>41</v>
      </c>
      <c r="P1469" t="s">
        <v>42</v>
      </c>
      <c r="Q1469" t="s">
        <v>43</v>
      </c>
      <c r="R1469" t="s">
        <v>2890</v>
      </c>
      <c r="S1469" t="s">
        <v>417</v>
      </c>
      <c r="T1469" t="s">
        <v>38</v>
      </c>
      <c r="U1469" t="s">
        <v>38</v>
      </c>
      <c r="V1469" t="s">
        <v>137</v>
      </c>
      <c r="W1469" t="s">
        <v>38</v>
      </c>
      <c r="X1469" t="s">
        <v>38</v>
      </c>
      <c r="Y1469" t="s">
        <v>2891</v>
      </c>
      <c r="Z1469" t="s">
        <v>42</v>
      </c>
      <c r="AA1469" t="s">
        <v>2892</v>
      </c>
      <c r="AB1469" t="s">
        <v>38</v>
      </c>
      <c r="AC1469" t="s">
        <v>417</v>
      </c>
      <c r="AD1469" t="s">
        <v>48</v>
      </c>
      <c r="AG1469" t="str">
        <f>IF(AD1469="United States", IFERROR(INDEX(Sheet2!$C:$C, MATCH(AE1469&amp;AF1469, Sheet2!$E:$E, 0)) &amp; ", " &amp; INDEX(Sheet2!$D:$D, MATCH(AE1469&amp;AF1469, Sheet2!$E:$E, 0)), ""), "-")</f>
        <v/>
      </c>
    </row>
    <row r="1470" spans="1:33" x14ac:dyDescent="0.25">
      <c r="A1470" t="s">
        <v>2865</v>
      </c>
      <c r="B1470" t="s">
        <v>2893</v>
      </c>
      <c r="C1470" t="s">
        <v>2867</v>
      </c>
      <c r="D1470" t="s">
        <v>361</v>
      </c>
      <c r="E1470" t="s">
        <v>2894</v>
      </c>
      <c r="F1470">
        <v>1771</v>
      </c>
      <c r="G1470">
        <v>907</v>
      </c>
      <c r="H1470" t="s">
        <v>381</v>
      </c>
      <c r="I1470" t="s">
        <v>80</v>
      </c>
      <c r="J1470" t="s">
        <v>2868</v>
      </c>
      <c r="K1470" t="s">
        <v>38</v>
      </c>
      <c r="L1470" t="s">
        <v>38</v>
      </c>
      <c r="M1470" t="s">
        <v>38</v>
      </c>
      <c r="N1470" t="s">
        <v>38</v>
      </c>
      <c r="O1470" t="s">
        <v>54</v>
      </c>
      <c r="P1470" t="s">
        <v>42</v>
      </c>
      <c r="Q1470" t="s">
        <v>43</v>
      </c>
      <c r="R1470" t="s">
        <v>89</v>
      </c>
      <c r="S1470" t="s">
        <v>38</v>
      </c>
      <c r="T1470" t="s">
        <v>89</v>
      </c>
      <c r="U1470" t="s">
        <v>301</v>
      </c>
      <c r="V1470" t="s">
        <v>137</v>
      </c>
      <c r="W1470" t="s">
        <v>92</v>
      </c>
      <c r="X1470" t="s">
        <v>302</v>
      </c>
      <c r="Y1470" t="s">
        <v>2895</v>
      </c>
      <c r="Z1470" t="s">
        <v>42</v>
      </c>
      <c r="AA1470" t="s">
        <v>38</v>
      </c>
      <c r="AB1470" t="s">
        <v>38</v>
      </c>
      <c r="AC1470" t="s">
        <v>637</v>
      </c>
      <c r="AD1470" t="s">
        <v>48</v>
      </c>
      <c r="AG1470" t="str">
        <f>IF(AD1470="United States", IFERROR(INDEX(Sheet2!$C:$C, MATCH(AE1470&amp;AF1470, Sheet2!$E:$E, 0)) &amp; ", " &amp; INDEX(Sheet2!$D:$D, MATCH(AE1470&amp;AF1470, Sheet2!$E:$E, 0)), ""), "-")</f>
        <v/>
      </c>
    </row>
    <row r="1471" spans="1:33" x14ac:dyDescent="0.25">
      <c r="A1471" t="s">
        <v>2865</v>
      </c>
      <c r="B1471" t="s">
        <v>2896</v>
      </c>
      <c r="C1471" t="s">
        <v>2897</v>
      </c>
      <c r="D1471" t="s">
        <v>2411</v>
      </c>
      <c r="E1471" t="s">
        <v>2898</v>
      </c>
      <c r="F1471">
        <v>1759</v>
      </c>
      <c r="G1471">
        <v>2231</v>
      </c>
      <c r="H1471" t="s">
        <v>86</v>
      </c>
      <c r="I1471" t="s">
        <v>87</v>
      </c>
      <c r="J1471" t="s">
        <v>2868</v>
      </c>
      <c r="K1471" t="s">
        <v>38</v>
      </c>
      <c r="L1471" t="s">
        <v>38</v>
      </c>
      <c r="M1471" t="s">
        <v>38</v>
      </c>
      <c r="N1471" t="s">
        <v>38</v>
      </c>
      <c r="O1471" t="s">
        <v>41</v>
      </c>
      <c r="P1471" t="s">
        <v>42</v>
      </c>
      <c r="Q1471" t="s">
        <v>43</v>
      </c>
      <c r="R1471" t="s">
        <v>89</v>
      </c>
      <c r="S1471" t="s">
        <v>38</v>
      </c>
      <c r="T1471" t="s">
        <v>89</v>
      </c>
      <c r="U1471" t="s">
        <v>301</v>
      </c>
      <c r="V1471" t="s">
        <v>137</v>
      </c>
      <c r="W1471" t="s">
        <v>92</v>
      </c>
      <c r="X1471" t="s">
        <v>302</v>
      </c>
      <c r="Y1471" t="s">
        <v>2899</v>
      </c>
      <c r="Z1471" t="s">
        <v>42</v>
      </c>
      <c r="AA1471" t="s">
        <v>38</v>
      </c>
      <c r="AB1471" t="s">
        <v>38</v>
      </c>
      <c r="AC1471" t="s">
        <v>593</v>
      </c>
      <c r="AD1471" t="s">
        <v>48</v>
      </c>
      <c r="AG1471" t="str">
        <f>IF(AD1471="United States", IFERROR(INDEX(Sheet2!$C:$C, MATCH(AE1471&amp;AF1471, Sheet2!$E:$E, 0)) &amp; ", " &amp; INDEX(Sheet2!$D:$D, MATCH(AE1471&amp;AF1471, Sheet2!$E:$E, 0)), ""), "-")</f>
        <v/>
      </c>
    </row>
    <row r="1472" spans="1:33" x14ac:dyDescent="0.25">
      <c r="A1472" t="s">
        <v>2865</v>
      </c>
      <c r="B1472" t="s">
        <v>2900</v>
      </c>
      <c r="C1472" t="s">
        <v>2867</v>
      </c>
      <c r="D1472" t="s">
        <v>834</v>
      </c>
      <c r="E1472" t="s">
        <v>2901</v>
      </c>
      <c r="F1472">
        <v>1753</v>
      </c>
      <c r="G1472">
        <v>909</v>
      </c>
      <c r="H1472" t="s">
        <v>2270</v>
      </c>
      <c r="I1472" t="s">
        <v>80</v>
      </c>
      <c r="J1472" t="s">
        <v>2868</v>
      </c>
      <c r="K1472" t="s">
        <v>38</v>
      </c>
      <c r="L1472" t="s">
        <v>38</v>
      </c>
      <c r="M1472" t="s">
        <v>38</v>
      </c>
      <c r="N1472" t="s">
        <v>38</v>
      </c>
      <c r="O1472" t="s">
        <v>57</v>
      </c>
      <c r="P1472" t="s">
        <v>42</v>
      </c>
      <c r="Q1472" t="s">
        <v>43</v>
      </c>
      <c r="R1472" t="s">
        <v>89</v>
      </c>
      <c r="S1472" t="s">
        <v>38</v>
      </c>
      <c r="T1472" t="s">
        <v>89</v>
      </c>
      <c r="U1472" t="s">
        <v>301</v>
      </c>
      <c r="V1472" t="s">
        <v>137</v>
      </c>
      <c r="W1472" t="s">
        <v>92</v>
      </c>
      <c r="X1472" t="s">
        <v>302</v>
      </c>
      <c r="Y1472" t="s">
        <v>2902</v>
      </c>
      <c r="Z1472" t="s">
        <v>42</v>
      </c>
      <c r="AA1472" t="s">
        <v>38</v>
      </c>
      <c r="AB1472" t="s">
        <v>38</v>
      </c>
      <c r="AC1472" t="s">
        <v>1813</v>
      </c>
      <c r="AD1472" t="s">
        <v>48</v>
      </c>
      <c r="AG1472" t="str">
        <f>IF(AD1472="United States", IFERROR(INDEX(Sheet2!$C:$C, MATCH(AE1472&amp;AF1472, Sheet2!$E:$E, 0)) &amp; ", " &amp; INDEX(Sheet2!$D:$D, MATCH(AE1472&amp;AF1472, Sheet2!$E:$E, 0)), ""), "-")</f>
        <v/>
      </c>
    </row>
    <row r="1473" spans="1:33" x14ac:dyDescent="0.25">
      <c r="A1473" t="s">
        <v>2865</v>
      </c>
      <c r="B1473" t="s">
        <v>2903</v>
      </c>
      <c r="C1473" t="s">
        <v>2904</v>
      </c>
      <c r="D1473" t="s">
        <v>36</v>
      </c>
      <c r="E1473" t="s">
        <v>2905</v>
      </c>
      <c r="F1473">
        <v>1752</v>
      </c>
      <c r="G1473">
        <v>2261</v>
      </c>
      <c r="H1473" t="s">
        <v>86</v>
      </c>
      <c r="I1473" t="s">
        <v>87</v>
      </c>
      <c r="J1473" t="s">
        <v>2906</v>
      </c>
      <c r="K1473" t="s">
        <v>38</v>
      </c>
      <c r="L1473" t="s">
        <v>38</v>
      </c>
      <c r="M1473" t="s">
        <v>38</v>
      </c>
      <c r="N1473" t="s">
        <v>38</v>
      </c>
      <c r="O1473" t="s">
        <v>41</v>
      </c>
      <c r="P1473" t="s">
        <v>42</v>
      </c>
      <c r="Q1473" t="s">
        <v>43</v>
      </c>
      <c r="R1473" t="s">
        <v>89</v>
      </c>
      <c r="S1473" t="s">
        <v>89</v>
      </c>
      <c r="T1473" t="s">
        <v>89</v>
      </c>
      <c r="U1473" t="s">
        <v>301</v>
      </c>
      <c r="V1473" t="s">
        <v>137</v>
      </c>
      <c r="W1473" t="s">
        <v>92</v>
      </c>
      <c r="X1473" t="s">
        <v>302</v>
      </c>
      <c r="Y1473" t="s">
        <v>2907</v>
      </c>
      <c r="Z1473" t="s">
        <v>42</v>
      </c>
      <c r="AA1473" t="s">
        <v>38</v>
      </c>
      <c r="AB1473" t="s">
        <v>38</v>
      </c>
      <c r="AC1473" t="s">
        <v>89</v>
      </c>
      <c r="AD1473" t="s">
        <v>48</v>
      </c>
      <c r="AG1473" t="str">
        <f>IF(AD1473="United States", IFERROR(INDEX(Sheet2!$C:$C, MATCH(AE1473&amp;AF1473, Sheet2!$E:$E, 0)) &amp; ", " &amp; INDEX(Sheet2!$D:$D, MATCH(AE1473&amp;AF1473, Sheet2!$E:$E, 0)), ""), "-")</f>
        <v/>
      </c>
    </row>
    <row r="1474" spans="1:33" x14ac:dyDescent="0.25">
      <c r="A1474" t="s">
        <v>2865</v>
      </c>
      <c r="B1474" t="s">
        <v>2908</v>
      </c>
      <c r="C1474" t="s">
        <v>2897</v>
      </c>
      <c r="D1474" t="s">
        <v>2909</v>
      </c>
      <c r="E1474" t="s">
        <v>38</v>
      </c>
      <c r="F1474">
        <v>1778</v>
      </c>
      <c r="G1474">
        <v>2232</v>
      </c>
      <c r="H1474" t="s">
        <v>86</v>
      </c>
      <c r="I1474" t="s">
        <v>87</v>
      </c>
      <c r="J1474" t="s">
        <v>2868</v>
      </c>
      <c r="K1474" t="s">
        <v>38</v>
      </c>
      <c r="L1474" t="s">
        <v>38</v>
      </c>
      <c r="M1474" t="s">
        <v>38</v>
      </c>
      <c r="N1474" t="s">
        <v>38</v>
      </c>
      <c r="O1474" t="s">
        <v>54</v>
      </c>
      <c r="P1474" t="s">
        <v>42</v>
      </c>
      <c r="Q1474" t="s">
        <v>43</v>
      </c>
      <c r="R1474" t="s">
        <v>89</v>
      </c>
      <c r="S1474" t="s">
        <v>38</v>
      </c>
      <c r="T1474" t="s">
        <v>89</v>
      </c>
      <c r="U1474" t="s">
        <v>301</v>
      </c>
      <c r="V1474" t="s">
        <v>137</v>
      </c>
      <c r="W1474" t="s">
        <v>92</v>
      </c>
      <c r="X1474" t="s">
        <v>302</v>
      </c>
      <c r="Y1474" t="s">
        <v>2910</v>
      </c>
      <c r="Z1474" t="s">
        <v>42</v>
      </c>
      <c r="AA1474" t="s">
        <v>38</v>
      </c>
      <c r="AB1474" t="s">
        <v>38</v>
      </c>
      <c r="AC1474" t="s">
        <v>38</v>
      </c>
      <c r="AD1474" t="s">
        <v>48</v>
      </c>
      <c r="AG1474" t="str">
        <f>IF(AD1474="United States", IFERROR(INDEX(Sheet2!$C:$C, MATCH(AE1474&amp;AF1474, Sheet2!$E:$E, 0)) &amp; ", " &amp; INDEX(Sheet2!$D:$D, MATCH(AE1474&amp;AF1474, Sheet2!$E:$E, 0)), ""), "-")</f>
        <v/>
      </c>
    </row>
    <row r="1475" spans="1:33" x14ac:dyDescent="0.25">
      <c r="A1475" t="s">
        <v>2865</v>
      </c>
      <c r="B1475" t="s">
        <v>2911</v>
      </c>
      <c r="C1475" t="s">
        <v>2872</v>
      </c>
      <c r="D1475" t="s">
        <v>1110</v>
      </c>
      <c r="E1475" t="s">
        <v>2912</v>
      </c>
      <c r="F1475">
        <v>1761</v>
      </c>
      <c r="G1475">
        <v>560</v>
      </c>
      <c r="H1475" t="s">
        <v>381</v>
      </c>
      <c r="I1475" t="s">
        <v>39</v>
      </c>
      <c r="J1475" t="s">
        <v>2868</v>
      </c>
      <c r="K1475" t="s">
        <v>38</v>
      </c>
      <c r="L1475" t="s">
        <v>38</v>
      </c>
      <c r="M1475" t="s">
        <v>38</v>
      </c>
      <c r="N1475" t="s">
        <v>38</v>
      </c>
      <c r="O1475" t="s">
        <v>41</v>
      </c>
      <c r="P1475" t="s">
        <v>42</v>
      </c>
      <c r="Q1475" t="s">
        <v>124</v>
      </c>
      <c r="R1475" t="s">
        <v>89</v>
      </c>
      <c r="S1475" t="s">
        <v>153</v>
      </c>
      <c r="T1475" t="s">
        <v>89</v>
      </c>
      <c r="U1475" t="s">
        <v>301</v>
      </c>
      <c r="V1475" t="s">
        <v>137</v>
      </c>
      <c r="W1475" t="s">
        <v>92</v>
      </c>
      <c r="X1475" t="s">
        <v>302</v>
      </c>
      <c r="Y1475" t="s">
        <v>2913</v>
      </c>
      <c r="Z1475" t="s">
        <v>42</v>
      </c>
      <c r="AA1475" t="s">
        <v>2715</v>
      </c>
      <c r="AB1475" t="s">
        <v>38</v>
      </c>
      <c r="AC1475" t="s">
        <v>153</v>
      </c>
      <c r="AD1475" t="s">
        <v>48</v>
      </c>
      <c r="AG1475" t="str">
        <f>IF(AD1475="United States", IFERROR(INDEX(Sheet2!$C:$C, MATCH(AE1475&amp;AF1475, Sheet2!$E:$E, 0)) &amp; ", " &amp; INDEX(Sheet2!$D:$D, MATCH(AE1475&amp;AF1475, Sheet2!$E:$E, 0)), ""), "-")</f>
        <v/>
      </c>
    </row>
    <row r="1476" spans="1:33" x14ac:dyDescent="0.25">
      <c r="A1476" t="s">
        <v>2865</v>
      </c>
      <c r="B1476" t="s">
        <v>2914</v>
      </c>
      <c r="C1476" t="s">
        <v>2897</v>
      </c>
      <c r="D1476" t="s">
        <v>210</v>
      </c>
      <c r="E1476" t="s">
        <v>226</v>
      </c>
      <c r="F1476">
        <v>1768</v>
      </c>
      <c r="G1476">
        <v>2230</v>
      </c>
      <c r="H1476" t="s">
        <v>435</v>
      </c>
      <c r="I1476" t="s">
        <v>87</v>
      </c>
      <c r="J1476" t="s">
        <v>2868</v>
      </c>
      <c r="K1476" t="s">
        <v>38</v>
      </c>
      <c r="L1476" t="s">
        <v>38</v>
      </c>
      <c r="M1476" t="s">
        <v>38</v>
      </c>
      <c r="N1476" t="s">
        <v>38</v>
      </c>
      <c r="O1476" t="s">
        <v>54</v>
      </c>
      <c r="P1476" t="s">
        <v>42</v>
      </c>
      <c r="Q1476" t="s">
        <v>43</v>
      </c>
      <c r="R1476" t="s">
        <v>89</v>
      </c>
      <c r="S1476" t="s">
        <v>38</v>
      </c>
      <c r="T1476" t="s">
        <v>89</v>
      </c>
      <c r="U1476" t="s">
        <v>301</v>
      </c>
      <c r="V1476" t="s">
        <v>137</v>
      </c>
      <c r="W1476" t="s">
        <v>92</v>
      </c>
      <c r="X1476" t="s">
        <v>302</v>
      </c>
      <c r="Y1476" t="s">
        <v>2910</v>
      </c>
      <c r="Z1476" t="s">
        <v>42</v>
      </c>
      <c r="AA1476" t="s">
        <v>38</v>
      </c>
      <c r="AB1476" t="s">
        <v>38</v>
      </c>
      <c r="AC1476" t="s">
        <v>38</v>
      </c>
      <c r="AD1476" t="s">
        <v>48</v>
      </c>
      <c r="AG1476" t="str">
        <f>IF(AD1476="United States", IFERROR(INDEX(Sheet2!$C:$C, MATCH(AE1476&amp;AF1476, Sheet2!$E:$E, 0)) &amp; ", " &amp; INDEX(Sheet2!$D:$D, MATCH(AE1476&amp;AF1476, Sheet2!$E:$E, 0)), ""), "-")</f>
        <v/>
      </c>
    </row>
    <row r="1477" spans="1:33" x14ac:dyDescent="0.25">
      <c r="A1477" t="s">
        <v>2865</v>
      </c>
      <c r="B1477" t="s">
        <v>2915</v>
      </c>
      <c r="C1477" t="s">
        <v>2897</v>
      </c>
      <c r="D1477" t="s">
        <v>72</v>
      </c>
      <c r="E1477" t="s">
        <v>38</v>
      </c>
      <c r="F1477">
        <v>1762</v>
      </c>
      <c r="G1477">
        <v>2229</v>
      </c>
      <c r="H1477" t="s">
        <v>86</v>
      </c>
      <c r="I1477" t="s">
        <v>87</v>
      </c>
      <c r="J1477" t="s">
        <v>2868</v>
      </c>
      <c r="K1477" t="s">
        <v>38</v>
      </c>
      <c r="L1477" t="s">
        <v>38</v>
      </c>
      <c r="M1477" t="s">
        <v>38</v>
      </c>
      <c r="N1477" t="s">
        <v>38</v>
      </c>
      <c r="O1477" t="s">
        <v>57</v>
      </c>
      <c r="P1477" t="s">
        <v>42</v>
      </c>
      <c r="Q1477" t="s">
        <v>43</v>
      </c>
      <c r="R1477" t="s">
        <v>89</v>
      </c>
      <c r="S1477" t="s">
        <v>38</v>
      </c>
      <c r="T1477" t="s">
        <v>89</v>
      </c>
      <c r="U1477" t="s">
        <v>301</v>
      </c>
      <c r="V1477" t="s">
        <v>137</v>
      </c>
      <c r="W1477" t="s">
        <v>92</v>
      </c>
      <c r="X1477" t="s">
        <v>302</v>
      </c>
      <c r="Y1477" t="s">
        <v>2910</v>
      </c>
      <c r="Z1477" t="s">
        <v>42</v>
      </c>
      <c r="AA1477" t="s">
        <v>38</v>
      </c>
      <c r="AB1477" t="s">
        <v>38</v>
      </c>
      <c r="AC1477" t="s">
        <v>38</v>
      </c>
      <c r="AD1477" t="s">
        <v>48</v>
      </c>
      <c r="AG1477" t="str">
        <f>IF(AD1477="United States", IFERROR(INDEX(Sheet2!$C:$C, MATCH(AE1477&amp;AF1477, Sheet2!$E:$E, 0)) &amp; ", " &amp; INDEX(Sheet2!$D:$D, MATCH(AE1477&amp;AF1477, Sheet2!$E:$E, 0)), ""), "-")</f>
        <v/>
      </c>
    </row>
    <row r="1478" spans="1:33" x14ac:dyDescent="0.25">
      <c r="A1478" t="s">
        <v>2865</v>
      </c>
      <c r="B1478" t="s">
        <v>2916</v>
      </c>
      <c r="C1478" t="s">
        <v>2897</v>
      </c>
      <c r="D1478" t="s">
        <v>1354</v>
      </c>
      <c r="E1478" t="s">
        <v>38</v>
      </c>
      <c r="F1478">
        <v>1758</v>
      </c>
      <c r="G1478">
        <v>2228</v>
      </c>
      <c r="H1478" t="s">
        <v>38</v>
      </c>
      <c r="I1478" t="s">
        <v>87</v>
      </c>
      <c r="J1478" t="s">
        <v>2868</v>
      </c>
      <c r="K1478" t="s">
        <v>38</v>
      </c>
      <c r="L1478" t="s">
        <v>38</v>
      </c>
      <c r="M1478" t="s">
        <v>1230</v>
      </c>
      <c r="N1478" t="s">
        <v>1667</v>
      </c>
      <c r="O1478" t="s">
        <v>41</v>
      </c>
      <c r="P1478" t="s">
        <v>42</v>
      </c>
      <c r="Q1478" t="s">
        <v>43</v>
      </c>
      <c r="R1478" t="s">
        <v>38</v>
      </c>
      <c r="S1478" t="s">
        <v>38</v>
      </c>
      <c r="T1478" t="s">
        <v>38</v>
      </c>
      <c r="U1478" t="s">
        <v>38</v>
      </c>
      <c r="V1478" t="s">
        <v>137</v>
      </c>
      <c r="W1478" t="s">
        <v>38</v>
      </c>
      <c r="X1478" t="s">
        <v>38</v>
      </c>
      <c r="Y1478" t="s">
        <v>38</v>
      </c>
      <c r="Z1478" t="s">
        <v>42</v>
      </c>
      <c r="AA1478" t="s">
        <v>38</v>
      </c>
      <c r="AB1478" t="s">
        <v>38</v>
      </c>
      <c r="AC1478" t="s">
        <v>1354</v>
      </c>
      <c r="AD1478" t="s">
        <v>48</v>
      </c>
      <c r="AG1478" t="str">
        <f>IF(AD1478="United States", IFERROR(INDEX(Sheet2!$C:$C, MATCH(AE1478&amp;AF1478, Sheet2!$E:$E, 0)) &amp; ", " &amp; INDEX(Sheet2!$D:$D, MATCH(AE1478&amp;AF1478, Sheet2!$E:$E, 0)), ""), "-")</f>
        <v/>
      </c>
    </row>
    <row r="1479" spans="1:33" x14ac:dyDescent="0.25">
      <c r="A1479" t="s">
        <v>2865</v>
      </c>
      <c r="B1479" t="s">
        <v>2917</v>
      </c>
      <c r="C1479" t="s">
        <v>2897</v>
      </c>
      <c r="D1479" t="s">
        <v>1230</v>
      </c>
      <c r="E1479" t="s">
        <v>1667</v>
      </c>
      <c r="F1479">
        <v>1731</v>
      </c>
      <c r="G1479">
        <v>2227</v>
      </c>
      <c r="H1479" t="s">
        <v>86</v>
      </c>
      <c r="I1479" t="s">
        <v>87</v>
      </c>
      <c r="J1479" t="s">
        <v>2868</v>
      </c>
      <c r="K1479" t="s">
        <v>38</v>
      </c>
      <c r="L1479" t="s">
        <v>38</v>
      </c>
      <c r="M1479" t="s">
        <v>72</v>
      </c>
      <c r="N1479" t="s">
        <v>38</v>
      </c>
      <c r="O1479" t="s">
        <v>57</v>
      </c>
      <c r="P1479" t="s">
        <v>42</v>
      </c>
      <c r="Q1479" t="s">
        <v>43</v>
      </c>
      <c r="R1479" t="s">
        <v>89</v>
      </c>
      <c r="S1479" t="s">
        <v>38</v>
      </c>
      <c r="T1479" t="s">
        <v>89</v>
      </c>
      <c r="U1479" t="s">
        <v>301</v>
      </c>
      <c r="V1479" t="s">
        <v>137</v>
      </c>
      <c r="W1479" t="s">
        <v>92</v>
      </c>
      <c r="X1479" t="s">
        <v>302</v>
      </c>
      <c r="Y1479" t="s">
        <v>38</v>
      </c>
      <c r="Z1479" t="s">
        <v>42</v>
      </c>
      <c r="AA1479" t="s">
        <v>38</v>
      </c>
      <c r="AB1479" t="s">
        <v>38</v>
      </c>
      <c r="AC1479" t="s">
        <v>38</v>
      </c>
      <c r="AD1479" t="s">
        <v>48</v>
      </c>
      <c r="AG1479" t="str">
        <f>IF(AD1479="United States", IFERROR(INDEX(Sheet2!$C:$C, MATCH(AE1479&amp;AF1479, Sheet2!$E:$E, 0)) &amp; ", " &amp; INDEX(Sheet2!$D:$D, MATCH(AE1479&amp;AF1479, Sheet2!$E:$E, 0)), ""), "-")</f>
        <v/>
      </c>
    </row>
    <row r="1480" spans="1:33" x14ac:dyDescent="0.25">
      <c r="A1480" t="s">
        <v>2865</v>
      </c>
      <c r="B1480" t="s">
        <v>2918</v>
      </c>
      <c r="C1480" t="s">
        <v>2897</v>
      </c>
      <c r="D1480" t="s">
        <v>72</v>
      </c>
      <c r="E1480" t="s">
        <v>38</v>
      </c>
      <c r="F1480">
        <v>1760</v>
      </c>
      <c r="G1480">
        <v>2226</v>
      </c>
      <c r="H1480" t="s">
        <v>86</v>
      </c>
      <c r="I1480" t="s">
        <v>87</v>
      </c>
      <c r="J1480" t="s">
        <v>2868</v>
      </c>
      <c r="K1480" t="s">
        <v>38</v>
      </c>
      <c r="L1480" t="s">
        <v>38</v>
      </c>
      <c r="M1480" t="s">
        <v>38</v>
      </c>
      <c r="N1480" t="s">
        <v>38</v>
      </c>
      <c r="O1480" t="s">
        <v>57</v>
      </c>
      <c r="P1480" t="s">
        <v>42</v>
      </c>
      <c r="Q1480" t="s">
        <v>43</v>
      </c>
      <c r="R1480" t="s">
        <v>89</v>
      </c>
      <c r="S1480" t="s">
        <v>38</v>
      </c>
      <c r="T1480" t="s">
        <v>89</v>
      </c>
      <c r="U1480" t="s">
        <v>301</v>
      </c>
      <c r="V1480" t="s">
        <v>137</v>
      </c>
      <c r="W1480" t="s">
        <v>92</v>
      </c>
      <c r="X1480" t="s">
        <v>302</v>
      </c>
      <c r="Y1480" t="s">
        <v>2899</v>
      </c>
      <c r="Z1480" t="s">
        <v>42</v>
      </c>
      <c r="AA1480" t="s">
        <v>38</v>
      </c>
      <c r="AB1480" t="s">
        <v>38</v>
      </c>
      <c r="AC1480" t="s">
        <v>38</v>
      </c>
      <c r="AD1480" t="s">
        <v>48</v>
      </c>
      <c r="AG1480" t="str">
        <f>IF(AD1480="United States", IFERROR(INDEX(Sheet2!$C:$C, MATCH(AE1480&amp;AF1480, Sheet2!$E:$E, 0)) &amp; ", " &amp; INDEX(Sheet2!$D:$D, MATCH(AE1480&amp;AF1480, Sheet2!$E:$E, 0)), ""), "-")</f>
        <v/>
      </c>
    </row>
    <row r="1481" spans="1:33" x14ac:dyDescent="0.25">
      <c r="A1481" t="s">
        <v>2865</v>
      </c>
      <c r="B1481" t="s">
        <v>2919</v>
      </c>
      <c r="C1481" t="s">
        <v>2897</v>
      </c>
      <c r="D1481" t="s">
        <v>1011</v>
      </c>
      <c r="E1481" t="s">
        <v>353</v>
      </c>
      <c r="F1481">
        <v>1772</v>
      </c>
      <c r="G1481">
        <v>2225</v>
      </c>
      <c r="H1481" t="s">
        <v>86</v>
      </c>
      <c r="I1481" t="s">
        <v>87</v>
      </c>
      <c r="J1481" t="s">
        <v>2868</v>
      </c>
      <c r="K1481" t="s">
        <v>38</v>
      </c>
      <c r="L1481" t="s">
        <v>38</v>
      </c>
      <c r="M1481" t="s">
        <v>38</v>
      </c>
      <c r="N1481" t="s">
        <v>38</v>
      </c>
      <c r="O1481" t="s">
        <v>74</v>
      </c>
      <c r="P1481" t="s">
        <v>42</v>
      </c>
      <c r="Q1481" t="s">
        <v>43</v>
      </c>
      <c r="R1481" t="s">
        <v>89</v>
      </c>
      <c r="S1481" t="s">
        <v>38</v>
      </c>
      <c r="T1481" t="s">
        <v>89</v>
      </c>
      <c r="U1481" t="s">
        <v>301</v>
      </c>
      <c r="V1481" t="s">
        <v>137</v>
      </c>
      <c r="W1481" t="s">
        <v>92</v>
      </c>
      <c r="X1481" t="s">
        <v>302</v>
      </c>
      <c r="Y1481" t="s">
        <v>2920</v>
      </c>
      <c r="Z1481" t="s">
        <v>42</v>
      </c>
      <c r="AA1481" t="s">
        <v>38</v>
      </c>
      <c r="AB1481" t="s">
        <v>38</v>
      </c>
      <c r="AC1481" t="s">
        <v>38</v>
      </c>
      <c r="AD1481" t="s">
        <v>48</v>
      </c>
      <c r="AG1481" t="str">
        <f>IF(AD1481="United States", IFERROR(INDEX(Sheet2!$C:$C, MATCH(AE1481&amp;AF1481, Sheet2!$E:$E, 0)) &amp; ", " &amp; INDEX(Sheet2!$D:$D, MATCH(AE1481&amp;AF1481, Sheet2!$E:$E, 0)), ""), "-")</f>
        <v/>
      </c>
    </row>
    <row r="1482" spans="1:33" x14ac:dyDescent="0.25">
      <c r="A1482" t="s">
        <v>2865</v>
      </c>
      <c r="B1482" t="s">
        <v>2921</v>
      </c>
      <c r="C1482" t="s">
        <v>2897</v>
      </c>
      <c r="D1482" t="s">
        <v>1964</v>
      </c>
      <c r="E1482" t="s">
        <v>38</v>
      </c>
      <c r="F1482">
        <v>1776</v>
      </c>
      <c r="G1482">
        <v>2224</v>
      </c>
      <c r="H1482" t="s">
        <v>86</v>
      </c>
      <c r="I1482" t="s">
        <v>87</v>
      </c>
      <c r="J1482" t="s">
        <v>2868</v>
      </c>
      <c r="K1482" t="s">
        <v>38</v>
      </c>
      <c r="L1482" t="s">
        <v>38</v>
      </c>
      <c r="M1482" t="s">
        <v>38</v>
      </c>
      <c r="N1482" t="s">
        <v>38</v>
      </c>
      <c r="O1482" t="s">
        <v>74</v>
      </c>
      <c r="P1482" t="s">
        <v>42</v>
      </c>
      <c r="Q1482" t="s">
        <v>43</v>
      </c>
      <c r="R1482" t="s">
        <v>89</v>
      </c>
      <c r="S1482" t="s">
        <v>38</v>
      </c>
      <c r="T1482" t="s">
        <v>89</v>
      </c>
      <c r="U1482" t="s">
        <v>301</v>
      </c>
      <c r="V1482" t="s">
        <v>137</v>
      </c>
      <c r="W1482" t="s">
        <v>92</v>
      </c>
      <c r="X1482" t="s">
        <v>302</v>
      </c>
      <c r="Y1482" t="s">
        <v>2922</v>
      </c>
      <c r="Z1482" t="s">
        <v>42</v>
      </c>
      <c r="AA1482" t="s">
        <v>38</v>
      </c>
      <c r="AB1482" t="s">
        <v>38</v>
      </c>
      <c r="AC1482" t="s">
        <v>38</v>
      </c>
      <c r="AD1482" t="s">
        <v>48</v>
      </c>
      <c r="AG1482" t="str">
        <f>IF(AD1482="United States", IFERROR(INDEX(Sheet2!$C:$C, MATCH(AE1482&amp;AF1482, Sheet2!$E:$E, 0)) &amp; ", " &amp; INDEX(Sheet2!$D:$D, MATCH(AE1482&amp;AF1482, Sheet2!$E:$E, 0)), ""), "-")</f>
        <v/>
      </c>
    </row>
    <row r="1483" spans="1:33" x14ac:dyDescent="0.25">
      <c r="A1483" t="s">
        <v>2865</v>
      </c>
      <c r="B1483" t="s">
        <v>2923</v>
      </c>
      <c r="C1483" t="s">
        <v>2897</v>
      </c>
      <c r="D1483" t="s">
        <v>1164</v>
      </c>
      <c r="E1483" t="s">
        <v>38</v>
      </c>
      <c r="F1483">
        <v>1757</v>
      </c>
      <c r="G1483">
        <v>2223</v>
      </c>
      <c r="H1483" t="s">
        <v>86</v>
      </c>
      <c r="I1483" t="s">
        <v>87</v>
      </c>
      <c r="J1483" t="s">
        <v>2868</v>
      </c>
      <c r="K1483" t="s">
        <v>38</v>
      </c>
      <c r="L1483" t="s">
        <v>38</v>
      </c>
      <c r="M1483" t="s">
        <v>38</v>
      </c>
      <c r="N1483" t="s">
        <v>38</v>
      </c>
      <c r="O1483" t="s">
        <v>57</v>
      </c>
      <c r="P1483" t="s">
        <v>42</v>
      </c>
      <c r="Q1483" t="s">
        <v>43</v>
      </c>
      <c r="R1483" t="s">
        <v>89</v>
      </c>
      <c r="S1483" t="s">
        <v>38</v>
      </c>
      <c r="T1483" t="s">
        <v>89</v>
      </c>
      <c r="U1483" t="s">
        <v>301</v>
      </c>
      <c r="V1483" t="s">
        <v>137</v>
      </c>
      <c r="W1483" t="s">
        <v>92</v>
      </c>
      <c r="X1483" t="s">
        <v>302</v>
      </c>
      <c r="Y1483" t="s">
        <v>2922</v>
      </c>
      <c r="Z1483" t="s">
        <v>42</v>
      </c>
      <c r="AA1483" t="s">
        <v>38</v>
      </c>
      <c r="AB1483" t="s">
        <v>38</v>
      </c>
      <c r="AC1483" t="s">
        <v>2924</v>
      </c>
      <c r="AD1483" t="s">
        <v>48</v>
      </c>
      <c r="AG1483" t="str">
        <f>IF(AD1483="United States", IFERROR(INDEX(Sheet2!$C:$C, MATCH(AE1483&amp;AF1483, Sheet2!$E:$E, 0)) &amp; ", " &amp; INDEX(Sheet2!$D:$D, MATCH(AE1483&amp;AF1483, Sheet2!$E:$E, 0)), ""), "-")</f>
        <v/>
      </c>
    </row>
    <row r="1484" spans="1:33" x14ac:dyDescent="0.25">
      <c r="A1484" t="s">
        <v>2865</v>
      </c>
      <c r="B1484" t="s">
        <v>2925</v>
      </c>
      <c r="C1484" t="s">
        <v>2904</v>
      </c>
      <c r="D1484" t="s">
        <v>1230</v>
      </c>
      <c r="E1484" t="s">
        <v>2926</v>
      </c>
      <c r="F1484">
        <v>1742</v>
      </c>
      <c r="G1484">
        <v>2729</v>
      </c>
      <c r="I1484" t="s">
        <v>87</v>
      </c>
      <c r="J1484" t="s">
        <v>2906</v>
      </c>
      <c r="O1484" t="s">
        <v>41</v>
      </c>
      <c r="P1484" t="s">
        <v>42</v>
      </c>
      <c r="Q1484" t="s">
        <v>43</v>
      </c>
      <c r="S1484" t="s">
        <v>89</v>
      </c>
      <c r="V1484" t="s">
        <v>137</v>
      </c>
      <c r="Y1484" t="s">
        <v>2907</v>
      </c>
      <c r="Z1484" t="s">
        <v>42</v>
      </c>
      <c r="AA1484" t="s">
        <v>38</v>
      </c>
      <c r="AB1484" t="s">
        <v>38</v>
      </c>
      <c r="AC1484" t="s">
        <v>38</v>
      </c>
      <c r="AD1484" t="s">
        <v>48</v>
      </c>
      <c r="AG1484" t="str">
        <f>IF(AD1484="United States", IFERROR(INDEX(Sheet2!$C:$C, MATCH(AE1484&amp;AF1484, Sheet2!$E:$E, 0)) &amp; ", " &amp; INDEX(Sheet2!$D:$D, MATCH(AE1484&amp;AF1484, Sheet2!$E:$E, 0)), ""), "-")</f>
        <v/>
      </c>
    </row>
    <row r="1485" spans="1:33" x14ac:dyDescent="0.25">
      <c r="A1485" t="s">
        <v>2865</v>
      </c>
      <c r="B1485" t="s">
        <v>2927</v>
      </c>
      <c r="C1485" t="s">
        <v>2867</v>
      </c>
      <c r="D1485" t="s">
        <v>2928</v>
      </c>
      <c r="E1485" t="s">
        <v>2929</v>
      </c>
      <c r="F1485">
        <v>1763</v>
      </c>
      <c r="G1485">
        <v>908</v>
      </c>
      <c r="H1485" t="s">
        <v>2270</v>
      </c>
      <c r="I1485" t="s">
        <v>80</v>
      </c>
      <c r="J1485" t="s">
        <v>2868</v>
      </c>
      <c r="K1485" t="s">
        <v>38</v>
      </c>
      <c r="L1485" t="s">
        <v>38</v>
      </c>
      <c r="M1485" t="s">
        <v>38</v>
      </c>
      <c r="N1485" t="s">
        <v>38</v>
      </c>
      <c r="O1485" t="s">
        <v>57</v>
      </c>
      <c r="P1485" t="s">
        <v>42</v>
      </c>
      <c r="Q1485" t="s">
        <v>43</v>
      </c>
      <c r="R1485" t="s">
        <v>89</v>
      </c>
      <c r="S1485" t="s">
        <v>153</v>
      </c>
      <c r="T1485" t="s">
        <v>89</v>
      </c>
      <c r="U1485" t="s">
        <v>301</v>
      </c>
      <c r="V1485" t="s">
        <v>137</v>
      </c>
      <c r="W1485" t="s">
        <v>92</v>
      </c>
      <c r="X1485" t="s">
        <v>302</v>
      </c>
      <c r="Y1485" t="s">
        <v>2869</v>
      </c>
      <c r="Z1485" t="s">
        <v>42</v>
      </c>
      <c r="AA1485" t="s">
        <v>155</v>
      </c>
      <c r="AB1485" t="s">
        <v>38</v>
      </c>
      <c r="AC1485" t="s">
        <v>153</v>
      </c>
      <c r="AD1485" t="s">
        <v>48</v>
      </c>
      <c r="AG1485" t="str">
        <f>IF(AD1485="United States", IFERROR(INDEX(Sheet2!$C:$C, MATCH(AE1485&amp;AF1485, Sheet2!$E:$E, 0)) &amp; ", " &amp; INDEX(Sheet2!$D:$D, MATCH(AE1485&amp;AF1485, Sheet2!$E:$E, 0)), ""), "-")</f>
        <v/>
      </c>
    </row>
    <row r="1486" spans="1:33" x14ac:dyDescent="0.25">
      <c r="A1486" t="s">
        <v>2865</v>
      </c>
      <c r="B1486" t="s">
        <v>2930</v>
      </c>
      <c r="C1486" t="s">
        <v>2872</v>
      </c>
      <c r="D1486" t="s">
        <v>1413</v>
      </c>
      <c r="E1486" t="s">
        <v>2931</v>
      </c>
      <c r="F1486">
        <v>1764</v>
      </c>
      <c r="G1486">
        <v>559</v>
      </c>
      <c r="H1486" t="s">
        <v>435</v>
      </c>
      <c r="I1486" t="s">
        <v>39</v>
      </c>
      <c r="J1486" t="s">
        <v>2868</v>
      </c>
      <c r="K1486" t="s">
        <v>38</v>
      </c>
      <c r="L1486" t="s">
        <v>38</v>
      </c>
      <c r="M1486" t="s">
        <v>38</v>
      </c>
      <c r="N1486" t="s">
        <v>38</v>
      </c>
      <c r="O1486" t="s">
        <v>57</v>
      </c>
      <c r="P1486" t="s">
        <v>42</v>
      </c>
      <c r="Q1486" t="s">
        <v>43</v>
      </c>
      <c r="R1486" t="s">
        <v>89</v>
      </c>
      <c r="S1486" t="s">
        <v>38</v>
      </c>
      <c r="T1486" t="s">
        <v>89</v>
      </c>
      <c r="U1486" t="s">
        <v>301</v>
      </c>
      <c r="V1486" t="s">
        <v>137</v>
      </c>
      <c r="W1486" t="s">
        <v>92</v>
      </c>
      <c r="X1486" t="s">
        <v>302</v>
      </c>
      <c r="Y1486" t="s">
        <v>2932</v>
      </c>
      <c r="Z1486" t="s">
        <v>42</v>
      </c>
      <c r="AA1486" t="s">
        <v>38</v>
      </c>
      <c r="AB1486" t="s">
        <v>38</v>
      </c>
      <c r="AC1486" t="s">
        <v>166</v>
      </c>
      <c r="AD1486" t="s">
        <v>48</v>
      </c>
      <c r="AG1486" t="str">
        <f>IF(AD1486="United States", IFERROR(INDEX(Sheet2!$C:$C, MATCH(AE1486&amp;AF1486, Sheet2!$E:$E, 0)) &amp; ", " &amp; INDEX(Sheet2!$D:$D, MATCH(AE1486&amp;AF1486, Sheet2!$E:$E, 0)), ""), "-")</f>
        <v/>
      </c>
    </row>
    <row r="1487" spans="1:33" x14ac:dyDescent="0.25">
      <c r="A1487" t="s">
        <v>2865</v>
      </c>
      <c r="B1487" t="s">
        <v>2933</v>
      </c>
      <c r="C1487" t="s">
        <v>2872</v>
      </c>
      <c r="D1487" t="s">
        <v>1413</v>
      </c>
      <c r="E1487" t="s">
        <v>37</v>
      </c>
      <c r="F1487">
        <v>1766</v>
      </c>
      <c r="G1487">
        <v>297</v>
      </c>
      <c r="H1487" t="s">
        <v>435</v>
      </c>
      <c r="I1487" t="s">
        <v>39</v>
      </c>
      <c r="J1487" t="s">
        <v>2868</v>
      </c>
      <c r="K1487" t="s">
        <v>38</v>
      </c>
      <c r="L1487" t="s">
        <v>38</v>
      </c>
      <c r="M1487" t="s">
        <v>38</v>
      </c>
      <c r="N1487" t="s">
        <v>38</v>
      </c>
      <c r="O1487" t="s">
        <v>74</v>
      </c>
      <c r="P1487" t="s">
        <v>42</v>
      </c>
      <c r="Q1487" t="s">
        <v>43</v>
      </c>
      <c r="R1487" t="s">
        <v>89</v>
      </c>
      <c r="S1487" t="s">
        <v>45</v>
      </c>
      <c r="T1487" t="s">
        <v>89</v>
      </c>
      <c r="U1487" t="s">
        <v>301</v>
      </c>
      <c r="V1487" t="s">
        <v>137</v>
      </c>
      <c r="W1487" t="s">
        <v>92</v>
      </c>
      <c r="X1487" t="s">
        <v>302</v>
      </c>
      <c r="Y1487" t="s">
        <v>2878</v>
      </c>
      <c r="Z1487" t="s">
        <v>42</v>
      </c>
      <c r="AA1487" t="s">
        <v>143</v>
      </c>
      <c r="AB1487" t="s">
        <v>38</v>
      </c>
      <c r="AC1487" t="s">
        <v>45</v>
      </c>
      <c r="AD1487" t="s">
        <v>48</v>
      </c>
      <c r="AG1487" t="str">
        <f>IF(AD1487="United States", IFERROR(INDEX(Sheet2!$C:$C, MATCH(AE1487&amp;AF1487, Sheet2!$E:$E, 0)) &amp; ", " &amp; INDEX(Sheet2!$D:$D, MATCH(AE1487&amp;AF1487, Sheet2!$E:$E, 0)), ""), "-")</f>
        <v/>
      </c>
    </row>
    <row r="1488" spans="1:33" x14ac:dyDescent="0.25">
      <c r="A1488" t="s">
        <v>2865</v>
      </c>
      <c r="B1488" t="s">
        <v>2934</v>
      </c>
      <c r="C1488" t="s">
        <v>2872</v>
      </c>
      <c r="D1488" t="s">
        <v>2935</v>
      </c>
      <c r="E1488" t="s">
        <v>2936</v>
      </c>
      <c r="F1488">
        <v>1747</v>
      </c>
      <c r="G1488">
        <v>557</v>
      </c>
      <c r="H1488" t="s">
        <v>381</v>
      </c>
      <c r="I1488" t="s">
        <v>39</v>
      </c>
      <c r="J1488" t="s">
        <v>2868</v>
      </c>
      <c r="K1488" t="s">
        <v>38</v>
      </c>
      <c r="L1488" t="s">
        <v>38</v>
      </c>
      <c r="M1488" t="s">
        <v>38</v>
      </c>
      <c r="N1488" t="s">
        <v>38</v>
      </c>
      <c r="O1488" t="s">
        <v>57</v>
      </c>
      <c r="P1488" t="s">
        <v>42</v>
      </c>
      <c r="Q1488" t="s">
        <v>43</v>
      </c>
      <c r="R1488" t="s">
        <v>89</v>
      </c>
      <c r="S1488" t="s">
        <v>153</v>
      </c>
      <c r="T1488" t="s">
        <v>89</v>
      </c>
      <c r="U1488" t="s">
        <v>301</v>
      </c>
      <c r="V1488" t="s">
        <v>137</v>
      </c>
      <c r="W1488" t="s">
        <v>92</v>
      </c>
      <c r="X1488" t="s">
        <v>302</v>
      </c>
      <c r="Y1488" t="s">
        <v>2937</v>
      </c>
      <c r="Z1488" t="s">
        <v>42</v>
      </c>
      <c r="AA1488" t="s">
        <v>155</v>
      </c>
      <c r="AB1488" t="s">
        <v>38</v>
      </c>
      <c r="AC1488" t="s">
        <v>153</v>
      </c>
      <c r="AD1488" t="s">
        <v>48</v>
      </c>
      <c r="AG1488" t="str">
        <f>IF(AD1488="United States", IFERROR(INDEX(Sheet2!$C:$C, MATCH(AE1488&amp;AF1488, Sheet2!$E:$E, 0)) &amp; ", " &amp; INDEX(Sheet2!$D:$D, MATCH(AE1488&amp;AF1488, Sheet2!$E:$E, 0)), ""), "-")</f>
        <v/>
      </c>
    </row>
    <row r="1489" spans="1:33" x14ac:dyDescent="0.25">
      <c r="A1489" t="s">
        <v>2865</v>
      </c>
      <c r="B1489" t="s">
        <v>2938</v>
      </c>
      <c r="C1489" t="s">
        <v>2872</v>
      </c>
      <c r="D1489" t="s">
        <v>2939</v>
      </c>
      <c r="E1489" t="s">
        <v>38</v>
      </c>
      <c r="F1489">
        <v>1743</v>
      </c>
      <c r="G1489">
        <v>300</v>
      </c>
      <c r="H1489" t="s">
        <v>38</v>
      </c>
      <c r="I1489" t="s">
        <v>39</v>
      </c>
      <c r="J1489" t="s">
        <v>2868</v>
      </c>
      <c r="K1489" t="s">
        <v>38</v>
      </c>
      <c r="L1489" t="s">
        <v>38</v>
      </c>
      <c r="M1489" t="s">
        <v>38</v>
      </c>
      <c r="N1489" t="s">
        <v>38</v>
      </c>
      <c r="O1489" t="s">
        <v>41</v>
      </c>
      <c r="P1489" t="s">
        <v>42</v>
      </c>
      <c r="Q1489" t="s">
        <v>43</v>
      </c>
      <c r="R1489" t="s">
        <v>38</v>
      </c>
      <c r="S1489" t="s">
        <v>38</v>
      </c>
      <c r="T1489" t="s">
        <v>38</v>
      </c>
      <c r="U1489" t="s">
        <v>38</v>
      </c>
      <c r="V1489" t="s">
        <v>137</v>
      </c>
      <c r="W1489" t="s">
        <v>38</v>
      </c>
      <c r="X1489" t="s">
        <v>38</v>
      </c>
      <c r="Y1489" t="s">
        <v>38</v>
      </c>
      <c r="Z1489" t="s">
        <v>42</v>
      </c>
      <c r="AA1489" t="s">
        <v>38</v>
      </c>
      <c r="AB1489" t="s">
        <v>38</v>
      </c>
      <c r="AC1489" t="s">
        <v>38</v>
      </c>
      <c r="AD1489" t="s">
        <v>48</v>
      </c>
      <c r="AG1489" t="str">
        <f>IF(AD1489="United States", IFERROR(INDEX(Sheet2!$C:$C, MATCH(AE1489&amp;AF1489, Sheet2!$E:$E, 0)) &amp; ", " &amp; INDEX(Sheet2!$D:$D, MATCH(AE1489&amp;AF1489, Sheet2!$E:$E, 0)), ""), "-")</f>
        <v/>
      </c>
    </row>
    <row r="1490" spans="1:33" x14ac:dyDescent="0.25">
      <c r="A1490" t="s">
        <v>2865</v>
      </c>
      <c r="B1490" t="s">
        <v>2940</v>
      </c>
      <c r="C1490" t="s">
        <v>2872</v>
      </c>
      <c r="D1490" t="s">
        <v>623</v>
      </c>
      <c r="E1490" t="s">
        <v>1141</v>
      </c>
      <c r="F1490">
        <v>1757</v>
      </c>
      <c r="G1490">
        <v>299</v>
      </c>
      <c r="H1490" t="s">
        <v>435</v>
      </c>
      <c r="I1490" t="s">
        <v>39</v>
      </c>
      <c r="J1490" t="s">
        <v>2868</v>
      </c>
      <c r="K1490" t="s">
        <v>38</v>
      </c>
      <c r="L1490" t="s">
        <v>38</v>
      </c>
      <c r="M1490" t="s">
        <v>38</v>
      </c>
      <c r="N1490" t="s">
        <v>38</v>
      </c>
      <c r="O1490" t="s">
        <v>57</v>
      </c>
      <c r="P1490" t="s">
        <v>42</v>
      </c>
      <c r="Q1490" t="s">
        <v>43</v>
      </c>
      <c r="R1490" t="s">
        <v>89</v>
      </c>
      <c r="S1490" t="s">
        <v>45</v>
      </c>
      <c r="T1490" t="s">
        <v>89</v>
      </c>
      <c r="U1490" t="s">
        <v>301</v>
      </c>
      <c r="V1490" t="s">
        <v>137</v>
      </c>
      <c r="W1490" t="s">
        <v>92</v>
      </c>
      <c r="X1490" t="s">
        <v>302</v>
      </c>
      <c r="Y1490" t="s">
        <v>2941</v>
      </c>
      <c r="Z1490" t="s">
        <v>42</v>
      </c>
      <c r="AA1490" t="s">
        <v>38</v>
      </c>
      <c r="AB1490" t="s">
        <v>38</v>
      </c>
      <c r="AC1490" t="s">
        <v>45</v>
      </c>
      <c r="AD1490" t="s">
        <v>48</v>
      </c>
      <c r="AG1490" t="str">
        <f>IF(AD1490="United States", IFERROR(INDEX(Sheet2!$C:$C, MATCH(AE1490&amp;AF1490, Sheet2!$E:$E, 0)) &amp; ", " &amp; INDEX(Sheet2!$D:$D, MATCH(AE1490&amp;AF1490, Sheet2!$E:$E, 0)), ""), "-")</f>
        <v/>
      </c>
    </row>
    <row r="1491" spans="1:33" x14ac:dyDescent="0.25">
      <c r="A1491" t="s">
        <v>2865</v>
      </c>
      <c r="B1491" t="s">
        <v>2942</v>
      </c>
      <c r="C1491" t="s">
        <v>2872</v>
      </c>
      <c r="D1491" t="s">
        <v>150</v>
      </c>
      <c r="E1491" t="s">
        <v>2943</v>
      </c>
      <c r="F1491">
        <v>1758</v>
      </c>
      <c r="G1491">
        <v>550</v>
      </c>
      <c r="H1491" t="s">
        <v>381</v>
      </c>
      <c r="I1491" t="s">
        <v>39</v>
      </c>
      <c r="J1491" t="s">
        <v>2868</v>
      </c>
      <c r="K1491" t="s">
        <v>38</v>
      </c>
      <c r="L1491" t="s">
        <v>38</v>
      </c>
      <c r="M1491" t="s">
        <v>38</v>
      </c>
      <c r="N1491" t="s">
        <v>38</v>
      </c>
      <c r="O1491" t="s">
        <v>41</v>
      </c>
      <c r="P1491" t="s">
        <v>42</v>
      </c>
      <c r="Q1491" t="s">
        <v>43</v>
      </c>
      <c r="R1491" t="s">
        <v>89</v>
      </c>
      <c r="S1491" t="s">
        <v>153</v>
      </c>
      <c r="T1491" t="s">
        <v>89</v>
      </c>
      <c r="U1491" t="s">
        <v>301</v>
      </c>
      <c r="V1491" t="s">
        <v>137</v>
      </c>
      <c r="W1491" t="s">
        <v>92</v>
      </c>
      <c r="X1491" t="s">
        <v>302</v>
      </c>
      <c r="Y1491" t="s">
        <v>2944</v>
      </c>
      <c r="Z1491" t="s">
        <v>42</v>
      </c>
      <c r="AA1491" t="s">
        <v>155</v>
      </c>
      <c r="AB1491" t="s">
        <v>38</v>
      </c>
      <c r="AC1491" t="s">
        <v>153</v>
      </c>
      <c r="AD1491" t="s">
        <v>48</v>
      </c>
      <c r="AG1491" t="str">
        <f>IF(AD1491="United States", IFERROR(INDEX(Sheet2!$C:$C, MATCH(AE1491&amp;AF1491, Sheet2!$E:$E, 0)) &amp; ", " &amp; INDEX(Sheet2!$D:$D, MATCH(AE1491&amp;AF1491, Sheet2!$E:$E, 0)), ""), "-")</f>
        <v/>
      </c>
    </row>
    <row r="1492" spans="1:33" x14ac:dyDescent="0.25">
      <c r="A1492" t="s">
        <v>2865</v>
      </c>
      <c r="B1492" t="s">
        <v>2945</v>
      </c>
      <c r="C1492" t="s">
        <v>2872</v>
      </c>
      <c r="D1492" t="s">
        <v>2946</v>
      </c>
      <c r="E1492" t="s">
        <v>1635</v>
      </c>
      <c r="F1492">
        <v>1752</v>
      </c>
      <c r="G1492">
        <v>551</v>
      </c>
      <c r="H1492" t="s">
        <v>38</v>
      </c>
      <c r="I1492" t="s">
        <v>39</v>
      </c>
      <c r="J1492" t="s">
        <v>2868</v>
      </c>
      <c r="K1492" t="s">
        <v>38</v>
      </c>
      <c r="L1492" t="s">
        <v>38</v>
      </c>
      <c r="M1492" t="s">
        <v>38</v>
      </c>
      <c r="N1492" t="s">
        <v>38</v>
      </c>
      <c r="O1492" t="s">
        <v>41</v>
      </c>
      <c r="P1492" t="s">
        <v>125</v>
      </c>
      <c r="Q1492" t="s">
        <v>124</v>
      </c>
      <c r="R1492" t="s">
        <v>2800</v>
      </c>
      <c r="S1492" t="s">
        <v>45</v>
      </c>
      <c r="T1492" t="s">
        <v>38</v>
      </c>
      <c r="U1492" t="s">
        <v>38</v>
      </c>
      <c r="V1492" t="s">
        <v>137</v>
      </c>
      <c r="W1492" t="s">
        <v>38</v>
      </c>
      <c r="X1492" t="s">
        <v>38</v>
      </c>
      <c r="Y1492" t="s">
        <v>2947</v>
      </c>
      <c r="Z1492" t="s">
        <v>125</v>
      </c>
      <c r="AA1492" t="s">
        <v>2800</v>
      </c>
      <c r="AB1492" t="s">
        <v>38</v>
      </c>
      <c r="AC1492" t="s">
        <v>45</v>
      </c>
      <c r="AD1492" t="s">
        <v>48</v>
      </c>
      <c r="AG1492" t="str">
        <f>IF(AD1492="United States", IFERROR(INDEX(Sheet2!$C:$C, MATCH(AE1492&amp;AF1492, Sheet2!$E:$E, 0)) &amp; ", " &amp; INDEX(Sheet2!$D:$D, MATCH(AE1492&amp;AF1492, Sheet2!$E:$E, 0)), ""), "-")</f>
        <v/>
      </c>
    </row>
    <row r="1493" spans="1:33" x14ac:dyDescent="0.25">
      <c r="A1493" t="s">
        <v>2865</v>
      </c>
      <c r="B1493" t="s">
        <v>2948</v>
      </c>
      <c r="C1493" t="s">
        <v>2872</v>
      </c>
      <c r="D1493" t="s">
        <v>361</v>
      </c>
      <c r="E1493" t="s">
        <v>1337</v>
      </c>
      <c r="F1493">
        <v>1759</v>
      </c>
      <c r="G1493">
        <v>558</v>
      </c>
      <c r="H1493" t="s">
        <v>381</v>
      </c>
      <c r="I1493" t="s">
        <v>39</v>
      </c>
      <c r="J1493" t="s">
        <v>2868</v>
      </c>
      <c r="K1493" t="s">
        <v>38</v>
      </c>
      <c r="L1493" t="s">
        <v>38</v>
      </c>
      <c r="M1493" t="s">
        <v>38</v>
      </c>
      <c r="N1493" t="s">
        <v>38</v>
      </c>
      <c r="O1493" t="s">
        <v>41</v>
      </c>
      <c r="P1493" t="s">
        <v>42</v>
      </c>
      <c r="Q1493" t="s">
        <v>43</v>
      </c>
      <c r="R1493" t="s">
        <v>89</v>
      </c>
      <c r="S1493" t="s">
        <v>153</v>
      </c>
      <c r="T1493" t="s">
        <v>89</v>
      </c>
      <c r="U1493" t="s">
        <v>301</v>
      </c>
      <c r="V1493" t="s">
        <v>137</v>
      </c>
      <c r="W1493" t="s">
        <v>92</v>
      </c>
      <c r="X1493" t="s">
        <v>302</v>
      </c>
      <c r="Y1493" t="s">
        <v>2932</v>
      </c>
      <c r="Z1493" t="s">
        <v>42</v>
      </c>
      <c r="AA1493" t="s">
        <v>2949</v>
      </c>
      <c r="AB1493" t="s">
        <v>153</v>
      </c>
      <c r="AC1493" t="s">
        <v>155</v>
      </c>
      <c r="AD1493" t="s">
        <v>48</v>
      </c>
      <c r="AG1493" t="str">
        <f>IF(AD1493="United States", IFERROR(INDEX(Sheet2!$C:$C, MATCH(AE1493&amp;AF1493, Sheet2!$E:$E, 0)) &amp; ", " &amp; INDEX(Sheet2!$D:$D, MATCH(AE1493&amp;AF1493, Sheet2!$E:$E, 0)), ""), "-")</f>
        <v/>
      </c>
    </row>
    <row r="1494" spans="1:33" x14ac:dyDescent="0.25">
      <c r="A1494" t="s">
        <v>2865</v>
      </c>
      <c r="D1494" t="s">
        <v>2950</v>
      </c>
      <c r="E1494" t="s">
        <v>2951</v>
      </c>
      <c r="F1494">
        <v>1747</v>
      </c>
      <c r="G1494">
        <v>614</v>
      </c>
      <c r="H1494">
        <v>30</v>
      </c>
      <c r="J1494" t="s">
        <v>2868</v>
      </c>
      <c r="O1494" t="s">
        <v>57</v>
      </c>
      <c r="R1494" t="s">
        <v>89</v>
      </c>
      <c r="T1494" t="s">
        <v>89</v>
      </c>
      <c r="U1494" t="s">
        <v>301</v>
      </c>
      <c r="V1494" t="s">
        <v>137</v>
      </c>
      <c r="W1494" t="s">
        <v>92</v>
      </c>
      <c r="X1494" t="s">
        <v>302</v>
      </c>
      <c r="Y1494" t="s">
        <v>38</v>
      </c>
      <c r="AA1494" t="s">
        <v>38</v>
      </c>
      <c r="AB1494" t="s">
        <v>38</v>
      </c>
      <c r="AC1494" t="s">
        <v>38</v>
      </c>
      <c r="AD1494" t="s">
        <v>48</v>
      </c>
      <c r="AG1494" t="str">
        <f>IF(AD1494="United States", IFERROR(INDEX(Sheet2!$C:$C, MATCH(AE1494&amp;AF1494, Sheet2!$E:$E, 0)) &amp; ", " &amp; INDEX(Sheet2!$D:$D, MATCH(AE1494&amp;AF1494, Sheet2!$E:$E, 0)), ""), "-")</f>
        <v/>
      </c>
    </row>
    <row r="1495" spans="1:33" x14ac:dyDescent="0.25">
      <c r="A1495" t="s">
        <v>2865</v>
      </c>
      <c r="D1495" t="s">
        <v>181</v>
      </c>
      <c r="E1495" t="s">
        <v>803</v>
      </c>
      <c r="F1495" t="s">
        <v>38</v>
      </c>
      <c r="G1495">
        <v>609</v>
      </c>
      <c r="H1495">
        <v>30</v>
      </c>
      <c r="J1495" t="s">
        <v>2868</v>
      </c>
      <c r="O1495" t="s">
        <v>54</v>
      </c>
      <c r="R1495" t="s">
        <v>89</v>
      </c>
      <c r="T1495" t="s">
        <v>89</v>
      </c>
      <c r="U1495" t="s">
        <v>301</v>
      </c>
      <c r="V1495" t="s">
        <v>137</v>
      </c>
      <c r="W1495" t="s">
        <v>92</v>
      </c>
      <c r="X1495" t="s">
        <v>302</v>
      </c>
      <c r="Y1495" t="s">
        <v>38</v>
      </c>
      <c r="AA1495" t="s">
        <v>38</v>
      </c>
      <c r="AB1495" t="s">
        <v>38</v>
      </c>
      <c r="AC1495" t="s">
        <v>38</v>
      </c>
      <c r="AD1495" t="s">
        <v>48</v>
      </c>
      <c r="AG1495" t="str">
        <f>IF(AD1495="United States", IFERROR(INDEX(Sheet2!$C:$C, MATCH(AE1495&amp;AF1495, Sheet2!$E:$E, 0)) &amp; ", " &amp; INDEX(Sheet2!$D:$D, MATCH(AE1495&amp;AF1495, Sheet2!$E:$E, 0)), ""), "-")</f>
        <v/>
      </c>
    </row>
    <row r="1496" spans="1:33" x14ac:dyDescent="0.25">
      <c r="A1496" t="s">
        <v>2865</v>
      </c>
      <c r="D1496" t="s">
        <v>2952</v>
      </c>
      <c r="E1496" t="s">
        <v>2953</v>
      </c>
      <c r="F1496">
        <v>1755</v>
      </c>
      <c r="G1496">
        <v>608</v>
      </c>
      <c r="H1496">
        <v>30</v>
      </c>
      <c r="J1496" t="s">
        <v>2868</v>
      </c>
      <c r="O1496" t="s">
        <v>57</v>
      </c>
      <c r="R1496" t="s">
        <v>89</v>
      </c>
      <c r="T1496" t="s">
        <v>89</v>
      </c>
      <c r="U1496" t="s">
        <v>301</v>
      </c>
      <c r="V1496" t="s">
        <v>137</v>
      </c>
      <c r="W1496" t="s">
        <v>92</v>
      </c>
      <c r="X1496" t="s">
        <v>302</v>
      </c>
      <c r="Y1496" t="s">
        <v>38</v>
      </c>
      <c r="AA1496" t="s">
        <v>38</v>
      </c>
      <c r="AB1496" t="s">
        <v>38</v>
      </c>
      <c r="AC1496" t="s">
        <v>38</v>
      </c>
      <c r="AD1496" t="s">
        <v>48</v>
      </c>
      <c r="AG1496" t="str">
        <f>IF(AD1496="United States", IFERROR(INDEX(Sheet2!$C:$C, MATCH(AE1496&amp;AF1496, Sheet2!$E:$E, 0)) &amp; ", " &amp; INDEX(Sheet2!$D:$D, MATCH(AE1496&amp;AF1496, Sheet2!$E:$E, 0)), ""), "-")</f>
        <v/>
      </c>
    </row>
    <row r="1497" spans="1:33" x14ac:dyDescent="0.25">
      <c r="A1497" t="s">
        <v>2865</v>
      </c>
      <c r="B1497" t="s">
        <v>2900</v>
      </c>
      <c r="C1497" t="s">
        <v>2867</v>
      </c>
      <c r="D1497" t="s">
        <v>834</v>
      </c>
      <c r="E1497" t="s">
        <v>2901</v>
      </c>
      <c r="F1497">
        <v>1753</v>
      </c>
      <c r="G1497">
        <v>1185</v>
      </c>
      <c r="H1497" t="s">
        <v>2270</v>
      </c>
      <c r="I1497" t="s">
        <v>80</v>
      </c>
      <c r="J1497" t="s">
        <v>2868</v>
      </c>
      <c r="K1497" t="s">
        <v>38</v>
      </c>
      <c r="L1497" t="s">
        <v>38</v>
      </c>
      <c r="M1497" t="s">
        <v>38</v>
      </c>
      <c r="N1497" t="s">
        <v>38</v>
      </c>
      <c r="O1497" t="s">
        <v>57</v>
      </c>
      <c r="P1497" t="s">
        <v>42</v>
      </c>
      <c r="Q1497" t="s">
        <v>43</v>
      </c>
      <c r="R1497" t="s">
        <v>89</v>
      </c>
      <c r="S1497" t="s">
        <v>38</v>
      </c>
      <c r="T1497" t="s">
        <v>89</v>
      </c>
      <c r="U1497" t="s">
        <v>301</v>
      </c>
      <c r="V1497" t="s">
        <v>137</v>
      </c>
      <c r="W1497" t="s">
        <v>92</v>
      </c>
      <c r="X1497" t="s">
        <v>302</v>
      </c>
      <c r="Y1497" t="s">
        <v>2902</v>
      </c>
      <c r="Z1497" t="s">
        <v>42</v>
      </c>
      <c r="AA1497" t="s">
        <v>38</v>
      </c>
      <c r="AB1497" t="s">
        <v>38</v>
      </c>
      <c r="AC1497" t="s">
        <v>1813</v>
      </c>
      <c r="AD1497" t="s">
        <v>48</v>
      </c>
      <c r="AG1497" t="str">
        <f>IF(AD1497="United States", IFERROR(INDEX(Sheet2!$C:$C, MATCH(AE1497&amp;AF1497, Sheet2!$E:$E, 0)) &amp; ", " &amp; INDEX(Sheet2!$D:$D, MATCH(AE1497&amp;AF1497, Sheet2!$E:$E, 0)), ""), "-")</f>
        <v/>
      </c>
    </row>
    <row r="1498" spans="1:33" x14ac:dyDescent="0.25">
      <c r="A1498" t="s">
        <v>2865</v>
      </c>
      <c r="B1498" t="s">
        <v>2927</v>
      </c>
      <c r="C1498" t="s">
        <v>2867</v>
      </c>
      <c r="D1498" t="s">
        <v>2928</v>
      </c>
      <c r="E1498" t="s">
        <v>2929</v>
      </c>
      <c r="F1498">
        <v>1763</v>
      </c>
      <c r="G1498">
        <v>1184</v>
      </c>
      <c r="H1498" t="s">
        <v>2270</v>
      </c>
      <c r="I1498" t="s">
        <v>80</v>
      </c>
      <c r="J1498" t="s">
        <v>2868</v>
      </c>
      <c r="K1498" t="s">
        <v>38</v>
      </c>
      <c r="L1498" t="s">
        <v>38</v>
      </c>
      <c r="M1498" t="s">
        <v>38</v>
      </c>
      <c r="N1498" t="s">
        <v>38</v>
      </c>
      <c r="O1498" t="s">
        <v>57</v>
      </c>
      <c r="P1498" t="s">
        <v>42</v>
      </c>
      <c r="Q1498" t="s">
        <v>43</v>
      </c>
      <c r="R1498" t="s">
        <v>89</v>
      </c>
      <c r="S1498" t="s">
        <v>153</v>
      </c>
      <c r="T1498" t="s">
        <v>89</v>
      </c>
      <c r="U1498" t="s">
        <v>301</v>
      </c>
      <c r="V1498" t="s">
        <v>137</v>
      </c>
      <c r="W1498" t="s">
        <v>92</v>
      </c>
      <c r="X1498" t="s">
        <v>302</v>
      </c>
      <c r="Y1498" t="s">
        <v>2869</v>
      </c>
      <c r="Z1498" t="s">
        <v>42</v>
      </c>
      <c r="AA1498" t="s">
        <v>155</v>
      </c>
      <c r="AB1498" t="s">
        <v>38</v>
      </c>
      <c r="AC1498" t="s">
        <v>153</v>
      </c>
      <c r="AD1498" t="s">
        <v>48</v>
      </c>
      <c r="AG1498" t="str">
        <f>IF(AD1498="United States", IFERROR(INDEX(Sheet2!$C:$C, MATCH(AE1498&amp;AF1498, Sheet2!$E:$E, 0)) &amp; ", " &amp; INDEX(Sheet2!$D:$D, MATCH(AE1498&amp;AF1498, Sheet2!$E:$E, 0)), ""), "-")</f>
        <v/>
      </c>
    </row>
    <row r="1499" spans="1:33" x14ac:dyDescent="0.25">
      <c r="A1499" t="s">
        <v>2865</v>
      </c>
      <c r="B1499" t="s">
        <v>2893</v>
      </c>
      <c r="C1499" t="s">
        <v>2867</v>
      </c>
      <c r="D1499" t="s">
        <v>361</v>
      </c>
      <c r="E1499" t="s">
        <v>2894</v>
      </c>
      <c r="F1499">
        <v>1771</v>
      </c>
      <c r="G1499">
        <v>1183</v>
      </c>
      <c r="H1499" t="s">
        <v>381</v>
      </c>
      <c r="I1499" t="s">
        <v>80</v>
      </c>
      <c r="J1499" t="s">
        <v>2868</v>
      </c>
      <c r="K1499" t="s">
        <v>38</v>
      </c>
      <c r="L1499" t="s">
        <v>38</v>
      </c>
      <c r="M1499" t="s">
        <v>38</v>
      </c>
      <c r="N1499" t="s">
        <v>38</v>
      </c>
      <c r="O1499" t="s">
        <v>54</v>
      </c>
      <c r="P1499" t="s">
        <v>42</v>
      </c>
      <c r="Q1499" t="s">
        <v>43</v>
      </c>
      <c r="R1499" t="s">
        <v>89</v>
      </c>
      <c r="S1499" t="s">
        <v>38</v>
      </c>
      <c r="T1499" t="s">
        <v>89</v>
      </c>
      <c r="U1499" t="s">
        <v>301</v>
      </c>
      <c r="V1499" t="s">
        <v>137</v>
      </c>
      <c r="W1499" t="s">
        <v>92</v>
      </c>
      <c r="X1499" t="s">
        <v>302</v>
      </c>
      <c r="Y1499" t="s">
        <v>2895</v>
      </c>
      <c r="Z1499" t="s">
        <v>42</v>
      </c>
      <c r="AA1499" t="s">
        <v>38</v>
      </c>
      <c r="AB1499" t="s">
        <v>38</v>
      </c>
      <c r="AC1499" t="s">
        <v>637</v>
      </c>
      <c r="AD1499" t="s">
        <v>48</v>
      </c>
      <c r="AG1499" t="str">
        <f>IF(AD1499="United States", IFERROR(INDEX(Sheet2!$C:$C, MATCH(AE1499&amp;AF1499, Sheet2!$E:$E, 0)) &amp; ", " &amp; INDEX(Sheet2!$D:$D, MATCH(AE1499&amp;AF1499, Sheet2!$E:$E, 0)), ""), "-")</f>
        <v/>
      </c>
    </row>
    <row r="1500" spans="1:33" x14ac:dyDescent="0.25">
      <c r="A1500" t="s">
        <v>2865</v>
      </c>
      <c r="B1500" t="s">
        <v>2954</v>
      </c>
      <c r="C1500" t="s">
        <v>2872</v>
      </c>
      <c r="D1500" t="s">
        <v>1122</v>
      </c>
      <c r="E1500" t="s">
        <v>2955</v>
      </c>
      <c r="F1500">
        <v>1763</v>
      </c>
      <c r="G1500">
        <v>554</v>
      </c>
      <c r="H1500" t="s">
        <v>381</v>
      </c>
      <c r="I1500" t="s">
        <v>39</v>
      </c>
      <c r="J1500" t="s">
        <v>2868</v>
      </c>
      <c r="K1500" t="s">
        <v>38</v>
      </c>
      <c r="L1500" t="s">
        <v>38</v>
      </c>
      <c r="M1500" t="s">
        <v>38</v>
      </c>
      <c r="N1500" t="s">
        <v>38</v>
      </c>
      <c r="O1500" t="s">
        <v>41</v>
      </c>
      <c r="P1500" t="s">
        <v>42</v>
      </c>
      <c r="Q1500" t="s">
        <v>43</v>
      </c>
      <c r="R1500" t="s">
        <v>89</v>
      </c>
      <c r="S1500" t="s">
        <v>45</v>
      </c>
      <c r="T1500" t="s">
        <v>89</v>
      </c>
      <c r="U1500" t="s">
        <v>301</v>
      </c>
      <c r="V1500" t="s">
        <v>137</v>
      </c>
      <c r="W1500" t="s">
        <v>92</v>
      </c>
      <c r="X1500" t="s">
        <v>302</v>
      </c>
      <c r="Y1500" t="s">
        <v>2947</v>
      </c>
      <c r="Z1500" t="s">
        <v>42</v>
      </c>
      <c r="AA1500" t="s">
        <v>2800</v>
      </c>
      <c r="AB1500" t="s">
        <v>38</v>
      </c>
      <c r="AC1500" t="s">
        <v>45</v>
      </c>
      <c r="AD1500" t="s">
        <v>48</v>
      </c>
      <c r="AG1500" t="str">
        <f>IF(AD1500="United States", IFERROR(INDEX(Sheet2!$C:$C, MATCH(AE1500&amp;AF1500, Sheet2!$E:$E, 0)) &amp; ", " &amp; INDEX(Sheet2!$D:$D, MATCH(AE1500&amp;AF1500, Sheet2!$E:$E, 0)), ""), "-")</f>
        <v/>
      </c>
    </row>
    <row r="1501" spans="1:33" x14ac:dyDescent="0.25">
      <c r="A1501" t="s">
        <v>2865</v>
      </c>
      <c r="B1501" t="s">
        <v>2866</v>
      </c>
      <c r="C1501" t="s">
        <v>2867</v>
      </c>
      <c r="D1501" t="s">
        <v>226</v>
      </c>
      <c r="E1501" t="s">
        <v>2032</v>
      </c>
      <c r="F1501">
        <v>1759</v>
      </c>
      <c r="G1501">
        <v>1181</v>
      </c>
      <c r="H1501" t="s">
        <v>2270</v>
      </c>
      <c r="I1501" t="s">
        <v>80</v>
      </c>
      <c r="J1501" t="s">
        <v>2868</v>
      </c>
      <c r="K1501" t="s">
        <v>38</v>
      </c>
      <c r="L1501" t="s">
        <v>38</v>
      </c>
      <c r="M1501" t="s">
        <v>38</v>
      </c>
      <c r="N1501" t="s">
        <v>38</v>
      </c>
      <c r="O1501" t="s">
        <v>41</v>
      </c>
      <c r="P1501" t="s">
        <v>42</v>
      </c>
      <c r="Q1501" t="s">
        <v>43</v>
      </c>
      <c r="R1501" t="s">
        <v>89</v>
      </c>
      <c r="S1501" t="s">
        <v>165</v>
      </c>
      <c r="T1501" t="s">
        <v>89</v>
      </c>
      <c r="U1501" t="s">
        <v>301</v>
      </c>
      <c r="V1501" t="s">
        <v>137</v>
      </c>
      <c r="W1501" t="s">
        <v>92</v>
      </c>
      <c r="X1501" t="s">
        <v>302</v>
      </c>
      <c r="Y1501" t="s">
        <v>2869</v>
      </c>
      <c r="Z1501" t="s">
        <v>42</v>
      </c>
      <c r="AA1501" t="s">
        <v>166</v>
      </c>
      <c r="AB1501" t="s">
        <v>38</v>
      </c>
      <c r="AC1501" t="s">
        <v>165</v>
      </c>
      <c r="AD1501" t="s">
        <v>48</v>
      </c>
      <c r="AG1501" t="str">
        <f>IF(AD1501="United States", IFERROR(INDEX(Sheet2!$C:$C, MATCH(AE1501&amp;AF1501, Sheet2!$E:$E, 0)) &amp; ", " &amp; INDEX(Sheet2!$D:$D, MATCH(AE1501&amp;AF1501, Sheet2!$E:$E, 0)), ""), "-")</f>
        <v/>
      </c>
    </row>
    <row r="1502" spans="1:33" x14ac:dyDescent="0.25">
      <c r="A1502" t="s">
        <v>2865</v>
      </c>
      <c r="B1502" t="s">
        <v>2884</v>
      </c>
      <c r="C1502" t="s">
        <v>2867</v>
      </c>
      <c r="D1502" t="s">
        <v>1122</v>
      </c>
      <c r="E1502" t="s">
        <v>2885</v>
      </c>
      <c r="F1502">
        <v>1762</v>
      </c>
      <c r="G1502">
        <v>1182</v>
      </c>
      <c r="H1502" t="s">
        <v>381</v>
      </c>
      <c r="I1502" t="s">
        <v>80</v>
      </c>
      <c r="J1502" t="s">
        <v>2868</v>
      </c>
      <c r="K1502" t="s">
        <v>38</v>
      </c>
      <c r="L1502" t="s">
        <v>38</v>
      </c>
      <c r="M1502" t="s">
        <v>38</v>
      </c>
      <c r="N1502" t="s">
        <v>38</v>
      </c>
      <c r="O1502" t="s">
        <v>41</v>
      </c>
      <c r="P1502" t="s">
        <v>42</v>
      </c>
      <c r="Q1502" t="s">
        <v>43</v>
      </c>
      <c r="R1502" t="s">
        <v>89</v>
      </c>
      <c r="S1502" t="s">
        <v>153</v>
      </c>
      <c r="T1502" t="s">
        <v>89</v>
      </c>
      <c r="U1502" t="s">
        <v>301</v>
      </c>
      <c r="V1502" t="s">
        <v>137</v>
      </c>
      <c r="W1502" t="s">
        <v>92</v>
      </c>
      <c r="X1502" t="s">
        <v>302</v>
      </c>
      <c r="Y1502" t="s">
        <v>2886</v>
      </c>
      <c r="Z1502" t="s">
        <v>42</v>
      </c>
      <c r="AA1502" t="s">
        <v>155</v>
      </c>
      <c r="AB1502" t="s">
        <v>38</v>
      </c>
      <c r="AC1502" t="s">
        <v>153</v>
      </c>
      <c r="AD1502" t="s">
        <v>48</v>
      </c>
      <c r="AG1502" t="str">
        <f>IF(AD1502="United States", IFERROR(INDEX(Sheet2!$C:$C, MATCH(AE1502&amp;AF1502, Sheet2!$E:$E, 0)) &amp; ", " &amp; INDEX(Sheet2!$D:$D, MATCH(AE1502&amp;AF1502, Sheet2!$E:$E, 0)), ""), "-")</f>
        <v/>
      </c>
    </row>
    <row r="1503" spans="1:33" x14ac:dyDescent="0.25">
      <c r="A1503" t="s">
        <v>2865</v>
      </c>
      <c r="B1503" t="s">
        <v>2870</v>
      </c>
      <c r="C1503" t="s">
        <v>2867</v>
      </c>
      <c r="D1503" t="s">
        <v>113</v>
      </c>
      <c r="E1503" t="s">
        <v>2192</v>
      </c>
      <c r="F1503">
        <v>1760</v>
      </c>
      <c r="G1503">
        <v>1180</v>
      </c>
      <c r="H1503" t="s">
        <v>2270</v>
      </c>
      <c r="I1503" t="s">
        <v>80</v>
      </c>
      <c r="J1503" t="s">
        <v>2868</v>
      </c>
      <c r="K1503" t="s">
        <v>38</v>
      </c>
      <c r="L1503" t="s">
        <v>38</v>
      </c>
      <c r="M1503" t="s">
        <v>38</v>
      </c>
      <c r="N1503" t="s">
        <v>38</v>
      </c>
      <c r="O1503" t="s">
        <v>41</v>
      </c>
      <c r="P1503" t="s">
        <v>42</v>
      </c>
      <c r="Q1503" t="s">
        <v>124</v>
      </c>
      <c r="R1503" t="s">
        <v>89</v>
      </c>
      <c r="S1503" t="s">
        <v>153</v>
      </c>
      <c r="T1503" t="s">
        <v>89</v>
      </c>
      <c r="U1503" t="s">
        <v>301</v>
      </c>
      <c r="V1503" t="s">
        <v>137</v>
      </c>
      <c r="W1503" t="s">
        <v>92</v>
      </c>
      <c r="X1503" t="s">
        <v>302</v>
      </c>
      <c r="Y1503" t="s">
        <v>1650</v>
      </c>
      <c r="Z1503" t="s">
        <v>42</v>
      </c>
      <c r="AA1503" t="s">
        <v>812</v>
      </c>
      <c r="AB1503" t="s">
        <v>38</v>
      </c>
      <c r="AC1503" t="s">
        <v>153</v>
      </c>
      <c r="AD1503" t="s">
        <v>48</v>
      </c>
      <c r="AG1503" t="str">
        <f>IF(AD1503="United States", IFERROR(INDEX(Sheet2!$C:$C, MATCH(AE1503&amp;AF1503, Sheet2!$E:$E, 0)) &amp; ", " &amp; INDEX(Sheet2!$D:$D, MATCH(AE1503&amp;AF1503, Sheet2!$E:$E, 0)), ""), "-")</f>
        <v/>
      </c>
    </row>
    <row r="1504" spans="1:33" x14ac:dyDescent="0.25">
      <c r="A1504" t="s">
        <v>2865</v>
      </c>
      <c r="B1504" t="s">
        <v>2956</v>
      </c>
      <c r="C1504" t="s">
        <v>2872</v>
      </c>
      <c r="D1504" t="s">
        <v>803</v>
      </c>
      <c r="E1504" t="s">
        <v>2957</v>
      </c>
      <c r="F1504">
        <v>1763</v>
      </c>
      <c r="G1504">
        <v>552</v>
      </c>
      <c r="H1504" t="s">
        <v>381</v>
      </c>
      <c r="I1504" t="s">
        <v>39</v>
      </c>
      <c r="J1504" t="s">
        <v>2868</v>
      </c>
      <c r="K1504" t="s">
        <v>38</v>
      </c>
      <c r="L1504" t="s">
        <v>38</v>
      </c>
      <c r="M1504" t="s">
        <v>38</v>
      </c>
      <c r="N1504" t="s">
        <v>38</v>
      </c>
      <c r="O1504" t="s">
        <v>74</v>
      </c>
      <c r="P1504" t="s">
        <v>42</v>
      </c>
      <c r="Q1504" t="s">
        <v>43</v>
      </c>
      <c r="R1504" t="s">
        <v>89</v>
      </c>
      <c r="S1504" t="s">
        <v>45</v>
      </c>
      <c r="T1504" t="s">
        <v>89</v>
      </c>
      <c r="U1504" t="s">
        <v>301</v>
      </c>
      <c r="V1504" t="s">
        <v>137</v>
      </c>
      <c r="W1504" t="s">
        <v>92</v>
      </c>
      <c r="X1504" t="s">
        <v>302</v>
      </c>
      <c r="Y1504" t="s">
        <v>2947</v>
      </c>
      <c r="Z1504" t="s">
        <v>42</v>
      </c>
      <c r="AA1504" t="s">
        <v>1135</v>
      </c>
      <c r="AB1504" t="s">
        <v>38</v>
      </c>
      <c r="AC1504" t="s">
        <v>45</v>
      </c>
      <c r="AD1504" t="s">
        <v>48</v>
      </c>
      <c r="AG1504" t="str">
        <f>IF(AD1504="United States", IFERROR(INDEX(Sheet2!$C:$C, MATCH(AE1504&amp;AF1504, Sheet2!$E:$E, 0)) &amp; ", " &amp; INDEX(Sheet2!$D:$D, MATCH(AE1504&amp;AF1504, Sheet2!$E:$E, 0)), ""), "-")</f>
        <v/>
      </c>
    </row>
    <row r="1505" spans="1:33" x14ac:dyDescent="0.25">
      <c r="A1505" t="s">
        <v>2865</v>
      </c>
      <c r="B1505" t="s">
        <v>2958</v>
      </c>
      <c r="C1505" t="s">
        <v>2872</v>
      </c>
      <c r="D1505" t="s">
        <v>2959</v>
      </c>
      <c r="E1505" t="s">
        <v>38</v>
      </c>
      <c r="F1505">
        <v>1713</v>
      </c>
      <c r="G1505">
        <v>553</v>
      </c>
      <c r="H1505" t="s">
        <v>38</v>
      </c>
      <c r="I1505" t="s">
        <v>39</v>
      </c>
      <c r="J1505" t="s">
        <v>2868</v>
      </c>
      <c r="K1505" t="s">
        <v>38</v>
      </c>
      <c r="L1505" t="s">
        <v>38</v>
      </c>
      <c r="M1505" t="s">
        <v>38</v>
      </c>
      <c r="N1505" t="s">
        <v>38</v>
      </c>
      <c r="O1505" t="s">
        <v>41</v>
      </c>
      <c r="P1505" t="s">
        <v>42</v>
      </c>
      <c r="Q1505" t="s">
        <v>43</v>
      </c>
      <c r="R1505" t="s">
        <v>1135</v>
      </c>
      <c r="S1505" t="s">
        <v>45</v>
      </c>
      <c r="T1505" t="s">
        <v>38</v>
      </c>
      <c r="U1505" t="s">
        <v>38</v>
      </c>
      <c r="V1505" t="s">
        <v>137</v>
      </c>
      <c r="W1505" t="s">
        <v>38</v>
      </c>
      <c r="X1505" t="s">
        <v>38</v>
      </c>
      <c r="Y1505" t="s">
        <v>2947</v>
      </c>
      <c r="Z1505" t="s">
        <v>42</v>
      </c>
      <c r="AA1505" t="s">
        <v>1135</v>
      </c>
      <c r="AB1505" t="s">
        <v>38</v>
      </c>
      <c r="AC1505" t="s">
        <v>45</v>
      </c>
      <c r="AD1505" t="s">
        <v>48</v>
      </c>
      <c r="AG1505" t="str">
        <f>IF(AD1505="United States", IFERROR(INDEX(Sheet2!$C:$C, MATCH(AE1505&amp;AF1505, Sheet2!$E:$E, 0)) &amp; ", " &amp; INDEX(Sheet2!$D:$D, MATCH(AE1505&amp;AF1505, Sheet2!$E:$E, 0)), ""), "-")</f>
        <v/>
      </c>
    </row>
    <row r="1506" spans="1:33" x14ac:dyDescent="0.25">
      <c r="A1506" t="s">
        <v>2865</v>
      </c>
      <c r="B1506" t="s">
        <v>2960</v>
      </c>
      <c r="C1506" t="s">
        <v>2872</v>
      </c>
      <c r="D1506" t="s">
        <v>824</v>
      </c>
      <c r="E1506" t="s">
        <v>1141</v>
      </c>
      <c r="F1506">
        <v>1759</v>
      </c>
      <c r="G1506">
        <v>298</v>
      </c>
      <c r="H1506" t="s">
        <v>435</v>
      </c>
      <c r="I1506" t="s">
        <v>39</v>
      </c>
      <c r="J1506" t="s">
        <v>2868</v>
      </c>
      <c r="K1506" t="s">
        <v>38</v>
      </c>
      <c r="L1506" t="s">
        <v>38</v>
      </c>
      <c r="M1506" t="s">
        <v>38</v>
      </c>
      <c r="N1506" t="s">
        <v>38</v>
      </c>
      <c r="O1506" t="s">
        <v>41</v>
      </c>
      <c r="P1506" t="s">
        <v>42</v>
      </c>
      <c r="Q1506" t="s">
        <v>43</v>
      </c>
      <c r="R1506" t="s">
        <v>89</v>
      </c>
      <c r="S1506" t="s">
        <v>45</v>
      </c>
      <c r="T1506" t="s">
        <v>89</v>
      </c>
      <c r="U1506" t="s">
        <v>301</v>
      </c>
      <c r="V1506" t="s">
        <v>137</v>
      </c>
      <c r="W1506" t="s">
        <v>92</v>
      </c>
      <c r="X1506" t="s">
        <v>302</v>
      </c>
      <c r="Y1506" t="s">
        <v>2941</v>
      </c>
      <c r="Z1506" t="s">
        <v>42</v>
      </c>
      <c r="AA1506" t="s">
        <v>38</v>
      </c>
      <c r="AB1506" t="s">
        <v>38</v>
      </c>
      <c r="AC1506" t="s">
        <v>45</v>
      </c>
      <c r="AD1506" t="s">
        <v>48</v>
      </c>
      <c r="AG1506" t="str">
        <f>IF(AD1506="United States", IFERROR(INDEX(Sheet2!$C:$C, MATCH(AE1506&amp;AF1506, Sheet2!$E:$E, 0)) &amp; ", " &amp; INDEX(Sheet2!$D:$D, MATCH(AE1506&amp;AF1506, Sheet2!$E:$E, 0)), ""), "-")</f>
        <v/>
      </c>
    </row>
    <row r="1507" spans="1:33" x14ac:dyDescent="0.25">
      <c r="A1507" t="s">
        <v>2865</v>
      </c>
      <c r="B1507" t="s">
        <v>2961</v>
      </c>
      <c r="C1507" t="s">
        <v>2872</v>
      </c>
      <c r="D1507" t="s">
        <v>245</v>
      </c>
      <c r="E1507" t="s">
        <v>2962</v>
      </c>
      <c r="F1507">
        <v>1764</v>
      </c>
      <c r="G1507">
        <v>555</v>
      </c>
      <c r="H1507" t="s">
        <v>381</v>
      </c>
      <c r="I1507" t="s">
        <v>39</v>
      </c>
      <c r="J1507" t="s">
        <v>2868</v>
      </c>
      <c r="K1507" t="s">
        <v>38</v>
      </c>
      <c r="L1507" t="s">
        <v>38</v>
      </c>
      <c r="M1507" t="s">
        <v>38</v>
      </c>
      <c r="N1507" t="s">
        <v>38</v>
      </c>
      <c r="O1507" t="s">
        <v>57</v>
      </c>
      <c r="P1507" t="s">
        <v>42</v>
      </c>
      <c r="Q1507" t="s">
        <v>43</v>
      </c>
      <c r="R1507" t="s">
        <v>89</v>
      </c>
      <c r="S1507" t="s">
        <v>153</v>
      </c>
      <c r="T1507" t="s">
        <v>89</v>
      </c>
      <c r="U1507" t="s">
        <v>301</v>
      </c>
      <c r="V1507" t="s">
        <v>137</v>
      </c>
      <c r="W1507" t="s">
        <v>92</v>
      </c>
      <c r="X1507" t="s">
        <v>302</v>
      </c>
      <c r="Y1507" t="s">
        <v>2963</v>
      </c>
      <c r="Z1507" t="s">
        <v>42</v>
      </c>
      <c r="AA1507" t="s">
        <v>155</v>
      </c>
      <c r="AB1507" t="s">
        <v>38</v>
      </c>
      <c r="AC1507" t="s">
        <v>153</v>
      </c>
      <c r="AD1507" t="s">
        <v>48</v>
      </c>
      <c r="AG1507" t="str">
        <f>IF(AD1507="United States", IFERROR(INDEX(Sheet2!$C:$C, MATCH(AE1507&amp;AF1507, Sheet2!$E:$E, 0)) &amp; ", " &amp; INDEX(Sheet2!$D:$D, MATCH(AE1507&amp;AF1507, Sheet2!$E:$E, 0)), ""), "-")</f>
        <v/>
      </c>
    </row>
    <row r="1508" spans="1:33" x14ac:dyDescent="0.25">
      <c r="A1508" t="s">
        <v>2865</v>
      </c>
      <c r="B1508" t="s">
        <v>2964</v>
      </c>
      <c r="C1508" t="s">
        <v>2872</v>
      </c>
      <c r="D1508" t="s">
        <v>980</v>
      </c>
      <c r="E1508" t="s">
        <v>2965</v>
      </c>
      <c r="F1508">
        <v>1764</v>
      </c>
      <c r="G1508">
        <v>556</v>
      </c>
      <c r="H1508" t="s">
        <v>381</v>
      </c>
      <c r="I1508" t="s">
        <v>39</v>
      </c>
      <c r="J1508" t="s">
        <v>2868</v>
      </c>
      <c r="K1508" t="s">
        <v>38</v>
      </c>
      <c r="L1508" t="s">
        <v>38</v>
      </c>
      <c r="M1508" t="s">
        <v>38</v>
      </c>
      <c r="N1508" t="s">
        <v>38</v>
      </c>
      <c r="O1508" t="s">
        <v>57</v>
      </c>
      <c r="P1508" t="s">
        <v>42</v>
      </c>
      <c r="Q1508" t="s">
        <v>43</v>
      </c>
      <c r="R1508" t="s">
        <v>89</v>
      </c>
      <c r="S1508" t="s">
        <v>153</v>
      </c>
      <c r="T1508" t="s">
        <v>89</v>
      </c>
      <c r="U1508" t="s">
        <v>301</v>
      </c>
      <c r="V1508" t="s">
        <v>137</v>
      </c>
      <c r="W1508" t="s">
        <v>92</v>
      </c>
      <c r="X1508" t="s">
        <v>302</v>
      </c>
      <c r="Y1508" t="s">
        <v>2937</v>
      </c>
      <c r="Z1508" t="s">
        <v>42</v>
      </c>
      <c r="AA1508" t="s">
        <v>155</v>
      </c>
      <c r="AB1508" t="s">
        <v>38</v>
      </c>
      <c r="AC1508" t="s">
        <v>153</v>
      </c>
      <c r="AD1508" t="s">
        <v>48</v>
      </c>
      <c r="AG1508" t="str">
        <f>IF(AD1508="United States", IFERROR(INDEX(Sheet2!$C:$C, MATCH(AE1508&amp;AF1508, Sheet2!$E:$E, 0)) &amp; ", " &amp; INDEX(Sheet2!$D:$D, MATCH(AE1508&amp;AF1508, Sheet2!$E:$E, 0)), ""), "-")</f>
        <v/>
      </c>
    </row>
    <row r="1509" spans="1:33" x14ac:dyDescent="0.25">
      <c r="A1509" t="s">
        <v>2966</v>
      </c>
      <c r="B1509" t="s">
        <v>2967</v>
      </c>
      <c r="C1509" t="s">
        <v>2968</v>
      </c>
      <c r="D1509" t="s">
        <v>1238</v>
      </c>
      <c r="E1509" t="s">
        <v>2836</v>
      </c>
      <c r="F1509">
        <v>1753</v>
      </c>
      <c r="G1509">
        <v>1713</v>
      </c>
      <c r="H1509" t="s">
        <v>38</v>
      </c>
      <c r="I1509" t="s">
        <v>80</v>
      </c>
      <c r="J1509" t="s">
        <v>2969</v>
      </c>
      <c r="K1509" t="s">
        <v>38</v>
      </c>
      <c r="L1509" t="s">
        <v>38</v>
      </c>
      <c r="M1509" t="s">
        <v>38</v>
      </c>
      <c r="N1509" t="s">
        <v>38</v>
      </c>
      <c r="O1509" t="s">
        <v>57</v>
      </c>
      <c r="P1509" t="s">
        <v>42</v>
      </c>
      <c r="Q1509" t="s">
        <v>124</v>
      </c>
      <c r="R1509" t="s">
        <v>2715</v>
      </c>
      <c r="S1509" t="s">
        <v>153</v>
      </c>
      <c r="T1509" t="s">
        <v>38</v>
      </c>
      <c r="U1509" t="s">
        <v>38</v>
      </c>
      <c r="V1509" t="s">
        <v>137</v>
      </c>
      <c r="W1509" t="s">
        <v>38</v>
      </c>
      <c r="X1509" t="s">
        <v>38</v>
      </c>
      <c r="Y1509" t="s">
        <v>38</v>
      </c>
      <c r="Z1509" t="s">
        <v>42</v>
      </c>
      <c r="AA1509" t="s">
        <v>2715</v>
      </c>
      <c r="AB1509" t="s">
        <v>38</v>
      </c>
      <c r="AC1509" t="s">
        <v>153</v>
      </c>
      <c r="AD1509" t="s">
        <v>48</v>
      </c>
      <c r="AG1509" t="str">
        <f>IF(AD1509="United States", IFERROR(INDEX(Sheet2!$C:$C, MATCH(AE1509&amp;AF1509, Sheet2!$E:$E, 0)) &amp; ", " &amp; INDEX(Sheet2!$D:$D, MATCH(AE1509&amp;AF1509, Sheet2!$E:$E, 0)), ""), "-")</f>
        <v/>
      </c>
    </row>
    <row r="1510" spans="1:33" x14ac:dyDescent="0.25">
      <c r="A1510" t="s">
        <v>2966</v>
      </c>
      <c r="B1510" t="s">
        <v>2970</v>
      </c>
      <c r="C1510" t="s">
        <v>2968</v>
      </c>
      <c r="D1510" t="s">
        <v>2971</v>
      </c>
      <c r="E1510" t="s">
        <v>767</v>
      </c>
      <c r="F1510">
        <v>1753</v>
      </c>
      <c r="G1510">
        <v>1712</v>
      </c>
      <c r="H1510" t="s">
        <v>38</v>
      </c>
      <c r="I1510" t="s">
        <v>80</v>
      </c>
      <c r="J1510" t="s">
        <v>2969</v>
      </c>
      <c r="K1510" t="s">
        <v>38</v>
      </c>
      <c r="L1510" t="s">
        <v>38</v>
      </c>
      <c r="M1510" t="s">
        <v>38</v>
      </c>
      <c r="N1510" t="s">
        <v>38</v>
      </c>
      <c r="O1510" t="s">
        <v>74</v>
      </c>
      <c r="P1510" t="s">
        <v>42</v>
      </c>
      <c r="Q1510" t="s">
        <v>43</v>
      </c>
      <c r="R1510" t="s">
        <v>247</v>
      </c>
      <c r="S1510" t="s">
        <v>45</v>
      </c>
      <c r="T1510" t="s">
        <v>38</v>
      </c>
      <c r="U1510" t="s">
        <v>38</v>
      </c>
      <c r="V1510" t="s">
        <v>137</v>
      </c>
      <c r="W1510" t="s">
        <v>38</v>
      </c>
      <c r="X1510" t="s">
        <v>38</v>
      </c>
      <c r="Y1510" t="s">
        <v>38</v>
      </c>
      <c r="Z1510" t="s">
        <v>42</v>
      </c>
      <c r="AA1510" t="s">
        <v>247</v>
      </c>
      <c r="AB1510" t="s">
        <v>38</v>
      </c>
      <c r="AC1510" t="s">
        <v>45</v>
      </c>
      <c r="AD1510" t="s">
        <v>48</v>
      </c>
      <c r="AG1510" t="str">
        <f>IF(AD1510="United States", IFERROR(INDEX(Sheet2!$C:$C, MATCH(AE1510&amp;AF1510, Sheet2!$E:$E, 0)) &amp; ", " &amp; INDEX(Sheet2!$D:$D, MATCH(AE1510&amp;AF1510, Sheet2!$E:$E, 0)), ""), "-")</f>
        <v/>
      </c>
    </row>
    <row r="1511" spans="1:33" x14ac:dyDescent="0.25">
      <c r="A1511" t="s">
        <v>2966</v>
      </c>
      <c r="B1511" t="s">
        <v>2972</v>
      </c>
      <c r="C1511" t="s">
        <v>2968</v>
      </c>
      <c r="D1511" t="s">
        <v>887</v>
      </c>
      <c r="E1511" t="s">
        <v>767</v>
      </c>
      <c r="F1511">
        <v>1744</v>
      </c>
      <c r="G1511">
        <v>1711</v>
      </c>
      <c r="H1511" t="s">
        <v>38</v>
      </c>
      <c r="I1511" t="s">
        <v>80</v>
      </c>
      <c r="J1511" t="s">
        <v>2969</v>
      </c>
      <c r="K1511" t="s">
        <v>38</v>
      </c>
      <c r="L1511" t="s">
        <v>38</v>
      </c>
      <c r="M1511" t="s">
        <v>38</v>
      </c>
      <c r="N1511" t="s">
        <v>38</v>
      </c>
      <c r="O1511" t="s">
        <v>41</v>
      </c>
      <c r="P1511" t="s">
        <v>42</v>
      </c>
      <c r="Q1511" t="s">
        <v>43</v>
      </c>
      <c r="R1511" t="s">
        <v>247</v>
      </c>
      <c r="S1511" t="s">
        <v>45</v>
      </c>
      <c r="T1511" t="s">
        <v>38</v>
      </c>
      <c r="U1511" t="s">
        <v>38</v>
      </c>
      <c r="V1511" t="s">
        <v>137</v>
      </c>
      <c r="W1511" t="s">
        <v>38</v>
      </c>
      <c r="X1511" t="s">
        <v>38</v>
      </c>
      <c r="Y1511" t="s">
        <v>38</v>
      </c>
      <c r="Z1511" t="s">
        <v>42</v>
      </c>
      <c r="AA1511" t="s">
        <v>247</v>
      </c>
      <c r="AB1511" t="s">
        <v>38</v>
      </c>
      <c r="AC1511" t="s">
        <v>45</v>
      </c>
      <c r="AD1511" t="s">
        <v>48</v>
      </c>
      <c r="AG1511" t="str">
        <f>IF(AD1511="United States", IFERROR(INDEX(Sheet2!$C:$C, MATCH(AE1511&amp;AF1511, Sheet2!$E:$E, 0)) &amp; ", " &amp; INDEX(Sheet2!$D:$D, MATCH(AE1511&amp;AF1511, Sheet2!$E:$E, 0)), ""), "-")</f>
        <v/>
      </c>
    </row>
    <row r="1512" spans="1:33" x14ac:dyDescent="0.25">
      <c r="A1512" t="s">
        <v>2966</v>
      </c>
      <c r="B1512" t="s">
        <v>2973</v>
      </c>
      <c r="C1512" t="s">
        <v>2968</v>
      </c>
      <c r="D1512" t="s">
        <v>132</v>
      </c>
      <c r="E1512" t="s">
        <v>2974</v>
      </c>
      <c r="F1512">
        <v>1735</v>
      </c>
      <c r="G1512">
        <v>1710</v>
      </c>
      <c r="H1512" t="s">
        <v>2975</v>
      </c>
      <c r="I1512" t="s">
        <v>80</v>
      </c>
      <c r="J1512" t="s">
        <v>2969</v>
      </c>
      <c r="K1512" t="s">
        <v>38</v>
      </c>
      <c r="L1512" t="s">
        <v>38</v>
      </c>
      <c r="M1512" t="s">
        <v>38</v>
      </c>
      <c r="N1512" t="s">
        <v>38</v>
      </c>
      <c r="O1512" t="s">
        <v>54</v>
      </c>
      <c r="P1512" t="s">
        <v>42</v>
      </c>
      <c r="Q1512" t="s">
        <v>43</v>
      </c>
      <c r="R1512" t="s">
        <v>2452</v>
      </c>
      <c r="S1512" t="s">
        <v>89</v>
      </c>
      <c r="T1512" t="s">
        <v>89</v>
      </c>
      <c r="U1512" t="s">
        <v>2453</v>
      </c>
      <c r="V1512" t="s">
        <v>137</v>
      </c>
      <c r="W1512" t="s">
        <v>92</v>
      </c>
      <c r="X1512" t="s">
        <v>38</v>
      </c>
      <c r="Y1512" t="s">
        <v>38</v>
      </c>
      <c r="Z1512" t="s">
        <v>42</v>
      </c>
      <c r="AA1512" t="s">
        <v>38</v>
      </c>
      <c r="AB1512" t="s">
        <v>38</v>
      </c>
      <c r="AC1512" t="s">
        <v>89</v>
      </c>
      <c r="AD1512" t="s">
        <v>48</v>
      </c>
      <c r="AG1512" t="str">
        <f>IF(AD1512="United States", IFERROR(INDEX(Sheet2!$C:$C, MATCH(AE1512&amp;AF1512, Sheet2!$E:$E, 0)) &amp; ", " &amp; INDEX(Sheet2!$D:$D, MATCH(AE1512&amp;AF1512, Sheet2!$E:$E, 0)), ""), "-")</f>
        <v/>
      </c>
    </row>
    <row r="1513" spans="1:33" x14ac:dyDescent="0.25">
      <c r="A1513" t="s">
        <v>2966</v>
      </c>
      <c r="B1513" t="s">
        <v>2976</v>
      </c>
      <c r="C1513" t="s">
        <v>2968</v>
      </c>
      <c r="D1513" t="s">
        <v>226</v>
      </c>
      <c r="E1513" t="s">
        <v>2361</v>
      </c>
      <c r="F1513">
        <v>1738</v>
      </c>
      <c r="G1513">
        <v>1709</v>
      </c>
      <c r="H1513" t="s">
        <v>2977</v>
      </c>
      <c r="I1513" t="s">
        <v>80</v>
      </c>
      <c r="J1513" t="s">
        <v>2969</v>
      </c>
      <c r="K1513" t="s">
        <v>38</v>
      </c>
      <c r="L1513" t="s">
        <v>38</v>
      </c>
      <c r="M1513" t="s">
        <v>38</v>
      </c>
      <c r="N1513" t="s">
        <v>38</v>
      </c>
      <c r="O1513" t="s">
        <v>41</v>
      </c>
      <c r="P1513" t="s">
        <v>42</v>
      </c>
      <c r="Q1513" t="s">
        <v>43</v>
      </c>
      <c r="R1513" t="s">
        <v>2452</v>
      </c>
      <c r="S1513" t="s">
        <v>201</v>
      </c>
      <c r="T1513" t="s">
        <v>89</v>
      </c>
      <c r="U1513" t="s">
        <v>2453</v>
      </c>
      <c r="V1513" t="s">
        <v>137</v>
      </c>
      <c r="W1513" t="s">
        <v>92</v>
      </c>
      <c r="X1513" t="s">
        <v>38</v>
      </c>
      <c r="Y1513" t="s">
        <v>38</v>
      </c>
      <c r="Z1513" t="s">
        <v>42</v>
      </c>
      <c r="AA1513" t="s">
        <v>666</v>
      </c>
      <c r="AB1513" t="s">
        <v>38</v>
      </c>
      <c r="AC1513" t="s">
        <v>201</v>
      </c>
      <c r="AD1513" t="s">
        <v>48</v>
      </c>
      <c r="AG1513" t="str">
        <f>IF(AD1513="United States", IFERROR(INDEX(Sheet2!$C:$C, MATCH(AE1513&amp;AF1513, Sheet2!$E:$E, 0)) &amp; ", " &amp; INDEX(Sheet2!$D:$D, MATCH(AE1513&amp;AF1513, Sheet2!$E:$E, 0)), ""), "-")</f>
        <v/>
      </c>
    </row>
    <row r="1514" spans="1:33" x14ac:dyDescent="0.25">
      <c r="A1514" t="s">
        <v>2966</v>
      </c>
      <c r="B1514" t="s">
        <v>2978</v>
      </c>
      <c r="C1514" t="s">
        <v>2968</v>
      </c>
      <c r="D1514" t="s">
        <v>334</v>
      </c>
      <c r="E1514" t="s">
        <v>246</v>
      </c>
      <c r="F1514">
        <v>1723</v>
      </c>
      <c r="G1514">
        <v>1707</v>
      </c>
      <c r="H1514" t="s">
        <v>38</v>
      </c>
      <c r="I1514" t="s">
        <v>80</v>
      </c>
      <c r="J1514" t="s">
        <v>2969</v>
      </c>
      <c r="K1514" t="s">
        <v>615</v>
      </c>
      <c r="L1514" t="s">
        <v>2979</v>
      </c>
      <c r="M1514" t="s">
        <v>38</v>
      </c>
      <c r="N1514" t="s">
        <v>38</v>
      </c>
      <c r="O1514" t="s">
        <v>41</v>
      </c>
      <c r="P1514" t="s">
        <v>42</v>
      </c>
      <c r="Q1514" t="s">
        <v>43</v>
      </c>
      <c r="R1514" t="s">
        <v>2980</v>
      </c>
      <c r="S1514" t="s">
        <v>45</v>
      </c>
      <c r="T1514" t="s">
        <v>38</v>
      </c>
      <c r="U1514" t="s">
        <v>38</v>
      </c>
      <c r="V1514" t="s">
        <v>137</v>
      </c>
      <c r="W1514" t="s">
        <v>38</v>
      </c>
      <c r="X1514" t="s">
        <v>38</v>
      </c>
      <c r="Y1514" t="s">
        <v>38</v>
      </c>
      <c r="Z1514" t="s">
        <v>42</v>
      </c>
      <c r="AA1514" t="s">
        <v>169</v>
      </c>
      <c r="AB1514" t="s">
        <v>38</v>
      </c>
      <c r="AC1514" t="s">
        <v>45</v>
      </c>
      <c r="AD1514" t="s">
        <v>48</v>
      </c>
      <c r="AG1514" t="str">
        <f>IF(AD1514="United States", IFERROR(INDEX(Sheet2!$C:$C, MATCH(AE1514&amp;AF1514, Sheet2!$E:$E, 0)) &amp; ", " &amp; INDEX(Sheet2!$D:$D, MATCH(AE1514&amp;AF1514, Sheet2!$E:$E, 0)), ""), "-")</f>
        <v/>
      </c>
    </row>
    <row r="1515" spans="1:33" x14ac:dyDescent="0.25">
      <c r="A1515" t="s">
        <v>2966</v>
      </c>
      <c r="B1515" t="s">
        <v>2981</v>
      </c>
      <c r="C1515" t="s">
        <v>2968</v>
      </c>
      <c r="D1515" t="s">
        <v>1413</v>
      </c>
      <c r="E1515" t="s">
        <v>2982</v>
      </c>
      <c r="F1515">
        <v>1760</v>
      </c>
      <c r="G1515">
        <v>1714</v>
      </c>
      <c r="H1515" t="s">
        <v>38</v>
      </c>
      <c r="I1515" t="s">
        <v>80</v>
      </c>
      <c r="J1515" t="s">
        <v>2969</v>
      </c>
      <c r="K1515" t="s">
        <v>38</v>
      </c>
      <c r="L1515" t="s">
        <v>38</v>
      </c>
      <c r="M1515" t="s">
        <v>38</v>
      </c>
      <c r="N1515" t="s">
        <v>38</v>
      </c>
      <c r="O1515" t="s">
        <v>74</v>
      </c>
      <c r="P1515" t="s">
        <v>42</v>
      </c>
      <c r="Q1515" t="s">
        <v>43</v>
      </c>
      <c r="R1515" t="s">
        <v>2983</v>
      </c>
      <c r="S1515" t="s">
        <v>45</v>
      </c>
      <c r="T1515" t="s">
        <v>38</v>
      </c>
      <c r="U1515" t="s">
        <v>38</v>
      </c>
      <c r="V1515" t="s">
        <v>137</v>
      </c>
      <c r="W1515" t="s">
        <v>38</v>
      </c>
      <c r="X1515" t="s">
        <v>38</v>
      </c>
      <c r="Y1515" t="s">
        <v>38</v>
      </c>
      <c r="Z1515" t="s">
        <v>42</v>
      </c>
      <c r="AA1515" t="s">
        <v>169</v>
      </c>
      <c r="AB1515" t="s">
        <v>38</v>
      </c>
      <c r="AC1515" t="s">
        <v>45</v>
      </c>
      <c r="AD1515" t="s">
        <v>48</v>
      </c>
      <c r="AG1515" t="str">
        <f>IF(AD1515="United States", IFERROR(INDEX(Sheet2!$C:$C, MATCH(AE1515&amp;AF1515, Sheet2!$E:$E, 0)) &amp; ", " &amp; INDEX(Sheet2!$D:$D, MATCH(AE1515&amp;AF1515, Sheet2!$E:$E, 0)), ""), "-")</f>
        <v/>
      </c>
    </row>
    <row r="1516" spans="1:33" x14ac:dyDescent="0.25">
      <c r="A1516" t="s">
        <v>2966</v>
      </c>
      <c r="B1516" t="s">
        <v>2984</v>
      </c>
      <c r="C1516" t="s">
        <v>2968</v>
      </c>
      <c r="D1516" t="s">
        <v>1638</v>
      </c>
      <c r="E1516" t="s">
        <v>2985</v>
      </c>
      <c r="F1516">
        <v>1743</v>
      </c>
      <c r="G1516">
        <v>1716</v>
      </c>
      <c r="H1516" t="s">
        <v>2986</v>
      </c>
      <c r="I1516" t="s">
        <v>80</v>
      </c>
      <c r="J1516" t="s">
        <v>2969</v>
      </c>
      <c r="K1516" t="s">
        <v>38</v>
      </c>
      <c r="L1516" t="s">
        <v>38</v>
      </c>
      <c r="M1516" t="s">
        <v>38</v>
      </c>
      <c r="N1516" t="s">
        <v>38</v>
      </c>
      <c r="O1516" t="s">
        <v>41</v>
      </c>
      <c r="P1516" t="s">
        <v>42</v>
      </c>
      <c r="Q1516" t="s">
        <v>124</v>
      </c>
      <c r="R1516" t="s">
        <v>2452</v>
      </c>
      <c r="S1516" t="s">
        <v>153</v>
      </c>
      <c r="T1516" t="s">
        <v>89</v>
      </c>
      <c r="U1516" t="s">
        <v>2453</v>
      </c>
      <c r="V1516" t="s">
        <v>137</v>
      </c>
      <c r="W1516" t="s">
        <v>92</v>
      </c>
      <c r="X1516" t="s">
        <v>38</v>
      </c>
      <c r="Y1516" t="s">
        <v>38</v>
      </c>
      <c r="Z1516" t="s">
        <v>42</v>
      </c>
      <c r="AA1516" t="s">
        <v>2715</v>
      </c>
      <c r="AB1516" t="s">
        <v>38</v>
      </c>
      <c r="AC1516" t="s">
        <v>153</v>
      </c>
      <c r="AD1516" t="s">
        <v>48</v>
      </c>
      <c r="AG1516" t="str">
        <f>IF(AD1516="United States", IFERROR(INDEX(Sheet2!$C:$C, MATCH(AE1516&amp;AF1516, Sheet2!$E:$E, 0)) &amp; ", " &amp; INDEX(Sheet2!$D:$D, MATCH(AE1516&amp;AF1516, Sheet2!$E:$E, 0)), ""), "-")</f>
        <v/>
      </c>
    </row>
    <row r="1517" spans="1:33" x14ac:dyDescent="0.25">
      <c r="A1517" t="s">
        <v>2966</v>
      </c>
      <c r="B1517" t="s">
        <v>2987</v>
      </c>
      <c r="C1517" t="s">
        <v>2968</v>
      </c>
      <c r="D1517" t="s">
        <v>463</v>
      </c>
      <c r="E1517" t="s">
        <v>633</v>
      </c>
      <c r="F1517">
        <v>1753</v>
      </c>
      <c r="G1517">
        <v>1715</v>
      </c>
      <c r="H1517" t="s">
        <v>38</v>
      </c>
      <c r="I1517" t="s">
        <v>80</v>
      </c>
      <c r="J1517" t="s">
        <v>2969</v>
      </c>
      <c r="K1517" t="s">
        <v>38</v>
      </c>
      <c r="L1517" t="s">
        <v>38</v>
      </c>
      <c r="M1517" t="s">
        <v>38</v>
      </c>
      <c r="N1517" t="s">
        <v>38</v>
      </c>
      <c r="O1517" t="s">
        <v>41</v>
      </c>
      <c r="P1517" t="s">
        <v>42</v>
      </c>
      <c r="Q1517" t="s">
        <v>43</v>
      </c>
      <c r="R1517" t="s">
        <v>169</v>
      </c>
      <c r="S1517" t="s">
        <v>45</v>
      </c>
      <c r="T1517" t="s">
        <v>38</v>
      </c>
      <c r="U1517" t="s">
        <v>38</v>
      </c>
      <c r="V1517" t="s">
        <v>137</v>
      </c>
      <c r="W1517" t="s">
        <v>38</v>
      </c>
      <c r="X1517" t="s">
        <v>38</v>
      </c>
      <c r="Y1517" t="s">
        <v>38</v>
      </c>
      <c r="Z1517" t="s">
        <v>42</v>
      </c>
      <c r="AA1517" t="s">
        <v>169</v>
      </c>
      <c r="AB1517" t="s">
        <v>38</v>
      </c>
      <c r="AC1517" t="s">
        <v>45</v>
      </c>
      <c r="AD1517" t="s">
        <v>48</v>
      </c>
      <c r="AG1517" t="str">
        <f>IF(AD1517="United States", IFERROR(INDEX(Sheet2!$C:$C, MATCH(AE1517&amp;AF1517, Sheet2!$E:$E, 0)) &amp; ", " &amp; INDEX(Sheet2!$D:$D, MATCH(AE1517&amp;AF1517, Sheet2!$E:$E, 0)), ""), "-")</f>
        <v/>
      </c>
    </row>
    <row r="1518" spans="1:33" x14ac:dyDescent="0.25">
      <c r="A1518" t="s">
        <v>2966</v>
      </c>
      <c r="B1518" t="s">
        <v>2988</v>
      </c>
      <c r="C1518" t="s">
        <v>2968</v>
      </c>
      <c r="D1518" t="s">
        <v>359</v>
      </c>
      <c r="E1518" t="s">
        <v>1310</v>
      </c>
      <c r="F1518">
        <v>1769</v>
      </c>
      <c r="G1518">
        <v>1731</v>
      </c>
      <c r="H1518" t="s">
        <v>38</v>
      </c>
      <c r="I1518" t="s">
        <v>80</v>
      </c>
      <c r="J1518" t="s">
        <v>2969</v>
      </c>
      <c r="K1518" t="s">
        <v>38</v>
      </c>
      <c r="L1518" t="s">
        <v>38</v>
      </c>
      <c r="M1518" t="s">
        <v>38</v>
      </c>
      <c r="N1518" t="s">
        <v>38</v>
      </c>
      <c r="O1518" t="s">
        <v>74</v>
      </c>
      <c r="P1518" t="s">
        <v>42</v>
      </c>
      <c r="Q1518" t="s">
        <v>124</v>
      </c>
      <c r="R1518" t="s">
        <v>812</v>
      </c>
      <c r="S1518" t="s">
        <v>45</v>
      </c>
      <c r="T1518" t="s">
        <v>38</v>
      </c>
      <c r="U1518" t="s">
        <v>38</v>
      </c>
      <c r="V1518" t="s">
        <v>137</v>
      </c>
      <c r="W1518" t="s">
        <v>38</v>
      </c>
      <c r="X1518" t="s">
        <v>38</v>
      </c>
      <c r="Y1518" t="s">
        <v>38</v>
      </c>
      <c r="Z1518" t="s">
        <v>42</v>
      </c>
      <c r="AA1518" t="s">
        <v>38</v>
      </c>
      <c r="AB1518" t="s">
        <v>38</v>
      </c>
      <c r="AC1518" t="s">
        <v>45</v>
      </c>
      <c r="AD1518" t="s">
        <v>48</v>
      </c>
      <c r="AG1518" t="str">
        <f>IF(AD1518="United States", IFERROR(INDEX(Sheet2!$C:$C, MATCH(AE1518&amp;AF1518, Sheet2!$E:$E, 0)) &amp; ", " &amp; INDEX(Sheet2!$D:$D, MATCH(AE1518&amp;AF1518, Sheet2!$E:$E, 0)), ""), "-")</f>
        <v/>
      </c>
    </row>
    <row r="1519" spans="1:33" x14ac:dyDescent="0.25">
      <c r="A1519" t="s">
        <v>2966</v>
      </c>
      <c r="B1519" t="s">
        <v>2989</v>
      </c>
      <c r="C1519" t="s">
        <v>2968</v>
      </c>
      <c r="D1519" t="s">
        <v>1230</v>
      </c>
      <c r="E1519" t="s">
        <v>1854</v>
      </c>
      <c r="F1519">
        <v>1760</v>
      </c>
      <c r="G1519">
        <v>1732</v>
      </c>
      <c r="H1519" t="s">
        <v>2977</v>
      </c>
      <c r="I1519" t="s">
        <v>80</v>
      </c>
      <c r="J1519" t="s">
        <v>2969</v>
      </c>
      <c r="K1519" t="s">
        <v>38</v>
      </c>
      <c r="L1519" t="s">
        <v>38</v>
      </c>
      <c r="M1519" t="s">
        <v>38</v>
      </c>
      <c r="N1519" t="s">
        <v>38</v>
      </c>
      <c r="O1519" t="s">
        <v>74</v>
      </c>
      <c r="P1519" t="s">
        <v>42</v>
      </c>
      <c r="Q1519" t="s">
        <v>43</v>
      </c>
      <c r="R1519" t="s">
        <v>2452</v>
      </c>
      <c r="S1519" t="s">
        <v>45</v>
      </c>
      <c r="T1519" t="s">
        <v>89</v>
      </c>
      <c r="U1519" t="s">
        <v>2453</v>
      </c>
      <c r="V1519" t="s">
        <v>137</v>
      </c>
      <c r="W1519" t="s">
        <v>92</v>
      </c>
      <c r="X1519" t="s">
        <v>38</v>
      </c>
      <c r="Y1519" t="s">
        <v>38</v>
      </c>
      <c r="Z1519" t="s">
        <v>42</v>
      </c>
      <c r="AA1519" t="s">
        <v>1137</v>
      </c>
      <c r="AB1519" t="s">
        <v>38</v>
      </c>
      <c r="AC1519" t="s">
        <v>45</v>
      </c>
      <c r="AD1519" t="s">
        <v>48</v>
      </c>
      <c r="AG1519" t="str">
        <f>IF(AD1519="United States", IFERROR(INDEX(Sheet2!$C:$C, MATCH(AE1519&amp;AF1519, Sheet2!$E:$E, 0)) &amp; ", " &amp; INDEX(Sheet2!$D:$D, MATCH(AE1519&amp;AF1519, Sheet2!$E:$E, 0)), ""), "-")</f>
        <v/>
      </c>
    </row>
    <row r="1520" spans="1:33" x14ac:dyDescent="0.25">
      <c r="A1520" t="s">
        <v>2966</v>
      </c>
      <c r="B1520" t="s">
        <v>2990</v>
      </c>
      <c r="C1520" t="s">
        <v>2968</v>
      </c>
      <c r="D1520" t="s">
        <v>2991</v>
      </c>
      <c r="E1520" t="s">
        <v>2992</v>
      </c>
      <c r="F1520">
        <v>1770</v>
      </c>
      <c r="G1520">
        <v>1708</v>
      </c>
      <c r="H1520" t="s">
        <v>38</v>
      </c>
      <c r="I1520" t="s">
        <v>80</v>
      </c>
      <c r="J1520" t="s">
        <v>2969</v>
      </c>
      <c r="K1520" t="s">
        <v>38</v>
      </c>
      <c r="L1520" t="s">
        <v>38</v>
      </c>
      <c r="M1520" t="s">
        <v>38</v>
      </c>
      <c r="N1520" t="s">
        <v>38</v>
      </c>
      <c r="O1520" t="s">
        <v>54</v>
      </c>
      <c r="P1520" t="s">
        <v>42</v>
      </c>
      <c r="Q1520" t="s">
        <v>43</v>
      </c>
      <c r="R1520" t="s">
        <v>2993</v>
      </c>
      <c r="S1520" t="s">
        <v>45</v>
      </c>
      <c r="T1520" t="s">
        <v>38</v>
      </c>
      <c r="U1520" t="s">
        <v>38</v>
      </c>
      <c r="V1520" t="s">
        <v>137</v>
      </c>
      <c r="W1520" t="s">
        <v>38</v>
      </c>
      <c r="X1520" t="s">
        <v>38</v>
      </c>
      <c r="Y1520" t="s">
        <v>38</v>
      </c>
      <c r="Z1520" t="s">
        <v>42</v>
      </c>
      <c r="AA1520" t="s">
        <v>38</v>
      </c>
      <c r="AB1520" t="s">
        <v>38</v>
      </c>
      <c r="AC1520" t="s">
        <v>45</v>
      </c>
      <c r="AD1520" t="s">
        <v>48</v>
      </c>
      <c r="AG1520" t="str">
        <f>IF(AD1520="United States", IFERROR(INDEX(Sheet2!$C:$C, MATCH(AE1520&amp;AF1520, Sheet2!$E:$E, 0)) &amp; ", " &amp; INDEX(Sheet2!$D:$D, MATCH(AE1520&amp;AF1520, Sheet2!$E:$E, 0)), ""), "-")</f>
        <v/>
      </c>
    </row>
    <row r="1521" spans="1:33" x14ac:dyDescent="0.25">
      <c r="A1521" t="s">
        <v>2966</v>
      </c>
      <c r="B1521" t="s">
        <v>2994</v>
      </c>
      <c r="C1521" t="s">
        <v>2968</v>
      </c>
      <c r="D1521" t="s">
        <v>132</v>
      </c>
      <c r="E1521" t="s">
        <v>1854</v>
      </c>
      <c r="F1521">
        <v>1758</v>
      </c>
      <c r="G1521">
        <v>1717</v>
      </c>
      <c r="H1521" t="s">
        <v>2975</v>
      </c>
      <c r="I1521" t="s">
        <v>80</v>
      </c>
      <c r="J1521" t="s">
        <v>2969</v>
      </c>
      <c r="K1521" t="s">
        <v>38</v>
      </c>
      <c r="L1521" t="s">
        <v>38</v>
      </c>
      <c r="M1521" t="s">
        <v>38</v>
      </c>
      <c r="N1521" t="s">
        <v>38</v>
      </c>
      <c r="O1521" t="s">
        <v>41</v>
      </c>
      <c r="P1521" t="s">
        <v>42</v>
      </c>
      <c r="Q1521" t="s">
        <v>43</v>
      </c>
      <c r="R1521" t="s">
        <v>2452</v>
      </c>
      <c r="S1521" t="s">
        <v>45</v>
      </c>
      <c r="T1521" t="s">
        <v>89</v>
      </c>
      <c r="U1521" t="s">
        <v>2453</v>
      </c>
      <c r="V1521" t="s">
        <v>137</v>
      </c>
      <c r="W1521" t="s">
        <v>92</v>
      </c>
      <c r="X1521" t="s">
        <v>38</v>
      </c>
      <c r="Y1521" t="s">
        <v>38</v>
      </c>
      <c r="Z1521" t="s">
        <v>42</v>
      </c>
      <c r="AA1521" t="s">
        <v>247</v>
      </c>
      <c r="AB1521" t="s">
        <v>38</v>
      </c>
      <c r="AC1521" t="s">
        <v>45</v>
      </c>
      <c r="AD1521" t="s">
        <v>48</v>
      </c>
      <c r="AG1521" t="str">
        <f>IF(AD1521="United States", IFERROR(INDEX(Sheet2!$C:$C, MATCH(AE1521&amp;AF1521, Sheet2!$E:$E, 0)) &amp; ", " &amp; INDEX(Sheet2!$D:$D, MATCH(AE1521&amp;AF1521, Sheet2!$E:$E, 0)), ""), "-")</f>
        <v/>
      </c>
    </row>
    <row r="1522" spans="1:33" x14ac:dyDescent="0.25">
      <c r="A1522" t="s">
        <v>2966</v>
      </c>
      <c r="B1522" t="s">
        <v>2995</v>
      </c>
      <c r="C1522" t="s">
        <v>2968</v>
      </c>
      <c r="D1522" t="s">
        <v>2996</v>
      </c>
      <c r="E1522" t="s">
        <v>368</v>
      </c>
      <c r="F1522">
        <v>1760</v>
      </c>
      <c r="G1522">
        <v>1729</v>
      </c>
      <c r="H1522" t="s">
        <v>38</v>
      </c>
      <c r="I1522" t="s">
        <v>80</v>
      </c>
      <c r="J1522" t="s">
        <v>2969</v>
      </c>
      <c r="K1522" t="s">
        <v>38</v>
      </c>
      <c r="L1522" t="s">
        <v>38</v>
      </c>
      <c r="M1522" t="s">
        <v>38</v>
      </c>
      <c r="N1522" t="s">
        <v>38</v>
      </c>
      <c r="O1522" t="s">
        <v>57</v>
      </c>
      <c r="P1522" t="s">
        <v>42</v>
      </c>
      <c r="Q1522" t="s">
        <v>43</v>
      </c>
      <c r="R1522" t="s">
        <v>2997</v>
      </c>
      <c r="S1522" t="s">
        <v>45</v>
      </c>
      <c r="T1522" t="s">
        <v>38</v>
      </c>
      <c r="U1522" t="s">
        <v>38</v>
      </c>
      <c r="V1522" t="s">
        <v>137</v>
      </c>
      <c r="W1522" t="s">
        <v>38</v>
      </c>
      <c r="X1522" t="s">
        <v>38</v>
      </c>
      <c r="Y1522" t="s">
        <v>38</v>
      </c>
      <c r="Z1522" t="s">
        <v>42</v>
      </c>
      <c r="AA1522" t="s">
        <v>38</v>
      </c>
      <c r="AB1522" t="s">
        <v>38</v>
      </c>
      <c r="AC1522" t="s">
        <v>45</v>
      </c>
      <c r="AD1522" t="s">
        <v>48</v>
      </c>
      <c r="AG1522" t="str">
        <f>IF(AD1522="United States", IFERROR(INDEX(Sheet2!$C:$C, MATCH(AE1522&amp;AF1522, Sheet2!$E:$E, 0)) &amp; ", " &amp; INDEX(Sheet2!$D:$D, MATCH(AE1522&amp;AF1522, Sheet2!$E:$E, 0)), ""), "-")</f>
        <v/>
      </c>
    </row>
    <row r="1523" spans="1:33" x14ac:dyDescent="0.25">
      <c r="A1523" t="s">
        <v>2966</v>
      </c>
      <c r="B1523" t="s">
        <v>2998</v>
      </c>
      <c r="C1523" t="s">
        <v>2968</v>
      </c>
      <c r="D1523" t="s">
        <v>650</v>
      </c>
      <c r="E1523" t="s">
        <v>2361</v>
      </c>
      <c r="F1523">
        <v>1748</v>
      </c>
      <c r="G1523">
        <v>1706</v>
      </c>
      <c r="H1523" t="s">
        <v>38</v>
      </c>
      <c r="I1523" t="s">
        <v>80</v>
      </c>
      <c r="J1523" t="s">
        <v>2969</v>
      </c>
      <c r="K1523" t="s">
        <v>38</v>
      </c>
      <c r="L1523" t="s">
        <v>38</v>
      </c>
      <c r="M1523" t="s">
        <v>38</v>
      </c>
      <c r="N1523" t="s">
        <v>38</v>
      </c>
      <c r="O1523" t="s">
        <v>74</v>
      </c>
      <c r="P1523" t="s">
        <v>42</v>
      </c>
      <c r="Q1523" t="s">
        <v>43</v>
      </c>
      <c r="R1523" t="s">
        <v>2999</v>
      </c>
      <c r="S1523" t="s">
        <v>201</v>
      </c>
      <c r="T1523" t="s">
        <v>38</v>
      </c>
      <c r="U1523" t="s">
        <v>38</v>
      </c>
      <c r="V1523" t="s">
        <v>137</v>
      </c>
      <c r="W1523" t="s">
        <v>38</v>
      </c>
      <c r="X1523" t="s">
        <v>38</v>
      </c>
      <c r="Y1523" t="s">
        <v>38</v>
      </c>
      <c r="Z1523" t="s">
        <v>42</v>
      </c>
      <c r="AA1523" t="s">
        <v>666</v>
      </c>
      <c r="AB1523" t="s">
        <v>38</v>
      </c>
      <c r="AC1523" t="s">
        <v>201</v>
      </c>
      <c r="AD1523" t="s">
        <v>48</v>
      </c>
      <c r="AG1523" t="str">
        <f>IF(AD1523="United States", IFERROR(INDEX(Sheet2!$C:$C, MATCH(AE1523&amp;AF1523, Sheet2!$E:$E, 0)) &amp; ", " &amp; INDEX(Sheet2!$D:$D, MATCH(AE1523&amp;AF1523, Sheet2!$E:$E, 0)), ""), "-")</f>
        <v/>
      </c>
    </row>
    <row r="1524" spans="1:33" x14ac:dyDescent="0.25">
      <c r="A1524" t="s">
        <v>2966</v>
      </c>
      <c r="B1524" t="s">
        <v>3000</v>
      </c>
      <c r="C1524" t="s">
        <v>2968</v>
      </c>
      <c r="D1524" t="s">
        <v>3001</v>
      </c>
      <c r="E1524" t="s">
        <v>1310</v>
      </c>
      <c r="F1524">
        <v>1758</v>
      </c>
      <c r="G1524">
        <v>1730</v>
      </c>
      <c r="H1524" t="s">
        <v>38</v>
      </c>
      <c r="I1524" t="s">
        <v>80</v>
      </c>
      <c r="J1524" t="s">
        <v>2969</v>
      </c>
      <c r="K1524" t="s">
        <v>38</v>
      </c>
      <c r="L1524" t="s">
        <v>38</v>
      </c>
      <c r="M1524" t="s">
        <v>38</v>
      </c>
      <c r="N1524" t="s">
        <v>38</v>
      </c>
      <c r="O1524" t="s">
        <v>57</v>
      </c>
      <c r="P1524" t="s">
        <v>42</v>
      </c>
      <c r="Q1524" t="s">
        <v>124</v>
      </c>
      <c r="R1524" t="s">
        <v>812</v>
      </c>
      <c r="S1524" t="s">
        <v>45</v>
      </c>
      <c r="T1524" t="s">
        <v>38</v>
      </c>
      <c r="U1524" t="s">
        <v>38</v>
      </c>
      <c r="V1524" t="s">
        <v>137</v>
      </c>
      <c r="W1524" t="s">
        <v>38</v>
      </c>
      <c r="X1524" t="s">
        <v>38</v>
      </c>
      <c r="Y1524" t="s">
        <v>38</v>
      </c>
      <c r="Z1524" t="s">
        <v>42</v>
      </c>
      <c r="AA1524" t="s">
        <v>38</v>
      </c>
      <c r="AB1524" t="s">
        <v>38</v>
      </c>
      <c r="AC1524" t="s">
        <v>45</v>
      </c>
      <c r="AD1524" t="s">
        <v>48</v>
      </c>
      <c r="AG1524" t="str">
        <f>IF(AD1524="United States", IFERROR(INDEX(Sheet2!$C:$C, MATCH(AE1524&amp;AF1524, Sheet2!$E:$E, 0)) &amp; ", " &amp; INDEX(Sheet2!$D:$D, MATCH(AE1524&amp;AF1524, Sheet2!$E:$E, 0)), ""), "-")</f>
        <v/>
      </c>
    </row>
    <row r="1525" spans="1:33" x14ac:dyDescent="0.25">
      <c r="A1525" t="s">
        <v>2966</v>
      </c>
      <c r="B1525" t="s">
        <v>3002</v>
      </c>
      <c r="C1525" t="s">
        <v>2968</v>
      </c>
      <c r="D1525" t="s">
        <v>2717</v>
      </c>
      <c r="E1525" t="s">
        <v>3003</v>
      </c>
      <c r="F1525">
        <v>1761</v>
      </c>
      <c r="G1525">
        <v>1728</v>
      </c>
      <c r="H1525" t="s">
        <v>38</v>
      </c>
      <c r="I1525" t="s">
        <v>80</v>
      </c>
      <c r="J1525" t="s">
        <v>2969</v>
      </c>
      <c r="K1525" t="s">
        <v>38</v>
      </c>
      <c r="L1525" t="s">
        <v>38</v>
      </c>
      <c r="M1525" t="s">
        <v>38</v>
      </c>
      <c r="N1525" t="s">
        <v>38</v>
      </c>
      <c r="O1525" t="s">
        <v>74</v>
      </c>
      <c r="P1525" t="s">
        <v>42</v>
      </c>
      <c r="Q1525" t="s">
        <v>43</v>
      </c>
      <c r="R1525" t="s">
        <v>241</v>
      </c>
      <c r="S1525" t="s">
        <v>45</v>
      </c>
      <c r="T1525" t="s">
        <v>38</v>
      </c>
      <c r="U1525" t="s">
        <v>38</v>
      </c>
      <c r="V1525" t="s">
        <v>137</v>
      </c>
      <c r="W1525" t="s">
        <v>38</v>
      </c>
      <c r="X1525" t="s">
        <v>38</v>
      </c>
      <c r="Y1525" t="s">
        <v>38</v>
      </c>
      <c r="Z1525" t="s">
        <v>42</v>
      </c>
      <c r="AA1525" t="s">
        <v>241</v>
      </c>
      <c r="AB1525" t="s">
        <v>38</v>
      </c>
      <c r="AC1525" t="s">
        <v>45</v>
      </c>
      <c r="AD1525" t="s">
        <v>48</v>
      </c>
      <c r="AG1525" t="str">
        <f>IF(AD1525="United States", IFERROR(INDEX(Sheet2!$C:$C, MATCH(AE1525&amp;AF1525, Sheet2!$E:$E, 0)) &amp; ", " &amp; INDEX(Sheet2!$D:$D, MATCH(AE1525&amp;AF1525, Sheet2!$E:$E, 0)), ""), "-")</f>
        <v/>
      </c>
    </row>
    <row r="1526" spans="1:33" x14ac:dyDescent="0.25">
      <c r="A1526" t="s">
        <v>2966</v>
      </c>
      <c r="B1526" t="s">
        <v>3004</v>
      </c>
      <c r="C1526" t="s">
        <v>2968</v>
      </c>
      <c r="D1526" t="s">
        <v>1840</v>
      </c>
      <c r="E1526" t="s">
        <v>2754</v>
      </c>
      <c r="F1526">
        <v>1753</v>
      </c>
      <c r="G1526">
        <v>1727</v>
      </c>
      <c r="H1526" t="s">
        <v>38</v>
      </c>
      <c r="I1526" t="s">
        <v>80</v>
      </c>
      <c r="J1526" t="s">
        <v>2969</v>
      </c>
      <c r="K1526" t="s">
        <v>38</v>
      </c>
      <c r="L1526" t="s">
        <v>38</v>
      </c>
      <c r="M1526" t="s">
        <v>38</v>
      </c>
      <c r="N1526" t="s">
        <v>38</v>
      </c>
      <c r="O1526" t="s">
        <v>74</v>
      </c>
      <c r="P1526" t="s">
        <v>42</v>
      </c>
      <c r="Q1526" t="s">
        <v>43</v>
      </c>
      <c r="R1526" t="s">
        <v>241</v>
      </c>
      <c r="S1526" t="s">
        <v>45</v>
      </c>
      <c r="T1526" t="s">
        <v>38</v>
      </c>
      <c r="U1526" t="s">
        <v>38</v>
      </c>
      <c r="V1526" t="s">
        <v>137</v>
      </c>
      <c r="W1526" t="s">
        <v>38</v>
      </c>
      <c r="X1526" t="s">
        <v>38</v>
      </c>
      <c r="Y1526" t="s">
        <v>38</v>
      </c>
      <c r="Z1526" t="s">
        <v>42</v>
      </c>
      <c r="AA1526" t="s">
        <v>241</v>
      </c>
      <c r="AB1526" t="s">
        <v>38</v>
      </c>
      <c r="AC1526" t="s">
        <v>45</v>
      </c>
      <c r="AD1526" t="s">
        <v>48</v>
      </c>
      <c r="AG1526" t="str">
        <f>IF(AD1526="United States", IFERROR(INDEX(Sheet2!$C:$C, MATCH(AE1526&amp;AF1526, Sheet2!$E:$E, 0)) &amp; ", " &amp; INDEX(Sheet2!$D:$D, MATCH(AE1526&amp;AF1526, Sheet2!$E:$E, 0)), ""), "-")</f>
        <v/>
      </c>
    </row>
    <row r="1527" spans="1:33" x14ac:dyDescent="0.25">
      <c r="A1527" t="s">
        <v>2966</v>
      </c>
      <c r="B1527" t="s">
        <v>3005</v>
      </c>
      <c r="C1527" t="s">
        <v>2968</v>
      </c>
      <c r="D1527" t="s">
        <v>132</v>
      </c>
      <c r="E1527" t="s">
        <v>3006</v>
      </c>
      <c r="F1527">
        <v>1755</v>
      </c>
      <c r="G1527">
        <v>1726</v>
      </c>
      <c r="H1527" t="s">
        <v>2975</v>
      </c>
      <c r="I1527" t="s">
        <v>80</v>
      </c>
      <c r="J1527" t="s">
        <v>2969</v>
      </c>
      <c r="K1527" t="s">
        <v>38</v>
      </c>
      <c r="L1527" t="s">
        <v>38</v>
      </c>
      <c r="M1527" t="s">
        <v>38</v>
      </c>
      <c r="N1527" t="s">
        <v>38</v>
      </c>
      <c r="O1527" t="s">
        <v>41</v>
      </c>
      <c r="P1527" t="s">
        <v>42</v>
      </c>
      <c r="Q1527" t="s">
        <v>43</v>
      </c>
      <c r="R1527" t="s">
        <v>2452</v>
      </c>
      <c r="S1527" t="s">
        <v>45</v>
      </c>
      <c r="T1527" t="s">
        <v>89</v>
      </c>
      <c r="U1527" t="s">
        <v>2453</v>
      </c>
      <c r="V1527" t="s">
        <v>137</v>
      </c>
      <c r="W1527" t="s">
        <v>92</v>
      </c>
      <c r="X1527" t="s">
        <v>38</v>
      </c>
      <c r="Y1527" t="s">
        <v>38</v>
      </c>
      <c r="Z1527" t="s">
        <v>42</v>
      </c>
      <c r="AA1527" t="s">
        <v>169</v>
      </c>
      <c r="AB1527" t="s">
        <v>38</v>
      </c>
      <c r="AC1527" t="s">
        <v>45</v>
      </c>
      <c r="AD1527" t="s">
        <v>48</v>
      </c>
      <c r="AG1527" t="str">
        <f>IF(AD1527="United States", IFERROR(INDEX(Sheet2!$C:$C, MATCH(AE1527&amp;AF1527, Sheet2!$E:$E, 0)) &amp; ", " &amp; INDEX(Sheet2!$D:$D, MATCH(AE1527&amp;AF1527, Sheet2!$E:$E, 0)), ""), "-")</f>
        <v/>
      </c>
    </row>
    <row r="1528" spans="1:33" x14ac:dyDescent="0.25">
      <c r="A1528" t="s">
        <v>2966</v>
      </c>
      <c r="B1528" t="s">
        <v>3007</v>
      </c>
      <c r="C1528" t="s">
        <v>2968</v>
      </c>
      <c r="D1528" t="s">
        <v>615</v>
      </c>
      <c r="E1528" t="s">
        <v>2979</v>
      </c>
      <c r="F1528">
        <v>1729</v>
      </c>
      <c r="G1528">
        <v>1705</v>
      </c>
      <c r="H1528" t="s">
        <v>2975</v>
      </c>
      <c r="I1528" t="s">
        <v>80</v>
      </c>
      <c r="J1528" t="s">
        <v>2969</v>
      </c>
      <c r="K1528" t="s">
        <v>38</v>
      </c>
      <c r="L1528" t="s">
        <v>38</v>
      </c>
      <c r="M1528" t="s">
        <v>38</v>
      </c>
      <c r="N1528" t="s">
        <v>38</v>
      </c>
      <c r="O1528" t="s">
        <v>41</v>
      </c>
      <c r="P1528" t="s">
        <v>42</v>
      </c>
      <c r="Q1528" t="s">
        <v>43</v>
      </c>
      <c r="R1528" t="s">
        <v>2452</v>
      </c>
      <c r="S1528" t="s">
        <v>201</v>
      </c>
      <c r="T1528" t="s">
        <v>89</v>
      </c>
      <c r="U1528" t="s">
        <v>2453</v>
      </c>
      <c r="V1528" t="s">
        <v>137</v>
      </c>
      <c r="W1528" t="s">
        <v>92</v>
      </c>
      <c r="X1528" t="s">
        <v>38</v>
      </c>
      <c r="Y1528" t="s">
        <v>38</v>
      </c>
      <c r="Z1528" t="s">
        <v>42</v>
      </c>
      <c r="AA1528" t="s">
        <v>38</v>
      </c>
      <c r="AB1528" t="s">
        <v>38</v>
      </c>
      <c r="AC1528" t="s">
        <v>201</v>
      </c>
      <c r="AD1528" t="s">
        <v>48</v>
      </c>
      <c r="AG1528" t="str">
        <f>IF(AD1528="United States", IFERROR(INDEX(Sheet2!$C:$C, MATCH(AE1528&amp;AF1528, Sheet2!$E:$E, 0)) &amp; ", " &amp; INDEX(Sheet2!$D:$D, MATCH(AE1528&amp;AF1528, Sheet2!$E:$E, 0)), ""), "-")</f>
        <v/>
      </c>
    </row>
    <row r="1529" spans="1:33" x14ac:dyDescent="0.25">
      <c r="A1529" t="s">
        <v>2966</v>
      </c>
      <c r="B1529" t="s">
        <v>3008</v>
      </c>
      <c r="C1529" t="s">
        <v>2968</v>
      </c>
      <c r="D1529" t="s">
        <v>1413</v>
      </c>
      <c r="E1529" t="s">
        <v>1175</v>
      </c>
      <c r="F1529">
        <v>1765</v>
      </c>
      <c r="G1529">
        <v>1725</v>
      </c>
      <c r="H1529" t="s">
        <v>38</v>
      </c>
      <c r="I1529" t="s">
        <v>80</v>
      </c>
      <c r="J1529" t="s">
        <v>2969</v>
      </c>
      <c r="K1529" t="s">
        <v>38</v>
      </c>
      <c r="L1529" t="s">
        <v>38</v>
      </c>
      <c r="M1529" t="s">
        <v>38</v>
      </c>
      <c r="N1529" t="s">
        <v>38</v>
      </c>
      <c r="O1529" t="s">
        <v>57</v>
      </c>
      <c r="P1529" t="s">
        <v>42</v>
      </c>
      <c r="Q1529" t="s">
        <v>43</v>
      </c>
      <c r="R1529" t="s">
        <v>1485</v>
      </c>
      <c r="S1529" t="s">
        <v>45</v>
      </c>
      <c r="T1529" t="s">
        <v>38</v>
      </c>
      <c r="U1529" t="s">
        <v>38</v>
      </c>
      <c r="V1529" t="s">
        <v>137</v>
      </c>
      <c r="W1529" t="s">
        <v>38</v>
      </c>
      <c r="X1529" t="s">
        <v>38</v>
      </c>
      <c r="Y1529" t="s">
        <v>38</v>
      </c>
      <c r="Z1529" t="s">
        <v>42</v>
      </c>
      <c r="AA1529" t="s">
        <v>1485</v>
      </c>
      <c r="AB1529" t="s">
        <v>38</v>
      </c>
      <c r="AC1529" t="s">
        <v>45</v>
      </c>
      <c r="AD1529" t="s">
        <v>48</v>
      </c>
      <c r="AG1529" t="str">
        <f>IF(AD1529="United States", IFERROR(INDEX(Sheet2!$C:$C, MATCH(AE1529&amp;AF1529, Sheet2!$E:$E, 0)) &amp; ", " &amp; INDEX(Sheet2!$D:$D, MATCH(AE1529&amp;AF1529, Sheet2!$E:$E, 0)), ""), "-")</f>
        <v/>
      </c>
    </row>
    <row r="1530" spans="1:33" x14ac:dyDescent="0.25">
      <c r="A1530" t="s">
        <v>2966</v>
      </c>
      <c r="B1530" t="s">
        <v>3009</v>
      </c>
      <c r="C1530" t="s">
        <v>2968</v>
      </c>
      <c r="D1530" t="s">
        <v>352</v>
      </c>
      <c r="E1530" t="s">
        <v>402</v>
      </c>
      <c r="F1530">
        <v>1760</v>
      </c>
      <c r="G1530">
        <v>1724</v>
      </c>
      <c r="H1530" t="s">
        <v>38</v>
      </c>
      <c r="I1530" t="s">
        <v>80</v>
      </c>
      <c r="J1530" t="s">
        <v>2969</v>
      </c>
      <c r="K1530" t="s">
        <v>38</v>
      </c>
      <c r="L1530" t="s">
        <v>38</v>
      </c>
      <c r="M1530" t="s">
        <v>38</v>
      </c>
      <c r="N1530" t="s">
        <v>38</v>
      </c>
      <c r="O1530" t="s">
        <v>57</v>
      </c>
      <c r="P1530" t="s">
        <v>42</v>
      </c>
      <c r="Q1530" t="s">
        <v>124</v>
      </c>
      <c r="R1530" t="s">
        <v>2715</v>
      </c>
      <c r="S1530" t="s">
        <v>45</v>
      </c>
      <c r="T1530" t="s">
        <v>38</v>
      </c>
      <c r="U1530" t="s">
        <v>38</v>
      </c>
      <c r="V1530" t="s">
        <v>137</v>
      </c>
      <c r="W1530" t="s">
        <v>38</v>
      </c>
      <c r="X1530" t="s">
        <v>38</v>
      </c>
      <c r="Y1530" t="s">
        <v>38</v>
      </c>
      <c r="Z1530" t="s">
        <v>42</v>
      </c>
      <c r="AA1530" t="s">
        <v>2715</v>
      </c>
      <c r="AB1530" t="s">
        <v>38</v>
      </c>
      <c r="AC1530" t="s">
        <v>45</v>
      </c>
      <c r="AD1530" t="s">
        <v>48</v>
      </c>
      <c r="AG1530" t="str">
        <f>IF(AD1530="United States", IFERROR(INDEX(Sheet2!$C:$C, MATCH(AE1530&amp;AF1530, Sheet2!$E:$E, 0)) &amp; ", " &amp; INDEX(Sheet2!$D:$D, MATCH(AE1530&amp;AF1530, Sheet2!$E:$E, 0)), ""), "-")</f>
        <v/>
      </c>
    </row>
    <row r="1531" spans="1:33" x14ac:dyDescent="0.25">
      <c r="A1531" t="s">
        <v>2966</v>
      </c>
      <c r="B1531" t="s">
        <v>3010</v>
      </c>
      <c r="C1531" t="s">
        <v>2968</v>
      </c>
      <c r="D1531" t="s">
        <v>3011</v>
      </c>
      <c r="E1531" t="s">
        <v>1175</v>
      </c>
      <c r="F1531">
        <v>1758</v>
      </c>
      <c r="G1531">
        <v>1722</v>
      </c>
      <c r="H1531" t="s">
        <v>2975</v>
      </c>
      <c r="I1531" t="s">
        <v>80</v>
      </c>
      <c r="J1531" t="s">
        <v>2969</v>
      </c>
      <c r="K1531" t="s">
        <v>38</v>
      </c>
      <c r="L1531" t="s">
        <v>38</v>
      </c>
      <c r="M1531" t="s">
        <v>38</v>
      </c>
      <c r="N1531" t="s">
        <v>38</v>
      </c>
      <c r="O1531" t="s">
        <v>74</v>
      </c>
      <c r="P1531" t="s">
        <v>42</v>
      </c>
      <c r="Q1531" t="s">
        <v>43</v>
      </c>
      <c r="R1531" t="s">
        <v>2452</v>
      </c>
      <c r="S1531" t="s">
        <v>45</v>
      </c>
      <c r="T1531" t="s">
        <v>89</v>
      </c>
      <c r="U1531" t="s">
        <v>2453</v>
      </c>
      <c r="V1531" t="s">
        <v>137</v>
      </c>
      <c r="W1531" t="s">
        <v>92</v>
      </c>
      <c r="X1531" t="s">
        <v>38</v>
      </c>
      <c r="Y1531" t="s">
        <v>38</v>
      </c>
      <c r="Z1531" t="s">
        <v>42</v>
      </c>
      <c r="AA1531" t="s">
        <v>1485</v>
      </c>
      <c r="AB1531" t="s">
        <v>38</v>
      </c>
      <c r="AC1531" t="s">
        <v>45</v>
      </c>
      <c r="AD1531" t="s">
        <v>48</v>
      </c>
      <c r="AG1531" t="str">
        <f>IF(AD1531="United States", IFERROR(INDEX(Sheet2!$C:$C, MATCH(AE1531&amp;AF1531, Sheet2!$E:$E, 0)) &amp; ", " &amp; INDEX(Sheet2!$D:$D, MATCH(AE1531&amp;AF1531, Sheet2!$E:$E, 0)), ""), "-")</f>
        <v/>
      </c>
    </row>
    <row r="1532" spans="1:33" x14ac:dyDescent="0.25">
      <c r="A1532" t="s">
        <v>2966</v>
      </c>
      <c r="B1532" t="s">
        <v>3012</v>
      </c>
      <c r="C1532" t="s">
        <v>2968</v>
      </c>
      <c r="D1532" t="s">
        <v>3013</v>
      </c>
      <c r="E1532" t="s">
        <v>1879</v>
      </c>
      <c r="F1532">
        <v>1759</v>
      </c>
      <c r="G1532">
        <v>1721</v>
      </c>
      <c r="H1532" t="s">
        <v>38</v>
      </c>
      <c r="I1532" t="s">
        <v>80</v>
      </c>
      <c r="J1532" t="s">
        <v>2969</v>
      </c>
      <c r="K1532" t="s">
        <v>38</v>
      </c>
      <c r="L1532" t="s">
        <v>38</v>
      </c>
      <c r="M1532" t="s">
        <v>38</v>
      </c>
      <c r="N1532" t="s">
        <v>38</v>
      </c>
      <c r="O1532" t="s">
        <v>74</v>
      </c>
      <c r="P1532" t="s">
        <v>42</v>
      </c>
      <c r="Q1532" t="s">
        <v>43</v>
      </c>
      <c r="R1532" t="s">
        <v>169</v>
      </c>
      <c r="S1532" t="s">
        <v>45</v>
      </c>
      <c r="T1532" t="s">
        <v>38</v>
      </c>
      <c r="U1532" t="s">
        <v>38</v>
      </c>
      <c r="V1532" t="s">
        <v>137</v>
      </c>
      <c r="W1532" t="s">
        <v>38</v>
      </c>
      <c r="X1532" t="s">
        <v>38</v>
      </c>
      <c r="Y1532" t="s">
        <v>38</v>
      </c>
      <c r="Z1532" t="s">
        <v>42</v>
      </c>
      <c r="AA1532" t="s">
        <v>169</v>
      </c>
      <c r="AB1532" t="s">
        <v>38</v>
      </c>
      <c r="AC1532" t="s">
        <v>45</v>
      </c>
      <c r="AD1532" t="s">
        <v>48</v>
      </c>
      <c r="AG1532" t="str">
        <f>IF(AD1532="United States", IFERROR(INDEX(Sheet2!$C:$C, MATCH(AE1532&amp;AF1532, Sheet2!$E:$E, 0)) &amp; ", " &amp; INDEX(Sheet2!$D:$D, MATCH(AE1532&amp;AF1532, Sheet2!$E:$E, 0)), ""), "-")</f>
        <v/>
      </c>
    </row>
    <row r="1533" spans="1:33" x14ac:dyDescent="0.25">
      <c r="A1533" t="s">
        <v>2966</v>
      </c>
      <c r="B1533" t="s">
        <v>3014</v>
      </c>
      <c r="C1533" t="s">
        <v>2968</v>
      </c>
      <c r="D1533" t="s">
        <v>62</v>
      </c>
      <c r="E1533" t="s">
        <v>1684</v>
      </c>
      <c r="F1533">
        <v>1756</v>
      </c>
      <c r="G1533">
        <v>1704</v>
      </c>
      <c r="H1533" t="s">
        <v>2977</v>
      </c>
      <c r="I1533" t="s">
        <v>80</v>
      </c>
      <c r="J1533" t="s">
        <v>2969</v>
      </c>
      <c r="K1533" t="s">
        <v>38</v>
      </c>
      <c r="L1533" t="s">
        <v>38</v>
      </c>
      <c r="M1533" t="s">
        <v>38</v>
      </c>
      <c r="N1533" t="s">
        <v>38</v>
      </c>
      <c r="O1533" t="s">
        <v>41</v>
      </c>
      <c r="P1533" t="s">
        <v>42</v>
      </c>
      <c r="Q1533" t="s">
        <v>43</v>
      </c>
      <c r="R1533" t="s">
        <v>2452</v>
      </c>
      <c r="S1533" t="s">
        <v>45</v>
      </c>
      <c r="T1533" t="s">
        <v>89</v>
      </c>
      <c r="U1533" t="s">
        <v>2453</v>
      </c>
      <c r="V1533" t="s">
        <v>137</v>
      </c>
      <c r="W1533" t="s">
        <v>92</v>
      </c>
      <c r="X1533" t="s">
        <v>38</v>
      </c>
      <c r="Y1533" t="s">
        <v>38</v>
      </c>
      <c r="Z1533" t="s">
        <v>42</v>
      </c>
      <c r="AA1533" t="s">
        <v>3015</v>
      </c>
      <c r="AB1533" t="s">
        <v>38</v>
      </c>
      <c r="AC1533" t="s">
        <v>45</v>
      </c>
      <c r="AD1533" t="s">
        <v>48</v>
      </c>
      <c r="AG1533" t="str">
        <f>IF(AD1533="United States", IFERROR(INDEX(Sheet2!$C:$C, MATCH(AE1533&amp;AF1533, Sheet2!$E:$E, 0)) &amp; ", " &amp; INDEX(Sheet2!$D:$D, MATCH(AE1533&amp;AF1533, Sheet2!$E:$E, 0)), ""), "-")</f>
        <v/>
      </c>
    </row>
    <row r="1534" spans="1:33" x14ac:dyDescent="0.25">
      <c r="A1534" t="s">
        <v>2966</v>
      </c>
      <c r="B1534" t="s">
        <v>3016</v>
      </c>
      <c r="C1534" t="s">
        <v>2968</v>
      </c>
      <c r="D1534" t="s">
        <v>1643</v>
      </c>
      <c r="E1534" t="s">
        <v>3017</v>
      </c>
      <c r="F1534">
        <v>1753</v>
      </c>
      <c r="G1534">
        <v>1720</v>
      </c>
      <c r="H1534" t="s">
        <v>38</v>
      </c>
      <c r="I1534" t="s">
        <v>80</v>
      </c>
      <c r="J1534" t="s">
        <v>2969</v>
      </c>
      <c r="K1534" t="s">
        <v>38</v>
      </c>
      <c r="L1534" t="s">
        <v>38</v>
      </c>
      <c r="M1534" t="s">
        <v>38</v>
      </c>
      <c r="N1534" t="s">
        <v>38</v>
      </c>
      <c r="O1534" t="s">
        <v>41</v>
      </c>
      <c r="P1534" t="s">
        <v>42</v>
      </c>
      <c r="Q1534" t="s">
        <v>43</v>
      </c>
      <c r="R1534" t="s">
        <v>2238</v>
      </c>
      <c r="S1534" t="s">
        <v>286</v>
      </c>
      <c r="T1534" t="s">
        <v>38</v>
      </c>
      <c r="U1534" t="s">
        <v>38</v>
      </c>
      <c r="V1534" t="s">
        <v>137</v>
      </c>
      <c r="W1534" t="s">
        <v>38</v>
      </c>
      <c r="X1534" t="s">
        <v>38</v>
      </c>
      <c r="Y1534" t="s">
        <v>38</v>
      </c>
      <c r="Z1534" t="s">
        <v>42</v>
      </c>
      <c r="AA1534" t="s">
        <v>2238</v>
      </c>
      <c r="AB1534" t="s">
        <v>38</v>
      </c>
      <c r="AC1534" t="s">
        <v>286</v>
      </c>
      <c r="AD1534" t="s">
        <v>48</v>
      </c>
      <c r="AG1534" t="str">
        <f>IF(AD1534="United States", IFERROR(INDEX(Sheet2!$C:$C, MATCH(AE1534&amp;AF1534, Sheet2!$E:$E, 0)) &amp; ", " &amp; INDEX(Sheet2!$D:$D, MATCH(AE1534&amp;AF1534, Sheet2!$E:$E, 0)), ""), "-")</f>
        <v/>
      </c>
    </row>
    <row r="1535" spans="1:33" x14ac:dyDescent="0.25">
      <c r="A1535" t="s">
        <v>2966</v>
      </c>
      <c r="B1535" t="s">
        <v>3018</v>
      </c>
      <c r="C1535" t="s">
        <v>2968</v>
      </c>
      <c r="D1535" t="s">
        <v>36</v>
      </c>
      <c r="E1535" t="s">
        <v>1879</v>
      </c>
      <c r="F1535">
        <v>1757</v>
      </c>
      <c r="G1535">
        <v>1719</v>
      </c>
      <c r="H1535" t="s">
        <v>2975</v>
      </c>
      <c r="I1535" t="s">
        <v>80</v>
      </c>
      <c r="J1535" t="s">
        <v>2969</v>
      </c>
      <c r="K1535" t="s">
        <v>38</v>
      </c>
      <c r="L1535" t="s">
        <v>38</v>
      </c>
      <c r="M1535" t="s">
        <v>38</v>
      </c>
      <c r="N1535" t="s">
        <v>38</v>
      </c>
      <c r="O1535" t="s">
        <v>41</v>
      </c>
      <c r="P1535" t="s">
        <v>42</v>
      </c>
      <c r="Q1535" t="s">
        <v>43</v>
      </c>
      <c r="R1535" t="s">
        <v>2452</v>
      </c>
      <c r="S1535" t="s">
        <v>45</v>
      </c>
      <c r="T1535" t="s">
        <v>89</v>
      </c>
      <c r="U1535" t="s">
        <v>2453</v>
      </c>
      <c r="V1535" t="s">
        <v>137</v>
      </c>
      <c r="W1535" t="s">
        <v>92</v>
      </c>
      <c r="X1535" t="s">
        <v>38</v>
      </c>
      <c r="Y1535" t="s">
        <v>38</v>
      </c>
      <c r="Z1535" t="s">
        <v>42</v>
      </c>
      <c r="AA1535" t="s">
        <v>169</v>
      </c>
      <c r="AB1535" t="s">
        <v>38</v>
      </c>
      <c r="AC1535" t="s">
        <v>45</v>
      </c>
      <c r="AD1535" t="s">
        <v>48</v>
      </c>
      <c r="AG1535" t="str">
        <f>IF(AD1535="United States", IFERROR(INDEX(Sheet2!$C:$C, MATCH(AE1535&amp;AF1535, Sheet2!$E:$E, 0)) &amp; ", " &amp; INDEX(Sheet2!$D:$D, MATCH(AE1535&amp;AF1535, Sheet2!$E:$E, 0)), ""), "-")</f>
        <v/>
      </c>
    </row>
    <row r="1536" spans="1:33" x14ac:dyDescent="0.25">
      <c r="A1536" t="s">
        <v>2966</v>
      </c>
      <c r="B1536" t="s">
        <v>3019</v>
      </c>
      <c r="C1536" t="s">
        <v>2968</v>
      </c>
      <c r="D1536" t="s">
        <v>2463</v>
      </c>
      <c r="E1536" t="s">
        <v>2836</v>
      </c>
      <c r="F1536">
        <v>1743</v>
      </c>
      <c r="G1536">
        <v>1718</v>
      </c>
      <c r="H1536" t="s">
        <v>38</v>
      </c>
      <c r="I1536" t="s">
        <v>80</v>
      </c>
      <c r="J1536" t="s">
        <v>2969</v>
      </c>
      <c r="K1536" t="s">
        <v>38</v>
      </c>
      <c r="L1536" t="s">
        <v>38</v>
      </c>
      <c r="M1536" t="s">
        <v>38</v>
      </c>
      <c r="N1536" t="s">
        <v>38</v>
      </c>
      <c r="O1536" t="s">
        <v>41</v>
      </c>
      <c r="P1536" t="s">
        <v>42</v>
      </c>
      <c r="Q1536" t="s">
        <v>43</v>
      </c>
      <c r="R1536" t="s">
        <v>166</v>
      </c>
      <c r="S1536" t="s">
        <v>165</v>
      </c>
      <c r="T1536" t="s">
        <v>38</v>
      </c>
      <c r="U1536" t="s">
        <v>38</v>
      </c>
      <c r="V1536" t="s">
        <v>137</v>
      </c>
      <c r="W1536" t="s">
        <v>38</v>
      </c>
      <c r="X1536" t="s">
        <v>38</v>
      </c>
      <c r="Y1536" t="s">
        <v>38</v>
      </c>
      <c r="Z1536" t="s">
        <v>42</v>
      </c>
      <c r="AA1536" t="s">
        <v>166</v>
      </c>
      <c r="AB1536" t="s">
        <v>38</v>
      </c>
      <c r="AC1536" t="s">
        <v>165</v>
      </c>
      <c r="AD1536" t="s">
        <v>48</v>
      </c>
      <c r="AG1536" t="str">
        <f>IF(AD1536="United States", IFERROR(INDEX(Sheet2!$C:$C, MATCH(AE1536&amp;AF1536, Sheet2!$E:$E, 0)) &amp; ", " &amp; INDEX(Sheet2!$D:$D, MATCH(AE1536&amp;AF1536, Sheet2!$E:$E, 0)), ""), "-")</f>
        <v/>
      </c>
    </row>
    <row r="1537" spans="1:33" x14ac:dyDescent="0.25">
      <c r="A1537" t="s">
        <v>2966</v>
      </c>
      <c r="B1537" t="s">
        <v>3020</v>
      </c>
      <c r="C1537" t="s">
        <v>2968</v>
      </c>
      <c r="D1537" t="s">
        <v>226</v>
      </c>
      <c r="E1537" t="s">
        <v>1175</v>
      </c>
      <c r="F1537">
        <v>1753</v>
      </c>
      <c r="G1537">
        <v>1723</v>
      </c>
      <c r="H1537" t="s">
        <v>2977</v>
      </c>
      <c r="I1537" t="s">
        <v>80</v>
      </c>
      <c r="J1537" t="s">
        <v>2969</v>
      </c>
      <c r="K1537" t="s">
        <v>38</v>
      </c>
      <c r="L1537" t="s">
        <v>38</v>
      </c>
      <c r="M1537" t="s">
        <v>38</v>
      </c>
      <c r="N1537" t="s">
        <v>38</v>
      </c>
      <c r="O1537" t="s">
        <v>41</v>
      </c>
      <c r="P1537" t="s">
        <v>42</v>
      </c>
      <c r="Q1537" t="s">
        <v>43</v>
      </c>
      <c r="R1537" t="s">
        <v>2452</v>
      </c>
      <c r="S1537" t="s">
        <v>45</v>
      </c>
      <c r="T1537" t="s">
        <v>89</v>
      </c>
      <c r="U1537" t="s">
        <v>2453</v>
      </c>
      <c r="V1537" t="s">
        <v>137</v>
      </c>
      <c r="W1537" t="s">
        <v>92</v>
      </c>
      <c r="X1537" t="s">
        <v>38</v>
      </c>
      <c r="Y1537" t="s">
        <v>38</v>
      </c>
      <c r="Z1537" t="s">
        <v>42</v>
      </c>
      <c r="AA1537" t="s">
        <v>1485</v>
      </c>
      <c r="AB1537" t="s">
        <v>38</v>
      </c>
      <c r="AC1537" t="s">
        <v>45</v>
      </c>
      <c r="AD1537" t="s">
        <v>48</v>
      </c>
      <c r="AG1537" t="str">
        <f>IF(AD1537="United States", IFERROR(INDEX(Sheet2!$C:$C, MATCH(AE1537&amp;AF1537, Sheet2!$E:$E, 0)) &amp; ", " &amp; INDEX(Sheet2!$D:$D, MATCH(AE1537&amp;AF1537, Sheet2!$E:$E, 0)), ""), "-")</f>
        <v/>
      </c>
    </row>
    <row r="1538" spans="1:33" x14ac:dyDescent="0.25">
      <c r="A1538" t="s">
        <v>2966</v>
      </c>
      <c r="B1538" t="s">
        <v>3021</v>
      </c>
      <c r="C1538" t="s">
        <v>2968</v>
      </c>
      <c r="D1538" t="s">
        <v>52</v>
      </c>
      <c r="E1538" t="s">
        <v>226</v>
      </c>
      <c r="F1538">
        <v>1731</v>
      </c>
      <c r="G1538">
        <v>1701</v>
      </c>
      <c r="H1538" t="s">
        <v>2977</v>
      </c>
      <c r="I1538" t="s">
        <v>80</v>
      </c>
      <c r="J1538" t="s">
        <v>2969</v>
      </c>
      <c r="K1538" t="s">
        <v>38</v>
      </c>
      <c r="L1538" t="s">
        <v>38</v>
      </c>
      <c r="M1538" t="s">
        <v>38</v>
      </c>
      <c r="N1538" t="s">
        <v>38</v>
      </c>
      <c r="O1538" t="s">
        <v>74</v>
      </c>
      <c r="P1538" t="s">
        <v>42</v>
      </c>
      <c r="Q1538" t="s">
        <v>43</v>
      </c>
      <c r="R1538" t="s">
        <v>2452</v>
      </c>
      <c r="S1538" t="s">
        <v>38</v>
      </c>
      <c r="T1538" t="s">
        <v>89</v>
      </c>
      <c r="U1538" t="s">
        <v>2453</v>
      </c>
      <c r="V1538" t="s">
        <v>137</v>
      </c>
      <c r="W1538" t="s">
        <v>92</v>
      </c>
      <c r="X1538" t="s">
        <v>38</v>
      </c>
      <c r="Y1538" t="s">
        <v>38</v>
      </c>
      <c r="Z1538" t="s">
        <v>42</v>
      </c>
      <c r="AA1538" t="s">
        <v>38</v>
      </c>
      <c r="AB1538" t="s">
        <v>38</v>
      </c>
      <c r="AC1538" t="s">
        <v>38</v>
      </c>
      <c r="AD1538" t="s">
        <v>48</v>
      </c>
      <c r="AG1538" t="str">
        <f>IF(AD1538="United States", IFERROR(INDEX(Sheet2!$C:$C, MATCH(AE1538&amp;AF1538, Sheet2!$E:$E, 0)) &amp; ", " &amp; INDEX(Sheet2!$D:$D, MATCH(AE1538&amp;AF1538, Sheet2!$E:$E, 0)), ""), "-")</f>
        <v/>
      </c>
    </row>
    <row r="1539" spans="1:33" x14ac:dyDescent="0.25">
      <c r="A1539" t="s">
        <v>2966</v>
      </c>
      <c r="B1539" t="s">
        <v>3022</v>
      </c>
      <c r="C1539" t="s">
        <v>2968</v>
      </c>
      <c r="D1539" t="s">
        <v>1174</v>
      </c>
      <c r="E1539" t="s">
        <v>3023</v>
      </c>
      <c r="F1539">
        <v>1743</v>
      </c>
      <c r="G1539">
        <v>1685</v>
      </c>
      <c r="H1539" t="s">
        <v>38</v>
      </c>
      <c r="I1539" t="s">
        <v>80</v>
      </c>
      <c r="J1539" t="s">
        <v>2969</v>
      </c>
      <c r="K1539" t="s">
        <v>38</v>
      </c>
      <c r="L1539" t="s">
        <v>38</v>
      </c>
      <c r="M1539" t="s">
        <v>38</v>
      </c>
      <c r="N1539" t="s">
        <v>38</v>
      </c>
      <c r="O1539" t="s">
        <v>41</v>
      </c>
      <c r="P1539" t="s">
        <v>42</v>
      </c>
      <c r="Q1539" t="s">
        <v>43</v>
      </c>
      <c r="R1539" t="s">
        <v>3024</v>
      </c>
      <c r="S1539" t="s">
        <v>153</v>
      </c>
      <c r="T1539" t="s">
        <v>38</v>
      </c>
      <c r="U1539" t="s">
        <v>38</v>
      </c>
      <c r="V1539" t="s">
        <v>137</v>
      </c>
      <c r="W1539" t="s">
        <v>38</v>
      </c>
      <c r="X1539" t="s">
        <v>38</v>
      </c>
      <c r="Y1539" t="s">
        <v>38</v>
      </c>
      <c r="Z1539" t="s">
        <v>42</v>
      </c>
      <c r="AA1539" t="s">
        <v>155</v>
      </c>
      <c r="AB1539" t="s">
        <v>38</v>
      </c>
      <c r="AC1539" t="s">
        <v>153</v>
      </c>
      <c r="AD1539" t="s">
        <v>48</v>
      </c>
      <c r="AG1539" t="str">
        <f>IF(AD1539="United States", IFERROR(INDEX(Sheet2!$C:$C, MATCH(AE1539&amp;AF1539, Sheet2!$E:$E, 0)) &amp; ", " &amp; INDEX(Sheet2!$D:$D, MATCH(AE1539&amp;AF1539, Sheet2!$E:$E, 0)), ""), "-")</f>
        <v/>
      </c>
    </row>
    <row r="1540" spans="1:33" x14ac:dyDescent="0.25">
      <c r="A1540" t="s">
        <v>2966</v>
      </c>
      <c r="B1540" t="s">
        <v>3025</v>
      </c>
      <c r="C1540" t="s">
        <v>2968</v>
      </c>
      <c r="D1540" t="s">
        <v>797</v>
      </c>
      <c r="E1540" t="s">
        <v>3026</v>
      </c>
      <c r="F1540">
        <v>1743</v>
      </c>
      <c r="G1540">
        <v>1668</v>
      </c>
      <c r="H1540" t="s">
        <v>38</v>
      </c>
      <c r="I1540" t="s">
        <v>80</v>
      </c>
      <c r="J1540" t="s">
        <v>2969</v>
      </c>
      <c r="K1540" t="s">
        <v>38</v>
      </c>
      <c r="L1540" t="s">
        <v>38</v>
      </c>
      <c r="M1540" t="s">
        <v>38</v>
      </c>
      <c r="N1540" t="s">
        <v>38</v>
      </c>
      <c r="O1540" t="s">
        <v>57</v>
      </c>
      <c r="P1540" t="s">
        <v>42</v>
      </c>
      <c r="Q1540" t="s">
        <v>43</v>
      </c>
      <c r="R1540" t="s">
        <v>3027</v>
      </c>
      <c r="S1540" t="s">
        <v>153</v>
      </c>
      <c r="T1540" t="s">
        <v>38</v>
      </c>
      <c r="U1540" t="s">
        <v>38</v>
      </c>
      <c r="V1540" t="s">
        <v>137</v>
      </c>
      <c r="W1540" t="s">
        <v>38</v>
      </c>
      <c r="X1540" t="s">
        <v>38</v>
      </c>
      <c r="Y1540" t="s">
        <v>38</v>
      </c>
      <c r="Z1540" t="s">
        <v>42</v>
      </c>
      <c r="AA1540" t="s">
        <v>155</v>
      </c>
      <c r="AB1540" t="s">
        <v>38</v>
      </c>
      <c r="AC1540" t="s">
        <v>153</v>
      </c>
      <c r="AD1540" t="s">
        <v>48</v>
      </c>
      <c r="AG1540" t="str">
        <f>IF(AD1540="United States", IFERROR(INDEX(Sheet2!$C:$C, MATCH(AE1540&amp;AF1540, Sheet2!$E:$E, 0)) &amp; ", " &amp; INDEX(Sheet2!$D:$D, MATCH(AE1540&amp;AF1540, Sheet2!$E:$E, 0)), ""), "-")</f>
        <v/>
      </c>
    </row>
    <row r="1541" spans="1:33" x14ac:dyDescent="0.25">
      <c r="A1541" t="s">
        <v>2966</v>
      </c>
      <c r="B1541" t="s">
        <v>3028</v>
      </c>
      <c r="C1541" t="s">
        <v>2968</v>
      </c>
      <c r="D1541" t="s">
        <v>104</v>
      </c>
      <c r="E1541" t="s">
        <v>3026</v>
      </c>
      <c r="F1541">
        <v>1739</v>
      </c>
      <c r="G1541">
        <v>1669</v>
      </c>
      <c r="H1541" t="s">
        <v>38</v>
      </c>
      <c r="I1541" t="s">
        <v>80</v>
      </c>
      <c r="J1541" t="s">
        <v>2969</v>
      </c>
      <c r="K1541" t="s">
        <v>38</v>
      </c>
      <c r="L1541" t="s">
        <v>38</v>
      </c>
      <c r="M1541" t="s">
        <v>38</v>
      </c>
      <c r="N1541" t="s">
        <v>38</v>
      </c>
      <c r="O1541" t="s">
        <v>41</v>
      </c>
      <c r="P1541" t="s">
        <v>42</v>
      </c>
      <c r="Q1541" t="s">
        <v>43</v>
      </c>
      <c r="R1541" t="s">
        <v>3027</v>
      </c>
      <c r="S1541" t="s">
        <v>153</v>
      </c>
      <c r="T1541" t="s">
        <v>38</v>
      </c>
      <c r="U1541" t="s">
        <v>38</v>
      </c>
      <c r="V1541" t="s">
        <v>137</v>
      </c>
      <c r="W1541" t="s">
        <v>38</v>
      </c>
      <c r="X1541" t="s">
        <v>38</v>
      </c>
      <c r="Y1541" t="s">
        <v>38</v>
      </c>
      <c r="Z1541" t="s">
        <v>42</v>
      </c>
      <c r="AA1541" t="s">
        <v>3029</v>
      </c>
      <c r="AB1541" t="s">
        <v>155</v>
      </c>
      <c r="AC1541" t="s">
        <v>153</v>
      </c>
      <c r="AD1541" t="s">
        <v>48</v>
      </c>
      <c r="AG1541" t="str">
        <f>IF(AD1541="United States", IFERROR(INDEX(Sheet2!$C:$C, MATCH(AE1541&amp;AF1541, Sheet2!$E:$E, 0)) &amp; ", " &amp; INDEX(Sheet2!$D:$D, MATCH(AE1541&amp;AF1541, Sheet2!$E:$E, 0)), ""), "-")</f>
        <v/>
      </c>
    </row>
    <row r="1542" spans="1:33" x14ac:dyDescent="0.25">
      <c r="A1542" t="s">
        <v>2966</v>
      </c>
      <c r="B1542" t="s">
        <v>3030</v>
      </c>
      <c r="C1542" t="s">
        <v>2968</v>
      </c>
      <c r="D1542" t="s">
        <v>210</v>
      </c>
      <c r="E1542" t="s">
        <v>226</v>
      </c>
      <c r="F1542">
        <v>1743</v>
      </c>
      <c r="G1542">
        <v>1670</v>
      </c>
      <c r="H1542" t="s">
        <v>2977</v>
      </c>
      <c r="I1542" t="s">
        <v>80</v>
      </c>
      <c r="J1542" t="s">
        <v>2969</v>
      </c>
      <c r="K1542" t="s">
        <v>38</v>
      </c>
      <c r="L1542" t="s">
        <v>38</v>
      </c>
      <c r="M1542" t="s">
        <v>38</v>
      </c>
      <c r="N1542" t="s">
        <v>38</v>
      </c>
      <c r="O1542" t="s">
        <v>41</v>
      </c>
      <c r="P1542" t="s">
        <v>42</v>
      </c>
      <c r="Q1542" t="s">
        <v>43</v>
      </c>
      <c r="R1542" t="s">
        <v>2452</v>
      </c>
      <c r="S1542" t="s">
        <v>286</v>
      </c>
      <c r="T1542" t="s">
        <v>89</v>
      </c>
      <c r="U1542" t="s">
        <v>2453</v>
      </c>
      <c r="V1542" t="s">
        <v>137</v>
      </c>
      <c r="W1542" t="s">
        <v>92</v>
      </c>
      <c r="X1542" t="s">
        <v>38</v>
      </c>
      <c r="Y1542" t="s">
        <v>38</v>
      </c>
      <c r="Z1542" t="s">
        <v>42</v>
      </c>
      <c r="AA1542" t="s">
        <v>38</v>
      </c>
      <c r="AB1542" t="s">
        <v>38</v>
      </c>
      <c r="AC1542" t="s">
        <v>286</v>
      </c>
      <c r="AD1542" t="s">
        <v>48</v>
      </c>
      <c r="AG1542" t="str">
        <f>IF(AD1542="United States", IFERROR(INDEX(Sheet2!$C:$C, MATCH(AE1542&amp;AF1542, Sheet2!$E:$E, 0)) &amp; ", " &amp; INDEX(Sheet2!$D:$D, MATCH(AE1542&amp;AF1542, Sheet2!$E:$E, 0)), ""), "-")</f>
        <v/>
      </c>
    </row>
    <row r="1543" spans="1:33" x14ac:dyDescent="0.25">
      <c r="A1543" t="s">
        <v>2966</v>
      </c>
      <c r="B1543" t="s">
        <v>3031</v>
      </c>
      <c r="C1543" t="s">
        <v>2968</v>
      </c>
      <c r="D1543" t="s">
        <v>2124</v>
      </c>
      <c r="E1543" t="s">
        <v>2532</v>
      </c>
      <c r="F1543">
        <v>1761</v>
      </c>
      <c r="G1543">
        <v>1671</v>
      </c>
      <c r="H1543" t="s">
        <v>2975</v>
      </c>
      <c r="I1543" t="s">
        <v>80</v>
      </c>
      <c r="J1543" t="s">
        <v>2969</v>
      </c>
      <c r="K1543" t="s">
        <v>38</v>
      </c>
      <c r="L1543" t="s">
        <v>38</v>
      </c>
      <c r="M1543" t="s">
        <v>38</v>
      </c>
      <c r="N1543" t="s">
        <v>38</v>
      </c>
      <c r="O1543" t="s">
        <v>57</v>
      </c>
      <c r="P1543" t="s">
        <v>42</v>
      </c>
      <c r="Q1543" t="s">
        <v>43</v>
      </c>
      <c r="R1543" t="s">
        <v>2452</v>
      </c>
      <c r="S1543" t="s">
        <v>153</v>
      </c>
      <c r="T1543" t="s">
        <v>89</v>
      </c>
      <c r="U1543" t="s">
        <v>2453</v>
      </c>
      <c r="V1543" t="s">
        <v>137</v>
      </c>
      <c r="W1543" t="s">
        <v>92</v>
      </c>
      <c r="X1543" t="s">
        <v>38</v>
      </c>
      <c r="Y1543" t="s">
        <v>38</v>
      </c>
      <c r="Z1543" t="s">
        <v>42</v>
      </c>
      <c r="AA1543" t="s">
        <v>548</v>
      </c>
      <c r="AB1543" t="s">
        <v>38</v>
      </c>
      <c r="AC1543" t="s">
        <v>153</v>
      </c>
      <c r="AD1543" t="s">
        <v>48</v>
      </c>
      <c r="AG1543" t="str">
        <f>IF(AD1543="United States", IFERROR(INDEX(Sheet2!$C:$C, MATCH(AE1543&amp;AF1543, Sheet2!$E:$E, 0)) &amp; ", " &amp; INDEX(Sheet2!$D:$D, MATCH(AE1543&amp;AF1543, Sheet2!$E:$E, 0)), ""), "-")</f>
        <v/>
      </c>
    </row>
    <row r="1544" spans="1:33" x14ac:dyDescent="0.25">
      <c r="A1544" t="s">
        <v>2966</v>
      </c>
      <c r="B1544" t="s">
        <v>3032</v>
      </c>
      <c r="C1544" t="s">
        <v>2968</v>
      </c>
      <c r="D1544" t="s">
        <v>359</v>
      </c>
      <c r="E1544" t="s">
        <v>3033</v>
      </c>
      <c r="F1544">
        <v>1751</v>
      </c>
      <c r="G1544">
        <v>1672</v>
      </c>
      <c r="H1544" t="s">
        <v>38</v>
      </c>
      <c r="I1544" t="s">
        <v>80</v>
      </c>
      <c r="J1544" t="s">
        <v>2969</v>
      </c>
      <c r="K1544" t="s">
        <v>38</v>
      </c>
      <c r="L1544" t="s">
        <v>38</v>
      </c>
      <c r="M1544" t="s">
        <v>2124</v>
      </c>
      <c r="N1544" t="s">
        <v>2532</v>
      </c>
      <c r="O1544" t="s">
        <v>57</v>
      </c>
      <c r="P1544" t="s">
        <v>42</v>
      </c>
      <c r="Q1544" t="s">
        <v>43</v>
      </c>
      <c r="R1544" t="s">
        <v>3034</v>
      </c>
      <c r="S1544" t="s">
        <v>153</v>
      </c>
      <c r="T1544" t="s">
        <v>38</v>
      </c>
      <c r="U1544" t="s">
        <v>38</v>
      </c>
      <c r="V1544" t="s">
        <v>137</v>
      </c>
      <c r="W1544" t="s">
        <v>38</v>
      </c>
      <c r="X1544" t="s">
        <v>38</v>
      </c>
      <c r="Y1544" t="s">
        <v>38</v>
      </c>
      <c r="Z1544" t="s">
        <v>42</v>
      </c>
      <c r="AA1544" t="s">
        <v>155</v>
      </c>
      <c r="AB1544" t="s">
        <v>38</v>
      </c>
      <c r="AC1544" t="s">
        <v>153</v>
      </c>
      <c r="AD1544" t="s">
        <v>48</v>
      </c>
      <c r="AG1544" t="str">
        <f>IF(AD1544="United States", IFERROR(INDEX(Sheet2!$C:$C, MATCH(AE1544&amp;AF1544, Sheet2!$E:$E, 0)) &amp; ", " &amp; INDEX(Sheet2!$D:$D, MATCH(AE1544&amp;AF1544, Sheet2!$E:$E, 0)), ""), "-")</f>
        <v/>
      </c>
    </row>
    <row r="1545" spans="1:33" x14ac:dyDescent="0.25">
      <c r="A1545" t="s">
        <v>2966</v>
      </c>
      <c r="B1545" t="s">
        <v>3035</v>
      </c>
      <c r="C1545" t="s">
        <v>2968</v>
      </c>
      <c r="D1545" t="s">
        <v>1164</v>
      </c>
      <c r="E1545" t="s">
        <v>3036</v>
      </c>
      <c r="F1545">
        <v>1743</v>
      </c>
      <c r="G1545">
        <v>1673</v>
      </c>
      <c r="H1545" t="s">
        <v>38</v>
      </c>
      <c r="I1545" t="s">
        <v>80</v>
      </c>
      <c r="J1545" t="s">
        <v>2969</v>
      </c>
      <c r="K1545" t="s">
        <v>38</v>
      </c>
      <c r="L1545" t="s">
        <v>38</v>
      </c>
      <c r="M1545" t="s">
        <v>38</v>
      </c>
      <c r="N1545" t="s">
        <v>38</v>
      </c>
      <c r="O1545" t="s">
        <v>57</v>
      </c>
      <c r="P1545" t="s">
        <v>42</v>
      </c>
      <c r="Q1545" t="s">
        <v>43</v>
      </c>
      <c r="R1545" t="s">
        <v>3037</v>
      </c>
      <c r="S1545" t="s">
        <v>153</v>
      </c>
      <c r="T1545" t="s">
        <v>38</v>
      </c>
      <c r="U1545" t="s">
        <v>38</v>
      </c>
      <c r="V1545" t="s">
        <v>137</v>
      </c>
      <c r="W1545" t="s">
        <v>38</v>
      </c>
      <c r="X1545" t="s">
        <v>38</v>
      </c>
      <c r="Y1545" t="s">
        <v>38</v>
      </c>
      <c r="Z1545" t="s">
        <v>42</v>
      </c>
      <c r="AA1545" t="s">
        <v>155</v>
      </c>
      <c r="AB1545" t="s">
        <v>38</v>
      </c>
      <c r="AC1545" t="s">
        <v>153</v>
      </c>
      <c r="AD1545" t="s">
        <v>48</v>
      </c>
      <c r="AG1545" t="str">
        <f>IF(AD1545="United States", IFERROR(INDEX(Sheet2!$C:$C, MATCH(AE1545&amp;AF1545, Sheet2!$E:$E, 0)) &amp; ", " &amp; INDEX(Sheet2!$D:$D, MATCH(AE1545&amp;AF1545, Sheet2!$E:$E, 0)), ""), "-")</f>
        <v/>
      </c>
    </row>
    <row r="1546" spans="1:33" x14ac:dyDescent="0.25">
      <c r="A1546" t="s">
        <v>2966</v>
      </c>
      <c r="B1546" t="s">
        <v>3038</v>
      </c>
      <c r="C1546" t="s">
        <v>2968</v>
      </c>
      <c r="D1546" t="s">
        <v>190</v>
      </c>
      <c r="E1546" t="s">
        <v>3039</v>
      </c>
      <c r="F1546">
        <v>1753</v>
      </c>
      <c r="G1546">
        <v>1674</v>
      </c>
      <c r="H1546" t="s">
        <v>2975</v>
      </c>
      <c r="I1546" t="s">
        <v>80</v>
      </c>
      <c r="J1546" t="s">
        <v>2969</v>
      </c>
      <c r="K1546" t="s">
        <v>38</v>
      </c>
      <c r="L1546" t="s">
        <v>38</v>
      </c>
      <c r="M1546" t="s">
        <v>38</v>
      </c>
      <c r="N1546" t="s">
        <v>38</v>
      </c>
      <c r="O1546" t="s">
        <v>57</v>
      </c>
      <c r="P1546" t="s">
        <v>42</v>
      </c>
      <c r="Q1546" t="s">
        <v>43</v>
      </c>
      <c r="R1546" t="s">
        <v>2452</v>
      </c>
      <c r="S1546" t="s">
        <v>45</v>
      </c>
      <c r="T1546" t="s">
        <v>89</v>
      </c>
      <c r="U1546" t="s">
        <v>2453</v>
      </c>
      <c r="V1546" t="s">
        <v>137</v>
      </c>
      <c r="W1546" t="s">
        <v>92</v>
      </c>
      <c r="X1546" t="s">
        <v>38</v>
      </c>
      <c r="Y1546" t="s">
        <v>38</v>
      </c>
      <c r="Z1546" t="s">
        <v>42</v>
      </c>
      <c r="AA1546" t="s">
        <v>241</v>
      </c>
      <c r="AB1546" t="s">
        <v>38</v>
      </c>
      <c r="AC1546" t="s">
        <v>45</v>
      </c>
      <c r="AD1546" t="s">
        <v>48</v>
      </c>
      <c r="AG1546" t="str">
        <f>IF(AD1546="United States", IFERROR(INDEX(Sheet2!$C:$C, MATCH(AE1546&amp;AF1546, Sheet2!$E:$E, 0)) &amp; ", " &amp; INDEX(Sheet2!$D:$D, MATCH(AE1546&amp;AF1546, Sheet2!$E:$E, 0)), ""), "-")</f>
        <v/>
      </c>
    </row>
    <row r="1547" spans="1:33" x14ac:dyDescent="0.25">
      <c r="A1547" t="s">
        <v>2966</v>
      </c>
      <c r="B1547" t="s">
        <v>3040</v>
      </c>
      <c r="C1547" t="s">
        <v>2968</v>
      </c>
      <c r="D1547" t="s">
        <v>352</v>
      </c>
      <c r="E1547" t="s">
        <v>3039</v>
      </c>
      <c r="F1547">
        <v>1767</v>
      </c>
      <c r="G1547">
        <v>1675</v>
      </c>
      <c r="H1547" t="s">
        <v>38</v>
      </c>
      <c r="I1547" t="s">
        <v>80</v>
      </c>
      <c r="J1547" t="s">
        <v>2969</v>
      </c>
      <c r="K1547" t="s">
        <v>38</v>
      </c>
      <c r="L1547" t="s">
        <v>38</v>
      </c>
      <c r="M1547" t="s">
        <v>38</v>
      </c>
      <c r="N1547" t="s">
        <v>38</v>
      </c>
      <c r="O1547" t="s">
        <v>74</v>
      </c>
      <c r="P1547" t="s">
        <v>42</v>
      </c>
      <c r="Q1547" t="s">
        <v>43</v>
      </c>
      <c r="R1547" t="s">
        <v>241</v>
      </c>
      <c r="S1547" t="s">
        <v>45</v>
      </c>
      <c r="T1547" t="s">
        <v>38</v>
      </c>
      <c r="U1547" t="s">
        <v>38</v>
      </c>
      <c r="V1547" t="s">
        <v>137</v>
      </c>
      <c r="W1547" t="s">
        <v>38</v>
      </c>
      <c r="X1547" t="s">
        <v>38</v>
      </c>
      <c r="Y1547" t="s">
        <v>38</v>
      </c>
      <c r="Z1547" t="s">
        <v>42</v>
      </c>
      <c r="AA1547" t="s">
        <v>241</v>
      </c>
      <c r="AB1547" t="s">
        <v>38</v>
      </c>
      <c r="AC1547" t="s">
        <v>45</v>
      </c>
      <c r="AD1547" t="s">
        <v>48</v>
      </c>
      <c r="AG1547" t="str">
        <f>IF(AD1547="United States", IFERROR(INDEX(Sheet2!$C:$C, MATCH(AE1547&amp;AF1547, Sheet2!$E:$E, 0)) &amp; ", " &amp; INDEX(Sheet2!$D:$D, MATCH(AE1547&amp;AF1547, Sheet2!$E:$E, 0)), ""), "-")</f>
        <v/>
      </c>
    </row>
    <row r="1548" spans="1:33" x14ac:dyDescent="0.25">
      <c r="A1548" t="s">
        <v>2966</v>
      </c>
      <c r="B1548" t="s">
        <v>3041</v>
      </c>
      <c r="C1548" t="s">
        <v>2968</v>
      </c>
      <c r="D1548" t="s">
        <v>3042</v>
      </c>
      <c r="E1548" t="s">
        <v>226</v>
      </c>
      <c r="F1548">
        <v>1743</v>
      </c>
      <c r="G1548">
        <v>1667</v>
      </c>
      <c r="H1548" t="s">
        <v>38</v>
      </c>
      <c r="I1548" t="s">
        <v>80</v>
      </c>
      <c r="J1548" t="s">
        <v>2969</v>
      </c>
      <c r="K1548" t="s">
        <v>38</v>
      </c>
      <c r="L1548" t="s">
        <v>38</v>
      </c>
      <c r="M1548" t="s">
        <v>38</v>
      </c>
      <c r="N1548" t="s">
        <v>38</v>
      </c>
      <c r="O1548" t="s">
        <v>41</v>
      </c>
      <c r="P1548" t="s">
        <v>42</v>
      </c>
      <c r="Q1548" t="s">
        <v>43</v>
      </c>
      <c r="R1548" t="s">
        <v>3043</v>
      </c>
      <c r="S1548" t="s">
        <v>165</v>
      </c>
      <c r="T1548" t="s">
        <v>38</v>
      </c>
      <c r="U1548" t="s">
        <v>38</v>
      </c>
      <c r="V1548" t="s">
        <v>137</v>
      </c>
      <c r="W1548" t="s">
        <v>38</v>
      </c>
      <c r="X1548" t="s">
        <v>38</v>
      </c>
      <c r="Y1548" t="s">
        <v>38</v>
      </c>
      <c r="Z1548" t="s">
        <v>42</v>
      </c>
      <c r="AA1548" t="s">
        <v>166</v>
      </c>
      <c r="AB1548" t="s">
        <v>38</v>
      </c>
      <c r="AC1548" t="s">
        <v>165</v>
      </c>
      <c r="AD1548" t="s">
        <v>48</v>
      </c>
      <c r="AG1548" t="str">
        <f>IF(AD1548="United States", IFERROR(INDEX(Sheet2!$C:$C, MATCH(AE1548&amp;AF1548, Sheet2!$E:$E, 0)) &amp; ", " &amp; INDEX(Sheet2!$D:$D, MATCH(AE1548&amp;AF1548, Sheet2!$E:$E, 0)), ""), "-")</f>
        <v/>
      </c>
    </row>
    <row r="1549" spans="1:33" x14ac:dyDescent="0.25">
      <c r="A1549" t="s">
        <v>2966</v>
      </c>
      <c r="B1549" t="s">
        <v>3044</v>
      </c>
      <c r="C1549" t="s">
        <v>2968</v>
      </c>
      <c r="D1549" t="s">
        <v>1230</v>
      </c>
      <c r="E1549" t="s">
        <v>704</v>
      </c>
      <c r="F1549">
        <v>1760</v>
      </c>
      <c r="G1549">
        <v>1676</v>
      </c>
      <c r="H1549" t="s">
        <v>2977</v>
      </c>
      <c r="I1549" t="s">
        <v>80</v>
      </c>
      <c r="J1549" t="s">
        <v>2969</v>
      </c>
      <c r="K1549" t="s">
        <v>38</v>
      </c>
      <c r="L1549" t="s">
        <v>38</v>
      </c>
      <c r="M1549" t="s">
        <v>38</v>
      </c>
      <c r="N1549" t="s">
        <v>38</v>
      </c>
      <c r="O1549" t="s">
        <v>57</v>
      </c>
      <c r="P1549" t="s">
        <v>42</v>
      </c>
      <c r="Q1549" t="s">
        <v>43</v>
      </c>
      <c r="R1549" t="s">
        <v>2452</v>
      </c>
      <c r="S1549" t="s">
        <v>38</v>
      </c>
      <c r="T1549" t="s">
        <v>89</v>
      </c>
      <c r="U1549" t="s">
        <v>2453</v>
      </c>
      <c r="V1549" t="s">
        <v>137</v>
      </c>
      <c r="W1549" t="s">
        <v>92</v>
      </c>
      <c r="X1549" t="s">
        <v>38</v>
      </c>
      <c r="Y1549" t="s">
        <v>38</v>
      </c>
      <c r="Z1549" t="s">
        <v>42</v>
      </c>
      <c r="AA1549" t="s">
        <v>38</v>
      </c>
      <c r="AB1549" t="s">
        <v>38</v>
      </c>
      <c r="AC1549" t="s">
        <v>155</v>
      </c>
      <c r="AD1549" t="s">
        <v>48</v>
      </c>
      <c r="AG1549" t="str">
        <f>IF(AD1549="United States", IFERROR(INDEX(Sheet2!$C:$C, MATCH(AE1549&amp;AF1549, Sheet2!$E:$E, 0)) &amp; ", " &amp; INDEX(Sheet2!$D:$D, MATCH(AE1549&amp;AF1549, Sheet2!$E:$E, 0)), ""), "-")</f>
        <v/>
      </c>
    </row>
    <row r="1550" spans="1:33" x14ac:dyDescent="0.25">
      <c r="A1550" t="s">
        <v>2966</v>
      </c>
      <c r="B1550" t="s">
        <v>3045</v>
      </c>
      <c r="C1550" t="s">
        <v>2968</v>
      </c>
      <c r="D1550" t="s">
        <v>445</v>
      </c>
      <c r="E1550" t="s">
        <v>368</v>
      </c>
      <c r="F1550">
        <v>1753</v>
      </c>
      <c r="G1550">
        <v>1678</v>
      </c>
      <c r="H1550" t="s">
        <v>38</v>
      </c>
      <c r="I1550" t="s">
        <v>80</v>
      </c>
      <c r="J1550" t="s">
        <v>2969</v>
      </c>
      <c r="K1550" t="s">
        <v>38</v>
      </c>
      <c r="L1550" t="s">
        <v>38</v>
      </c>
      <c r="M1550" t="s">
        <v>38</v>
      </c>
      <c r="N1550" t="s">
        <v>38</v>
      </c>
      <c r="O1550" t="s">
        <v>57</v>
      </c>
      <c r="P1550" t="s">
        <v>42</v>
      </c>
      <c r="Q1550" t="s">
        <v>43</v>
      </c>
      <c r="R1550" t="s">
        <v>3046</v>
      </c>
      <c r="S1550" t="s">
        <v>153</v>
      </c>
      <c r="T1550" t="s">
        <v>38</v>
      </c>
      <c r="U1550" t="s">
        <v>38</v>
      </c>
      <c r="V1550" t="s">
        <v>137</v>
      </c>
      <c r="W1550" t="s">
        <v>38</v>
      </c>
      <c r="X1550" t="s">
        <v>38</v>
      </c>
      <c r="Y1550" t="s">
        <v>38</v>
      </c>
      <c r="Z1550" t="s">
        <v>42</v>
      </c>
      <c r="AA1550" t="s">
        <v>2837</v>
      </c>
      <c r="AB1550" t="s">
        <v>38</v>
      </c>
      <c r="AC1550" t="s">
        <v>153</v>
      </c>
      <c r="AD1550" t="s">
        <v>48</v>
      </c>
      <c r="AG1550" t="str">
        <f>IF(AD1550="United States", IFERROR(INDEX(Sheet2!$C:$C, MATCH(AE1550&amp;AF1550, Sheet2!$E:$E, 0)) &amp; ", " &amp; INDEX(Sheet2!$D:$D, MATCH(AE1550&amp;AF1550, Sheet2!$E:$E, 0)), ""), "-")</f>
        <v/>
      </c>
    </row>
    <row r="1551" spans="1:33" x14ac:dyDescent="0.25">
      <c r="A1551" t="s">
        <v>2966</v>
      </c>
      <c r="B1551" t="s">
        <v>3047</v>
      </c>
      <c r="C1551" t="s">
        <v>2968</v>
      </c>
      <c r="D1551" t="s">
        <v>63</v>
      </c>
      <c r="E1551" t="s">
        <v>1908</v>
      </c>
      <c r="F1551">
        <v>1753</v>
      </c>
      <c r="G1551">
        <v>1679</v>
      </c>
      <c r="H1551" t="s">
        <v>2975</v>
      </c>
      <c r="I1551" t="s">
        <v>80</v>
      </c>
      <c r="J1551" t="s">
        <v>2969</v>
      </c>
      <c r="K1551" t="s">
        <v>38</v>
      </c>
      <c r="L1551" t="s">
        <v>38</v>
      </c>
      <c r="M1551" t="s">
        <v>38</v>
      </c>
      <c r="N1551" t="s">
        <v>38</v>
      </c>
      <c r="O1551" t="s">
        <v>41</v>
      </c>
      <c r="P1551" t="s">
        <v>42</v>
      </c>
      <c r="Q1551" t="s">
        <v>43</v>
      </c>
      <c r="R1551" t="s">
        <v>2452</v>
      </c>
      <c r="S1551" t="s">
        <v>153</v>
      </c>
      <c r="T1551" t="s">
        <v>89</v>
      </c>
      <c r="U1551" t="s">
        <v>2453</v>
      </c>
      <c r="V1551" t="s">
        <v>137</v>
      </c>
      <c r="W1551" t="s">
        <v>92</v>
      </c>
      <c r="X1551" t="s">
        <v>38</v>
      </c>
      <c r="Y1551" t="s">
        <v>38</v>
      </c>
      <c r="Z1551" t="s">
        <v>42</v>
      </c>
      <c r="AA1551" t="s">
        <v>155</v>
      </c>
      <c r="AB1551" t="s">
        <v>38</v>
      </c>
      <c r="AC1551" t="s">
        <v>153</v>
      </c>
      <c r="AD1551" t="s">
        <v>48</v>
      </c>
      <c r="AG1551" t="str">
        <f>IF(AD1551="United States", IFERROR(INDEX(Sheet2!$C:$C, MATCH(AE1551&amp;AF1551, Sheet2!$E:$E, 0)) &amp; ", " &amp; INDEX(Sheet2!$D:$D, MATCH(AE1551&amp;AF1551, Sheet2!$E:$E, 0)), ""), "-")</f>
        <v/>
      </c>
    </row>
    <row r="1552" spans="1:33" x14ac:dyDescent="0.25">
      <c r="A1552" t="s">
        <v>2966</v>
      </c>
      <c r="B1552" t="s">
        <v>3048</v>
      </c>
      <c r="C1552" t="s">
        <v>2968</v>
      </c>
      <c r="D1552" t="s">
        <v>245</v>
      </c>
      <c r="E1552" t="s">
        <v>3049</v>
      </c>
      <c r="F1552">
        <v>1769</v>
      </c>
      <c r="G1552">
        <v>1680</v>
      </c>
      <c r="H1552" t="s">
        <v>38</v>
      </c>
      <c r="I1552" t="s">
        <v>80</v>
      </c>
      <c r="J1552" t="s">
        <v>2969</v>
      </c>
      <c r="K1552" t="s">
        <v>38</v>
      </c>
      <c r="L1552" t="s">
        <v>38</v>
      </c>
      <c r="M1552" t="s">
        <v>38</v>
      </c>
      <c r="N1552" t="s">
        <v>38</v>
      </c>
      <c r="O1552" t="s">
        <v>74</v>
      </c>
      <c r="P1552" t="s">
        <v>42</v>
      </c>
      <c r="Q1552" t="s">
        <v>43</v>
      </c>
      <c r="R1552" t="s">
        <v>3050</v>
      </c>
      <c r="S1552" t="s">
        <v>45</v>
      </c>
      <c r="T1552" t="s">
        <v>38</v>
      </c>
      <c r="U1552" t="s">
        <v>38</v>
      </c>
      <c r="V1552" t="s">
        <v>137</v>
      </c>
      <c r="W1552" t="s">
        <v>38</v>
      </c>
      <c r="X1552" t="s">
        <v>38</v>
      </c>
      <c r="Y1552" t="s">
        <v>38</v>
      </c>
      <c r="Z1552" t="s">
        <v>42</v>
      </c>
      <c r="AA1552" t="s">
        <v>878</v>
      </c>
      <c r="AB1552" t="s">
        <v>38</v>
      </c>
      <c r="AC1552" t="s">
        <v>45</v>
      </c>
      <c r="AD1552" t="s">
        <v>48</v>
      </c>
      <c r="AG1552" t="str">
        <f>IF(AD1552="United States", IFERROR(INDEX(Sheet2!$C:$C, MATCH(AE1552&amp;AF1552, Sheet2!$E:$E, 0)) &amp; ", " &amp; INDEX(Sheet2!$D:$D, MATCH(AE1552&amp;AF1552, Sheet2!$E:$E, 0)), ""), "-")</f>
        <v/>
      </c>
    </row>
    <row r="1553" spans="1:33" x14ac:dyDescent="0.25">
      <c r="A1553" t="s">
        <v>2966</v>
      </c>
      <c r="B1553" t="s">
        <v>3051</v>
      </c>
      <c r="C1553" t="s">
        <v>2968</v>
      </c>
      <c r="D1553" t="s">
        <v>193</v>
      </c>
      <c r="E1553" t="s">
        <v>3052</v>
      </c>
      <c r="F1553">
        <v>1740</v>
      </c>
      <c r="G1553">
        <v>1681</v>
      </c>
      <c r="H1553" t="s">
        <v>38</v>
      </c>
      <c r="I1553" t="s">
        <v>80</v>
      </c>
      <c r="J1553" t="s">
        <v>2969</v>
      </c>
      <c r="K1553" t="s">
        <v>38</v>
      </c>
      <c r="L1553" t="s">
        <v>38</v>
      </c>
      <c r="M1553" t="s">
        <v>38</v>
      </c>
      <c r="N1553" t="s">
        <v>38</v>
      </c>
      <c r="O1553" t="s">
        <v>41</v>
      </c>
      <c r="P1553" t="s">
        <v>42</v>
      </c>
      <c r="Q1553" t="s">
        <v>43</v>
      </c>
      <c r="R1553" t="s">
        <v>38</v>
      </c>
      <c r="S1553" t="s">
        <v>38</v>
      </c>
      <c r="T1553" t="s">
        <v>38</v>
      </c>
      <c r="U1553" t="s">
        <v>38</v>
      </c>
      <c r="V1553" t="s">
        <v>137</v>
      </c>
      <c r="W1553" t="s">
        <v>38</v>
      </c>
      <c r="X1553" t="s">
        <v>38</v>
      </c>
      <c r="Y1553" t="s">
        <v>38</v>
      </c>
      <c r="Z1553" t="s">
        <v>42</v>
      </c>
      <c r="AA1553" t="s">
        <v>38</v>
      </c>
      <c r="AB1553" t="s">
        <v>38</v>
      </c>
      <c r="AC1553" t="s">
        <v>38</v>
      </c>
      <c r="AD1553" t="s">
        <v>48</v>
      </c>
      <c r="AG1553" t="str">
        <f>IF(AD1553="United States", IFERROR(INDEX(Sheet2!$C:$C, MATCH(AE1553&amp;AF1553, Sheet2!$E:$E, 0)) &amp; ", " &amp; INDEX(Sheet2!$D:$D, MATCH(AE1553&amp;AF1553, Sheet2!$E:$E, 0)), ""), "-")</f>
        <v/>
      </c>
    </row>
    <row r="1554" spans="1:33" x14ac:dyDescent="0.25">
      <c r="A1554" t="s">
        <v>2966</v>
      </c>
      <c r="B1554" t="s">
        <v>3053</v>
      </c>
      <c r="C1554" t="s">
        <v>2968</v>
      </c>
      <c r="D1554" t="s">
        <v>1116</v>
      </c>
      <c r="E1554" t="s">
        <v>1941</v>
      </c>
      <c r="F1554">
        <v>1758</v>
      </c>
      <c r="G1554">
        <v>1682</v>
      </c>
      <c r="H1554" t="s">
        <v>2977</v>
      </c>
      <c r="I1554" t="s">
        <v>80</v>
      </c>
      <c r="J1554" t="s">
        <v>2969</v>
      </c>
      <c r="K1554" t="s">
        <v>38</v>
      </c>
      <c r="L1554" t="s">
        <v>38</v>
      </c>
      <c r="M1554" t="s">
        <v>38</v>
      </c>
      <c r="N1554" t="s">
        <v>38</v>
      </c>
      <c r="O1554" t="s">
        <v>41</v>
      </c>
      <c r="P1554" t="s">
        <v>42</v>
      </c>
      <c r="Q1554" t="s">
        <v>43</v>
      </c>
      <c r="R1554" t="s">
        <v>2452</v>
      </c>
      <c r="S1554" t="s">
        <v>286</v>
      </c>
      <c r="T1554" t="s">
        <v>89</v>
      </c>
      <c r="U1554" t="s">
        <v>2453</v>
      </c>
      <c r="V1554" t="s">
        <v>137</v>
      </c>
      <c r="W1554" t="s">
        <v>92</v>
      </c>
      <c r="X1554" t="s">
        <v>38</v>
      </c>
      <c r="Y1554" t="s">
        <v>38</v>
      </c>
      <c r="Z1554" t="s">
        <v>42</v>
      </c>
      <c r="AA1554" t="s">
        <v>2238</v>
      </c>
      <c r="AB1554" t="s">
        <v>38</v>
      </c>
      <c r="AC1554" t="s">
        <v>286</v>
      </c>
      <c r="AD1554" t="s">
        <v>48</v>
      </c>
      <c r="AG1554" t="str">
        <f>IF(AD1554="United States", IFERROR(INDEX(Sheet2!$C:$C, MATCH(AE1554&amp;AF1554, Sheet2!$E:$E, 0)) &amp; ", " &amp; INDEX(Sheet2!$D:$D, MATCH(AE1554&amp;AF1554, Sheet2!$E:$E, 0)), ""), "-")</f>
        <v/>
      </c>
    </row>
    <row r="1555" spans="1:33" x14ac:dyDescent="0.25">
      <c r="A1555" t="s">
        <v>2966</v>
      </c>
      <c r="B1555" t="s">
        <v>3054</v>
      </c>
      <c r="C1555" t="s">
        <v>2968</v>
      </c>
      <c r="D1555" t="s">
        <v>3055</v>
      </c>
      <c r="E1555" t="s">
        <v>2943</v>
      </c>
      <c r="F1555">
        <v>1760</v>
      </c>
      <c r="G1555">
        <v>1683</v>
      </c>
      <c r="H1555" t="s">
        <v>2977</v>
      </c>
      <c r="I1555" t="s">
        <v>80</v>
      </c>
      <c r="J1555" t="s">
        <v>2969</v>
      </c>
      <c r="K1555" t="s">
        <v>38</v>
      </c>
      <c r="L1555" t="s">
        <v>38</v>
      </c>
      <c r="M1555" t="s">
        <v>38</v>
      </c>
      <c r="N1555" t="s">
        <v>38</v>
      </c>
      <c r="O1555" t="s">
        <v>41</v>
      </c>
      <c r="P1555" t="s">
        <v>42</v>
      </c>
      <c r="Q1555" t="s">
        <v>43</v>
      </c>
      <c r="R1555" t="s">
        <v>2452</v>
      </c>
      <c r="S1555" t="s">
        <v>153</v>
      </c>
      <c r="T1555" t="s">
        <v>89</v>
      </c>
      <c r="U1555" t="s">
        <v>2453</v>
      </c>
      <c r="V1555" t="s">
        <v>137</v>
      </c>
      <c r="W1555" t="s">
        <v>92</v>
      </c>
      <c r="X1555" t="s">
        <v>38</v>
      </c>
      <c r="Y1555" t="s">
        <v>38</v>
      </c>
      <c r="Z1555" t="s">
        <v>42</v>
      </c>
      <c r="AA1555" t="s">
        <v>2837</v>
      </c>
      <c r="AB1555" t="s">
        <v>38</v>
      </c>
      <c r="AC1555" t="s">
        <v>153</v>
      </c>
      <c r="AD1555" t="s">
        <v>48</v>
      </c>
      <c r="AG1555" t="str">
        <f>IF(AD1555="United States", IFERROR(INDEX(Sheet2!$C:$C, MATCH(AE1555&amp;AF1555, Sheet2!$E:$E, 0)) &amp; ", " &amp; INDEX(Sheet2!$D:$D, MATCH(AE1555&amp;AF1555, Sheet2!$E:$E, 0)), ""), "-")</f>
        <v/>
      </c>
    </row>
    <row r="1556" spans="1:33" x14ac:dyDescent="0.25">
      <c r="A1556" t="s">
        <v>2966</v>
      </c>
      <c r="B1556" t="s">
        <v>3056</v>
      </c>
      <c r="C1556" t="s">
        <v>2968</v>
      </c>
      <c r="D1556" t="s">
        <v>200</v>
      </c>
      <c r="E1556" t="s">
        <v>3057</v>
      </c>
      <c r="F1556">
        <v>1748</v>
      </c>
      <c r="G1556">
        <v>1703</v>
      </c>
      <c r="H1556" t="s">
        <v>2975</v>
      </c>
      <c r="I1556" t="s">
        <v>80</v>
      </c>
      <c r="J1556" t="s">
        <v>2969</v>
      </c>
      <c r="K1556" t="s">
        <v>38</v>
      </c>
      <c r="L1556" t="s">
        <v>38</v>
      </c>
      <c r="M1556" t="s">
        <v>38</v>
      </c>
      <c r="N1556" t="s">
        <v>38</v>
      </c>
      <c r="O1556" t="s">
        <v>41</v>
      </c>
      <c r="P1556" t="s">
        <v>42</v>
      </c>
      <c r="Q1556" t="s">
        <v>43</v>
      </c>
      <c r="R1556" t="s">
        <v>2452</v>
      </c>
      <c r="S1556" t="s">
        <v>201</v>
      </c>
      <c r="T1556" t="s">
        <v>89</v>
      </c>
      <c r="U1556" t="s">
        <v>2453</v>
      </c>
      <c r="V1556" t="s">
        <v>137</v>
      </c>
      <c r="W1556" t="s">
        <v>92</v>
      </c>
      <c r="X1556" t="s">
        <v>38</v>
      </c>
      <c r="Y1556" t="s">
        <v>38</v>
      </c>
      <c r="Z1556" t="s">
        <v>42</v>
      </c>
      <c r="AA1556" t="s">
        <v>38</v>
      </c>
      <c r="AB1556" t="s">
        <v>38</v>
      </c>
      <c r="AC1556" t="s">
        <v>201</v>
      </c>
      <c r="AD1556" t="s">
        <v>48</v>
      </c>
      <c r="AG1556" t="str">
        <f>IF(AD1556="United States", IFERROR(INDEX(Sheet2!$C:$C, MATCH(AE1556&amp;AF1556, Sheet2!$E:$E, 0)) &amp; ", " &amp; INDEX(Sheet2!$D:$D, MATCH(AE1556&amp;AF1556, Sheet2!$E:$E, 0)), ""), "-")</f>
        <v/>
      </c>
    </row>
    <row r="1557" spans="1:33" x14ac:dyDescent="0.25">
      <c r="A1557" t="s">
        <v>2966</v>
      </c>
      <c r="B1557" t="s">
        <v>3058</v>
      </c>
      <c r="C1557" t="s">
        <v>2968</v>
      </c>
      <c r="D1557" t="s">
        <v>210</v>
      </c>
      <c r="E1557" t="s">
        <v>226</v>
      </c>
      <c r="F1557">
        <v>1725</v>
      </c>
      <c r="G1557">
        <v>1702</v>
      </c>
      <c r="H1557" t="s">
        <v>2977</v>
      </c>
      <c r="I1557" t="s">
        <v>80</v>
      </c>
      <c r="J1557" t="s">
        <v>2969</v>
      </c>
      <c r="K1557" t="s">
        <v>38</v>
      </c>
      <c r="L1557" t="s">
        <v>38</v>
      </c>
      <c r="M1557" t="s">
        <v>38</v>
      </c>
      <c r="N1557" t="s">
        <v>38</v>
      </c>
      <c r="O1557" t="s">
        <v>41</v>
      </c>
      <c r="P1557" t="s">
        <v>42</v>
      </c>
      <c r="Q1557" t="s">
        <v>43</v>
      </c>
      <c r="R1557" t="s">
        <v>2452</v>
      </c>
      <c r="S1557" t="s">
        <v>89</v>
      </c>
      <c r="T1557" t="s">
        <v>89</v>
      </c>
      <c r="U1557" t="s">
        <v>2453</v>
      </c>
      <c r="V1557" t="s">
        <v>137</v>
      </c>
      <c r="W1557" t="s">
        <v>92</v>
      </c>
      <c r="X1557" t="s">
        <v>38</v>
      </c>
      <c r="Y1557" t="s">
        <v>38</v>
      </c>
      <c r="Z1557" t="s">
        <v>42</v>
      </c>
      <c r="AA1557" t="s">
        <v>38</v>
      </c>
      <c r="AB1557" t="s">
        <v>38</v>
      </c>
      <c r="AC1557" t="s">
        <v>89</v>
      </c>
      <c r="AD1557" t="s">
        <v>48</v>
      </c>
      <c r="AG1557" t="str">
        <f>IF(AD1557="United States", IFERROR(INDEX(Sheet2!$C:$C, MATCH(AE1557&amp;AF1557, Sheet2!$E:$E, 0)) &amp; ", " &amp; INDEX(Sheet2!$D:$D, MATCH(AE1557&amp;AF1557, Sheet2!$E:$E, 0)), ""), "-")</f>
        <v/>
      </c>
    </row>
    <row r="1558" spans="1:33" x14ac:dyDescent="0.25">
      <c r="A1558" t="s">
        <v>2966</v>
      </c>
      <c r="B1558" t="s">
        <v>3059</v>
      </c>
      <c r="C1558" t="s">
        <v>2968</v>
      </c>
      <c r="D1558" t="s">
        <v>803</v>
      </c>
      <c r="E1558" t="s">
        <v>1941</v>
      </c>
      <c r="F1558">
        <v>1745</v>
      </c>
      <c r="G1558">
        <v>1677</v>
      </c>
      <c r="H1558" t="s">
        <v>2975</v>
      </c>
      <c r="I1558" t="s">
        <v>80</v>
      </c>
      <c r="J1558" t="s">
        <v>2969</v>
      </c>
      <c r="K1558" t="s">
        <v>38</v>
      </c>
      <c r="L1558" t="s">
        <v>38</v>
      </c>
      <c r="M1558" t="s">
        <v>38</v>
      </c>
      <c r="N1558" t="s">
        <v>38</v>
      </c>
      <c r="O1558" t="s">
        <v>57</v>
      </c>
      <c r="P1558" t="s">
        <v>42</v>
      </c>
      <c r="Q1558" t="s">
        <v>43</v>
      </c>
      <c r="R1558" t="s">
        <v>2452</v>
      </c>
      <c r="S1558" t="s">
        <v>45</v>
      </c>
      <c r="T1558" t="s">
        <v>89</v>
      </c>
      <c r="U1558" t="s">
        <v>2453</v>
      </c>
      <c r="V1558" t="s">
        <v>137</v>
      </c>
      <c r="W1558" t="s">
        <v>92</v>
      </c>
      <c r="X1558" t="s">
        <v>38</v>
      </c>
      <c r="Y1558" t="s">
        <v>38</v>
      </c>
      <c r="Z1558" t="s">
        <v>42</v>
      </c>
      <c r="AA1558" t="s">
        <v>169</v>
      </c>
      <c r="AB1558" t="s">
        <v>38</v>
      </c>
      <c r="AC1558" t="s">
        <v>45</v>
      </c>
      <c r="AD1558" t="s">
        <v>48</v>
      </c>
      <c r="AG1558" t="str">
        <f>IF(AD1558="United States", IFERROR(INDEX(Sheet2!$C:$C, MATCH(AE1558&amp;AF1558, Sheet2!$E:$E, 0)) &amp; ", " &amp; INDEX(Sheet2!$D:$D, MATCH(AE1558&amp;AF1558, Sheet2!$E:$E, 0)), ""), "-")</f>
        <v/>
      </c>
    </row>
    <row r="1559" spans="1:33" x14ac:dyDescent="0.25">
      <c r="A1559" t="s">
        <v>2966</v>
      </c>
      <c r="B1559" t="s">
        <v>3060</v>
      </c>
      <c r="C1559" t="s">
        <v>2968</v>
      </c>
      <c r="D1559" t="s">
        <v>1840</v>
      </c>
      <c r="E1559" t="s">
        <v>2754</v>
      </c>
      <c r="F1559">
        <v>1723</v>
      </c>
      <c r="G1559">
        <v>1666</v>
      </c>
      <c r="H1559" t="s">
        <v>38</v>
      </c>
      <c r="I1559" t="s">
        <v>80</v>
      </c>
      <c r="J1559" t="s">
        <v>2969</v>
      </c>
      <c r="K1559" t="s">
        <v>38</v>
      </c>
      <c r="L1559" t="s">
        <v>38</v>
      </c>
      <c r="M1559" t="s">
        <v>38</v>
      </c>
      <c r="N1559" t="s">
        <v>38</v>
      </c>
      <c r="O1559" t="s">
        <v>41</v>
      </c>
      <c r="P1559" t="s">
        <v>42</v>
      </c>
      <c r="Q1559" t="s">
        <v>43</v>
      </c>
      <c r="R1559" t="s">
        <v>3061</v>
      </c>
      <c r="S1559" t="s">
        <v>45</v>
      </c>
      <c r="T1559" t="s">
        <v>38</v>
      </c>
      <c r="U1559" t="s">
        <v>38</v>
      </c>
      <c r="V1559" t="s">
        <v>137</v>
      </c>
      <c r="W1559" t="s">
        <v>38</v>
      </c>
      <c r="X1559" t="s">
        <v>38</v>
      </c>
      <c r="Y1559" t="s">
        <v>38</v>
      </c>
      <c r="Z1559" t="s">
        <v>42</v>
      </c>
      <c r="AA1559" t="s">
        <v>241</v>
      </c>
      <c r="AB1559" t="s">
        <v>38</v>
      </c>
      <c r="AC1559" t="s">
        <v>45</v>
      </c>
      <c r="AD1559" t="s">
        <v>48</v>
      </c>
      <c r="AG1559" t="str">
        <f>IF(AD1559="United States", IFERROR(INDEX(Sheet2!$C:$C, MATCH(AE1559&amp;AF1559, Sheet2!$E:$E, 0)) &amp; ", " &amp; INDEX(Sheet2!$D:$D, MATCH(AE1559&amp;AF1559, Sheet2!$E:$E, 0)), ""), "-")</f>
        <v/>
      </c>
    </row>
    <row r="1560" spans="1:33" x14ac:dyDescent="0.25">
      <c r="A1560" t="s">
        <v>2966</v>
      </c>
      <c r="B1560" t="s">
        <v>3062</v>
      </c>
      <c r="C1560" t="s">
        <v>2968</v>
      </c>
      <c r="D1560" t="s">
        <v>50</v>
      </c>
      <c r="E1560" t="s">
        <v>1310</v>
      </c>
      <c r="F1560">
        <v>1765</v>
      </c>
      <c r="G1560">
        <v>1665</v>
      </c>
      <c r="H1560" t="s">
        <v>38</v>
      </c>
      <c r="I1560" t="s">
        <v>80</v>
      </c>
      <c r="J1560" t="s">
        <v>2969</v>
      </c>
      <c r="K1560" t="s">
        <v>38</v>
      </c>
      <c r="L1560" t="s">
        <v>38</v>
      </c>
      <c r="M1560" t="s">
        <v>38</v>
      </c>
      <c r="N1560" t="s">
        <v>38</v>
      </c>
      <c r="O1560" t="s">
        <v>57</v>
      </c>
      <c r="P1560" t="s">
        <v>42</v>
      </c>
      <c r="Q1560" t="s">
        <v>43</v>
      </c>
      <c r="R1560" t="s">
        <v>38</v>
      </c>
      <c r="S1560" t="s">
        <v>38</v>
      </c>
      <c r="T1560" t="s">
        <v>38</v>
      </c>
      <c r="U1560" t="s">
        <v>38</v>
      </c>
      <c r="V1560" t="s">
        <v>137</v>
      </c>
      <c r="W1560" t="s">
        <v>38</v>
      </c>
      <c r="X1560" t="s">
        <v>38</v>
      </c>
      <c r="Y1560" t="s">
        <v>38</v>
      </c>
      <c r="Z1560" t="s">
        <v>42</v>
      </c>
      <c r="AA1560" t="s">
        <v>38</v>
      </c>
      <c r="AB1560" t="s">
        <v>38</v>
      </c>
      <c r="AC1560" t="s">
        <v>593</v>
      </c>
      <c r="AD1560" t="s">
        <v>48</v>
      </c>
      <c r="AG1560" t="str">
        <f>IF(AD1560="United States", IFERROR(INDEX(Sheet2!$C:$C, MATCH(AE1560&amp;AF1560, Sheet2!$E:$E, 0)) &amp; ", " &amp; INDEX(Sheet2!$D:$D, MATCH(AE1560&amp;AF1560, Sheet2!$E:$E, 0)), ""), "-")</f>
        <v/>
      </c>
    </row>
    <row r="1561" spans="1:33" x14ac:dyDescent="0.25">
      <c r="A1561" t="s">
        <v>2966</v>
      </c>
      <c r="B1561" t="s">
        <v>3063</v>
      </c>
      <c r="C1561" t="s">
        <v>2968</v>
      </c>
      <c r="D1561" t="s">
        <v>235</v>
      </c>
      <c r="E1561" t="s">
        <v>38</v>
      </c>
      <c r="F1561">
        <v>1747</v>
      </c>
      <c r="G1561">
        <v>1664</v>
      </c>
      <c r="H1561" t="s">
        <v>38</v>
      </c>
      <c r="I1561" t="s">
        <v>80</v>
      </c>
      <c r="J1561" t="s">
        <v>2969</v>
      </c>
      <c r="K1561" t="s">
        <v>38</v>
      </c>
      <c r="L1561" t="s">
        <v>38</v>
      </c>
      <c r="M1561" t="s">
        <v>38</v>
      </c>
      <c r="N1561" t="s">
        <v>38</v>
      </c>
      <c r="O1561" t="s">
        <v>57</v>
      </c>
      <c r="P1561" t="s">
        <v>42</v>
      </c>
      <c r="Q1561" t="s">
        <v>43</v>
      </c>
      <c r="R1561" t="s">
        <v>3064</v>
      </c>
      <c r="S1561" t="s">
        <v>153</v>
      </c>
      <c r="T1561" t="s">
        <v>38</v>
      </c>
      <c r="U1561" t="s">
        <v>38</v>
      </c>
      <c r="V1561" t="s">
        <v>137</v>
      </c>
      <c r="W1561" t="s">
        <v>38</v>
      </c>
      <c r="X1561" t="s">
        <v>38</v>
      </c>
      <c r="Y1561" t="s">
        <v>38</v>
      </c>
      <c r="Z1561" t="s">
        <v>42</v>
      </c>
      <c r="AA1561" t="s">
        <v>155</v>
      </c>
      <c r="AB1561" t="s">
        <v>38</v>
      </c>
      <c r="AC1561" t="s">
        <v>153</v>
      </c>
      <c r="AD1561" t="s">
        <v>48</v>
      </c>
      <c r="AG1561" t="str">
        <f>IF(AD1561="United States", IFERROR(INDEX(Sheet2!$C:$C, MATCH(AE1561&amp;AF1561, Sheet2!$E:$E, 0)) &amp; ", " &amp; INDEX(Sheet2!$D:$D, MATCH(AE1561&amp;AF1561, Sheet2!$E:$E, 0)), ""), "-")</f>
        <v/>
      </c>
    </row>
    <row r="1562" spans="1:33" x14ac:dyDescent="0.25">
      <c r="A1562" t="s">
        <v>2966</v>
      </c>
      <c r="B1562" t="s">
        <v>3065</v>
      </c>
      <c r="C1562" t="s">
        <v>2968</v>
      </c>
      <c r="D1562" t="s">
        <v>1197</v>
      </c>
      <c r="E1562" t="s">
        <v>1310</v>
      </c>
      <c r="F1562">
        <v>1761</v>
      </c>
      <c r="G1562">
        <v>1733</v>
      </c>
      <c r="H1562" t="s">
        <v>38</v>
      </c>
      <c r="I1562" t="s">
        <v>80</v>
      </c>
      <c r="J1562" t="s">
        <v>2969</v>
      </c>
      <c r="K1562" t="s">
        <v>38</v>
      </c>
      <c r="L1562" t="s">
        <v>38</v>
      </c>
      <c r="M1562" t="s">
        <v>38</v>
      </c>
      <c r="N1562" t="s">
        <v>38</v>
      </c>
      <c r="O1562" t="s">
        <v>57</v>
      </c>
      <c r="P1562" t="s">
        <v>42</v>
      </c>
      <c r="Q1562" t="s">
        <v>43</v>
      </c>
      <c r="R1562" t="s">
        <v>3066</v>
      </c>
      <c r="S1562" t="s">
        <v>153</v>
      </c>
      <c r="T1562" t="s">
        <v>38</v>
      </c>
      <c r="U1562" t="s">
        <v>38</v>
      </c>
      <c r="V1562" t="s">
        <v>137</v>
      </c>
      <c r="W1562" t="s">
        <v>38</v>
      </c>
      <c r="X1562" t="s">
        <v>38</v>
      </c>
      <c r="Y1562" t="s">
        <v>38</v>
      </c>
      <c r="Z1562" t="s">
        <v>42</v>
      </c>
      <c r="AA1562" t="s">
        <v>38</v>
      </c>
      <c r="AB1562" t="s">
        <v>38</v>
      </c>
      <c r="AC1562" t="s">
        <v>3067</v>
      </c>
      <c r="AD1562" t="s">
        <v>48</v>
      </c>
      <c r="AG1562" t="str">
        <f>IF(AD1562="United States", IFERROR(INDEX(Sheet2!$C:$C, MATCH(AE1562&amp;AF1562, Sheet2!$E:$E, 0)) &amp; ", " &amp; INDEX(Sheet2!$D:$D, MATCH(AE1562&amp;AF1562, Sheet2!$E:$E, 0)), ""), "-")</f>
        <v/>
      </c>
    </row>
    <row r="1563" spans="1:33" x14ac:dyDescent="0.25">
      <c r="A1563" t="s">
        <v>2966</v>
      </c>
      <c r="B1563" t="s">
        <v>3068</v>
      </c>
      <c r="C1563" t="s">
        <v>2968</v>
      </c>
      <c r="D1563" t="s">
        <v>3069</v>
      </c>
      <c r="E1563" t="s">
        <v>1908</v>
      </c>
      <c r="F1563">
        <v>1743</v>
      </c>
      <c r="G1563">
        <v>1686</v>
      </c>
      <c r="H1563" t="s">
        <v>38</v>
      </c>
      <c r="I1563" t="s">
        <v>80</v>
      </c>
      <c r="J1563" t="s">
        <v>2969</v>
      </c>
      <c r="K1563" t="s">
        <v>38</v>
      </c>
      <c r="L1563" t="s">
        <v>38</v>
      </c>
      <c r="M1563" t="s">
        <v>38</v>
      </c>
      <c r="N1563" t="s">
        <v>38</v>
      </c>
      <c r="O1563" t="s">
        <v>57</v>
      </c>
      <c r="P1563" t="s">
        <v>42</v>
      </c>
      <c r="Q1563" t="s">
        <v>43</v>
      </c>
      <c r="R1563" t="s">
        <v>3024</v>
      </c>
      <c r="S1563" t="s">
        <v>153</v>
      </c>
      <c r="T1563" t="s">
        <v>38</v>
      </c>
      <c r="U1563" t="s">
        <v>38</v>
      </c>
      <c r="V1563" t="s">
        <v>137</v>
      </c>
      <c r="W1563" t="s">
        <v>38</v>
      </c>
      <c r="X1563" t="s">
        <v>38</v>
      </c>
      <c r="Y1563" t="s">
        <v>38</v>
      </c>
      <c r="Z1563" t="s">
        <v>42</v>
      </c>
      <c r="AA1563" t="s">
        <v>155</v>
      </c>
      <c r="AB1563" t="s">
        <v>38</v>
      </c>
      <c r="AC1563" t="s">
        <v>153</v>
      </c>
      <c r="AD1563" t="s">
        <v>48</v>
      </c>
      <c r="AG1563" t="str">
        <f>IF(AD1563="United States", IFERROR(INDEX(Sheet2!$C:$C, MATCH(AE1563&amp;AF1563, Sheet2!$E:$E, 0)) &amp; ", " &amp; INDEX(Sheet2!$D:$D, MATCH(AE1563&amp;AF1563, Sheet2!$E:$E, 0)), ""), "-")</f>
        <v/>
      </c>
    </row>
    <row r="1564" spans="1:33" x14ac:dyDescent="0.25">
      <c r="A1564" t="s">
        <v>2966</v>
      </c>
      <c r="B1564" t="s">
        <v>3070</v>
      </c>
      <c r="C1564" t="s">
        <v>2968</v>
      </c>
      <c r="D1564" t="s">
        <v>36</v>
      </c>
      <c r="E1564" t="s">
        <v>275</v>
      </c>
      <c r="F1564">
        <v>1743</v>
      </c>
      <c r="G1564">
        <v>1687</v>
      </c>
      <c r="H1564" t="s">
        <v>2975</v>
      </c>
      <c r="I1564" t="s">
        <v>80</v>
      </c>
      <c r="J1564" t="s">
        <v>2969</v>
      </c>
      <c r="K1564" t="s">
        <v>38</v>
      </c>
      <c r="L1564" t="s">
        <v>38</v>
      </c>
      <c r="M1564" t="s">
        <v>38</v>
      </c>
      <c r="N1564" t="s">
        <v>38</v>
      </c>
      <c r="O1564" t="s">
        <v>41</v>
      </c>
      <c r="P1564" t="s">
        <v>42</v>
      </c>
      <c r="Q1564" t="s">
        <v>43</v>
      </c>
      <c r="R1564" t="s">
        <v>2452</v>
      </c>
      <c r="S1564" t="s">
        <v>153</v>
      </c>
      <c r="T1564" t="s">
        <v>89</v>
      </c>
      <c r="U1564" t="s">
        <v>2453</v>
      </c>
      <c r="V1564" t="s">
        <v>137</v>
      </c>
      <c r="W1564" t="s">
        <v>92</v>
      </c>
      <c r="X1564" t="s">
        <v>38</v>
      </c>
      <c r="Y1564" t="s">
        <v>38</v>
      </c>
      <c r="Z1564" t="s">
        <v>42</v>
      </c>
      <c r="AA1564" t="s">
        <v>155</v>
      </c>
      <c r="AB1564" t="s">
        <v>38</v>
      </c>
      <c r="AC1564" t="s">
        <v>153</v>
      </c>
      <c r="AD1564" t="s">
        <v>48</v>
      </c>
      <c r="AG1564" t="str">
        <f>IF(AD1564="United States", IFERROR(INDEX(Sheet2!$C:$C, MATCH(AE1564&amp;AF1564, Sheet2!$E:$E, 0)) &amp; ", " &amp; INDEX(Sheet2!$D:$D, MATCH(AE1564&amp;AF1564, Sheet2!$E:$E, 0)), ""), "-")</f>
        <v/>
      </c>
    </row>
    <row r="1565" spans="1:33" x14ac:dyDescent="0.25">
      <c r="A1565" t="s">
        <v>2966</v>
      </c>
      <c r="B1565" t="s">
        <v>3071</v>
      </c>
      <c r="C1565" t="s">
        <v>2968</v>
      </c>
      <c r="D1565" t="s">
        <v>1089</v>
      </c>
      <c r="E1565" t="s">
        <v>3072</v>
      </c>
      <c r="F1565">
        <v>1753</v>
      </c>
      <c r="G1565">
        <v>1688</v>
      </c>
      <c r="H1565" t="s">
        <v>38</v>
      </c>
      <c r="I1565" t="s">
        <v>80</v>
      </c>
      <c r="J1565" t="s">
        <v>2969</v>
      </c>
      <c r="K1565" t="s">
        <v>38</v>
      </c>
      <c r="L1565" t="s">
        <v>38</v>
      </c>
      <c r="M1565" t="s">
        <v>38</v>
      </c>
      <c r="N1565" t="s">
        <v>38</v>
      </c>
      <c r="O1565" t="s">
        <v>41</v>
      </c>
      <c r="P1565" t="s">
        <v>42</v>
      </c>
      <c r="Q1565" t="s">
        <v>43</v>
      </c>
      <c r="R1565" t="s">
        <v>3073</v>
      </c>
      <c r="S1565" t="s">
        <v>201</v>
      </c>
      <c r="T1565" t="s">
        <v>38</v>
      </c>
      <c r="U1565" t="s">
        <v>38</v>
      </c>
      <c r="V1565" t="s">
        <v>137</v>
      </c>
      <c r="W1565" t="s">
        <v>38</v>
      </c>
      <c r="X1565" t="s">
        <v>38</v>
      </c>
      <c r="Y1565" t="s">
        <v>38</v>
      </c>
      <c r="Z1565" t="s">
        <v>42</v>
      </c>
      <c r="AA1565" t="s">
        <v>214</v>
      </c>
      <c r="AB1565" t="s">
        <v>38</v>
      </c>
      <c r="AC1565" t="s">
        <v>201</v>
      </c>
      <c r="AD1565" t="s">
        <v>48</v>
      </c>
      <c r="AG1565" t="str">
        <f>IF(AD1565="United States", IFERROR(INDEX(Sheet2!$C:$C, MATCH(AE1565&amp;AF1565, Sheet2!$E:$E, 0)) &amp; ", " &amp; INDEX(Sheet2!$D:$D, MATCH(AE1565&amp;AF1565, Sheet2!$E:$E, 0)), ""), "-")</f>
        <v/>
      </c>
    </row>
    <row r="1566" spans="1:33" x14ac:dyDescent="0.25">
      <c r="A1566" t="s">
        <v>2966</v>
      </c>
      <c r="B1566" t="s">
        <v>3074</v>
      </c>
      <c r="C1566" t="s">
        <v>2968</v>
      </c>
      <c r="D1566" t="s">
        <v>132</v>
      </c>
      <c r="E1566" t="s">
        <v>2982</v>
      </c>
      <c r="F1566">
        <v>1760</v>
      </c>
      <c r="G1566">
        <v>1689</v>
      </c>
      <c r="H1566" t="s">
        <v>2975</v>
      </c>
      <c r="I1566" t="s">
        <v>80</v>
      </c>
      <c r="J1566" t="s">
        <v>2969</v>
      </c>
      <c r="K1566" t="s">
        <v>38</v>
      </c>
      <c r="L1566" t="s">
        <v>38</v>
      </c>
      <c r="M1566" t="s">
        <v>38</v>
      </c>
      <c r="N1566" t="s">
        <v>38</v>
      </c>
      <c r="O1566" t="s">
        <v>41</v>
      </c>
      <c r="P1566" t="s">
        <v>42</v>
      </c>
      <c r="Q1566" t="s">
        <v>43</v>
      </c>
      <c r="R1566" t="s">
        <v>2452</v>
      </c>
      <c r="S1566" t="s">
        <v>45</v>
      </c>
      <c r="T1566" t="s">
        <v>89</v>
      </c>
      <c r="U1566" t="s">
        <v>2453</v>
      </c>
      <c r="V1566" t="s">
        <v>137</v>
      </c>
      <c r="W1566" t="s">
        <v>92</v>
      </c>
      <c r="X1566" t="s">
        <v>38</v>
      </c>
      <c r="Y1566" t="s">
        <v>38</v>
      </c>
      <c r="Z1566" t="s">
        <v>42</v>
      </c>
      <c r="AA1566" t="s">
        <v>169</v>
      </c>
      <c r="AB1566" t="s">
        <v>38</v>
      </c>
      <c r="AC1566" t="s">
        <v>45</v>
      </c>
      <c r="AD1566" t="s">
        <v>48</v>
      </c>
      <c r="AG1566" t="str">
        <f>IF(AD1566="United States", IFERROR(INDEX(Sheet2!$C:$C, MATCH(AE1566&amp;AF1566, Sheet2!$E:$E, 0)) &amp; ", " &amp; INDEX(Sheet2!$D:$D, MATCH(AE1566&amp;AF1566, Sheet2!$E:$E, 0)), ""), "-")</f>
        <v/>
      </c>
    </row>
    <row r="1567" spans="1:33" x14ac:dyDescent="0.25">
      <c r="A1567" t="s">
        <v>2966</v>
      </c>
      <c r="B1567" t="s">
        <v>3075</v>
      </c>
      <c r="C1567" t="s">
        <v>2968</v>
      </c>
      <c r="D1567" t="s">
        <v>132</v>
      </c>
      <c r="E1567" t="s">
        <v>1941</v>
      </c>
      <c r="F1567">
        <v>1739</v>
      </c>
      <c r="G1567">
        <v>1690</v>
      </c>
      <c r="H1567" t="s">
        <v>2975</v>
      </c>
      <c r="I1567" t="s">
        <v>80</v>
      </c>
      <c r="J1567" t="s">
        <v>2969</v>
      </c>
      <c r="K1567" t="s">
        <v>38</v>
      </c>
      <c r="L1567" t="s">
        <v>38</v>
      </c>
      <c r="M1567" t="s">
        <v>38</v>
      </c>
      <c r="N1567" t="s">
        <v>38</v>
      </c>
      <c r="O1567" t="s">
        <v>41</v>
      </c>
      <c r="P1567" t="s">
        <v>42</v>
      </c>
      <c r="Q1567" t="s">
        <v>43</v>
      </c>
      <c r="R1567" t="s">
        <v>2452</v>
      </c>
      <c r="S1567" t="s">
        <v>165</v>
      </c>
      <c r="T1567" t="s">
        <v>89</v>
      </c>
      <c r="U1567" t="s">
        <v>2453</v>
      </c>
      <c r="V1567" t="s">
        <v>137</v>
      </c>
      <c r="W1567" t="s">
        <v>92</v>
      </c>
      <c r="X1567" t="s">
        <v>38</v>
      </c>
      <c r="Y1567" t="s">
        <v>38</v>
      </c>
      <c r="Z1567" t="s">
        <v>42</v>
      </c>
      <c r="AA1567" t="s">
        <v>166</v>
      </c>
      <c r="AB1567" t="s">
        <v>38</v>
      </c>
      <c r="AC1567" t="s">
        <v>165</v>
      </c>
      <c r="AD1567" t="s">
        <v>48</v>
      </c>
      <c r="AG1567" t="str">
        <f>IF(AD1567="United States", IFERROR(INDEX(Sheet2!$C:$C, MATCH(AE1567&amp;AF1567, Sheet2!$E:$E, 0)) &amp; ", " &amp; INDEX(Sheet2!$D:$D, MATCH(AE1567&amp;AF1567, Sheet2!$E:$E, 0)), ""), "-")</f>
        <v/>
      </c>
    </row>
    <row r="1568" spans="1:33" x14ac:dyDescent="0.25">
      <c r="A1568" t="s">
        <v>2966</v>
      </c>
      <c r="B1568" t="s">
        <v>3076</v>
      </c>
      <c r="C1568" t="s">
        <v>2968</v>
      </c>
      <c r="D1568" t="s">
        <v>72</v>
      </c>
      <c r="E1568" t="s">
        <v>1684</v>
      </c>
      <c r="F1568">
        <v>1762</v>
      </c>
      <c r="G1568">
        <v>1691</v>
      </c>
      <c r="H1568" t="s">
        <v>2975</v>
      </c>
      <c r="I1568" t="s">
        <v>80</v>
      </c>
      <c r="J1568" t="s">
        <v>2969</v>
      </c>
      <c r="K1568" t="s">
        <v>38</v>
      </c>
      <c r="L1568" t="s">
        <v>38</v>
      </c>
      <c r="M1568" t="s">
        <v>38</v>
      </c>
      <c r="N1568" t="s">
        <v>38</v>
      </c>
      <c r="O1568" t="s">
        <v>74</v>
      </c>
      <c r="P1568" t="s">
        <v>42</v>
      </c>
      <c r="Q1568" t="s">
        <v>43</v>
      </c>
      <c r="R1568" t="s">
        <v>2452</v>
      </c>
      <c r="S1568" t="s">
        <v>45</v>
      </c>
      <c r="T1568" t="s">
        <v>89</v>
      </c>
      <c r="U1568" t="s">
        <v>2453</v>
      </c>
      <c r="V1568" t="s">
        <v>137</v>
      </c>
      <c r="W1568" t="s">
        <v>92</v>
      </c>
      <c r="X1568" t="s">
        <v>38</v>
      </c>
      <c r="Y1568" t="s">
        <v>38</v>
      </c>
      <c r="Z1568" t="s">
        <v>42</v>
      </c>
      <c r="AA1568" t="s">
        <v>247</v>
      </c>
      <c r="AB1568" t="s">
        <v>38</v>
      </c>
      <c r="AC1568" t="s">
        <v>45</v>
      </c>
      <c r="AD1568" t="s">
        <v>48</v>
      </c>
      <c r="AG1568" t="str">
        <f>IF(AD1568="United States", IFERROR(INDEX(Sheet2!$C:$C, MATCH(AE1568&amp;AF1568, Sheet2!$E:$E, 0)) &amp; ", " &amp; INDEX(Sheet2!$D:$D, MATCH(AE1568&amp;AF1568, Sheet2!$E:$E, 0)), ""), "-")</f>
        <v/>
      </c>
    </row>
    <row r="1569" spans="1:33" x14ac:dyDescent="0.25">
      <c r="A1569" t="s">
        <v>2966</v>
      </c>
      <c r="B1569" t="s">
        <v>3077</v>
      </c>
      <c r="C1569" t="s">
        <v>2968</v>
      </c>
      <c r="D1569" t="s">
        <v>182</v>
      </c>
      <c r="E1569" t="s">
        <v>3078</v>
      </c>
      <c r="F1569">
        <v>1743</v>
      </c>
      <c r="G1569">
        <v>1692</v>
      </c>
      <c r="H1569" t="s">
        <v>38</v>
      </c>
      <c r="I1569" t="s">
        <v>80</v>
      </c>
      <c r="J1569" t="s">
        <v>2969</v>
      </c>
      <c r="K1569" t="s">
        <v>38</v>
      </c>
      <c r="L1569" t="s">
        <v>38</v>
      </c>
      <c r="M1569" t="s">
        <v>38</v>
      </c>
      <c r="N1569" t="s">
        <v>38</v>
      </c>
      <c r="O1569" t="s">
        <v>74</v>
      </c>
      <c r="P1569" t="s">
        <v>42</v>
      </c>
      <c r="Q1569" t="s">
        <v>43</v>
      </c>
      <c r="R1569" t="s">
        <v>3079</v>
      </c>
      <c r="S1569" t="s">
        <v>45</v>
      </c>
      <c r="T1569" t="s">
        <v>38</v>
      </c>
      <c r="U1569" t="s">
        <v>38</v>
      </c>
      <c r="V1569" t="s">
        <v>137</v>
      </c>
      <c r="W1569" t="s">
        <v>38</v>
      </c>
      <c r="X1569" t="s">
        <v>38</v>
      </c>
      <c r="Y1569" t="s">
        <v>38</v>
      </c>
      <c r="Z1569" t="s">
        <v>42</v>
      </c>
      <c r="AA1569" t="s">
        <v>169</v>
      </c>
      <c r="AB1569" t="s">
        <v>38</v>
      </c>
      <c r="AC1569" t="s">
        <v>45</v>
      </c>
      <c r="AD1569" t="s">
        <v>48</v>
      </c>
      <c r="AG1569" t="str">
        <f>IF(AD1569="United States", IFERROR(INDEX(Sheet2!$C:$C, MATCH(AE1569&amp;AF1569, Sheet2!$E:$E, 0)) &amp; ", " &amp; INDEX(Sheet2!$D:$D, MATCH(AE1569&amp;AF1569, Sheet2!$E:$E, 0)), ""), "-")</f>
        <v/>
      </c>
    </row>
    <row r="1570" spans="1:33" x14ac:dyDescent="0.25">
      <c r="A1570" t="s">
        <v>2966</v>
      </c>
      <c r="B1570" t="s">
        <v>3080</v>
      </c>
      <c r="C1570" t="s">
        <v>2968</v>
      </c>
      <c r="D1570" t="s">
        <v>835</v>
      </c>
      <c r="E1570" t="s">
        <v>3078</v>
      </c>
      <c r="F1570">
        <v>1769</v>
      </c>
      <c r="G1570">
        <v>1693</v>
      </c>
      <c r="H1570" t="s">
        <v>38</v>
      </c>
      <c r="I1570" t="s">
        <v>80</v>
      </c>
      <c r="J1570" t="s">
        <v>2969</v>
      </c>
      <c r="K1570" t="s">
        <v>38</v>
      </c>
      <c r="L1570" t="s">
        <v>38</v>
      </c>
      <c r="M1570" t="s">
        <v>38</v>
      </c>
      <c r="N1570" t="s">
        <v>38</v>
      </c>
      <c r="O1570" t="s">
        <v>74</v>
      </c>
      <c r="P1570" t="s">
        <v>42</v>
      </c>
      <c r="Q1570" t="s">
        <v>43</v>
      </c>
      <c r="R1570" t="s">
        <v>3079</v>
      </c>
      <c r="S1570" t="s">
        <v>45</v>
      </c>
      <c r="T1570" t="s">
        <v>38</v>
      </c>
      <c r="U1570" t="s">
        <v>38</v>
      </c>
      <c r="V1570" t="s">
        <v>137</v>
      </c>
      <c r="W1570" t="s">
        <v>38</v>
      </c>
      <c r="X1570" t="s">
        <v>38</v>
      </c>
      <c r="Y1570" t="s">
        <v>38</v>
      </c>
      <c r="Z1570" t="s">
        <v>42</v>
      </c>
      <c r="AA1570" t="s">
        <v>169</v>
      </c>
      <c r="AB1570" t="s">
        <v>38</v>
      </c>
      <c r="AC1570" t="s">
        <v>45</v>
      </c>
      <c r="AD1570" t="s">
        <v>48</v>
      </c>
      <c r="AG1570" t="str">
        <f>IF(AD1570="United States", IFERROR(INDEX(Sheet2!$C:$C, MATCH(AE1570&amp;AF1570, Sheet2!$E:$E, 0)) &amp; ", " &amp; INDEX(Sheet2!$D:$D, MATCH(AE1570&amp;AF1570, Sheet2!$E:$E, 0)), ""), "-")</f>
        <v/>
      </c>
    </row>
    <row r="1571" spans="1:33" x14ac:dyDescent="0.25">
      <c r="A1571" t="s">
        <v>2966</v>
      </c>
      <c r="B1571" t="s">
        <v>3081</v>
      </c>
      <c r="C1571" t="s">
        <v>2968</v>
      </c>
      <c r="D1571" t="s">
        <v>807</v>
      </c>
      <c r="E1571" t="s">
        <v>728</v>
      </c>
      <c r="F1571">
        <v>1737</v>
      </c>
      <c r="G1571">
        <v>1694</v>
      </c>
      <c r="H1571" t="s">
        <v>38</v>
      </c>
      <c r="I1571" t="s">
        <v>80</v>
      </c>
      <c r="J1571" t="s">
        <v>2969</v>
      </c>
      <c r="K1571" t="s">
        <v>38</v>
      </c>
      <c r="L1571" t="s">
        <v>38</v>
      </c>
      <c r="M1571" t="s">
        <v>38</v>
      </c>
      <c r="N1571" t="s">
        <v>38</v>
      </c>
      <c r="O1571" t="s">
        <v>41</v>
      </c>
      <c r="P1571" t="s">
        <v>42</v>
      </c>
      <c r="Q1571" t="s">
        <v>43</v>
      </c>
      <c r="R1571" t="s">
        <v>38</v>
      </c>
      <c r="S1571" t="s">
        <v>38</v>
      </c>
      <c r="T1571" t="s">
        <v>38</v>
      </c>
      <c r="U1571" t="s">
        <v>38</v>
      </c>
      <c r="V1571" t="s">
        <v>137</v>
      </c>
      <c r="W1571" t="s">
        <v>38</v>
      </c>
      <c r="X1571" t="s">
        <v>38</v>
      </c>
      <c r="Y1571" t="s">
        <v>38</v>
      </c>
      <c r="Z1571" t="s">
        <v>42</v>
      </c>
      <c r="AA1571" t="s">
        <v>38</v>
      </c>
      <c r="AB1571" t="s">
        <v>38</v>
      </c>
      <c r="AC1571" t="s">
        <v>155</v>
      </c>
      <c r="AD1571" t="s">
        <v>48</v>
      </c>
      <c r="AG1571" t="str">
        <f>IF(AD1571="United States", IFERROR(INDEX(Sheet2!$C:$C, MATCH(AE1571&amp;AF1571, Sheet2!$E:$E, 0)) &amp; ", " &amp; INDEX(Sheet2!$D:$D, MATCH(AE1571&amp;AF1571, Sheet2!$E:$E, 0)), ""), "-")</f>
        <v/>
      </c>
    </row>
    <row r="1572" spans="1:33" x14ac:dyDescent="0.25">
      <c r="A1572" t="s">
        <v>2966</v>
      </c>
      <c r="B1572" t="s">
        <v>3082</v>
      </c>
      <c r="C1572" t="s">
        <v>2968</v>
      </c>
      <c r="D1572" t="s">
        <v>1220</v>
      </c>
      <c r="E1572" t="s">
        <v>728</v>
      </c>
      <c r="F1572">
        <v>1748</v>
      </c>
      <c r="G1572">
        <v>1695</v>
      </c>
      <c r="H1572" t="s">
        <v>38</v>
      </c>
      <c r="I1572" t="s">
        <v>80</v>
      </c>
      <c r="J1572" t="s">
        <v>2969</v>
      </c>
      <c r="K1572" t="s">
        <v>38</v>
      </c>
      <c r="L1572" t="s">
        <v>38</v>
      </c>
      <c r="M1572" t="s">
        <v>38</v>
      </c>
      <c r="N1572" t="s">
        <v>38</v>
      </c>
      <c r="O1572" t="s">
        <v>41</v>
      </c>
      <c r="P1572" t="s">
        <v>42</v>
      </c>
      <c r="Q1572" t="s">
        <v>43</v>
      </c>
      <c r="R1572" t="s">
        <v>3083</v>
      </c>
      <c r="S1572" t="s">
        <v>201</v>
      </c>
      <c r="T1572" t="s">
        <v>38</v>
      </c>
      <c r="U1572" t="s">
        <v>38</v>
      </c>
      <c r="V1572" t="s">
        <v>137</v>
      </c>
      <c r="W1572" t="s">
        <v>38</v>
      </c>
      <c r="X1572" t="s">
        <v>38</v>
      </c>
      <c r="Y1572" t="s">
        <v>38</v>
      </c>
      <c r="Z1572" t="s">
        <v>42</v>
      </c>
      <c r="AA1572" t="s">
        <v>846</v>
      </c>
      <c r="AB1572" t="s">
        <v>38</v>
      </c>
      <c r="AC1572" t="s">
        <v>201</v>
      </c>
      <c r="AD1572" t="s">
        <v>48</v>
      </c>
      <c r="AG1572" t="str">
        <f>IF(AD1572="United States", IFERROR(INDEX(Sheet2!$C:$C, MATCH(AE1572&amp;AF1572, Sheet2!$E:$E, 0)) &amp; ", " &amp; INDEX(Sheet2!$D:$D, MATCH(AE1572&amp;AF1572, Sheet2!$E:$E, 0)), ""), "-")</f>
        <v/>
      </c>
    </row>
    <row r="1573" spans="1:33" x14ac:dyDescent="0.25">
      <c r="A1573" t="s">
        <v>2966</v>
      </c>
      <c r="B1573" t="s">
        <v>3084</v>
      </c>
      <c r="C1573" t="s">
        <v>2968</v>
      </c>
      <c r="D1573" t="s">
        <v>390</v>
      </c>
      <c r="E1573" t="s">
        <v>3085</v>
      </c>
      <c r="F1573">
        <v>1728</v>
      </c>
      <c r="G1573">
        <v>1696</v>
      </c>
      <c r="H1573" t="s">
        <v>38</v>
      </c>
      <c r="I1573" t="s">
        <v>80</v>
      </c>
      <c r="J1573" t="s">
        <v>2969</v>
      </c>
      <c r="K1573" t="s">
        <v>38</v>
      </c>
      <c r="L1573" t="s">
        <v>38</v>
      </c>
      <c r="M1573" t="s">
        <v>38</v>
      </c>
      <c r="N1573" t="s">
        <v>38</v>
      </c>
      <c r="O1573" t="s">
        <v>41</v>
      </c>
      <c r="P1573" t="s">
        <v>42</v>
      </c>
      <c r="Q1573" t="s">
        <v>43</v>
      </c>
      <c r="R1573" t="s">
        <v>38</v>
      </c>
      <c r="S1573" t="s">
        <v>201</v>
      </c>
      <c r="T1573" t="s">
        <v>38</v>
      </c>
      <c r="U1573" t="s">
        <v>38</v>
      </c>
      <c r="V1573" t="s">
        <v>137</v>
      </c>
      <c r="W1573" t="s">
        <v>38</v>
      </c>
      <c r="X1573" t="s">
        <v>38</v>
      </c>
      <c r="Y1573" t="s">
        <v>38</v>
      </c>
      <c r="Z1573" t="s">
        <v>42</v>
      </c>
      <c r="AA1573" t="s">
        <v>38</v>
      </c>
      <c r="AB1573" t="s">
        <v>38</v>
      </c>
      <c r="AC1573" t="s">
        <v>201</v>
      </c>
      <c r="AD1573" t="s">
        <v>48</v>
      </c>
      <c r="AG1573" t="str">
        <f>IF(AD1573="United States", IFERROR(INDEX(Sheet2!$C:$C, MATCH(AE1573&amp;AF1573, Sheet2!$E:$E, 0)) &amp; ", " &amp; INDEX(Sheet2!$D:$D, MATCH(AE1573&amp;AF1573, Sheet2!$E:$E, 0)), ""), "-")</f>
        <v/>
      </c>
    </row>
    <row r="1574" spans="1:33" x14ac:dyDescent="0.25">
      <c r="A1574" t="s">
        <v>2966</v>
      </c>
      <c r="B1574" t="s">
        <v>3086</v>
      </c>
      <c r="C1574" t="s">
        <v>2968</v>
      </c>
      <c r="D1574" t="s">
        <v>226</v>
      </c>
      <c r="E1574" t="s">
        <v>3087</v>
      </c>
      <c r="F1574">
        <v>1760</v>
      </c>
      <c r="G1574">
        <v>1697</v>
      </c>
      <c r="H1574" t="s">
        <v>2977</v>
      </c>
      <c r="I1574" t="s">
        <v>80</v>
      </c>
      <c r="J1574" t="s">
        <v>2969</v>
      </c>
      <c r="K1574" t="s">
        <v>38</v>
      </c>
      <c r="L1574" t="s">
        <v>38</v>
      </c>
      <c r="M1574" t="s">
        <v>38</v>
      </c>
      <c r="N1574" t="s">
        <v>38</v>
      </c>
      <c r="O1574" t="s">
        <v>41</v>
      </c>
      <c r="P1574" t="s">
        <v>42</v>
      </c>
      <c r="Q1574" t="s">
        <v>43</v>
      </c>
      <c r="R1574" t="s">
        <v>2452</v>
      </c>
      <c r="S1574" t="s">
        <v>45</v>
      </c>
      <c r="T1574" t="s">
        <v>89</v>
      </c>
      <c r="U1574" t="s">
        <v>2453</v>
      </c>
      <c r="V1574" t="s">
        <v>137</v>
      </c>
      <c r="W1574" t="s">
        <v>92</v>
      </c>
      <c r="X1574" t="s">
        <v>38</v>
      </c>
      <c r="Y1574" t="s">
        <v>38</v>
      </c>
      <c r="Z1574" t="s">
        <v>42</v>
      </c>
      <c r="AA1574" t="s">
        <v>143</v>
      </c>
      <c r="AB1574" t="s">
        <v>38</v>
      </c>
      <c r="AC1574" t="s">
        <v>45</v>
      </c>
      <c r="AD1574" t="s">
        <v>48</v>
      </c>
      <c r="AG1574" t="str">
        <f>IF(AD1574="United States", IFERROR(INDEX(Sheet2!$C:$C, MATCH(AE1574&amp;AF1574, Sheet2!$E:$E, 0)) &amp; ", " &amp; INDEX(Sheet2!$D:$D, MATCH(AE1574&amp;AF1574, Sheet2!$E:$E, 0)), ""), "-")</f>
        <v/>
      </c>
    </row>
    <row r="1575" spans="1:33" x14ac:dyDescent="0.25">
      <c r="A1575" t="s">
        <v>2966</v>
      </c>
      <c r="B1575" t="s">
        <v>3088</v>
      </c>
      <c r="C1575" t="s">
        <v>2968</v>
      </c>
      <c r="D1575" t="s">
        <v>193</v>
      </c>
      <c r="E1575" t="s">
        <v>3089</v>
      </c>
      <c r="F1575">
        <v>1748</v>
      </c>
      <c r="G1575">
        <v>1698</v>
      </c>
      <c r="H1575" t="s">
        <v>38</v>
      </c>
      <c r="I1575" t="s">
        <v>80</v>
      </c>
      <c r="J1575" t="s">
        <v>2969</v>
      </c>
      <c r="K1575" t="s">
        <v>38</v>
      </c>
      <c r="L1575" t="s">
        <v>38</v>
      </c>
      <c r="M1575" t="s">
        <v>38</v>
      </c>
      <c r="N1575" t="s">
        <v>38</v>
      </c>
      <c r="O1575" t="s">
        <v>41</v>
      </c>
      <c r="P1575" t="s">
        <v>42</v>
      </c>
      <c r="Q1575" t="s">
        <v>43</v>
      </c>
      <c r="R1575" t="s">
        <v>3090</v>
      </c>
      <c r="S1575" t="s">
        <v>153</v>
      </c>
      <c r="T1575" t="s">
        <v>38</v>
      </c>
      <c r="U1575" t="s">
        <v>38</v>
      </c>
      <c r="V1575" t="s">
        <v>137</v>
      </c>
      <c r="W1575" t="s">
        <v>38</v>
      </c>
      <c r="X1575" t="s">
        <v>38</v>
      </c>
      <c r="Y1575" t="s">
        <v>38</v>
      </c>
      <c r="Z1575" t="s">
        <v>42</v>
      </c>
      <c r="AA1575" t="s">
        <v>155</v>
      </c>
      <c r="AB1575" t="s">
        <v>38</v>
      </c>
      <c r="AC1575" t="s">
        <v>153</v>
      </c>
      <c r="AD1575" t="s">
        <v>48</v>
      </c>
      <c r="AG1575" t="str">
        <f>IF(AD1575="United States", IFERROR(INDEX(Sheet2!$C:$C, MATCH(AE1575&amp;AF1575, Sheet2!$E:$E, 0)) &amp; ", " &amp; INDEX(Sheet2!$D:$D, MATCH(AE1575&amp;AF1575, Sheet2!$E:$E, 0)), ""), "-")</f>
        <v/>
      </c>
    </row>
    <row r="1576" spans="1:33" x14ac:dyDescent="0.25">
      <c r="A1576" t="s">
        <v>2966</v>
      </c>
      <c r="B1576" t="s">
        <v>3091</v>
      </c>
      <c r="C1576" t="s">
        <v>2968</v>
      </c>
      <c r="D1576" t="s">
        <v>210</v>
      </c>
      <c r="E1576" t="s">
        <v>3092</v>
      </c>
      <c r="F1576">
        <v>1716</v>
      </c>
      <c r="G1576">
        <v>1699</v>
      </c>
      <c r="H1576" t="s">
        <v>2977</v>
      </c>
      <c r="I1576" t="s">
        <v>80</v>
      </c>
      <c r="J1576" t="s">
        <v>2969</v>
      </c>
      <c r="K1576" t="s">
        <v>38</v>
      </c>
      <c r="L1576" t="s">
        <v>38</v>
      </c>
      <c r="M1576" t="s">
        <v>38</v>
      </c>
      <c r="N1576" t="s">
        <v>38</v>
      </c>
      <c r="O1576" t="s">
        <v>41</v>
      </c>
      <c r="P1576" t="s">
        <v>42</v>
      </c>
      <c r="Q1576" t="s">
        <v>43</v>
      </c>
      <c r="R1576" t="s">
        <v>2452</v>
      </c>
      <c r="S1576" t="s">
        <v>201</v>
      </c>
      <c r="T1576" t="s">
        <v>89</v>
      </c>
      <c r="U1576" t="s">
        <v>2453</v>
      </c>
      <c r="V1576" t="s">
        <v>137</v>
      </c>
      <c r="W1576" t="s">
        <v>92</v>
      </c>
      <c r="X1576" t="s">
        <v>38</v>
      </c>
      <c r="Y1576" t="s">
        <v>38</v>
      </c>
      <c r="Z1576" t="s">
        <v>42</v>
      </c>
      <c r="AA1576" t="s">
        <v>3093</v>
      </c>
      <c r="AB1576" t="s">
        <v>38</v>
      </c>
      <c r="AC1576" t="s">
        <v>201</v>
      </c>
      <c r="AD1576" t="s">
        <v>48</v>
      </c>
      <c r="AG1576" t="str">
        <f>IF(AD1576="United States", IFERROR(INDEX(Sheet2!$C:$C, MATCH(AE1576&amp;AF1576, Sheet2!$E:$E, 0)) &amp; ", " &amp; INDEX(Sheet2!$D:$D, MATCH(AE1576&amp;AF1576, Sheet2!$E:$E, 0)), ""), "-")</f>
        <v/>
      </c>
    </row>
    <row r="1577" spans="1:33" x14ac:dyDescent="0.25">
      <c r="A1577" t="s">
        <v>2966</v>
      </c>
      <c r="B1577" t="s">
        <v>3094</v>
      </c>
      <c r="C1577" t="s">
        <v>2968</v>
      </c>
      <c r="D1577" t="s">
        <v>1354</v>
      </c>
      <c r="E1577" t="s">
        <v>38</v>
      </c>
      <c r="F1577">
        <v>1753</v>
      </c>
      <c r="G1577">
        <v>1700</v>
      </c>
      <c r="H1577" t="s">
        <v>38</v>
      </c>
      <c r="I1577" t="s">
        <v>80</v>
      </c>
      <c r="J1577" t="s">
        <v>2969</v>
      </c>
      <c r="K1577" t="s">
        <v>38</v>
      </c>
      <c r="L1577" t="s">
        <v>38</v>
      </c>
      <c r="M1577" t="s">
        <v>38</v>
      </c>
      <c r="N1577" t="s">
        <v>38</v>
      </c>
      <c r="O1577" t="s">
        <v>57</v>
      </c>
      <c r="P1577" t="s">
        <v>42</v>
      </c>
      <c r="Q1577" t="s">
        <v>43</v>
      </c>
      <c r="R1577" t="s">
        <v>38</v>
      </c>
      <c r="S1577" t="s">
        <v>89</v>
      </c>
      <c r="T1577" t="s">
        <v>38</v>
      </c>
      <c r="U1577" t="s">
        <v>38</v>
      </c>
      <c r="V1577" t="s">
        <v>137</v>
      </c>
      <c r="W1577" t="s">
        <v>38</v>
      </c>
      <c r="X1577" t="s">
        <v>38</v>
      </c>
      <c r="Y1577" t="s">
        <v>38</v>
      </c>
      <c r="Z1577" t="s">
        <v>42</v>
      </c>
      <c r="AA1577" t="s">
        <v>593</v>
      </c>
      <c r="AB1577" t="s">
        <v>38</v>
      </c>
      <c r="AC1577" t="s">
        <v>89</v>
      </c>
      <c r="AD1577" t="s">
        <v>48</v>
      </c>
      <c r="AG1577" t="str">
        <f>IF(AD1577="United States", IFERROR(INDEX(Sheet2!$C:$C, MATCH(AE1577&amp;AF1577, Sheet2!$E:$E, 0)) &amp; ", " &amp; INDEX(Sheet2!$D:$D, MATCH(AE1577&amp;AF1577, Sheet2!$E:$E, 0)), ""), "-")</f>
        <v/>
      </c>
    </row>
    <row r="1578" spans="1:33" x14ac:dyDescent="0.25">
      <c r="A1578" t="s">
        <v>2966</v>
      </c>
      <c r="B1578" t="s">
        <v>3095</v>
      </c>
      <c r="C1578" t="s">
        <v>2968</v>
      </c>
      <c r="D1578" t="s">
        <v>210</v>
      </c>
      <c r="E1578" t="s">
        <v>3036</v>
      </c>
      <c r="F1578">
        <v>1745</v>
      </c>
      <c r="G1578">
        <v>1661</v>
      </c>
      <c r="H1578" t="s">
        <v>2977</v>
      </c>
      <c r="I1578" t="s">
        <v>80</v>
      </c>
      <c r="J1578" t="s">
        <v>2969</v>
      </c>
      <c r="K1578" t="s">
        <v>38</v>
      </c>
      <c r="L1578" t="s">
        <v>38</v>
      </c>
      <c r="M1578" t="s">
        <v>38</v>
      </c>
      <c r="N1578" t="s">
        <v>38</v>
      </c>
      <c r="O1578" t="s">
        <v>41</v>
      </c>
      <c r="P1578" t="s">
        <v>42</v>
      </c>
      <c r="Q1578" t="s">
        <v>43</v>
      </c>
      <c r="R1578" t="s">
        <v>2452</v>
      </c>
      <c r="S1578" t="s">
        <v>153</v>
      </c>
      <c r="T1578" t="s">
        <v>89</v>
      </c>
      <c r="U1578" t="s">
        <v>2453</v>
      </c>
      <c r="V1578" t="s">
        <v>137</v>
      </c>
      <c r="W1578" t="s">
        <v>92</v>
      </c>
      <c r="X1578" t="s">
        <v>38</v>
      </c>
      <c r="Y1578" t="s">
        <v>38</v>
      </c>
      <c r="Z1578" t="s">
        <v>42</v>
      </c>
      <c r="AA1578" t="s">
        <v>155</v>
      </c>
      <c r="AB1578" t="s">
        <v>38</v>
      </c>
      <c r="AC1578" t="s">
        <v>153</v>
      </c>
      <c r="AD1578" t="s">
        <v>48</v>
      </c>
      <c r="AG1578" t="str">
        <f>IF(AD1578="United States", IFERROR(INDEX(Sheet2!$C:$C, MATCH(AE1578&amp;AF1578, Sheet2!$E:$E, 0)) &amp; ", " &amp; INDEX(Sheet2!$D:$D, MATCH(AE1578&amp;AF1578, Sheet2!$E:$E, 0)), ""), "-")</f>
        <v/>
      </c>
    </row>
    <row r="1579" spans="1:33" x14ac:dyDescent="0.25">
      <c r="A1579" t="s">
        <v>2966</v>
      </c>
      <c r="B1579" t="s">
        <v>3096</v>
      </c>
      <c r="C1579" t="s">
        <v>2968</v>
      </c>
      <c r="D1579" t="s">
        <v>3097</v>
      </c>
      <c r="E1579" t="s">
        <v>1310</v>
      </c>
      <c r="F1579">
        <v>1739</v>
      </c>
      <c r="G1579">
        <v>1662</v>
      </c>
      <c r="H1579" t="s">
        <v>38</v>
      </c>
      <c r="I1579" t="s">
        <v>80</v>
      </c>
      <c r="J1579" t="s">
        <v>2969</v>
      </c>
      <c r="K1579" t="s">
        <v>38</v>
      </c>
      <c r="L1579" t="s">
        <v>38</v>
      </c>
      <c r="M1579" t="s">
        <v>38</v>
      </c>
      <c r="N1579" t="s">
        <v>38</v>
      </c>
      <c r="O1579" t="s">
        <v>57</v>
      </c>
      <c r="P1579" t="s">
        <v>42</v>
      </c>
      <c r="Q1579" t="s">
        <v>43</v>
      </c>
      <c r="R1579" t="s">
        <v>38</v>
      </c>
      <c r="S1579" t="s">
        <v>38</v>
      </c>
      <c r="T1579" t="s">
        <v>38</v>
      </c>
      <c r="U1579" t="s">
        <v>38</v>
      </c>
      <c r="V1579" t="s">
        <v>137</v>
      </c>
      <c r="W1579" t="s">
        <v>38</v>
      </c>
      <c r="X1579" t="s">
        <v>38</v>
      </c>
      <c r="Y1579" t="s">
        <v>38</v>
      </c>
      <c r="Z1579" t="s">
        <v>42</v>
      </c>
      <c r="AA1579" t="s">
        <v>38</v>
      </c>
      <c r="AB1579" t="s">
        <v>38</v>
      </c>
      <c r="AC1579" t="s">
        <v>593</v>
      </c>
      <c r="AD1579" t="s">
        <v>48</v>
      </c>
      <c r="AG1579" t="str">
        <f>IF(AD1579="United States", IFERROR(INDEX(Sheet2!$C:$C, MATCH(AE1579&amp;AF1579, Sheet2!$E:$E, 0)) &amp; ", " &amp; INDEX(Sheet2!$D:$D, MATCH(AE1579&amp;AF1579, Sheet2!$E:$E, 0)), ""), "-")</f>
        <v/>
      </c>
    </row>
    <row r="1580" spans="1:33" x14ac:dyDescent="0.25">
      <c r="A1580" t="s">
        <v>2966</v>
      </c>
      <c r="B1580" t="s">
        <v>3098</v>
      </c>
      <c r="C1580" t="s">
        <v>2968</v>
      </c>
      <c r="D1580" t="s">
        <v>162</v>
      </c>
      <c r="E1580" t="s">
        <v>3099</v>
      </c>
      <c r="F1580">
        <v>1744</v>
      </c>
      <c r="G1580">
        <v>1663</v>
      </c>
      <c r="H1580" t="s">
        <v>38</v>
      </c>
      <c r="I1580" t="s">
        <v>80</v>
      </c>
      <c r="J1580" t="s">
        <v>2969</v>
      </c>
      <c r="K1580" t="s">
        <v>38</v>
      </c>
      <c r="L1580" t="s">
        <v>38</v>
      </c>
      <c r="M1580" t="s">
        <v>38</v>
      </c>
      <c r="N1580" t="s">
        <v>38</v>
      </c>
      <c r="O1580" t="s">
        <v>74</v>
      </c>
      <c r="P1580" t="s">
        <v>42</v>
      </c>
      <c r="Q1580" t="s">
        <v>43</v>
      </c>
      <c r="R1580" t="s">
        <v>38</v>
      </c>
      <c r="S1580" t="s">
        <v>38</v>
      </c>
      <c r="T1580" t="s">
        <v>38</v>
      </c>
      <c r="U1580" t="s">
        <v>38</v>
      </c>
      <c r="V1580" t="s">
        <v>137</v>
      </c>
      <c r="W1580" t="s">
        <v>38</v>
      </c>
      <c r="X1580" t="s">
        <v>38</v>
      </c>
      <c r="Y1580" t="s">
        <v>38</v>
      </c>
      <c r="Z1580" t="s">
        <v>42</v>
      </c>
      <c r="AA1580" t="s">
        <v>38</v>
      </c>
      <c r="AB1580" t="s">
        <v>38</v>
      </c>
      <c r="AC1580" t="s">
        <v>3100</v>
      </c>
      <c r="AD1580" t="s">
        <v>48</v>
      </c>
      <c r="AG1580" t="str">
        <f>IF(AD1580="United States", IFERROR(INDEX(Sheet2!$C:$C, MATCH(AE1580&amp;AF1580, Sheet2!$E:$E, 0)) &amp; ", " &amp; INDEX(Sheet2!$D:$D, MATCH(AE1580&amp;AF1580, Sheet2!$E:$E, 0)), ""), "-")</f>
        <v/>
      </c>
    </row>
    <row r="1581" spans="1:33" x14ac:dyDescent="0.25">
      <c r="A1581" t="s">
        <v>2966</v>
      </c>
      <c r="B1581" t="s">
        <v>3101</v>
      </c>
      <c r="C1581" t="s">
        <v>2968</v>
      </c>
      <c r="D1581" t="s">
        <v>1116</v>
      </c>
      <c r="E1581" t="s">
        <v>2754</v>
      </c>
      <c r="F1581">
        <v>1747</v>
      </c>
      <c r="G1581">
        <v>1684</v>
      </c>
      <c r="H1581" t="s">
        <v>2977</v>
      </c>
      <c r="I1581" t="s">
        <v>80</v>
      </c>
      <c r="J1581" t="s">
        <v>2969</v>
      </c>
      <c r="K1581" t="s">
        <v>38</v>
      </c>
      <c r="L1581" t="s">
        <v>38</v>
      </c>
      <c r="M1581" t="s">
        <v>38</v>
      </c>
      <c r="N1581" t="s">
        <v>38</v>
      </c>
      <c r="O1581" t="s">
        <v>41</v>
      </c>
      <c r="P1581" t="s">
        <v>42</v>
      </c>
      <c r="Q1581" t="s">
        <v>43</v>
      </c>
      <c r="R1581" t="s">
        <v>2452</v>
      </c>
      <c r="S1581" t="s">
        <v>45</v>
      </c>
      <c r="T1581" t="s">
        <v>89</v>
      </c>
      <c r="U1581" t="s">
        <v>2453</v>
      </c>
      <c r="V1581" t="s">
        <v>137</v>
      </c>
      <c r="W1581" t="s">
        <v>92</v>
      </c>
      <c r="X1581" t="s">
        <v>38</v>
      </c>
      <c r="Y1581" t="s">
        <v>38</v>
      </c>
      <c r="Z1581" t="s">
        <v>42</v>
      </c>
      <c r="AA1581" t="s">
        <v>3102</v>
      </c>
      <c r="AB1581" t="s">
        <v>38</v>
      </c>
      <c r="AC1581" t="s">
        <v>45</v>
      </c>
      <c r="AD1581" t="s">
        <v>48</v>
      </c>
      <c r="AG1581" t="str">
        <f>IF(AD1581="United States", IFERROR(INDEX(Sheet2!$C:$C, MATCH(AE1581&amp;AF1581, Sheet2!$E:$E, 0)) &amp; ", " &amp; INDEX(Sheet2!$D:$D, MATCH(AE1581&amp;AF1581, Sheet2!$E:$E, 0)), ""), "-")</f>
        <v/>
      </c>
    </row>
    <row r="1582" spans="1:33" x14ac:dyDescent="0.25">
      <c r="A1582" t="s">
        <v>2966</v>
      </c>
      <c r="B1582" t="s">
        <v>3103</v>
      </c>
      <c r="C1582" t="s">
        <v>2968</v>
      </c>
      <c r="D1582" t="s">
        <v>140</v>
      </c>
      <c r="E1582" t="s">
        <v>2298</v>
      </c>
      <c r="F1582">
        <v>1756</v>
      </c>
      <c r="G1582">
        <v>1734</v>
      </c>
      <c r="H1582" t="s">
        <v>2975</v>
      </c>
      <c r="I1582" t="s">
        <v>80</v>
      </c>
      <c r="J1582" t="s">
        <v>2969</v>
      </c>
      <c r="K1582" t="s">
        <v>38</v>
      </c>
      <c r="L1582" t="s">
        <v>38</v>
      </c>
      <c r="M1582" t="s">
        <v>38</v>
      </c>
      <c r="N1582" t="s">
        <v>38</v>
      </c>
      <c r="O1582" t="s">
        <v>74</v>
      </c>
      <c r="P1582" t="s">
        <v>42</v>
      </c>
      <c r="Q1582" t="s">
        <v>43</v>
      </c>
      <c r="R1582" t="s">
        <v>2452</v>
      </c>
      <c r="S1582" t="s">
        <v>45</v>
      </c>
      <c r="T1582" t="s">
        <v>89</v>
      </c>
      <c r="U1582" t="s">
        <v>2453</v>
      </c>
      <c r="V1582" t="s">
        <v>137</v>
      </c>
      <c r="W1582" t="s">
        <v>92</v>
      </c>
      <c r="X1582" t="s">
        <v>38</v>
      </c>
      <c r="Y1582" t="s">
        <v>38</v>
      </c>
      <c r="Z1582" t="s">
        <v>42</v>
      </c>
      <c r="AA1582" t="s">
        <v>169</v>
      </c>
      <c r="AB1582" t="s">
        <v>45</v>
      </c>
      <c r="AC1582" t="s">
        <v>89</v>
      </c>
      <c r="AD1582" t="s">
        <v>48</v>
      </c>
      <c r="AG1582" t="str">
        <f>IF(AD1582="United States", IFERROR(INDEX(Sheet2!$C:$C, MATCH(AE1582&amp;AF1582, Sheet2!$E:$E, 0)) &amp; ", " &amp; INDEX(Sheet2!$D:$D, MATCH(AE1582&amp;AF1582, Sheet2!$E:$E, 0)), ""), "-")</f>
        <v/>
      </c>
    </row>
    <row r="1583" spans="1:33" x14ac:dyDescent="0.25">
      <c r="A1583" t="s">
        <v>2966</v>
      </c>
      <c r="B1583" t="s">
        <v>3104</v>
      </c>
      <c r="C1583" t="s">
        <v>2968</v>
      </c>
      <c r="D1583" t="s">
        <v>2174</v>
      </c>
      <c r="E1583" t="s">
        <v>38</v>
      </c>
      <c r="F1583">
        <v>1773</v>
      </c>
      <c r="G1583">
        <v>1567</v>
      </c>
      <c r="H1583" t="s">
        <v>38</v>
      </c>
      <c r="I1583" t="s">
        <v>80</v>
      </c>
      <c r="J1583" t="s">
        <v>2969</v>
      </c>
      <c r="K1583" t="s">
        <v>38</v>
      </c>
      <c r="L1583" t="s">
        <v>38</v>
      </c>
      <c r="M1583" t="s">
        <v>38</v>
      </c>
      <c r="N1583" t="s">
        <v>38</v>
      </c>
      <c r="O1583" t="s">
        <v>74</v>
      </c>
      <c r="P1583" t="s">
        <v>42</v>
      </c>
      <c r="Q1583" t="s">
        <v>43</v>
      </c>
      <c r="R1583" t="s">
        <v>169</v>
      </c>
      <c r="S1583" t="s">
        <v>45</v>
      </c>
      <c r="T1583" t="s">
        <v>38</v>
      </c>
      <c r="U1583" t="s">
        <v>38</v>
      </c>
      <c r="V1583" t="s">
        <v>137</v>
      </c>
      <c r="W1583" t="s">
        <v>38</v>
      </c>
      <c r="X1583" t="s">
        <v>38</v>
      </c>
      <c r="Y1583" t="s">
        <v>38</v>
      </c>
      <c r="Z1583" t="s">
        <v>42</v>
      </c>
      <c r="AA1583" t="s">
        <v>169</v>
      </c>
      <c r="AB1583" t="s">
        <v>38</v>
      </c>
      <c r="AC1583" t="s">
        <v>45</v>
      </c>
      <c r="AD1583" t="s">
        <v>48</v>
      </c>
      <c r="AG1583" t="str">
        <f>IF(AD1583="United States", IFERROR(INDEX(Sheet2!$C:$C, MATCH(AE1583&amp;AF1583, Sheet2!$E:$E, 0)) &amp; ", " &amp; INDEX(Sheet2!$D:$D, MATCH(AE1583&amp;AF1583, Sheet2!$E:$E, 0)), ""), "-")</f>
        <v/>
      </c>
    </row>
    <row r="1584" spans="1:33" x14ac:dyDescent="0.25">
      <c r="A1584" t="s">
        <v>2966</v>
      </c>
      <c r="B1584" t="s">
        <v>3105</v>
      </c>
      <c r="C1584" t="s">
        <v>2968</v>
      </c>
      <c r="D1584" t="s">
        <v>1695</v>
      </c>
      <c r="E1584" t="s">
        <v>2192</v>
      </c>
      <c r="F1584">
        <v>1763</v>
      </c>
      <c r="G1584">
        <v>1736</v>
      </c>
      <c r="H1584" t="s">
        <v>38</v>
      </c>
      <c r="I1584" t="s">
        <v>80</v>
      </c>
      <c r="J1584" t="s">
        <v>2969</v>
      </c>
      <c r="K1584" t="s">
        <v>38</v>
      </c>
      <c r="L1584" t="s">
        <v>38</v>
      </c>
      <c r="M1584" t="s">
        <v>38</v>
      </c>
      <c r="N1584" t="s">
        <v>38</v>
      </c>
      <c r="O1584" t="s">
        <v>41</v>
      </c>
      <c r="P1584" t="s">
        <v>42</v>
      </c>
      <c r="Q1584" t="s">
        <v>43</v>
      </c>
      <c r="R1584" t="s">
        <v>3106</v>
      </c>
      <c r="S1584" t="s">
        <v>153</v>
      </c>
      <c r="T1584" t="s">
        <v>38</v>
      </c>
      <c r="U1584" t="s">
        <v>38</v>
      </c>
      <c r="V1584" t="s">
        <v>137</v>
      </c>
      <c r="W1584" t="s">
        <v>38</v>
      </c>
      <c r="X1584" t="s">
        <v>38</v>
      </c>
      <c r="Y1584" t="s">
        <v>38</v>
      </c>
      <c r="Z1584" t="s">
        <v>42</v>
      </c>
      <c r="AA1584" t="s">
        <v>155</v>
      </c>
      <c r="AB1584" t="s">
        <v>38</v>
      </c>
      <c r="AC1584" t="s">
        <v>153</v>
      </c>
      <c r="AD1584" t="s">
        <v>48</v>
      </c>
      <c r="AG1584" t="str">
        <f>IF(AD1584="United States", IFERROR(INDEX(Sheet2!$C:$C, MATCH(AE1584&amp;AF1584, Sheet2!$E:$E, 0)) &amp; ", " &amp; INDEX(Sheet2!$D:$D, MATCH(AE1584&amp;AF1584, Sheet2!$E:$E, 0)), ""), "-")</f>
        <v/>
      </c>
    </row>
    <row r="1585" spans="1:33" x14ac:dyDescent="0.25">
      <c r="A1585" t="s">
        <v>2966</v>
      </c>
      <c r="D1585" t="s">
        <v>3107</v>
      </c>
      <c r="E1585" t="s">
        <v>3108</v>
      </c>
      <c r="F1585">
        <v>1781</v>
      </c>
      <c r="G1585">
        <v>3003</v>
      </c>
      <c r="H1585">
        <v>89</v>
      </c>
      <c r="J1585" t="s">
        <v>3109</v>
      </c>
      <c r="O1585" t="s">
        <v>54</v>
      </c>
      <c r="R1585" t="s">
        <v>2452</v>
      </c>
      <c r="T1585" t="s">
        <v>89</v>
      </c>
      <c r="U1585" t="s">
        <v>2453</v>
      </c>
      <c r="V1585" t="s">
        <v>1619</v>
      </c>
      <c r="W1585" t="s">
        <v>92</v>
      </c>
      <c r="Y1585" t="s">
        <v>38</v>
      </c>
      <c r="AA1585" t="s">
        <v>38</v>
      </c>
      <c r="AB1585" t="s">
        <v>38</v>
      </c>
      <c r="AC1585" t="s">
        <v>38</v>
      </c>
      <c r="AD1585" t="s">
        <v>48</v>
      </c>
      <c r="AG1585" t="str">
        <f>IF(AD1585="United States", IFERROR(INDEX(Sheet2!$C:$C, MATCH(AE1585&amp;AF1585, Sheet2!$E:$E, 0)) &amp; ", " &amp; INDEX(Sheet2!$D:$D, MATCH(AE1585&amp;AF1585, Sheet2!$E:$E, 0)), ""), "-")</f>
        <v/>
      </c>
    </row>
    <row r="1586" spans="1:33" x14ac:dyDescent="0.25">
      <c r="A1586" t="s">
        <v>2966</v>
      </c>
      <c r="D1586" t="s">
        <v>3110</v>
      </c>
      <c r="E1586" t="s">
        <v>3111</v>
      </c>
      <c r="F1586">
        <v>1756</v>
      </c>
      <c r="G1586">
        <v>3006</v>
      </c>
      <c r="H1586">
        <v>89</v>
      </c>
      <c r="J1586" t="s">
        <v>3109</v>
      </c>
      <c r="O1586" t="s">
        <v>41</v>
      </c>
      <c r="R1586" t="s">
        <v>2452</v>
      </c>
      <c r="T1586" t="s">
        <v>89</v>
      </c>
      <c r="U1586" t="s">
        <v>2453</v>
      </c>
      <c r="V1586" t="s">
        <v>1619</v>
      </c>
      <c r="W1586" t="s">
        <v>92</v>
      </c>
      <c r="Y1586" t="s">
        <v>38</v>
      </c>
      <c r="AA1586" t="s">
        <v>38</v>
      </c>
      <c r="AB1586" t="s">
        <v>38</v>
      </c>
      <c r="AC1586" t="s">
        <v>38</v>
      </c>
      <c r="AD1586" t="s">
        <v>48</v>
      </c>
      <c r="AG1586" t="str">
        <f>IF(AD1586="United States", IFERROR(INDEX(Sheet2!$C:$C, MATCH(AE1586&amp;AF1586, Sheet2!$E:$E, 0)) &amp; ", " &amp; INDEX(Sheet2!$D:$D, MATCH(AE1586&amp;AF1586, Sheet2!$E:$E, 0)), ""), "-")</f>
        <v/>
      </c>
    </row>
    <row r="1587" spans="1:33" x14ac:dyDescent="0.25">
      <c r="A1587" t="s">
        <v>2966</v>
      </c>
      <c r="D1587" t="s">
        <v>1107</v>
      </c>
      <c r="E1587" t="s">
        <v>3112</v>
      </c>
      <c r="F1587">
        <v>1750</v>
      </c>
      <c r="G1587">
        <v>3007</v>
      </c>
      <c r="H1587">
        <v>89</v>
      </c>
      <c r="J1587" t="s">
        <v>3109</v>
      </c>
      <c r="O1587" t="s">
        <v>41</v>
      </c>
      <c r="R1587" t="s">
        <v>2452</v>
      </c>
      <c r="T1587" t="s">
        <v>89</v>
      </c>
      <c r="U1587" t="s">
        <v>2453</v>
      </c>
      <c r="V1587" t="s">
        <v>1619</v>
      </c>
      <c r="W1587" t="s">
        <v>92</v>
      </c>
      <c r="Y1587" t="s">
        <v>38</v>
      </c>
      <c r="AA1587" t="s">
        <v>38</v>
      </c>
      <c r="AB1587" t="s">
        <v>38</v>
      </c>
      <c r="AC1587" t="s">
        <v>38</v>
      </c>
      <c r="AD1587" t="s">
        <v>48</v>
      </c>
      <c r="AG1587" t="str">
        <f>IF(AD1587="United States", IFERROR(INDEX(Sheet2!$C:$C, MATCH(AE1587&amp;AF1587, Sheet2!$E:$E, 0)) &amp; ", " &amp; INDEX(Sheet2!$D:$D, MATCH(AE1587&amp;AF1587, Sheet2!$E:$E, 0)), ""), "-")</f>
        <v/>
      </c>
    </row>
    <row r="1588" spans="1:33" x14ac:dyDescent="0.25">
      <c r="A1588" t="s">
        <v>2966</v>
      </c>
      <c r="D1588" t="s">
        <v>3113</v>
      </c>
      <c r="E1588" t="s">
        <v>3114</v>
      </c>
      <c r="F1588">
        <v>1778</v>
      </c>
      <c r="G1588">
        <v>3009</v>
      </c>
      <c r="H1588">
        <v>89</v>
      </c>
      <c r="J1588" t="s">
        <v>3109</v>
      </c>
      <c r="O1588" t="s">
        <v>74</v>
      </c>
      <c r="R1588" t="s">
        <v>2452</v>
      </c>
      <c r="T1588" t="s">
        <v>89</v>
      </c>
      <c r="U1588" t="s">
        <v>2453</v>
      </c>
      <c r="V1588" t="s">
        <v>1619</v>
      </c>
      <c r="W1588" t="s">
        <v>92</v>
      </c>
      <c r="Y1588" t="s">
        <v>38</v>
      </c>
      <c r="AA1588" t="s">
        <v>38</v>
      </c>
      <c r="AB1588" t="s">
        <v>38</v>
      </c>
      <c r="AC1588" t="s">
        <v>38</v>
      </c>
      <c r="AD1588" t="s">
        <v>48</v>
      </c>
      <c r="AG1588" t="str">
        <f>IF(AD1588="United States", IFERROR(INDEX(Sheet2!$C:$C, MATCH(AE1588&amp;AF1588, Sheet2!$E:$E, 0)) &amp; ", " &amp; INDEX(Sheet2!$D:$D, MATCH(AE1588&amp;AF1588, Sheet2!$E:$E, 0)), ""), "-")</f>
        <v/>
      </c>
    </row>
    <row r="1589" spans="1:33" x14ac:dyDescent="0.25">
      <c r="A1589" t="s">
        <v>2966</v>
      </c>
      <c r="B1589" t="s">
        <v>3115</v>
      </c>
      <c r="C1589" t="s">
        <v>2968</v>
      </c>
      <c r="D1589" t="s">
        <v>3116</v>
      </c>
      <c r="E1589" t="s">
        <v>226</v>
      </c>
      <c r="F1589">
        <v>1728</v>
      </c>
      <c r="G1589">
        <v>1660</v>
      </c>
      <c r="H1589" t="s">
        <v>38</v>
      </c>
      <c r="I1589" t="s">
        <v>80</v>
      </c>
      <c r="J1589" t="s">
        <v>2969</v>
      </c>
      <c r="K1589" t="s">
        <v>38</v>
      </c>
      <c r="L1589" t="s">
        <v>38</v>
      </c>
      <c r="M1589" t="s">
        <v>38</v>
      </c>
      <c r="N1589" t="s">
        <v>38</v>
      </c>
      <c r="O1589" t="s">
        <v>41</v>
      </c>
      <c r="P1589" t="s">
        <v>42</v>
      </c>
      <c r="Q1589" t="s">
        <v>43</v>
      </c>
      <c r="R1589" t="s">
        <v>38</v>
      </c>
      <c r="S1589" t="s">
        <v>38</v>
      </c>
      <c r="T1589" t="s">
        <v>38</v>
      </c>
      <c r="U1589" t="s">
        <v>38</v>
      </c>
      <c r="V1589" t="s">
        <v>137</v>
      </c>
      <c r="W1589" t="s">
        <v>38</v>
      </c>
      <c r="X1589" t="s">
        <v>38</v>
      </c>
      <c r="Y1589" t="s">
        <v>38</v>
      </c>
      <c r="Z1589" t="s">
        <v>42</v>
      </c>
      <c r="AA1589" t="s">
        <v>38</v>
      </c>
      <c r="AB1589" t="s">
        <v>38</v>
      </c>
      <c r="AC1589" t="s">
        <v>38</v>
      </c>
      <c r="AD1589" t="s">
        <v>48</v>
      </c>
      <c r="AG1589" t="str">
        <f>IF(AD1589="United States", IFERROR(INDEX(Sheet2!$C:$C, MATCH(AE1589&amp;AF1589, Sheet2!$E:$E, 0)) &amp; ", " &amp; INDEX(Sheet2!$D:$D, MATCH(AE1589&amp;AF1589, Sheet2!$E:$E, 0)), ""), "-")</f>
        <v/>
      </c>
    </row>
    <row r="1590" spans="1:33" x14ac:dyDescent="0.25">
      <c r="A1590" t="s">
        <v>2966</v>
      </c>
      <c r="B1590" t="s">
        <v>3117</v>
      </c>
      <c r="C1590" t="s">
        <v>3118</v>
      </c>
      <c r="D1590" t="s">
        <v>114</v>
      </c>
      <c r="E1590" t="s">
        <v>37</v>
      </c>
      <c r="F1590">
        <v>1765</v>
      </c>
      <c r="G1590">
        <v>2186</v>
      </c>
      <c r="H1590" t="s">
        <v>2975</v>
      </c>
      <c r="I1590" t="s">
        <v>87</v>
      </c>
      <c r="J1590" t="s">
        <v>3119</v>
      </c>
      <c r="K1590" t="s">
        <v>38</v>
      </c>
      <c r="L1590" t="s">
        <v>38</v>
      </c>
      <c r="M1590" t="s">
        <v>38</v>
      </c>
      <c r="N1590" t="s">
        <v>38</v>
      </c>
      <c r="O1590" t="s">
        <v>57</v>
      </c>
      <c r="P1590" t="s">
        <v>42</v>
      </c>
      <c r="Q1590" t="s">
        <v>43</v>
      </c>
      <c r="R1590" t="s">
        <v>2452</v>
      </c>
      <c r="S1590" t="s">
        <v>38</v>
      </c>
      <c r="T1590" t="s">
        <v>89</v>
      </c>
      <c r="U1590" t="s">
        <v>2453</v>
      </c>
      <c r="V1590" t="s">
        <v>137</v>
      </c>
      <c r="W1590" t="s">
        <v>92</v>
      </c>
      <c r="X1590" t="s">
        <v>38</v>
      </c>
      <c r="Y1590" t="s">
        <v>3120</v>
      </c>
      <c r="Z1590" t="s">
        <v>42</v>
      </c>
      <c r="AA1590" t="s">
        <v>38</v>
      </c>
      <c r="AB1590" t="s">
        <v>38</v>
      </c>
      <c r="AC1590" t="s">
        <v>38</v>
      </c>
      <c r="AD1590" t="s">
        <v>48</v>
      </c>
      <c r="AG1590" t="str">
        <f>IF(AD1590="United States", IFERROR(INDEX(Sheet2!$C:$C, MATCH(AE1590&amp;AF1590, Sheet2!$E:$E, 0)) &amp; ", " &amp; INDEX(Sheet2!$D:$D, MATCH(AE1590&amp;AF1590, Sheet2!$E:$E, 0)), ""), "-")</f>
        <v/>
      </c>
    </row>
    <row r="1591" spans="1:33" x14ac:dyDescent="0.25">
      <c r="A1591" t="s">
        <v>2966</v>
      </c>
      <c r="B1591" t="s">
        <v>3121</v>
      </c>
      <c r="C1591" t="s">
        <v>3118</v>
      </c>
      <c r="D1591" t="s">
        <v>3122</v>
      </c>
      <c r="E1591" t="s">
        <v>38</v>
      </c>
      <c r="F1591">
        <v>1727</v>
      </c>
      <c r="G1591">
        <v>2185</v>
      </c>
      <c r="H1591" t="s">
        <v>38</v>
      </c>
      <c r="I1591" t="s">
        <v>87</v>
      </c>
      <c r="J1591" t="s">
        <v>3119</v>
      </c>
      <c r="K1591" t="s">
        <v>38</v>
      </c>
      <c r="L1591" t="s">
        <v>38</v>
      </c>
      <c r="M1591" t="s">
        <v>38</v>
      </c>
      <c r="N1591" t="s">
        <v>38</v>
      </c>
      <c r="O1591" t="s">
        <v>57</v>
      </c>
      <c r="P1591" t="s">
        <v>42</v>
      </c>
      <c r="Q1591" t="s">
        <v>43</v>
      </c>
      <c r="R1591" t="s">
        <v>38</v>
      </c>
      <c r="S1591" t="s">
        <v>38</v>
      </c>
      <c r="T1591" t="s">
        <v>38</v>
      </c>
      <c r="U1591" t="s">
        <v>38</v>
      </c>
      <c r="V1591" t="s">
        <v>137</v>
      </c>
      <c r="W1591" t="s">
        <v>38</v>
      </c>
      <c r="X1591" t="s">
        <v>38</v>
      </c>
      <c r="Y1591" t="s">
        <v>3123</v>
      </c>
      <c r="Z1591" t="s">
        <v>42</v>
      </c>
      <c r="AA1591" t="s">
        <v>38</v>
      </c>
      <c r="AB1591" t="s">
        <v>38</v>
      </c>
      <c r="AC1591" t="s">
        <v>38</v>
      </c>
      <c r="AD1591" t="s">
        <v>48</v>
      </c>
      <c r="AG1591" t="str">
        <f>IF(AD1591="United States", IFERROR(INDEX(Sheet2!$C:$C, MATCH(AE1591&amp;AF1591, Sheet2!$E:$E, 0)) &amp; ", " &amp; INDEX(Sheet2!$D:$D, MATCH(AE1591&amp;AF1591, Sheet2!$E:$E, 0)), ""), "-")</f>
        <v/>
      </c>
    </row>
    <row r="1592" spans="1:33" x14ac:dyDescent="0.25">
      <c r="A1592" t="s">
        <v>2966</v>
      </c>
      <c r="B1592" t="s">
        <v>3124</v>
      </c>
      <c r="C1592" t="s">
        <v>3125</v>
      </c>
      <c r="D1592" t="s">
        <v>106</v>
      </c>
      <c r="E1592" t="s">
        <v>38</v>
      </c>
      <c r="F1592">
        <v>1761</v>
      </c>
      <c r="G1592">
        <v>2170</v>
      </c>
      <c r="H1592" t="s">
        <v>2977</v>
      </c>
      <c r="I1592" t="s">
        <v>87</v>
      </c>
      <c r="J1592" t="s">
        <v>3126</v>
      </c>
      <c r="K1592" t="s">
        <v>38</v>
      </c>
      <c r="L1592" t="s">
        <v>38</v>
      </c>
      <c r="M1592" t="s">
        <v>38</v>
      </c>
      <c r="N1592" t="s">
        <v>38</v>
      </c>
      <c r="O1592" t="s">
        <v>41</v>
      </c>
      <c r="P1592" t="s">
        <v>42</v>
      </c>
      <c r="Q1592" t="s">
        <v>43</v>
      </c>
      <c r="R1592" t="s">
        <v>2452</v>
      </c>
      <c r="S1592" t="s">
        <v>38</v>
      </c>
      <c r="T1592" t="s">
        <v>89</v>
      </c>
      <c r="U1592" t="s">
        <v>2453</v>
      </c>
      <c r="V1592" t="s">
        <v>137</v>
      </c>
      <c r="W1592" t="s">
        <v>92</v>
      </c>
      <c r="X1592" t="s">
        <v>38</v>
      </c>
      <c r="Y1592" t="s">
        <v>3127</v>
      </c>
      <c r="Z1592" t="s">
        <v>42</v>
      </c>
      <c r="AA1592" t="s">
        <v>38</v>
      </c>
      <c r="AB1592" t="s">
        <v>38</v>
      </c>
      <c r="AC1592" t="s">
        <v>38</v>
      </c>
      <c r="AD1592" t="s">
        <v>48</v>
      </c>
      <c r="AG1592" t="str">
        <f>IF(AD1592="United States", IFERROR(INDEX(Sheet2!$C:$C, MATCH(AE1592&amp;AF1592, Sheet2!$E:$E, 0)) &amp; ", " &amp; INDEX(Sheet2!$D:$D, MATCH(AE1592&amp;AF1592, Sheet2!$E:$E, 0)), ""), "-")</f>
        <v/>
      </c>
    </row>
    <row r="1593" spans="1:33" x14ac:dyDescent="0.25">
      <c r="A1593" t="s">
        <v>2966</v>
      </c>
      <c r="B1593" t="s">
        <v>3128</v>
      </c>
      <c r="C1593" t="s">
        <v>3125</v>
      </c>
      <c r="D1593" t="s">
        <v>204</v>
      </c>
      <c r="E1593" t="s">
        <v>38</v>
      </c>
      <c r="F1593">
        <v>1756</v>
      </c>
      <c r="G1593">
        <v>2169</v>
      </c>
      <c r="H1593" t="s">
        <v>38</v>
      </c>
      <c r="I1593" t="s">
        <v>87</v>
      </c>
      <c r="J1593" t="s">
        <v>3126</v>
      </c>
      <c r="K1593" t="s">
        <v>38</v>
      </c>
      <c r="L1593" t="s">
        <v>38</v>
      </c>
      <c r="M1593" t="s">
        <v>38</v>
      </c>
      <c r="N1593" t="s">
        <v>38</v>
      </c>
      <c r="O1593" t="s">
        <v>41</v>
      </c>
      <c r="P1593" t="s">
        <v>42</v>
      </c>
      <c r="Q1593" t="s">
        <v>43</v>
      </c>
      <c r="R1593" t="s">
        <v>38</v>
      </c>
      <c r="S1593" t="s">
        <v>38</v>
      </c>
      <c r="T1593" t="s">
        <v>38</v>
      </c>
      <c r="U1593" t="s">
        <v>38</v>
      </c>
      <c r="V1593" t="s">
        <v>137</v>
      </c>
      <c r="W1593" t="s">
        <v>38</v>
      </c>
      <c r="X1593" t="s">
        <v>38</v>
      </c>
      <c r="Y1593" t="s">
        <v>3129</v>
      </c>
      <c r="Z1593" t="s">
        <v>42</v>
      </c>
      <c r="AA1593" t="s">
        <v>38</v>
      </c>
      <c r="AB1593" t="s">
        <v>38</v>
      </c>
      <c r="AC1593" t="s">
        <v>38</v>
      </c>
      <c r="AD1593" t="s">
        <v>48</v>
      </c>
      <c r="AG1593" t="str">
        <f>IF(AD1593="United States", IFERROR(INDEX(Sheet2!$C:$C, MATCH(AE1593&amp;AF1593, Sheet2!$E:$E, 0)) &amp; ", " &amp; INDEX(Sheet2!$D:$D, MATCH(AE1593&amp;AF1593, Sheet2!$E:$E, 0)), ""), "-")</f>
        <v/>
      </c>
    </row>
    <row r="1594" spans="1:33" x14ac:dyDescent="0.25">
      <c r="A1594" t="s">
        <v>2966</v>
      </c>
      <c r="B1594" t="s">
        <v>3130</v>
      </c>
      <c r="C1594" t="s">
        <v>3125</v>
      </c>
      <c r="D1594" t="s">
        <v>352</v>
      </c>
      <c r="E1594" t="s">
        <v>38</v>
      </c>
      <c r="F1594">
        <v>1766</v>
      </c>
      <c r="G1594">
        <v>2168</v>
      </c>
      <c r="H1594" t="s">
        <v>38</v>
      </c>
      <c r="I1594" t="s">
        <v>87</v>
      </c>
      <c r="J1594" t="s">
        <v>3126</v>
      </c>
      <c r="K1594" t="s">
        <v>38</v>
      </c>
      <c r="L1594" t="s">
        <v>38</v>
      </c>
      <c r="M1594" t="s">
        <v>38</v>
      </c>
      <c r="N1594" t="s">
        <v>38</v>
      </c>
      <c r="O1594" t="s">
        <v>74</v>
      </c>
      <c r="P1594" t="s">
        <v>42</v>
      </c>
      <c r="Q1594" t="s">
        <v>43</v>
      </c>
      <c r="R1594" t="s">
        <v>38</v>
      </c>
      <c r="S1594" t="s">
        <v>38</v>
      </c>
      <c r="T1594" t="s">
        <v>38</v>
      </c>
      <c r="U1594" t="s">
        <v>38</v>
      </c>
      <c r="V1594" t="s">
        <v>137</v>
      </c>
      <c r="W1594" t="s">
        <v>38</v>
      </c>
      <c r="X1594" t="s">
        <v>38</v>
      </c>
      <c r="Y1594" t="s">
        <v>3131</v>
      </c>
      <c r="Z1594" t="s">
        <v>42</v>
      </c>
      <c r="AA1594" t="s">
        <v>38</v>
      </c>
      <c r="AB1594" t="s">
        <v>38</v>
      </c>
      <c r="AC1594" t="s">
        <v>38</v>
      </c>
      <c r="AD1594" t="s">
        <v>48</v>
      </c>
      <c r="AG1594" t="str">
        <f>IF(AD1594="United States", IFERROR(INDEX(Sheet2!$C:$C, MATCH(AE1594&amp;AF1594, Sheet2!$E:$E, 0)) &amp; ", " &amp; INDEX(Sheet2!$D:$D, MATCH(AE1594&amp;AF1594, Sheet2!$E:$E, 0)), ""), "-")</f>
        <v/>
      </c>
    </row>
    <row r="1595" spans="1:33" x14ac:dyDescent="0.25">
      <c r="A1595" t="s">
        <v>2966</v>
      </c>
      <c r="B1595" t="s">
        <v>3132</v>
      </c>
      <c r="C1595" t="s">
        <v>3125</v>
      </c>
      <c r="D1595" t="s">
        <v>650</v>
      </c>
      <c r="E1595" t="s">
        <v>818</v>
      </c>
      <c r="F1595">
        <v>1728</v>
      </c>
      <c r="G1595">
        <v>2167</v>
      </c>
      <c r="H1595" t="s">
        <v>38</v>
      </c>
      <c r="I1595" t="s">
        <v>87</v>
      </c>
      <c r="J1595" t="s">
        <v>3126</v>
      </c>
      <c r="K1595" t="s">
        <v>38</v>
      </c>
      <c r="L1595" t="s">
        <v>38</v>
      </c>
      <c r="M1595" t="s">
        <v>38</v>
      </c>
      <c r="N1595" t="s">
        <v>38</v>
      </c>
      <c r="O1595" t="s">
        <v>57</v>
      </c>
      <c r="P1595" t="s">
        <v>42</v>
      </c>
      <c r="Q1595" t="s">
        <v>43</v>
      </c>
      <c r="R1595" t="s">
        <v>3133</v>
      </c>
      <c r="S1595" t="s">
        <v>201</v>
      </c>
      <c r="T1595" t="s">
        <v>38</v>
      </c>
      <c r="U1595" t="s">
        <v>38</v>
      </c>
      <c r="V1595" t="s">
        <v>137</v>
      </c>
      <c r="W1595" t="s">
        <v>38</v>
      </c>
      <c r="X1595" t="s">
        <v>38</v>
      </c>
      <c r="Y1595" t="s">
        <v>3134</v>
      </c>
      <c r="Z1595" t="s">
        <v>42</v>
      </c>
      <c r="AA1595" t="s">
        <v>38</v>
      </c>
      <c r="AB1595" t="s">
        <v>38</v>
      </c>
      <c r="AC1595" t="s">
        <v>201</v>
      </c>
      <c r="AD1595" t="s">
        <v>48</v>
      </c>
      <c r="AG1595" t="str">
        <f>IF(AD1595="United States", IFERROR(INDEX(Sheet2!$C:$C, MATCH(AE1595&amp;AF1595, Sheet2!$E:$E, 0)) &amp; ", " &amp; INDEX(Sheet2!$D:$D, MATCH(AE1595&amp;AF1595, Sheet2!$E:$E, 0)), ""), "-")</f>
        <v/>
      </c>
    </row>
    <row r="1596" spans="1:33" x14ac:dyDescent="0.25">
      <c r="A1596" t="s">
        <v>2966</v>
      </c>
      <c r="B1596" t="s">
        <v>3135</v>
      </c>
      <c r="C1596" t="s">
        <v>3125</v>
      </c>
      <c r="D1596" t="s">
        <v>230</v>
      </c>
      <c r="E1596" t="s">
        <v>818</v>
      </c>
      <c r="F1596">
        <v>1726</v>
      </c>
      <c r="G1596">
        <v>2166</v>
      </c>
      <c r="H1596" t="s">
        <v>2975</v>
      </c>
      <c r="I1596" t="s">
        <v>87</v>
      </c>
      <c r="J1596" t="s">
        <v>3126</v>
      </c>
      <c r="K1596" t="s">
        <v>38</v>
      </c>
      <c r="L1596" t="s">
        <v>38</v>
      </c>
      <c r="M1596" t="s">
        <v>38</v>
      </c>
      <c r="N1596" t="s">
        <v>38</v>
      </c>
      <c r="O1596" t="s">
        <v>41</v>
      </c>
      <c r="P1596" t="s">
        <v>42</v>
      </c>
      <c r="Q1596" t="s">
        <v>43</v>
      </c>
      <c r="R1596" t="s">
        <v>2452</v>
      </c>
      <c r="S1596" t="s">
        <v>201</v>
      </c>
      <c r="T1596" t="s">
        <v>89</v>
      </c>
      <c r="U1596" t="s">
        <v>2453</v>
      </c>
      <c r="V1596" t="s">
        <v>137</v>
      </c>
      <c r="W1596" t="s">
        <v>92</v>
      </c>
      <c r="X1596" t="s">
        <v>38</v>
      </c>
      <c r="Y1596" t="s">
        <v>3134</v>
      </c>
      <c r="Z1596" t="s">
        <v>42</v>
      </c>
      <c r="AA1596" t="s">
        <v>38</v>
      </c>
      <c r="AB1596" t="s">
        <v>38</v>
      </c>
      <c r="AC1596" t="s">
        <v>201</v>
      </c>
      <c r="AD1596" t="s">
        <v>48</v>
      </c>
      <c r="AG1596" t="str">
        <f>IF(AD1596="United States", IFERROR(INDEX(Sheet2!$C:$C, MATCH(AE1596&amp;AF1596, Sheet2!$E:$E, 0)) &amp; ", " &amp; INDEX(Sheet2!$D:$D, MATCH(AE1596&amp;AF1596, Sheet2!$E:$E, 0)), ""), "-")</f>
        <v/>
      </c>
    </row>
    <row r="1597" spans="1:33" x14ac:dyDescent="0.25">
      <c r="A1597" t="s">
        <v>2966</v>
      </c>
      <c r="B1597" t="s">
        <v>3136</v>
      </c>
      <c r="C1597" t="s">
        <v>3125</v>
      </c>
      <c r="D1597" t="s">
        <v>3137</v>
      </c>
      <c r="E1597" t="s">
        <v>3138</v>
      </c>
      <c r="F1597">
        <v>1753</v>
      </c>
      <c r="G1597">
        <v>2165</v>
      </c>
      <c r="H1597" t="s">
        <v>38</v>
      </c>
      <c r="I1597" t="s">
        <v>87</v>
      </c>
      <c r="J1597" t="s">
        <v>3126</v>
      </c>
      <c r="K1597" t="s">
        <v>38</v>
      </c>
      <c r="L1597" t="s">
        <v>38</v>
      </c>
      <c r="M1597" t="s">
        <v>38</v>
      </c>
      <c r="N1597" t="s">
        <v>38</v>
      </c>
      <c r="O1597" t="s">
        <v>41</v>
      </c>
      <c r="P1597" t="s">
        <v>42</v>
      </c>
      <c r="Q1597" t="s">
        <v>43</v>
      </c>
      <c r="R1597" t="s">
        <v>241</v>
      </c>
      <c r="S1597" t="s">
        <v>45</v>
      </c>
      <c r="T1597" t="s">
        <v>38</v>
      </c>
      <c r="U1597" t="s">
        <v>38</v>
      </c>
      <c r="V1597" t="s">
        <v>137</v>
      </c>
      <c r="W1597" t="s">
        <v>38</v>
      </c>
      <c r="X1597" t="s">
        <v>38</v>
      </c>
      <c r="Y1597" t="s">
        <v>3139</v>
      </c>
      <c r="Z1597" t="s">
        <v>42</v>
      </c>
      <c r="AA1597" t="s">
        <v>241</v>
      </c>
      <c r="AB1597" t="s">
        <v>38</v>
      </c>
      <c r="AC1597" t="s">
        <v>45</v>
      </c>
      <c r="AD1597" t="s">
        <v>48</v>
      </c>
      <c r="AG1597" t="str">
        <f>IF(AD1597="United States", IFERROR(INDEX(Sheet2!$C:$C, MATCH(AE1597&amp;AF1597, Sheet2!$E:$E, 0)) &amp; ", " &amp; INDEX(Sheet2!$D:$D, MATCH(AE1597&amp;AF1597, Sheet2!$E:$E, 0)), ""), "-")</f>
        <v/>
      </c>
    </row>
    <row r="1598" spans="1:33" x14ac:dyDescent="0.25">
      <c r="A1598" t="s">
        <v>2966</v>
      </c>
      <c r="B1598" t="s">
        <v>3140</v>
      </c>
      <c r="C1598" t="s">
        <v>3125</v>
      </c>
      <c r="D1598" t="s">
        <v>210</v>
      </c>
      <c r="E1598" t="s">
        <v>3141</v>
      </c>
      <c r="F1598">
        <v>1760</v>
      </c>
      <c r="G1598">
        <v>2164</v>
      </c>
      <c r="H1598" t="s">
        <v>2977</v>
      </c>
      <c r="I1598" t="s">
        <v>87</v>
      </c>
      <c r="J1598" t="s">
        <v>3126</v>
      </c>
      <c r="K1598" t="s">
        <v>38</v>
      </c>
      <c r="L1598" t="s">
        <v>38</v>
      </c>
      <c r="M1598" t="s">
        <v>38</v>
      </c>
      <c r="N1598" t="s">
        <v>38</v>
      </c>
      <c r="O1598" t="s">
        <v>41</v>
      </c>
      <c r="P1598" t="s">
        <v>42</v>
      </c>
      <c r="Q1598" t="s">
        <v>43</v>
      </c>
      <c r="R1598" t="s">
        <v>2452</v>
      </c>
      <c r="S1598" t="s">
        <v>201</v>
      </c>
      <c r="T1598" t="s">
        <v>89</v>
      </c>
      <c r="U1598" t="s">
        <v>2453</v>
      </c>
      <c r="V1598" t="s">
        <v>137</v>
      </c>
      <c r="W1598" t="s">
        <v>92</v>
      </c>
      <c r="X1598" t="s">
        <v>38</v>
      </c>
      <c r="Y1598" t="s">
        <v>3120</v>
      </c>
      <c r="Z1598" t="s">
        <v>42</v>
      </c>
      <c r="AA1598" t="s">
        <v>3142</v>
      </c>
      <c r="AB1598" t="s">
        <v>38</v>
      </c>
      <c r="AC1598" t="s">
        <v>201</v>
      </c>
      <c r="AD1598" t="s">
        <v>48</v>
      </c>
      <c r="AG1598" t="str">
        <f>IF(AD1598="United States", IFERROR(INDEX(Sheet2!$C:$C, MATCH(AE1598&amp;AF1598, Sheet2!$E:$E, 0)) &amp; ", " &amp; INDEX(Sheet2!$D:$D, MATCH(AE1598&amp;AF1598, Sheet2!$E:$E, 0)), ""), "-")</f>
        <v/>
      </c>
    </row>
    <row r="1599" spans="1:33" x14ac:dyDescent="0.25">
      <c r="A1599" t="s">
        <v>2966</v>
      </c>
      <c r="B1599" t="s">
        <v>3143</v>
      </c>
      <c r="C1599" t="s">
        <v>3125</v>
      </c>
      <c r="D1599" t="s">
        <v>3144</v>
      </c>
      <c r="E1599" t="s">
        <v>2754</v>
      </c>
      <c r="F1599">
        <v>1733</v>
      </c>
      <c r="G1599">
        <v>2163</v>
      </c>
      <c r="H1599" t="s">
        <v>38</v>
      </c>
      <c r="I1599" t="s">
        <v>87</v>
      </c>
      <c r="J1599" t="s">
        <v>3126</v>
      </c>
      <c r="K1599" t="s">
        <v>38</v>
      </c>
      <c r="L1599" t="s">
        <v>38</v>
      </c>
      <c r="M1599" t="s">
        <v>38</v>
      </c>
      <c r="N1599" t="s">
        <v>38</v>
      </c>
      <c r="O1599" t="s">
        <v>57</v>
      </c>
      <c r="P1599" t="s">
        <v>42</v>
      </c>
      <c r="Q1599" t="s">
        <v>43</v>
      </c>
      <c r="R1599" t="s">
        <v>3145</v>
      </c>
      <c r="S1599" t="s">
        <v>45</v>
      </c>
      <c r="T1599" t="s">
        <v>38</v>
      </c>
      <c r="U1599" t="s">
        <v>38</v>
      </c>
      <c r="V1599" t="s">
        <v>137</v>
      </c>
      <c r="W1599" t="s">
        <v>38</v>
      </c>
      <c r="X1599" t="s">
        <v>38</v>
      </c>
      <c r="Y1599" t="s">
        <v>3146</v>
      </c>
      <c r="Z1599" t="s">
        <v>42</v>
      </c>
      <c r="AA1599" t="s">
        <v>38</v>
      </c>
      <c r="AB1599" t="s">
        <v>38</v>
      </c>
      <c r="AC1599" t="s">
        <v>45</v>
      </c>
      <c r="AD1599" t="s">
        <v>48</v>
      </c>
      <c r="AG1599" t="str">
        <f>IF(AD1599="United States", IFERROR(INDEX(Sheet2!$C:$C, MATCH(AE1599&amp;AF1599, Sheet2!$E:$E, 0)) &amp; ", " &amp; INDEX(Sheet2!$D:$D, MATCH(AE1599&amp;AF1599, Sheet2!$E:$E, 0)), ""), "-")</f>
        <v/>
      </c>
    </row>
    <row r="1600" spans="1:33" x14ac:dyDescent="0.25">
      <c r="A1600" t="s">
        <v>2966</v>
      </c>
      <c r="D1600" t="s">
        <v>3147</v>
      </c>
      <c r="E1600" t="s">
        <v>412</v>
      </c>
      <c r="F1600">
        <v>1782</v>
      </c>
      <c r="G1600">
        <v>3000</v>
      </c>
      <c r="H1600">
        <v>89</v>
      </c>
      <c r="J1600" t="s">
        <v>3109</v>
      </c>
      <c r="O1600" t="s">
        <v>54</v>
      </c>
      <c r="R1600" t="s">
        <v>2452</v>
      </c>
      <c r="T1600" t="s">
        <v>89</v>
      </c>
      <c r="U1600" t="s">
        <v>2453</v>
      </c>
      <c r="V1600" t="s">
        <v>1619</v>
      </c>
      <c r="W1600" t="s">
        <v>92</v>
      </c>
      <c r="Y1600" t="s">
        <v>38</v>
      </c>
      <c r="AA1600" t="s">
        <v>38</v>
      </c>
      <c r="AB1600" t="s">
        <v>38</v>
      </c>
      <c r="AC1600" t="s">
        <v>38</v>
      </c>
      <c r="AD1600" t="s">
        <v>48</v>
      </c>
      <c r="AG1600" t="str">
        <f>IF(AD1600="United States", IFERROR(INDEX(Sheet2!$C:$C, MATCH(AE1600&amp;AF1600, Sheet2!$E:$E, 0)) &amp; ", " &amp; INDEX(Sheet2!$D:$D, MATCH(AE1600&amp;AF1600, Sheet2!$E:$E, 0)), ""), "-")</f>
        <v/>
      </c>
    </row>
    <row r="1601" spans="1:33" x14ac:dyDescent="0.25">
      <c r="A1601" t="s">
        <v>2966</v>
      </c>
      <c r="B1601" t="s">
        <v>3148</v>
      </c>
      <c r="C1601" t="s">
        <v>3125</v>
      </c>
      <c r="D1601" t="s">
        <v>1491</v>
      </c>
      <c r="E1601" t="s">
        <v>3149</v>
      </c>
      <c r="F1601">
        <v>1753</v>
      </c>
      <c r="G1601">
        <v>2162</v>
      </c>
      <c r="H1601" t="s">
        <v>38</v>
      </c>
      <c r="I1601" t="s">
        <v>87</v>
      </c>
      <c r="J1601" t="s">
        <v>3126</v>
      </c>
      <c r="K1601" t="s">
        <v>38</v>
      </c>
      <c r="L1601" t="s">
        <v>38</v>
      </c>
      <c r="M1601" t="s">
        <v>38</v>
      </c>
      <c r="N1601" t="s">
        <v>38</v>
      </c>
      <c r="O1601" t="s">
        <v>41</v>
      </c>
      <c r="P1601" t="s">
        <v>42</v>
      </c>
      <c r="Q1601" t="s">
        <v>43</v>
      </c>
      <c r="R1601" t="s">
        <v>3150</v>
      </c>
      <c r="S1601" t="s">
        <v>45</v>
      </c>
      <c r="T1601" t="s">
        <v>38</v>
      </c>
      <c r="U1601" t="s">
        <v>38</v>
      </c>
      <c r="V1601" t="s">
        <v>137</v>
      </c>
      <c r="W1601" t="s">
        <v>38</v>
      </c>
      <c r="X1601" t="s">
        <v>38</v>
      </c>
      <c r="Y1601" t="s">
        <v>3151</v>
      </c>
      <c r="Z1601" t="s">
        <v>42</v>
      </c>
      <c r="AA1601" t="s">
        <v>3150</v>
      </c>
      <c r="AB1601" t="s">
        <v>38</v>
      </c>
      <c r="AC1601" t="s">
        <v>45</v>
      </c>
      <c r="AD1601" t="s">
        <v>48</v>
      </c>
      <c r="AG1601" t="str">
        <f>IF(AD1601="United States", IFERROR(INDEX(Sheet2!$C:$C, MATCH(AE1601&amp;AF1601, Sheet2!$E:$E, 0)) &amp; ", " &amp; INDEX(Sheet2!$D:$D, MATCH(AE1601&amp;AF1601, Sheet2!$E:$E, 0)), ""), "-")</f>
        <v/>
      </c>
    </row>
    <row r="1602" spans="1:33" x14ac:dyDescent="0.25">
      <c r="A1602" t="s">
        <v>2966</v>
      </c>
      <c r="D1602" t="s">
        <v>3152</v>
      </c>
      <c r="E1602" t="s">
        <v>3153</v>
      </c>
      <c r="F1602">
        <v>1754</v>
      </c>
      <c r="G1602">
        <v>2999</v>
      </c>
      <c r="H1602">
        <v>89</v>
      </c>
      <c r="J1602" t="s">
        <v>3109</v>
      </c>
      <c r="O1602" t="s">
        <v>57</v>
      </c>
      <c r="R1602" t="s">
        <v>2452</v>
      </c>
      <c r="T1602" t="s">
        <v>89</v>
      </c>
      <c r="U1602" t="s">
        <v>2453</v>
      </c>
      <c r="V1602" t="s">
        <v>1619</v>
      </c>
      <c r="W1602" t="s">
        <v>92</v>
      </c>
      <c r="Y1602" t="s">
        <v>38</v>
      </c>
      <c r="AA1602" t="s">
        <v>38</v>
      </c>
      <c r="AB1602" t="s">
        <v>38</v>
      </c>
      <c r="AC1602" t="s">
        <v>38</v>
      </c>
      <c r="AD1602" t="s">
        <v>48</v>
      </c>
      <c r="AG1602" t="str">
        <f>IF(AD1602="United States", IFERROR(INDEX(Sheet2!$C:$C, MATCH(AE1602&amp;AF1602, Sheet2!$E:$E, 0)) &amp; ", " &amp; INDEX(Sheet2!$D:$D, MATCH(AE1602&amp;AF1602, Sheet2!$E:$E, 0)), ""), "-")</f>
        <v/>
      </c>
    </row>
    <row r="1603" spans="1:33" x14ac:dyDescent="0.25">
      <c r="A1603" t="s">
        <v>2966</v>
      </c>
      <c r="D1603" t="s">
        <v>458</v>
      </c>
      <c r="E1603" t="s">
        <v>3154</v>
      </c>
      <c r="F1603">
        <v>1734</v>
      </c>
      <c r="G1603">
        <v>2987</v>
      </c>
      <c r="H1603">
        <v>88</v>
      </c>
      <c r="J1603" t="s">
        <v>3109</v>
      </c>
      <c r="O1603" t="s">
        <v>41</v>
      </c>
      <c r="R1603" t="s">
        <v>2452</v>
      </c>
      <c r="T1603" t="s">
        <v>89</v>
      </c>
      <c r="U1603" t="s">
        <v>2453</v>
      </c>
      <c r="V1603" t="s">
        <v>1619</v>
      </c>
      <c r="W1603" t="s">
        <v>92</v>
      </c>
      <c r="Y1603" t="s">
        <v>38</v>
      </c>
      <c r="AA1603" t="s">
        <v>38</v>
      </c>
      <c r="AB1603" t="s">
        <v>38</v>
      </c>
      <c r="AC1603" t="s">
        <v>38</v>
      </c>
      <c r="AD1603" t="s">
        <v>48</v>
      </c>
      <c r="AG1603" t="str">
        <f>IF(AD1603="United States", IFERROR(INDEX(Sheet2!$C:$C, MATCH(AE1603&amp;AF1603, Sheet2!$E:$E, 0)) &amp; ", " &amp; INDEX(Sheet2!$D:$D, MATCH(AE1603&amp;AF1603, Sheet2!$E:$E, 0)), ""), "-")</f>
        <v/>
      </c>
    </row>
    <row r="1604" spans="1:33" x14ac:dyDescent="0.25">
      <c r="A1604" t="s">
        <v>2966</v>
      </c>
      <c r="D1604" t="s">
        <v>1515</v>
      </c>
      <c r="E1604" t="s">
        <v>3155</v>
      </c>
      <c r="F1604">
        <v>1754</v>
      </c>
      <c r="G1604">
        <v>2934</v>
      </c>
      <c r="H1604">
        <v>87</v>
      </c>
      <c r="J1604" t="s">
        <v>3109</v>
      </c>
      <c r="O1604" t="s">
        <v>41</v>
      </c>
      <c r="R1604" t="s">
        <v>2452</v>
      </c>
      <c r="T1604" t="s">
        <v>89</v>
      </c>
      <c r="U1604" t="s">
        <v>2453</v>
      </c>
      <c r="V1604" t="s">
        <v>1619</v>
      </c>
      <c r="W1604" t="s">
        <v>92</v>
      </c>
      <c r="Y1604" t="s">
        <v>38</v>
      </c>
      <c r="AA1604" t="s">
        <v>38</v>
      </c>
      <c r="AB1604" t="s">
        <v>38</v>
      </c>
      <c r="AC1604" t="s">
        <v>38</v>
      </c>
      <c r="AD1604" t="s">
        <v>48</v>
      </c>
      <c r="AG1604" t="str">
        <f>IF(AD1604="United States", IFERROR(INDEX(Sheet2!$C:$C, MATCH(AE1604&amp;AF1604, Sheet2!$E:$E, 0)) &amp; ", " &amp; INDEX(Sheet2!$D:$D, MATCH(AE1604&amp;AF1604, Sheet2!$E:$E, 0)), ""), "-")</f>
        <v/>
      </c>
    </row>
    <row r="1605" spans="1:33" x14ac:dyDescent="0.25">
      <c r="A1605" t="s">
        <v>2966</v>
      </c>
      <c r="D1605" t="s">
        <v>647</v>
      </c>
      <c r="E1605" t="s">
        <v>3156</v>
      </c>
      <c r="F1605">
        <v>1730</v>
      </c>
      <c r="G1605">
        <v>2938</v>
      </c>
      <c r="H1605">
        <v>87</v>
      </c>
      <c r="J1605" t="s">
        <v>3109</v>
      </c>
      <c r="O1605" t="s">
        <v>41</v>
      </c>
      <c r="R1605" t="s">
        <v>2452</v>
      </c>
      <c r="T1605" t="s">
        <v>89</v>
      </c>
      <c r="U1605" t="s">
        <v>2453</v>
      </c>
      <c r="V1605" t="s">
        <v>1619</v>
      </c>
      <c r="W1605" t="s">
        <v>92</v>
      </c>
      <c r="Y1605" t="s">
        <v>38</v>
      </c>
      <c r="AA1605" t="s">
        <v>38</v>
      </c>
      <c r="AB1605" t="s">
        <v>38</v>
      </c>
      <c r="AC1605" t="s">
        <v>38</v>
      </c>
      <c r="AD1605" t="s">
        <v>48</v>
      </c>
      <c r="AG1605" t="str">
        <f>IF(AD1605="United States", IFERROR(INDEX(Sheet2!$C:$C, MATCH(AE1605&amp;AF1605, Sheet2!$E:$E, 0)) &amp; ", " &amp; INDEX(Sheet2!$D:$D, MATCH(AE1605&amp;AF1605, Sheet2!$E:$E, 0)), ""), "-")</f>
        <v/>
      </c>
    </row>
    <row r="1606" spans="1:33" x14ac:dyDescent="0.25">
      <c r="A1606" t="s">
        <v>2966</v>
      </c>
      <c r="D1606" t="s">
        <v>3157</v>
      </c>
      <c r="E1606" t="s">
        <v>3156</v>
      </c>
      <c r="F1606">
        <v>1733</v>
      </c>
      <c r="G1606">
        <v>2939</v>
      </c>
      <c r="H1606">
        <v>87</v>
      </c>
      <c r="J1606" t="s">
        <v>3109</v>
      </c>
      <c r="O1606" t="s">
        <v>57</v>
      </c>
      <c r="R1606" t="s">
        <v>2452</v>
      </c>
      <c r="T1606" t="s">
        <v>89</v>
      </c>
      <c r="U1606" t="s">
        <v>2453</v>
      </c>
      <c r="V1606" t="s">
        <v>1619</v>
      </c>
      <c r="W1606" t="s">
        <v>92</v>
      </c>
      <c r="Y1606" t="s">
        <v>38</v>
      </c>
      <c r="AA1606" t="s">
        <v>38</v>
      </c>
      <c r="AB1606" t="s">
        <v>38</v>
      </c>
      <c r="AC1606" t="s">
        <v>38</v>
      </c>
      <c r="AD1606" t="s">
        <v>48</v>
      </c>
      <c r="AG1606" t="str">
        <f>IF(AD1606="United States", IFERROR(INDEX(Sheet2!$C:$C, MATCH(AE1606&amp;AF1606, Sheet2!$E:$E, 0)) &amp; ", " &amp; INDEX(Sheet2!$D:$D, MATCH(AE1606&amp;AF1606, Sheet2!$E:$E, 0)), ""), "-")</f>
        <v/>
      </c>
    </row>
    <row r="1607" spans="1:33" x14ac:dyDescent="0.25">
      <c r="A1607" t="s">
        <v>2966</v>
      </c>
      <c r="D1607" t="s">
        <v>3157</v>
      </c>
      <c r="E1607" t="s">
        <v>3156</v>
      </c>
      <c r="F1607">
        <v>1763</v>
      </c>
      <c r="G1607">
        <v>2940</v>
      </c>
      <c r="H1607">
        <v>87</v>
      </c>
      <c r="J1607" t="s">
        <v>3109</v>
      </c>
      <c r="O1607" t="s">
        <v>57</v>
      </c>
      <c r="R1607" t="s">
        <v>2452</v>
      </c>
      <c r="T1607" t="s">
        <v>89</v>
      </c>
      <c r="U1607" t="s">
        <v>2453</v>
      </c>
      <c r="V1607" t="s">
        <v>1619</v>
      </c>
      <c r="W1607" t="s">
        <v>92</v>
      </c>
      <c r="Y1607" t="s">
        <v>38</v>
      </c>
      <c r="AA1607" t="s">
        <v>38</v>
      </c>
      <c r="AB1607" t="s">
        <v>38</v>
      </c>
      <c r="AC1607" t="s">
        <v>38</v>
      </c>
      <c r="AD1607" t="s">
        <v>48</v>
      </c>
      <c r="AG1607" t="str">
        <f>IF(AD1607="United States", IFERROR(INDEX(Sheet2!$C:$C, MATCH(AE1607&amp;AF1607, Sheet2!$E:$E, 0)) &amp; ", " &amp; INDEX(Sheet2!$D:$D, MATCH(AE1607&amp;AF1607, Sheet2!$E:$E, 0)), ""), "-")</f>
        <v/>
      </c>
    </row>
    <row r="1608" spans="1:33" x14ac:dyDescent="0.25">
      <c r="A1608" t="s">
        <v>2966</v>
      </c>
      <c r="D1608" t="s">
        <v>624</v>
      </c>
      <c r="E1608" t="s">
        <v>1513</v>
      </c>
      <c r="F1608">
        <v>1762</v>
      </c>
      <c r="G1608">
        <v>2942</v>
      </c>
      <c r="H1608">
        <v>87</v>
      </c>
      <c r="J1608" t="s">
        <v>3109</v>
      </c>
      <c r="O1608" t="s">
        <v>41</v>
      </c>
      <c r="R1608" t="s">
        <v>2452</v>
      </c>
      <c r="T1608" t="s">
        <v>89</v>
      </c>
      <c r="U1608" t="s">
        <v>2453</v>
      </c>
      <c r="V1608" t="s">
        <v>1619</v>
      </c>
      <c r="W1608" t="s">
        <v>92</v>
      </c>
      <c r="Y1608" t="s">
        <v>38</v>
      </c>
      <c r="AA1608" t="s">
        <v>38</v>
      </c>
      <c r="AB1608" t="s">
        <v>38</v>
      </c>
      <c r="AC1608" t="s">
        <v>38</v>
      </c>
      <c r="AD1608" t="s">
        <v>48</v>
      </c>
      <c r="AG1608" t="str">
        <f>IF(AD1608="United States", IFERROR(INDEX(Sheet2!$C:$C, MATCH(AE1608&amp;AF1608, Sheet2!$E:$E, 0)) &amp; ", " &amp; INDEX(Sheet2!$D:$D, MATCH(AE1608&amp;AF1608, Sheet2!$E:$E, 0)), ""), "-")</f>
        <v/>
      </c>
    </row>
    <row r="1609" spans="1:33" x14ac:dyDescent="0.25">
      <c r="A1609" t="s">
        <v>2966</v>
      </c>
      <c r="D1609" t="s">
        <v>3158</v>
      </c>
      <c r="E1609" t="s">
        <v>3159</v>
      </c>
      <c r="F1609">
        <v>1748</v>
      </c>
      <c r="G1609">
        <v>2961</v>
      </c>
      <c r="H1609">
        <v>88</v>
      </c>
      <c r="J1609" t="s">
        <v>3109</v>
      </c>
      <c r="O1609" t="s">
        <v>41</v>
      </c>
      <c r="R1609" t="s">
        <v>2452</v>
      </c>
      <c r="T1609" t="s">
        <v>89</v>
      </c>
      <c r="U1609" t="s">
        <v>2453</v>
      </c>
      <c r="V1609" t="s">
        <v>1619</v>
      </c>
      <c r="W1609" t="s">
        <v>92</v>
      </c>
      <c r="Y1609" t="s">
        <v>38</v>
      </c>
      <c r="AA1609" t="s">
        <v>38</v>
      </c>
      <c r="AB1609" t="s">
        <v>38</v>
      </c>
      <c r="AC1609" t="s">
        <v>38</v>
      </c>
      <c r="AD1609" t="s">
        <v>48</v>
      </c>
      <c r="AG1609" t="str">
        <f>IF(AD1609="United States", IFERROR(INDEX(Sheet2!$C:$C, MATCH(AE1609&amp;AF1609, Sheet2!$E:$E, 0)) &amp; ", " &amp; INDEX(Sheet2!$D:$D, MATCH(AE1609&amp;AF1609, Sheet2!$E:$E, 0)), ""), "-")</f>
        <v/>
      </c>
    </row>
    <row r="1610" spans="1:33" x14ac:dyDescent="0.25">
      <c r="A1610" t="s">
        <v>2966</v>
      </c>
      <c r="D1610" t="s">
        <v>3160</v>
      </c>
      <c r="E1610" t="s">
        <v>3161</v>
      </c>
      <c r="F1610">
        <v>1754</v>
      </c>
      <c r="G1610">
        <v>2965</v>
      </c>
      <c r="H1610">
        <v>88</v>
      </c>
      <c r="J1610" t="s">
        <v>3109</v>
      </c>
      <c r="O1610" t="s">
        <v>41</v>
      </c>
      <c r="R1610" t="s">
        <v>2452</v>
      </c>
      <c r="T1610" t="s">
        <v>89</v>
      </c>
      <c r="U1610" t="s">
        <v>2453</v>
      </c>
      <c r="V1610" t="s">
        <v>1619</v>
      </c>
      <c r="W1610" t="s">
        <v>92</v>
      </c>
      <c r="Y1610" t="s">
        <v>38</v>
      </c>
      <c r="AA1610" t="s">
        <v>38</v>
      </c>
      <c r="AB1610" t="s">
        <v>38</v>
      </c>
      <c r="AC1610" t="s">
        <v>38</v>
      </c>
      <c r="AD1610" t="s">
        <v>48</v>
      </c>
      <c r="AG1610" t="str">
        <f>IF(AD1610="United States", IFERROR(INDEX(Sheet2!$C:$C, MATCH(AE1610&amp;AF1610, Sheet2!$E:$E, 0)) &amp; ", " &amp; INDEX(Sheet2!$D:$D, MATCH(AE1610&amp;AF1610, Sheet2!$E:$E, 0)), ""), "-")</f>
        <v/>
      </c>
    </row>
    <row r="1611" spans="1:33" x14ac:dyDescent="0.25">
      <c r="A1611" t="s">
        <v>2966</v>
      </c>
      <c r="D1611" t="s">
        <v>3162</v>
      </c>
      <c r="E1611" t="s">
        <v>412</v>
      </c>
      <c r="F1611">
        <v>1781</v>
      </c>
      <c r="G1611">
        <v>2967</v>
      </c>
      <c r="H1611">
        <v>88</v>
      </c>
      <c r="J1611" t="s">
        <v>3109</v>
      </c>
      <c r="O1611" t="s">
        <v>54</v>
      </c>
      <c r="R1611" t="s">
        <v>2452</v>
      </c>
      <c r="T1611" t="s">
        <v>89</v>
      </c>
      <c r="U1611" t="s">
        <v>2453</v>
      </c>
      <c r="V1611" t="s">
        <v>1619</v>
      </c>
      <c r="W1611" t="s">
        <v>92</v>
      </c>
      <c r="Y1611" t="s">
        <v>38</v>
      </c>
      <c r="AA1611" t="s">
        <v>38</v>
      </c>
      <c r="AB1611" t="s">
        <v>38</v>
      </c>
      <c r="AC1611" t="s">
        <v>38</v>
      </c>
      <c r="AD1611" t="s">
        <v>48</v>
      </c>
      <c r="AG1611" t="str">
        <f>IF(AD1611="United States", IFERROR(INDEX(Sheet2!$C:$C, MATCH(AE1611&amp;AF1611, Sheet2!$E:$E, 0)) &amp; ", " &amp; INDEX(Sheet2!$D:$D, MATCH(AE1611&amp;AF1611, Sheet2!$E:$E, 0)), ""), "-")</f>
        <v/>
      </c>
    </row>
    <row r="1612" spans="1:33" x14ac:dyDescent="0.25">
      <c r="A1612" t="s">
        <v>2966</v>
      </c>
      <c r="D1612" t="s">
        <v>3163</v>
      </c>
      <c r="E1612" t="s">
        <v>317</v>
      </c>
      <c r="F1612">
        <v>1756</v>
      </c>
      <c r="G1612">
        <v>2970</v>
      </c>
      <c r="H1612">
        <v>88</v>
      </c>
      <c r="J1612" t="s">
        <v>3109</v>
      </c>
      <c r="O1612" t="s">
        <v>41</v>
      </c>
      <c r="R1612" t="s">
        <v>2452</v>
      </c>
      <c r="T1612" t="s">
        <v>89</v>
      </c>
      <c r="U1612" t="s">
        <v>2453</v>
      </c>
      <c r="V1612" t="s">
        <v>1619</v>
      </c>
      <c r="W1612" t="s">
        <v>92</v>
      </c>
      <c r="Y1612" t="s">
        <v>38</v>
      </c>
      <c r="AA1612" t="s">
        <v>38</v>
      </c>
      <c r="AB1612" t="s">
        <v>38</v>
      </c>
      <c r="AC1612" t="s">
        <v>38</v>
      </c>
      <c r="AD1612" t="s">
        <v>48</v>
      </c>
      <c r="AG1612" t="str">
        <f>IF(AD1612="United States", IFERROR(INDEX(Sheet2!$C:$C, MATCH(AE1612&amp;AF1612, Sheet2!$E:$E, 0)) &amp; ", " &amp; INDEX(Sheet2!$D:$D, MATCH(AE1612&amp;AF1612, Sheet2!$E:$E, 0)), ""), "-")</f>
        <v/>
      </c>
    </row>
    <row r="1613" spans="1:33" x14ac:dyDescent="0.25">
      <c r="A1613" t="s">
        <v>2966</v>
      </c>
      <c r="D1613" t="s">
        <v>1129</v>
      </c>
      <c r="E1613" t="s">
        <v>3164</v>
      </c>
      <c r="F1613">
        <v>1749</v>
      </c>
      <c r="G1613">
        <v>2973</v>
      </c>
      <c r="H1613">
        <v>88</v>
      </c>
      <c r="J1613" t="s">
        <v>3109</v>
      </c>
      <c r="O1613" t="s">
        <v>41</v>
      </c>
      <c r="R1613" t="s">
        <v>2452</v>
      </c>
      <c r="T1613" t="s">
        <v>89</v>
      </c>
      <c r="U1613" t="s">
        <v>2453</v>
      </c>
      <c r="V1613" t="s">
        <v>1619</v>
      </c>
      <c r="W1613" t="s">
        <v>92</v>
      </c>
      <c r="Y1613" t="s">
        <v>38</v>
      </c>
      <c r="AA1613" t="s">
        <v>38</v>
      </c>
      <c r="AB1613" t="s">
        <v>38</v>
      </c>
      <c r="AC1613" t="s">
        <v>38</v>
      </c>
      <c r="AD1613" t="s">
        <v>48</v>
      </c>
      <c r="AG1613" t="str">
        <f>IF(AD1613="United States", IFERROR(INDEX(Sheet2!$C:$C, MATCH(AE1613&amp;AF1613, Sheet2!$E:$E, 0)) &amp; ", " &amp; INDEX(Sheet2!$D:$D, MATCH(AE1613&amp;AF1613, Sheet2!$E:$E, 0)), ""), "-")</f>
        <v/>
      </c>
    </row>
    <row r="1614" spans="1:33" x14ac:dyDescent="0.25">
      <c r="A1614" t="s">
        <v>2966</v>
      </c>
      <c r="D1614" t="s">
        <v>3165</v>
      </c>
      <c r="E1614" t="s">
        <v>3166</v>
      </c>
      <c r="F1614">
        <v>1731</v>
      </c>
      <c r="G1614">
        <v>2976</v>
      </c>
      <c r="H1614">
        <v>88</v>
      </c>
      <c r="J1614" t="s">
        <v>3109</v>
      </c>
      <c r="O1614" t="s">
        <v>41</v>
      </c>
      <c r="R1614" t="s">
        <v>2452</v>
      </c>
      <c r="T1614" t="s">
        <v>89</v>
      </c>
      <c r="U1614" t="s">
        <v>2453</v>
      </c>
      <c r="V1614" t="s">
        <v>1619</v>
      </c>
      <c r="W1614" t="s">
        <v>92</v>
      </c>
      <c r="Y1614" t="s">
        <v>38</v>
      </c>
      <c r="AA1614" t="s">
        <v>38</v>
      </c>
      <c r="AB1614" t="s">
        <v>38</v>
      </c>
      <c r="AC1614" t="s">
        <v>38</v>
      </c>
      <c r="AD1614" t="s">
        <v>48</v>
      </c>
      <c r="AG1614" t="str">
        <f>IF(AD1614="United States", IFERROR(INDEX(Sheet2!$C:$C, MATCH(AE1614&amp;AF1614, Sheet2!$E:$E, 0)) &amp; ", " &amp; INDEX(Sheet2!$D:$D, MATCH(AE1614&amp;AF1614, Sheet2!$E:$E, 0)), ""), "-")</f>
        <v/>
      </c>
    </row>
    <row r="1615" spans="1:33" x14ac:dyDescent="0.25">
      <c r="A1615" t="s">
        <v>2966</v>
      </c>
      <c r="D1615" t="s">
        <v>3167</v>
      </c>
      <c r="E1615" t="s">
        <v>3166</v>
      </c>
      <c r="F1615">
        <v>1751</v>
      </c>
      <c r="G1615">
        <v>2977</v>
      </c>
      <c r="H1615">
        <v>88</v>
      </c>
      <c r="J1615" t="s">
        <v>3109</v>
      </c>
      <c r="O1615" t="s">
        <v>57</v>
      </c>
      <c r="R1615" t="s">
        <v>2452</v>
      </c>
      <c r="T1615" t="s">
        <v>89</v>
      </c>
      <c r="U1615" t="s">
        <v>2453</v>
      </c>
      <c r="V1615" t="s">
        <v>1619</v>
      </c>
      <c r="W1615" t="s">
        <v>92</v>
      </c>
      <c r="Y1615" t="s">
        <v>38</v>
      </c>
      <c r="AA1615" t="s">
        <v>38</v>
      </c>
      <c r="AB1615" t="s">
        <v>38</v>
      </c>
      <c r="AC1615" t="s">
        <v>38</v>
      </c>
      <c r="AD1615" t="s">
        <v>48</v>
      </c>
      <c r="AG1615" t="str">
        <f>IF(AD1615="United States", IFERROR(INDEX(Sheet2!$C:$C, MATCH(AE1615&amp;AF1615, Sheet2!$E:$E, 0)) &amp; ", " &amp; INDEX(Sheet2!$D:$D, MATCH(AE1615&amp;AF1615, Sheet2!$E:$E, 0)), ""), "-")</f>
        <v/>
      </c>
    </row>
    <row r="1616" spans="1:33" x14ac:dyDescent="0.25">
      <c r="A1616" t="s">
        <v>2966</v>
      </c>
      <c r="D1616" t="s">
        <v>1008</v>
      </c>
      <c r="E1616" t="s">
        <v>3168</v>
      </c>
      <c r="F1616">
        <v>1753</v>
      </c>
      <c r="G1616">
        <v>2978</v>
      </c>
      <c r="H1616">
        <v>88</v>
      </c>
      <c r="J1616" t="s">
        <v>3109</v>
      </c>
      <c r="O1616" t="s">
        <v>41</v>
      </c>
      <c r="R1616" t="s">
        <v>2452</v>
      </c>
      <c r="T1616" t="s">
        <v>89</v>
      </c>
      <c r="U1616" t="s">
        <v>2453</v>
      </c>
      <c r="V1616" t="s">
        <v>1619</v>
      </c>
      <c r="W1616" t="s">
        <v>92</v>
      </c>
      <c r="Y1616" t="s">
        <v>38</v>
      </c>
      <c r="AA1616" t="s">
        <v>38</v>
      </c>
      <c r="AB1616" t="s">
        <v>38</v>
      </c>
      <c r="AC1616" t="s">
        <v>38</v>
      </c>
      <c r="AD1616" t="s">
        <v>48</v>
      </c>
      <c r="AG1616" t="str">
        <f>IF(AD1616="United States", IFERROR(INDEX(Sheet2!$C:$C, MATCH(AE1616&amp;AF1616, Sheet2!$E:$E, 0)) &amp; ", " &amp; INDEX(Sheet2!$D:$D, MATCH(AE1616&amp;AF1616, Sheet2!$E:$E, 0)), ""), "-")</f>
        <v/>
      </c>
    </row>
    <row r="1617" spans="1:33" x14ac:dyDescent="0.25">
      <c r="A1617" t="s">
        <v>2966</v>
      </c>
      <c r="D1617" t="s">
        <v>1966</v>
      </c>
      <c r="E1617" t="s">
        <v>3168</v>
      </c>
      <c r="F1617">
        <v>1755</v>
      </c>
      <c r="G1617">
        <v>2979</v>
      </c>
      <c r="H1617">
        <v>88</v>
      </c>
      <c r="J1617" t="s">
        <v>3109</v>
      </c>
      <c r="O1617" t="s">
        <v>57</v>
      </c>
      <c r="R1617" t="s">
        <v>2452</v>
      </c>
      <c r="T1617" t="s">
        <v>89</v>
      </c>
      <c r="U1617" t="s">
        <v>2453</v>
      </c>
      <c r="V1617" t="s">
        <v>1619</v>
      </c>
      <c r="W1617" t="s">
        <v>92</v>
      </c>
      <c r="Y1617" t="s">
        <v>38</v>
      </c>
      <c r="AA1617" t="s">
        <v>38</v>
      </c>
      <c r="AB1617" t="s">
        <v>38</v>
      </c>
      <c r="AC1617" t="s">
        <v>38</v>
      </c>
      <c r="AD1617" t="s">
        <v>48</v>
      </c>
      <c r="AG1617" t="str">
        <f>IF(AD1617="United States", IFERROR(INDEX(Sheet2!$C:$C, MATCH(AE1617&amp;AF1617, Sheet2!$E:$E, 0)) &amp; ", " &amp; INDEX(Sheet2!$D:$D, MATCH(AE1617&amp;AF1617, Sheet2!$E:$E, 0)), ""), "-")</f>
        <v/>
      </c>
    </row>
    <row r="1618" spans="1:33" x14ac:dyDescent="0.25">
      <c r="A1618" t="s">
        <v>2966</v>
      </c>
      <c r="D1618" t="s">
        <v>1966</v>
      </c>
      <c r="E1618" t="s">
        <v>3169</v>
      </c>
      <c r="F1618">
        <v>1756</v>
      </c>
      <c r="G1618">
        <v>2984</v>
      </c>
      <c r="H1618">
        <v>88</v>
      </c>
      <c r="J1618" t="s">
        <v>3109</v>
      </c>
      <c r="O1618" t="s">
        <v>57</v>
      </c>
      <c r="R1618" t="s">
        <v>2452</v>
      </c>
      <c r="T1618" t="s">
        <v>89</v>
      </c>
      <c r="U1618" t="s">
        <v>2453</v>
      </c>
      <c r="V1618" t="s">
        <v>1619</v>
      </c>
      <c r="W1618" t="s">
        <v>92</v>
      </c>
      <c r="Y1618" t="s">
        <v>38</v>
      </c>
      <c r="AA1618" t="s">
        <v>38</v>
      </c>
      <c r="AB1618" t="s">
        <v>38</v>
      </c>
      <c r="AC1618" t="s">
        <v>38</v>
      </c>
      <c r="AD1618" t="s">
        <v>48</v>
      </c>
      <c r="AG1618" t="str">
        <f>IF(AD1618="United States", IFERROR(INDEX(Sheet2!$C:$C, MATCH(AE1618&amp;AF1618, Sheet2!$E:$E, 0)) &amp; ", " &amp; INDEX(Sheet2!$D:$D, MATCH(AE1618&amp;AF1618, Sheet2!$E:$E, 0)), ""), "-")</f>
        <v/>
      </c>
    </row>
    <row r="1619" spans="1:33" x14ac:dyDescent="0.25">
      <c r="A1619" t="s">
        <v>2966</v>
      </c>
      <c r="D1619" t="s">
        <v>1107</v>
      </c>
      <c r="E1619" t="s">
        <v>3154</v>
      </c>
      <c r="F1619">
        <v>1772</v>
      </c>
      <c r="G1619">
        <v>2989</v>
      </c>
      <c r="H1619">
        <v>88</v>
      </c>
      <c r="J1619" t="s">
        <v>3109</v>
      </c>
      <c r="O1619" t="s">
        <v>54</v>
      </c>
      <c r="R1619" t="s">
        <v>2452</v>
      </c>
      <c r="T1619" t="s">
        <v>89</v>
      </c>
      <c r="U1619" t="s">
        <v>2453</v>
      </c>
      <c r="V1619" t="s">
        <v>1619</v>
      </c>
      <c r="W1619" t="s">
        <v>92</v>
      </c>
      <c r="Y1619" t="s">
        <v>38</v>
      </c>
      <c r="AA1619" t="s">
        <v>38</v>
      </c>
      <c r="AB1619" t="s">
        <v>38</v>
      </c>
      <c r="AC1619" t="s">
        <v>38</v>
      </c>
      <c r="AD1619" t="s">
        <v>48</v>
      </c>
      <c r="AG1619" t="str">
        <f>IF(AD1619="United States", IFERROR(INDEX(Sheet2!$C:$C, MATCH(AE1619&amp;AF1619, Sheet2!$E:$E, 0)) &amp; ", " &amp; INDEX(Sheet2!$D:$D, MATCH(AE1619&amp;AF1619, Sheet2!$E:$E, 0)), ""), "-")</f>
        <v/>
      </c>
    </row>
    <row r="1620" spans="1:33" x14ac:dyDescent="0.25">
      <c r="A1620" t="s">
        <v>2966</v>
      </c>
      <c r="B1620" t="s">
        <v>3170</v>
      </c>
      <c r="C1620" t="s">
        <v>2968</v>
      </c>
      <c r="D1620" t="s">
        <v>639</v>
      </c>
      <c r="E1620" t="s">
        <v>268</v>
      </c>
      <c r="F1620">
        <v>1747</v>
      </c>
      <c r="G1620">
        <v>1735</v>
      </c>
      <c r="H1620" t="s">
        <v>38</v>
      </c>
      <c r="I1620" t="s">
        <v>80</v>
      </c>
      <c r="J1620" t="s">
        <v>2969</v>
      </c>
      <c r="K1620" t="s">
        <v>38</v>
      </c>
      <c r="L1620" t="s">
        <v>38</v>
      </c>
      <c r="M1620" t="s">
        <v>38</v>
      </c>
      <c r="N1620" t="s">
        <v>38</v>
      </c>
      <c r="O1620" t="s">
        <v>41</v>
      </c>
      <c r="P1620" t="s">
        <v>42</v>
      </c>
      <c r="Q1620" t="s">
        <v>43</v>
      </c>
      <c r="R1620" t="s">
        <v>3171</v>
      </c>
      <c r="S1620" t="s">
        <v>165</v>
      </c>
      <c r="T1620" t="s">
        <v>38</v>
      </c>
      <c r="U1620" t="s">
        <v>38</v>
      </c>
      <c r="V1620" t="s">
        <v>137</v>
      </c>
      <c r="W1620" t="s">
        <v>38</v>
      </c>
      <c r="X1620" t="s">
        <v>38</v>
      </c>
      <c r="Y1620" t="s">
        <v>38</v>
      </c>
      <c r="Z1620" t="s">
        <v>42</v>
      </c>
      <c r="AA1620" t="s">
        <v>166</v>
      </c>
      <c r="AB1620" t="s">
        <v>38</v>
      </c>
      <c r="AC1620" t="s">
        <v>165</v>
      </c>
      <c r="AD1620" t="s">
        <v>48</v>
      </c>
      <c r="AG1620" t="str">
        <f>IF(AD1620="United States", IFERROR(INDEX(Sheet2!$C:$C, MATCH(AE1620&amp;AF1620, Sheet2!$E:$E, 0)) &amp; ", " &amp; INDEX(Sheet2!$D:$D, MATCH(AE1620&amp;AF1620, Sheet2!$E:$E, 0)), ""), "-")</f>
        <v/>
      </c>
    </row>
    <row r="1621" spans="1:33" x14ac:dyDescent="0.25">
      <c r="A1621" t="s">
        <v>2966</v>
      </c>
      <c r="B1621" t="s">
        <v>3172</v>
      </c>
      <c r="C1621" t="s">
        <v>3125</v>
      </c>
      <c r="D1621" t="s">
        <v>1413</v>
      </c>
      <c r="E1621" t="s">
        <v>3138</v>
      </c>
      <c r="F1621">
        <v>1760</v>
      </c>
      <c r="G1621">
        <v>2161</v>
      </c>
      <c r="H1621" t="s">
        <v>38</v>
      </c>
      <c r="I1621" t="s">
        <v>87</v>
      </c>
      <c r="J1621" t="s">
        <v>3126</v>
      </c>
      <c r="K1621" t="s">
        <v>38</v>
      </c>
      <c r="L1621" t="s">
        <v>38</v>
      </c>
      <c r="M1621" t="s">
        <v>38</v>
      </c>
      <c r="N1621" t="s">
        <v>38</v>
      </c>
      <c r="O1621" t="s">
        <v>57</v>
      </c>
      <c r="P1621" t="s">
        <v>42</v>
      </c>
      <c r="Q1621" t="s">
        <v>43</v>
      </c>
      <c r="R1621" t="s">
        <v>241</v>
      </c>
      <c r="S1621" t="s">
        <v>45</v>
      </c>
      <c r="T1621" t="s">
        <v>38</v>
      </c>
      <c r="U1621" t="s">
        <v>38</v>
      </c>
      <c r="V1621" t="s">
        <v>137</v>
      </c>
      <c r="W1621" t="s">
        <v>38</v>
      </c>
      <c r="X1621" t="s">
        <v>38</v>
      </c>
      <c r="Y1621" t="s">
        <v>3151</v>
      </c>
      <c r="Z1621" t="s">
        <v>42</v>
      </c>
      <c r="AA1621" t="s">
        <v>241</v>
      </c>
      <c r="AB1621" t="s">
        <v>38</v>
      </c>
      <c r="AC1621" t="s">
        <v>45</v>
      </c>
      <c r="AD1621" t="s">
        <v>48</v>
      </c>
      <c r="AG1621" t="str">
        <f>IF(AD1621="United States", IFERROR(INDEX(Sheet2!$C:$C, MATCH(AE1621&amp;AF1621, Sheet2!$E:$E, 0)) &amp; ", " &amp; INDEX(Sheet2!$D:$D, MATCH(AE1621&amp;AF1621, Sheet2!$E:$E, 0)), ""), "-")</f>
        <v/>
      </c>
    </row>
    <row r="1622" spans="1:33" x14ac:dyDescent="0.25">
      <c r="A1622" t="s">
        <v>2966</v>
      </c>
      <c r="B1622" t="s">
        <v>3173</v>
      </c>
      <c r="C1622" t="s">
        <v>3125</v>
      </c>
      <c r="D1622" t="s">
        <v>3122</v>
      </c>
      <c r="E1622" t="s">
        <v>38</v>
      </c>
      <c r="F1622">
        <v>1719</v>
      </c>
      <c r="G1622">
        <v>2159</v>
      </c>
      <c r="H1622" t="s">
        <v>38</v>
      </c>
      <c r="I1622" t="s">
        <v>87</v>
      </c>
      <c r="J1622" t="s">
        <v>3126</v>
      </c>
      <c r="K1622" t="s">
        <v>38</v>
      </c>
      <c r="L1622" t="s">
        <v>38</v>
      </c>
      <c r="M1622" t="s">
        <v>38</v>
      </c>
      <c r="N1622" t="s">
        <v>38</v>
      </c>
      <c r="O1622" t="s">
        <v>57</v>
      </c>
      <c r="P1622" t="s">
        <v>42</v>
      </c>
      <c r="Q1622" t="s">
        <v>43</v>
      </c>
      <c r="R1622" t="s">
        <v>38</v>
      </c>
      <c r="S1622" t="s">
        <v>38</v>
      </c>
      <c r="T1622" t="s">
        <v>38</v>
      </c>
      <c r="U1622" t="s">
        <v>38</v>
      </c>
      <c r="V1622" t="s">
        <v>137</v>
      </c>
      <c r="W1622" t="s">
        <v>38</v>
      </c>
      <c r="X1622" t="s">
        <v>38</v>
      </c>
      <c r="Y1622" t="s">
        <v>3174</v>
      </c>
      <c r="Z1622" t="s">
        <v>42</v>
      </c>
      <c r="AA1622" t="s">
        <v>38</v>
      </c>
      <c r="AB1622" t="s">
        <v>38</v>
      </c>
      <c r="AC1622" t="s">
        <v>38</v>
      </c>
      <c r="AD1622" t="s">
        <v>48</v>
      </c>
      <c r="AG1622" t="str">
        <f>IF(AD1622="United States", IFERROR(INDEX(Sheet2!$C:$C, MATCH(AE1622&amp;AF1622, Sheet2!$E:$E, 0)) &amp; ", " &amp; INDEX(Sheet2!$D:$D, MATCH(AE1622&amp;AF1622, Sheet2!$E:$E, 0)), ""), "-")</f>
        <v/>
      </c>
    </row>
    <row r="1623" spans="1:33" x14ac:dyDescent="0.25">
      <c r="A1623" t="s">
        <v>2966</v>
      </c>
      <c r="B1623" t="s">
        <v>3175</v>
      </c>
      <c r="C1623" t="s">
        <v>2968</v>
      </c>
      <c r="D1623" t="s">
        <v>803</v>
      </c>
      <c r="E1623" t="s">
        <v>3176</v>
      </c>
      <c r="F1623">
        <v>1733</v>
      </c>
      <c r="G1623">
        <v>1751</v>
      </c>
      <c r="H1623" t="s">
        <v>2975</v>
      </c>
      <c r="I1623" t="s">
        <v>80</v>
      </c>
      <c r="J1623" t="s">
        <v>2969</v>
      </c>
      <c r="K1623" t="s">
        <v>38</v>
      </c>
      <c r="L1623" t="s">
        <v>38</v>
      </c>
      <c r="M1623" t="s">
        <v>38</v>
      </c>
      <c r="N1623" t="s">
        <v>38</v>
      </c>
      <c r="O1623" t="s">
        <v>57</v>
      </c>
      <c r="P1623" t="s">
        <v>42</v>
      </c>
      <c r="Q1623" t="s">
        <v>43</v>
      </c>
      <c r="R1623" t="s">
        <v>2452</v>
      </c>
      <c r="S1623" t="s">
        <v>45</v>
      </c>
      <c r="T1623" t="s">
        <v>89</v>
      </c>
      <c r="U1623" t="s">
        <v>2453</v>
      </c>
      <c r="V1623" t="s">
        <v>137</v>
      </c>
      <c r="W1623" t="s">
        <v>92</v>
      </c>
      <c r="X1623" t="s">
        <v>38</v>
      </c>
      <c r="Y1623" t="s">
        <v>38</v>
      </c>
      <c r="Z1623" t="s">
        <v>42</v>
      </c>
      <c r="AA1623" t="s">
        <v>241</v>
      </c>
      <c r="AB1623" t="s">
        <v>38</v>
      </c>
      <c r="AC1623" t="s">
        <v>45</v>
      </c>
      <c r="AD1623" t="s">
        <v>48</v>
      </c>
      <c r="AG1623" t="str">
        <f>IF(AD1623="United States", IFERROR(INDEX(Sheet2!$C:$C, MATCH(AE1623&amp;AF1623, Sheet2!$E:$E, 0)) &amp; ", " &amp; INDEX(Sheet2!$D:$D, MATCH(AE1623&amp;AF1623, Sheet2!$E:$E, 0)), ""), "-")</f>
        <v/>
      </c>
    </row>
    <row r="1624" spans="1:33" x14ac:dyDescent="0.25">
      <c r="A1624" t="s">
        <v>2966</v>
      </c>
      <c r="B1624" t="s">
        <v>3177</v>
      </c>
      <c r="C1624" t="s">
        <v>2968</v>
      </c>
      <c r="D1624" t="s">
        <v>72</v>
      </c>
      <c r="E1624" t="s">
        <v>3087</v>
      </c>
      <c r="F1624">
        <v>1753</v>
      </c>
      <c r="G1624">
        <v>1750</v>
      </c>
      <c r="H1624" t="s">
        <v>2975</v>
      </c>
      <c r="I1624" t="s">
        <v>80</v>
      </c>
      <c r="J1624" t="s">
        <v>2969</v>
      </c>
      <c r="K1624" t="s">
        <v>38</v>
      </c>
      <c r="L1624" t="s">
        <v>38</v>
      </c>
      <c r="M1624" t="s">
        <v>38</v>
      </c>
      <c r="N1624" t="s">
        <v>38</v>
      </c>
      <c r="O1624" t="s">
        <v>74</v>
      </c>
      <c r="P1624" t="s">
        <v>42</v>
      </c>
      <c r="Q1624" t="s">
        <v>43</v>
      </c>
      <c r="R1624" t="s">
        <v>2452</v>
      </c>
      <c r="S1624" t="s">
        <v>45</v>
      </c>
      <c r="T1624" t="s">
        <v>89</v>
      </c>
      <c r="U1624" t="s">
        <v>2453</v>
      </c>
      <c r="V1624" t="s">
        <v>137</v>
      </c>
      <c r="W1624" t="s">
        <v>92</v>
      </c>
      <c r="X1624" t="s">
        <v>38</v>
      </c>
      <c r="Y1624" t="s">
        <v>38</v>
      </c>
      <c r="Z1624" t="s">
        <v>42</v>
      </c>
      <c r="AA1624" t="s">
        <v>169</v>
      </c>
      <c r="AB1624" t="s">
        <v>38</v>
      </c>
      <c r="AC1624" t="s">
        <v>45</v>
      </c>
      <c r="AD1624" t="s">
        <v>48</v>
      </c>
      <c r="AG1624" t="str">
        <f>IF(AD1624="United States", IFERROR(INDEX(Sheet2!$C:$C, MATCH(AE1624&amp;AF1624, Sheet2!$E:$E, 0)) &amp; ", " &amp; INDEX(Sheet2!$D:$D, MATCH(AE1624&amp;AF1624, Sheet2!$E:$E, 0)), ""), "-")</f>
        <v/>
      </c>
    </row>
    <row r="1625" spans="1:33" x14ac:dyDescent="0.25">
      <c r="A1625" t="s">
        <v>2966</v>
      </c>
      <c r="B1625" t="s">
        <v>3178</v>
      </c>
      <c r="C1625" t="s">
        <v>2968</v>
      </c>
      <c r="D1625" t="s">
        <v>3179</v>
      </c>
      <c r="E1625" t="s">
        <v>3180</v>
      </c>
      <c r="F1625">
        <v>1755</v>
      </c>
      <c r="G1625">
        <v>1749</v>
      </c>
      <c r="H1625" t="s">
        <v>38</v>
      </c>
      <c r="I1625" t="s">
        <v>80</v>
      </c>
      <c r="J1625" t="s">
        <v>2969</v>
      </c>
      <c r="K1625" t="s">
        <v>38</v>
      </c>
      <c r="L1625" t="s">
        <v>38</v>
      </c>
      <c r="M1625" t="s">
        <v>38</v>
      </c>
      <c r="N1625" t="s">
        <v>38</v>
      </c>
      <c r="O1625" t="s">
        <v>41</v>
      </c>
      <c r="P1625" t="s">
        <v>42</v>
      </c>
      <c r="Q1625" t="s">
        <v>43</v>
      </c>
      <c r="R1625" t="s">
        <v>159</v>
      </c>
      <c r="S1625" t="s">
        <v>45</v>
      </c>
      <c r="T1625" t="s">
        <v>38</v>
      </c>
      <c r="U1625" t="s">
        <v>38</v>
      </c>
      <c r="V1625" t="s">
        <v>137</v>
      </c>
      <c r="W1625" t="s">
        <v>38</v>
      </c>
      <c r="X1625" t="s">
        <v>38</v>
      </c>
      <c r="Y1625" t="s">
        <v>38</v>
      </c>
      <c r="Z1625" t="s">
        <v>42</v>
      </c>
      <c r="AA1625" t="s">
        <v>38</v>
      </c>
      <c r="AB1625" t="s">
        <v>38</v>
      </c>
      <c r="AC1625" t="s">
        <v>45</v>
      </c>
      <c r="AD1625" t="s">
        <v>48</v>
      </c>
      <c r="AG1625" t="str">
        <f>IF(AD1625="United States", IFERROR(INDEX(Sheet2!$C:$C, MATCH(AE1625&amp;AF1625, Sheet2!$E:$E, 0)) &amp; ", " &amp; INDEX(Sheet2!$D:$D, MATCH(AE1625&amp;AF1625, Sheet2!$E:$E, 0)), ""), "-")</f>
        <v/>
      </c>
    </row>
    <row r="1626" spans="1:33" x14ac:dyDescent="0.25">
      <c r="A1626" t="s">
        <v>2966</v>
      </c>
      <c r="B1626" t="s">
        <v>3181</v>
      </c>
      <c r="C1626" t="s">
        <v>2968</v>
      </c>
      <c r="D1626" t="s">
        <v>140</v>
      </c>
      <c r="E1626" t="s">
        <v>38</v>
      </c>
      <c r="F1626">
        <v>1723</v>
      </c>
      <c r="G1626">
        <v>1748</v>
      </c>
      <c r="H1626" t="s">
        <v>2975</v>
      </c>
      <c r="I1626" t="s">
        <v>80</v>
      </c>
      <c r="J1626" t="s">
        <v>2969</v>
      </c>
      <c r="K1626" t="s">
        <v>38</v>
      </c>
      <c r="L1626" t="s">
        <v>38</v>
      </c>
      <c r="M1626" t="s">
        <v>38</v>
      </c>
      <c r="N1626" t="s">
        <v>38</v>
      </c>
      <c r="O1626" t="s">
        <v>54</v>
      </c>
      <c r="P1626" t="s">
        <v>42</v>
      </c>
      <c r="Q1626" t="s">
        <v>43</v>
      </c>
      <c r="R1626" t="s">
        <v>2452</v>
      </c>
      <c r="S1626" t="s">
        <v>38</v>
      </c>
      <c r="T1626" t="s">
        <v>89</v>
      </c>
      <c r="U1626" t="s">
        <v>2453</v>
      </c>
      <c r="V1626" t="s">
        <v>137</v>
      </c>
      <c r="W1626" t="s">
        <v>92</v>
      </c>
      <c r="X1626" t="s">
        <v>38</v>
      </c>
      <c r="Y1626" t="s">
        <v>38</v>
      </c>
      <c r="Z1626" t="s">
        <v>42</v>
      </c>
      <c r="AA1626" t="s">
        <v>38</v>
      </c>
      <c r="AB1626" t="s">
        <v>38</v>
      </c>
      <c r="AC1626" t="s">
        <v>673</v>
      </c>
      <c r="AD1626" t="s">
        <v>48</v>
      </c>
      <c r="AG1626" t="str">
        <f>IF(AD1626="United States", IFERROR(INDEX(Sheet2!$C:$C, MATCH(AE1626&amp;AF1626, Sheet2!$E:$E, 0)) &amp; ", " &amp; INDEX(Sheet2!$D:$D, MATCH(AE1626&amp;AF1626, Sheet2!$E:$E, 0)), ""), "-")</f>
        <v/>
      </c>
    </row>
    <row r="1627" spans="1:33" x14ac:dyDescent="0.25">
      <c r="A1627" t="s">
        <v>2966</v>
      </c>
      <c r="B1627" t="s">
        <v>3182</v>
      </c>
      <c r="C1627" t="s">
        <v>2968</v>
      </c>
      <c r="D1627" t="s">
        <v>357</v>
      </c>
      <c r="E1627" t="s">
        <v>3087</v>
      </c>
      <c r="F1627">
        <v>1744</v>
      </c>
      <c r="G1627">
        <v>1747</v>
      </c>
      <c r="H1627" t="s">
        <v>38</v>
      </c>
      <c r="I1627" t="s">
        <v>80</v>
      </c>
      <c r="J1627" t="s">
        <v>2969</v>
      </c>
      <c r="K1627" t="s">
        <v>38</v>
      </c>
      <c r="L1627" t="s">
        <v>38</v>
      </c>
      <c r="M1627" t="s">
        <v>38</v>
      </c>
      <c r="N1627" t="s">
        <v>38</v>
      </c>
      <c r="O1627" t="s">
        <v>41</v>
      </c>
      <c r="P1627" t="s">
        <v>42</v>
      </c>
      <c r="Q1627" t="s">
        <v>43</v>
      </c>
      <c r="R1627" t="s">
        <v>169</v>
      </c>
      <c r="S1627" t="s">
        <v>45</v>
      </c>
      <c r="T1627" t="s">
        <v>38</v>
      </c>
      <c r="U1627" t="s">
        <v>38</v>
      </c>
      <c r="V1627" t="s">
        <v>137</v>
      </c>
      <c r="W1627" t="s">
        <v>38</v>
      </c>
      <c r="X1627" t="s">
        <v>38</v>
      </c>
      <c r="Y1627" t="s">
        <v>38</v>
      </c>
      <c r="Z1627" t="s">
        <v>42</v>
      </c>
      <c r="AA1627" t="s">
        <v>169</v>
      </c>
      <c r="AB1627" t="s">
        <v>38</v>
      </c>
      <c r="AC1627" t="s">
        <v>45</v>
      </c>
      <c r="AD1627" t="s">
        <v>48</v>
      </c>
      <c r="AG1627" t="str">
        <f>IF(AD1627="United States", IFERROR(INDEX(Sheet2!$C:$C, MATCH(AE1627&amp;AF1627, Sheet2!$E:$E, 0)) &amp; ", " &amp; INDEX(Sheet2!$D:$D, MATCH(AE1627&amp;AF1627, Sheet2!$E:$E, 0)), ""), "-")</f>
        <v/>
      </c>
    </row>
    <row r="1628" spans="1:33" x14ac:dyDescent="0.25">
      <c r="A1628" t="s">
        <v>2966</v>
      </c>
      <c r="B1628" t="s">
        <v>3183</v>
      </c>
      <c r="C1628" t="s">
        <v>2968</v>
      </c>
      <c r="D1628" t="s">
        <v>114</v>
      </c>
      <c r="E1628" t="s">
        <v>3184</v>
      </c>
      <c r="F1628">
        <v>1714</v>
      </c>
      <c r="G1628">
        <v>1746</v>
      </c>
      <c r="H1628" t="s">
        <v>2975</v>
      </c>
      <c r="I1628" t="s">
        <v>80</v>
      </c>
      <c r="J1628" t="s">
        <v>2969</v>
      </c>
      <c r="K1628" t="s">
        <v>38</v>
      </c>
      <c r="L1628" t="s">
        <v>38</v>
      </c>
      <c r="M1628" t="s">
        <v>38</v>
      </c>
      <c r="N1628" t="s">
        <v>38</v>
      </c>
      <c r="O1628" t="s">
        <v>41</v>
      </c>
      <c r="P1628" t="s">
        <v>42</v>
      </c>
      <c r="Q1628" t="s">
        <v>43</v>
      </c>
      <c r="R1628" t="s">
        <v>2452</v>
      </c>
      <c r="S1628" t="s">
        <v>201</v>
      </c>
      <c r="T1628" t="s">
        <v>89</v>
      </c>
      <c r="U1628" t="s">
        <v>2453</v>
      </c>
      <c r="V1628" t="s">
        <v>137</v>
      </c>
      <c r="W1628" t="s">
        <v>92</v>
      </c>
      <c r="X1628" t="s">
        <v>38</v>
      </c>
      <c r="Y1628" t="s">
        <v>38</v>
      </c>
      <c r="Z1628" t="s">
        <v>42</v>
      </c>
      <c r="AA1628" t="s">
        <v>677</v>
      </c>
      <c r="AB1628" t="s">
        <v>38</v>
      </c>
      <c r="AC1628" t="s">
        <v>201</v>
      </c>
      <c r="AD1628" t="s">
        <v>48</v>
      </c>
      <c r="AG1628" t="str">
        <f>IF(AD1628="United States", IFERROR(INDEX(Sheet2!$C:$C, MATCH(AE1628&amp;AF1628, Sheet2!$E:$E, 0)) &amp; ", " &amp; INDEX(Sheet2!$D:$D, MATCH(AE1628&amp;AF1628, Sheet2!$E:$E, 0)), ""), "-")</f>
        <v/>
      </c>
    </row>
    <row r="1629" spans="1:33" x14ac:dyDescent="0.25">
      <c r="A1629" t="s">
        <v>2966</v>
      </c>
      <c r="B1629" t="s">
        <v>3185</v>
      </c>
      <c r="C1629" t="s">
        <v>2968</v>
      </c>
      <c r="D1629" t="s">
        <v>204</v>
      </c>
      <c r="E1629" t="s">
        <v>3186</v>
      </c>
      <c r="F1629">
        <v>1746</v>
      </c>
      <c r="G1629">
        <v>1745</v>
      </c>
      <c r="H1629" t="s">
        <v>38</v>
      </c>
      <c r="I1629" t="s">
        <v>80</v>
      </c>
      <c r="J1629" t="s">
        <v>2969</v>
      </c>
      <c r="K1629" t="s">
        <v>38</v>
      </c>
      <c r="L1629" t="s">
        <v>38</v>
      </c>
      <c r="M1629" t="s">
        <v>38</v>
      </c>
      <c r="N1629" t="s">
        <v>38</v>
      </c>
      <c r="O1629" t="s">
        <v>41</v>
      </c>
      <c r="P1629" t="s">
        <v>42</v>
      </c>
      <c r="Q1629" t="s">
        <v>43</v>
      </c>
      <c r="R1629" t="s">
        <v>169</v>
      </c>
      <c r="S1629" t="s">
        <v>45</v>
      </c>
      <c r="T1629" t="s">
        <v>38</v>
      </c>
      <c r="U1629" t="s">
        <v>38</v>
      </c>
      <c r="V1629" t="s">
        <v>137</v>
      </c>
      <c r="W1629" t="s">
        <v>38</v>
      </c>
      <c r="X1629" t="s">
        <v>38</v>
      </c>
      <c r="Y1629" t="s">
        <v>38</v>
      </c>
      <c r="Z1629" t="s">
        <v>42</v>
      </c>
      <c r="AA1629" t="s">
        <v>169</v>
      </c>
      <c r="AB1629" t="s">
        <v>38</v>
      </c>
      <c r="AC1629" t="s">
        <v>45</v>
      </c>
      <c r="AD1629" t="s">
        <v>48</v>
      </c>
      <c r="AG1629" t="str">
        <f>IF(AD1629="United States", IFERROR(INDEX(Sheet2!$C:$C, MATCH(AE1629&amp;AF1629, Sheet2!$E:$E, 0)) &amp; ", " &amp; INDEX(Sheet2!$D:$D, MATCH(AE1629&amp;AF1629, Sheet2!$E:$E, 0)), ""), "-")</f>
        <v/>
      </c>
    </row>
    <row r="1630" spans="1:33" x14ac:dyDescent="0.25">
      <c r="A1630" t="s">
        <v>2966</v>
      </c>
      <c r="B1630" t="s">
        <v>3187</v>
      </c>
      <c r="C1630" t="s">
        <v>2968</v>
      </c>
      <c r="D1630" t="s">
        <v>1413</v>
      </c>
      <c r="E1630" t="s">
        <v>633</v>
      </c>
      <c r="F1630">
        <v>1728</v>
      </c>
      <c r="G1630">
        <v>1744</v>
      </c>
      <c r="H1630" t="s">
        <v>38</v>
      </c>
      <c r="I1630" t="s">
        <v>80</v>
      </c>
      <c r="J1630" t="s">
        <v>2969</v>
      </c>
      <c r="K1630" t="s">
        <v>38</v>
      </c>
      <c r="L1630" t="s">
        <v>38</v>
      </c>
      <c r="M1630" t="s">
        <v>38</v>
      </c>
      <c r="N1630" t="s">
        <v>38</v>
      </c>
      <c r="O1630" t="s">
        <v>57</v>
      </c>
      <c r="P1630" t="s">
        <v>42</v>
      </c>
      <c r="Q1630" t="s">
        <v>43</v>
      </c>
      <c r="R1630" t="s">
        <v>677</v>
      </c>
      <c r="S1630" t="s">
        <v>201</v>
      </c>
      <c r="T1630" t="s">
        <v>38</v>
      </c>
      <c r="U1630" t="s">
        <v>38</v>
      </c>
      <c r="V1630" t="s">
        <v>137</v>
      </c>
      <c r="W1630" t="s">
        <v>38</v>
      </c>
      <c r="X1630" t="s">
        <v>38</v>
      </c>
      <c r="Y1630" t="s">
        <v>38</v>
      </c>
      <c r="Z1630" t="s">
        <v>42</v>
      </c>
      <c r="AA1630" t="s">
        <v>677</v>
      </c>
      <c r="AB1630" t="s">
        <v>38</v>
      </c>
      <c r="AC1630" t="s">
        <v>201</v>
      </c>
      <c r="AD1630" t="s">
        <v>48</v>
      </c>
      <c r="AG1630" t="str">
        <f>IF(AD1630="United States", IFERROR(INDEX(Sheet2!$C:$C, MATCH(AE1630&amp;AF1630, Sheet2!$E:$E, 0)) &amp; ", " &amp; INDEX(Sheet2!$D:$D, MATCH(AE1630&amp;AF1630, Sheet2!$E:$E, 0)), ""), "-")</f>
        <v/>
      </c>
    </row>
    <row r="1631" spans="1:33" x14ac:dyDescent="0.25">
      <c r="A1631" t="s">
        <v>2966</v>
      </c>
      <c r="B1631" t="s">
        <v>3188</v>
      </c>
      <c r="C1631" t="s">
        <v>2968</v>
      </c>
      <c r="D1631" t="s">
        <v>3189</v>
      </c>
      <c r="E1631" t="s">
        <v>633</v>
      </c>
      <c r="F1631">
        <v>1725</v>
      </c>
      <c r="G1631">
        <v>1743</v>
      </c>
      <c r="H1631" t="s">
        <v>38</v>
      </c>
      <c r="I1631" t="s">
        <v>80</v>
      </c>
      <c r="J1631" t="s">
        <v>2969</v>
      </c>
      <c r="K1631" t="s">
        <v>38</v>
      </c>
      <c r="L1631" t="s">
        <v>38</v>
      </c>
      <c r="M1631" t="s">
        <v>38</v>
      </c>
      <c r="N1631" t="s">
        <v>38</v>
      </c>
      <c r="O1631" t="s">
        <v>41</v>
      </c>
      <c r="P1631" t="s">
        <v>42</v>
      </c>
      <c r="Q1631" t="s">
        <v>43</v>
      </c>
      <c r="R1631" t="s">
        <v>677</v>
      </c>
      <c r="S1631" t="s">
        <v>201</v>
      </c>
      <c r="T1631" t="s">
        <v>38</v>
      </c>
      <c r="U1631" t="s">
        <v>38</v>
      </c>
      <c r="V1631" t="s">
        <v>137</v>
      </c>
      <c r="W1631" t="s">
        <v>38</v>
      </c>
      <c r="X1631" t="s">
        <v>38</v>
      </c>
      <c r="Y1631" t="s">
        <v>38</v>
      </c>
      <c r="Z1631" t="s">
        <v>42</v>
      </c>
      <c r="AA1631" t="s">
        <v>677</v>
      </c>
      <c r="AB1631" t="s">
        <v>38</v>
      </c>
      <c r="AC1631" t="s">
        <v>201</v>
      </c>
      <c r="AD1631" t="s">
        <v>48</v>
      </c>
      <c r="AG1631" t="str">
        <f>IF(AD1631="United States", IFERROR(INDEX(Sheet2!$C:$C, MATCH(AE1631&amp;AF1631, Sheet2!$E:$E, 0)) &amp; ", " &amp; INDEX(Sheet2!$D:$D, MATCH(AE1631&amp;AF1631, Sheet2!$E:$E, 0)), ""), "-")</f>
        <v/>
      </c>
    </row>
    <row r="1632" spans="1:33" x14ac:dyDescent="0.25">
      <c r="A1632" t="s">
        <v>2966</v>
      </c>
      <c r="B1632" t="s">
        <v>3190</v>
      </c>
      <c r="C1632" t="s">
        <v>2968</v>
      </c>
      <c r="D1632" t="s">
        <v>434</v>
      </c>
      <c r="E1632" t="s">
        <v>3191</v>
      </c>
      <c r="F1632">
        <v>1744</v>
      </c>
      <c r="G1632">
        <v>1742</v>
      </c>
      <c r="H1632" t="s">
        <v>38</v>
      </c>
      <c r="I1632" t="s">
        <v>80</v>
      </c>
      <c r="J1632" t="s">
        <v>2969</v>
      </c>
      <c r="K1632" t="s">
        <v>38</v>
      </c>
      <c r="L1632" t="s">
        <v>38</v>
      </c>
      <c r="M1632" t="s">
        <v>38</v>
      </c>
      <c r="N1632" t="s">
        <v>38</v>
      </c>
      <c r="O1632" t="s">
        <v>41</v>
      </c>
      <c r="P1632" t="s">
        <v>42</v>
      </c>
      <c r="Q1632" t="s">
        <v>43</v>
      </c>
      <c r="R1632" t="s">
        <v>169</v>
      </c>
      <c r="S1632" t="s">
        <v>45</v>
      </c>
      <c r="T1632" t="s">
        <v>38</v>
      </c>
      <c r="U1632" t="s">
        <v>38</v>
      </c>
      <c r="V1632" t="s">
        <v>137</v>
      </c>
      <c r="W1632" t="s">
        <v>38</v>
      </c>
      <c r="X1632" t="s">
        <v>38</v>
      </c>
      <c r="Y1632" t="s">
        <v>38</v>
      </c>
      <c r="Z1632" t="s">
        <v>42</v>
      </c>
      <c r="AA1632" t="s">
        <v>3192</v>
      </c>
      <c r="AB1632" t="s">
        <v>3193</v>
      </c>
      <c r="AC1632" t="s">
        <v>169</v>
      </c>
      <c r="AD1632" t="s">
        <v>48</v>
      </c>
      <c r="AG1632" t="str">
        <f>IF(AD1632="United States", IFERROR(INDEX(Sheet2!$C:$C, MATCH(AE1632&amp;AF1632, Sheet2!$E:$E, 0)) &amp; ", " &amp; INDEX(Sheet2!$D:$D, MATCH(AE1632&amp;AF1632, Sheet2!$E:$E, 0)), ""), "-")</f>
        <v/>
      </c>
    </row>
    <row r="1633" spans="1:33" x14ac:dyDescent="0.25">
      <c r="A1633" t="s">
        <v>2966</v>
      </c>
      <c r="B1633" t="s">
        <v>3194</v>
      </c>
      <c r="C1633" t="s">
        <v>2968</v>
      </c>
      <c r="D1633" t="s">
        <v>2697</v>
      </c>
      <c r="E1633" t="s">
        <v>3195</v>
      </c>
      <c r="F1633">
        <v>1754</v>
      </c>
      <c r="G1633">
        <v>1741</v>
      </c>
      <c r="H1633" t="s">
        <v>38</v>
      </c>
      <c r="I1633" t="s">
        <v>80</v>
      </c>
      <c r="J1633" t="s">
        <v>2969</v>
      </c>
      <c r="K1633" t="s">
        <v>38</v>
      </c>
      <c r="L1633" t="s">
        <v>38</v>
      </c>
      <c r="M1633" t="s">
        <v>38</v>
      </c>
      <c r="N1633" t="s">
        <v>38</v>
      </c>
      <c r="O1633" t="s">
        <v>41</v>
      </c>
      <c r="P1633" t="s">
        <v>42</v>
      </c>
      <c r="Q1633" t="s">
        <v>43</v>
      </c>
      <c r="R1633" t="s">
        <v>38</v>
      </c>
      <c r="S1633" t="s">
        <v>89</v>
      </c>
      <c r="T1633" t="s">
        <v>38</v>
      </c>
      <c r="U1633" t="s">
        <v>38</v>
      </c>
      <c r="V1633" t="s">
        <v>137</v>
      </c>
      <c r="W1633" t="s">
        <v>38</v>
      </c>
      <c r="X1633" t="s">
        <v>38</v>
      </c>
      <c r="Y1633" t="s">
        <v>38</v>
      </c>
      <c r="Z1633" t="s">
        <v>42</v>
      </c>
      <c r="AA1633" t="s">
        <v>38</v>
      </c>
      <c r="AB1633" t="s">
        <v>38</v>
      </c>
      <c r="AC1633" t="s">
        <v>89</v>
      </c>
      <c r="AD1633" t="s">
        <v>48</v>
      </c>
      <c r="AG1633" t="str">
        <f>IF(AD1633="United States", IFERROR(INDEX(Sheet2!$C:$C, MATCH(AE1633&amp;AF1633, Sheet2!$E:$E, 0)) &amp; ", " &amp; INDEX(Sheet2!$D:$D, MATCH(AE1633&amp;AF1633, Sheet2!$E:$E, 0)), ""), "-")</f>
        <v/>
      </c>
    </row>
    <row r="1634" spans="1:33" x14ac:dyDescent="0.25">
      <c r="A1634" t="s">
        <v>2966</v>
      </c>
      <c r="B1634" t="s">
        <v>3196</v>
      </c>
      <c r="C1634" t="s">
        <v>2968</v>
      </c>
      <c r="D1634" t="s">
        <v>226</v>
      </c>
      <c r="E1634" t="s">
        <v>1684</v>
      </c>
      <c r="F1634">
        <v>1758</v>
      </c>
      <c r="G1634">
        <v>1740</v>
      </c>
      <c r="H1634" t="s">
        <v>2977</v>
      </c>
      <c r="I1634" t="s">
        <v>80</v>
      </c>
      <c r="J1634" t="s">
        <v>2969</v>
      </c>
      <c r="K1634" t="s">
        <v>38</v>
      </c>
      <c r="L1634" t="s">
        <v>38</v>
      </c>
      <c r="M1634" t="s">
        <v>38</v>
      </c>
      <c r="N1634" t="s">
        <v>38</v>
      </c>
      <c r="O1634" t="s">
        <v>41</v>
      </c>
      <c r="P1634" t="s">
        <v>42</v>
      </c>
      <c r="Q1634" t="s">
        <v>43</v>
      </c>
      <c r="R1634" t="s">
        <v>2452</v>
      </c>
      <c r="S1634" t="s">
        <v>45</v>
      </c>
      <c r="T1634" t="s">
        <v>89</v>
      </c>
      <c r="U1634" t="s">
        <v>2453</v>
      </c>
      <c r="V1634" t="s">
        <v>137</v>
      </c>
      <c r="W1634" t="s">
        <v>92</v>
      </c>
      <c r="X1634" t="s">
        <v>38</v>
      </c>
      <c r="Y1634" t="s">
        <v>38</v>
      </c>
      <c r="Z1634" t="s">
        <v>42</v>
      </c>
      <c r="AA1634" t="s">
        <v>169</v>
      </c>
      <c r="AB1634" t="s">
        <v>38</v>
      </c>
      <c r="AC1634" t="s">
        <v>45</v>
      </c>
      <c r="AD1634" t="s">
        <v>48</v>
      </c>
      <c r="AG1634" t="str">
        <f>IF(AD1634="United States", IFERROR(INDEX(Sheet2!$C:$C, MATCH(AE1634&amp;AF1634, Sheet2!$E:$E, 0)) &amp; ", " &amp; INDEX(Sheet2!$D:$D, MATCH(AE1634&amp;AF1634, Sheet2!$E:$E, 0)), ""), "-")</f>
        <v/>
      </c>
    </row>
    <row r="1635" spans="1:33" x14ac:dyDescent="0.25">
      <c r="A1635" t="s">
        <v>2966</v>
      </c>
      <c r="B1635" t="s">
        <v>3197</v>
      </c>
      <c r="C1635" t="s">
        <v>2968</v>
      </c>
      <c r="D1635" t="s">
        <v>132</v>
      </c>
      <c r="E1635" t="s">
        <v>246</v>
      </c>
      <c r="F1635">
        <v>1759</v>
      </c>
      <c r="G1635">
        <v>1739</v>
      </c>
      <c r="H1635" t="s">
        <v>2975</v>
      </c>
      <c r="I1635" t="s">
        <v>80</v>
      </c>
      <c r="J1635" t="s">
        <v>2969</v>
      </c>
      <c r="K1635" t="s">
        <v>38</v>
      </c>
      <c r="L1635" t="s">
        <v>38</v>
      </c>
      <c r="M1635" t="s">
        <v>38</v>
      </c>
      <c r="N1635" t="s">
        <v>38</v>
      </c>
      <c r="O1635" t="s">
        <v>41</v>
      </c>
      <c r="P1635" t="s">
        <v>42</v>
      </c>
      <c r="Q1635" t="s">
        <v>43</v>
      </c>
      <c r="R1635" t="s">
        <v>2452</v>
      </c>
      <c r="S1635" t="s">
        <v>45</v>
      </c>
      <c r="T1635" t="s">
        <v>89</v>
      </c>
      <c r="U1635" t="s">
        <v>2453</v>
      </c>
      <c r="V1635" t="s">
        <v>137</v>
      </c>
      <c r="W1635" t="s">
        <v>92</v>
      </c>
      <c r="X1635" t="s">
        <v>38</v>
      </c>
      <c r="Y1635" t="s">
        <v>38</v>
      </c>
      <c r="Z1635" t="s">
        <v>42</v>
      </c>
      <c r="AA1635" t="s">
        <v>59</v>
      </c>
      <c r="AB1635" t="s">
        <v>38</v>
      </c>
      <c r="AC1635" t="s">
        <v>45</v>
      </c>
      <c r="AD1635" t="s">
        <v>48</v>
      </c>
      <c r="AG1635" t="str">
        <f>IF(AD1635="United States", IFERROR(INDEX(Sheet2!$C:$C, MATCH(AE1635&amp;AF1635, Sheet2!$E:$E, 0)) &amp; ", " &amp; INDEX(Sheet2!$D:$D, MATCH(AE1635&amp;AF1635, Sheet2!$E:$E, 0)), ""), "-")</f>
        <v/>
      </c>
    </row>
    <row r="1636" spans="1:33" x14ac:dyDescent="0.25">
      <c r="A1636" t="s">
        <v>2966</v>
      </c>
      <c r="B1636" t="s">
        <v>3198</v>
      </c>
      <c r="C1636" t="s">
        <v>2968</v>
      </c>
      <c r="D1636" t="s">
        <v>334</v>
      </c>
      <c r="E1636" t="s">
        <v>2926</v>
      </c>
      <c r="F1636">
        <v>1746</v>
      </c>
      <c r="G1636">
        <v>1738</v>
      </c>
      <c r="H1636" t="s">
        <v>38</v>
      </c>
      <c r="I1636" t="s">
        <v>80</v>
      </c>
      <c r="J1636" t="s">
        <v>2969</v>
      </c>
      <c r="K1636" t="s">
        <v>38</v>
      </c>
      <c r="L1636" t="s">
        <v>38</v>
      </c>
      <c r="M1636" t="s">
        <v>38</v>
      </c>
      <c r="N1636" t="s">
        <v>38</v>
      </c>
      <c r="O1636" t="s">
        <v>41</v>
      </c>
      <c r="P1636" t="s">
        <v>42</v>
      </c>
      <c r="Q1636" t="s">
        <v>43</v>
      </c>
      <c r="R1636" t="s">
        <v>169</v>
      </c>
      <c r="S1636" t="s">
        <v>45</v>
      </c>
      <c r="T1636" t="s">
        <v>38</v>
      </c>
      <c r="U1636" t="s">
        <v>38</v>
      </c>
      <c r="V1636" t="s">
        <v>137</v>
      </c>
      <c r="W1636" t="s">
        <v>38</v>
      </c>
      <c r="X1636" t="s">
        <v>38</v>
      </c>
      <c r="Y1636" t="s">
        <v>38</v>
      </c>
      <c r="Z1636" t="s">
        <v>42</v>
      </c>
      <c r="AA1636" t="s">
        <v>169</v>
      </c>
      <c r="AB1636" t="s">
        <v>38</v>
      </c>
      <c r="AC1636" t="s">
        <v>45</v>
      </c>
      <c r="AD1636" t="s">
        <v>48</v>
      </c>
      <c r="AG1636" t="str">
        <f>IF(AD1636="United States", IFERROR(INDEX(Sheet2!$C:$C, MATCH(AE1636&amp;AF1636, Sheet2!$E:$E, 0)) &amp; ", " &amp; INDEX(Sheet2!$D:$D, MATCH(AE1636&amp;AF1636, Sheet2!$E:$E, 0)), ""), "-")</f>
        <v/>
      </c>
    </row>
    <row r="1637" spans="1:33" x14ac:dyDescent="0.25">
      <c r="A1637" t="s">
        <v>2966</v>
      </c>
      <c r="B1637" t="s">
        <v>3199</v>
      </c>
      <c r="C1637" t="s">
        <v>2968</v>
      </c>
      <c r="D1637" t="s">
        <v>334</v>
      </c>
      <c r="E1637" t="s">
        <v>1831</v>
      </c>
      <c r="F1637">
        <v>1767</v>
      </c>
      <c r="G1637">
        <v>1737</v>
      </c>
      <c r="H1637" t="s">
        <v>38</v>
      </c>
      <c r="I1637" t="s">
        <v>80</v>
      </c>
      <c r="J1637" t="s">
        <v>2969</v>
      </c>
      <c r="K1637" t="s">
        <v>38</v>
      </c>
      <c r="L1637" t="s">
        <v>38</v>
      </c>
      <c r="M1637" t="s">
        <v>38</v>
      </c>
      <c r="N1637" t="s">
        <v>38</v>
      </c>
      <c r="O1637" t="s">
        <v>54</v>
      </c>
      <c r="P1637" t="s">
        <v>42</v>
      </c>
      <c r="Q1637" t="s">
        <v>43</v>
      </c>
      <c r="R1637" t="s">
        <v>155</v>
      </c>
      <c r="S1637" t="s">
        <v>153</v>
      </c>
      <c r="T1637" t="s">
        <v>38</v>
      </c>
      <c r="U1637" t="s">
        <v>38</v>
      </c>
      <c r="V1637" t="s">
        <v>137</v>
      </c>
      <c r="W1637" t="s">
        <v>38</v>
      </c>
      <c r="X1637" t="s">
        <v>38</v>
      </c>
      <c r="Y1637" t="s">
        <v>38</v>
      </c>
      <c r="Z1637" t="s">
        <v>42</v>
      </c>
      <c r="AA1637" t="s">
        <v>155</v>
      </c>
      <c r="AB1637" t="s">
        <v>38</v>
      </c>
      <c r="AC1637" t="s">
        <v>153</v>
      </c>
      <c r="AD1637" t="s">
        <v>48</v>
      </c>
      <c r="AG1637" t="str">
        <f>IF(AD1637="United States", IFERROR(INDEX(Sheet2!$C:$C, MATCH(AE1637&amp;AF1637, Sheet2!$E:$E, 0)) &amp; ", " &amp; INDEX(Sheet2!$D:$D, MATCH(AE1637&amp;AF1637, Sheet2!$E:$E, 0)), ""), "-")</f>
        <v/>
      </c>
    </row>
    <row r="1638" spans="1:33" x14ac:dyDescent="0.25">
      <c r="A1638" t="s">
        <v>2966</v>
      </c>
      <c r="B1638" t="s">
        <v>3200</v>
      </c>
      <c r="C1638" t="s">
        <v>2968</v>
      </c>
      <c r="D1638" t="s">
        <v>3201</v>
      </c>
      <c r="E1638" t="s">
        <v>3176</v>
      </c>
      <c r="F1638">
        <v>1769</v>
      </c>
      <c r="G1638">
        <v>1752</v>
      </c>
      <c r="H1638" t="s">
        <v>38</v>
      </c>
      <c r="I1638" t="s">
        <v>80</v>
      </c>
      <c r="J1638" t="s">
        <v>2969</v>
      </c>
      <c r="K1638" t="s">
        <v>38</v>
      </c>
      <c r="L1638" t="s">
        <v>38</v>
      </c>
      <c r="M1638" t="s">
        <v>38</v>
      </c>
      <c r="N1638" t="s">
        <v>38</v>
      </c>
      <c r="O1638" t="s">
        <v>74</v>
      </c>
      <c r="P1638" t="s">
        <v>42</v>
      </c>
      <c r="Q1638" t="s">
        <v>43</v>
      </c>
      <c r="R1638" t="s">
        <v>241</v>
      </c>
      <c r="S1638" t="s">
        <v>45</v>
      </c>
      <c r="T1638" t="s">
        <v>38</v>
      </c>
      <c r="U1638" t="s">
        <v>38</v>
      </c>
      <c r="V1638" t="s">
        <v>137</v>
      </c>
      <c r="W1638" t="s">
        <v>38</v>
      </c>
      <c r="X1638" t="s">
        <v>38</v>
      </c>
      <c r="Y1638" t="s">
        <v>38</v>
      </c>
      <c r="Z1638" t="s">
        <v>42</v>
      </c>
      <c r="AA1638" t="s">
        <v>241</v>
      </c>
      <c r="AB1638" t="s">
        <v>38</v>
      </c>
      <c r="AC1638" t="s">
        <v>45</v>
      </c>
      <c r="AD1638" t="s">
        <v>48</v>
      </c>
      <c r="AG1638" t="str">
        <f>IF(AD1638="United States", IFERROR(INDEX(Sheet2!$C:$C, MATCH(AE1638&amp;AF1638, Sheet2!$E:$E, 0)) &amp; ", " &amp; INDEX(Sheet2!$D:$D, MATCH(AE1638&amp;AF1638, Sheet2!$E:$E, 0)), ""), "-")</f>
        <v/>
      </c>
    </row>
    <row r="1639" spans="1:33" x14ac:dyDescent="0.25">
      <c r="A1639" t="s">
        <v>2966</v>
      </c>
      <c r="B1639" t="s">
        <v>3202</v>
      </c>
      <c r="C1639" t="s">
        <v>3125</v>
      </c>
      <c r="D1639" t="s">
        <v>615</v>
      </c>
      <c r="E1639" t="s">
        <v>38</v>
      </c>
      <c r="F1639">
        <v>1770</v>
      </c>
      <c r="G1639">
        <v>2160</v>
      </c>
      <c r="H1639" t="s">
        <v>2975</v>
      </c>
      <c r="I1639" t="s">
        <v>87</v>
      </c>
      <c r="J1639" t="s">
        <v>3126</v>
      </c>
      <c r="K1639" t="s">
        <v>38</v>
      </c>
      <c r="L1639" t="s">
        <v>38</v>
      </c>
      <c r="M1639" t="s">
        <v>38</v>
      </c>
      <c r="N1639" t="s">
        <v>38</v>
      </c>
      <c r="O1639" t="s">
        <v>54</v>
      </c>
      <c r="P1639" t="s">
        <v>42</v>
      </c>
      <c r="Q1639" t="s">
        <v>43</v>
      </c>
      <c r="R1639" t="s">
        <v>2452</v>
      </c>
      <c r="S1639" t="s">
        <v>38</v>
      </c>
      <c r="T1639" t="s">
        <v>89</v>
      </c>
      <c r="U1639" t="s">
        <v>2453</v>
      </c>
      <c r="V1639" t="s">
        <v>137</v>
      </c>
      <c r="W1639" t="s">
        <v>92</v>
      </c>
      <c r="X1639" t="s">
        <v>38</v>
      </c>
      <c r="Y1639" t="s">
        <v>3203</v>
      </c>
      <c r="Z1639" t="s">
        <v>42</v>
      </c>
      <c r="AA1639" t="s">
        <v>38</v>
      </c>
      <c r="AB1639" t="s">
        <v>38</v>
      </c>
      <c r="AC1639" t="s">
        <v>38</v>
      </c>
      <c r="AD1639" t="s">
        <v>48</v>
      </c>
      <c r="AG1639" t="str">
        <f>IF(AD1639="United States", IFERROR(INDEX(Sheet2!$C:$C, MATCH(AE1639&amp;AF1639, Sheet2!$E:$E, 0)) &amp; ", " &amp; INDEX(Sheet2!$D:$D, MATCH(AE1639&amp;AF1639, Sheet2!$E:$E, 0)), ""), "-")</f>
        <v/>
      </c>
    </row>
    <row r="1640" spans="1:33" x14ac:dyDescent="0.25">
      <c r="A1640" t="s">
        <v>2966</v>
      </c>
      <c r="B1640" t="s">
        <v>3204</v>
      </c>
      <c r="C1640" t="s">
        <v>2968</v>
      </c>
      <c r="D1640" t="s">
        <v>132</v>
      </c>
      <c r="E1640" t="s">
        <v>3205</v>
      </c>
      <c r="F1640">
        <v>1748</v>
      </c>
      <c r="G1640">
        <v>1753</v>
      </c>
      <c r="H1640" t="s">
        <v>2975</v>
      </c>
      <c r="I1640" t="s">
        <v>80</v>
      </c>
      <c r="J1640" t="s">
        <v>2969</v>
      </c>
      <c r="K1640" t="s">
        <v>38</v>
      </c>
      <c r="L1640" t="s">
        <v>38</v>
      </c>
      <c r="M1640" t="s">
        <v>38</v>
      </c>
      <c r="N1640" t="s">
        <v>38</v>
      </c>
      <c r="O1640" t="s">
        <v>41</v>
      </c>
      <c r="P1640" t="s">
        <v>42</v>
      </c>
      <c r="Q1640" t="s">
        <v>43</v>
      </c>
      <c r="R1640" t="s">
        <v>2452</v>
      </c>
      <c r="S1640" t="s">
        <v>45</v>
      </c>
      <c r="T1640" t="s">
        <v>89</v>
      </c>
      <c r="U1640" t="s">
        <v>2453</v>
      </c>
      <c r="V1640" t="s">
        <v>137</v>
      </c>
      <c r="W1640" t="s">
        <v>92</v>
      </c>
      <c r="X1640" t="s">
        <v>38</v>
      </c>
      <c r="Y1640" t="s">
        <v>38</v>
      </c>
      <c r="Z1640" t="s">
        <v>42</v>
      </c>
      <c r="AA1640" t="s">
        <v>169</v>
      </c>
      <c r="AB1640" t="s">
        <v>38</v>
      </c>
      <c r="AC1640" t="s">
        <v>45</v>
      </c>
      <c r="AD1640" t="s">
        <v>48</v>
      </c>
      <c r="AG1640" t="str">
        <f>IF(AD1640="United States", IFERROR(INDEX(Sheet2!$C:$C, MATCH(AE1640&amp;AF1640, Sheet2!$E:$E, 0)) &amp; ", " &amp; INDEX(Sheet2!$D:$D, MATCH(AE1640&amp;AF1640, Sheet2!$E:$E, 0)), ""), "-")</f>
        <v/>
      </c>
    </row>
    <row r="1641" spans="1:33" x14ac:dyDescent="0.25">
      <c r="A1641" t="s">
        <v>2966</v>
      </c>
      <c r="B1641" t="s">
        <v>3206</v>
      </c>
      <c r="C1641" t="s">
        <v>2968</v>
      </c>
      <c r="D1641" t="s">
        <v>1336</v>
      </c>
      <c r="E1641" t="s">
        <v>1130</v>
      </c>
      <c r="F1641">
        <v>1769</v>
      </c>
      <c r="G1641">
        <v>1755</v>
      </c>
      <c r="H1641" t="s">
        <v>38</v>
      </c>
      <c r="I1641" t="s">
        <v>80</v>
      </c>
      <c r="J1641" t="s">
        <v>2969</v>
      </c>
      <c r="K1641" t="s">
        <v>38</v>
      </c>
      <c r="L1641" t="s">
        <v>38</v>
      </c>
      <c r="M1641" t="s">
        <v>38</v>
      </c>
      <c r="N1641" t="s">
        <v>38</v>
      </c>
      <c r="O1641" t="s">
        <v>54</v>
      </c>
      <c r="P1641" t="s">
        <v>42</v>
      </c>
      <c r="Q1641" t="s">
        <v>43</v>
      </c>
      <c r="R1641" t="s">
        <v>241</v>
      </c>
      <c r="S1641" t="s">
        <v>45</v>
      </c>
      <c r="T1641" t="s">
        <v>38</v>
      </c>
      <c r="U1641" t="s">
        <v>38</v>
      </c>
      <c r="V1641" t="s">
        <v>137</v>
      </c>
      <c r="W1641" t="s">
        <v>38</v>
      </c>
      <c r="X1641" t="s">
        <v>38</v>
      </c>
      <c r="Y1641" t="s">
        <v>38</v>
      </c>
      <c r="Z1641" t="s">
        <v>42</v>
      </c>
      <c r="AA1641" t="s">
        <v>241</v>
      </c>
      <c r="AB1641" t="s">
        <v>38</v>
      </c>
      <c r="AC1641" t="s">
        <v>45</v>
      </c>
      <c r="AD1641" t="s">
        <v>48</v>
      </c>
      <c r="AG1641" t="str">
        <f>IF(AD1641="United States", IFERROR(INDEX(Sheet2!$C:$C, MATCH(AE1641&amp;AF1641, Sheet2!$E:$E, 0)) &amp; ", " &amp; INDEX(Sheet2!$D:$D, MATCH(AE1641&amp;AF1641, Sheet2!$E:$E, 0)), ""), "-")</f>
        <v/>
      </c>
    </row>
    <row r="1642" spans="1:33" x14ac:dyDescent="0.25">
      <c r="A1642" t="s">
        <v>2966</v>
      </c>
      <c r="B1642" t="s">
        <v>3207</v>
      </c>
      <c r="C1642" t="s">
        <v>3125</v>
      </c>
      <c r="D1642" t="s">
        <v>445</v>
      </c>
      <c r="E1642" t="s">
        <v>38</v>
      </c>
      <c r="F1642">
        <v>1753</v>
      </c>
      <c r="G1642">
        <v>2158</v>
      </c>
      <c r="H1642" t="s">
        <v>38</v>
      </c>
      <c r="I1642" t="s">
        <v>87</v>
      </c>
      <c r="J1642" t="s">
        <v>3126</v>
      </c>
      <c r="K1642" t="s">
        <v>38</v>
      </c>
      <c r="L1642" t="s">
        <v>38</v>
      </c>
      <c r="M1642" t="s">
        <v>38</v>
      </c>
      <c r="N1642" t="s">
        <v>38</v>
      </c>
      <c r="O1642" t="s">
        <v>57</v>
      </c>
      <c r="P1642" t="s">
        <v>42</v>
      </c>
      <c r="Q1642" t="s">
        <v>43</v>
      </c>
      <c r="R1642" t="s">
        <v>38</v>
      </c>
      <c r="S1642" t="s">
        <v>38</v>
      </c>
      <c r="T1642" t="s">
        <v>38</v>
      </c>
      <c r="U1642" t="s">
        <v>38</v>
      </c>
      <c r="V1642" t="s">
        <v>137</v>
      </c>
      <c r="W1642" t="s">
        <v>38</v>
      </c>
      <c r="X1642" t="s">
        <v>38</v>
      </c>
      <c r="Y1642" t="s">
        <v>3127</v>
      </c>
      <c r="Z1642" t="s">
        <v>42</v>
      </c>
      <c r="AA1642" t="s">
        <v>38</v>
      </c>
      <c r="AB1642" t="s">
        <v>38</v>
      </c>
      <c r="AC1642" t="s">
        <v>38</v>
      </c>
      <c r="AD1642" t="s">
        <v>48</v>
      </c>
      <c r="AG1642" t="str">
        <f>IF(AD1642="United States", IFERROR(INDEX(Sheet2!$C:$C, MATCH(AE1642&amp;AF1642, Sheet2!$E:$E, 0)) &amp; ", " &amp; INDEX(Sheet2!$D:$D, MATCH(AE1642&amp;AF1642, Sheet2!$E:$E, 0)), ""), "-")</f>
        <v/>
      </c>
    </row>
    <row r="1643" spans="1:33" x14ac:dyDescent="0.25">
      <c r="A1643" t="s">
        <v>2966</v>
      </c>
      <c r="B1643" t="s">
        <v>3208</v>
      </c>
      <c r="C1643" t="s">
        <v>2968</v>
      </c>
      <c r="D1643" t="s">
        <v>1230</v>
      </c>
      <c r="E1643" t="s">
        <v>3209</v>
      </c>
      <c r="F1643">
        <v>1760</v>
      </c>
      <c r="G1643">
        <v>1769</v>
      </c>
      <c r="H1643" t="s">
        <v>2977</v>
      </c>
      <c r="I1643" t="s">
        <v>80</v>
      </c>
      <c r="J1643" t="s">
        <v>2969</v>
      </c>
      <c r="K1643" t="s">
        <v>38</v>
      </c>
      <c r="L1643" t="s">
        <v>38</v>
      </c>
      <c r="M1643" t="s">
        <v>38</v>
      </c>
      <c r="N1643" t="s">
        <v>38</v>
      </c>
      <c r="O1643" t="s">
        <v>74</v>
      </c>
      <c r="P1643" t="s">
        <v>42</v>
      </c>
      <c r="Q1643" t="s">
        <v>43</v>
      </c>
      <c r="R1643" t="s">
        <v>2452</v>
      </c>
      <c r="S1643" t="s">
        <v>45</v>
      </c>
      <c r="T1643" t="s">
        <v>89</v>
      </c>
      <c r="U1643" t="s">
        <v>2453</v>
      </c>
      <c r="V1643" t="s">
        <v>137</v>
      </c>
      <c r="W1643" t="s">
        <v>92</v>
      </c>
      <c r="X1643" t="s">
        <v>38</v>
      </c>
      <c r="Y1643" t="s">
        <v>38</v>
      </c>
      <c r="Z1643" t="s">
        <v>42</v>
      </c>
      <c r="AA1643" t="s">
        <v>241</v>
      </c>
      <c r="AB1643" t="s">
        <v>38</v>
      </c>
      <c r="AC1643" t="s">
        <v>45</v>
      </c>
      <c r="AD1643" t="s">
        <v>48</v>
      </c>
      <c r="AG1643" t="str">
        <f>IF(AD1643="United States", IFERROR(INDEX(Sheet2!$C:$C, MATCH(AE1643&amp;AF1643, Sheet2!$E:$E, 0)) &amp; ", " &amp; INDEX(Sheet2!$D:$D, MATCH(AE1643&amp;AF1643, Sheet2!$E:$E, 0)), ""), "-")</f>
        <v/>
      </c>
    </row>
    <row r="1644" spans="1:33" x14ac:dyDescent="0.25">
      <c r="A1644" t="s">
        <v>2966</v>
      </c>
      <c r="B1644" t="s">
        <v>3210</v>
      </c>
      <c r="C1644" t="s">
        <v>2968</v>
      </c>
      <c r="D1644" t="s">
        <v>132</v>
      </c>
      <c r="E1644" t="s">
        <v>3211</v>
      </c>
      <c r="F1644">
        <v>1756</v>
      </c>
      <c r="G1644">
        <v>1768</v>
      </c>
      <c r="H1644" t="s">
        <v>2975</v>
      </c>
      <c r="I1644" t="s">
        <v>80</v>
      </c>
      <c r="J1644" t="s">
        <v>2969</v>
      </c>
      <c r="K1644" t="s">
        <v>38</v>
      </c>
      <c r="L1644" t="s">
        <v>38</v>
      </c>
      <c r="M1644" t="s">
        <v>38</v>
      </c>
      <c r="N1644" t="s">
        <v>38</v>
      </c>
      <c r="O1644" t="s">
        <v>41</v>
      </c>
      <c r="P1644" t="s">
        <v>42</v>
      </c>
      <c r="Q1644" t="s">
        <v>43</v>
      </c>
      <c r="R1644" t="s">
        <v>2452</v>
      </c>
      <c r="S1644" t="s">
        <v>1063</v>
      </c>
      <c r="T1644" t="s">
        <v>89</v>
      </c>
      <c r="U1644" t="s">
        <v>2453</v>
      </c>
      <c r="V1644" t="s">
        <v>137</v>
      </c>
      <c r="W1644" t="s">
        <v>92</v>
      </c>
      <c r="X1644" t="s">
        <v>38</v>
      </c>
      <c r="Y1644" t="s">
        <v>38</v>
      </c>
      <c r="Z1644" t="s">
        <v>42</v>
      </c>
      <c r="AA1644" t="s">
        <v>3212</v>
      </c>
      <c r="AB1644" t="s">
        <v>38</v>
      </c>
      <c r="AC1644" t="s">
        <v>1063</v>
      </c>
      <c r="AD1644" t="s">
        <v>48</v>
      </c>
      <c r="AG1644" t="str">
        <f>IF(AD1644="United States", IFERROR(INDEX(Sheet2!$C:$C, MATCH(AE1644&amp;AF1644, Sheet2!$E:$E, 0)) &amp; ", " &amp; INDEX(Sheet2!$D:$D, MATCH(AE1644&amp;AF1644, Sheet2!$E:$E, 0)), ""), "-")</f>
        <v/>
      </c>
    </row>
    <row r="1645" spans="1:33" x14ac:dyDescent="0.25">
      <c r="A1645" t="s">
        <v>2966</v>
      </c>
      <c r="B1645" t="s">
        <v>3213</v>
      </c>
      <c r="C1645" t="s">
        <v>2968</v>
      </c>
      <c r="D1645" t="s">
        <v>388</v>
      </c>
      <c r="E1645" t="s">
        <v>191</v>
      </c>
      <c r="F1645">
        <v>1771</v>
      </c>
      <c r="G1645">
        <v>1767</v>
      </c>
      <c r="H1645" t="s">
        <v>38</v>
      </c>
      <c r="I1645" t="s">
        <v>80</v>
      </c>
      <c r="J1645" t="s">
        <v>2969</v>
      </c>
      <c r="K1645" t="s">
        <v>38</v>
      </c>
      <c r="L1645" t="s">
        <v>38</v>
      </c>
      <c r="M1645" t="s">
        <v>38</v>
      </c>
      <c r="N1645" t="s">
        <v>38</v>
      </c>
      <c r="O1645" t="s">
        <v>54</v>
      </c>
      <c r="P1645" t="s">
        <v>42</v>
      </c>
      <c r="Q1645" t="s">
        <v>43</v>
      </c>
      <c r="R1645" t="s">
        <v>169</v>
      </c>
      <c r="S1645" t="s">
        <v>45</v>
      </c>
      <c r="T1645" t="s">
        <v>38</v>
      </c>
      <c r="U1645" t="s">
        <v>38</v>
      </c>
      <c r="V1645" t="s">
        <v>137</v>
      </c>
      <c r="W1645" t="s">
        <v>38</v>
      </c>
      <c r="X1645" t="s">
        <v>38</v>
      </c>
      <c r="Y1645" t="s">
        <v>38</v>
      </c>
      <c r="Z1645" t="s">
        <v>42</v>
      </c>
      <c r="AA1645" t="s">
        <v>169</v>
      </c>
      <c r="AB1645" t="s">
        <v>38</v>
      </c>
      <c r="AC1645" t="s">
        <v>45</v>
      </c>
      <c r="AD1645" t="s">
        <v>48</v>
      </c>
      <c r="AG1645" t="str">
        <f>IF(AD1645="United States", IFERROR(INDEX(Sheet2!$C:$C, MATCH(AE1645&amp;AF1645, Sheet2!$E:$E, 0)) &amp; ", " &amp; INDEX(Sheet2!$D:$D, MATCH(AE1645&amp;AF1645, Sheet2!$E:$E, 0)), ""), "-")</f>
        <v/>
      </c>
    </row>
    <row r="1646" spans="1:33" x14ac:dyDescent="0.25">
      <c r="A1646" t="s">
        <v>2966</v>
      </c>
      <c r="B1646" t="s">
        <v>3214</v>
      </c>
      <c r="C1646" t="s">
        <v>2968</v>
      </c>
      <c r="D1646" t="s">
        <v>72</v>
      </c>
      <c r="E1646" t="s">
        <v>191</v>
      </c>
      <c r="F1646">
        <v>1743</v>
      </c>
      <c r="G1646">
        <v>1766</v>
      </c>
      <c r="H1646" t="s">
        <v>2975</v>
      </c>
      <c r="I1646" t="s">
        <v>80</v>
      </c>
      <c r="J1646" t="s">
        <v>2969</v>
      </c>
      <c r="K1646" t="s">
        <v>38</v>
      </c>
      <c r="L1646" t="s">
        <v>38</v>
      </c>
      <c r="M1646" t="s">
        <v>38</v>
      </c>
      <c r="N1646" t="s">
        <v>38</v>
      </c>
      <c r="O1646" t="s">
        <v>57</v>
      </c>
      <c r="P1646" t="s">
        <v>42</v>
      </c>
      <c r="Q1646" t="s">
        <v>43</v>
      </c>
      <c r="R1646" t="s">
        <v>2452</v>
      </c>
      <c r="S1646" t="s">
        <v>45</v>
      </c>
      <c r="T1646" t="s">
        <v>89</v>
      </c>
      <c r="U1646" t="s">
        <v>2453</v>
      </c>
      <c r="V1646" t="s">
        <v>137</v>
      </c>
      <c r="W1646" t="s">
        <v>92</v>
      </c>
      <c r="X1646" t="s">
        <v>38</v>
      </c>
      <c r="Y1646" t="s">
        <v>38</v>
      </c>
      <c r="Z1646" t="s">
        <v>42</v>
      </c>
      <c r="AA1646" t="s">
        <v>169</v>
      </c>
      <c r="AB1646" t="s">
        <v>38</v>
      </c>
      <c r="AC1646" t="s">
        <v>45</v>
      </c>
      <c r="AD1646" t="s">
        <v>48</v>
      </c>
      <c r="AG1646" t="str">
        <f>IF(AD1646="United States", IFERROR(INDEX(Sheet2!$C:$C, MATCH(AE1646&amp;AF1646, Sheet2!$E:$E, 0)) &amp; ", " &amp; INDEX(Sheet2!$D:$D, MATCH(AE1646&amp;AF1646, Sheet2!$E:$E, 0)), ""), "-")</f>
        <v/>
      </c>
    </row>
    <row r="1647" spans="1:33" x14ac:dyDescent="0.25">
      <c r="A1647" t="s">
        <v>2966</v>
      </c>
      <c r="B1647" t="s">
        <v>3215</v>
      </c>
      <c r="C1647" t="s">
        <v>2968</v>
      </c>
      <c r="D1647" t="s">
        <v>1003</v>
      </c>
      <c r="E1647" t="s">
        <v>2217</v>
      </c>
      <c r="F1647">
        <v>1762</v>
      </c>
      <c r="G1647">
        <v>1765</v>
      </c>
      <c r="H1647" t="s">
        <v>2975</v>
      </c>
      <c r="I1647" t="s">
        <v>80</v>
      </c>
      <c r="J1647" t="s">
        <v>2969</v>
      </c>
      <c r="K1647" t="s">
        <v>38</v>
      </c>
      <c r="L1647" t="s">
        <v>38</v>
      </c>
      <c r="M1647" t="s">
        <v>38</v>
      </c>
      <c r="N1647" t="s">
        <v>38</v>
      </c>
      <c r="O1647" t="s">
        <v>57</v>
      </c>
      <c r="P1647" t="s">
        <v>125</v>
      </c>
      <c r="Q1647" t="s">
        <v>124</v>
      </c>
      <c r="R1647" t="s">
        <v>2452</v>
      </c>
      <c r="S1647" t="s">
        <v>38</v>
      </c>
      <c r="T1647" t="s">
        <v>89</v>
      </c>
      <c r="U1647" t="s">
        <v>2453</v>
      </c>
      <c r="V1647" t="s">
        <v>137</v>
      </c>
      <c r="W1647" t="s">
        <v>92</v>
      </c>
      <c r="X1647" t="s">
        <v>38</v>
      </c>
      <c r="Y1647" t="s">
        <v>38</v>
      </c>
      <c r="Z1647" t="s">
        <v>125</v>
      </c>
      <c r="AA1647" t="s">
        <v>38</v>
      </c>
      <c r="AB1647" t="s">
        <v>38</v>
      </c>
      <c r="AC1647" t="s">
        <v>155</v>
      </c>
      <c r="AD1647" t="s">
        <v>48</v>
      </c>
      <c r="AG1647" t="str">
        <f>IF(AD1647="United States", IFERROR(INDEX(Sheet2!$C:$C, MATCH(AE1647&amp;AF1647, Sheet2!$E:$E, 0)) &amp; ", " &amp; INDEX(Sheet2!$D:$D, MATCH(AE1647&amp;AF1647, Sheet2!$E:$E, 0)), ""), "-")</f>
        <v/>
      </c>
    </row>
    <row r="1648" spans="1:33" x14ac:dyDescent="0.25">
      <c r="A1648" t="s">
        <v>2966</v>
      </c>
      <c r="B1648" t="s">
        <v>3216</v>
      </c>
      <c r="C1648" t="s">
        <v>2968</v>
      </c>
      <c r="D1648" t="s">
        <v>1230</v>
      </c>
      <c r="E1648" t="s">
        <v>1854</v>
      </c>
      <c r="F1648">
        <v>1713</v>
      </c>
      <c r="G1648">
        <v>1764</v>
      </c>
      <c r="H1648" t="s">
        <v>2977</v>
      </c>
      <c r="I1648" t="s">
        <v>80</v>
      </c>
      <c r="J1648" t="s">
        <v>2969</v>
      </c>
      <c r="K1648" t="s">
        <v>38</v>
      </c>
      <c r="L1648" t="s">
        <v>38</v>
      </c>
      <c r="M1648" t="s">
        <v>38</v>
      </c>
      <c r="N1648" t="s">
        <v>38</v>
      </c>
      <c r="O1648" t="s">
        <v>54</v>
      </c>
      <c r="P1648" t="s">
        <v>42</v>
      </c>
      <c r="Q1648" t="s">
        <v>43</v>
      </c>
      <c r="R1648" t="s">
        <v>2452</v>
      </c>
      <c r="S1648" t="s">
        <v>45</v>
      </c>
      <c r="T1648" t="s">
        <v>89</v>
      </c>
      <c r="U1648" t="s">
        <v>2453</v>
      </c>
      <c r="V1648" t="s">
        <v>137</v>
      </c>
      <c r="W1648" t="s">
        <v>92</v>
      </c>
      <c r="X1648" t="s">
        <v>38</v>
      </c>
      <c r="Y1648" t="s">
        <v>38</v>
      </c>
      <c r="Z1648" t="s">
        <v>42</v>
      </c>
      <c r="AA1648" t="s">
        <v>169</v>
      </c>
      <c r="AB1648" t="s">
        <v>38</v>
      </c>
      <c r="AC1648" t="s">
        <v>45</v>
      </c>
      <c r="AD1648" t="s">
        <v>48</v>
      </c>
      <c r="AG1648" t="str">
        <f>IF(AD1648="United States", IFERROR(INDEX(Sheet2!$C:$C, MATCH(AE1648&amp;AF1648, Sheet2!$E:$E, 0)) &amp; ", " &amp; INDEX(Sheet2!$D:$D, MATCH(AE1648&amp;AF1648, Sheet2!$E:$E, 0)), ""), "-")</f>
        <v/>
      </c>
    </row>
    <row r="1649" spans="1:33" x14ac:dyDescent="0.25">
      <c r="A1649" t="s">
        <v>2966</v>
      </c>
      <c r="B1649" t="s">
        <v>3217</v>
      </c>
      <c r="C1649" t="s">
        <v>2968</v>
      </c>
      <c r="D1649" t="s">
        <v>615</v>
      </c>
      <c r="E1649" t="s">
        <v>2518</v>
      </c>
      <c r="F1649">
        <v>1751</v>
      </c>
      <c r="G1649">
        <v>1763</v>
      </c>
      <c r="H1649" t="s">
        <v>2975</v>
      </c>
      <c r="I1649" t="s">
        <v>80</v>
      </c>
      <c r="J1649" t="s">
        <v>2969</v>
      </c>
      <c r="K1649" t="s">
        <v>38</v>
      </c>
      <c r="L1649" t="s">
        <v>38</v>
      </c>
      <c r="M1649" t="s">
        <v>38</v>
      </c>
      <c r="N1649" t="s">
        <v>38</v>
      </c>
      <c r="O1649" t="s">
        <v>41</v>
      </c>
      <c r="P1649" t="s">
        <v>42</v>
      </c>
      <c r="Q1649" t="s">
        <v>43</v>
      </c>
      <c r="R1649" t="s">
        <v>2452</v>
      </c>
      <c r="S1649" t="s">
        <v>45</v>
      </c>
      <c r="T1649" t="s">
        <v>89</v>
      </c>
      <c r="U1649" t="s">
        <v>2453</v>
      </c>
      <c r="V1649" t="s">
        <v>137</v>
      </c>
      <c r="W1649" t="s">
        <v>92</v>
      </c>
      <c r="X1649" t="s">
        <v>38</v>
      </c>
      <c r="Y1649" t="s">
        <v>38</v>
      </c>
      <c r="Z1649" t="s">
        <v>42</v>
      </c>
      <c r="AA1649" t="s">
        <v>1153</v>
      </c>
      <c r="AB1649" t="s">
        <v>38</v>
      </c>
      <c r="AC1649" t="s">
        <v>45</v>
      </c>
      <c r="AD1649" t="s">
        <v>48</v>
      </c>
      <c r="AG1649" t="str">
        <f>IF(AD1649="United States", IFERROR(INDEX(Sheet2!$C:$C, MATCH(AE1649&amp;AF1649, Sheet2!$E:$E, 0)) &amp; ", " &amp; INDEX(Sheet2!$D:$D, MATCH(AE1649&amp;AF1649, Sheet2!$E:$E, 0)), ""), "-")</f>
        <v/>
      </c>
    </row>
    <row r="1650" spans="1:33" x14ac:dyDescent="0.25">
      <c r="A1650" t="s">
        <v>2966</v>
      </c>
      <c r="B1650" t="s">
        <v>3218</v>
      </c>
      <c r="C1650" t="s">
        <v>2968</v>
      </c>
      <c r="D1650" t="s">
        <v>3219</v>
      </c>
      <c r="E1650" t="s">
        <v>3180</v>
      </c>
      <c r="F1650">
        <v>1759</v>
      </c>
      <c r="G1650">
        <v>1762</v>
      </c>
      <c r="H1650" t="s">
        <v>38</v>
      </c>
      <c r="I1650" t="s">
        <v>80</v>
      </c>
      <c r="J1650" t="s">
        <v>2969</v>
      </c>
      <c r="K1650" t="s">
        <v>38</v>
      </c>
      <c r="L1650" t="s">
        <v>38</v>
      </c>
      <c r="M1650" t="s">
        <v>38</v>
      </c>
      <c r="N1650" t="s">
        <v>38</v>
      </c>
      <c r="O1650" t="s">
        <v>74</v>
      </c>
      <c r="P1650" t="s">
        <v>42</v>
      </c>
      <c r="Q1650" t="s">
        <v>43</v>
      </c>
      <c r="R1650" t="s">
        <v>1902</v>
      </c>
      <c r="S1650" t="s">
        <v>45</v>
      </c>
      <c r="T1650" t="s">
        <v>38</v>
      </c>
      <c r="U1650" t="s">
        <v>38</v>
      </c>
      <c r="V1650" t="s">
        <v>137</v>
      </c>
      <c r="W1650" t="s">
        <v>38</v>
      </c>
      <c r="X1650" t="s">
        <v>38</v>
      </c>
      <c r="Y1650" t="s">
        <v>38</v>
      </c>
      <c r="Z1650" t="s">
        <v>42</v>
      </c>
      <c r="AA1650" t="s">
        <v>1902</v>
      </c>
      <c r="AB1650" t="s">
        <v>38</v>
      </c>
      <c r="AC1650" t="s">
        <v>45</v>
      </c>
      <c r="AD1650" t="s">
        <v>48</v>
      </c>
      <c r="AG1650" t="str">
        <f>IF(AD1650="United States", IFERROR(INDEX(Sheet2!$C:$C, MATCH(AE1650&amp;AF1650, Sheet2!$E:$E, 0)) &amp; ", " &amp; INDEX(Sheet2!$D:$D, MATCH(AE1650&amp;AF1650, Sheet2!$E:$E, 0)), ""), "-")</f>
        <v/>
      </c>
    </row>
    <row r="1651" spans="1:33" x14ac:dyDescent="0.25">
      <c r="A1651" t="s">
        <v>2966</v>
      </c>
      <c r="B1651" t="s">
        <v>3220</v>
      </c>
      <c r="C1651" t="s">
        <v>2968</v>
      </c>
      <c r="D1651" t="s">
        <v>1845</v>
      </c>
      <c r="E1651" t="s">
        <v>1524</v>
      </c>
      <c r="F1651">
        <v>1761</v>
      </c>
      <c r="G1651">
        <v>1761</v>
      </c>
      <c r="H1651" t="s">
        <v>38</v>
      </c>
      <c r="I1651" t="s">
        <v>80</v>
      </c>
      <c r="J1651" t="s">
        <v>2969</v>
      </c>
      <c r="K1651" t="s">
        <v>38</v>
      </c>
      <c r="L1651" t="s">
        <v>38</v>
      </c>
      <c r="M1651" t="s">
        <v>38</v>
      </c>
      <c r="N1651" t="s">
        <v>38</v>
      </c>
      <c r="O1651" t="s">
        <v>74</v>
      </c>
      <c r="P1651" t="s">
        <v>42</v>
      </c>
      <c r="Q1651" t="s">
        <v>43</v>
      </c>
      <c r="R1651" t="s">
        <v>3221</v>
      </c>
      <c r="S1651" t="s">
        <v>201</v>
      </c>
      <c r="T1651" t="s">
        <v>38</v>
      </c>
      <c r="U1651" t="s">
        <v>38</v>
      </c>
      <c r="V1651" t="s">
        <v>137</v>
      </c>
      <c r="W1651" t="s">
        <v>38</v>
      </c>
      <c r="X1651" t="s">
        <v>38</v>
      </c>
      <c r="Y1651" t="s">
        <v>38</v>
      </c>
      <c r="Z1651" t="s">
        <v>42</v>
      </c>
      <c r="AA1651" t="s">
        <v>3221</v>
      </c>
      <c r="AB1651" t="s">
        <v>38</v>
      </c>
      <c r="AC1651" t="s">
        <v>201</v>
      </c>
      <c r="AD1651" t="s">
        <v>48</v>
      </c>
      <c r="AG1651" t="str">
        <f>IF(AD1651="United States", IFERROR(INDEX(Sheet2!$C:$C, MATCH(AE1651&amp;AF1651, Sheet2!$E:$E, 0)) &amp; ", " &amp; INDEX(Sheet2!$D:$D, MATCH(AE1651&amp;AF1651, Sheet2!$E:$E, 0)), ""), "-")</f>
        <v/>
      </c>
    </row>
    <row r="1652" spans="1:33" x14ac:dyDescent="0.25">
      <c r="A1652" t="s">
        <v>2966</v>
      </c>
      <c r="B1652" t="s">
        <v>3222</v>
      </c>
      <c r="C1652" t="s">
        <v>2968</v>
      </c>
      <c r="D1652" t="s">
        <v>132</v>
      </c>
      <c r="E1652" t="s">
        <v>1116</v>
      </c>
      <c r="F1652">
        <v>1766</v>
      </c>
      <c r="G1652">
        <v>1760</v>
      </c>
      <c r="H1652" t="s">
        <v>2975</v>
      </c>
      <c r="I1652" t="s">
        <v>80</v>
      </c>
      <c r="J1652" t="s">
        <v>2969</v>
      </c>
      <c r="K1652" t="s">
        <v>38</v>
      </c>
      <c r="L1652" t="s">
        <v>38</v>
      </c>
      <c r="M1652" t="s">
        <v>38</v>
      </c>
      <c r="N1652" t="s">
        <v>38</v>
      </c>
      <c r="O1652" t="s">
        <v>54</v>
      </c>
      <c r="P1652" t="s">
        <v>42</v>
      </c>
      <c r="Q1652" t="s">
        <v>43</v>
      </c>
      <c r="R1652" t="s">
        <v>2452</v>
      </c>
      <c r="S1652" t="s">
        <v>45</v>
      </c>
      <c r="T1652" t="s">
        <v>89</v>
      </c>
      <c r="U1652" t="s">
        <v>2453</v>
      </c>
      <c r="V1652" t="s">
        <v>137</v>
      </c>
      <c r="W1652" t="s">
        <v>92</v>
      </c>
      <c r="X1652" t="s">
        <v>38</v>
      </c>
      <c r="Y1652" t="s">
        <v>38</v>
      </c>
      <c r="Z1652" t="s">
        <v>42</v>
      </c>
      <c r="AA1652" t="s">
        <v>2166</v>
      </c>
      <c r="AB1652" t="s">
        <v>38</v>
      </c>
      <c r="AC1652" t="s">
        <v>45</v>
      </c>
      <c r="AD1652" t="s">
        <v>48</v>
      </c>
      <c r="AG1652" t="str">
        <f>IF(AD1652="United States", IFERROR(INDEX(Sheet2!$C:$C, MATCH(AE1652&amp;AF1652, Sheet2!$E:$E, 0)) &amp; ", " &amp; INDEX(Sheet2!$D:$D, MATCH(AE1652&amp;AF1652, Sheet2!$E:$E, 0)), ""), "-")</f>
        <v/>
      </c>
    </row>
    <row r="1653" spans="1:33" x14ac:dyDescent="0.25">
      <c r="A1653" t="s">
        <v>2966</v>
      </c>
      <c r="B1653" t="s">
        <v>3223</v>
      </c>
      <c r="C1653" t="s">
        <v>2968</v>
      </c>
      <c r="D1653" t="s">
        <v>204</v>
      </c>
      <c r="E1653" t="s">
        <v>3224</v>
      </c>
      <c r="F1653">
        <v>1751</v>
      </c>
      <c r="G1653">
        <v>1759</v>
      </c>
      <c r="H1653" t="s">
        <v>38</v>
      </c>
      <c r="I1653" t="s">
        <v>80</v>
      </c>
      <c r="J1653" t="s">
        <v>2969</v>
      </c>
      <c r="K1653" t="s">
        <v>38</v>
      </c>
      <c r="L1653" t="s">
        <v>38</v>
      </c>
      <c r="M1653" t="s">
        <v>38</v>
      </c>
      <c r="N1653" t="s">
        <v>38</v>
      </c>
      <c r="O1653" t="s">
        <v>41</v>
      </c>
      <c r="P1653" t="s">
        <v>42</v>
      </c>
      <c r="Q1653" t="s">
        <v>43</v>
      </c>
      <c r="R1653" t="s">
        <v>3225</v>
      </c>
      <c r="S1653" t="s">
        <v>153</v>
      </c>
      <c r="T1653" t="s">
        <v>38</v>
      </c>
      <c r="U1653" t="s">
        <v>38</v>
      </c>
      <c r="V1653" t="s">
        <v>137</v>
      </c>
      <c r="W1653" t="s">
        <v>38</v>
      </c>
      <c r="X1653" t="s">
        <v>38</v>
      </c>
      <c r="Y1653" t="s">
        <v>38</v>
      </c>
      <c r="Z1653" t="s">
        <v>42</v>
      </c>
      <c r="AA1653" t="s">
        <v>155</v>
      </c>
      <c r="AB1653" t="s">
        <v>38</v>
      </c>
      <c r="AC1653" t="s">
        <v>153</v>
      </c>
      <c r="AD1653" t="s">
        <v>48</v>
      </c>
      <c r="AG1653" t="str">
        <f>IF(AD1653="United States", IFERROR(INDEX(Sheet2!$C:$C, MATCH(AE1653&amp;AF1653, Sheet2!$E:$E, 0)) &amp; ", " &amp; INDEX(Sheet2!$D:$D, MATCH(AE1653&amp;AF1653, Sheet2!$E:$E, 0)), ""), "-")</f>
        <v/>
      </c>
    </row>
    <row r="1654" spans="1:33" x14ac:dyDescent="0.25">
      <c r="A1654" t="s">
        <v>2966</v>
      </c>
      <c r="B1654" t="s">
        <v>3226</v>
      </c>
      <c r="C1654" t="s">
        <v>2968</v>
      </c>
      <c r="D1654" t="s">
        <v>3227</v>
      </c>
      <c r="E1654" t="s">
        <v>3228</v>
      </c>
      <c r="F1654">
        <v>1756</v>
      </c>
      <c r="G1654">
        <v>1758</v>
      </c>
      <c r="H1654" t="s">
        <v>38</v>
      </c>
      <c r="I1654" t="s">
        <v>80</v>
      </c>
      <c r="J1654" t="s">
        <v>2969</v>
      </c>
      <c r="K1654" t="s">
        <v>38</v>
      </c>
      <c r="L1654" t="s">
        <v>38</v>
      </c>
      <c r="M1654" t="s">
        <v>38</v>
      </c>
      <c r="N1654" t="s">
        <v>38</v>
      </c>
      <c r="O1654" t="s">
        <v>41</v>
      </c>
      <c r="P1654" t="s">
        <v>42</v>
      </c>
      <c r="Q1654" t="s">
        <v>43</v>
      </c>
      <c r="R1654" t="s">
        <v>3229</v>
      </c>
      <c r="S1654" t="s">
        <v>45</v>
      </c>
      <c r="T1654" t="s">
        <v>38</v>
      </c>
      <c r="U1654" t="s">
        <v>38</v>
      </c>
      <c r="V1654" t="s">
        <v>137</v>
      </c>
      <c r="W1654" t="s">
        <v>38</v>
      </c>
      <c r="X1654" t="s">
        <v>38</v>
      </c>
      <c r="Y1654" t="s">
        <v>38</v>
      </c>
      <c r="Z1654" t="s">
        <v>42</v>
      </c>
      <c r="AA1654" t="s">
        <v>3229</v>
      </c>
      <c r="AB1654" t="s">
        <v>38</v>
      </c>
      <c r="AC1654" t="s">
        <v>45</v>
      </c>
      <c r="AD1654" t="s">
        <v>48</v>
      </c>
      <c r="AG1654" t="str">
        <f>IF(AD1654="United States", IFERROR(INDEX(Sheet2!$C:$C, MATCH(AE1654&amp;AF1654, Sheet2!$E:$E, 0)) &amp; ", " &amp; INDEX(Sheet2!$D:$D, MATCH(AE1654&amp;AF1654, Sheet2!$E:$E, 0)), ""), "-")</f>
        <v/>
      </c>
    </row>
    <row r="1655" spans="1:33" x14ac:dyDescent="0.25">
      <c r="A1655" t="s">
        <v>2966</v>
      </c>
      <c r="B1655" t="s">
        <v>3230</v>
      </c>
      <c r="C1655" t="s">
        <v>2968</v>
      </c>
      <c r="D1655" t="s">
        <v>193</v>
      </c>
      <c r="E1655" t="s">
        <v>3087</v>
      </c>
      <c r="F1655">
        <v>1773</v>
      </c>
      <c r="G1655">
        <v>1757</v>
      </c>
      <c r="H1655" t="s">
        <v>38</v>
      </c>
      <c r="I1655" t="s">
        <v>80</v>
      </c>
      <c r="J1655" t="s">
        <v>2969</v>
      </c>
      <c r="K1655" t="s">
        <v>38</v>
      </c>
      <c r="L1655" t="s">
        <v>38</v>
      </c>
      <c r="M1655" t="s">
        <v>38</v>
      </c>
      <c r="N1655" t="s">
        <v>38</v>
      </c>
      <c r="O1655" t="s">
        <v>54</v>
      </c>
      <c r="P1655" t="s">
        <v>42</v>
      </c>
      <c r="Q1655" t="s">
        <v>43</v>
      </c>
      <c r="R1655" t="s">
        <v>143</v>
      </c>
      <c r="S1655" t="s">
        <v>45</v>
      </c>
      <c r="T1655" t="s">
        <v>38</v>
      </c>
      <c r="U1655" t="s">
        <v>38</v>
      </c>
      <c r="V1655" t="s">
        <v>137</v>
      </c>
      <c r="W1655" t="s">
        <v>38</v>
      </c>
      <c r="X1655" t="s">
        <v>38</v>
      </c>
      <c r="Y1655" t="s">
        <v>38</v>
      </c>
      <c r="Z1655" t="s">
        <v>42</v>
      </c>
      <c r="AA1655" t="s">
        <v>143</v>
      </c>
      <c r="AB1655" t="s">
        <v>38</v>
      </c>
      <c r="AC1655" t="s">
        <v>45</v>
      </c>
      <c r="AD1655" t="s">
        <v>48</v>
      </c>
      <c r="AG1655" t="str">
        <f>IF(AD1655="United States", IFERROR(INDEX(Sheet2!$C:$C, MATCH(AE1655&amp;AF1655, Sheet2!$E:$E, 0)) &amp; ", " &amp; INDEX(Sheet2!$D:$D, MATCH(AE1655&amp;AF1655, Sheet2!$E:$E, 0)), ""), "-")</f>
        <v/>
      </c>
    </row>
    <row r="1656" spans="1:33" x14ac:dyDescent="0.25">
      <c r="A1656" t="s">
        <v>2966</v>
      </c>
      <c r="B1656" t="s">
        <v>3231</v>
      </c>
      <c r="C1656" t="s">
        <v>2968</v>
      </c>
      <c r="D1656" t="s">
        <v>245</v>
      </c>
      <c r="E1656" t="s">
        <v>3087</v>
      </c>
      <c r="F1656">
        <v>1751</v>
      </c>
      <c r="G1656">
        <v>1756</v>
      </c>
      <c r="H1656" t="s">
        <v>38</v>
      </c>
      <c r="I1656" t="s">
        <v>80</v>
      </c>
      <c r="J1656" t="s">
        <v>2969</v>
      </c>
      <c r="K1656" t="s">
        <v>38</v>
      </c>
      <c r="L1656" t="s">
        <v>38</v>
      </c>
      <c r="M1656" t="s">
        <v>38</v>
      </c>
      <c r="N1656" t="s">
        <v>38</v>
      </c>
      <c r="O1656" t="s">
        <v>74</v>
      </c>
      <c r="P1656" t="s">
        <v>42</v>
      </c>
      <c r="Q1656" t="s">
        <v>43</v>
      </c>
      <c r="R1656" t="s">
        <v>143</v>
      </c>
      <c r="S1656" t="s">
        <v>45</v>
      </c>
      <c r="T1656" t="s">
        <v>38</v>
      </c>
      <c r="U1656" t="s">
        <v>38</v>
      </c>
      <c r="V1656" t="s">
        <v>137</v>
      </c>
      <c r="W1656" t="s">
        <v>38</v>
      </c>
      <c r="X1656" t="s">
        <v>38</v>
      </c>
      <c r="Y1656" t="s">
        <v>38</v>
      </c>
      <c r="Z1656" t="s">
        <v>42</v>
      </c>
      <c r="AA1656" t="s">
        <v>143</v>
      </c>
      <c r="AB1656" t="s">
        <v>38</v>
      </c>
      <c r="AC1656" t="s">
        <v>45</v>
      </c>
      <c r="AD1656" t="s">
        <v>48</v>
      </c>
      <c r="AG1656" t="str">
        <f>IF(AD1656="United States", IFERROR(INDEX(Sheet2!$C:$C, MATCH(AE1656&amp;AF1656, Sheet2!$E:$E, 0)) &amp; ", " &amp; INDEX(Sheet2!$D:$D, MATCH(AE1656&amp;AF1656, Sheet2!$E:$E, 0)), ""), "-")</f>
        <v/>
      </c>
    </row>
    <row r="1657" spans="1:33" x14ac:dyDescent="0.25">
      <c r="A1657" t="s">
        <v>2966</v>
      </c>
      <c r="B1657" t="s">
        <v>3232</v>
      </c>
      <c r="C1657" t="s">
        <v>2968</v>
      </c>
      <c r="D1657" t="s">
        <v>3233</v>
      </c>
      <c r="E1657" t="s">
        <v>1130</v>
      </c>
      <c r="F1657">
        <v>1747</v>
      </c>
      <c r="G1657">
        <v>1754</v>
      </c>
      <c r="H1657" t="s">
        <v>38</v>
      </c>
      <c r="I1657" t="s">
        <v>80</v>
      </c>
      <c r="J1657" t="s">
        <v>2969</v>
      </c>
      <c r="K1657" t="s">
        <v>38</v>
      </c>
      <c r="L1657" t="s">
        <v>38</v>
      </c>
      <c r="M1657" t="s">
        <v>38</v>
      </c>
      <c r="N1657" t="s">
        <v>38</v>
      </c>
      <c r="O1657" t="s">
        <v>41</v>
      </c>
      <c r="P1657" t="s">
        <v>42</v>
      </c>
      <c r="Q1657" t="s">
        <v>43</v>
      </c>
      <c r="R1657" t="s">
        <v>241</v>
      </c>
      <c r="S1657" t="s">
        <v>45</v>
      </c>
      <c r="T1657" t="s">
        <v>38</v>
      </c>
      <c r="U1657" t="s">
        <v>38</v>
      </c>
      <c r="V1657" t="s">
        <v>137</v>
      </c>
      <c r="W1657" t="s">
        <v>38</v>
      </c>
      <c r="X1657" t="s">
        <v>38</v>
      </c>
      <c r="Y1657" t="s">
        <v>38</v>
      </c>
      <c r="Z1657" t="s">
        <v>42</v>
      </c>
      <c r="AA1657" t="s">
        <v>1130</v>
      </c>
      <c r="AB1657" t="s">
        <v>241</v>
      </c>
      <c r="AC1657" t="s">
        <v>45</v>
      </c>
      <c r="AD1657" t="s">
        <v>48</v>
      </c>
      <c r="AG1657" t="str">
        <f>IF(AD1657="United States", IFERROR(INDEX(Sheet2!$C:$C, MATCH(AE1657&amp;AF1657, Sheet2!$E:$E, 0)) &amp; ", " &amp; INDEX(Sheet2!$D:$D, MATCH(AE1657&amp;AF1657, Sheet2!$E:$E, 0)), ""), "-")</f>
        <v/>
      </c>
    </row>
    <row r="1658" spans="1:33" x14ac:dyDescent="0.25">
      <c r="A1658" t="s">
        <v>2966</v>
      </c>
      <c r="B1658" t="s">
        <v>3234</v>
      </c>
      <c r="C1658" t="s">
        <v>2968</v>
      </c>
      <c r="D1658" t="s">
        <v>3235</v>
      </c>
      <c r="E1658" t="s">
        <v>1084</v>
      </c>
      <c r="F1658">
        <v>1753</v>
      </c>
      <c r="G1658">
        <v>1659</v>
      </c>
      <c r="H1658" t="s">
        <v>38</v>
      </c>
      <c r="I1658" t="s">
        <v>80</v>
      </c>
      <c r="J1658" t="s">
        <v>2969</v>
      </c>
      <c r="K1658" t="s">
        <v>38</v>
      </c>
      <c r="L1658" t="s">
        <v>38</v>
      </c>
      <c r="M1658" t="s">
        <v>38</v>
      </c>
      <c r="N1658" t="s">
        <v>38</v>
      </c>
      <c r="O1658" t="s">
        <v>74</v>
      </c>
      <c r="P1658" t="s">
        <v>42</v>
      </c>
      <c r="Q1658" t="s">
        <v>43</v>
      </c>
      <c r="R1658" t="s">
        <v>38</v>
      </c>
      <c r="S1658" t="s">
        <v>38</v>
      </c>
      <c r="T1658" t="s">
        <v>38</v>
      </c>
      <c r="U1658" t="s">
        <v>38</v>
      </c>
      <c r="V1658" t="s">
        <v>137</v>
      </c>
      <c r="W1658" t="s">
        <v>38</v>
      </c>
      <c r="X1658" t="s">
        <v>38</v>
      </c>
      <c r="Y1658" t="s">
        <v>38</v>
      </c>
      <c r="Z1658" t="s">
        <v>42</v>
      </c>
      <c r="AA1658" t="s">
        <v>38</v>
      </c>
      <c r="AB1658" t="s">
        <v>38</v>
      </c>
      <c r="AC1658" t="s">
        <v>593</v>
      </c>
      <c r="AD1658" t="s">
        <v>48</v>
      </c>
      <c r="AG1658" t="str">
        <f>IF(AD1658="United States", IFERROR(INDEX(Sheet2!$C:$C, MATCH(AE1658&amp;AF1658, Sheet2!$E:$E, 0)) &amp; ", " &amp; INDEX(Sheet2!$D:$D, MATCH(AE1658&amp;AF1658, Sheet2!$E:$E, 0)), ""), "-")</f>
        <v/>
      </c>
    </row>
    <row r="1659" spans="1:33" x14ac:dyDescent="0.25">
      <c r="A1659" t="s">
        <v>2966</v>
      </c>
      <c r="D1659" t="s">
        <v>3236</v>
      </c>
      <c r="E1659" t="s">
        <v>3237</v>
      </c>
      <c r="F1659">
        <v>1753</v>
      </c>
      <c r="G1659">
        <v>2930</v>
      </c>
      <c r="H1659">
        <v>87</v>
      </c>
      <c r="J1659" t="s">
        <v>3109</v>
      </c>
      <c r="O1659" t="s">
        <v>41</v>
      </c>
      <c r="R1659" t="s">
        <v>2452</v>
      </c>
      <c r="T1659" t="s">
        <v>89</v>
      </c>
      <c r="U1659" t="s">
        <v>2453</v>
      </c>
      <c r="V1659" t="s">
        <v>1619</v>
      </c>
      <c r="W1659" t="s">
        <v>92</v>
      </c>
      <c r="Y1659" t="s">
        <v>38</v>
      </c>
      <c r="AA1659" t="s">
        <v>38</v>
      </c>
      <c r="AB1659" t="s">
        <v>38</v>
      </c>
      <c r="AC1659" t="s">
        <v>38</v>
      </c>
      <c r="AD1659" t="s">
        <v>48</v>
      </c>
      <c r="AG1659" t="str">
        <f>IF(AD1659="United States", IFERROR(INDEX(Sheet2!$C:$C, MATCH(AE1659&amp;AF1659, Sheet2!$E:$E, 0)) &amp; ", " &amp; INDEX(Sheet2!$D:$D, MATCH(AE1659&amp;AF1659, Sheet2!$E:$E, 0)), ""), "-")</f>
        <v/>
      </c>
    </row>
    <row r="1660" spans="1:33" x14ac:dyDescent="0.25">
      <c r="A1660" t="s">
        <v>2966</v>
      </c>
      <c r="B1660" t="s">
        <v>3238</v>
      </c>
      <c r="C1660" t="s">
        <v>2968</v>
      </c>
      <c r="D1660" t="s">
        <v>132</v>
      </c>
      <c r="E1660" t="s">
        <v>3239</v>
      </c>
      <c r="F1660">
        <v>1735</v>
      </c>
      <c r="G1660">
        <v>1657</v>
      </c>
      <c r="H1660" t="s">
        <v>2975</v>
      </c>
      <c r="I1660" t="s">
        <v>80</v>
      </c>
      <c r="J1660" t="s">
        <v>2969</v>
      </c>
      <c r="K1660" t="s">
        <v>38</v>
      </c>
      <c r="L1660" t="s">
        <v>38</v>
      </c>
      <c r="M1660" t="s">
        <v>38</v>
      </c>
      <c r="N1660" t="s">
        <v>38</v>
      </c>
      <c r="O1660" t="s">
        <v>41</v>
      </c>
      <c r="P1660" t="s">
        <v>42</v>
      </c>
      <c r="Q1660" t="s">
        <v>43</v>
      </c>
      <c r="R1660" t="s">
        <v>2452</v>
      </c>
      <c r="S1660" t="s">
        <v>153</v>
      </c>
      <c r="T1660" t="s">
        <v>89</v>
      </c>
      <c r="U1660" t="s">
        <v>2453</v>
      </c>
      <c r="V1660" t="s">
        <v>137</v>
      </c>
      <c r="W1660" t="s">
        <v>92</v>
      </c>
      <c r="X1660" t="s">
        <v>38</v>
      </c>
      <c r="Y1660" t="s">
        <v>38</v>
      </c>
      <c r="Z1660" t="s">
        <v>42</v>
      </c>
      <c r="AA1660" t="s">
        <v>155</v>
      </c>
      <c r="AB1660" t="s">
        <v>38</v>
      </c>
      <c r="AC1660" t="s">
        <v>153</v>
      </c>
      <c r="AD1660" t="s">
        <v>48</v>
      </c>
      <c r="AG1660" t="str">
        <f>IF(AD1660="United States", IFERROR(INDEX(Sheet2!$C:$C, MATCH(AE1660&amp;AF1660, Sheet2!$E:$E, 0)) &amp; ", " &amp; INDEX(Sheet2!$D:$D, MATCH(AE1660&amp;AF1660, Sheet2!$E:$E, 0)), ""), "-")</f>
        <v/>
      </c>
    </row>
    <row r="1661" spans="1:33" x14ac:dyDescent="0.25">
      <c r="A1661" t="s">
        <v>2966</v>
      </c>
      <c r="B1661" t="s">
        <v>3240</v>
      </c>
      <c r="C1661" t="s">
        <v>3125</v>
      </c>
      <c r="D1661" t="s">
        <v>140</v>
      </c>
      <c r="E1661" t="s">
        <v>3241</v>
      </c>
      <c r="F1661">
        <v>1765</v>
      </c>
      <c r="G1661">
        <v>1225</v>
      </c>
      <c r="H1661" t="s">
        <v>2975</v>
      </c>
      <c r="I1661" t="s">
        <v>80</v>
      </c>
      <c r="J1661" t="s">
        <v>3126</v>
      </c>
      <c r="K1661" t="s">
        <v>38</v>
      </c>
      <c r="L1661" t="s">
        <v>38</v>
      </c>
      <c r="M1661" t="s">
        <v>38</v>
      </c>
      <c r="N1661" t="s">
        <v>38</v>
      </c>
      <c r="O1661" t="s">
        <v>54</v>
      </c>
      <c r="P1661" t="s">
        <v>42</v>
      </c>
      <c r="Q1661" t="s">
        <v>43</v>
      </c>
      <c r="R1661" t="s">
        <v>2452</v>
      </c>
      <c r="S1661" t="s">
        <v>38</v>
      </c>
      <c r="T1661" t="s">
        <v>89</v>
      </c>
      <c r="U1661" t="s">
        <v>2453</v>
      </c>
      <c r="V1661" t="s">
        <v>137</v>
      </c>
      <c r="W1661" t="s">
        <v>92</v>
      </c>
      <c r="X1661" t="s">
        <v>38</v>
      </c>
      <c r="Y1661" t="s">
        <v>38</v>
      </c>
      <c r="Z1661" t="s">
        <v>42</v>
      </c>
      <c r="AA1661" t="s">
        <v>38</v>
      </c>
      <c r="AB1661" t="s">
        <v>38</v>
      </c>
      <c r="AC1661" t="s">
        <v>38</v>
      </c>
      <c r="AD1661" t="s">
        <v>48</v>
      </c>
      <c r="AG1661" t="str">
        <f>IF(AD1661="United States", IFERROR(INDEX(Sheet2!$C:$C, MATCH(AE1661&amp;AF1661, Sheet2!$E:$E, 0)) &amp; ", " &amp; INDEX(Sheet2!$D:$D, MATCH(AE1661&amp;AF1661, Sheet2!$E:$E, 0)), ""), "-")</f>
        <v/>
      </c>
    </row>
    <row r="1662" spans="1:33" x14ac:dyDescent="0.25">
      <c r="A1662" t="s">
        <v>2966</v>
      </c>
      <c r="B1662" t="s">
        <v>3242</v>
      </c>
      <c r="C1662" t="s">
        <v>3125</v>
      </c>
      <c r="D1662" t="s">
        <v>1230</v>
      </c>
      <c r="E1662" t="s">
        <v>3241</v>
      </c>
      <c r="F1662">
        <v>1777</v>
      </c>
      <c r="G1662">
        <v>1226</v>
      </c>
      <c r="H1662" t="s">
        <v>2977</v>
      </c>
      <c r="I1662" t="s">
        <v>80</v>
      </c>
      <c r="J1662" t="s">
        <v>3126</v>
      </c>
      <c r="K1662" t="s">
        <v>38</v>
      </c>
      <c r="L1662" t="s">
        <v>38</v>
      </c>
      <c r="M1662" t="s">
        <v>38</v>
      </c>
      <c r="N1662" t="s">
        <v>38</v>
      </c>
      <c r="O1662" t="s">
        <v>74</v>
      </c>
      <c r="P1662" t="s">
        <v>42</v>
      </c>
      <c r="Q1662" t="s">
        <v>43</v>
      </c>
      <c r="R1662" t="s">
        <v>2452</v>
      </c>
      <c r="S1662" t="s">
        <v>45</v>
      </c>
      <c r="T1662" t="s">
        <v>89</v>
      </c>
      <c r="U1662" t="s">
        <v>2453</v>
      </c>
      <c r="V1662" t="s">
        <v>137</v>
      </c>
      <c r="W1662" t="s">
        <v>92</v>
      </c>
      <c r="X1662" t="s">
        <v>38</v>
      </c>
      <c r="Y1662" t="s">
        <v>38</v>
      </c>
      <c r="Z1662" t="s">
        <v>42</v>
      </c>
      <c r="AA1662" t="s">
        <v>1135</v>
      </c>
      <c r="AB1662" t="s">
        <v>38</v>
      </c>
      <c r="AC1662" t="s">
        <v>45</v>
      </c>
      <c r="AD1662" t="s">
        <v>48</v>
      </c>
      <c r="AG1662" t="str">
        <f>IF(AD1662="United States", IFERROR(INDEX(Sheet2!$C:$C, MATCH(AE1662&amp;AF1662, Sheet2!$E:$E, 0)) &amp; ", " &amp; INDEX(Sheet2!$D:$D, MATCH(AE1662&amp;AF1662, Sheet2!$E:$E, 0)), ""), "-")</f>
        <v/>
      </c>
    </row>
    <row r="1663" spans="1:33" x14ac:dyDescent="0.25">
      <c r="A1663" t="s">
        <v>2966</v>
      </c>
      <c r="B1663" t="s">
        <v>3243</v>
      </c>
      <c r="C1663" t="s">
        <v>3125</v>
      </c>
      <c r="D1663" t="s">
        <v>50</v>
      </c>
      <c r="E1663" t="s">
        <v>1496</v>
      </c>
      <c r="F1663">
        <v>1747</v>
      </c>
      <c r="G1663">
        <v>1227</v>
      </c>
      <c r="H1663" t="s">
        <v>38</v>
      </c>
      <c r="I1663" t="s">
        <v>80</v>
      </c>
      <c r="J1663" t="s">
        <v>3126</v>
      </c>
      <c r="K1663" t="s">
        <v>38</v>
      </c>
      <c r="L1663" t="s">
        <v>38</v>
      </c>
      <c r="M1663" t="s">
        <v>38</v>
      </c>
      <c r="N1663" t="s">
        <v>38</v>
      </c>
      <c r="O1663" t="s">
        <v>57</v>
      </c>
      <c r="P1663" t="s">
        <v>42</v>
      </c>
      <c r="Q1663" t="s">
        <v>43</v>
      </c>
      <c r="R1663" t="s">
        <v>3244</v>
      </c>
      <c r="S1663" t="s">
        <v>45</v>
      </c>
      <c r="T1663" t="s">
        <v>38</v>
      </c>
      <c r="U1663" t="s">
        <v>38</v>
      </c>
      <c r="V1663" t="s">
        <v>137</v>
      </c>
      <c r="W1663" t="s">
        <v>38</v>
      </c>
      <c r="X1663" t="s">
        <v>38</v>
      </c>
      <c r="Y1663" t="s">
        <v>38</v>
      </c>
      <c r="Z1663" t="s">
        <v>42</v>
      </c>
      <c r="AA1663" t="s">
        <v>1135</v>
      </c>
      <c r="AB1663" t="s">
        <v>38</v>
      </c>
      <c r="AC1663" t="s">
        <v>45</v>
      </c>
      <c r="AD1663" t="s">
        <v>48</v>
      </c>
      <c r="AG1663" t="str">
        <f>IF(AD1663="United States", IFERROR(INDEX(Sheet2!$C:$C, MATCH(AE1663&amp;AF1663, Sheet2!$E:$E, 0)) &amp; ", " &amp; INDEX(Sheet2!$D:$D, MATCH(AE1663&amp;AF1663, Sheet2!$E:$E, 0)), ""), "-")</f>
        <v/>
      </c>
    </row>
    <row r="1664" spans="1:33" x14ac:dyDescent="0.25">
      <c r="A1664" t="s">
        <v>2966</v>
      </c>
      <c r="B1664" t="s">
        <v>3245</v>
      </c>
      <c r="C1664" t="s">
        <v>3125</v>
      </c>
      <c r="D1664" t="s">
        <v>210</v>
      </c>
      <c r="E1664" t="s">
        <v>1496</v>
      </c>
      <c r="F1664">
        <v>1770</v>
      </c>
      <c r="G1664">
        <v>1228</v>
      </c>
      <c r="H1664" t="s">
        <v>2977</v>
      </c>
      <c r="I1664" t="s">
        <v>80</v>
      </c>
      <c r="J1664" t="s">
        <v>3126</v>
      </c>
      <c r="K1664" t="s">
        <v>38</v>
      </c>
      <c r="L1664" t="s">
        <v>38</v>
      </c>
      <c r="M1664" t="s">
        <v>38</v>
      </c>
      <c r="N1664" t="s">
        <v>38</v>
      </c>
      <c r="O1664" t="s">
        <v>54</v>
      </c>
      <c r="P1664" t="s">
        <v>42</v>
      </c>
      <c r="Q1664" t="s">
        <v>43</v>
      </c>
      <c r="R1664" t="s">
        <v>2452</v>
      </c>
      <c r="S1664" t="s">
        <v>45</v>
      </c>
      <c r="T1664" t="s">
        <v>89</v>
      </c>
      <c r="U1664" t="s">
        <v>2453</v>
      </c>
      <c r="V1664" t="s">
        <v>137</v>
      </c>
      <c r="W1664" t="s">
        <v>92</v>
      </c>
      <c r="X1664" t="s">
        <v>38</v>
      </c>
      <c r="Y1664" t="s">
        <v>38</v>
      </c>
      <c r="Z1664" t="s">
        <v>42</v>
      </c>
      <c r="AA1664" t="s">
        <v>1135</v>
      </c>
      <c r="AB1664" t="s">
        <v>38</v>
      </c>
      <c r="AC1664" t="s">
        <v>45</v>
      </c>
      <c r="AD1664" t="s">
        <v>48</v>
      </c>
      <c r="AG1664" t="str">
        <f>IF(AD1664="United States", IFERROR(INDEX(Sheet2!$C:$C, MATCH(AE1664&amp;AF1664, Sheet2!$E:$E, 0)) &amp; ", " &amp; INDEX(Sheet2!$D:$D, MATCH(AE1664&amp;AF1664, Sheet2!$E:$E, 0)), ""), "-")</f>
        <v/>
      </c>
    </row>
    <row r="1665" spans="1:33" x14ac:dyDescent="0.25">
      <c r="A1665" t="s">
        <v>2966</v>
      </c>
      <c r="B1665" t="s">
        <v>3246</v>
      </c>
      <c r="C1665" t="s">
        <v>3125</v>
      </c>
      <c r="D1665" t="s">
        <v>230</v>
      </c>
      <c r="E1665" t="s">
        <v>1496</v>
      </c>
      <c r="F1665">
        <v>1773</v>
      </c>
      <c r="G1665">
        <v>1229</v>
      </c>
      <c r="H1665" t="s">
        <v>2975</v>
      </c>
      <c r="I1665" t="s">
        <v>80</v>
      </c>
      <c r="J1665" t="s">
        <v>3126</v>
      </c>
      <c r="K1665" t="s">
        <v>38</v>
      </c>
      <c r="L1665" t="s">
        <v>38</v>
      </c>
      <c r="M1665" t="s">
        <v>38</v>
      </c>
      <c r="N1665" t="s">
        <v>38</v>
      </c>
      <c r="O1665" t="s">
        <v>54</v>
      </c>
      <c r="P1665" t="s">
        <v>42</v>
      </c>
      <c r="Q1665" t="s">
        <v>43</v>
      </c>
      <c r="R1665" t="s">
        <v>2452</v>
      </c>
      <c r="S1665" t="s">
        <v>45</v>
      </c>
      <c r="T1665" t="s">
        <v>89</v>
      </c>
      <c r="U1665" t="s">
        <v>2453</v>
      </c>
      <c r="V1665" t="s">
        <v>137</v>
      </c>
      <c r="W1665" t="s">
        <v>92</v>
      </c>
      <c r="X1665" t="s">
        <v>38</v>
      </c>
      <c r="Y1665" t="s">
        <v>38</v>
      </c>
      <c r="Z1665" t="s">
        <v>42</v>
      </c>
      <c r="AA1665" t="s">
        <v>1135</v>
      </c>
      <c r="AB1665" t="s">
        <v>38</v>
      </c>
      <c r="AC1665" t="s">
        <v>45</v>
      </c>
      <c r="AD1665" t="s">
        <v>48</v>
      </c>
      <c r="AG1665" t="str">
        <f>IF(AD1665="United States", IFERROR(INDEX(Sheet2!$C:$C, MATCH(AE1665&amp;AF1665, Sheet2!$E:$E, 0)) &amp; ", " &amp; INDEX(Sheet2!$D:$D, MATCH(AE1665&amp;AF1665, Sheet2!$E:$E, 0)), ""), "-")</f>
        <v/>
      </c>
    </row>
    <row r="1666" spans="1:33" x14ac:dyDescent="0.25">
      <c r="A1666" t="s">
        <v>2966</v>
      </c>
      <c r="B1666" t="s">
        <v>3247</v>
      </c>
      <c r="C1666" t="s">
        <v>3125</v>
      </c>
      <c r="D1666" t="s">
        <v>1003</v>
      </c>
      <c r="E1666" t="s">
        <v>1496</v>
      </c>
      <c r="F1666">
        <v>1768</v>
      </c>
      <c r="G1666">
        <v>1230</v>
      </c>
      <c r="H1666" t="s">
        <v>2975</v>
      </c>
      <c r="I1666" t="s">
        <v>80</v>
      </c>
      <c r="J1666" t="s">
        <v>3126</v>
      </c>
      <c r="K1666" t="s">
        <v>38</v>
      </c>
      <c r="L1666" t="s">
        <v>38</v>
      </c>
      <c r="M1666" t="s">
        <v>38</v>
      </c>
      <c r="N1666" t="s">
        <v>38</v>
      </c>
      <c r="O1666" t="s">
        <v>74</v>
      </c>
      <c r="P1666" t="s">
        <v>42</v>
      </c>
      <c r="Q1666" t="s">
        <v>43</v>
      </c>
      <c r="R1666" t="s">
        <v>2452</v>
      </c>
      <c r="S1666" t="s">
        <v>45</v>
      </c>
      <c r="T1666" t="s">
        <v>89</v>
      </c>
      <c r="U1666" t="s">
        <v>2453</v>
      </c>
      <c r="V1666" t="s">
        <v>137</v>
      </c>
      <c r="W1666" t="s">
        <v>92</v>
      </c>
      <c r="X1666" t="s">
        <v>38</v>
      </c>
      <c r="Y1666" t="s">
        <v>38</v>
      </c>
      <c r="Z1666" t="s">
        <v>42</v>
      </c>
      <c r="AA1666" t="s">
        <v>1135</v>
      </c>
      <c r="AB1666" t="s">
        <v>38</v>
      </c>
      <c r="AC1666" t="s">
        <v>45</v>
      </c>
      <c r="AD1666" t="s">
        <v>48</v>
      </c>
      <c r="AG1666" t="str">
        <f>IF(AD1666="United States", IFERROR(INDEX(Sheet2!$C:$C, MATCH(AE1666&amp;AF1666, Sheet2!$E:$E, 0)) &amp; ", " &amp; INDEX(Sheet2!$D:$D, MATCH(AE1666&amp;AF1666, Sheet2!$E:$E, 0)), ""), "-")</f>
        <v/>
      </c>
    </row>
    <row r="1667" spans="1:33" x14ac:dyDescent="0.25">
      <c r="A1667" t="s">
        <v>2966</v>
      </c>
      <c r="B1667" t="s">
        <v>3248</v>
      </c>
      <c r="C1667" t="s">
        <v>3125</v>
      </c>
      <c r="D1667" t="s">
        <v>190</v>
      </c>
      <c r="E1667" t="s">
        <v>1141</v>
      </c>
      <c r="F1667">
        <v>1733</v>
      </c>
      <c r="G1667">
        <v>1231</v>
      </c>
      <c r="H1667" t="s">
        <v>2975</v>
      </c>
      <c r="I1667" t="s">
        <v>80</v>
      </c>
      <c r="J1667" t="s">
        <v>3126</v>
      </c>
      <c r="K1667" t="s">
        <v>38</v>
      </c>
      <c r="L1667" t="s">
        <v>38</v>
      </c>
      <c r="M1667" t="s">
        <v>38</v>
      </c>
      <c r="N1667" t="s">
        <v>38</v>
      </c>
      <c r="O1667" t="s">
        <v>57</v>
      </c>
      <c r="P1667" t="s">
        <v>42</v>
      </c>
      <c r="Q1667" t="s">
        <v>43</v>
      </c>
      <c r="R1667" t="s">
        <v>2452</v>
      </c>
      <c r="S1667" t="s">
        <v>45</v>
      </c>
      <c r="T1667" t="s">
        <v>89</v>
      </c>
      <c r="U1667" t="s">
        <v>2453</v>
      </c>
      <c r="V1667" t="s">
        <v>137</v>
      </c>
      <c r="W1667" t="s">
        <v>92</v>
      </c>
      <c r="X1667" t="s">
        <v>38</v>
      </c>
      <c r="Y1667" t="s">
        <v>38</v>
      </c>
      <c r="Z1667" t="s">
        <v>42</v>
      </c>
      <c r="AA1667" t="s">
        <v>1135</v>
      </c>
      <c r="AB1667" t="s">
        <v>38</v>
      </c>
      <c r="AC1667" t="s">
        <v>45</v>
      </c>
      <c r="AD1667" t="s">
        <v>48</v>
      </c>
      <c r="AG1667" t="str">
        <f>IF(AD1667="United States", IFERROR(INDEX(Sheet2!$C:$C, MATCH(AE1667&amp;AF1667, Sheet2!$E:$E, 0)) &amp; ", " &amp; INDEX(Sheet2!$D:$D, MATCH(AE1667&amp;AF1667, Sheet2!$E:$E, 0)), ""), "-")</f>
        <v/>
      </c>
    </row>
    <row r="1668" spans="1:33" x14ac:dyDescent="0.25">
      <c r="A1668" t="s">
        <v>2966</v>
      </c>
      <c r="B1668" t="s">
        <v>3249</v>
      </c>
      <c r="C1668" t="s">
        <v>3125</v>
      </c>
      <c r="D1668" t="s">
        <v>52</v>
      </c>
      <c r="E1668" t="s">
        <v>1318</v>
      </c>
      <c r="F1668">
        <v>1760</v>
      </c>
      <c r="G1668">
        <v>1232</v>
      </c>
      <c r="H1668" t="s">
        <v>2977</v>
      </c>
      <c r="I1668" t="s">
        <v>80</v>
      </c>
      <c r="J1668" t="s">
        <v>3126</v>
      </c>
      <c r="K1668" t="s">
        <v>38</v>
      </c>
      <c r="L1668" t="s">
        <v>38</v>
      </c>
      <c r="M1668" t="s">
        <v>38</v>
      </c>
      <c r="N1668" t="s">
        <v>38</v>
      </c>
      <c r="O1668" t="s">
        <v>57</v>
      </c>
      <c r="P1668" t="s">
        <v>125</v>
      </c>
      <c r="Q1668" t="s">
        <v>124</v>
      </c>
      <c r="R1668" t="s">
        <v>2452</v>
      </c>
      <c r="S1668" t="s">
        <v>38</v>
      </c>
      <c r="T1668" t="s">
        <v>89</v>
      </c>
      <c r="U1668" t="s">
        <v>2453</v>
      </c>
      <c r="V1668" t="s">
        <v>137</v>
      </c>
      <c r="W1668" t="s">
        <v>92</v>
      </c>
      <c r="X1668" t="s">
        <v>38</v>
      </c>
      <c r="Y1668" t="s">
        <v>38</v>
      </c>
      <c r="Z1668" t="s">
        <v>125</v>
      </c>
      <c r="AA1668" t="s">
        <v>3250</v>
      </c>
      <c r="AB1668" t="s">
        <v>38</v>
      </c>
      <c r="AC1668" t="s">
        <v>2580</v>
      </c>
      <c r="AD1668" t="s">
        <v>48</v>
      </c>
      <c r="AG1668" t="str">
        <f>IF(AD1668="United States", IFERROR(INDEX(Sheet2!$C:$C, MATCH(AE1668&amp;AF1668, Sheet2!$E:$E, 0)) &amp; ", " &amp; INDEX(Sheet2!$D:$D, MATCH(AE1668&amp;AF1668, Sheet2!$E:$E, 0)), ""), "-")</f>
        <v/>
      </c>
    </row>
    <row r="1669" spans="1:33" x14ac:dyDescent="0.25">
      <c r="A1669" t="s">
        <v>2966</v>
      </c>
      <c r="B1669" t="s">
        <v>3251</v>
      </c>
      <c r="C1669" t="s">
        <v>3125</v>
      </c>
      <c r="D1669" t="s">
        <v>1230</v>
      </c>
      <c r="E1669" t="s">
        <v>913</v>
      </c>
      <c r="F1669">
        <v>1723</v>
      </c>
      <c r="G1669">
        <v>1233</v>
      </c>
      <c r="H1669" t="s">
        <v>2977</v>
      </c>
      <c r="I1669" t="s">
        <v>80</v>
      </c>
      <c r="J1669" t="s">
        <v>3126</v>
      </c>
      <c r="K1669" t="s">
        <v>38</v>
      </c>
      <c r="L1669" t="s">
        <v>38</v>
      </c>
      <c r="M1669" t="s">
        <v>38</v>
      </c>
      <c r="N1669" t="s">
        <v>38</v>
      </c>
      <c r="O1669" t="s">
        <v>57</v>
      </c>
      <c r="P1669" t="s">
        <v>42</v>
      </c>
      <c r="Q1669" t="s">
        <v>43</v>
      </c>
      <c r="R1669" t="s">
        <v>2452</v>
      </c>
      <c r="S1669" t="s">
        <v>45</v>
      </c>
      <c r="T1669" t="s">
        <v>89</v>
      </c>
      <c r="U1669" t="s">
        <v>2453</v>
      </c>
      <c r="V1669" t="s">
        <v>137</v>
      </c>
      <c r="W1669" t="s">
        <v>92</v>
      </c>
      <c r="X1669" t="s">
        <v>38</v>
      </c>
      <c r="Y1669" t="s">
        <v>38</v>
      </c>
      <c r="Z1669" t="s">
        <v>42</v>
      </c>
      <c r="AA1669" t="s">
        <v>1244</v>
      </c>
      <c r="AB1669" t="s">
        <v>38</v>
      </c>
      <c r="AC1669" t="s">
        <v>45</v>
      </c>
      <c r="AD1669" t="s">
        <v>48</v>
      </c>
      <c r="AG1669" t="str">
        <f>IF(AD1669="United States", IFERROR(INDEX(Sheet2!$C:$C, MATCH(AE1669&amp;AF1669, Sheet2!$E:$E, 0)) &amp; ", " &amp; INDEX(Sheet2!$D:$D, MATCH(AE1669&amp;AF1669, Sheet2!$E:$E, 0)), ""), "-")</f>
        <v/>
      </c>
    </row>
    <row r="1670" spans="1:33" x14ac:dyDescent="0.25">
      <c r="A1670" t="s">
        <v>2966</v>
      </c>
      <c r="B1670" t="s">
        <v>3252</v>
      </c>
      <c r="C1670" t="s">
        <v>3125</v>
      </c>
      <c r="D1670" t="s">
        <v>1840</v>
      </c>
      <c r="E1670" t="s">
        <v>3253</v>
      </c>
      <c r="F1670">
        <v>1767</v>
      </c>
      <c r="G1670">
        <v>1234</v>
      </c>
      <c r="H1670" t="s">
        <v>38</v>
      </c>
      <c r="I1670" t="s">
        <v>80</v>
      </c>
      <c r="J1670" t="s">
        <v>3126</v>
      </c>
      <c r="K1670" t="s">
        <v>38</v>
      </c>
      <c r="L1670" t="s">
        <v>38</v>
      </c>
      <c r="M1670" t="s">
        <v>38</v>
      </c>
      <c r="N1670" t="s">
        <v>38</v>
      </c>
      <c r="O1670" t="s">
        <v>74</v>
      </c>
      <c r="P1670" t="s">
        <v>42</v>
      </c>
      <c r="Q1670" t="s">
        <v>43</v>
      </c>
      <c r="R1670" t="s">
        <v>3254</v>
      </c>
      <c r="S1670" t="s">
        <v>45</v>
      </c>
      <c r="T1670" t="s">
        <v>38</v>
      </c>
      <c r="U1670" t="s">
        <v>38</v>
      </c>
      <c r="V1670" t="s">
        <v>137</v>
      </c>
      <c r="W1670" t="s">
        <v>38</v>
      </c>
      <c r="X1670" t="s">
        <v>38</v>
      </c>
      <c r="Y1670" t="s">
        <v>38</v>
      </c>
      <c r="Z1670" t="s">
        <v>42</v>
      </c>
      <c r="AA1670" t="s">
        <v>1135</v>
      </c>
      <c r="AB1670" t="s">
        <v>38</v>
      </c>
      <c r="AC1670" t="s">
        <v>45</v>
      </c>
      <c r="AD1670" t="s">
        <v>48</v>
      </c>
      <c r="AG1670" t="str">
        <f>IF(AD1670="United States", IFERROR(INDEX(Sheet2!$C:$C, MATCH(AE1670&amp;AF1670, Sheet2!$E:$E, 0)) &amp; ", " &amp; INDEX(Sheet2!$D:$D, MATCH(AE1670&amp;AF1670, Sheet2!$E:$E, 0)), ""), "-")</f>
        <v/>
      </c>
    </row>
    <row r="1671" spans="1:33" x14ac:dyDescent="0.25">
      <c r="A1671" t="s">
        <v>2966</v>
      </c>
      <c r="B1671" t="s">
        <v>3255</v>
      </c>
      <c r="C1671" t="s">
        <v>3125</v>
      </c>
      <c r="D1671" t="s">
        <v>352</v>
      </c>
      <c r="E1671" t="s">
        <v>3256</v>
      </c>
      <c r="F1671">
        <v>1766</v>
      </c>
      <c r="G1671">
        <v>1235</v>
      </c>
      <c r="H1671" t="s">
        <v>38</v>
      </c>
      <c r="I1671" t="s">
        <v>80</v>
      </c>
      <c r="J1671" t="s">
        <v>3126</v>
      </c>
      <c r="K1671" t="s">
        <v>38</v>
      </c>
      <c r="L1671" t="s">
        <v>38</v>
      </c>
      <c r="M1671" t="s">
        <v>38</v>
      </c>
      <c r="N1671" t="s">
        <v>38</v>
      </c>
      <c r="O1671" t="s">
        <v>74</v>
      </c>
      <c r="P1671" t="s">
        <v>42</v>
      </c>
      <c r="Q1671" t="s">
        <v>43</v>
      </c>
      <c r="R1671" t="s">
        <v>3257</v>
      </c>
      <c r="S1671" t="s">
        <v>45</v>
      </c>
      <c r="T1671" t="s">
        <v>38</v>
      </c>
      <c r="U1671" t="s">
        <v>38</v>
      </c>
      <c r="V1671" t="s">
        <v>137</v>
      </c>
      <c r="W1671" t="s">
        <v>38</v>
      </c>
      <c r="X1671" t="s">
        <v>38</v>
      </c>
      <c r="Y1671" t="s">
        <v>38</v>
      </c>
      <c r="Z1671" t="s">
        <v>42</v>
      </c>
      <c r="AA1671" t="s">
        <v>241</v>
      </c>
      <c r="AB1671" t="s">
        <v>38</v>
      </c>
      <c r="AC1671" t="s">
        <v>45</v>
      </c>
      <c r="AD1671" t="s">
        <v>48</v>
      </c>
      <c r="AG1671" t="str">
        <f>IF(AD1671="United States", IFERROR(INDEX(Sheet2!$C:$C, MATCH(AE1671&amp;AF1671, Sheet2!$E:$E, 0)) &amp; ", " &amp; INDEX(Sheet2!$D:$D, MATCH(AE1671&amp;AF1671, Sheet2!$E:$E, 0)), ""), "-")</f>
        <v/>
      </c>
    </row>
    <row r="1672" spans="1:33" x14ac:dyDescent="0.25">
      <c r="A1672" t="s">
        <v>2966</v>
      </c>
      <c r="B1672" t="s">
        <v>3258</v>
      </c>
      <c r="C1672" t="s">
        <v>3125</v>
      </c>
      <c r="D1672" t="s">
        <v>2459</v>
      </c>
      <c r="E1672" t="s">
        <v>3259</v>
      </c>
      <c r="F1672">
        <v>1757</v>
      </c>
      <c r="G1672">
        <v>1236</v>
      </c>
      <c r="H1672" t="s">
        <v>38</v>
      </c>
      <c r="I1672" t="s">
        <v>80</v>
      </c>
      <c r="J1672" t="s">
        <v>3126</v>
      </c>
      <c r="K1672" t="s">
        <v>38</v>
      </c>
      <c r="L1672" t="s">
        <v>38</v>
      </c>
      <c r="M1672" t="s">
        <v>38</v>
      </c>
      <c r="N1672" t="s">
        <v>38</v>
      </c>
      <c r="O1672" t="s">
        <v>41</v>
      </c>
      <c r="P1672" t="s">
        <v>42</v>
      </c>
      <c r="Q1672" t="s">
        <v>43</v>
      </c>
      <c r="R1672" t="s">
        <v>3260</v>
      </c>
      <c r="S1672" t="s">
        <v>45</v>
      </c>
      <c r="T1672" t="s">
        <v>38</v>
      </c>
      <c r="U1672" t="s">
        <v>38</v>
      </c>
      <c r="V1672" t="s">
        <v>137</v>
      </c>
      <c r="W1672" t="s">
        <v>38</v>
      </c>
      <c r="X1672" t="s">
        <v>38</v>
      </c>
      <c r="Y1672" t="s">
        <v>38</v>
      </c>
      <c r="Z1672" t="s">
        <v>42</v>
      </c>
      <c r="AA1672" t="s">
        <v>1135</v>
      </c>
      <c r="AB1672" t="s">
        <v>38</v>
      </c>
      <c r="AC1672" t="s">
        <v>45</v>
      </c>
      <c r="AD1672" t="s">
        <v>48</v>
      </c>
      <c r="AG1672" t="str">
        <f>IF(AD1672="United States", IFERROR(INDEX(Sheet2!$C:$C, MATCH(AE1672&amp;AF1672, Sheet2!$E:$E, 0)) &amp; ", " &amp; INDEX(Sheet2!$D:$D, MATCH(AE1672&amp;AF1672, Sheet2!$E:$E, 0)), ""), "-")</f>
        <v/>
      </c>
    </row>
    <row r="1673" spans="1:33" x14ac:dyDescent="0.25">
      <c r="A1673" t="s">
        <v>2966</v>
      </c>
      <c r="B1673" t="s">
        <v>3261</v>
      </c>
      <c r="C1673" t="s">
        <v>3125</v>
      </c>
      <c r="D1673" t="s">
        <v>3262</v>
      </c>
      <c r="E1673" t="s">
        <v>3241</v>
      </c>
      <c r="F1673">
        <v>1759</v>
      </c>
      <c r="G1673">
        <v>1224</v>
      </c>
      <c r="H1673" t="s">
        <v>38</v>
      </c>
      <c r="I1673" t="s">
        <v>80</v>
      </c>
      <c r="J1673" t="s">
        <v>3126</v>
      </c>
      <c r="K1673" t="s">
        <v>38</v>
      </c>
      <c r="L1673" t="s">
        <v>38</v>
      </c>
      <c r="M1673" t="s">
        <v>38</v>
      </c>
      <c r="N1673" t="s">
        <v>38</v>
      </c>
      <c r="O1673" t="s">
        <v>57</v>
      </c>
      <c r="P1673" t="s">
        <v>42</v>
      </c>
      <c r="Q1673" t="s">
        <v>43</v>
      </c>
      <c r="R1673" t="s">
        <v>38</v>
      </c>
      <c r="S1673" t="s">
        <v>38</v>
      </c>
      <c r="T1673" t="s">
        <v>38</v>
      </c>
      <c r="U1673" t="s">
        <v>38</v>
      </c>
      <c r="V1673" t="s">
        <v>137</v>
      </c>
      <c r="W1673" t="s">
        <v>38</v>
      </c>
      <c r="X1673" t="s">
        <v>38</v>
      </c>
      <c r="Y1673" t="s">
        <v>38</v>
      </c>
      <c r="Z1673" t="s">
        <v>42</v>
      </c>
      <c r="AA1673" t="s">
        <v>38</v>
      </c>
      <c r="AB1673" t="s">
        <v>38</v>
      </c>
      <c r="AC1673" t="s">
        <v>3263</v>
      </c>
      <c r="AD1673" t="s">
        <v>48</v>
      </c>
      <c r="AG1673" t="str">
        <f>IF(AD1673="United States", IFERROR(INDEX(Sheet2!$C:$C, MATCH(AE1673&amp;AF1673, Sheet2!$E:$E, 0)) &amp; ", " &amp; INDEX(Sheet2!$D:$D, MATCH(AE1673&amp;AF1673, Sheet2!$E:$E, 0)), ""), "-")</f>
        <v/>
      </c>
    </row>
    <row r="1674" spans="1:33" x14ac:dyDescent="0.25">
      <c r="A1674" t="s">
        <v>2966</v>
      </c>
      <c r="B1674" t="s">
        <v>3264</v>
      </c>
      <c r="C1674" t="s">
        <v>3125</v>
      </c>
      <c r="D1674" t="s">
        <v>210</v>
      </c>
      <c r="E1674" t="s">
        <v>191</v>
      </c>
      <c r="F1674">
        <v>1750</v>
      </c>
      <c r="G1674">
        <v>1237</v>
      </c>
      <c r="H1674" t="s">
        <v>2977</v>
      </c>
      <c r="I1674" t="s">
        <v>80</v>
      </c>
      <c r="J1674" t="s">
        <v>3126</v>
      </c>
      <c r="K1674" t="s">
        <v>38</v>
      </c>
      <c r="L1674" t="s">
        <v>38</v>
      </c>
      <c r="M1674" t="s">
        <v>38</v>
      </c>
      <c r="N1674" t="s">
        <v>38</v>
      </c>
      <c r="O1674" t="s">
        <v>41</v>
      </c>
      <c r="P1674" t="s">
        <v>42</v>
      </c>
      <c r="Q1674" t="s">
        <v>43</v>
      </c>
      <c r="R1674" t="s">
        <v>2452</v>
      </c>
      <c r="S1674" t="s">
        <v>89</v>
      </c>
      <c r="T1674" t="s">
        <v>89</v>
      </c>
      <c r="U1674" t="s">
        <v>2453</v>
      </c>
      <c r="V1674" t="s">
        <v>137</v>
      </c>
      <c r="W1674" t="s">
        <v>92</v>
      </c>
      <c r="X1674" t="s">
        <v>38</v>
      </c>
      <c r="Y1674" t="s">
        <v>38</v>
      </c>
      <c r="Z1674" t="s">
        <v>42</v>
      </c>
      <c r="AA1674" t="s">
        <v>38</v>
      </c>
      <c r="AB1674" t="s">
        <v>38</v>
      </c>
      <c r="AC1674" t="s">
        <v>3265</v>
      </c>
      <c r="AD1674" t="s">
        <v>48</v>
      </c>
      <c r="AG1674" t="str">
        <f>IF(AD1674="United States", IFERROR(INDEX(Sheet2!$C:$C, MATCH(AE1674&amp;AF1674, Sheet2!$E:$E, 0)) &amp; ", " &amp; INDEX(Sheet2!$D:$D, MATCH(AE1674&amp;AF1674, Sheet2!$E:$E, 0)), ""), "-")</f>
        <v/>
      </c>
    </row>
    <row r="1675" spans="1:33" x14ac:dyDescent="0.25">
      <c r="A1675" t="s">
        <v>2966</v>
      </c>
      <c r="B1675" t="s">
        <v>3266</v>
      </c>
      <c r="C1675" t="s">
        <v>3125</v>
      </c>
      <c r="D1675" t="s">
        <v>1413</v>
      </c>
      <c r="E1675" t="s">
        <v>37</v>
      </c>
      <c r="F1675">
        <v>1756</v>
      </c>
      <c r="G1675">
        <v>1239</v>
      </c>
      <c r="H1675" t="s">
        <v>38</v>
      </c>
      <c r="I1675" t="s">
        <v>80</v>
      </c>
      <c r="J1675" t="s">
        <v>3126</v>
      </c>
      <c r="K1675" t="s">
        <v>38</v>
      </c>
      <c r="L1675" t="s">
        <v>38</v>
      </c>
      <c r="M1675" t="s">
        <v>38</v>
      </c>
      <c r="N1675" t="s">
        <v>38</v>
      </c>
      <c r="O1675" t="s">
        <v>57</v>
      </c>
      <c r="P1675" t="s">
        <v>42</v>
      </c>
      <c r="Q1675" t="s">
        <v>43</v>
      </c>
      <c r="R1675" t="s">
        <v>3267</v>
      </c>
      <c r="S1675" t="s">
        <v>45</v>
      </c>
      <c r="T1675" t="s">
        <v>38</v>
      </c>
      <c r="U1675" t="s">
        <v>38</v>
      </c>
      <c r="V1675" t="s">
        <v>137</v>
      </c>
      <c r="W1675" t="s">
        <v>38</v>
      </c>
      <c r="X1675" t="s">
        <v>38</v>
      </c>
      <c r="Y1675" t="s">
        <v>38</v>
      </c>
      <c r="Z1675" t="s">
        <v>42</v>
      </c>
      <c r="AA1675" t="s">
        <v>45</v>
      </c>
      <c r="AB1675" t="s">
        <v>780</v>
      </c>
      <c r="AC1675" t="s">
        <v>45</v>
      </c>
      <c r="AD1675" t="s">
        <v>48</v>
      </c>
      <c r="AG1675" t="str">
        <f>IF(AD1675="United States", IFERROR(INDEX(Sheet2!$C:$C, MATCH(AE1675&amp;AF1675, Sheet2!$E:$E, 0)) &amp; ", " &amp; INDEX(Sheet2!$D:$D, MATCH(AE1675&amp;AF1675, Sheet2!$E:$E, 0)), ""), "-")</f>
        <v/>
      </c>
    </row>
    <row r="1676" spans="1:33" x14ac:dyDescent="0.25">
      <c r="A1676" t="s">
        <v>2966</v>
      </c>
      <c r="B1676" t="s">
        <v>3268</v>
      </c>
      <c r="C1676" t="s">
        <v>3125</v>
      </c>
      <c r="D1676" t="s">
        <v>193</v>
      </c>
      <c r="E1676" t="s">
        <v>268</v>
      </c>
      <c r="F1676">
        <v>1748</v>
      </c>
      <c r="G1676">
        <v>1240</v>
      </c>
      <c r="H1676" t="s">
        <v>38</v>
      </c>
      <c r="I1676" t="s">
        <v>80</v>
      </c>
      <c r="J1676" t="s">
        <v>3126</v>
      </c>
      <c r="K1676" t="s">
        <v>38</v>
      </c>
      <c r="L1676" t="s">
        <v>38</v>
      </c>
      <c r="M1676" t="s">
        <v>38</v>
      </c>
      <c r="N1676" t="s">
        <v>38</v>
      </c>
      <c r="O1676" t="s">
        <v>41</v>
      </c>
      <c r="P1676" t="s">
        <v>42</v>
      </c>
      <c r="Q1676" t="s">
        <v>43</v>
      </c>
      <c r="R1676" t="s">
        <v>3269</v>
      </c>
      <c r="S1676" t="s">
        <v>286</v>
      </c>
      <c r="T1676" t="s">
        <v>38</v>
      </c>
      <c r="U1676" t="s">
        <v>38</v>
      </c>
      <c r="V1676" t="s">
        <v>137</v>
      </c>
      <c r="W1676" t="s">
        <v>38</v>
      </c>
      <c r="X1676" t="s">
        <v>38</v>
      </c>
      <c r="Y1676" t="s">
        <v>38</v>
      </c>
      <c r="Z1676" t="s">
        <v>42</v>
      </c>
      <c r="AA1676" t="s">
        <v>3270</v>
      </c>
      <c r="AB1676" t="s">
        <v>38</v>
      </c>
      <c r="AC1676" t="s">
        <v>286</v>
      </c>
      <c r="AD1676" t="s">
        <v>48</v>
      </c>
      <c r="AG1676" t="str">
        <f>IF(AD1676="United States", IFERROR(INDEX(Sheet2!$C:$C, MATCH(AE1676&amp;AF1676, Sheet2!$E:$E, 0)) &amp; ", " &amp; INDEX(Sheet2!$D:$D, MATCH(AE1676&amp;AF1676, Sheet2!$E:$E, 0)), ""), "-")</f>
        <v/>
      </c>
    </row>
    <row r="1677" spans="1:33" x14ac:dyDescent="0.25">
      <c r="A1677" t="s">
        <v>2966</v>
      </c>
      <c r="B1677" t="s">
        <v>3271</v>
      </c>
      <c r="C1677" t="s">
        <v>3125</v>
      </c>
      <c r="D1677" t="s">
        <v>210</v>
      </c>
      <c r="E1677" t="s">
        <v>1147</v>
      </c>
      <c r="F1677">
        <v>1753</v>
      </c>
      <c r="G1677">
        <v>1241</v>
      </c>
      <c r="H1677" t="s">
        <v>2977</v>
      </c>
      <c r="I1677" t="s">
        <v>80</v>
      </c>
      <c r="J1677" t="s">
        <v>3126</v>
      </c>
      <c r="K1677" t="s">
        <v>38</v>
      </c>
      <c r="L1677" t="s">
        <v>38</v>
      </c>
      <c r="M1677" t="s">
        <v>38</v>
      </c>
      <c r="N1677" t="s">
        <v>38</v>
      </c>
      <c r="O1677" t="s">
        <v>41</v>
      </c>
      <c r="P1677" t="s">
        <v>42</v>
      </c>
      <c r="Q1677" t="s">
        <v>43</v>
      </c>
      <c r="R1677" t="s">
        <v>2452</v>
      </c>
      <c r="S1677" t="s">
        <v>45</v>
      </c>
      <c r="T1677" t="s">
        <v>89</v>
      </c>
      <c r="U1677" t="s">
        <v>2453</v>
      </c>
      <c r="V1677" t="s">
        <v>137</v>
      </c>
      <c r="W1677" t="s">
        <v>92</v>
      </c>
      <c r="X1677" t="s">
        <v>38</v>
      </c>
      <c r="Y1677" t="s">
        <v>38</v>
      </c>
      <c r="Z1677" t="s">
        <v>42</v>
      </c>
      <c r="AA1677" t="s">
        <v>241</v>
      </c>
      <c r="AB1677" t="s">
        <v>38</v>
      </c>
      <c r="AC1677" t="s">
        <v>45</v>
      </c>
      <c r="AD1677" t="s">
        <v>48</v>
      </c>
      <c r="AG1677" t="str">
        <f>IF(AD1677="United States", IFERROR(INDEX(Sheet2!$C:$C, MATCH(AE1677&amp;AF1677, Sheet2!$E:$E, 0)) &amp; ", " &amp; INDEX(Sheet2!$D:$D, MATCH(AE1677&amp;AF1677, Sheet2!$E:$E, 0)), ""), "-")</f>
        <v/>
      </c>
    </row>
    <row r="1678" spans="1:33" x14ac:dyDescent="0.25">
      <c r="A1678" t="s">
        <v>2966</v>
      </c>
      <c r="B1678" t="s">
        <v>3272</v>
      </c>
      <c r="C1678" t="s">
        <v>3125</v>
      </c>
      <c r="D1678" t="s">
        <v>445</v>
      </c>
      <c r="E1678" t="s">
        <v>1147</v>
      </c>
      <c r="F1678">
        <v>1759</v>
      </c>
      <c r="G1678">
        <v>1242</v>
      </c>
      <c r="H1678" t="s">
        <v>38</v>
      </c>
      <c r="I1678" t="s">
        <v>80</v>
      </c>
      <c r="J1678" t="s">
        <v>3126</v>
      </c>
      <c r="K1678" t="s">
        <v>38</v>
      </c>
      <c r="L1678" t="s">
        <v>38</v>
      </c>
      <c r="M1678" t="s">
        <v>38</v>
      </c>
      <c r="N1678" t="s">
        <v>38</v>
      </c>
      <c r="O1678" t="s">
        <v>57</v>
      </c>
      <c r="P1678" t="s">
        <v>42</v>
      </c>
      <c r="Q1678" t="s">
        <v>43</v>
      </c>
      <c r="R1678" t="s">
        <v>3273</v>
      </c>
      <c r="S1678" t="s">
        <v>45</v>
      </c>
      <c r="T1678" t="s">
        <v>38</v>
      </c>
      <c r="U1678" t="s">
        <v>38</v>
      </c>
      <c r="V1678" t="s">
        <v>137</v>
      </c>
      <c r="W1678" t="s">
        <v>38</v>
      </c>
      <c r="X1678" t="s">
        <v>38</v>
      </c>
      <c r="Y1678" t="s">
        <v>38</v>
      </c>
      <c r="Z1678" t="s">
        <v>42</v>
      </c>
      <c r="AA1678" t="s">
        <v>38</v>
      </c>
      <c r="AB1678" t="s">
        <v>38</v>
      </c>
      <c r="AC1678" t="s">
        <v>45</v>
      </c>
      <c r="AD1678" t="s">
        <v>48</v>
      </c>
      <c r="AG1678" t="str">
        <f>IF(AD1678="United States", IFERROR(INDEX(Sheet2!$C:$C, MATCH(AE1678&amp;AF1678, Sheet2!$E:$E, 0)) &amp; ", " &amp; INDEX(Sheet2!$D:$D, MATCH(AE1678&amp;AF1678, Sheet2!$E:$E, 0)), ""), "-")</f>
        <v/>
      </c>
    </row>
    <row r="1679" spans="1:33" x14ac:dyDescent="0.25">
      <c r="A1679" t="s">
        <v>2966</v>
      </c>
      <c r="B1679" t="s">
        <v>3274</v>
      </c>
      <c r="C1679" t="s">
        <v>3125</v>
      </c>
      <c r="D1679" t="s">
        <v>3275</v>
      </c>
      <c r="E1679" t="s">
        <v>3276</v>
      </c>
      <c r="F1679">
        <v>1723</v>
      </c>
      <c r="G1679">
        <v>1243</v>
      </c>
      <c r="H1679" t="s">
        <v>38</v>
      </c>
      <c r="I1679" t="s">
        <v>80</v>
      </c>
      <c r="J1679" t="s">
        <v>3126</v>
      </c>
      <c r="K1679" t="s">
        <v>38</v>
      </c>
      <c r="L1679" t="s">
        <v>38</v>
      </c>
      <c r="M1679" t="s">
        <v>38</v>
      </c>
      <c r="N1679" t="s">
        <v>38</v>
      </c>
      <c r="O1679" t="s">
        <v>41</v>
      </c>
      <c r="P1679" t="s">
        <v>42</v>
      </c>
      <c r="Q1679" t="s">
        <v>43</v>
      </c>
      <c r="R1679" t="s">
        <v>3277</v>
      </c>
      <c r="S1679" t="s">
        <v>1063</v>
      </c>
      <c r="T1679" t="s">
        <v>38</v>
      </c>
      <c r="U1679" t="s">
        <v>38</v>
      </c>
      <c r="V1679" t="s">
        <v>137</v>
      </c>
      <c r="W1679" t="s">
        <v>38</v>
      </c>
      <c r="X1679" t="s">
        <v>38</v>
      </c>
      <c r="Y1679" t="s">
        <v>38</v>
      </c>
      <c r="Z1679" t="s">
        <v>42</v>
      </c>
      <c r="AA1679" t="s">
        <v>1065</v>
      </c>
      <c r="AB1679" t="s">
        <v>38</v>
      </c>
      <c r="AC1679" t="s">
        <v>1063</v>
      </c>
      <c r="AD1679" t="s">
        <v>48</v>
      </c>
      <c r="AG1679" t="str">
        <f>IF(AD1679="United States", IFERROR(INDEX(Sheet2!$C:$C, MATCH(AE1679&amp;AF1679, Sheet2!$E:$E, 0)) &amp; ", " &amp; INDEX(Sheet2!$D:$D, MATCH(AE1679&amp;AF1679, Sheet2!$E:$E, 0)), ""), "-")</f>
        <v/>
      </c>
    </row>
    <row r="1680" spans="1:33" x14ac:dyDescent="0.25">
      <c r="A1680" t="s">
        <v>2966</v>
      </c>
      <c r="B1680" t="s">
        <v>3278</v>
      </c>
      <c r="C1680" t="s">
        <v>3125</v>
      </c>
      <c r="D1680" t="s">
        <v>245</v>
      </c>
      <c r="E1680" t="s">
        <v>3276</v>
      </c>
      <c r="F1680">
        <v>1738</v>
      </c>
      <c r="G1680">
        <v>1244</v>
      </c>
      <c r="H1680" t="s">
        <v>38</v>
      </c>
      <c r="I1680" t="s">
        <v>80</v>
      </c>
      <c r="J1680" t="s">
        <v>3126</v>
      </c>
      <c r="K1680" t="s">
        <v>38</v>
      </c>
      <c r="L1680" t="s">
        <v>38</v>
      </c>
      <c r="M1680" t="s">
        <v>38</v>
      </c>
      <c r="N1680" t="s">
        <v>38</v>
      </c>
      <c r="O1680" t="s">
        <v>57</v>
      </c>
      <c r="P1680" t="s">
        <v>42</v>
      </c>
      <c r="Q1680" t="s">
        <v>43</v>
      </c>
      <c r="R1680" t="s">
        <v>3279</v>
      </c>
      <c r="S1680" t="s">
        <v>45</v>
      </c>
      <c r="T1680" t="s">
        <v>38</v>
      </c>
      <c r="U1680" t="s">
        <v>38</v>
      </c>
      <c r="V1680" t="s">
        <v>137</v>
      </c>
      <c r="W1680" t="s">
        <v>38</v>
      </c>
      <c r="X1680" t="s">
        <v>38</v>
      </c>
      <c r="Y1680" t="s">
        <v>38</v>
      </c>
      <c r="Z1680" t="s">
        <v>42</v>
      </c>
      <c r="AA1680" t="s">
        <v>38</v>
      </c>
      <c r="AB1680" t="s">
        <v>38</v>
      </c>
      <c r="AC1680" t="s">
        <v>45</v>
      </c>
      <c r="AD1680" t="s">
        <v>48</v>
      </c>
      <c r="AG1680" t="str">
        <f>IF(AD1680="United States", IFERROR(INDEX(Sheet2!$C:$C, MATCH(AE1680&amp;AF1680, Sheet2!$E:$E, 0)) &amp; ", " &amp; INDEX(Sheet2!$D:$D, MATCH(AE1680&amp;AF1680, Sheet2!$E:$E, 0)), ""), "-")</f>
        <v/>
      </c>
    </row>
    <row r="1681" spans="1:33" x14ac:dyDescent="0.25">
      <c r="A1681" t="s">
        <v>2966</v>
      </c>
      <c r="B1681" t="s">
        <v>3280</v>
      </c>
      <c r="C1681" t="s">
        <v>3125</v>
      </c>
      <c r="D1681" t="s">
        <v>3281</v>
      </c>
      <c r="E1681" t="s">
        <v>3282</v>
      </c>
      <c r="F1681">
        <v>1766</v>
      </c>
      <c r="G1681">
        <v>1245</v>
      </c>
      <c r="H1681" t="s">
        <v>38</v>
      </c>
      <c r="I1681" t="s">
        <v>80</v>
      </c>
      <c r="J1681" t="s">
        <v>3126</v>
      </c>
      <c r="K1681" t="s">
        <v>38</v>
      </c>
      <c r="L1681" t="s">
        <v>38</v>
      </c>
      <c r="M1681" t="s">
        <v>38</v>
      </c>
      <c r="N1681" t="s">
        <v>38</v>
      </c>
      <c r="O1681" t="s">
        <v>54</v>
      </c>
      <c r="P1681" t="s">
        <v>42</v>
      </c>
      <c r="Q1681" t="s">
        <v>43</v>
      </c>
      <c r="R1681" t="s">
        <v>3283</v>
      </c>
      <c r="S1681" t="s">
        <v>45</v>
      </c>
      <c r="T1681" t="s">
        <v>38</v>
      </c>
      <c r="U1681" t="s">
        <v>38</v>
      </c>
      <c r="V1681" t="s">
        <v>137</v>
      </c>
      <c r="W1681" t="s">
        <v>38</v>
      </c>
      <c r="X1681" t="s">
        <v>38</v>
      </c>
      <c r="Y1681" t="s">
        <v>38</v>
      </c>
      <c r="Z1681" t="s">
        <v>42</v>
      </c>
      <c r="AA1681" t="s">
        <v>1120</v>
      </c>
      <c r="AB1681" t="s">
        <v>38</v>
      </c>
      <c r="AC1681" t="s">
        <v>45</v>
      </c>
      <c r="AD1681" t="s">
        <v>48</v>
      </c>
      <c r="AG1681" t="str">
        <f>IF(AD1681="United States", IFERROR(INDEX(Sheet2!$C:$C, MATCH(AE1681&amp;AF1681, Sheet2!$E:$E, 0)) &amp; ", " &amp; INDEX(Sheet2!$D:$D, MATCH(AE1681&amp;AF1681, Sheet2!$E:$E, 0)), ""), "-")</f>
        <v/>
      </c>
    </row>
    <row r="1682" spans="1:33" x14ac:dyDescent="0.25">
      <c r="A1682" t="s">
        <v>2966</v>
      </c>
      <c r="B1682" t="s">
        <v>3284</v>
      </c>
      <c r="C1682" t="s">
        <v>3125</v>
      </c>
      <c r="D1682" t="s">
        <v>495</v>
      </c>
      <c r="E1682" t="s">
        <v>268</v>
      </c>
      <c r="F1682">
        <v>1755</v>
      </c>
      <c r="G1682">
        <v>1246</v>
      </c>
      <c r="H1682" t="s">
        <v>2975</v>
      </c>
      <c r="I1682" t="s">
        <v>80</v>
      </c>
      <c r="J1682" t="s">
        <v>3126</v>
      </c>
      <c r="K1682" t="s">
        <v>38</v>
      </c>
      <c r="L1682" t="s">
        <v>38</v>
      </c>
      <c r="M1682" t="s">
        <v>38</v>
      </c>
      <c r="N1682" t="s">
        <v>38</v>
      </c>
      <c r="O1682" t="s">
        <v>57</v>
      </c>
      <c r="P1682" t="s">
        <v>42</v>
      </c>
      <c r="Q1682" t="s">
        <v>43</v>
      </c>
      <c r="R1682" t="s">
        <v>2452</v>
      </c>
      <c r="S1682" t="s">
        <v>38</v>
      </c>
      <c r="T1682" t="s">
        <v>89</v>
      </c>
      <c r="U1682" t="s">
        <v>2453</v>
      </c>
      <c r="V1682" t="s">
        <v>137</v>
      </c>
      <c r="W1682" t="s">
        <v>92</v>
      </c>
      <c r="X1682" t="s">
        <v>38</v>
      </c>
      <c r="Y1682" t="s">
        <v>38</v>
      </c>
      <c r="Z1682" t="s">
        <v>42</v>
      </c>
      <c r="AA1682" t="s">
        <v>38</v>
      </c>
      <c r="AB1682" t="s">
        <v>38</v>
      </c>
      <c r="AC1682" t="s">
        <v>233</v>
      </c>
      <c r="AD1682" t="s">
        <v>48</v>
      </c>
      <c r="AG1682" t="str">
        <f>IF(AD1682="United States", IFERROR(INDEX(Sheet2!$C:$C, MATCH(AE1682&amp;AF1682, Sheet2!$E:$E, 0)) &amp; ", " &amp; INDEX(Sheet2!$D:$D, MATCH(AE1682&amp;AF1682, Sheet2!$E:$E, 0)), ""), "-")</f>
        <v/>
      </c>
    </row>
    <row r="1683" spans="1:33" x14ac:dyDescent="0.25">
      <c r="A1683" t="s">
        <v>2966</v>
      </c>
      <c r="B1683" t="s">
        <v>3285</v>
      </c>
      <c r="C1683" t="s">
        <v>3125</v>
      </c>
      <c r="D1683" t="s">
        <v>193</v>
      </c>
      <c r="E1683" t="s">
        <v>268</v>
      </c>
      <c r="F1683">
        <v>1782</v>
      </c>
      <c r="G1683">
        <v>1247</v>
      </c>
      <c r="H1683" t="s">
        <v>38</v>
      </c>
      <c r="I1683" t="s">
        <v>80</v>
      </c>
      <c r="J1683" t="s">
        <v>3126</v>
      </c>
      <c r="K1683" t="s">
        <v>38</v>
      </c>
      <c r="L1683" t="s">
        <v>38</v>
      </c>
      <c r="M1683" t="s">
        <v>38</v>
      </c>
      <c r="N1683" t="s">
        <v>38</v>
      </c>
      <c r="O1683" t="s">
        <v>54</v>
      </c>
      <c r="P1683" t="s">
        <v>42</v>
      </c>
      <c r="Q1683" t="s">
        <v>43</v>
      </c>
      <c r="R1683" t="s">
        <v>38</v>
      </c>
      <c r="S1683" t="s">
        <v>38</v>
      </c>
      <c r="T1683" t="s">
        <v>38</v>
      </c>
      <c r="U1683" t="s">
        <v>38</v>
      </c>
      <c r="V1683" t="s">
        <v>137</v>
      </c>
      <c r="W1683" t="s">
        <v>38</v>
      </c>
      <c r="X1683" t="s">
        <v>38</v>
      </c>
      <c r="Y1683" t="s">
        <v>38</v>
      </c>
      <c r="Z1683" t="s">
        <v>42</v>
      </c>
      <c r="AA1683" t="s">
        <v>38</v>
      </c>
      <c r="AB1683" t="s">
        <v>38</v>
      </c>
      <c r="AC1683" t="s">
        <v>38</v>
      </c>
      <c r="AD1683" t="s">
        <v>48</v>
      </c>
      <c r="AG1683" t="str">
        <f>IF(AD1683="United States", IFERROR(INDEX(Sheet2!$C:$C, MATCH(AE1683&amp;AF1683, Sheet2!$E:$E, 0)) &amp; ", " &amp; INDEX(Sheet2!$D:$D, MATCH(AE1683&amp;AF1683, Sheet2!$E:$E, 0)), ""), "-")</f>
        <v/>
      </c>
    </row>
    <row r="1684" spans="1:33" x14ac:dyDescent="0.25">
      <c r="A1684" t="s">
        <v>2966</v>
      </c>
      <c r="B1684" t="s">
        <v>3286</v>
      </c>
      <c r="C1684" t="s">
        <v>3125</v>
      </c>
      <c r="D1684" t="s">
        <v>285</v>
      </c>
      <c r="E1684" t="s">
        <v>3287</v>
      </c>
      <c r="F1684">
        <v>1757</v>
      </c>
      <c r="G1684">
        <v>1248</v>
      </c>
      <c r="H1684" t="s">
        <v>2975</v>
      </c>
      <c r="I1684" t="s">
        <v>80</v>
      </c>
      <c r="J1684" t="s">
        <v>3126</v>
      </c>
      <c r="K1684" t="s">
        <v>38</v>
      </c>
      <c r="L1684" t="s">
        <v>38</v>
      </c>
      <c r="M1684" t="s">
        <v>38</v>
      </c>
      <c r="N1684" t="s">
        <v>38</v>
      </c>
      <c r="O1684" t="s">
        <v>57</v>
      </c>
      <c r="P1684" t="s">
        <v>42</v>
      </c>
      <c r="Q1684" t="s">
        <v>43</v>
      </c>
      <c r="R1684" t="s">
        <v>2452</v>
      </c>
      <c r="S1684" t="s">
        <v>45</v>
      </c>
      <c r="T1684" t="s">
        <v>89</v>
      </c>
      <c r="U1684" t="s">
        <v>2453</v>
      </c>
      <c r="V1684" t="s">
        <v>137</v>
      </c>
      <c r="W1684" t="s">
        <v>92</v>
      </c>
      <c r="X1684" t="s">
        <v>38</v>
      </c>
      <c r="Y1684" t="s">
        <v>38</v>
      </c>
      <c r="Z1684" t="s">
        <v>42</v>
      </c>
      <c r="AA1684" t="s">
        <v>1254</v>
      </c>
      <c r="AB1684" t="s">
        <v>38</v>
      </c>
      <c r="AC1684" t="s">
        <v>45</v>
      </c>
      <c r="AD1684" t="s">
        <v>48</v>
      </c>
      <c r="AG1684" t="str">
        <f>IF(AD1684="United States", IFERROR(INDEX(Sheet2!$C:$C, MATCH(AE1684&amp;AF1684, Sheet2!$E:$E, 0)) &amp; ", " &amp; INDEX(Sheet2!$D:$D, MATCH(AE1684&amp;AF1684, Sheet2!$E:$E, 0)), ""), "-")</f>
        <v/>
      </c>
    </row>
    <row r="1685" spans="1:33" x14ac:dyDescent="0.25">
      <c r="A1685" t="s">
        <v>2966</v>
      </c>
      <c r="B1685" t="s">
        <v>3288</v>
      </c>
      <c r="C1685" t="s">
        <v>3125</v>
      </c>
      <c r="D1685" t="s">
        <v>2124</v>
      </c>
      <c r="E1685" t="s">
        <v>970</v>
      </c>
      <c r="F1685">
        <v>1768</v>
      </c>
      <c r="G1685">
        <v>1249</v>
      </c>
      <c r="H1685" t="s">
        <v>2975</v>
      </c>
      <c r="I1685" t="s">
        <v>80</v>
      </c>
      <c r="J1685" t="s">
        <v>3126</v>
      </c>
      <c r="K1685" t="s">
        <v>38</v>
      </c>
      <c r="L1685" t="s">
        <v>38</v>
      </c>
      <c r="M1685" t="s">
        <v>38</v>
      </c>
      <c r="N1685" t="s">
        <v>38</v>
      </c>
      <c r="O1685" t="s">
        <v>54</v>
      </c>
      <c r="P1685" t="s">
        <v>42</v>
      </c>
      <c r="Q1685" t="s">
        <v>43</v>
      </c>
      <c r="R1685" t="s">
        <v>2452</v>
      </c>
      <c r="S1685" t="s">
        <v>38</v>
      </c>
      <c r="T1685" t="s">
        <v>89</v>
      </c>
      <c r="U1685" t="s">
        <v>2453</v>
      </c>
      <c r="V1685" t="s">
        <v>137</v>
      </c>
      <c r="W1685" t="s">
        <v>92</v>
      </c>
      <c r="X1685" t="s">
        <v>38</v>
      </c>
      <c r="Y1685" t="s">
        <v>38</v>
      </c>
      <c r="Z1685" t="s">
        <v>42</v>
      </c>
      <c r="AA1685" t="s">
        <v>38</v>
      </c>
      <c r="AB1685" t="s">
        <v>38</v>
      </c>
      <c r="AC1685" t="s">
        <v>3289</v>
      </c>
      <c r="AD1685" t="s">
        <v>48</v>
      </c>
      <c r="AG1685" t="str">
        <f>IF(AD1685="United States", IFERROR(INDEX(Sheet2!$C:$C, MATCH(AE1685&amp;AF1685, Sheet2!$E:$E, 0)) &amp; ", " &amp; INDEX(Sheet2!$D:$D, MATCH(AE1685&amp;AF1685, Sheet2!$E:$E, 0)), ""), "-")</f>
        <v/>
      </c>
    </row>
    <row r="1686" spans="1:33" x14ac:dyDescent="0.25">
      <c r="A1686" t="s">
        <v>2966</v>
      </c>
      <c r="B1686" t="s">
        <v>3290</v>
      </c>
      <c r="C1686" t="s">
        <v>3125</v>
      </c>
      <c r="D1686" t="s">
        <v>834</v>
      </c>
      <c r="E1686" t="s">
        <v>3287</v>
      </c>
      <c r="F1686">
        <v>1779</v>
      </c>
      <c r="G1686">
        <v>1250</v>
      </c>
      <c r="H1686" t="s">
        <v>38</v>
      </c>
      <c r="I1686" t="s">
        <v>80</v>
      </c>
      <c r="J1686" t="s">
        <v>3126</v>
      </c>
      <c r="K1686" t="s">
        <v>38</v>
      </c>
      <c r="L1686" t="s">
        <v>38</v>
      </c>
      <c r="M1686" t="s">
        <v>38</v>
      </c>
      <c r="N1686" t="s">
        <v>38</v>
      </c>
      <c r="O1686" t="s">
        <v>54</v>
      </c>
      <c r="P1686" t="s">
        <v>42</v>
      </c>
      <c r="Q1686" t="s">
        <v>43</v>
      </c>
      <c r="R1686" t="s">
        <v>38</v>
      </c>
      <c r="S1686" t="s">
        <v>38</v>
      </c>
      <c r="T1686" t="s">
        <v>38</v>
      </c>
      <c r="U1686" t="s">
        <v>38</v>
      </c>
      <c r="V1686" t="s">
        <v>137</v>
      </c>
      <c r="W1686" t="s">
        <v>38</v>
      </c>
      <c r="X1686" t="s">
        <v>38</v>
      </c>
      <c r="Y1686" t="s">
        <v>38</v>
      </c>
      <c r="Z1686" t="s">
        <v>42</v>
      </c>
      <c r="AA1686" t="s">
        <v>38</v>
      </c>
      <c r="AB1686" t="s">
        <v>38</v>
      </c>
      <c r="AC1686" t="s">
        <v>38</v>
      </c>
      <c r="AD1686" t="s">
        <v>48</v>
      </c>
      <c r="AG1686" t="str">
        <f>IF(AD1686="United States", IFERROR(INDEX(Sheet2!$C:$C, MATCH(AE1686&amp;AF1686, Sheet2!$E:$E, 0)) &amp; ", " &amp; INDEX(Sheet2!$D:$D, MATCH(AE1686&amp;AF1686, Sheet2!$E:$E, 0)), ""), "-")</f>
        <v/>
      </c>
    </row>
    <row r="1687" spans="1:33" x14ac:dyDescent="0.25">
      <c r="A1687" t="s">
        <v>2966</v>
      </c>
      <c r="B1687" t="s">
        <v>3291</v>
      </c>
      <c r="C1687" t="s">
        <v>3125</v>
      </c>
      <c r="D1687" t="s">
        <v>357</v>
      </c>
      <c r="E1687" t="s">
        <v>37</v>
      </c>
      <c r="F1687">
        <v>1756</v>
      </c>
      <c r="G1687">
        <v>1238</v>
      </c>
      <c r="H1687" t="s">
        <v>38</v>
      </c>
      <c r="I1687" t="s">
        <v>80</v>
      </c>
      <c r="J1687" t="s">
        <v>3126</v>
      </c>
      <c r="K1687" t="s">
        <v>38</v>
      </c>
      <c r="L1687" t="s">
        <v>38</v>
      </c>
      <c r="M1687" t="s">
        <v>38</v>
      </c>
      <c r="N1687" t="s">
        <v>38</v>
      </c>
      <c r="O1687" t="s">
        <v>41</v>
      </c>
      <c r="P1687" t="s">
        <v>42</v>
      </c>
      <c r="Q1687" t="s">
        <v>43</v>
      </c>
      <c r="R1687" t="s">
        <v>3292</v>
      </c>
      <c r="S1687" t="s">
        <v>45</v>
      </c>
      <c r="T1687" t="s">
        <v>38</v>
      </c>
      <c r="U1687" t="s">
        <v>38</v>
      </c>
      <c r="V1687" t="s">
        <v>137</v>
      </c>
      <c r="W1687" t="s">
        <v>38</v>
      </c>
      <c r="X1687" t="s">
        <v>38</v>
      </c>
      <c r="Y1687" t="s">
        <v>38</v>
      </c>
      <c r="Z1687" t="s">
        <v>42</v>
      </c>
      <c r="AA1687" t="s">
        <v>241</v>
      </c>
      <c r="AB1687" t="s">
        <v>38</v>
      </c>
      <c r="AC1687" t="s">
        <v>45</v>
      </c>
      <c r="AD1687" t="s">
        <v>48</v>
      </c>
      <c r="AG1687" t="str">
        <f>IF(AD1687="United States", IFERROR(INDEX(Sheet2!$C:$C, MATCH(AE1687&amp;AF1687, Sheet2!$E:$E, 0)) &amp; ", " &amp; INDEX(Sheet2!$D:$D, MATCH(AE1687&amp;AF1687, Sheet2!$E:$E, 0)), ""), "-")</f>
        <v/>
      </c>
    </row>
    <row r="1688" spans="1:33" x14ac:dyDescent="0.25">
      <c r="A1688" t="s">
        <v>2966</v>
      </c>
      <c r="B1688" t="s">
        <v>3293</v>
      </c>
      <c r="C1688" t="s">
        <v>3125</v>
      </c>
      <c r="D1688" t="s">
        <v>245</v>
      </c>
      <c r="E1688" t="s">
        <v>3294</v>
      </c>
      <c r="F1688">
        <v>1763</v>
      </c>
      <c r="G1688">
        <v>1251</v>
      </c>
      <c r="H1688" t="s">
        <v>38</v>
      </c>
      <c r="I1688" t="s">
        <v>80</v>
      </c>
      <c r="J1688" t="s">
        <v>3126</v>
      </c>
      <c r="K1688" t="s">
        <v>38</v>
      </c>
      <c r="L1688" t="s">
        <v>38</v>
      </c>
      <c r="M1688" t="s">
        <v>38</v>
      </c>
      <c r="N1688" t="s">
        <v>38</v>
      </c>
      <c r="O1688" t="s">
        <v>57</v>
      </c>
      <c r="P1688" t="s">
        <v>42</v>
      </c>
      <c r="Q1688" t="s">
        <v>43</v>
      </c>
      <c r="R1688" t="s">
        <v>3295</v>
      </c>
      <c r="S1688" t="s">
        <v>45</v>
      </c>
      <c r="T1688" t="s">
        <v>38</v>
      </c>
      <c r="U1688" t="s">
        <v>38</v>
      </c>
      <c r="V1688" t="s">
        <v>137</v>
      </c>
      <c r="W1688" t="s">
        <v>38</v>
      </c>
      <c r="X1688" t="s">
        <v>38</v>
      </c>
      <c r="Y1688" t="s">
        <v>38</v>
      </c>
      <c r="Z1688" t="s">
        <v>42</v>
      </c>
      <c r="AA1688" t="s">
        <v>247</v>
      </c>
      <c r="AB1688" t="s">
        <v>38</v>
      </c>
      <c r="AC1688" t="s">
        <v>45</v>
      </c>
      <c r="AD1688" t="s">
        <v>48</v>
      </c>
      <c r="AG1688" t="str">
        <f>IF(AD1688="United States", IFERROR(INDEX(Sheet2!$C:$C, MATCH(AE1688&amp;AF1688, Sheet2!$E:$E, 0)) &amp; ", " &amp; INDEX(Sheet2!$D:$D, MATCH(AE1688&amp;AF1688, Sheet2!$E:$E, 0)), ""), "-")</f>
        <v/>
      </c>
    </row>
    <row r="1689" spans="1:33" x14ac:dyDescent="0.25">
      <c r="A1689" t="s">
        <v>2966</v>
      </c>
      <c r="B1689" t="s">
        <v>3296</v>
      </c>
      <c r="C1689" t="s">
        <v>3125</v>
      </c>
      <c r="D1689" t="s">
        <v>132</v>
      </c>
      <c r="E1689" t="s">
        <v>3241</v>
      </c>
      <c r="F1689">
        <v>1758</v>
      </c>
      <c r="G1689">
        <v>1223</v>
      </c>
      <c r="H1689" t="s">
        <v>2975</v>
      </c>
      <c r="I1689" t="s">
        <v>80</v>
      </c>
      <c r="J1689" t="s">
        <v>3126</v>
      </c>
      <c r="K1689" t="s">
        <v>38</v>
      </c>
      <c r="L1689" t="s">
        <v>38</v>
      </c>
      <c r="M1689" t="s">
        <v>38</v>
      </c>
      <c r="N1689" t="s">
        <v>38</v>
      </c>
      <c r="O1689" t="s">
        <v>41</v>
      </c>
      <c r="P1689" t="s">
        <v>42</v>
      </c>
      <c r="Q1689" t="s">
        <v>43</v>
      </c>
      <c r="R1689" t="s">
        <v>2452</v>
      </c>
      <c r="S1689" t="s">
        <v>45</v>
      </c>
      <c r="T1689" t="s">
        <v>89</v>
      </c>
      <c r="U1689" t="s">
        <v>2453</v>
      </c>
      <c r="V1689" t="s">
        <v>137</v>
      </c>
      <c r="W1689" t="s">
        <v>92</v>
      </c>
      <c r="X1689" t="s">
        <v>38</v>
      </c>
      <c r="Y1689" t="s">
        <v>38</v>
      </c>
      <c r="Z1689" t="s">
        <v>42</v>
      </c>
      <c r="AA1689" t="s">
        <v>1135</v>
      </c>
      <c r="AB1689" t="s">
        <v>38</v>
      </c>
      <c r="AC1689" t="s">
        <v>45</v>
      </c>
      <c r="AD1689" t="s">
        <v>48</v>
      </c>
      <c r="AG1689" t="str">
        <f>IF(AD1689="United States", IFERROR(INDEX(Sheet2!$C:$C, MATCH(AE1689&amp;AF1689, Sheet2!$E:$E, 0)) &amp; ", " &amp; INDEX(Sheet2!$D:$D, MATCH(AE1689&amp;AF1689, Sheet2!$E:$E, 0)), ""), "-")</f>
        <v/>
      </c>
    </row>
    <row r="1690" spans="1:33" x14ac:dyDescent="0.25">
      <c r="A1690" t="s">
        <v>2966</v>
      </c>
      <c r="B1690" t="s">
        <v>3297</v>
      </c>
      <c r="C1690" t="s">
        <v>3125</v>
      </c>
      <c r="D1690" t="s">
        <v>190</v>
      </c>
      <c r="E1690" t="s">
        <v>3298</v>
      </c>
      <c r="F1690">
        <v>1781</v>
      </c>
      <c r="G1690">
        <v>1221</v>
      </c>
      <c r="H1690" t="s">
        <v>2975</v>
      </c>
      <c r="I1690" t="s">
        <v>80</v>
      </c>
      <c r="J1690" t="s">
        <v>3126</v>
      </c>
      <c r="K1690" t="s">
        <v>38</v>
      </c>
      <c r="L1690" t="s">
        <v>38</v>
      </c>
      <c r="M1690" t="s">
        <v>38</v>
      </c>
      <c r="N1690" t="s">
        <v>38</v>
      </c>
      <c r="O1690" t="s">
        <v>54</v>
      </c>
      <c r="P1690" t="s">
        <v>42</v>
      </c>
      <c r="Q1690" t="s">
        <v>43</v>
      </c>
      <c r="R1690" t="s">
        <v>2452</v>
      </c>
      <c r="S1690" t="s">
        <v>38</v>
      </c>
      <c r="T1690" t="s">
        <v>89</v>
      </c>
      <c r="U1690" t="s">
        <v>2453</v>
      </c>
      <c r="V1690" t="s">
        <v>137</v>
      </c>
      <c r="W1690" t="s">
        <v>92</v>
      </c>
      <c r="X1690" t="s">
        <v>38</v>
      </c>
      <c r="Y1690" t="s">
        <v>38</v>
      </c>
      <c r="Z1690" t="s">
        <v>42</v>
      </c>
      <c r="AA1690" t="s">
        <v>38</v>
      </c>
      <c r="AB1690" t="s">
        <v>38</v>
      </c>
      <c r="AC1690" t="s">
        <v>38</v>
      </c>
      <c r="AD1690" t="s">
        <v>48</v>
      </c>
      <c r="AG1690" t="str">
        <f>IF(AD1690="United States", IFERROR(INDEX(Sheet2!$C:$C, MATCH(AE1690&amp;AF1690, Sheet2!$E:$E, 0)) &amp; ", " &amp; INDEX(Sheet2!$D:$D, MATCH(AE1690&amp;AF1690, Sheet2!$E:$E, 0)), ""), "-")</f>
        <v/>
      </c>
    </row>
    <row r="1691" spans="1:33" x14ac:dyDescent="0.25">
      <c r="A1691" t="s">
        <v>2966</v>
      </c>
      <c r="B1691" t="s">
        <v>3299</v>
      </c>
      <c r="C1691" t="s">
        <v>3125</v>
      </c>
      <c r="D1691" t="s">
        <v>245</v>
      </c>
      <c r="E1691" t="s">
        <v>633</v>
      </c>
      <c r="F1691">
        <v>1770</v>
      </c>
      <c r="G1691">
        <v>1051</v>
      </c>
      <c r="H1691" t="s">
        <v>38</v>
      </c>
      <c r="I1691" t="s">
        <v>80</v>
      </c>
      <c r="J1691" t="s">
        <v>3126</v>
      </c>
      <c r="K1691" t="s">
        <v>38</v>
      </c>
      <c r="L1691" t="s">
        <v>38</v>
      </c>
      <c r="M1691" t="s">
        <v>38</v>
      </c>
      <c r="N1691" t="s">
        <v>38</v>
      </c>
      <c r="O1691" t="s">
        <v>74</v>
      </c>
      <c r="P1691" t="s">
        <v>42</v>
      </c>
      <c r="Q1691" t="s">
        <v>43</v>
      </c>
      <c r="R1691" t="s">
        <v>3300</v>
      </c>
      <c r="S1691" t="s">
        <v>45</v>
      </c>
      <c r="T1691" t="s">
        <v>38</v>
      </c>
      <c r="U1691" t="s">
        <v>38</v>
      </c>
      <c r="V1691" t="s">
        <v>137</v>
      </c>
      <c r="W1691" t="s">
        <v>38</v>
      </c>
      <c r="X1691" t="s">
        <v>38</v>
      </c>
      <c r="Y1691" t="s">
        <v>38</v>
      </c>
      <c r="Z1691" t="s">
        <v>42</v>
      </c>
      <c r="AA1691" t="s">
        <v>169</v>
      </c>
      <c r="AB1691" t="s">
        <v>38</v>
      </c>
      <c r="AC1691" t="s">
        <v>45</v>
      </c>
      <c r="AD1691" t="s">
        <v>48</v>
      </c>
      <c r="AG1691" t="str">
        <f>IF(AD1691="United States", IFERROR(INDEX(Sheet2!$C:$C, MATCH(AE1691&amp;AF1691, Sheet2!$E:$E, 0)) &amp; ", " &amp; INDEX(Sheet2!$D:$D, MATCH(AE1691&amp;AF1691, Sheet2!$E:$E, 0)), ""), "-")</f>
        <v/>
      </c>
    </row>
    <row r="1692" spans="1:33" x14ac:dyDescent="0.25">
      <c r="A1692" t="s">
        <v>2966</v>
      </c>
      <c r="B1692" t="s">
        <v>3301</v>
      </c>
      <c r="C1692" t="s">
        <v>3125</v>
      </c>
      <c r="D1692" t="s">
        <v>200</v>
      </c>
      <c r="E1692" t="s">
        <v>37</v>
      </c>
      <c r="F1692">
        <v>1753</v>
      </c>
      <c r="G1692">
        <v>1052</v>
      </c>
      <c r="H1692" t="s">
        <v>2975</v>
      </c>
      <c r="I1692" t="s">
        <v>80</v>
      </c>
      <c r="J1692" t="s">
        <v>3126</v>
      </c>
      <c r="K1692" t="s">
        <v>38</v>
      </c>
      <c r="L1692" t="s">
        <v>38</v>
      </c>
      <c r="M1692" t="s">
        <v>38</v>
      </c>
      <c r="N1692" t="s">
        <v>38</v>
      </c>
      <c r="O1692" t="s">
        <v>41</v>
      </c>
      <c r="P1692" t="s">
        <v>42</v>
      </c>
      <c r="Q1692" t="s">
        <v>43</v>
      </c>
      <c r="R1692" t="s">
        <v>2452</v>
      </c>
      <c r="S1692" t="s">
        <v>38</v>
      </c>
      <c r="T1692" t="s">
        <v>89</v>
      </c>
      <c r="U1692" t="s">
        <v>2453</v>
      </c>
      <c r="V1692" t="s">
        <v>137</v>
      </c>
      <c r="W1692" t="s">
        <v>92</v>
      </c>
      <c r="X1692" t="s">
        <v>38</v>
      </c>
      <c r="Y1692" t="s">
        <v>38</v>
      </c>
      <c r="Z1692" t="s">
        <v>42</v>
      </c>
      <c r="AA1692" t="s">
        <v>38</v>
      </c>
      <c r="AB1692" t="s">
        <v>38</v>
      </c>
      <c r="AC1692" t="s">
        <v>593</v>
      </c>
      <c r="AD1692" t="s">
        <v>48</v>
      </c>
      <c r="AG1692" t="str">
        <f>IF(AD1692="United States", IFERROR(INDEX(Sheet2!$C:$C, MATCH(AE1692&amp;AF1692, Sheet2!$E:$E, 0)) &amp; ", " &amp; INDEX(Sheet2!$D:$D, MATCH(AE1692&amp;AF1692, Sheet2!$E:$E, 0)), ""), "-")</f>
        <v/>
      </c>
    </row>
    <row r="1693" spans="1:33" x14ac:dyDescent="0.25">
      <c r="A1693" t="s">
        <v>2966</v>
      </c>
      <c r="B1693" t="s">
        <v>3302</v>
      </c>
      <c r="C1693" t="s">
        <v>3125</v>
      </c>
      <c r="D1693" t="s">
        <v>140</v>
      </c>
      <c r="E1693" t="s">
        <v>37</v>
      </c>
      <c r="F1693">
        <v>1751</v>
      </c>
      <c r="G1693">
        <v>1053</v>
      </c>
      <c r="H1693" t="s">
        <v>2975</v>
      </c>
      <c r="I1693" t="s">
        <v>80</v>
      </c>
      <c r="J1693" t="s">
        <v>3126</v>
      </c>
      <c r="K1693" t="s">
        <v>38</v>
      </c>
      <c r="L1693" t="s">
        <v>38</v>
      </c>
      <c r="M1693" t="s">
        <v>676</v>
      </c>
      <c r="N1693" t="s">
        <v>3303</v>
      </c>
      <c r="O1693" t="s">
        <v>57</v>
      </c>
      <c r="P1693" t="s">
        <v>42</v>
      </c>
      <c r="Q1693" t="s">
        <v>43</v>
      </c>
      <c r="R1693" t="s">
        <v>2452</v>
      </c>
      <c r="S1693" t="s">
        <v>38</v>
      </c>
      <c r="T1693" t="s">
        <v>89</v>
      </c>
      <c r="U1693" t="s">
        <v>2453</v>
      </c>
      <c r="V1693" t="s">
        <v>137</v>
      </c>
      <c r="W1693" t="s">
        <v>92</v>
      </c>
      <c r="X1693" t="s">
        <v>38</v>
      </c>
      <c r="Y1693" t="s">
        <v>38</v>
      </c>
      <c r="Z1693" t="s">
        <v>42</v>
      </c>
      <c r="AA1693" t="s">
        <v>38</v>
      </c>
      <c r="AB1693" t="s">
        <v>38</v>
      </c>
      <c r="AC1693" t="s">
        <v>38</v>
      </c>
      <c r="AD1693" t="s">
        <v>48</v>
      </c>
      <c r="AG1693" t="str">
        <f>IF(AD1693="United States", IFERROR(INDEX(Sheet2!$C:$C, MATCH(AE1693&amp;AF1693, Sheet2!$E:$E, 0)) &amp; ", " &amp; INDEX(Sheet2!$D:$D, MATCH(AE1693&amp;AF1693, Sheet2!$E:$E, 0)), ""), "-")</f>
        <v/>
      </c>
    </row>
    <row r="1694" spans="1:33" x14ac:dyDescent="0.25">
      <c r="A1694" t="s">
        <v>2966</v>
      </c>
      <c r="B1694" t="s">
        <v>3304</v>
      </c>
      <c r="C1694" t="s">
        <v>3125</v>
      </c>
      <c r="D1694" t="s">
        <v>200</v>
      </c>
      <c r="E1694" t="s">
        <v>37</v>
      </c>
      <c r="F1694">
        <v>1779</v>
      </c>
      <c r="G1694">
        <v>1054</v>
      </c>
      <c r="H1694" t="s">
        <v>2975</v>
      </c>
      <c r="I1694" t="s">
        <v>80</v>
      </c>
      <c r="J1694" t="s">
        <v>3126</v>
      </c>
      <c r="K1694" t="s">
        <v>38</v>
      </c>
      <c r="L1694" t="s">
        <v>38</v>
      </c>
      <c r="M1694" t="s">
        <v>140</v>
      </c>
      <c r="N1694" t="s">
        <v>37</v>
      </c>
      <c r="O1694" t="s">
        <v>54</v>
      </c>
      <c r="P1694" t="s">
        <v>42</v>
      </c>
      <c r="Q1694" t="s">
        <v>43</v>
      </c>
      <c r="R1694" t="s">
        <v>2452</v>
      </c>
      <c r="S1694" t="s">
        <v>38</v>
      </c>
      <c r="T1694" t="s">
        <v>89</v>
      </c>
      <c r="U1694" t="s">
        <v>2453</v>
      </c>
      <c r="V1694" t="s">
        <v>137</v>
      </c>
      <c r="W1694" t="s">
        <v>92</v>
      </c>
      <c r="X1694" t="s">
        <v>38</v>
      </c>
      <c r="Y1694" t="s">
        <v>38</v>
      </c>
      <c r="Z1694" t="s">
        <v>42</v>
      </c>
      <c r="AA1694" t="s">
        <v>38</v>
      </c>
      <c r="AB1694" t="s">
        <v>38</v>
      </c>
      <c r="AC1694" t="s">
        <v>38</v>
      </c>
      <c r="AD1694" t="s">
        <v>48</v>
      </c>
      <c r="AG1694" t="str">
        <f>IF(AD1694="United States", IFERROR(INDEX(Sheet2!$C:$C, MATCH(AE1694&amp;AF1694, Sheet2!$E:$E, 0)) &amp; ", " &amp; INDEX(Sheet2!$D:$D, MATCH(AE1694&amp;AF1694, Sheet2!$E:$E, 0)), ""), "-")</f>
        <v/>
      </c>
    </row>
    <row r="1695" spans="1:33" x14ac:dyDescent="0.25">
      <c r="A1695" t="s">
        <v>2966</v>
      </c>
      <c r="B1695" t="s">
        <v>3305</v>
      </c>
      <c r="C1695" t="s">
        <v>3125</v>
      </c>
      <c r="D1695" t="s">
        <v>162</v>
      </c>
      <c r="E1695" t="s">
        <v>37</v>
      </c>
      <c r="F1695">
        <v>1781</v>
      </c>
      <c r="G1695">
        <v>1055</v>
      </c>
      <c r="H1695" t="s">
        <v>38</v>
      </c>
      <c r="I1695" t="s">
        <v>80</v>
      </c>
      <c r="J1695" t="s">
        <v>3126</v>
      </c>
      <c r="K1695" t="s">
        <v>38</v>
      </c>
      <c r="L1695" t="s">
        <v>38</v>
      </c>
      <c r="M1695" t="s">
        <v>140</v>
      </c>
      <c r="N1695" t="s">
        <v>37</v>
      </c>
      <c r="O1695" t="s">
        <v>54</v>
      </c>
      <c r="P1695" t="s">
        <v>42</v>
      </c>
      <c r="Q1695" t="s">
        <v>43</v>
      </c>
      <c r="R1695" t="s">
        <v>38</v>
      </c>
      <c r="S1695" t="s">
        <v>38</v>
      </c>
      <c r="T1695" t="s">
        <v>38</v>
      </c>
      <c r="U1695" t="s">
        <v>38</v>
      </c>
      <c r="V1695" t="s">
        <v>137</v>
      </c>
      <c r="W1695" t="s">
        <v>38</v>
      </c>
      <c r="X1695" t="s">
        <v>38</v>
      </c>
      <c r="Y1695" t="s">
        <v>38</v>
      </c>
      <c r="Z1695" t="s">
        <v>42</v>
      </c>
      <c r="AA1695" t="s">
        <v>38</v>
      </c>
      <c r="AB1695" t="s">
        <v>38</v>
      </c>
      <c r="AC1695" t="s">
        <v>38</v>
      </c>
      <c r="AD1695" t="s">
        <v>48</v>
      </c>
      <c r="AG1695" t="str">
        <f>IF(AD1695="United States", IFERROR(INDEX(Sheet2!$C:$C, MATCH(AE1695&amp;AF1695, Sheet2!$E:$E, 0)) &amp; ", " &amp; INDEX(Sheet2!$D:$D, MATCH(AE1695&amp;AF1695, Sheet2!$E:$E, 0)), ""), "-")</f>
        <v/>
      </c>
    </row>
    <row r="1696" spans="1:33" x14ac:dyDescent="0.25">
      <c r="A1696" t="s">
        <v>2966</v>
      </c>
      <c r="B1696" t="s">
        <v>3306</v>
      </c>
      <c r="C1696" t="s">
        <v>3125</v>
      </c>
      <c r="D1696" t="s">
        <v>991</v>
      </c>
      <c r="E1696" t="s">
        <v>492</v>
      </c>
      <c r="F1696">
        <v>1753</v>
      </c>
      <c r="G1696">
        <v>1056</v>
      </c>
      <c r="H1696" t="s">
        <v>38</v>
      </c>
      <c r="I1696" t="s">
        <v>80</v>
      </c>
      <c r="J1696" t="s">
        <v>3126</v>
      </c>
      <c r="K1696" t="s">
        <v>38</v>
      </c>
      <c r="L1696" t="s">
        <v>38</v>
      </c>
      <c r="M1696" t="s">
        <v>38</v>
      </c>
      <c r="N1696" t="s">
        <v>38</v>
      </c>
      <c r="O1696" t="s">
        <v>41</v>
      </c>
      <c r="P1696" t="s">
        <v>42</v>
      </c>
      <c r="Q1696" t="s">
        <v>43</v>
      </c>
      <c r="R1696" t="s">
        <v>38</v>
      </c>
      <c r="S1696" t="s">
        <v>89</v>
      </c>
      <c r="T1696" t="s">
        <v>38</v>
      </c>
      <c r="U1696" t="s">
        <v>38</v>
      </c>
      <c r="V1696" t="s">
        <v>137</v>
      </c>
      <c r="W1696" t="s">
        <v>38</v>
      </c>
      <c r="X1696" t="s">
        <v>38</v>
      </c>
      <c r="Y1696" t="s">
        <v>38</v>
      </c>
      <c r="Z1696" t="s">
        <v>42</v>
      </c>
      <c r="AA1696" t="s">
        <v>1303</v>
      </c>
      <c r="AB1696" t="s">
        <v>38</v>
      </c>
      <c r="AC1696" t="s">
        <v>89</v>
      </c>
      <c r="AD1696" t="s">
        <v>48</v>
      </c>
      <c r="AG1696" t="str">
        <f>IF(AD1696="United States", IFERROR(INDEX(Sheet2!$C:$C, MATCH(AE1696&amp;AF1696, Sheet2!$E:$E, 0)) &amp; ", " &amp; INDEX(Sheet2!$D:$D, MATCH(AE1696&amp;AF1696, Sheet2!$E:$E, 0)), ""), "-")</f>
        <v/>
      </c>
    </row>
    <row r="1697" spans="1:33" x14ac:dyDescent="0.25">
      <c r="A1697" t="s">
        <v>2966</v>
      </c>
      <c r="B1697" t="s">
        <v>3307</v>
      </c>
      <c r="C1697" t="s">
        <v>3125</v>
      </c>
      <c r="D1697" t="s">
        <v>222</v>
      </c>
      <c r="E1697" t="s">
        <v>3308</v>
      </c>
      <c r="F1697">
        <v>1757</v>
      </c>
      <c r="G1697">
        <v>1057</v>
      </c>
      <c r="H1697" t="s">
        <v>38</v>
      </c>
      <c r="I1697" t="s">
        <v>80</v>
      </c>
      <c r="J1697" t="s">
        <v>3126</v>
      </c>
      <c r="K1697" t="s">
        <v>38</v>
      </c>
      <c r="L1697" t="s">
        <v>38</v>
      </c>
      <c r="M1697" t="s">
        <v>38</v>
      </c>
      <c r="N1697" t="s">
        <v>38</v>
      </c>
      <c r="O1697" t="s">
        <v>57</v>
      </c>
      <c r="P1697" t="s">
        <v>42</v>
      </c>
      <c r="Q1697" t="s">
        <v>43</v>
      </c>
      <c r="R1697" t="s">
        <v>38</v>
      </c>
      <c r="S1697" t="s">
        <v>89</v>
      </c>
      <c r="T1697" t="s">
        <v>38</v>
      </c>
      <c r="U1697" t="s">
        <v>38</v>
      </c>
      <c r="V1697" t="s">
        <v>137</v>
      </c>
      <c r="W1697" t="s">
        <v>38</v>
      </c>
      <c r="X1697" t="s">
        <v>38</v>
      </c>
      <c r="Y1697" t="s">
        <v>38</v>
      </c>
      <c r="Z1697" t="s">
        <v>42</v>
      </c>
      <c r="AA1697" t="s">
        <v>38</v>
      </c>
      <c r="AB1697" t="s">
        <v>38</v>
      </c>
      <c r="AC1697" t="s">
        <v>89</v>
      </c>
      <c r="AD1697" t="s">
        <v>48</v>
      </c>
      <c r="AG1697" t="str">
        <f>IF(AD1697="United States", IFERROR(INDEX(Sheet2!$C:$C, MATCH(AE1697&amp;AF1697, Sheet2!$E:$E, 0)) &amp; ", " &amp; INDEX(Sheet2!$D:$D, MATCH(AE1697&amp;AF1697, Sheet2!$E:$E, 0)), ""), "-")</f>
        <v/>
      </c>
    </row>
    <row r="1698" spans="1:33" x14ac:dyDescent="0.25">
      <c r="A1698" t="s">
        <v>2966</v>
      </c>
      <c r="B1698" t="s">
        <v>3309</v>
      </c>
      <c r="C1698" t="s">
        <v>3125</v>
      </c>
      <c r="D1698" t="s">
        <v>140</v>
      </c>
      <c r="E1698" t="s">
        <v>492</v>
      </c>
      <c r="F1698">
        <v>1780</v>
      </c>
      <c r="G1698">
        <v>1058</v>
      </c>
      <c r="H1698" t="s">
        <v>2975</v>
      </c>
      <c r="I1698" t="s">
        <v>80</v>
      </c>
      <c r="J1698" t="s">
        <v>3126</v>
      </c>
      <c r="K1698" t="s">
        <v>38</v>
      </c>
      <c r="L1698" t="s">
        <v>38</v>
      </c>
      <c r="M1698" t="s">
        <v>38</v>
      </c>
      <c r="N1698" t="s">
        <v>38</v>
      </c>
      <c r="O1698" t="s">
        <v>54</v>
      </c>
      <c r="P1698" t="s">
        <v>42</v>
      </c>
      <c r="Q1698" t="s">
        <v>43</v>
      </c>
      <c r="R1698" t="s">
        <v>2452</v>
      </c>
      <c r="S1698" t="s">
        <v>38</v>
      </c>
      <c r="T1698" t="s">
        <v>89</v>
      </c>
      <c r="U1698" t="s">
        <v>2453</v>
      </c>
      <c r="V1698" t="s">
        <v>137</v>
      </c>
      <c r="W1698" t="s">
        <v>92</v>
      </c>
      <c r="X1698" t="s">
        <v>38</v>
      </c>
      <c r="Y1698" t="s">
        <v>38</v>
      </c>
      <c r="Z1698" t="s">
        <v>42</v>
      </c>
      <c r="AA1698" t="s">
        <v>38</v>
      </c>
      <c r="AB1698" t="s">
        <v>38</v>
      </c>
      <c r="AC1698" t="s">
        <v>38</v>
      </c>
      <c r="AD1698" t="s">
        <v>48</v>
      </c>
      <c r="AG1698" t="str">
        <f>IF(AD1698="United States", IFERROR(INDEX(Sheet2!$C:$C, MATCH(AE1698&amp;AF1698, Sheet2!$E:$E, 0)) &amp; ", " &amp; INDEX(Sheet2!$D:$D, MATCH(AE1698&amp;AF1698, Sheet2!$E:$E, 0)), ""), "-")</f>
        <v/>
      </c>
    </row>
    <row r="1699" spans="1:33" x14ac:dyDescent="0.25">
      <c r="A1699" t="s">
        <v>2966</v>
      </c>
      <c r="B1699" t="s">
        <v>3310</v>
      </c>
      <c r="C1699" t="s">
        <v>3125</v>
      </c>
      <c r="D1699" t="s">
        <v>982</v>
      </c>
      <c r="E1699" t="s">
        <v>492</v>
      </c>
      <c r="F1699">
        <v>1765</v>
      </c>
      <c r="G1699">
        <v>1059</v>
      </c>
      <c r="H1699" t="s">
        <v>38</v>
      </c>
      <c r="I1699" t="s">
        <v>80</v>
      </c>
      <c r="J1699" t="s">
        <v>3126</v>
      </c>
      <c r="K1699" t="s">
        <v>38</v>
      </c>
      <c r="L1699" t="s">
        <v>38</v>
      </c>
      <c r="M1699" t="s">
        <v>38</v>
      </c>
      <c r="N1699" t="s">
        <v>38</v>
      </c>
      <c r="O1699" t="s">
        <v>54</v>
      </c>
      <c r="P1699" t="s">
        <v>42</v>
      </c>
      <c r="Q1699" t="s">
        <v>43</v>
      </c>
      <c r="R1699" t="s">
        <v>38</v>
      </c>
      <c r="S1699" t="s">
        <v>38</v>
      </c>
      <c r="T1699" t="s">
        <v>38</v>
      </c>
      <c r="U1699" t="s">
        <v>38</v>
      </c>
      <c r="V1699" t="s">
        <v>137</v>
      </c>
      <c r="W1699" t="s">
        <v>38</v>
      </c>
      <c r="X1699" t="s">
        <v>38</v>
      </c>
      <c r="Y1699" t="s">
        <v>38</v>
      </c>
      <c r="Z1699" t="s">
        <v>42</v>
      </c>
      <c r="AA1699" t="s">
        <v>38</v>
      </c>
      <c r="AB1699" t="s">
        <v>38</v>
      </c>
      <c r="AC1699" t="s">
        <v>38</v>
      </c>
      <c r="AD1699" t="s">
        <v>48</v>
      </c>
      <c r="AG1699" t="str">
        <f>IF(AD1699="United States", IFERROR(INDEX(Sheet2!$C:$C, MATCH(AE1699&amp;AF1699, Sheet2!$E:$E, 0)) &amp; ", " &amp; INDEX(Sheet2!$D:$D, MATCH(AE1699&amp;AF1699, Sheet2!$E:$E, 0)), ""), "-")</f>
        <v/>
      </c>
    </row>
    <row r="1700" spans="1:33" x14ac:dyDescent="0.25">
      <c r="A1700" t="s">
        <v>2966</v>
      </c>
      <c r="B1700" t="s">
        <v>3311</v>
      </c>
      <c r="C1700" t="s">
        <v>3125</v>
      </c>
      <c r="D1700" t="s">
        <v>1422</v>
      </c>
      <c r="E1700" t="s">
        <v>3312</v>
      </c>
      <c r="F1700">
        <v>1751</v>
      </c>
      <c r="G1700">
        <v>1060</v>
      </c>
      <c r="H1700" t="s">
        <v>38</v>
      </c>
      <c r="I1700" t="s">
        <v>80</v>
      </c>
      <c r="J1700" t="s">
        <v>3126</v>
      </c>
      <c r="K1700" t="s">
        <v>38</v>
      </c>
      <c r="L1700" t="s">
        <v>38</v>
      </c>
      <c r="M1700" t="s">
        <v>38</v>
      </c>
      <c r="N1700" t="s">
        <v>38</v>
      </c>
      <c r="O1700" t="s">
        <v>41</v>
      </c>
      <c r="P1700" t="s">
        <v>42</v>
      </c>
      <c r="Q1700" t="s">
        <v>43</v>
      </c>
      <c r="R1700" t="s">
        <v>38</v>
      </c>
      <c r="S1700" t="s">
        <v>38</v>
      </c>
      <c r="T1700" t="s">
        <v>38</v>
      </c>
      <c r="U1700" t="s">
        <v>38</v>
      </c>
      <c r="V1700" t="s">
        <v>137</v>
      </c>
      <c r="W1700" t="s">
        <v>38</v>
      </c>
      <c r="X1700" t="s">
        <v>38</v>
      </c>
      <c r="Y1700" t="s">
        <v>38</v>
      </c>
      <c r="Z1700" t="s">
        <v>42</v>
      </c>
      <c r="AA1700" t="s">
        <v>38</v>
      </c>
      <c r="AB1700" t="s">
        <v>38</v>
      </c>
      <c r="AC1700" t="s">
        <v>593</v>
      </c>
      <c r="AD1700" t="s">
        <v>48</v>
      </c>
      <c r="AG1700" t="str">
        <f>IF(AD1700="United States", IFERROR(INDEX(Sheet2!$C:$C, MATCH(AE1700&amp;AF1700, Sheet2!$E:$E, 0)) &amp; ", " &amp; INDEX(Sheet2!$D:$D, MATCH(AE1700&amp;AF1700, Sheet2!$E:$E, 0)), ""), "-")</f>
        <v/>
      </c>
    </row>
    <row r="1701" spans="1:33" x14ac:dyDescent="0.25">
      <c r="A1701" t="s">
        <v>2966</v>
      </c>
      <c r="B1701" t="s">
        <v>3313</v>
      </c>
      <c r="C1701" t="s">
        <v>3125</v>
      </c>
      <c r="D1701" t="s">
        <v>210</v>
      </c>
      <c r="E1701" t="s">
        <v>3314</v>
      </c>
      <c r="F1701">
        <v>1748</v>
      </c>
      <c r="G1701">
        <v>1205</v>
      </c>
      <c r="H1701" t="s">
        <v>2977</v>
      </c>
      <c r="I1701" t="s">
        <v>80</v>
      </c>
      <c r="J1701" t="s">
        <v>3126</v>
      </c>
      <c r="K1701" t="s">
        <v>38</v>
      </c>
      <c r="L1701" t="s">
        <v>38</v>
      </c>
      <c r="M1701" t="s">
        <v>38</v>
      </c>
      <c r="N1701" t="s">
        <v>38</v>
      </c>
      <c r="O1701" t="s">
        <v>41</v>
      </c>
      <c r="P1701" t="s">
        <v>42</v>
      </c>
      <c r="Q1701" t="s">
        <v>43</v>
      </c>
      <c r="R1701" t="s">
        <v>2452</v>
      </c>
      <c r="S1701" t="s">
        <v>45</v>
      </c>
      <c r="T1701" t="s">
        <v>89</v>
      </c>
      <c r="U1701" t="s">
        <v>2453</v>
      </c>
      <c r="V1701" t="s">
        <v>137</v>
      </c>
      <c r="W1701" t="s">
        <v>92</v>
      </c>
      <c r="X1701" t="s">
        <v>38</v>
      </c>
      <c r="Y1701" t="s">
        <v>38</v>
      </c>
      <c r="Z1701" t="s">
        <v>42</v>
      </c>
      <c r="AA1701" t="s">
        <v>1269</v>
      </c>
      <c r="AB1701" t="s">
        <v>38</v>
      </c>
      <c r="AC1701" t="s">
        <v>45</v>
      </c>
      <c r="AD1701" t="s">
        <v>48</v>
      </c>
      <c r="AG1701" t="str">
        <f>IF(AD1701="United States", IFERROR(INDEX(Sheet2!$C:$C, MATCH(AE1701&amp;AF1701, Sheet2!$E:$E, 0)) &amp; ", " &amp; INDEX(Sheet2!$D:$D, MATCH(AE1701&amp;AF1701, Sheet2!$E:$E, 0)), ""), "-")</f>
        <v/>
      </c>
    </row>
    <row r="1702" spans="1:33" x14ac:dyDescent="0.25">
      <c r="A1702" t="s">
        <v>2966</v>
      </c>
      <c r="B1702" t="s">
        <v>3315</v>
      </c>
      <c r="C1702" t="s">
        <v>3125</v>
      </c>
      <c r="D1702" t="s">
        <v>1491</v>
      </c>
      <c r="E1702" t="s">
        <v>859</v>
      </c>
      <c r="F1702">
        <v>1768</v>
      </c>
      <c r="G1702">
        <v>1206</v>
      </c>
      <c r="H1702" t="s">
        <v>38</v>
      </c>
      <c r="I1702" t="s">
        <v>80</v>
      </c>
      <c r="J1702" t="s">
        <v>3126</v>
      </c>
      <c r="K1702" t="s">
        <v>38</v>
      </c>
      <c r="L1702" t="s">
        <v>38</v>
      </c>
      <c r="M1702" t="s">
        <v>38</v>
      </c>
      <c r="N1702" t="s">
        <v>38</v>
      </c>
      <c r="O1702" t="s">
        <v>54</v>
      </c>
      <c r="P1702" t="s">
        <v>42</v>
      </c>
      <c r="Q1702" t="s">
        <v>43</v>
      </c>
      <c r="R1702" t="s">
        <v>241</v>
      </c>
      <c r="S1702" t="s">
        <v>45</v>
      </c>
      <c r="T1702" t="s">
        <v>38</v>
      </c>
      <c r="U1702" t="s">
        <v>38</v>
      </c>
      <c r="V1702" t="s">
        <v>137</v>
      </c>
      <c r="W1702" t="s">
        <v>38</v>
      </c>
      <c r="X1702" t="s">
        <v>38</v>
      </c>
      <c r="Y1702" t="s">
        <v>38</v>
      </c>
      <c r="Z1702" t="s">
        <v>42</v>
      </c>
      <c r="AA1702" t="s">
        <v>241</v>
      </c>
      <c r="AB1702" t="s">
        <v>38</v>
      </c>
      <c r="AC1702" t="s">
        <v>45</v>
      </c>
      <c r="AD1702" t="s">
        <v>48</v>
      </c>
      <c r="AG1702" t="str">
        <f>IF(AD1702="United States", IFERROR(INDEX(Sheet2!$C:$C, MATCH(AE1702&amp;AF1702, Sheet2!$E:$E, 0)) &amp; ", " &amp; INDEX(Sheet2!$D:$D, MATCH(AE1702&amp;AF1702, Sheet2!$E:$E, 0)), ""), "-")</f>
        <v/>
      </c>
    </row>
    <row r="1703" spans="1:33" x14ac:dyDescent="0.25">
      <c r="A1703" t="s">
        <v>2966</v>
      </c>
      <c r="B1703" t="s">
        <v>3316</v>
      </c>
      <c r="C1703" t="s">
        <v>3125</v>
      </c>
      <c r="D1703" t="s">
        <v>834</v>
      </c>
      <c r="E1703" t="s">
        <v>1141</v>
      </c>
      <c r="F1703">
        <v>1772</v>
      </c>
      <c r="G1703">
        <v>1222</v>
      </c>
      <c r="H1703" t="s">
        <v>38</v>
      </c>
      <c r="I1703" t="s">
        <v>80</v>
      </c>
      <c r="J1703" t="s">
        <v>3126</v>
      </c>
      <c r="K1703" t="s">
        <v>38</v>
      </c>
      <c r="L1703" t="s">
        <v>38</v>
      </c>
      <c r="M1703" t="s">
        <v>676</v>
      </c>
      <c r="N1703" t="s">
        <v>3317</v>
      </c>
      <c r="O1703" t="s">
        <v>74</v>
      </c>
      <c r="P1703" t="s">
        <v>42</v>
      </c>
      <c r="Q1703" t="s">
        <v>43</v>
      </c>
      <c r="R1703" t="s">
        <v>38</v>
      </c>
      <c r="S1703" t="s">
        <v>45</v>
      </c>
      <c r="T1703" t="s">
        <v>38</v>
      </c>
      <c r="U1703" t="s">
        <v>38</v>
      </c>
      <c r="V1703" t="s">
        <v>137</v>
      </c>
      <c r="W1703" t="s">
        <v>38</v>
      </c>
      <c r="X1703" t="s">
        <v>38</v>
      </c>
      <c r="Y1703" t="s">
        <v>38</v>
      </c>
      <c r="Z1703" t="s">
        <v>42</v>
      </c>
      <c r="AA1703" t="s">
        <v>38</v>
      </c>
      <c r="AB1703" t="s">
        <v>38</v>
      </c>
      <c r="AC1703" t="s">
        <v>45</v>
      </c>
      <c r="AD1703" t="s">
        <v>48</v>
      </c>
      <c r="AG1703" t="str">
        <f>IF(AD1703="United States", IFERROR(INDEX(Sheet2!$C:$C, MATCH(AE1703&amp;AF1703, Sheet2!$E:$E, 0)) &amp; ", " &amp; INDEX(Sheet2!$D:$D, MATCH(AE1703&amp;AF1703, Sheet2!$E:$E, 0)), ""), "-")</f>
        <v/>
      </c>
    </row>
    <row r="1704" spans="1:33" x14ac:dyDescent="0.25">
      <c r="A1704" t="s">
        <v>2966</v>
      </c>
      <c r="B1704" t="s">
        <v>3318</v>
      </c>
      <c r="C1704" t="s">
        <v>3125</v>
      </c>
      <c r="D1704" t="s">
        <v>1603</v>
      </c>
      <c r="E1704" t="s">
        <v>3319</v>
      </c>
      <c r="F1704">
        <v>1757</v>
      </c>
      <c r="G1704">
        <v>1207</v>
      </c>
      <c r="H1704" t="s">
        <v>38</v>
      </c>
      <c r="I1704" t="s">
        <v>80</v>
      </c>
      <c r="J1704" t="s">
        <v>3126</v>
      </c>
      <c r="K1704" t="s">
        <v>38</v>
      </c>
      <c r="L1704" t="s">
        <v>38</v>
      </c>
      <c r="M1704" t="s">
        <v>38</v>
      </c>
      <c r="N1704" t="s">
        <v>38</v>
      </c>
      <c r="O1704" t="s">
        <v>57</v>
      </c>
      <c r="P1704" t="s">
        <v>42</v>
      </c>
      <c r="Q1704" t="s">
        <v>43</v>
      </c>
      <c r="R1704" t="s">
        <v>3320</v>
      </c>
      <c r="S1704" t="s">
        <v>201</v>
      </c>
      <c r="T1704" t="s">
        <v>38</v>
      </c>
      <c r="U1704" t="s">
        <v>38</v>
      </c>
      <c r="V1704" t="s">
        <v>137</v>
      </c>
      <c r="W1704" t="s">
        <v>38</v>
      </c>
      <c r="X1704" t="s">
        <v>38</v>
      </c>
      <c r="Y1704" t="s">
        <v>38</v>
      </c>
      <c r="Z1704" t="s">
        <v>42</v>
      </c>
      <c r="AA1704" t="s">
        <v>202</v>
      </c>
      <c r="AB1704" t="s">
        <v>38</v>
      </c>
      <c r="AC1704" t="s">
        <v>201</v>
      </c>
      <c r="AD1704" t="s">
        <v>48</v>
      </c>
      <c r="AG1704" t="str">
        <f>IF(AD1704="United States", IFERROR(INDEX(Sheet2!$C:$C, MATCH(AE1704&amp;AF1704, Sheet2!$E:$E, 0)) &amp; ", " &amp; INDEX(Sheet2!$D:$D, MATCH(AE1704&amp;AF1704, Sheet2!$E:$E, 0)), ""), "-")</f>
        <v/>
      </c>
    </row>
    <row r="1705" spans="1:33" x14ac:dyDescent="0.25">
      <c r="A1705" t="s">
        <v>2966</v>
      </c>
      <c r="B1705" t="s">
        <v>3321</v>
      </c>
      <c r="C1705" t="s">
        <v>3125</v>
      </c>
      <c r="D1705" t="s">
        <v>200</v>
      </c>
      <c r="E1705" t="s">
        <v>3319</v>
      </c>
      <c r="F1705">
        <v>1781</v>
      </c>
      <c r="G1705">
        <v>1209</v>
      </c>
      <c r="H1705" t="s">
        <v>2975</v>
      </c>
      <c r="I1705" t="s">
        <v>80</v>
      </c>
      <c r="J1705" t="s">
        <v>3126</v>
      </c>
      <c r="K1705" t="s">
        <v>38</v>
      </c>
      <c r="L1705" t="s">
        <v>38</v>
      </c>
      <c r="M1705" t="s">
        <v>38</v>
      </c>
      <c r="N1705" t="s">
        <v>38</v>
      </c>
      <c r="O1705" t="s">
        <v>54</v>
      </c>
      <c r="P1705" t="s">
        <v>42</v>
      </c>
      <c r="Q1705" t="s">
        <v>43</v>
      </c>
      <c r="R1705" t="s">
        <v>2452</v>
      </c>
      <c r="S1705" t="s">
        <v>38</v>
      </c>
      <c r="T1705" t="s">
        <v>89</v>
      </c>
      <c r="U1705" t="s">
        <v>2453</v>
      </c>
      <c r="V1705" t="s">
        <v>137</v>
      </c>
      <c r="W1705" t="s">
        <v>92</v>
      </c>
      <c r="X1705" t="s">
        <v>38</v>
      </c>
      <c r="Y1705" t="s">
        <v>38</v>
      </c>
      <c r="Z1705" t="s">
        <v>42</v>
      </c>
      <c r="AA1705" t="s">
        <v>38</v>
      </c>
      <c r="AB1705" t="s">
        <v>38</v>
      </c>
      <c r="AC1705" t="s">
        <v>38</v>
      </c>
      <c r="AD1705" t="s">
        <v>48</v>
      </c>
      <c r="AG1705" t="str">
        <f>IF(AD1705="United States", IFERROR(INDEX(Sheet2!$C:$C, MATCH(AE1705&amp;AF1705, Sheet2!$E:$E, 0)) &amp; ", " &amp; INDEX(Sheet2!$D:$D, MATCH(AE1705&amp;AF1705, Sheet2!$E:$E, 0)), ""), "-")</f>
        <v/>
      </c>
    </row>
    <row r="1706" spans="1:33" x14ac:dyDescent="0.25">
      <c r="A1706" t="s">
        <v>2966</v>
      </c>
      <c r="B1706" t="s">
        <v>3322</v>
      </c>
      <c r="C1706" t="s">
        <v>3125</v>
      </c>
      <c r="D1706" t="s">
        <v>3323</v>
      </c>
      <c r="E1706" t="s">
        <v>3319</v>
      </c>
      <c r="F1706">
        <v>1753</v>
      </c>
      <c r="G1706">
        <v>1210</v>
      </c>
      <c r="H1706" t="s">
        <v>38</v>
      </c>
      <c r="I1706" t="s">
        <v>80</v>
      </c>
      <c r="J1706" t="s">
        <v>3126</v>
      </c>
      <c r="K1706" t="s">
        <v>38</v>
      </c>
      <c r="L1706" t="s">
        <v>38</v>
      </c>
      <c r="M1706" t="s">
        <v>38</v>
      </c>
      <c r="N1706" t="s">
        <v>38</v>
      </c>
      <c r="O1706" t="s">
        <v>41</v>
      </c>
      <c r="P1706" t="s">
        <v>42</v>
      </c>
      <c r="Q1706" t="s">
        <v>43</v>
      </c>
      <c r="R1706" t="s">
        <v>3324</v>
      </c>
      <c r="S1706" t="s">
        <v>201</v>
      </c>
      <c r="T1706" t="s">
        <v>38</v>
      </c>
      <c r="U1706" t="s">
        <v>38</v>
      </c>
      <c r="V1706" t="s">
        <v>137</v>
      </c>
      <c r="W1706" t="s">
        <v>38</v>
      </c>
      <c r="X1706" t="s">
        <v>38</v>
      </c>
      <c r="Y1706" t="s">
        <v>38</v>
      </c>
      <c r="Z1706" t="s">
        <v>42</v>
      </c>
      <c r="AA1706" t="s">
        <v>202</v>
      </c>
      <c r="AB1706" t="s">
        <v>38</v>
      </c>
      <c r="AC1706" t="s">
        <v>201</v>
      </c>
      <c r="AD1706" t="s">
        <v>48</v>
      </c>
      <c r="AG1706" t="str">
        <f>IF(AD1706="United States", IFERROR(INDEX(Sheet2!$C:$C, MATCH(AE1706&amp;AF1706, Sheet2!$E:$E, 0)) &amp; ", " &amp; INDEX(Sheet2!$D:$D, MATCH(AE1706&amp;AF1706, Sheet2!$E:$E, 0)), ""), "-")</f>
        <v/>
      </c>
    </row>
    <row r="1707" spans="1:33" x14ac:dyDescent="0.25">
      <c r="A1707" t="s">
        <v>2966</v>
      </c>
      <c r="B1707" t="s">
        <v>3325</v>
      </c>
      <c r="C1707" t="s">
        <v>3125</v>
      </c>
      <c r="D1707" t="s">
        <v>495</v>
      </c>
      <c r="E1707" t="s">
        <v>3326</v>
      </c>
      <c r="F1707">
        <v>1762</v>
      </c>
      <c r="G1707">
        <v>1211</v>
      </c>
      <c r="H1707" t="s">
        <v>2975</v>
      </c>
      <c r="I1707" t="s">
        <v>80</v>
      </c>
      <c r="J1707" t="s">
        <v>3126</v>
      </c>
      <c r="K1707" t="s">
        <v>38</v>
      </c>
      <c r="L1707" t="s">
        <v>38</v>
      </c>
      <c r="M1707" t="s">
        <v>38</v>
      </c>
      <c r="N1707" t="s">
        <v>38</v>
      </c>
      <c r="O1707" t="s">
        <v>57</v>
      </c>
      <c r="P1707" t="s">
        <v>42</v>
      </c>
      <c r="Q1707" t="s">
        <v>43</v>
      </c>
      <c r="R1707" t="s">
        <v>2452</v>
      </c>
      <c r="S1707" t="s">
        <v>45</v>
      </c>
      <c r="T1707" t="s">
        <v>89</v>
      </c>
      <c r="U1707" t="s">
        <v>2453</v>
      </c>
      <c r="V1707" t="s">
        <v>137</v>
      </c>
      <c r="W1707" t="s">
        <v>92</v>
      </c>
      <c r="X1707" t="s">
        <v>38</v>
      </c>
      <c r="Y1707" t="s">
        <v>38</v>
      </c>
      <c r="Z1707" t="s">
        <v>42</v>
      </c>
      <c r="AA1707" t="s">
        <v>38</v>
      </c>
      <c r="AB1707" t="s">
        <v>38</v>
      </c>
      <c r="AC1707" t="s">
        <v>45</v>
      </c>
      <c r="AD1707" t="s">
        <v>48</v>
      </c>
      <c r="AG1707" t="str">
        <f>IF(AD1707="United States", IFERROR(INDEX(Sheet2!$C:$C, MATCH(AE1707&amp;AF1707, Sheet2!$E:$E, 0)) &amp; ", " &amp; INDEX(Sheet2!$D:$D, MATCH(AE1707&amp;AF1707, Sheet2!$E:$E, 0)), ""), "-")</f>
        <v/>
      </c>
    </row>
    <row r="1708" spans="1:33" x14ac:dyDescent="0.25">
      <c r="A1708" t="s">
        <v>2966</v>
      </c>
      <c r="B1708" t="s">
        <v>3327</v>
      </c>
      <c r="C1708" t="s">
        <v>3125</v>
      </c>
      <c r="D1708" t="s">
        <v>177</v>
      </c>
      <c r="E1708" t="s">
        <v>3326</v>
      </c>
      <c r="F1708">
        <v>1765</v>
      </c>
      <c r="G1708">
        <v>1212</v>
      </c>
      <c r="H1708" t="s">
        <v>38</v>
      </c>
      <c r="I1708" t="s">
        <v>80</v>
      </c>
      <c r="J1708" t="s">
        <v>3126</v>
      </c>
      <c r="K1708" t="s">
        <v>38</v>
      </c>
      <c r="L1708" t="s">
        <v>38</v>
      </c>
      <c r="M1708" t="s">
        <v>38</v>
      </c>
      <c r="N1708" t="s">
        <v>38</v>
      </c>
      <c r="O1708" t="s">
        <v>54</v>
      </c>
      <c r="P1708" t="s">
        <v>42</v>
      </c>
      <c r="Q1708" t="s">
        <v>43</v>
      </c>
      <c r="R1708" t="s">
        <v>38</v>
      </c>
      <c r="S1708" t="s">
        <v>38</v>
      </c>
      <c r="T1708" t="s">
        <v>38</v>
      </c>
      <c r="U1708" t="s">
        <v>38</v>
      </c>
      <c r="V1708" t="s">
        <v>137</v>
      </c>
      <c r="W1708" t="s">
        <v>38</v>
      </c>
      <c r="X1708" t="s">
        <v>38</v>
      </c>
      <c r="Y1708" t="s">
        <v>38</v>
      </c>
      <c r="Z1708" t="s">
        <v>42</v>
      </c>
      <c r="AA1708" t="s">
        <v>38</v>
      </c>
      <c r="AB1708" t="s">
        <v>38</v>
      </c>
      <c r="AC1708" t="s">
        <v>38</v>
      </c>
      <c r="AD1708" t="s">
        <v>48</v>
      </c>
      <c r="AG1708" t="str">
        <f>IF(AD1708="United States", IFERROR(INDEX(Sheet2!$C:$C, MATCH(AE1708&amp;AF1708, Sheet2!$E:$E, 0)) &amp; ", " &amp; INDEX(Sheet2!$D:$D, MATCH(AE1708&amp;AF1708, Sheet2!$E:$E, 0)), ""), "-")</f>
        <v/>
      </c>
    </row>
    <row r="1709" spans="1:33" x14ac:dyDescent="0.25">
      <c r="A1709" t="s">
        <v>2966</v>
      </c>
      <c r="B1709" t="s">
        <v>3328</v>
      </c>
      <c r="C1709" t="s">
        <v>3125</v>
      </c>
      <c r="D1709" t="s">
        <v>1003</v>
      </c>
      <c r="E1709" t="s">
        <v>1387</v>
      </c>
      <c r="F1709">
        <v>1771</v>
      </c>
      <c r="G1709">
        <v>1213</v>
      </c>
      <c r="H1709" t="s">
        <v>2975</v>
      </c>
      <c r="I1709" t="s">
        <v>80</v>
      </c>
      <c r="J1709" t="s">
        <v>3126</v>
      </c>
      <c r="K1709" t="s">
        <v>38</v>
      </c>
      <c r="L1709" t="s">
        <v>38</v>
      </c>
      <c r="M1709" t="s">
        <v>38</v>
      </c>
      <c r="N1709" t="s">
        <v>38</v>
      </c>
      <c r="O1709" t="s">
        <v>74</v>
      </c>
      <c r="P1709" t="s">
        <v>42</v>
      </c>
      <c r="Q1709" t="s">
        <v>43</v>
      </c>
      <c r="R1709" t="s">
        <v>2452</v>
      </c>
      <c r="S1709" t="s">
        <v>45</v>
      </c>
      <c r="T1709" t="s">
        <v>89</v>
      </c>
      <c r="U1709" t="s">
        <v>2453</v>
      </c>
      <c r="V1709" t="s">
        <v>137</v>
      </c>
      <c r="W1709" t="s">
        <v>92</v>
      </c>
      <c r="X1709" t="s">
        <v>38</v>
      </c>
      <c r="Y1709" t="s">
        <v>38</v>
      </c>
      <c r="Z1709" t="s">
        <v>42</v>
      </c>
      <c r="AA1709" t="s">
        <v>38</v>
      </c>
      <c r="AB1709" t="s">
        <v>38</v>
      </c>
      <c r="AC1709" t="s">
        <v>45</v>
      </c>
      <c r="AD1709" t="s">
        <v>48</v>
      </c>
      <c r="AG1709" t="str">
        <f>IF(AD1709="United States", IFERROR(INDEX(Sheet2!$C:$C, MATCH(AE1709&amp;AF1709, Sheet2!$E:$E, 0)) &amp; ", " &amp; INDEX(Sheet2!$D:$D, MATCH(AE1709&amp;AF1709, Sheet2!$E:$E, 0)), ""), "-")</f>
        <v/>
      </c>
    </row>
    <row r="1710" spans="1:33" x14ac:dyDescent="0.25">
      <c r="A1710" t="s">
        <v>2966</v>
      </c>
      <c r="B1710" t="s">
        <v>3329</v>
      </c>
      <c r="C1710" t="s">
        <v>3125</v>
      </c>
      <c r="D1710" t="s">
        <v>177</v>
      </c>
      <c r="E1710" t="s">
        <v>2754</v>
      </c>
      <c r="F1710">
        <v>1773</v>
      </c>
      <c r="G1710">
        <v>1214</v>
      </c>
      <c r="H1710" t="s">
        <v>38</v>
      </c>
      <c r="I1710" t="s">
        <v>80</v>
      </c>
      <c r="J1710" t="s">
        <v>3126</v>
      </c>
      <c r="K1710" t="s">
        <v>38</v>
      </c>
      <c r="L1710" t="s">
        <v>38</v>
      </c>
      <c r="M1710" t="s">
        <v>38</v>
      </c>
      <c r="N1710" t="s">
        <v>38</v>
      </c>
      <c r="O1710" t="s">
        <v>54</v>
      </c>
      <c r="P1710" t="s">
        <v>42</v>
      </c>
      <c r="Q1710" t="s">
        <v>43</v>
      </c>
      <c r="R1710" t="s">
        <v>3330</v>
      </c>
      <c r="S1710" t="s">
        <v>45</v>
      </c>
      <c r="T1710" t="s">
        <v>38</v>
      </c>
      <c r="U1710" t="s">
        <v>38</v>
      </c>
      <c r="V1710" t="s">
        <v>137</v>
      </c>
      <c r="W1710" t="s">
        <v>38</v>
      </c>
      <c r="X1710" t="s">
        <v>38</v>
      </c>
      <c r="Y1710" t="s">
        <v>38</v>
      </c>
      <c r="Z1710" t="s">
        <v>42</v>
      </c>
      <c r="AA1710" t="s">
        <v>3102</v>
      </c>
      <c r="AB1710" t="s">
        <v>38</v>
      </c>
      <c r="AC1710" t="s">
        <v>45</v>
      </c>
      <c r="AD1710" t="s">
        <v>48</v>
      </c>
      <c r="AG1710" t="str">
        <f>IF(AD1710="United States", IFERROR(INDEX(Sheet2!$C:$C, MATCH(AE1710&amp;AF1710, Sheet2!$E:$E, 0)) &amp; ", " &amp; INDEX(Sheet2!$D:$D, MATCH(AE1710&amp;AF1710, Sheet2!$E:$E, 0)), ""), "-")</f>
        <v/>
      </c>
    </row>
    <row r="1711" spans="1:33" x14ac:dyDescent="0.25">
      <c r="A1711" t="s">
        <v>2966</v>
      </c>
      <c r="B1711" t="s">
        <v>3331</v>
      </c>
      <c r="C1711" t="s">
        <v>3125</v>
      </c>
      <c r="D1711" t="s">
        <v>195</v>
      </c>
      <c r="E1711" t="s">
        <v>3332</v>
      </c>
      <c r="F1711">
        <v>1755</v>
      </c>
      <c r="G1711">
        <v>1215</v>
      </c>
      <c r="H1711" t="s">
        <v>2975</v>
      </c>
      <c r="I1711" t="s">
        <v>80</v>
      </c>
      <c r="J1711" t="s">
        <v>3126</v>
      </c>
      <c r="K1711" t="s">
        <v>38</v>
      </c>
      <c r="L1711" t="s">
        <v>38</v>
      </c>
      <c r="M1711" t="s">
        <v>38</v>
      </c>
      <c r="N1711" t="s">
        <v>38</v>
      </c>
      <c r="O1711" t="s">
        <v>41</v>
      </c>
      <c r="P1711" t="s">
        <v>42</v>
      </c>
      <c r="Q1711" t="s">
        <v>43</v>
      </c>
      <c r="R1711" t="s">
        <v>2452</v>
      </c>
      <c r="S1711" t="s">
        <v>45</v>
      </c>
      <c r="T1711" t="s">
        <v>89</v>
      </c>
      <c r="U1711" t="s">
        <v>2453</v>
      </c>
      <c r="V1711" t="s">
        <v>137</v>
      </c>
      <c r="W1711" t="s">
        <v>92</v>
      </c>
      <c r="X1711" t="s">
        <v>38</v>
      </c>
      <c r="Y1711" t="s">
        <v>38</v>
      </c>
      <c r="Z1711" t="s">
        <v>42</v>
      </c>
      <c r="AA1711" t="s">
        <v>1135</v>
      </c>
      <c r="AB1711" t="s">
        <v>38</v>
      </c>
      <c r="AC1711" t="s">
        <v>45</v>
      </c>
      <c r="AD1711" t="s">
        <v>48</v>
      </c>
      <c r="AG1711" t="str">
        <f>IF(AD1711="United States", IFERROR(INDEX(Sheet2!$C:$C, MATCH(AE1711&amp;AF1711, Sheet2!$E:$E, 0)) &amp; ", " &amp; INDEX(Sheet2!$D:$D, MATCH(AE1711&amp;AF1711, Sheet2!$E:$E, 0)), ""), "-")</f>
        <v/>
      </c>
    </row>
    <row r="1712" spans="1:33" x14ac:dyDescent="0.25">
      <c r="A1712" t="s">
        <v>2966</v>
      </c>
      <c r="B1712" t="s">
        <v>3333</v>
      </c>
      <c r="C1712" t="s">
        <v>3125</v>
      </c>
      <c r="D1712" t="s">
        <v>72</v>
      </c>
      <c r="E1712" t="s">
        <v>3332</v>
      </c>
      <c r="F1712">
        <v>1753</v>
      </c>
      <c r="G1712">
        <v>1216</v>
      </c>
      <c r="H1712" t="s">
        <v>2975</v>
      </c>
      <c r="I1712" t="s">
        <v>80</v>
      </c>
      <c r="J1712" t="s">
        <v>3126</v>
      </c>
      <c r="K1712" t="s">
        <v>38</v>
      </c>
      <c r="L1712" t="s">
        <v>38</v>
      </c>
      <c r="M1712" t="s">
        <v>38</v>
      </c>
      <c r="N1712" t="s">
        <v>38</v>
      </c>
      <c r="O1712" t="s">
        <v>57</v>
      </c>
      <c r="P1712" t="s">
        <v>42</v>
      </c>
      <c r="Q1712" t="s">
        <v>43</v>
      </c>
      <c r="R1712" t="s">
        <v>2452</v>
      </c>
      <c r="S1712" t="s">
        <v>45</v>
      </c>
      <c r="T1712" t="s">
        <v>89</v>
      </c>
      <c r="U1712" t="s">
        <v>2453</v>
      </c>
      <c r="V1712" t="s">
        <v>137</v>
      </c>
      <c r="W1712" t="s">
        <v>92</v>
      </c>
      <c r="X1712" t="s">
        <v>38</v>
      </c>
      <c r="Y1712" t="s">
        <v>38</v>
      </c>
      <c r="Z1712" t="s">
        <v>42</v>
      </c>
      <c r="AA1712" t="s">
        <v>1135</v>
      </c>
      <c r="AB1712" t="s">
        <v>38</v>
      </c>
      <c r="AC1712" t="s">
        <v>45</v>
      </c>
      <c r="AD1712" t="s">
        <v>48</v>
      </c>
      <c r="AG1712" t="str">
        <f>IF(AD1712="United States", IFERROR(INDEX(Sheet2!$C:$C, MATCH(AE1712&amp;AF1712, Sheet2!$E:$E, 0)) &amp; ", " &amp; INDEX(Sheet2!$D:$D, MATCH(AE1712&amp;AF1712, Sheet2!$E:$E, 0)), ""), "-")</f>
        <v/>
      </c>
    </row>
    <row r="1713" spans="1:33" x14ac:dyDescent="0.25">
      <c r="A1713" t="s">
        <v>2966</v>
      </c>
      <c r="B1713" t="s">
        <v>3334</v>
      </c>
      <c r="C1713" t="s">
        <v>3125</v>
      </c>
      <c r="D1713" t="s">
        <v>3335</v>
      </c>
      <c r="E1713" t="s">
        <v>3332</v>
      </c>
      <c r="F1713">
        <v>1781</v>
      </c>
      <c r="G1713">
        <v>1217</v>
      </c>
      <c r="H1713" t="s">
        <v>38</v>
      </c>
      <c r="I1713" t="s">
        <v>80</v>
      </c>
      <c r="J1713" t="s">
        <v>3126</v>
      </c>
      <c r="K1713" t="s">
        <v>38</v>
      </c>
      <c r="L1713" t="s">
        <v>38</v>
      </c>
      <c r="M1713" t="s">
        <v>38</v>
      </c>
      <c r="N1713" t="s">
        <v>38</v>
      </c>
      <c r="O1713" t="s">
        <v>54</v>
      </c>
      <c r="P1713" t="s">
        <v>42</v>
      </c>
      <c r="Q1713" t="s">
        <v>43</v>
      </c>
      <c r="R1713" t="s">
        <v>38</v>
      </c>
      <c r="S1713" t="s">
        <v>38</v>
      </c>
      <c r="T1713" t="s">
        <v>38</v>
      </c>
      <c r="U1713" t="s">
        <v>38</v>
      </c>
      <c r="V1713" t="s">
        <v>137</v>
      </c>
      <c r="W1713" t="s">
        <v>38</v>
      </c>
      <c r="X1713" t="s">
        <v>38</v>
      </c>
      <c r="Y1713" t="s">
        <v>38</v>
      </c>
      <c r="Z1713" t="s">
        <v>42</v>
      </c>
      <c r="AA1713" t="s">
        <v>38</v>
      </c>
      <c r="AB1713" t="s">
        <v>38</v>
      </c>
      <c r="AC1713" t="s">
        <v>38</v>
      </c>
      <c r="AD1713" t="s">
        <v>48</v>
      </c>
      <c r="AG1713" t="str">
        <f>IF(AD1713="United States", IFERROR(INDEX(Sheet2!$C:$C, MATCH(AE1713&amp;AF1713, Sheet2!$E:$E, 0)) &amp; ", " &amp; INDEX(Sheet2!$D:$D, MATCH(AE1713&amp;AF1713, Sheet2!$E:$E, 0)), ""), "-")</f>
        <v/>
      </c>
    </row>
    <row r="1714" spans="1:33" x14ac:dyDescent="0.25">
      <c r="A1714" t="s">
        <v>2966</v>
      </c>
      <c r="B1714" t="s">
        <v>3336</v>
      </c>
      <c r="C1714" t="s">
        <v>3125</v>
      </c>
      <c r="D1714" t="s">
        <v>463</v>
      </c>
      <c r="E1714" t="s">
        <v>1327</v>
      </c>
      <c r="F1714">
        <v>1753</v>
      </c>
      <c r="G1714">
        <v>1218</v>
      </c>
      <c r="H1714" t="s">
        <v>38</v>
      </c>
      <c r="I1714" t="s">
        <v>80</v>
      </c>
      <c r="J1714" t="s">
        <v>3126</v>
      </c>
      <c r="K1714" t="s">
        <v>38</v>
      </c>
      <c r="L1714" t="s">
        <v>38</v>
      </c>
      <c r="M1714" t="s">
        <v>38</v>
      </c>
      <c r="N1714" t="s">
        <v>38</v>
      </c>
      <c r="O1714" t="s">
        <v>41</v>
      </c>
      <c r="P1714" t="s">
        <v>42</v>
      </c>
      <c r="Q1714" t="s">
        <v>43</v>
      </c>
      <c r="R1714" t="s">
        <v>1254</v>
      </c>
      <c r="S1714" t="s">
        <v>45</v>
      </c>
      <c r="T1714" t="s">
        <v>38</v>
      </c>
      <c r="U1714" t="s">
        <v>38</v>
      </c>
      <c r="V1714" t="s">
        <v>137</v>
      </c>
      <c r="W1714" t="s">
        <v>38</v>
      </c>
      <c r="X1714" t="s">
        <v>38</v>
      </c>
      <c r="Y1714" t="s">
        <v>38</v>
      </c>
      <c r="Z1714" t="s">
        <v>42</v>
      </c>
      <c r="AA1714" t="s">
        <v>1254</v>
      </c>
      <c r="AB1714" t="s">
        <v>38</v>
      </c>
      <c r="AC1714" t="s">
        <v>45</v>
      </c>
      <c r="AD1714" t="s">
        <v>48</v>
      </c>
      <c r="AG1714" t="str">
        <f>IF(AD1714="United States", IFERROR(INDEX(Sheet2!$C:$C, MATCH(AE1714&amp;AF1714, Sheet2!$E:$E, 0)) &amp; ", " &amp; INDEX(Sheet2!$D:$D, MATCH(AE1714&amp;AF1714, Sheet2!$E:$E, 0)), ""), "-")</f>
        <v/>
      </c>
    </row>
    <row r="1715" spans="1:33" x14ac:dyDescent="0.25">
      <c r="A1715" t="s">
        <v>2966</v>
      </c>
      <c r="B1715" t="s">
        <v>3337</v>
      </c>
      <c r="C1715" t="s">
        <v>3125</v>
      </c>
      <c r="D1715" t="s">
        <v>245</v>
      </c>
      <c r="E1715" t="s">
        <v>1327</v>
      </c>
      <c r="F1715">
        <v>1757</v>
      </c>
      <c r="G1715">
        <v>1219</v>
      </c>
      <c r="H1715" t="s">
        <v>38</v>
      </c>
      <c r="I1715" t="s">
        <v>80</v>
      </c>
      <c r="J1715" t="s">
        <v>3126</v>
      </c>
      <c r="K1715" t="s">
        <v>38</v>
      </c>
      <c r="L1715" t="s">
        <v>38</v>
      </c>
      <c r="M1715" t="s">
        <v>38</v>
      </c>
      <c r="N1715" t="s">
        <v>38</v>
      </c>
      <c r="O1715" t="s">
        <v>57</v>
      </c>
      <c r="P1715" t="s">
        <v>42</v>
      </c>
      <c r="Q1715" t="s">
        <v>43</v>
      </c>
      <c r="R1715" t="s">
        <v>3338</v>
      </c>
      <c r="S1715" t="s">
        <v>45</v>
      </c>
      <c r="T1715" t="s">
        <v>38</v>
      </c>
      <c r="U1715" t="s">
        <v>38</v>
      </c>
      <c r="V1715" t="s">
        <v>137</v>
      </c>
      <c r="W1715" t="s">
        <v>38</v>
      </c>
      <c r="X1715" t="s">
        <v>38</v>
      </c>
      <c r="Y1715" t="s">
        <v>38</v>
      </c>
      <c r="Z1715" t="s">
        <v>42</v>
      </c>
      <c r="AA1715" t="s">
        <v>1135</v>
      </c>
      <c r="AB1715" t="s">
        <v>38</v>
      </c>
      <c r="AC1715" t="s">
        <v>45</v>
      </c>
      <c r="AD1715" t="s">
        <v>48</v>
      </c>
      <c r="AG1715" t="str">
        <f>IF(AD1715="United States", IFERROR(INDEX(Sheet2!$C:$C, MATCH(AE1715&amp;AF1715, Sheet2!$E:$E, 0)) &amp; ", " &amp; INDEX(Sheet2!$D:$D, MATCH(AE1715&amp;AF1715, Sheet2!$E:$E, 0)), ""), "-")</f>
        <v/>
      </c>
    </row>
    <row r="1716" spans="1:33" x14ac:dyDescent="0.25">
      <c r="A1716" t="s">
        <v>2966</v>
      </c>
      <c r="B1716" t="s">
        <v>3339</v>
      </c>
      <c r="C1716" t="s">
        <v>3125</v>
      </c>
      <c r="D1716" t="s">
        <v>676</v>
      </c>
      <c r="E1716" t="s">
        <v>3317</v>
      </c>
      <c r="F1716">
        <v>1756</v>
      </c>
      <c r="G1716">
        <v>1220</v>
      </c>
      <c r="H1716" t="s">
        <v>38</v>
      </c>
      <c r="I1716" t="s">
        <v>80</v>
      </c>
      <c r="J1716" t="s">
        <v>3126</v>
      </c>
      <c r="K1716" t="s">
        <v>38</v>
      </c>
      <c r="L1716" t="s">
        <v>38</v>
      </c>
      <c r="M1716" t="s">
        <v>38</v>
      </c>
      <c r="N1716" t="s">
        <v>38</v>
      </c>
      <c r="O1716" t="s">
        <v>57</v>
      </c>
      <c r="P1716" t="s">
        <v>42</v>
      </c>
      <c r="Q1716" t="s">
        <v>43</v>
      </c>
      <c r="R1716" t="s">
        <v>38</v>
      </c>
      <c r="S1716" t="s">
        <v>45</v>
      </c>
      <c r="T1716" t="s">
        <v>38</v>
      </c>
      <c r="U1716" t="s">
        <v>38</v>
      </c>
      <c r="V1716" t="s">
        <v>137</v>
      </c>
      <c r="W1716" t="s">
        <v>38</v>
      </c>
      <c r="X1716" t="s">
        <v>38</v>
      </c>
      <c r="Y1716" t="s">
        <v>38</v>
      </c>
      <c r="Z1716" t="s">
        <v>42</v>
      </c>
      <c r="AA1716" t="s">
        <v>38</v>
      </c>
      <c r="AB1716" t="s">
        <v>38</v>
      </c>
      <c r="AC1716" t="s">
        <v>45</v>
      </c>
      <c r="AD1716" t="s">
        <v>48</v>
      </c>
      <c r="AG1716" t="str">
        <f>IF(AD1716="United States", IFERROR(INDEX(Sheet2!$C:$C, MATCH(AE1716&amp;AF1716, Sheet2!$E:$E, 0)) &amp; ", " &amp; INDEX(Sheet2!$D:$D, MATCH(AE1716&amp;AF1716, Sheet2!$E:$E, 0)), ""), "-")</f>
        <v/>
      </c>
    </row>
    <row r="1717" spans="1:33" x14ac:dyDescent="0.25">
      <c r="A1717" t="s">
        <v>2966</v>
      </c>
      <c r="B1717" t="s">
        <v>3340</v>
      </c>
      <c r="C1717" t="s">
        <v>3125</v>
      </c>
      <c r="D1717" t="s">
        <v>114</v>
      </c>
      <c r="E1717" t="s">
        <v>3319</v>
      </c>
      <c r="F1717">
        <v>1778</v>
      </c>
      <c r="G1717">
        <v>1208</v>
      </c>
      <c r="H1717" t="s">
        <v>2975</v>
      </c>
      <c r="I1717" t="s">
        <v>80</v>
      </c>
      <c r="J1717" t="s">
        <v>3126</v>
      </c>
      <c r="K1717" t="s">
        <v>38</v>
      </c>
      <c r="L1717" t="s">
        <v>38</v>
      </c>
      <c r="M1717" t="s">
        <v>38</v>
      </c>
      <c r="N1717" t="s">
        <v>38</v>
      </c>
      <c r="O1717" t="s">
        <v>74</v>
      </c>
      <c r="P1717" t="s">
        <v>42</v>
      </c>
      <c r="Q1717" t="s">
        <v>43</v>
      </c>
      <c r="R1717" t="s">
        <v>2452</v>
      </c>
      <c r="S1717" t="s">
        <v>201</v>
      </c>
      <c r="T1717" t="s">
        <v>89</v>
      </c>
      <c r="U1717" t="s">
        <v>2453</v>
      </c>
      <c r="V1717" t="s">
        <v>137</v>
      </c>
      <c r="W1717" t="s">
        <v>92</v>
      </c>
      <c r="X1717" t="s">
        <v>38</v>
      </c>
      <c r="Y1717" t="s">
        <v>38</v>
      </c>
      <c r="Z1717" t="s">
        <v>42</v>
      </c>
      <c r="AA1717" t="s">
        <v>202</v>
      </c>
      <c r="AB1717" t="s">
        <v>38</v>
      </c>
      <c r="AC1717" t="s">
        <v>201</v>
      </c>
      <c r="AD1717" t="s">
        <v>48</v>
      </c>
      <c r="AG1717" t="str">
        <f>IF(AD1717="United States", IFERROR(INDEX(Sheet2!$C:$C, MATCH(AE1717&amp;AF1717, Sheet2!$E:$E, 0)) &amp; ", " &amp; INDEX(Sheet2!$D:$D, MATCH(AE1717&amp;AF1717, Sheet2!$E:$E, 0)), ""), "-")</f>
        <v/>
      </c>
    </row>
    <row r="1718" spans="1:33" x14ac:dyDescent="0.25">
      <c r="A1718" t="s">
        <v>2966</v>
      </c>
      <c r="B1718" t="s">
        <v>3341</v>
      </c>
      <c r="C1718" t="s">
        <v>3125</v>
      </c>
      <c r="D1718" t="s">
        <v>98</v>
      </c>
      <c r="E1718" t="s">
        <v>3342</v>
      </c>
      <c r="F1718">
        <v>1760</v>
      </c>
      <c r="G1718">
        <v>1252</v>
      </c>
      <c r="H1718" t="s">
        <v>38</v>
      </c>
      <c r="I1718" t="s">
        <v>80</v>
      </c>
      <c r="J1718" t="s">
        <v>3126</v>
      </c>
      <c r="K1718" t="s">
        <v>38</v>
      </c>
      <c r="L1718" t="s">
        <v>38</v>
      </c>
      <c r="M1718" t="s">
        <v>245</v>
      </c>
      <c r="N1718" t="s">
        <v>3294</v>
      </c>
      <c r="O1718" t="s">
        <v>57</v>
      </c>
      <c r="P1718" t="s">
        <v>42</v>
      </c>
      <c r="Q1718" t="s">
        <v>43</v>
      </c>
      <c r="R1718" t="s">
        <v>38</v>
      </c>
      <c r="S1718" t="s">
        <v>45</v>
      </c>
      <c r="T1718" t="s">
        <v>38</v>
      </c>
      <c r="U1718" t="s">
        <v>38</v>
      </c>
      <c r="V1718" t="s">
        <v>137</v>
      </c>
      <c r="W1718" t="s">
        <v>38</v>
      </c>
      <c r="X1718" t="s">
        <v>38</v>
      </c>
      <c r="Y1718" t="s">
        <v>38</v>
      </c>
      <c r="Z1718" t="s">
        <v>42</v>
      </c>
      <c r="AA1718" t="s">
        <v>38</v>
      </c>
      <c r="AB1718" t="s">
        <v>38</v>
      </c>
      <c r="AC1718" t="s">
        <v>45</v>
      </c>
      <c r="AD1718" t="s">
        <v>48</v>
      </c>
      <c r="AG1718" t="str">
        <f>IF(AD1718="United States", IFERROR(INDEX(Sheet2!$C:$C, MATCH(AE1718&amp;AF1718, Sheet2!$E:$E, 0)) &amp; ", " &amp; INDEX(Sheet2!$D:$D, MATCH(AE1718&amp;AF1718, Sheet2!$E:$E, 0)), ""), "-")</f>
        <v/>
      </c>
    </row>
    <row r="1719" spans="1:33" x14ac:dyDescent="0.25">
      <c r="A1719" t="s">
        <v>2966</v>
      </c>
      <c r="B1719" t="s">
        <v>3343</v>
      </c>
      <c r="C1719" t="s">
        <v>3125</v>
      </c>
      <c r="D1719" t="s">
        <v>1964</v>
      </c>
      <c r="E1719" t="s">
        <v>368</v>
      </c>
      <c r="F1719">
        <v>1764</v>
      </c>
      <c r="G1719">
        <v>1253</v>
      </c>
      <c r="H1719" t="s">
        <v>38</v>
      </c>
      <c r="I1719" t="s">
        <v>80</v>
      </c>
      <c r="J1719" t="s">
        <v>3126</v>
      </c>
      <c r="K1719" t="s">
        <v>38</v>
      </c>
      <c r="L1719" t="s">
        <v>38</v>
      </c>
      <c r="M1719" t="s">
        <v>38</v>
      </c>
      <c r="N1719" t="s">
        <v>38</v>
      </c>
      <c r="O1719" t="s">
        <v>57</v>
      </c>
      <c r="P1719" t="s">
        <v>42</v>
      </c>
      <c r="Q1719" t="s">
        <v>43</v>
      </c>
      <c r="R1719" t="s">
        <v>38</v>
      </c>
      <c r="S1719" t="s">
        <v>45</v>
      </c>
      <c r="T1719" t="s">
        <v>38</v>
      </c>
      <c r="U1719" t="s">
        <v>38</v>
      </c>
      <c r="V1719" t="s">
        <v>137</v>
      </c>
      <c r="W1719" t="s">
        <v>38</v>
      </c>
      <c r="X1719" t="s">
        <v>38</v>
      </c>
      <c r="Y1719" t="s">
        <v>38</v>
      </c>
      <c r="Z1719" t="s">
        <v>42</v>
      </c>
      <c r="AA1719" t="s">
        <v>38</v>
      </c>
      <c r="AB1719" t="s">
        <v>38</v>
      </c>
      <c r="AC1719" t="s">
        <v>45</v>
      </c>
      <c r="AD1719" t="s">
        <v>48</v>
      </c>
      <c r="AG1719" t="str">
        <f>IF(AD1719="United States", IFERROR(INDEX(Sheet2!$C:$C, MATCH(AE1719&amp;AF1719, Sheet2!$E:$E, 0)) &amp; ", " &amp; INDEX(Sheet2!$D:$D, MATCH(AE1719&amp;AF1719, Sheet2!$E:$E, 0)), ""), "-")</f>
        <v/>
      </c>
    </row>
    <row r="1720" spans="1:33" x14ac:dyDescent="0.25">
      <c r="A1720" t="s">
        <v>2966</v>
      </c>
      <c r="B1720" t="s">
        <v>3344</v>
      </c>
      <c r="C1720" t="s">
        <v>3125</v>
      </c>
      <c r="D1720" t="s">
        <v>114</v>
      </c>
      <c r="E1720" t="s">
        <v>38</v>
      </c>
      <c r="F1720">
        <v>1772</v>
      </c>
      <c r="G1720">
        <v>1254</v>
      </c>
      <c r="H1720" t="s">
        <v>2975</v>
      </c>
      <c r="I1720" t="s">
        <v>80</v>
      </c>
      <c r="J1720" t="s">
        <v>3126</v>
      </c>
      <c r="K1720" t="s">
        <v>38</v>
      </c>
      <c r="L1720" t="s">
        <v>38</v>
      </c>
      <c r="M1720" t="s">
        <v>38</v>
      </c>
      <c r="N1720" t="s">
        <v>38</v>
      </c>
      <c r="O1720" t="s">
        <v>54</v>
      </c>
      <c r="P1720" t="s">
        <v>42</v>
      </c>
      <c r="Q1720" t="s">
        <v>43</v>
      </c>
      <c r="R1720" t="s">
        <v>2452</v>
      </c>
      <c r="S1720" t="s">
        <v>38</v>
      </c>
      <c r="T1720" t="s">
        <v>89</v>
      </c>
      <c r="U1720" t="s">
        <v>2453</v>
      </c>
      <c r="V1720" t="s">
        <v>137</v>
      </c>
      <c r="W1720" t="s">
        <v>92</v>
      </c>
      <c r="X1720" t="s">
        <v>38</v>
      </c>
      <c r="Y1720" t="s">
        <v>38</v>
      </c>
      <c r="Z1720" t="s">
        <v>42</v>
      </c>
      <c r="AA1720" t="s">
        <v>38</v>
      </c>
      <c r="AB1720" t="s">
        <v>38</v>
      </c>
      <c r="AC1720" t="s">
        <v>38</v>
      </c>
      <c r="AD1720" t="s">
        <v>48</v>
      </c>
      <c r="AG1720" t="str">
        <f>IF(AD1720="United States", IFERROR(INDEX(Sheet2!$C:$C, MATCH(AE1720&amp;AF1720, Sheet2!$E:$E, 0)) &amp; ", " &amp; INDEX(Sheet2!$D:$D, MATCH(AE1720&amp;AF1720, Sheet2!$E:$E, 0)), ""), "-")</f>
        <v/>
      </c>
    </row>
    <row r="1721" spans="1:33" x14ac:dyDescent="0.25">
      <c r="A1721" t="s">
        <v>2966</v>
      </c>
      <c r="B1721" t="s">
        <v>3345</v>
      </c>
      <c r="C1721" t="s">
        <v>3125</v>
      </c>
      <c r="D1721" t="s">
        <v>235</v>
      </c>
      <c r="E1721" t="s">
        <v>1337</v>
      </c>
      <c r="F1721">
        <v>1781</v>
      </c>
      <c r="G1721">
        <v>1286</v>
      </c>
      <c r="H1721" t="s">
        <v>38</v>
      </c>
      <c r="I1721" t="s">
        <v>80</v>
      </c>
      <c r="J1721" t="s">
        <v>3126</v>
      </c>
      <c r="K1721" t="s">
        <v>38</v>
      </c>
      <c r="L1721" t="s">
        <v>38</v>
      </c>
      <c r="M1721" t="s">
        <v>38</v>
      </c>
      <c r="N1721" t="s">
        <v>38</v>
      </c>
      <c r="O1721" t="s">
        <v>54</v>
      </c>
      <c r="P1721" t="s">
        <v>42</v>
      </c>
      <c r="Q1721" t="s">
        <v>43</v>
      </c>
      <c r="R1721" t="s">
        <v>38</v>
      </c>
      <c r="S1721" t="s">
        <v>38</v>
      </c>
      <c r="T1721" t="s">
        <v>38</v>
      </c>
      <c r="U1721" t="s">
        <v>38</v>
      </c>
      <c r="V1721" t="s">
        <v>137</v>
      </c>
      <c r="W1721" t="s">
        <v>38</v>
      </c>
      <c r="X1721" t="s">
        <v>38</v>
      </c>
      <c r="Y1721" t="s">
        <v>38</v>
      </c>
      <c r="Z1721" t="s">
        <v>42</v>
      </c>
      <c r="AA1721" t="s">
        <v>38</v>
      </c>
      <c r="AB1721" t="s">
        <v>38</v>
      </c>
      <c r="AC1721" t="s">
        <v>38</v>
      </c>
      <c r="AD1721" t="s">
        <v>48</v>
      </c>
      <c r="AG1721" t="str">
        <f>IF(AD1721="United States", IFERROR(INDEX(Sheet2!$C:$C, MATCH(AE1721&amp;AF1721, Sheet2!$E:$E, 0)) &amp; ", " &amp; INDEX(Sheet2!$D:$D, MATCH(AE1721&amp;AF1721, Sheet2!$E:$E, 0)), ""), "-")</f>
        <v/>
      </c>
    </row>
    <row r="1722" spans="1:33" x14ac:dyDescent="0.25">
      <c r="A1722" t="s">
        <v>2966</v>
      </c>
      <c r="B1722" t="s">
        <v>3346</v>
      </c>
      <c r="C1722" t="s">
        <v>3125</v>
      </c>
      <c r="D1722" t="s">
        <v>650</v>
      </c>
      <c r="E1722" t="s">
        <v>1337</v>
      </c>
      <c r="F1722">
        <v>1779</v>
      </c>
      <c r="G1722">
        <v>1287</v>
      </c>
      <c r="H1722" t="s">
        <v>38</v>
      </c>
      <c r="I1722" t="s">
        <v>80</v>
      </c>
      <c r="J1722" t="s">
        <v>3126</v>
      </c>
      <c r="K1722" t="s">
        <v>38</v>
      </c>
      <c r="L1722" t="s">
        <v>38</v>
      </c>
      <c r="M1722" t="s">
        <v>38</v>
      </c>
      <c r="N1722" t="s">
        <v>38</v>
      </c>
      <c r="O1722" t="s">
        <v>54</v>
      </c>
      <c r="P1722" t="s">
        <v>42</v>
      </c>
      <c r="Q1722" t="s">
        <v>43</v>
      </c>
      <c r="R1722" t="s">
        <v>38</v>
      </c>
      <c r="S1722" t="s">
        <v>38</v>
      </c>
      <c r="T1722" t="s">
        <v>38</v>
      </c>
      <c r="U1722" t="s">
        <v>38</v>
      </c>
      <c r="V1722" t="s">
        <v>137</v>
      </c>
      <c r="W1722" t="s">
        <v>38</v>
      </c>
      <c r="X1722" t="s">
        <v>38</v>
      </c>
      <c r="Y1722" t="s">
        <v>38</v>
      </c>
      <c r="Z1722" t="s">
        <v>42</v>
      </c>
      <c r="AA1722" t="s">
        <v>38</v>
      </c>
      <c r="AB1722" t="s">
        <v>38</v>
      </c>
      <c r="AC1722" t="s">
        <v>38</v>
      </c>
      <c r="AD1722" t="s">
        <v>48</v>
      </c>
      <c r="AG1722" t="str">
        <f>IF(AD1722="United States", IFERROR(INDEX(Sheet2!$C:$C, MATCH(AE1722&amp;AF1722, Sheet2!$E:$E, 0)) &amp; ", " &amp; INDEX(Sheet2!$D:$D, MATCH(AE1722&amp;AF1722, Sheet2!$E:$E, 0)), ""), "-")</f>
        <v/>
      </c>
    </row>
    <row r="1723" spans="1:33" x14ac:dyDescent="0.25">
      <c r="A1723" t="s">
        <v>2966</v>
      </c>
      <c r="B1723" t="s">
        <v>3347</v>
      </c>
      <c r="C1723" t="s">
        <v>3125</v>
      </c>
      <c r="D1723" t="s">
        <v>195</v>
      </c>
      <c r="E1723" t="s">
        <v>1854</v>
      </c>
      <c r="F1723">
        <v>1750</v>
      </c>
      <c r="G1723">
        <v>1288</v>
      </c>
      <c r="H1723" t="s">
        <v>2975</v>
      </c>
      <c r="I1723" t="s">
        <v>80</v>
      </c>
      <c r="J1723" t="s">
        <v>3126</v>
      </c>
      <c r="K1723" t="s">
        <v>38</v>
      </c>
      <c r="L1723" t="s">
        <v>38</v>
      </c>
      <c r="M1723" t="s">
        <v>38</v>
      </c>
      <c r="N1723" t="s">
        <v>38</v>
      </c>
      <c r="O1723" t="s">
        <v>41</v>
      </c>
      <c r="P1723" t="s">
        <v>42</v>
      </c>
      <c r="Q1723" t="s">
        <v>43</v>
      </c>
      <c r="R1723" t="s">
        <v>2452</v>
      </c>
      <c r="S1723" t="s">
        <v>45</v>
      </c>
      <c r="T1723" t="s">
        <v>89</v>
      </c>
      <c r="U1723" t="s">
        <v>2453</v>
      </c>
      <c r="V1723" t="s">
        <v>137</v>
      </c>
      <c r="W1723" t="s">
        <v>92</v>
      </c>
      <c r="X1723" t="s">
        <v>38</v>
      </c>
      <c r="Y1723" t="s">
        <v>38</v>
      </c>
      <c r="Z1723" t="s">
        <v>42</v>
      </c>
      <c r="AA1723" t="s">
        <v>1120</v>
      </c>
      <c r="AB1723" t="s">
        <v>38</v>
      </c>
      <c r="AC1723" t="s">
        <v>45</v>
      </c>
      <c r="AD1723" t="s">
        <v>48</v>
      </c>
      <c r="AG1723" t="str">
        <f>IF(AD1723="United States", IFERROR(INDEX(Sheet2!$C:$C, MATCH(AE1723&amp;AF1723, Sheet2!$E:$E, 0)) &amp; ", " &amp; INDEX(Sheet2!$D:$D, MATCH(AE1723&amp;AF1723, Sheet2!$E:$E, 0)), ""), "-")</f>
        <v/>
      </c>
    </row>
    <row r="1724" spans="1:33" x14ac:dyDescent="0.25">
      <c r="A1724" t="s">
        <v>2966</v>
      </c>
      <c r="B1724" t="s">
        <v>3348</v>
      </c>
      <c r="C1724" t="s">
        <v>3125</v>
      </c>
      <c r="D1724" t="s">
        <v>1382</v>
      </c>
      <c r="E1724" t="s">
        <v>246</v>
      </c>
      <c r="F1724">
        <v>1753</v>
      </c>
      <c r="G1724">
        <v>1289</v>
      </c>
      <c r="H1724" t="s">
        <v>2986</v>
      </c>
      <c r="I1724" t="s">
        <v>80</v>
      </c>
      <c r="J1724" t="s">
        <v>3126</v>
      </c>
      <c r="K1724" t="s">
        <v>38</v>
      </c>
      <c r="L1724" t="s">
        <v>38</v>
      </c>
      <c r="M1724" t="s">
        <v>38</v>
      </c>
      <c r="N1724" t="s">
        <v>38</v>
      </c>
      <c r="O1724" t="s">
        <v>57</v>
      </c>
      <c r="P1724" t="s">
        <v>42</v>
      </c>
      <c r="Q1724" t="s">
        <v>43</v>
      </c>
      <c r="R1724" t="s">
        <v>2452</v>
      </c>
      <c r="S1724" t="s">
        <v>45</v>
      </c>
      <c r="T1724" t="s">
        <v>89</v>
      </c>
      <c r="U1724" t="s">
        <v>2453</v>
      </c>
      <c r="V1724" t="s">
        <v>137</v>
      </c>
      <c r="W1724" t="s">
        <v>92</v>
      </c>
      <c r="X1724" t="s">
        <v>38</v>
      </c>
      <c r="Y1724" t="s">
        <v>38</v>
      </c>
      <c r="Z1724" t="s">
        <v>42</v>
      </c>
      <c r="AA1724" t="s">
        <v>169</v>
      </c>
      <c r="AB1724" t="s">
        <v>38</v>
      </c>
      <c r="AC1724" t="s">
        <v>45</v>
      </c>
      <c r="AD1724" t="s">
        <v>48</v>
      </c>
      <c r="AG1724" t="str">
        <f>IF(AD1724="United States", IFERROR(INDEX(Sheet2!$C:$C, MATCH(AE1724&amp;AF1724, Sheet2!$E:$E, 0)) &amp; ", " &amp; INDEX(Sheet2!$D:$D, MATCH(AE1724&amp;AF1724, Sheet2!$E:$E, 0)), ""), "-")</f>
        <v/>
      </c>
    </row>
    <row r="1725" spans="1:33" x14ac:dyDescent="0.25">
      <c r="A1725" t="s">
        <v>2966</v>
      </c>
      <c r="B1725" t="s">
        <v>3349</v>
      </c>
      <c r="C1725" t="s">
        <v>3125</v>
      </c>
      <c r="D1725" t="s">
        <v>357</v>
      </c>
      <c r="E1725" t="s">
        <v>246</v>
      </c>
      <c r="F1725">
        <v>1770</v>
      </c>
      <c r="G1725">
        <v>1290</v>
      </c>
      <c r="H1725" t="s">
        <v>38</v>
      </c>
      <c r="I1725" t="s">
        <v>80</v>
      </c>
      <c r="J1725" t="s">
        <v>3126</v>
      </c>
      <c r="K1725" t="s">
        <v>38</v>
      </c>
      <c r="L1725" t="s">
        <v>38</v>
      </c>
      <c r="M1725" t="s">
        <v>38</v>
      </c>
      <c r="N1725" t="s">
        <v>38</v>
      </c>
      <c r="O1725" t="s">
        <v>54</v>
      </c>
      <c r="P1725" t="s">
        <v>42</v>
      </c>
      <c r="Q1725" t="s">
        <v>43</v>
      </c>
      <c r="R1725" t="s">
        <v>3350</v>
      </c>
      <c r="S1725" t="s">
        <v>45</v>
      </c>
      <c r="T1725" t="s">
        <v>38</v>
      </c>
      <c r="U1725" t="s">
        <v>38</v>
      </c>
      <c r="V1725" t="s">
        <v>137</v>
      </c>
      <c r="W1725" t="s">
        <v>38</v>
      </c>
      <c r="X1725" t="s">
        <v>38</v>
      </c>
      <c r="Y1725" t="s">
        <v>38</v>
      </c>
      <c r="Z1725" t="s">
        <v>42</v>
      </c>
      <c r="AA1725" t="s">
        <v>169</v>
      </c>
      <c r="AB1725" t="s">
        <v>38</v>
      </c>
      <c r="AC1725" t="s">
        <v>45</v>
      </c>
      <c r="AD1725" t="s">
        <v>48</v>
      </c>
      <c r="AG1725" t="str">
        <f>IF(AD1725="United States", IFERROR(INDEX(Sheet2!$C:$C, MATCH(AE1725&amp;AF1725, Sheet2!$E:$E, 0)) &amp; ", " &amp; INDEX(Sheet2!$D:$D, MATCH(AE1725&amp;AF1725, Sheet2!$E:$E, 0)), ""), "-")</f>
        <v/>
      </c>
    </row>
    <row r="1726" spans="1:33" x14ac:dyDescent="0.25">
      <c r="A1726" t="s">
        <v>2966</v>
      </c>
      <c r="B1726" t="s">
        <v>3351</v>
      </c>
      <c r="C1726" t="s">
        <v>3125</v>
      </c>
      <c r="D1726" t="s">
        <v>835</v>
      </c>
      <c r="E1726" t="s">
        <v>246</v>
      </c>
      <c r="F1726">
        <v>1776</v>
      </c>
      <c r="G1726">
        <v>1291</v>
      </c>
      <c r="H1726" t="s">
        <v>38</v>
      </c>
      <c r="I1726" t="s">
        <v>80</v>
      </c>
      <c r="J1726" t="s">
        <v>3126</v>
      </c>
      <c r="K1726" t="s">
        <v>38</v>
      </c>
      <c r="L1726" t="s">
        <v>38</v>
      </c>
      <c r="M1726" t="s">
        <v>38</v>
      </c>
      <c r="N1726" t="s">
        <v>38</v>
      </c>
      <c r="O1726" t="s">
        <v>74</v>
      </c>
      <c r="P1726" t="s">
        <v>42</v>
      </c>
      <c r="Q1726" t="s">
        <v>43</v>
      </c>
      <c r="R1726" t="s">
        <v>3350</v>
      </c>
      <c r="S1726" t="s">
        <v>45</v>
      </c>
      <c r="T1726" t="s">
        <v>38</v>
      </c>
      <c r="U1726" t="s">
        <v>38</v>
      </c>
      <c r="V1726" t="s">
        <v>137</v>
      </c>
      <c r="W1726" t="s">
        <v>38</v>
      </c>
      <c r="X1726" t="s">
        <v>38</v>
      </c>
      <c r="Y1726" t="s">
        <v>38</v>
      </c>
      <c r="Z1726" t="s">
        <v>42</v>
      </c>
      <c r="AA1726" t="s">
        <v>169</v>
      </c>
      <c r="AB1726" t="s">
        <v>38</v>
      </c>
      <c r="AC1726" t="s">
        <v>45</v>
      </c>
      <c r="AD1726" t="s">
        <v>48</v>
      </c>
      <c r="AG1726" t="str">
        <f>IF(AD1726="United States", IFERROR(INDEX(Sheet2!$C:$C, MATCH(AE1726&amp;AF1726, Sheet2!$E:$E, 0)) &amp; ", " &amp; INDEX(Sheet2!$D:$D, MATCH(AE1726&amp;AF1726, Sheet2!$E:$E, 0)), ""), "-")</f>
        <v/>
      </c>
    </row>
    <row r="1727" spans="1:33" x14ac:dyDescent="0.25">
      <c r="A1727" t="s">
        <v>2966</v>
      </c>
      <c r="B1727" t="s">
        <v>3352</v>
      </c>
      <c r="C1727" t="s">
        <v>3125</v>
      </c>
      <c r="D1727" t="s">
        <v>3353</v>
      </c>
      <c r="E1727" t="s">
        <v>991</v>
      </c>
      <c r="F1727">
        <v>1759</v>
      </c>
      <c r="G1727">
        <v>1292</v>
      </c>
      <c r="H1727" t="s">
        <v>38</v>
      </c>
      <c r="I1727" t="s">
        <v>80</v>
      </c>
      <c r="J1727" t="s">
        <v>3126</v>
      </c>
      <c r="K1727" t="s">
        <v>38</v>
      </c>
      <c r="L1727" t="s">
        <v>38</v>
      </c>
      <c r="M1727" t="s">
        <v>38</v>
      </c>
      <c r="N1727" t="s">
        <v>38</v>
      </c>
      <c r="O1727" t="s">
        <v>41</v>
      </c>
      <c r="P1727" t="s">
        <v>42</v>
      </c>
      <c r="Q1727" t="s">
        <v>43</v>
      </c>
      <c r="R1727" t="s">
        <v>3354</v>
      </c>
      <c r="S1727" t="s">
        <v>153</v>
      </c>
      <c r="T1727" t="s">
        <v>38</v>
      </c>
      <c r="U1727" t="s">
        <v>38</v>
      </c>
      <c r="V1727" t="s">
        <v>137</v>
      </c>
      <c r="W1727" t="s">
        <v>38</v>
      </c>
      <c r="X1727" t="s">
        <v>38</v>
      </c>
      <c r="Y1727" t="s">
        <v>38</v>
      </c>
      <c r="Z1727" t="s">
        <v>42</v>
      </c>
      <c r="AA1727" t="s">
        <v>3355</v>
      </c>
      <c r="AB1727" t="s">
        <v>155</v>
      </c>
      <c r="AC1727" t="s">
        <v>153</v>
      </c>
      <c r="AD1727" t="s">
        <v>48</v>
      </c>
      <c r="AG1727" t="str">
        <f>IF(AD1727="United States", IFERROR(INDEX(Sheet2!$C:$C, MATCH(AE1727&amp;AF1727, Sheet2!$E:$E, 0)) &amp; ", " &amp; INDEX(Sheet2!$D:$D, MATCH(AE1727&amp;AF1727, Sheet2!$E:$E, 0)), ""), "-")</f>
        <v/>
      </c>
    </row>
    <row r="1728" spans="1:33" x14ac:dyDescent="0.25">
      <c r="A1728" t="s">
        <v>2966</v>
      </c>
      <c r="B1728" t="s">
        <v>3356</v>
      </c>
      <c r="C1728" t="s">
        <v>3125</v>
      </c>
      <c r="D1728" t="s">
        <v>140</v>
      </c>
      <c r="E1728" t="s">
        <v>991</v>
      </c>
      <c r="F1728">
        <v>1759</v>
      </c>
      <c r="G1728">
        <v>1293</v>
      </c>
      <c r="H1728" t="s">
        <v>2975</v>
      </c>
      <c r="I1728" t="s">
        <v>80</v>
      </c>
      <c r="J1728" t="s">
        <v>3126</v>
      </c>
      <c r="K1728" t="s">
        <v>38</v>
      </c>
      <c r="L1728" t="s">
        <v>38</v>
      </c>
      <c r="M1728" t="s">
        <v>38</v>
      </c>
      <c r="N1728" t="s">
        <v>38</v>
      </c>
      <c r="O1728" t="s">
        <v>57</v>
      </c>
      <c r="P1728" t="s">
        <v>42</v>
      </c>
      <c r="Q1728" t="s">
        <v>43</v>
      </c>
      <c r="R1728" t="s">
        <v>2452</v>
      </c>
      <c r="S1728" t="s">
        <v>45</v>
      </c>
      <c r="T1728" t="s">
        <v>89</v>
      </c>
      <c r="U1728" t="s">
        <v>2453</v>
      </c>
      <c r="V1728" t="s">
        <v>137</v>
      </c>
      <c r="W1728" t="s">
        <v>92</v>
      </c>
      <c r="X1728" t="s">
        <v>38</v>
      </c>
      <c r="Y1728" t="s">
        <v>38</v>
      </c>
      <c r="Z1728" t="s">
        <v>42</v>
      </c>
      <c r="AA1728" t="s">
        <v>3357</v>
      </c>
      <c r="AB1728" t="s">
        <v>780</v>
      </c>
      <c r="AC1728" t="s">
        <v>45</v>
      </c>
      <c r="AD1728" t="s">
        <v>48</v>
      </c>
      <c r="AG1728" t="str">
        <f>IF(AD1728="United States", IFERROR(INDEX(Sheet2!$C:$C, MATCH(AE1728&amp;AF1728, Sheet2!$E:$E, 0)) &amp; ", " &amp; INDEX(Sheet2!$D:$D, MATCH(AE1728&amp;AF1728, Sheet2!$E:$E, 0)), ""), "-")</f>
        <v/>
      </c>
    </row>
    <row r="1729" spans="1:33" x14ac:dyDescent="0.25">
      <c r="A1729" t="s">
        <v>2966</v>
      </c>
      <c r="B1729" t="s">
        <v>3358</v>
      </c>
      <c r="C1729" t="s">
        <v>3125</v>
      </c>
      <c r="D1729" t="s">
        <v>50</v>
      </c>
      <c r="E1729" t="s">
        <v>991</v>
      </c>
      <c r="F1729">
        <v>1765</v>
      </c>
      <c r="G1729">
        <v>1294</v>
      </c>
      <c r="H1729" t="s">
        <v>38</v>
      </c>
      <c r="I1729" t="s">
        <v>80</v>
      </c>
      <c r="J1729" t="s">
        <v>3126</v>
      </c>
      <c r="K1729" t="s">
        <v>38</v>
      </c>
      <c r="L1729" t="s">
        <v>38</v>
      </c>
      <c r="M1729" t="s">
        <v>38</v>
      </c>
      <c r="N1729" t="s">
        <v>38</v>
      </c>
      <c r="O1729" t="s">
        <v>54</v>
      </c>
      <c r="P1729" t="s">
        <v>42</v>
      </c>
      <c r="Q1729" t="s">
        <v>43</v>
      </c>
      <c r="R1729" t="s">
        <v>38</v>
      </c>
      <c r="S1729" t="s">
        <v>38</v>
      </c>
      <c r="T1729" t="s">
        <v>38</v>
      </c>
      <c r="U1729" t="s">
        <v>38</v>
      </c>
      <c r="V1729" t="s">
        <v>137</v>
      </c>
      <c r="W1729" t="s">
        <v>38</v>
      </c>
      <c r="X1729" t="s">
        <v>38</v>
      </c>
      <c r="Y1729" t="s">
        <v>38</v>
      </c>
      <c r="Z1729" t="s">
        <v>42</v>
      </c>
      <c r="AA1729" t="s">
        <v>38</v>
      </c>
      <c r="AB1729" t="s">
        <v>38</v>
      </c>
      <c r="AC1729" t="s">
        <v>3357</v>
      </c>
      <c r="AD1729" t="s">
        <v>48</v>
      </c>
      <c r="AG1729" t="str">
        <f>IF(AD1729="United States", IFERROR(INDEX(Sheet2!$C:$C, MATCH(AE1729&amp;AF1729, Sheet2!$E:$E, 0)) &amp; ", " &amp; INDEX(Sheet2!$D:$D, MATCH(AE1729&amp;AF1729, Sheet2!$E:$E, 0)), ""), "-")</f>
        <v/>
      </c>
    </row>
    <row r="1730" spans="1:33" x14ac:dyDescent="0.25">
      <c r="A1730" t="s">
        <v>2966</v>
      </c>
      <c r="B1730" t="s">
        <v>3359</v>
      </c>
      <c r="C1730" t="s">
        <v>3125</v>
      </c>
      <c r="D1730" t="s">
        <v>62</v>
      </c>
      <c r="E1730" t="s">
        <v>3360</v>
      </c>
      <c r="F1730">
        <v>1760</v>
      </c>
      <c r="G1730">
        <v>1295</v>
      </c>
      <c r="H1730" t="s">
        <v>2977</v>
      </c>
      <c r="I1730" t="s">
        <v>80</v>
      </c>
      <c r="J1730" t="s">
        <v>3126</v>
      </c>
      <c r="K1730" t="s">
        <v>38</v>
      </c>
      <c r="L1730" t="s">
        <v>38</v>
      </c>
      <c r="M1730" t="s">
        <v>38</v>
      </c>
      <c r="N1730" t="s">
        <v>38</v>
      </c>
      <c r="O1730" t="s">
        <v>41</v>
      </c>
      <c r="P1730" t="s">
        <v>42</v>
      </c>
      <c r="Q1730" t="s">
        <v>43</v>
      </c>
      <c r="R1730" t="s">
        <v>2452</v>
      </c>
      <c r="S1730" t="s">
        <v>45</v>
      </c>
      <c r="T1730" t="s">
        <v>89</v>
      </c>
      <c r="U1730" t="s">
        <v>2453</v>
      </c>
      <c r="V1730" t="s">
        <v>137</v>
      </c>
      <c r="W1730" t="s">
        <v>92</v>
      </c>
      <c r="X1730" t="s">
        <v>38</v>
      </c>
      <c r="Y1730" t="s">
        <v>38</v>
      </c>
      <c r="Z1730" t="s">
        <v>42</v>
      </c>
      <c r="AA1730" t="s">
        <v>169</v>
      </c>
      <c r="AB1730" t="s">
        <v>38</v>
      </c>
      <c r="AC1730" t="s">
        <v>45</v>
      </c>
      <c r="AD1730" t="s">
        <v>48</v>
      </c>
      <c r="AG1730" t="str">
        <f>IF(AD1730="United States", IFERROR(INDEX(Sheet2!$C:$C, MATCH(AE1730&amp;AF1730, Sheet2!$E:$E, 0)) &amp; ", " &amp; INDEX(Sheet2!$D:$D, MATCH(AE1730&amp;AF1730, Sheet2!$E:$E, 0)), ""), "-")</f>
        <v/>
      </c>
    </row>
    <row r="1731" spans="1:33" x14ac:dyDescent="0.25">
      <c r="A1731" t="s">
        <v>2966</v>
      </c>
      <c r="B1731" t="s">
        <v>3361</v>
      </c>
      <c r="C1731" t="s">
        <v>3125</v>
      </c>
      <c r="D1731" t="s">
        <v>50</v>
      </c>
      <c r="E1731" t="s">
        <v>3362</v>
      </c>
      <c r="F1731">
        <v>1763</v>
      </c>
      <c r="G1731">
        <v>1296</v>
      </c>
      <c r="H1731" t="s">
        <v>38</v>
      </c>
      <c r="I1731" t="s">
        <v>80</v>
      </c>
      <c r="J1731" t="s">
        <v>3126</v>
      </c>
      <c r="K1731" t="s">
        <v>38</v>
      </c>
      <c r="L1731" t="s">
        <v>38</v>
      </c>
      <c r="M1731" t="s">
        <v>38</v>
      </c>
      <c r="N1731" t="s">
        <v>38</v>
      </c>
      <c r="O1731" t="s">
        <v>57</v>
      </c>
      <c r="P1731" t="s">
        <v>42</v>
      </c>
      <c r="Q1731" t="s">
        <v>43</v>
      </c>
      <c r="R1731" t="s">
        <v>3363</v>
      </c>
      <c r="S1731" t="s">
        <v>45</v>
      </c>
      <c r="T1731" t="s">
        <v>38</v>
      </c>
      <c r="U1731" t="s">
        <v>38</v>
      </c>
      <c r="V1731" t="s">
        <v>137</v>
      </c>
      <c r="W1731" t="s">
        <v>38</v>
      </c>
      <c r="X1731" t="s">
        <v>38</v>
      </c>
      <c r="Y1731" t="s">
        <v>38</v>
      </c>
      <c r="Z1731" t="s">
        <v>42</v>
      </c>
      <c r="AA1731" t="s">
        <v>878</v>
      </c>
      <c r="AB1731" t="s">
        <v>38</v>
      </c>
      <c r="AC1731" t="s">
        <v>45</v>
      </c>
      <c r="AD1731" t="s">
        <v>48</v>
      </c>
      <c r="AG1731" t="str">
        <f>IF(AD1731="United States", IFERROR(INDEX(Sheet2!$C:$C, MATCH(AE1731&amp;AF1731, Sheet2!$E:$E, 0)) &amp; ", " &amp; INDEX(Sheet2!$D:$D, MATCH(AE1731&amp;AF1731, Sheet2!$E:$E, 0)), ""), "-")</f>
        <v/>
      </c>
    </row>
    <row r="1732" spans="1:33" x14ac:dyDescent="0.25">
      <c r="A1732" t="s">
        <v>2966</v>
      </c>
      <c r="B1732" t="s">
        <v>3364</v>
      </c>
      <c r="C1732" t="s">
        <v>3125</v>
      </c>
      <c r="D1732" t="s">
        <v>210</v>
      </c>
      <c r="E1732" t="s">
        <v>3362</v>
      </c>
      <c r="F1732">
        <v>1764</v>
      </c>
      <c r="G1732">
        <v>1297</v>
      </c>
      <c r="H1732" t="s">
        <v>2977</v>
      </c>
      <c r="I1732" t="s">
        <v>80</v>
      </c>
      <c r="J1732" t="s">
        <v>3126</v>
      </c>
      <c r="K1732" t="s">
        <v>38</v>
      </c>
      <c r="L1732" t="s">
        <v>38</v>
      </c>
      <c r="M1732" t="s">
        <v>38</v>
      </c>
      <c r="N1732" t="s">
        <v>38</v>
      </c>
      <c r="O1732" t="s">
        <v>54</v>
      </c>
      <c r="P1732" t="s">
        <v>42</v>
      </c>
      <c r="Q1732" t="s">
        <v>43</v>
      </c>
      <c r="R1732" t="s">
        <v>2452</v>
      </c>
      <c r="S1732" t="s">
        <v>38</v>
      </c>
      <c r="T1732" t="s">
        <v>89</v>
      </c>
      <c r="U1732" t="s">
        <v>2453</v>
      </c>
      <c r="V1732" t="s">
        <v>137</v>
      </c>
      <c r="W1732" t="s">
        <v>92</v>
      </c>
      <c r="X1732" t="s">
        <v>38</v>
      </c>
      <c r="Y1732" t="s">
        <v>38</v>
      </c>
      <c r="Z1732" t="s">
        <v>42</v>
      </c>
      <c r="AA1732" t="s">
        <v>38</v>
      </c>
      <c r="AB1732" t="s">
        <v>38</v>
      </c>
      <c r="AC1732" t="s">
        <v>38</v>
      </c>
      <c r="AD1732" t="s">
        <v>48</v>
      </c>
      <c r="AG1732" t="str">
        <f>IF(AD1732="United States", IFERROR(INDEX(Sheet2!$C:$C, MATCH(AE1732&amp;AF1732, Sheet2!$E:$E, 0)) &amp; ", " &amp; INDEX(Sheet2!$D:$D, MATCH(AE1732&amp;AF1732, Sheet2!$E:$E, 0)), ""), "-")</f>
        <v/>
      </c>
    </row>
    <row r="1733" spans="1:33" x14ac:dyDescent="0.25">
      <c r="A1733" t="s">
        <v>2966</v>
      </c>
      <c r="B1733" t="s">
        <v>3365</v>
      </c>
      <c r="C1733" t="s">
        <v>3125</v>
      </c>
      <c r="D1733" t="s">
        <v>52</v>
      </c>
      <c r="E1733" t="s">
        <v>1337</v>
      </c>
      <c r="F1733">
        <v>1755</v>
      </c>
      <c r="G1733">
        <v>1285</v>
      </c>
      <c r="H1733" t="s">
        <v>2977</v>
      </c>
      <c r="I1733" t="s">
        <v>80</v>
      </c>
      <c r="J1733" t="s">
        <v>3126</v>
      </c>
      <c r="K1733" t="s">
        <v>38</v>
      </c>
      <c r="L1733" t="s">
        <v>38</v>
      </c>
      <c r="M1733" t="s">
        <v>38</v>
      </c>
      <c r="N1733" t="s">
        <v>38</v>
      </c>
      <c r="O1733" t="s">
        <v>57</v>
      </c>
      <c r="P1733" t="s">
        <v>42</v>
      </c>
      <c r="Q1733" t="s">
        <v>43</v>
      </c>
      <c r="R1733" t="s">
        <v>2452</v>
      </c>
      <c r="S1733" t="s">
        <v>45</v>
      </c>
      <c r="T1733" t="s">
        <v>89</v>
      </c>
      <c r="U1733" t="s">
        <v>2453</v>
      </c>
      <c r="V1733" t="s">
        <v>137</v>
      </c>
      <c r="W1733" t="s">
        <v>92</v>
      </c>
      <c r="X1733" t="s">
        <v>38</v>
      </c>
      <c r="Y1733" t="s">
        <v>38</v>
      </c>
      <c r="Z1733" t="s">
        <v>42</v>
      </c>
      <c r="AA1733" t="s">
        <v>1120</v>
      </c>
      <c r="AB1733" t="s">
        <v>38</v>
      </c>
      <c r="AC1733" t="s">
        <v>45</v>
      </c>
      <c r="AD1733" t="s">
        <v>48</v>
      </c>
      <c r="AG1733" t="str">
        <f>IF(AD1733="United States", IFERROR(INDEX(Sheet2!$C:$C, MATCH(AE1733&amp;AF1733, Sheet2!$E:$E, 0)) &amp; ", " &amp; INDEX(Sheet2!$D:$D, MATCH(AE1733&amp;AF1733, Sheet2!$E:$E, 0)), ""), "-")</f>
        <v/>
      </c>
    </row>
    <row r="1734" spans="1:33" x14ac:dyDescent="0.25">
      <c r="A1734" t="s">
        <v>2966</v>
      </c>
      <c r="B1734" t="s">
        <v>3366</v>
      </c>
      <c r="C1734" t="s">
        <v>3125</v>
      </c>
      <c r="D1734" t="s">
        <v>3367</v>
      </c>
      <c r="E1734" t="s">
        <v>3368</v>
      </c>
      <c r="F1734">
        <v>1761</v>
      </c>
      <c r="G1734">
        <v>1298</v>
      </c>
      <c r="H1734" t="s">
        <v>38</v>
      </c>
      <c r="I1734" t="s">
        <v>80</v>
      </c>
      <c r="J1734" t="s">
        <v>3126</v>
      </c>
      <c r="K1734" t="s">
        <v>38</v>
      </c>
      <c r="L1734" t="s">
        <v>38</v>
      </c>
      <c r="M1734" t="s">
        <v>38</v>
      </c>
      <c r="N1734" t="s">
        <v>38</v>
      </c>
      <c r="O1734" t="s">
        <v>41</v>
      </c>
      <c r="P1734" t="s">
        <v>42</v>
      </c>
      <c r="Q1734" t="s">
        <v>43</v>
      </c>
      <c r="R1734" t="s">
        <v>3369</v>
      </c>
      <c r="S1734" t="s">
        <v>1063</v>
      </c>
      <c r="T1734" t="s">
        <v>38</v>
      </c>
      <c r="U1734" t="s">
        <v>38</v>
      </c>
      <c r="V1734" t="s">
        <v>137</v>
      </c>
      <c r="W1734" t="s">
        <v>38</v>
      </c>
      <c r="X1734" t="s">
        <v>38</v>
      </c>
      <c r="Y1734" t="s">
        <v>38</v>
      </c>
      <c r="Z1734" t="s">
        <v>42</v>
      </c>
      <c r="AA1734" t="s">
        <v>3212</v>
      </c>
      <c r="AB1734" t="s">
        <v>38</v>
      </c>
      <c r="AC1734" t="s">
        <v>1063</v>
      </c>
      <c r="AD1734" t="s">
        <v>48</v>
      </c>
      <c r="AG1734" t="str">
        <f>IF(AD1734="United States", IFERROR(INDEX(Sheet2!$C:$C, MATCH(AE1734&amp;AF1734, Sheet2!$E:$E, 0)) &amp; ", " &amp; INDEX(Sheet2!$D:$D, MATCH(AE1734&amp;AF1734, Sheet2!$E:$E, 0)), ""), "-")</f>
        <v/>
      </c>
    </row>
    <row r="1735" spans="1:33" x14ac:dyDescent="0.25">
      <c r="A1735" t="s">
        <v>2966</v>
      </c>
      <c r="B1735" t="s">
        <v>3370</v>
      </c>
      <c r="C1735" t="s">
        <v>3125</v>
      </c>
      <c r="D1735" t="s">
        <v>50</v>
      </c>
      <c r="E1735" t="s">
        <v>3371</v>
      </c>
      <c r="F1735">
        <v>1748</v>
      </c>
      <c r="G1735">
        <v>1300</v>
      </c>
      <c r="H1735" t="s">
        <v>38</v>
      </c>
      <c r="I1735" t="s">
        <v>80</v>
      </c>
      <c r="J1735" t="s">
        <v>3126</v>
      </c>
      <c r="K1735" t="s">
        <v>38</v>
      </c>
      <c r="L1735" t="s">
        <v>38</v>
      </c>
      <c r="M1735" t="s">
        <v>38</v>
      </c>
      <c r="N1735" t="s">
        <v>38</v>
      </c>
      <c r="O1735" t="s">
        <v>57</v>
      </c>
      <c r="P1735" t="s">
        <v>42</v>
      </c>
      <c r="Q1735" t="s">
        <v>43</v>
      </c>
      <c r="R1735" t="s">
        <v>3372</v>
      </c>
      <c r="S1735" t="s">
        <v>165</v>
      </c>
      <c r="T1735" t="s">
        <v>38</v>
      </c>
      <c r="U1735" t="s">
        <v>38</v>
      </c>
      <c r="V1735" t="s">
        <v>137</v>
      </c>
      <c r="W1735" t="s">
        <v>38</v>
      </c>
      <c r="X1735" t="s">
        <v>38</v>
      </c>
      <c r="Y1735" t="s">
        <v>38</v>
      </c>
      <c r="Z1735" t="s">
        <v>42</v>
      </c>
      <c r="AA1735" t="s">
        <v>166</v>
      </c>
      <c r="AB1735" t="s">
        <v>38</v>
      </c>
      <c r="AC1735" t="s">
        <v>165</v>
      </c>
      <c r="AD1735" t="s">
        <v>48</v>
      </c>
      <c r="AG1735" t="str">
        <f>IF(AD1735="United States", IFERROR(INDEX(Sheet2!$C:$C, MATCH(AE1735&amp;AF1735, Sheet2!$E:$E, 0)) &amp; ", " &amp; INDEX(Sheet2!$D:$D, MATCH(AE1735&amp;AF1735, Sheet2!$E:$E, 0)), ""), "-")</f>
        <v/>
      </c>
    </row>
    <row r="1736" spans="1:33" x14ac:dyDescent="0.25">
      <c r="A1736" t="s">
        <v>2966</v>
      </c>
      <c r="B1736" t="s">
        <v>3373</v>
      </c>
      <c r="C1736" t="s">
        <v>3125</v>
      </c>
      <c r="D1736" t="s">
        <v>113</v>
      </c>
      <c r="E1736" t="s">
        <v>2465</v>
      </c>
      <c r="F1736">
        <v>1747</v>
      </c>
      <c r="G1736">
        <v>1301</v>
      </c>
      <c r="H1736" t="s">
        <v>2975</v>
      </c>
      <c r="I1736" t="s">
        <v>80</v>
      </c>
      <c r="J1736" t="s">
        <v>3126</v>
      </c>
      <c r="K1736" t="s">
        <v>38</v>
      </c>
      <c r="L1736" t="s">
        <v>38</v>
      </c>
      <c r="M1736" t="s">
        <v>38</v>
      </c>
      <c r="N1736" t="s">
        <v>38</v>
      </c>
      <c r="O1736" t="s">
        <v>41</v>
      </c>
      <c r="P1736" t="s">
        <v>42</v>
      </c>
      <c r="Q1736" t="s">
        <v>43</v>
      </c>
      <c r="R1736" t="s">
        <v>2452</v>
      </c>
      <c r="S1736" t="s">
        <v>45</v>
      </c>
      <c r="T1736" t="s">
        <v>89</v>
      </c>
      <c r="U1736" t="s">
        <v>2453</v>
      </c>
      <c r="V1736" t="s">
        <v>137</v>
      </c>
      <c r="W1736" t="s">
        <v>92</v>
      </c>
      <c r="X1736" t="s">
        <v>38</v>
      </c>
      <c r="Y1736" t="s">
        <v>38</v>
      </c>
      <c r="Z1736" t="s">
        <v>42</v>
      </c>
      <c r="AA1736" t="s">
        <v>169</v>
      </c>
      <c r="AB1736" t="s">
        <v>38</v>
      </c>
      <c r="AC1736" t="s">
        <v>45</v>
      </c>
      <c r="AD1736" t="s">
        <v>48</v>
      </c>
      <c r="AG1736" t="str">
        <f>IF(AD1736="United States", IFERROR(INDEX(Sheet2!$C:$C, MATCH(AE1736&amp;AF1736, Sheet2!$E:$E, 0)) &amp; ", " &amp; INDEX(Sheet2!$D:$D, MATCH(AE1736&amp;AF1736, Sheet2!$E:$E, 0)), ""), "-")</f>
        <v/>
      </c>
    </row>
    <row r="1737" spans="1:33" x14ac:dyDescent="0.25">
      <c r="A1737" t="s">
        <v>2966</v>
      </c>
      <c r="B1737" t="s">
        <v>3374</v>
      </c>
      <c r="C1737" t="s">
        <v>3125</v>
      </c>
      <c r="D1737" t="s">
        <v>1238</v>
      </c>
      <c r="E1737" t="s">
        <v>2465</v>
      </c>
      <c r="F1737">
        <v>1746</v>
      </c>
      <c r="G1737">
        <v>1302</v>
      </c>
      <c r="H1737" t="s">
        <v>38</v>
      </c>
      <c r="I1737" t="s">
        <v>80</v>
      </c>
      <c r="J1737" t="s">
        <v>3126</v>
      </c>
      <c r="K1737" t="s">
        <v>38</v>
      </c>
      <c r="L1737" t="s">
        <v>38</v>
      </c>
      <c r="M1737" t="s">
        <v>38</v>
      </c>
      <c r="N1737" t="s">
        <v>38</v>
      </c>
      <c r="O1737" t="s">
        <v>57</v>
      </c>
      <c r="P1737" t="s">
        <v>42</v>
      </c>
      <c r="Q1737" t="s">
        <v>43</v>
      </c>
      <c r="R1737" t="s">
        <v>3375</v>
      </c>
      <c r="S1737" t="s">
        <v>45</v>
      </c>
      <c r="T1737" t="s">
        <v>38</v>
      </c>
      <c r="U1737" t="s">
        <v>38</v>
      </c>
      <c r="V1737" t="s">
        <v>137</v>
      </c>
      <c r="W1737" t="s">
        <v>38</v>
      </c>
      <c r="X1737" t="s">
        <v>38</v>
      </c>
      <c r="Y1737" t="s">
        <v>38</v>
      </c>
      <c r="Z1737" t="s">
        <v>42</v>
      </c>
      <c r="AA1737" t="s">
        <v>169</v>
      </c>
      <c r="AB1737" t="s">
        <v>38</v>
      </c>
      <c r="AC1737" t="s">
        <v>45</v>
      </c>
      <c r="AD1737" t="s">
        <v>48</v>
      </c>
      <c r="AG1737" t="str">
        <f>IF(AD1737="United States", IFERROR(INDEX(Sheet2!$C:$C, MATCH(AE1737&amp;AF1737, Sheet2!$E:$E, 0)) &amp; ", " &amp; INDEX(Sheet2!$D:$D, MATCH(AE1737&amp;AF1737, Sheet2!$E:$E, 0)), ""), "-")</f>
        <v/>
      </c>
    </row>
    <row r="1738" spans="1:33" x14ac:dyDescent="0.25">
      <c r="A1738" t="s">
        <v>2966</v>
      </c>
      <c r="B1738" t="s">
        <v>3376</v>
      </c>
      <c r="C1738" t="s">
        <v>3125</v>
      </c>
      <c r="D1738" t="s">
        <v>132</v>
      </c>
      <c r="E1738" t="s">
        <v>2465</v>
      </c>
      <c r="F1738">
        <v>1770</v>
      </c>
      <c r="G1738">
        <v>1303</v>
      </c>
      <c r="H1738" t="s">
        <v>2975</v>
      </c>
      <c r="I1738" t="s">
        <v>80</v>
      </c>
      <c r="J1738" t="s">
        <v>3126</v>
      </c>
      <c r="K1738" t="s">
        <v>38</v>
      </c>
      <c r="L1738" t="s">
        <v>38</v>
      </c>
      <c r="M1738" t="s">
        <v>38</v>
      </c>
      <c r="N1738" t="s">
        <v>38</v>
      </c>
      <c r="O1738" t="s">
        <v>54</v>
      </c>
      <c r="P1738" t="s">
        <v>42</v>
      </c>
      <c r="Q1738" t="s">
        <v>43</v>
      </c>
      <c r="R1738" t="s">
        <v>2452</v>
      </c>
      <c r="S1738" t="s">
        <v>45</v>
      </c>
      <c r="T1738" t="s">
        <v>89</v>
      </c>
      <c r="U1738" t="s">
        <v>2453</v>
      </c>
      <c r="V1738" t="s">
        <v>137</v>
      </c>
      <c r="W1738" t="s">
        <v>92</v>
      </c>
      <c r="X1738" t="s">
        <v>38</v>
      </c>
      <c r="Y1738" t="s">
        <v>38</v>
      </c>
      <c r="Z1738" t="s">
        <v>42</v>
      </c>
      <c r="AA1738" t="s">
        <v>1135</v>
      </c>
      <c r="AB1738" t="s">
        <v>38</v>
      </c>
      <c r="AC1738" t="s">
        <v>45</v>
      </c>
      <c r="AD1738" t="s">
        <v>48</v>
      </c>
      <c r="AG1738" t="str">
        <f>IF(AD1738="United States", IFERROR(INDEX(Sheet2!$C:$C, MATCH(AE1738&amp;AF1738, Sheet2!$E:$E, 0)) &amp; ", " &amp; INDEX(Sheet2!$D:$D, MATCH(AE1738&amp;AF1738, Sheet2!$E:$E, 0)), ""), "-")</f>
        <v/>
      </c>
    </row>
    <row r="1739" spans="1:33" x14ac:dyDescent="0.25">
      <c r="A1739" t="s">
        <v>2966</v>
      </c>
      <c r="B1739" t="s">
        <v>3377</v>
      </c>
      <c r="C1739" t="s">
        <v>3125</v>
      </c>
      <c r="D1739" t="s">
        <v>132</v>
      </c>
      <c r="E1739" t="s">
        <v>1250</v>
      </c>
      <c r="F1739">
        <v>1718</v>
      </c>
      <c r="G1739">
        <v>1304</v>
      </c>
      <c r="H1739" t="s">
        <v>2975</v>
      </c>
      <c r="I1739" t="s">
        <v>80</v>
      </c>
      <c r="J1739" t="s">
        <v>3126</v>
      </c>
      <c r="K1739" t="s">
        <v>38</v>
      </c>
      <c r="L1739" t="s">
        <v>38</v>
      </c>
      <c r="M1739" t="s">
        <v>38</v>
      </c>
      <c r="N1739" t="s">
        <v>38</v>
      </c>
      <c r="O1739" t="s">
        <v>41</v>
      </c>
      <c r="P1739" t="s">
        <v>42</v>
      </c>
      <c r="Q1739" t="s">
        <v>43</v>
      </c>
      <c r="R1739" t="s">
        <v>2452</v>
      </c>
      <c r="S1739" t="s">
        <v>45</v>
      </c>
      <c r="T1739" t="s">
        <v>89</v>
      </c>
      <c r="U1739" t="s">
        <v>2453</v>
      </c>
      <c r="V1739" t="s">
        <v>137</v>
      </c>
      <c r="W1739" t="s">
        <v>92</v>
      </c>
      <c r="X1739" t="s">
        <v>38</v>
      </c>
      <c r="Y1739" t="s">
        <v>38</v>
      </c>
      <c r="Z1739" t="s">
        <v>42</v>
      </c>
      <c r="AA1739" t="s">
        <v>1135</v>
      </c>
      <c r="AB1739" t="s">
        <v>38</v>
      </c>
      <c r="AC1739" t="s">
        <v>45</v>
      </c>
      <c r="AD1739" t="s">
        <v>48</v>
      </c>
      <c r="AG1739" t="str">
        <f>IF(AD1739="United States", IFERROR(INDEX(Sheet2!$C:$C, MATCH(AE1739&amp;AF1739, Sheet2!$E:$E, 0)) &amp; ", " &amp; INDEX(Sheet2!$D:$D, MATCH(AE1739&amp;AF1739, Sheet2!$E:$E, 0)), ""), "-")</f>
        <v/>
      </c>
    </row>
    <row r="1740" spans="1:33" x14ac:dyDescent="0.25">
      <c r="A1740" t="s">
        <v>2966</v>
      </c>
      <c r="B1740" t="s">
        <v>3378</v>
      </c>
      <c r="C1740" t="s">
        <v>3125</v>
      </c>
      <c r="D1740" t="s">
        <v>50</v>
      </c>
      <c r="E1740" t="s">
        <v>1250</v>
      </c>
      <c r="F1740">
        <v>1723</v>
      </c>
      <c r="G1740">
        <v>1305</v>
      </c>
      <c r="H1740" t="s">
        <v>38</v>
      </c>
      <c r="I1740" t="s">
        <v>80</v>
      </c>
      <c r="J1740" t="s">
        <v>3126</v>
      </c>
      <c r="K1740" t="s">
        <v>38</v>
      </c>
      <c r="L1740" t="s">
        <v>38</v>
      </c>
      <c r="M1740" t="s">
        <v>38</v>
      </c>
      <c r="N1740" t="s">
        <v>38</v>
      </c>
      <c r="O1740" t="s">
        <v>57</v>
      </c>
      <c r="P1740" t="s">
        <v>42</v>
      </c>
      <c r="Q1740" t="s">
        <v>43</v>
      </c>
      <c r="R1740" t="s">
        <v>1414</v>
      </c>
      <c r="S1740" t="s">
        <v>45</v>
      </c>
      <c r="T1740" t="s">
        <v>38</v>
      </c>
      <c r="U1740" t="s">
        <v>38</v>
      </c>
      <c r="V1740" t="s">
        <v>137</v>
      </c>
      <c r="W1740" t="s">
        <v>38</v>
      </c>
      <c r="X1740" t="s">
        <v>38</v>
      </c>
      <c r="Y1740" t="s">
        <v>38</v>
      </c>
      <c r="Z1740" t="s">
        <v>42</v>
      </c>
      <c r="AA1740" t="s">
        <v>38</v>
      </c>
      <c r="AB1740" t="s">
        <v>38</v>
      </c>
      <c r="AC1740" t="s">
        <v>45</v>
      </c>
      <c r="AD1740" t="s">
        <v>48</v>
      </c>
      <c r="AG1740" t="str">
        <f>IF(AD1740="United States", IFERROR(INDEX(Sheet2!$C:$C, MATCH(AE1740&amp;AF1740, Sheet2!$E:$E, 0)) &amp; ", " &amp; INDEX(Sheet2!$D:$D, MATCH(AE1740&amp;AF1740, Sheet2!$E:$E, 0)), ""), "-")</f>
        <v/>
      </c>
    </row>
    <row r="1741" spans="1:33" x14ac:dyDescent="0.25">
      <c r="A1741" t="s">
        <v>2966</v>
      </c>
      <c r="B1741" t="s">
        <v>3379</v>
      </c>
      <c r="C1741" t="s">
        <v>3125</v>
      </c>
      <c r="D1741" t="s">
        <v>113</v>
      </c>
      <c r="E1741" t="s">
        <v>3380</v>
      </c>
      <c r="F1741">
        <v>1773</v>
      </c>
      <c r="G1741">
        <v>1306</v>
      </c>
      <c r="H1741" t="s">
        <v>2975</v>
      </c>
      <c r="I1741" t="s">
        <v>80</v>
      </c>
      <c r="J1741" t="s">
        <v>3126</v>
      </c>
      <c r="K1741" t="s">
        <v>38</v>
      </c>
      <c r="L1741" t="s">
        <v>38</v>
      </c>
      <c r="M1741" t="s">
        <v>38</v>
      </c>
      <c r="N1741" t="s">
        <v>38</v>
      </c>
      <c r="O1741" t="s">
        <v>54</v>
      </c>
      <c r="P1741" t="s">
        <v>42</v>
      </c>
      <c r="Q1741" t="s">
        <v>43</v>
      </c>
      <c r="R1741" t="s">
        <v>2452</v>
      </c>
      <c r="S1741" t="s">
        <v>45</v>
      </c>
      <c r="T1741" t="s">
        <v>89</v>
      </c>
      <c r="U1741" t="s">
        <v>2453</v>
      </c>
      <c r="V1741" t="s">
        <v>137</v>
      </c>
      <c r="W1741" t="s">
        <v>92</v>
      </c>
      <c r="X1741" t="s">
        <v>38</v>
      </c>
      <c r="Y1741" t="s">
        <v>38</v>
      </c>
      <c r="Z1741" t="s">
        <v>42</v>
      </c>
      <c r="AA1741" t="s">
        <v>38</v>
      </c>
      <c r="AB1741" t="s">
        <v>38</v>
      </c>
      <c r="AC1741" t="s">
        <v>45</v>
      </c>
      <c r="AD1741" t="s">
        <v>48</v>
      </c>
      <c r="AG1741" t="str">
        <f>IF(AD1741="United States", IFERROR(INDEX(Sheet2!$C:$C, MATCH(AE1741&amp;AF1741, Sheet2!$E:$E, 0)) &amp; ", " &amp; INDEX(Sheet2!$D:$D, MATCH(AE1741&amp;AF1741, Sheet2!$E:$E, 0)), ""), "-")</f>
        <v/>
      </c>
    </row>
    <row r="1742" spans="1:33" x14ac:dyDescent="0.25">
      <c r="A1742" t="s">
        <v>2966</v>
      </c>
      <c r="B1742" t="s">
        <v>3381</v>
      </c>
      <c r="C1742" t="s">
        <v>3125</v>
      </c>
      <c r="D1742" t="s">
        <v>1230</v>
      </c>
      <c r="E1742" t="s">
        <v>3382</v>
      </c>
      <c r="F1742">
        <v>1763</v>
      </c>
      <c r="G1742">
        <v>1307</v>
      </c>
      <c r="H1742" t="s">
        <v>2977</v>
      </c>
      <c r="I1742" t="s">
        <v>80</v>
      </c>
      <c r="J1742" t="s">
        <v>3126</v>
      </c>
      <c r="K1742" t="s">
        <v>38</v>
      </c>
      <c r="L1742" t="s">
        <v>38</v>
      </c>
      <c r="M1742" t="s">
        <v>38</v>
      </c>
      <c r="N1742" t="s">
        <v>38</v>
      </c>
      <c r="O1742" t="s">
        <v>57</v>
      </c>
      <c r="P1742" t="s">
        <v>42</v>
      </c>
      <c r="Q1742" t="s">
        <v>43</v>
      </c>
      <c r="R1742" t="s">
        <v>2452</v>
      </c>
      <c r="S1742" t="s">
        <v>165</v>
      </c>
      <c r="T1742" t="s">
        <v>89</v>
      </c>
      <c r="U1742" t="s">
        <v>2453</v>
      </c>
      <c r="V1742" t="s">
        <v>137</v>
      </c>
      <c r="W1742" t="s">
        <v>92</v>
      </c>
      <c r="X1742" t="s">
        <v>38</v>
      </c>
      <c r="Y1742" t="s">
        <v>38</v>
      </c>
      <c r="Z1742" t="s">
        <v>42</v>
      </c>
      <c r="AA1742" t="s">
        <v>166</v>
      </c>
      <c r="AB1742" t="s">
        <v>38</v>
      </c>
      <c r="AC1742" t="s">
        <v>165</v>
      </c>
      <c r="AD1742" t="s">
        <v>48</v>
      </c>
      <c r="AG1742" t="str">
        <f>IF(AD1742="United States", IFERROR(INDEX(Sheet2!$C:$C, MATCH(AE1742&amp;AF1742, Sheet2!$E:$E, 0)) &amp; ", " &amp; INDEX(Sheet2!$D:$D, MATCH(AE1742&amp;AF1742, Sheet2!$E:$E, 0)), ""), "-")</f>
        <v/>
      </c>
    </row>
    <row r="1743" spans="1:33" x14ac:dyDescent="0.25">
      <c r="A1743" t="s">
        <v>2966</v>
      </c>
      <c r="B1743" t="s">
        <v>3383</v>
      </c>
      <c r="C1743" t="s">
        <v>3125</v>
      </c>
      <c r="D1743" t="s">
        <v>2174</v>
      </c>
      <c r="E1743" t="s">
        <v>3382</v>
      </c>
      <c r="F1743">
        <v>1774</v>
      </c>
      <c r="G1743">
        <v>1308</v>
      </c>
      <c r="H1743" t="s">
        <v>38</v>
      </c>
      <c r="I1743" t="s">
        <v>80</v>
      </c>
      <c r="J1743" t="s">
        <v>3126</v>
      </c>
      <c r="K1743" t="s">
        <v>38</v>
      </c>
      <c r="L1743" t="s">
        <v>38</v>
      </c>
      <c r="M1743" t="s">
        <v>38</v>
      </c>
      <c r="N1743" t="s">
        <v>38</v>
      </c>
      <c r="O1743" t="s">
        <v>54</v>
      </c>
      <c r="P1743" t="s">
        <v>42</v>
      </c>
      <c r="Q1743" t="s">
        <v>43</v>
      </c>
      <c r="R1743" t="s">
        <v>38</v>
      </c>
      <c r="S1743" t="s">
        <v>38</v>
      </c>
      <c r="T1743" t="s">
        <v>38</v>
      </c>
      <c r="U1743" t="s">
        <v>38</v>
      </c>
      <c r="V1743" t="s">
        <v>137</v>
      </c>
      <c r="W1743" t="s">
        <v>38</v>
      </c>
      <c r="X1743" t="s">
        <v>38</v>
      </c>
      <c r="Y1743" t="s">
        <v>38</v>
      </c>
      <c r="Z1743" t="s">
        <v>42</v>
      </c>
      <c r="AA1743" t="s">
        <v>38</v>
      </c>
      <c r="AB1743" t="s">
        <v>38</v>
      </c>
      <c r="AC1743" t="s">
        <v>38</v>
      </c>
      <c r="AD1743" t="s">
        <v>48</v>
      </c>
      <c r="AG1743" t="str">
        <f>IF(AD1743="United States", IFERROR(INDEX(Sheet2!$C:$C, MATCH(AE1743&amp;AF1743, Sheet2!$E:$E, 0)) &amp; ", " &amp; INDEX(Sheet2!$D:$D, MATCH(AE1743&amp;AF1743, Sheet2!$E:$E, 0)), ""), "-")</f>
        <v/>
      </c>
    </row>
    <row r="1744" spans="1:33" x14ac:dyDescent="0.25">
      <c r="A1744" t="s">
        <v>2966</v>
      </c>
      <c r="B1744" t="s">
        <v>3384</v>
      </c>
      <c r="C1744" t="s">
        <v>3125</v>
      </c>
      <c r="D1744" t="s">
        <v>3235</v>
      </c>
      <c r="E1744" t="s">
        <v>3382</v>
      </c>
      <c r="F1744">
        <v>1753</v>
      </c>
      <c r="G1744">
        <v>1309</v>
      </c>
      <c r="H1744" t="s">
        <v>38</v>
      </c>
      <c r="I1744" t="s">
        <v>80</v>
      </c>
      <c r="J1744" t="s">
        <v>3126</v>
      </c>
      <c r="K1744" t="s">
        <v>38</v>
      </c>
      <c r="L1744" t="s">
        <v>38</v>
      </c>
      <c r="M1744" t="s">
        <v>38</v>
      </c>
      <c r="N1744" t="s">
        <v>38</v>
      </c>
      <c r="O1744" t="s">
        <v>57</v>
      </c>
      <c r="P1744" t="s">
        <v>42</v>
      </c>
      <c r="Q1744" t="s">
        <v>43</v>
      </c>
      <c r="R1744" t="s">
        <v>3385</v>
      </c>
      <c r="S1744" t="s">
        <v>45</v>
      </c>
      <c r="T1744" t="s">
        <v>38</v>
      </c>
      <c r="U1744" t="s">
        <v>38</v>
      </c>
      <c r="V1744" t="s">
        <v>137</v>
      </c>
      <c r="W1744" t="s">
        <v>38</v>
      </c>
      <c r="X1744" t="s">
        <v>38</v>
      </c>
      <c r="Y1744" t="s">
        <v>38</v>
      </c>
      <c r="Z1744" t="s">
        <v>42</v>
      </c>
      <c r="AA1744" t="s">
        <v>1135</v>
      </c>
      <c r="AB1744" t="s">
        <v>38</v>
      </c>
      <c r="AC1744" t="s">
        <v>45</v>
      </c>
      <c r="AD1744" t="s">
        <v>48</v>
      </c>
      <c r="AG1744" t="str">
        <f>IF(AD1744="United States", IFERROR(INDEX(Sheet2!$C:$C, MATCH(AE1744&amp;AF1744, Sheet2!$E:$E, 0)) &amp; ", " &amp; INDEX(Sheet2!$D:$D, MATCH(AE1744&amp;AF1744, Sheet2!$E:$E, 0)), ""), "-")</f>
        <v/>
      </c>
    </row>
    <row r="1745" spans="1:33" x14ac:dyDescent="0.25">
      <c r="A1745" t="s">
        <v>2966</v>
      </c>
      <c r="B1745" t="s">
        <v>3386</v>
      </c>
      <c r="C1745" t="s">
        <v>3125</v>
      </c>
      <c r="D1745" t="s">
        <v>36</v>
      </c>
      <c r="E1745" t="s">
        <v>1143</v>
      </c>
      <c r="F1745">
        <v>1771</v>
      </c>
      <c r="G1745">
        <v>1310</v>
      </c>
      <c r="H1745" t="s">
        <v>2975</v>
      </c>
      <c r="I1745" t="s">
        <v>80</v>
      </c>
      <c r="J1745" t="s">
        <v>3126</v>
      </c>
      <c r="K1745" t="s">
        <v>38</v>
      </c>
      <c r="L1745" t="s">
        <v>38</v>
      </c>
      <c r="M1745" t="s">
        <v>38</v>
      </c>
      <c r="N1745" t="s">
        <v>38</v>
      </c>
      <c r="O1745" t="s">
        <v>54</v>
      </c>
      <c r="P1745" t="s">
        <v>42</v>
      </c>
      <c r="Q1745" t="s">
        <v>43</v>
      </c>
      <c r="R1745" t="s">
        <v>2452</v>
      </c>
      <c r="S1745" t="s">
        <v>45</v>
      </c>
      <c r="T1745" t="s">
        <v>89</v>
      </c>
      <c r="U1745" t="s">
        <v>2453</v>
      </c>
      <c r="V1745" t="s">
        <v>137</v>
      </c>
      <c r="W1745" t="s">
        <v>92</v>
      </c>
      <c r="X1745" t="s">
        <v>38</v>
      </c>
      <c r="Y1745" t="s">
        <v>38</v>
      </c>
      <c r="Z1745" t="s">
        <v>42</v>
      </c>
      <c r="AA1745" t="s">
        <v>1135</v>
      </c>
      <c r="AB1745" t="s">
        <v>38</v>
      </c>
      <c r="AC1745" t="s">
        <v>45</v>
      </c>
      <c r="AD1745" t="s">
        <v>48</v>
      </c>
      <c r="AG1745" t="str">
        <f>IF(AD1745="United States", IFERROR(INDEX(Sheet2!$C:$C, MATCH(AE1745&amp;AF1745, Sheet2!$E:$E, 0)) &amp; ", " &amp; INDEX(Sheet2!$D:$D, MATCH(AE1745&amp;AF1745, Sheet2!$E:$E, 0)), ""), "-")</f>
        <v/>
      </c>
    </row>
    <row r="1746" spans="1:33" x14ac:dyDescent="0.25">
      <c r="A1746" t="s">
        <v>2966</v>
      </c>
      <c r="B1746" t="s">
        <v>3387</v>
      </c>
      <c r="C1746" t="s">
        <v>3125</v>
      </c>
      <c r="D1746" t="s">
        <v>222</v>
      </c>
      <c r="E1746" t="s">
        <v>633</v>
      </c>
      <c r="F1746">
        <v>1780</v>
      </c>
      <c r="G1746">
        <v>1311</v>
      </c>
      <c r="H1746" t="s">
        <v>38</v>
      </c>
      <c r="I1746" t="s">
        <v>80</v>
      </c>
      <c r="J1746" t="s">
        <v>3126</v>
      </c>
      <c r="K1746" t="s">
        <v>38</v>
      </c>
      <c r="L1746" t="s">
        <v>38</v>
      </c>
      <c r="M1746" t="s">
        <v>38</v>
      </c>
      <c r="N1746" t="s">
        <v>38</v>
      </c>
      <c r="O1746" t="s">
        <v>54</v>
      </c>
      <c r="P1746" t="s">
        <v>42</v>
      </c>
      <c r="Q1746" t="s">
        <v>43</v>
      </c>
      <c r="R1746" t="s">
        <v>38</v>
      </c>
      <c r="S1746" t="s">
        <v>38</v>
      </c>
      <c r="T1746" t="s">
        <v>38</v>
      </c>
      <c r="U1746" t="s">
        <v>38</v>
      </c>
      <c r="V1746" t="s">
        <v>137</v>
      </c>
      <c r="W1746" t="s">
        <v>38</v>
      </c>
      <c r="X1746" t="s">
        <v>38</v>
      </c>
      <c r="Y1746" t="s">
        <v>38</v>
      </c>
      <c r="Z1746" t="s">
        <v>42</v>
      </c>
      <c r="AA1746" t="s">
        <v>38</v>
      </c>
      <c r="AB1746" t="s">
        <v>38</v>
      </c>
      <c r="AC1746" t="s">
        <v>38</v>
      </c>
      <c r="AD1746" t="s">
        <v>48</v>
      </c>
      <c r="AG1746" t="str">
        <f>IF(AD1746="United States", IFERROR(INDEX(Sheet2!$C:$C, MATCH(AE1746&amp;AF1746, Sheet2!$E:$E, 0)) &amp; ", " &amp; INDEX(Sheet2!$D:$D, MATCH(AE1746&amp;AF1746, Sheet2!$E:$E, 0)), ""), "-")</f>
        <v/>
      </c>
    </row>
    <row r="1747" spans="1:33" x14ac:dyDescent="0.25">
      <c r="A1747" t="s">
        <v>2966</v>
      </c>
      <c r="B1747" t="s">
        <v>3388</v>
      </c>
      <c r="C1747" t="s">
        <v>3125</v>
      </c>
      <c r="D1747" t="s">
        <v>193</v>
      </c>
      <c r="E1747" t="s">
        <v>3371</v>
      </c>
      <c r="F1747">
        <v>1743</v>
      </c>
      <c r="G1747">
        <v>1299</v>
      </c>
      <c r="H1747" t="s">
        <v>38</v>
      </c>
      <c r="I1747" t="s">
        <v>80</v>
      </c>
      <c r="J1747" t="s">
        <v>3126</v>
      </c>
      <c r="K1747" t="s">
        <v>38</v>
      </c>
      <c r="L1747" t="s">
        <v>38</v>
      </c>
      <c r="M1747" t="s">
        <v>38</v>
      </c>
      <c r="N1747" t="s">
        <v>38</v>
      </c>
      <c r="O1747" t="s">
        <v>41</v>
      </c>
      <c r="P1747" t="s">
        <v>42</v>
      </c>
      <c r="Q1747" t="s">
        <v>43</v>
      </c>
      <c r="R1747" t="s">
        <v>3389</v>
      </c>
      <c r="S1747" t="s">
        <v>153</v>
      </c>
      <c r="T1747" t="s">
        <v>38</v>
      </c>
      <c r="U1747" t="s">
        <v>38</v>
      </c>
      <c r="V1747" t="s">
        <v>137</v>
      </c>
      <c r="W1747" t="s">
        <v>38</v>
      </c>
      <c r="X1747" t="s">
        <v>38</v>
      </c>
      <c r="Y1747" t="s">
        <v>38</v>
      </c>
      <c r="Z1747" t="s">
        <v>42</v>
      </c>
      <c r="AA1747" t="s">
        <v>155</v>
      </c>
      <c r="AB1747" t="s">
        <v>38</v>
      </c>
      <c r="AC1747" t="s">
        <v>153</v>
      </c>
      <c r="AD1747" t="s">
        <v>48</v>
      </c>
      <c r="AG1747" t="str">
        <f>IF(AD1747="United States", IFERROR(INDEX(Sheet2!$C:$C, MATCH(AE1747&amp;AF1747, Sheet2!$E:$E, 0)) &amp; ", " &amp; INDEX(Sheet2!$D:$D, MATCH(AE1747&amp;AF1747, Sheet2!$E:$E, 0)), ""), "-")</f>
        <v/>
      </c>
    </row>
    <row r="1748" spans="1:33" x14ac:dyDescent="0.25">
      <c r="A1748" t="s">
        <v>2966</v>
      </c>
      <c r="B1748" t="s">
        <v>3390</v>
      </c>
      <c r="C1748" t="s">
        <v>3125</v>
      </c>
      <c r="D1748" t="s">
        <v>1813</v>
      </c>
      <c r="E1748" t="s">
        <v>1091</v>
      </c>
      <c r="F1748">
        <v>1760</v>
      </c>
      <c r="G1748">
        <v>1284</v>
      </c>
      <c r="H1748" t="s">
        <v>38</v>
      </c>
      <c r="I1748" t="s">
        <v>80</v>
      </c>
      <c r="J1748" t="s">
        <v>3126</v>
      </c>
      <c r="K1748" t="s">
        <v>38</v>
      </c>
      <c r="L1748" t="s">
        <v>38</v>
      </c>
      <c r="M1748" t="s">
        <v>38</v>
      </c>
      <c r="N1748" t="s">
        <v>38</v>
      </c>
      <c r="O1748" t="s">
        <v>41</v>
      </c>
      <c r="P1748" t="s">
        <v>42</v>
      </c>
      <c r="Q1748" t="s">
        <v>43</v>
      </c>
      <c r="R1748" t="s">
        <v>3391</v>
      </c>
      <c r="S1748" t="s">
        <v>153</v>
      </c>
      <c r="T1748" t="s">
        <v>38</v>
      </c>
      <c r="U1748" t="s">
        <v>38</v>
      </c>
      <c r="V1748" t="s">
        <v>137</v>
      </c>
      <c r="W1748" t="s">
        <v>38</v>
      </c>
      <c r="X1748" t="s">
        <v>38</v>
      </c>
      <c r="Y1748" t="s">
        <v>38</v>
      </c>
      <c r="Z1748" t="s">
        <v>42</v>
      </c>
      <c r="AA1748" t="s">
        <v>155</v>
      </c>
      <c r="AB1748" t="s">
        <v>38</v>
      </c>
      <c r="AC1748" t="s">
        <v>153</v>
      </c>
      <c r="AD1748" t="s">
        <v>48</v>
      </c>
      <c r="AG1748" t="str">
        <f>IF(AD1748="United States", IFERROR(INDEX(Sheet2!$C:$C, MATCH(AE1748&amp;AF1748, Sheet2!$E:$E, 0)) &amp; ", " &amp; INDEX(Sheet2!$D:$D, MATCH(AE1748&amp;AF1748, Sheet2!$E:$E, 0)), ""), "-")</f>
        <v/>
      </c>
    </row>
    <row r="1749" spans="1:33" x14ac:dyDescent="0.25">
      <c r="A1749" t="s">
        <v>2966</v>
      </c>
      <c r="B1749" t="s">
        <v>3392</v>
      </c>
      <c r="C1749" t="s">
        <v>3125</v>
      </c>
      <c r="D1749" t="s">
        <v>2717</v>
      </c>
      <c r="E1749" t="s">
        <v>1091</v>
      </c>
      <c r="F1749">
        <v>1748</v>
      </c>
      <c r="G1749">
        <v>1283</v>
      </c>
      <c r="H1749" t="s">
        <v>38</v>
      </c>
      <c r="I1749" t="s">
        <v>80</v>
      </c>
      <c r="J1749" t="s">
        <v>3126</v>
      </c>
      <c r="K1749" t="s">
        <v>38</v>
      </c>
      <c r="L1749" t="s">
        <v>38</v>
      </c>
      <c r="M1749" t="s">
        <v>38</v>
      </c>
      <c r="N1749" t="s">
        <v>38</v>
      </c>
      <c r="O1749" t="s">
        <v>57</v>
      </c>
      <c r="P1749" t="s">
        <v>42</v>
      </c>
      <c r="Q1749" t="s">
        <v>43</v>
      </c>
      <c r="R1749" t="s">
        <v>3393</v>
      </c>
      <c r="S1749" t="s">
        <v>286</v>
      </c>
      <c r="T1749" t="s">
        <v>38</v>
      </c>
      <c r="U1749" t="s">
        <v>38</v>
      </c>
      <c r="V1749" t="s">
        <v>137</v>
      </c>
      <c r="W1749" t="s">
        <v>38</v>
      </c>
      <c r="X1749" t="s">
        <v>38</v>
      </c>
      <c r="Y1749" t="s">
        <v>38</v>
      </c>
      <c r="Z1749" t="s">
        <v>42</v>
      </c>
      <c r="AA1749" t="s">
        <v>2238</v>
      </c>
      <c r="AB1749" t="s">
        <v>38</v>
      </c>
      <c r="AC1749" t="s">
        <v>286</v>
      </c>
      <c r="AD1749" t="s">
        <v>48</v>
      </c>
      <c r="AG1749" t="str">
        <f>IF(AD1749="United States", IFERROR(INDEX(Sheet2!$C:$C, MATCH(AE1749&amp;AF1749, Sheet2!$E:$E, 0)) &amp; ", " &amp; INDEX(Sheet2!$D:$D, MATCH(AE1749&amp;AF1749, Sheet2!$E:$E, 0)), ""), "-")</f>
        <v/>
      </c>
    </row>
    <row r="1750" spans="1:33" x14ac:dyDescent="0.25">
      <c r="A1750" t="s">
        <v>2966</v>
      </c>
      <c r="B1750" t="s">
        <v>3394</v>
      </c>
      <c r="C1750" t="s">
        <v>3125</v>
      </c>
      <c r="D1750" t="s">
        <v>140</v>
      </c>
      <c r="E1750" t="s">
        <v>652</v>
      </c>
      <c r="F1750">
        <v>1756</v>
      </c>
      <c r="G1750">
        <v>1282</v>
      </c>
      <c r="H1750" t="s">
        <v>2975</v>
      </c>
      <c r="I1750" t="s">
        <v>80</v>
      </c>
      <c r="J1750" t="s">
        <v>3126</v>
      </c>
      <c r="K1750" t="s">
        <v>38</v>
      </c>
      <c r="L1750" t="s">
        <v>38</v>
      </c>
      <c r="M1750" t="s">
        <v>38</v>
      </c>
      <c r="N1750" t="s">
        <v>38</v>
      </c>
      <c r="O1750" t="s">
        <v>57</v>
      </c>
      <c r="P1750" t="s">
        <v>42</v>
      </c>
      <c r="Q1750" t="s">
        <v>124</v>
      </c>
      <c r="R1750" t="s">
        <v>2452</v>
      </c>
      <c r="S1750" t="s">
        <v>153</v>
      </c>
      <c r="T1750" t="s">
        <v>89</v>
      </c>
      <c r="U1750" t="s">
        <v>2453</v>
      </c>
      <c r="V1750" t="s">
        <v>137</v>
      </c>
      <c r="W1750" t="s">
        <v>92</v>
      </c>
      <c r="X1750" t="s">
        <v>38</v>
      </c>
      <c r="Y1750" t="s">
        <v>38</v>
      </c>
      <c r="Z1750" t="s">
        <v>42</v>
      </c>
      <c r="AA1750" t="s">
        <v>812</v>
      </c>
      <c r="AB1750" t="s">
        <v>38</v>
      </c>
      <c r="AC1750" t="s">
        <v>153</v>
      </c>
      <c r="AD1750" t="s">
        <v>48</v>
      </c>
      <c r="AG1750" t="str">
        <f>IF(AD1750="United States", IFERROR(INDEX(Sheet2!$C:$C, MATCH(AE1750&amp;AF1750, Sheet2!$E:$E, 0)) &amp; ", " &amp; INDEX(Sheet2!$D:$D, MATCH(AE1750&amp;AF1750, Sheet2!$E:$E, 0)), ""), "-")</f>
        <v/>
      </c>
    </row>
    <row r="1751" spans="1:33" x14ac:dyDescent="0.25">
      <c r="A1751" t="s">
        <v>2966</v>
      </c>
      <c r="B1751" t="s">
        <v>3395</v>
      </c>
      <c r="C1751" t="s">
        <v>3125</v>
      </c>
      <c r="D1751" t="s">
        <v>615</v>
      </c>
      <c r="E1751" t="s">
        <v>1084</v>
      </c>
      <c r="F1751">
        <v>1757</v>
      </c>
      <c r="G1751">
        <v>1255</v>
      </c>
      <c r="H1751" t="s">
        <v>2975</v>
      </c>
      <c r="I1751" t="s">
        <v>80</v>
      </c>
      <c r="J1751" t="s">
        <v>3126</v>
      </c>
      <c r="K1751" t="s">
        <v>38</v>
      </c>
      <c r="L1751" t="s">
        <v>38</v>
      </c>
      <c r="M1751" t="s">
        <v>38</v>
      </c>
      <c r="N1751" t="s">
        <v>38</v>
      </c>
      <c r="O1751" t="s">
        <v>41</v>
      </c>
      <c r="P1751" t="s">
        <v>42</v>
      </c>
      <c r="Q1751" t="s">
        <v>43</v>
      </c>
      <c r="R1751" t="s">
        <v>2452</v>
      </c>
      <c r="S1751" t="s">
        <v>286</v>
      </c>
      <c r="T1751" t="s">
        <v>89</v>
      </c>
      <c r="U1751" t="s">
        <v>2453</v>
      </c>
      <c r="V1751" t="s">
        <v>137</v>
      </c>
      <c r="W1751" t="s">
        <v>92</v>
      </c>
      <c r="X1751" t="s">
        <v>38</v>
      </c>
      <c r="Y1751" t="s">
        <v>38</v>
      </c>
      <c r="Z1751" t="s">
        <v>42</v>
      </c>
      <c r="AA1751" t="s">
        <v>2238</v>
      </c>
      <c r="AB1751" t="s">
        <v>38</v>
      </c>
      <c r="AC1751" t="s">
        <v>286</v>
      </c>
      <c r="AD1751" t="s">
        <v>48</v>
      </c>
      <c r="AG1751" t="str">
        <f>IF(AD1751="United States", IFERROR(INDEX(Sheet2!$C:$C, MATCH(AE1751&amp;AF1751, Sheet2!$E:$E, 0)) &amp; ", " &amp; INDEX(Sheet2!$D:$D, MATCH(AE1751&amp;AF1751, Sheet2!$E:$E, 0)), ""), "-")</f>
        <v/>
      </c>
    </row>
    <row r="1752" spans="1:33" x14ac:dyDescent="0.25">
      <c r="A1752" t="s">
        <v>2966</v>
      </c>
      <c r="B1752" t="s">
        <v>3396</v>
      </c>
      <c r="C1752" t="s">
        <v>3125</v>
      </c>
      <c r="D1752" t="s">
        <v>3397</v>
      </c>
      <c r="E1752" t="s">
        <v>1084</v>
      </c>
      <c r="F1752">
        <v>1752</v>
      </c>
      <c r="G1752">
        <v>1256</v>
      </c>
      <c r="H1752" t="s">
        <v>38</v>
      </c>
      <c r="I1752" t="s">
        <v>80</v>
      </c>
      <c r="J1752" t="s">
        <v>3126</v>
      </c>
      <c r="K1752" t="s">
        <v>38</v>
      </c>
      <c r="L1752" t="s">
        <v>38</v>
      </c>
      <c r="M1752" t="s">
        <v>38</v>
      </c>
      <c r="N1752" t="s">
        <v>38</v>
      </c>
      <c r="O1752" t="s">
        <v>57</v>
      </c>
      <c r="P1752" t="s">
        <v>42</v>
      </c>
      <c r="Q1752" t="s">
        <v>43</v>
      </c>
      <c r="R1752" t="s">
        <v>3398</v>
      </c>
      <c r="S1752" t="s">
        <v>45</v>
      </c>
      <c r="T1752" t="s">
        <v>38</v>
      </c>
      <c r="U1752" t="s">
        <v>38</v>
      </c>
      <c r="V1752" t="s">
        <v>137</v>
      </c>
      <c r="W1752" t="s">
        <v>38</v>
      </c>
      <c r="X1752" t="s">
        <v>38</v>
      </c>
      <c r="Y1752" t="s">
        <v>38</v>
      </c>
      <c r="Z1752" t="s">
        <v>42</v>
      </c>
      <c r="AA1752" t="s">
        <v>143</v>
      </c>
      <c r="AB1752" t="s">
        <v>38</v>
      </c>
      <c r="AC1752" t="s">
        <v>45</v>
      </c>
      <c r="AD1752" t="s">
        <v>48</v>
      </c>
      <c r="AG1752" t="str">
        <f>IF(AD1752="United States", IFERROR(INDEX(Sheet2!$C:$C, MATCH(AE1752&amp;AF1752, Sheet2!$E:$E, 0)) &amp; ", " &amp; INDEX(Sheet2!$D:$D, MATCH(AE1752&amp;AF1752, Sheet2!$E:$E, 0)), ""), "-")</f>
        <v/>
      </c>
    </row>
    <row r="1753" spans="1:33" x14ac:dyDescent="0.25">
      <c r="A1753" t="s">
        <v>2966</v>
      </c>
      <c r="B1753" t="s">
        <v>3399</v>
      </c>
      <c r="C1753" t="s">
        <v>3125</v>
      </c>
      <c r="D1753" t="s">
        <v>52</v>
      </c>
      <c r="E1753" t="s">
        <v>1084</v>
      </c>
      <c r="F1753">
        <v>1777</v>
      </c>
      <c r="G1753">
        <v>1257</v>
      </c>
      <c r="H1753" t="s">
        <v>2977</v>
      </c>
      <c r="I1753" t="s">
        <v>80</v>
      </c>
      <c r="J1753" t="s">
        <v>3126</v>
      </c>
      <c r="K1753" t="s">
        <v>38</v>
      </c>
      <c r="L1753" t="s">
        <v>38</v>
      </c>
      <c r="M1753" t="s">
        <v>38</v>
      </c>
      <c r="N1753" t="s">
        <v>38</v>
      </c>
      <c r="O1753" t="s">
        <v>54</v>
      </c>
      <c r="P1753" t="s">
        <v>42</v>
      </c>
      <c r="Q1753" t="s">
        <v>43</v>
      </c>
      <c r="R1753" t="s">
        <v>2452</v>
      </c>
      <c r="S1753" t="s">
        <v>38</v>
      </c>
      <c r="T1753" t="s">
        <v>89</v>
      </c>
      <c r="U1753" t="s">
        <v>2453</v>
      </c>
      <c r="V1753" t="s">
        <v>137</v>
      </c>
      <c r="W1753" t="s">
        <v>92</v>
      </c>
      <c r="X1753" t="s">
        <v>38</v>
      </c>
      <c r="Y1753" t="s">
        <v>38</v>
      </c>
      <c r="Z1753" t="s">
        <v>42</v>
      </c>
      <c r="AA1753" t="s">
        <v>38</v>
      </c>
      <c r="AB1753" t="s">
        <v>38</v>
      </c>
      <c r="AC1753" t="s">
        <v>38</v>
      </c>
      <c r="AD1753" t="s">
        <v>48</v>
      </c>
      <c r="AG1753" t="str">
        <f>IF(AD1753="United States", IFERROR(INDEX(Sheet2!$C:$C, MATCH(AE1753&amp;AF1753, Sheet2!$E:$E, 0)) &amp; ", " &amp; INDEX(Sheet2!$D:$D, MATCH(AE1753&amp;AF1753, Sheet2!$E:$E, 0)), ""), "-")</f>
        <v/>
      </c>
    </row>
    <row r="1754" spans="1:33" x14ac:dyDescent="0.25">
      <c r="A1754" t="s">
        <v>2966</v>
      </c>
      <c r="B1754" t="s">
        <v>3400</v>
      </c>
      <c r="C1754" t="s">
        <v>3125</v>
      </c>
      <c r="D1754" t="s">
        <v>352</v>
      </c>
      <c r="E1754" t="s">
        <v>2028</v>
      </c>
      <c r="F1754">
        <v>1738</v>
      </c>
      <c r="G1754">
        <v>1258</v>
      </c>
      <c r="H1754" t="s">
        <v>38</v>
      </c>
      <c r="I1754" t="s">
        <v>80</v>
      </c>
      <c r="J1754" t="s">
        <v>3126</v>
      </c>
      <c r="K1754" t="s">
        <v>38</v>
      </c>
      <c r="L1754" t="s">
        <v>38</v>
      </c>
      <c r="M1754" t="s">
        <v>38</v>
      </c>
      <c r="N1754" t="s">
        <v>38</v>
      </c>
      <c r="O1754" t="s">
        <v>57</v>
      </c>
      <c r="P1754" t="s">
        <v>42</v>
      </c>
      <c r="Q1754" t="s">
        <v>43</v>
      </c>
      <c r="R1754" t="s">
        <v>3401</v>
      </c>
      <c r="S1754" t="s">
        <v>45</v>
      </c>
      <c r="T1754" t="s">
        <v>38</v>
      </c>
      <c r="U1754" t="s">
        <v>38</v>
      </c>
      <c r="V1754" t="s">
        <v>137</v>
      </c>
      <c r="W1754" t="s">
        <v>38</v>
      </c>
      <c r="X1754" t="s">
        <v>38</v>
      </c>
      <c r="Y1754" t="s">
        <v>38</v>
      </c>
      <c r="Z1754" t="s">
        <v>42</v>
      </c>
      <c r="AA1754" t="s">
        <v>241</v>
      </c>
      <c r="AB1754" t="s">
        <v>38</v>
      </c>
      <c r="AC1754" t="s">
        <v>45</v>
      </c>
      <c r="AD1754" t="s">
        <v>48</v>
      </c>
      <c r="AG1754" t="str">
        <f>IF(AD1754="United States", IFERROR(INDEX(Sheet2!$C:$C, MATCH(AE1754&amp;AF1754, Sheet2!$E:$E, 0)) &amp; ", " &amp; INDEX(Sheet2!$D:$D, MATCH(AE1754&amp;AF1754, Sheet2!$E:$E, 0)), ""), "-")</f>
        <v/>
      </c>
    </row>
    <row r="1755" spans="1:33" x14ac:dyDescent="0.25">
      <c r="A1755" t="s">
        <v>2966</v>
      </c>
      <c r="B1755" t="s">
        <v>3402</v>
      </c>
      <c r="C1755" t="s">
        <v>3125</v>
      </c>
      <c r="D1755" t="s">
        <v>904</v>
      </c>
      <c r="E1755" t="s">
        <v>2028</v>
      </c>
      <c r="F1755">
        <v>1774</v>
      </c>
      <c r="G1755">
        <v>1259</v>
      </c>
      <c r="H1755" t="s">
        <v>38</v>
      </c>
      <c r="I1755" t="s">
        <v>80</v>
      </c>
      <c r="J1755" t="s">
        <v>3126</v>
      </c>
      <c r="K1755" t="s">
        <v>38</v>
      </c>
      <c r="L1755" t="s">
        <v>38</v>
      </c>
      <c r="M1755" t="s">
        <v>38</v>
      </c>
      <c r="N1755" t="s">
        <v>38</v>
      </c>
      <c r="O1755" t="s">
        <v>74</v>
      </c>
      <c r="P1755" t="s">
        <v>42</v>
      </c>
      <c r="Q1755" t="s">
        <v>43</v>
      </c>
      <c r="R1755" t="s">
        <v>3401</v>
      </c>
      <c r="S1755" t="s">
        <v>45</v>
      </c>
      <c r="T1755" t="s">
        <v>38</v>
      </c>
      <c r="U1755" t="s">
        <v>38</v>
      </c>
      <c r="V1755" t="s">
        <v>137</v>
      </c>
      <c r="W1755" t="s">
        <v>38</v>
      </c>
      <c r="X1755" t="s">
        <v>38</v>
      </c>
      <c r="Y1755" t="s">
        <v>38</v>
      </c>
      <c r="Z1755" t="s">
        <v>42</v>
      </c>
      <c r="AA1755" t="s">
        <v>241</v>
      </c>
      <c r="AB1755" t="s">
        <v>38</v>
      </c>
      <c r="AC1755" t="s">
        <v>45</v>
      </c>
      <c r="AD1755" t="s">
        <v>48</v>
      </c>
      <c r="AG1755" t="str">
        <f>IF(AD1755="United States", IFERROR(INDEX(Sheet2!$C:$C, MATCH(AE1755&amp;AF1755, Sheet2!$E:$E, 0)) &amp; ", " &amp; INDEX(Sheet2!$D:$D, MATCH(AE1755&amp;AF1755, Sheet2!$E:$E, 0)), ""), "-")</f>
        <v/>
      </c>
    </row>
    <row r="1756" spans="1:33" x14ac:dyDescent="0.25">
      <c r="A1756" t="s">
        <v>2966</v>
      </c>
      <c r="B1756" t="s">
        <v>3403</v>
      </c>
      <c r="C1756" t="s">
        <v>3125</v>
      </c>
      <c r="D1756" t="s">
        <v>2121</v>
      </c>
      <c r="E1756" t="s">
        <v>3404</v>
      </c>
      <c r="F1756">
        <v>1743</v>
      </c>
      <c r="G1756">
        <v>1260</v>
      </c>
      <c r="H1756" t="s">
        <v>38</v>
      </c>
      <c r="I1756" t="s">
        <v>80</v>
      </c>
      <c r="J1756" t="s">
        <v>3126</v>
      </c>
      <c r="K1756" t="s">
        <v>38</v>
      </c>
      <c r="L1756" t="s">
        <v>38</v>
      </c>
      <c r="M1756" t="s">
        <v>38</v>
      </c>
      <c r="N1756" t="s">
        <v>38</v>
      </c>
      <c r="O1756" t="s">
        <v>41</v>
      </c>
      <c r="P1756" t="s">
        <v>42</v>
      </c>
      <c r="Q1756" t="s">
        <v>43</v>
      </c>
      <c r="R1756" t="s">
        <v>38</v>
      </c>
      <c r="S1756" t="s">
        <v>38</v>
      </c>
      <c r="T1756" t="s">
        <v>38</v>
      </c>
      <c r="U1756" t="s">
        <v>38</v>
      </c>
      <c r="V1756" t="s">
        <v>137</v>
      </c>
      <c r="W1756" t="s">
        <v>38</v>
      </c>
      <c r="X1756" t="s">
        <v>38</v>
      </c>
      <c r="Y1756" t="s">
        <v>38</v>
      </c>
      <c r="Z1756" t="s">
        <v>42</v>
      </c>
      <c r="AA1756" t="s">
        <v>3405</v>
      </c>
      <c r="AB1756" t="s">
        <v>38</v>
      </c>
      <c r="AC1756" t="s">
        <v>3406</v>
      </c>
      <c r="AD1756" t="s">
        <v>48</v>
      </c>
      <c r="AG1756" t="str">
        <f>IF(AD1756="United States", IFERROR(INDEX(Sheet2!$C:$C, MATCH(AE1756&amp;AF1756, Sheet2!$E:$E, 0)) &amp; ", " &amp; INDEX(Sheet2!$D:$D, MATCH(AE1756&amp;AF1756, Sheet2!$E:$E, 0)), ""), "-")</f>
        <v/>
      </c>
    </row>
    <row r="1757" spans="1:33" x14ac:dyDescent="0.25">
      <c r="A1757" t="s">
        <v>2966</v>
      </c>
      <c r="B1757" t="s">
        <v>3407</v>
      </c>
      <c r="C1757" t="s">
        <v>3125</v>
      </c>
      <c r="D1757" t="s">
        <v>190</v>
      </c>
      <c r="E1757" t="s">
        <v>3404</v>
      </c>
      <c r="F1757">
        <v>1753</v>
      </c>
      <c r="G1757">
        <v>1261</v>
      </c>
      <c r="H1757" t="s">
        <v>2975</v>
      </c>
      <c r="I1757" t="s">
        <v>80</v>
      </c>
      <c r="J1757" t="s">
        <v>3126</v>
      </c>
      <c r="K1757" t="s">
        <v>38</v>
      </c>
      <c r="L1757" t="s">
        <v>38</v>
      </c>
      <c r="M1757" t="s">
        <v>38</v>
      </c>
      <c r="N1757" t="s">
        <v>38</v>
      </c>
      <c r="O1757" t="s">
        <v>57</v>
      </c>
      <c r="P1757" t="s">
        <v>42</v>
      </c>
      <c r="Q1757" t="s">
        <v>43</v>
      </c>
      <c r="R1757" t="s">
        <v>2452</v>
      </c>
      <c r="S1757" t="s">
        <v>45</v>
      </c>
      <c r="T1757" t="s">
        <v>89</v>
      </c>
      <c r="U1757" t="s">
        <v>2453</v>
      </c>
      <c r="V1757" t="s">
        <v>137</v>
      </c>
      <c r="W1757" t="s">
        <v>92</v>
      </c>
      <c r="X1757" t="s">
        <v>38</v>
      </c>
      <c r="Y1757" t="s">
        <v>38</v>
      </c>
      <c r="Z1757" t="s">
        <v>42</v>
      </c>
      <c r="AA1757" t="s">
        <v>241</v>
      </c>
      <c r="AB1757" t="s">
        <v>38</v>
      </c>
      <c r="AC1757" t="s">
        <v>45</v>
      </c>
      <c r="AD1757" t="s">
        <v>48</v>
      </c>
      <c r="AG1757" t="str">
        <f>IF(AD1757="United States", IFERROR(INDEX(Sheet2!$C:$C, MATCH(AE1757&amp;AF1757, Sheet2!$E:$E, 0)) &amp; ", " &amp; INDEX(Sheet2!$D:$D, MATCH(AE1757&amp;AF1757, Sheet2!$E:$E, 0)), ""), "-")</f>
        <v/>
      </c>
    </row>
    <row r="1758" spans="1:33" x14ac:dyDescent="0.25">
      <c r="A1758" t="s">
        <v>2966</v>
      </c>
      <c r="B1758" t="s">
        <v>3408</v>
      </c>
      <c r="C1758" t="s">
        <v>3125</v>
      </c>
      <c r="D1758" t="s">
        <v>1413</v>
      </c>
      <c r="E1758" t="s">
        <v>3404</v>
      </c>
      <c r="F1758">
        <v>1765</v>
      </c>
      <c r="G1758">
        <v>1262</v>
      </c>
      <c r="H1758" t="s">
        <v>38</v>
      </c>
      <c r="I1758" t="s">
        <v>80</v>
      </c>
      <c r="J1758" t="s">
        <v>3126</v>
      </c>
      <c r="K1758" t="s">
        <v>38</v>
      </c>
      <c r="L1758" t="s">
        <v>38</v>
      </c>
      <c r="M1758" t="s">
        <v>38</v>
      </c>
      <c r="N1758" t="s">
        <v>38</v>
      </c>
      <c r="O1758" t="s">
        <v>54</v>
      </c>
      <c r="P1758" t="s">
        <v>42</v>
      </c>
      <c r="Q1758" t="s">
        <v>43</v>
      </c>
      <c r="R1758" t="s">
        <v>38</v>
      </c>
      <c r="S1758" t="s">
        <v>38</v>
      </c>
      <c r="T1758" t="s">
        <v>38</v>
      </c>
      <c r="U1758" t="s">
        <v>38</v>
      </c>
      <c r="V1758" t="s">
        <v>137</v>
      </c>
      <c r="W1758" t="s">
        <v>38</v>
      </c>
      <c r="X1758" t="s">
        <v>38</v>
      </c>
      <c r="Y1758" t="s">
        <v>38</v>
      </c>
      <c r="Z1758" t="s">
        <v>42</v>
      </c>
      <c r="AA1758" t="s">
        <v>38</v>
      </c>
      <c r="AB1758" t="s">
        <v>38</v>
      </c>
      <c r="AC1758" t="s">
        <v>38</v>
      </c>
      <c r="AD1758" t="s">
        <v>48</v>
      </c>
      <c r="AG1758" t="str">
        <f>IF(AD1758="United States", IFERROR(INDEX(Sheet2!$C:$C, MATCH(AE1758&amp;AF1758, Sheet2!$E:$E, 0)) &amp; ", " &amp; INDEX(Sheet2!$D:$D, MATCH(AE1758&amp;AF1758, Sheet2!$E:$E, 0)), ""), "-")</f>
        <v/>
      </c>
    </row>
    <row r="1759" spans="1:33" x14ac:dyDescent="0.25">
      <c r="A1759" t="s">
        <v>2966</v>
      </c>
      <c r="B1759" t="s">
        <v>3409</v>
      </c>
      <c r="C1759" t="s">
        <v>3125</v>
      </c>
      <c r="D1759" t="s">
        <v>513</v>
      </c>
      <c r="E1759" t="s">
        <v>3404</v>
      </c>
      <c r="F1759">
        <v>1774</v>
      </c>
      <c r="G1759">
        <v>1263</v>
      </c>
      <c r="H1759" t="s">
        <v>38</v>
      </c>
      <c r="I1759" t="s">
        <v>80</v>
      </c>
      <c r="J1759" t="s">
        <v>3126</v>
      </c>
      <c r="K1759" t="s">
        <v>38</v>
      </c>
      <c r="L1759" t="s">
        <v>38</v>
      </c>
      <c r="M1759" t="s">
        <v>38</v>
      </c>
      <c r="N1759" t="s">
        <v>38</v>
      </c>
      <c r="O1759" t="s">
        <v>54</v>
      </c>
      <c r="P1759" t="s">
        <v>42</v>
      </c>
      <c r="Q1759" t="s">
        <v>43</v>
      </c>
      <c r="R1759" t="s">
        <v>3410</v>
      </c>
      <c r="S1759" t="s">
        <v>45</v>
      </c>
      <c r="T1759" t="s">
        <v>38</v>
      </c>
      <c r="U1759" t="s">
        <v>38</v>
      </c>
      <c r="V1759" t="s">
        <v>137</v>
      </c>
      <c r="W1759" t="s">
        <v>38</v>
      </c>
      <c r="X1759" t="s">
        <v>38</v>
      </c>
      <c r="Y1759" t="s">
        <v>38</v>
      </c>
      <c r="Z1759" t="s">
        <v>42</v>
      </c>
      <c r="AA1759" t="s">
        <v>241</v>
      </c>
      <c r="AB1759" t="s">
        <v>38</v>
      </c>
      <c r="AC1759" t="s">
        <v>45</v>
      </c>
      <c r="AD1759" t="s">
        <v>48</v>
      </c>
      <c r="AG1759" t="str">
        <f>IF(AD1759="United States", IFERROR(INDEX(Sheet2!$C:$C, MATCH(AE1759&amp;AF1759, Sheet2!$E:$E, 0)) &amp; ", " &amp; INDEX(Sheet2!$D:$D, MATCH(AE1759&amp;AF1759, Sheet2!$E:$E, 0)), ""), "-")</f>
        <v/>
      </c>
    </row>
    <row r="1760" spans="1:33" x14ac:dyDescent="0.25">
      <c r="A1760" t="s">
        <v>2966</v>
      </c>
      <c r="B1760" t="s">
        <v>3411</v>
      </c>
      <c r="C1760" t="s">
        <v>3125</v>
      </c>
      <c r="D1760" t="s">
        <v>1230</v>
      </c>
      <c r="E1760" t="s">
        <v>101</v>
      </c>
      <c r="F1760">
        <v>1757</v>
      </c>
      <c r="G1760">
        <v>1264</v>
      </c>
      <c r="H1760" t="s">
        <v>2977</v>
      </c>
      <c r="I1760" t="s">
        <v>80</v>
      </c>
      <c r="J1760" t="s">
        <v>3126</v>
      </c>
      <c r="K1760" t="s">
        <v>38</v>
      </c>
      <c r="L1760" t="s">
        <v>38</v>
      </c>
      <c r="M1760" t="s">
        <v>38</v>
      </c>
      <c r="N1760" t="s">
        <v>38</v>
      </c>
      <c r="O1760" t="s">
        <v>57</v>
      </c>
      <c r="P1760" t="s">
        <v>42</v>
      </c>
      <c r="Q1760" t="s">
        <v>43</v>
      </c>
      <c r="R1760" t="s">
        <v>2452</v>
      </c>
      <c r="S1760" t="s">
        <v>45</v>
      </c>
      <c r="T1760" t="s">
        <v>89</v>
      </c>
      <c r="U1760" t="s">
        <v>2453</v>
      </c>
      <c r="V1760" t="s">
        <v>137</v>
      </c>
      <c r="W1760" t="s">
        <v>92</v>
      </c>
      <c r="X1760" t="s">
        <v>38</v>
      </c>
      <c r="Y1760" t="s">
        <v>38</v>
      </c>
      <c r="Z1760" t="s">
        <v>42</v>
      </c>
      <c r="AA1760" t="s">
        <v>241</v>
      </c>
      <c r="AB1760" t="s">
        <v>38</v>
      </c>
      <c r="AC1760" t="s">
        <v>45</v>
      </c>
      <c r="AD1760" t="s">
        <v>48</v>
      </c>
      <c r="AG1760" t="str">
        <f>IF(AD1760="United States", IFERROR(INDEX(Sheet2!$C:$C, MATCH(AE1760&amp;AF1760, Sheet2!$E:$E, 0)) &amp; ", " &amp; INDEX(Sheet2!$D:$D, MATCH(AE1760&amp;AF1760, Sheet2!$E:$E, 0)), ""), "-")</f>
        <v/>
      </c>
    </row>
    <row r="1761" spans="1:33" x14ac:dyDescent="0.25">
      <c r="A1761" t="s">
        <v>2966</v>
      </c>
      <c r="B1761" t="s">
        <v>3412</v>
      </c>
      <c r="C1761" t="s">
        <v>3125</v>
      </c>
      <c r="D1761" t="s">
        <v>927</v>
      </c>
      <c r="E1761" t="s">
        <v>101</v>
      </c>
      <c r="F1761">
        <v>1777</v>
      </c>
      <c r="G1761">
        <v>1265</v>
      </c>
      <c r="H1761" t="s">
        <v>38</v>
      </c>
      <c r="I1761" t="s">
        <v>80</v>
      </c>
      <c r="J1761" t="s">
        <v>3126</v>
      </c>
      <c r="K1761" t="s">
        <v>38</v>
      </c>
      <c r="L1761" t="s">
        <v>38</v>
      </c>
      <c r="M1761" t="s">
        <v>38</v>
      </c>
      <c r="N1761" t="s">
        <v>38</v>
      </c>
      <c r="O1761" t="s">
        <v>54</v>
      </c>
      <c r="P1761" t="s">
        <v>42</v>
      </c>
      <c r="Q1761" t="s">
        <v>43</v>
      </c>
      <c r="R1761" t="s">
        <v>38</v>
      </c>
      <c r="S1761" t="s">
        <v>38</v>
      </c>
      <c r="T1761" t="s">
        <v>38</v>
      </c>
      <c r="U1761" t="s">
        <v>38</v>
      </c>
      <c r="V1761" t="s">
        <v>137</v>
      </c>
      <c r="W1761" t="s">
        <v>38</v>
      </c>
      <c r="X1761" t="s">
        <v>38</v>
      </c>
      <c r="Y1761" t="s">
        <v>38</v>
      </c>
      <c r="Z1761" t="s">
        <v>42</v>
      </c>
      <c r="AA1761" t="s">
        <v>38</v>
      </c>
      <c r="AB1761" t="s">
        <v>38</v>
      </c>
      <c r="AC1761" t="s">
        <v>38</v>
      </c>
      <c r="AD1761" t="s">
        <v>48</v>
      </c>
      <c r="AG1761" t="str">
        <f>IF(AD1761="United States", IFERROR(INDEX(Sheet2!$C:$C, MATCH(AE1761&amp;AF1761, Sheet2!$E:$E, 0)) &amp; ", " &amp; INDEX(Sheet2!$D:$D, MATCH(AE1761&amp;AF1761, Sheet2!$E:$E, 0)), ""), "-")</f>
        <v/>
      </c>
    </row>
    <row r="1762" spans="1:33" x14ac:dyDescent="0.25">
      <c r="A1762" t="s">
        <v>2966</v>
      </c>
      <c r="B1762" t="s">
        <v>3413</v>
      </c>
      <c r="C1762" t="s">
        <v>3125</v>
      </c>
      <c r="D1762" t="s">
        <v>235</v>
      </c>
      <c r="E1762" t="s">
        <v>1337</v>
      </c>
      <c r="F1762">
        <v>1759</v>
      </c>
      <c r="G1762">
        <v>1266</v>
      </c>
      <c r="H1762" t="s">
        <v>38</v>
      </c>
      <c r="I1762" t="s">
        <v>80</v>
      </c>
      <c r="J1762" t="s">
        <v>3126</v>
      </c>
      <c r="K1762" t="s">
        <v>38</v>
      </c>
      <c r="L1762" t="s">
        <v>38</v>
      </c>
      <c r="M1762" t="s">
        <v>38</v>
      </c>
      <c r="N1762" t="s">
        <v>38</v>
      </c>
      <c r="O1762" t="s">
        <v>57</v>
      </c>
      <c r="P1762" t="s">
        <v>42</v>
      </c>
      <c r="Q1762" t="s">
        <v>43</v>
      </c>
      <c r="R1762" t="s">
        <v>3414</v>
      </c>
      <c r="S1762" t="s">
        <v>45</v>
      </c>
      <c r="T1762" t="s">
        <v>38</v>
      </c>
      <c r="U1762" t="s">
        <v>38</v>
      </c>
      <c r="V1762" t="s">
        <v>137</v>
      </c>
      <c r="W1762" t="s">
        <v>38</v>
      </c>
      <c r="X1762" t="s">
        <v>38</v>
      </c>
      <c r="Y1762" t="s">
        <v>38</v>
      </c>
      <c r="Z1762" t="s">
        <v>42</v>
      </c>
      <c r="AA1762" t="s">
        <v>1135</v>
      </c>
      <c r="AB1762" t="s">
        <v>38</v>
      </c>
      <c r="AC1762" t="s">
        <v>45</v>
      </c>
      <c r="AD1762" t="s">
        <v>48</v>
      </c>
      <c r="AG1762" t="str">
        <f>IF(AD1762="United States", IFERROR(INDEX(Sheet2!$C:$C, MATCH(AE1762&amp;AF1762, Sheet2!$E:$E, 0)) &amp; ", " &amp; INDEX(Sheet2!$D:$D, MATCH(AE1762&amp;AF1762, Sheet2!$E:$E, 0)), ""), "-")</f>
        <v/>
      </c>
    </row>
    <row r="1763" spans="1:33" x14ac:dyDescent="0.25">
      <c r="A1763" t="s">
        <v>2966</v>
      </c>
      <c r="B1763" t="s">
        <v>3415</v>
      </c>
      <c r="C1763" t="s">
        <v>3125</v>
      </c>
      <c r="D1763" t="s">
        <v>2146</v>
      </c>
      <c r="E1763" t="s">
        <v>1337</v>
      </c>
      <c r="F1763">
        <v>1769</v>
      </c>
      <c r="G1763">
        <v>1267</v>
      </c>
      <c r="H1763" t="s">
        <v>38</v>
      </c>
      <c r="I1763" t="s">
        <v>80</v>
      </c>
      <c r="J1763" t="s">
        <v>3126</v>
      </c>
      <c r="K1763" t="s">
        <v>38</v>
      </c>
      <c r="L1763" t="s">
        <v>38</v>
      </c>
      <c r="M1763" t="s">
        <v>38</v>
      </c>
      <c r="N1763" t="s">
        <v>38</v>
      </c>
      <c r="O1763" t="s">
        <v>74</v>
      </c>
      <c r="P1763" t="s">
        <v>42</v>
      </c>
      <c r="Q1763" t="s">
        <v>43</v>
      </c>
      <c r="R1763" t="s">
        <v>3414</v>
      </c>
      <c r="S1763" t="s">
        <v>45</v>
      </c>
      <c r="T1763" t="s">
        <v>38</v>
      </c>
      <c r="U1763" t="s">
        <v>38</v>
      </c>
      <c r="V1763" t="s">
        <v>137</v>
      </c>
      <c r="W1763" t="s">
        <v>38</v>
      </c>
      <c r="X1763" t="s">
        <v>38</v>
      </c>
      <c r="Y1763" t="s">
        <v>38</v>
      </c>
      <c r="Z1763" t="s">
        <v>42</v>
      </c>
      <c r="AA1763" t="s">
        <v>1135</v>
      </c>
      <c r="AB1763" t="s">
        <v>38</v>
      </c>
      <c r="AC1763" t="s">
        <v>45</v>
      </c>
      <c r="AD1763" t="s">
        <v>48</v>
      </c>
      <c r="AG1763" t="str">
        <f>IF(AD1763="United States", IFERROR(INDEX(Sheet2!$C:$C, MATCH(AE1763&amp;AF1763, Sheet2!$E:$E, 0)) &amp; ", " &amp; INDEX(Sheet2!$D:$D, MATCH(AE1763&amp;AF1763, Sheet2!$E:$E, 0)), ""), "-")</f>
        <v/>
      </c>
    </row>
    <row r="1764" spans="1:33" x14ac:dyDescent="0.25">
      <c r="A1764" t="s">
        <v>2966</v>
      </c>
      <c r="B1764" t="s">
        <v>3416</v>
      </c>
      <c r="C1764" t="s">
        <v>3125</v>
      </c>
      <c r="D1764" t="s">
        <v>835</v>
      </c>
      <c r="E1764" t="s">
        <v>1337</v>
      </c>
      <c r="F1764">
        <v>1774</v>
      </c>
      <c r="G1764">
        <v>1268</v>
      </c>
      <c r="H1764" t="s">
        <v>38</v>
      </c>
      <c r="I1764" t="s">
        <v>80</v>
      </c>
      <c r="J1764" t="s">
        <v>3126</v>
      </c>
      <c r="K1764" t="s">
        <v>38</v>
      </c>
      <c r="L1764" t="s">
        <v>38</v>
      </c>
      <c r="M1764" t="s">
        <v>38</v>
      </c>
      <c r="N1764" t="s">
        <v>38</v>
      </c>
      <c r="O1764" t="s">
        <v>74</v>
      </c>
      <c r="P1764" t="s">
        <v>42</v>
      </c>
      <c r="Q1764" t="s">
        <v>43</v>
      </c>
      <c r="R1764" t="s">
        <v>3414</v>
      </c>
      <c r="S1764" t="s">
        <v>45</v>
      </c>
      <c r="T1764" t="s">
        <v>38</v>
      </c>
      <c r="U1764" t="s">
        <v>38</v>
      </c>
      <c r="V1764" t="s">
        <v>137</v>
      </c>
      <c r="W1764" t="s">
        <v>38</v>
      </c>
      <c r="X1764" t="s">
        <v>38</v>
      </c>
      <c r="Y1764" t="s">
        <v>38</v>
      </c>
      <c r="Z1764" t="s">
        <v>42</v>
      </c>
      <c r="AA1764" t="s">
        <v>1135</v>
      </c>
      <c r="AB1764" t="s">
        <v>38</v>
      </c>
      <c r="AC1764" t="s">
        <v>45</v>
      </c>
      <c r="AD1764" t="s">
        <v>48</v>
      </c>
      <c r="AG1764" t="str">
        <f>IF(AD1764="United States", IFERROR(INDEX(Sheet2!$C:$C, MATCH(AE1764&amp;AF1764, Sheet2!$E:$E, 0)) &amp; ", " &amp; INDEX(Sheet2!$D:$D, MATCH(AE1764&amp;AF1764, Sheet2!$E:$E, 0)), ""), "-")</f>
        <v/>
      </c>
    </row>
    <row r="1765" spans="1:33" x14ac:dyDescent="0.25">
      <c r="A1765" t="s">
        <v>2966</v>
      </c>
      <c r="B1765" t="s">
        <v>3417</v>
      </c>
      <c r="C1765" t="s">
        <v>3125</v>
      </c>
      <c r="D1765" t="s">
        <v>114</v>
      </c>
      <c r="E1765" t="s">
        <v>3186</v>
      </c>
      <c r="F1765">
        <v>1740</v>
      </c>
      <c r="G1765">
        <v>1269</v>
      </c>
      <c r="H1765" t="s">
        <v>2975</v>
      </c>
      <c r="I1765" t="s">
        <v>80</v>
      </c>
      <c r="J1765" t="s">
        <v>3126</v>
      </c>
      <c r="K1765" t="s">
        <v>38</v>
      </c>
      <c r="L1765" t="s">
        <v>38</v>
      </c>
      <c r="M1765" t="s">
        <v>38</v>
      </c>
      <c r="N1765" t="s">
        <v>38</v>
      </c>
      <c r="O1765" t="s">
        <v>57</v>
      </c>
      <c r="P1765" t="s">
        <v>42</v>
      </c>
      <c r="Q1765" t="s">
        <v>43</v>
      </c>
      <c r="R1765" t="s">
        <v>2452</v>
      </c>
      <c r="S1765" t="s">
        <v>45</v>
      </c>
      <c r="T1765" t="s">
        <v>89</v>
      </c>
      <c r="U1765" t="s">
        <v>2453</v>
      </c>
      <c r="V1765" t="s">
        <v>137</v>
      </c>
      <c r="W1765" t="s">
        <v>92</v>
      </c>
      <c r="X1765" t="s">
        <v>38</v>
      </c>
      <c r="Y1765" t="s">
        <v>38</v>
      </c>
      <c r="Z1765" t="s">
        <v>42</v>
      </c>
      <c r="AA1765" t="s">
        <v>169</v>
      </c>
      <c r="AB1765" t="s">
        <v>38</v>
      </c>
      <c r="AC1765" t="s">
        <v>45</v>
      </c>
      <c r="AD1765" t="s">
        <v>48</v>
      </c>
      <c r="AG1765" t="str">
        <f>IF(AD1765="United States", IFERROR(INDEX(Sheet2!$C:$C, MATCH(AE1765&amp;AF1765, Sheet2!$E:$E, 0)) &amp; ", " &amp; INDEX(Sheet2!$D:$D, MATCH(AE1765&amp;AF1765, Sheet2!$E:$E, 0)), ""), "-")</f>
        <v/>
      </c>
    </row>
    <row r="1766" spans="1:33" x14ac:dyDescent="0.25">
      <c r="A1766" t="s">
        <v>2966</v>
      </c>
      <c r="B1766" t="s">
        <v>3418</v>
      </c>
      <c r="C1766" t="s">
        <v>3125</v>
      </c>
      <c r="D1766" t="s">
        <v>3419</v>
      </c>
      <c r="E1766" t="s">
        <v>3420</v>
      </c>
      <c r="F1766">
        <v>1768</v>
      </c>
      <c r="G1766">
        <v>1270</v>
      </c>
      <c r="H1766" t="s">
        <v>38</v>
      </c>
      <c r="I1766" t="s">
        <v>80</v>
      </c>
      <c r="J1766" t="s">
        <v>3126</v>
      </c>
      <c r="K1766" t="s">
        <v>38</v>
      </c>
      <c r="L1766" t="s">
        <v>38</v>
      </c>
      <c r="M1766" t="s">
        <v>38</v>
      </c>
      <c r="N1766" t="s">
        <v>38</v>
      </c>
      <c r="O1766" t="s">
        <v>74</v>
      </c>
      <c r="P1766" t="s">
        <v>42</v>
      </c>
      <c r="Q1766" t="s">
        <v>43</v>
      </c>
      <c r="R1766" t="s">
        <v>3421</v>
      </c>
      <c r="S1766" t="s">
        <v>45</v>
      </c>
      <c r="T1766" t="s">
        <v>38</v>
      </c>
      <c r="U1766" t="s">
        <v>38</v>
      </c>
      <c r="V1766" t="s">
        <v>137</v>
      </c>
      <c r="W1766" t="s">
        <v>38</v>
      </c>
      <c r="X1766" t="s">
        <v>38</v>
      </c>
      <c r="Y1766" t="s">
        <v>38</v>
      </c>
      <c r="Z1766" t="s">
        <v>42</v>
      </c>
      <c r="AA1766" t="s">
        <v>169</v>
      </c>
      <c r="AB1766" t="s">
        <v>38</v>
      </c>
      <c r="AC1766" t="s">
        <v>45</v>
      </c>
      <c r="AD1766" t="s">
        <v>48</v>
      </c>
      <c r="AG1766" t="str">
        <f>IF(AD1766="United States", IFERROR(INDEX(Sheet2!$C:$C, MATCH(AE1766&amp;AF1766, Sheet2!$E:$E, 0)) &amp; ", " &amp; INDEX(Sheet2!$D:$D, MATCH(AE1766&amp;AF1766, Sheet2!$E:$E, 0)), ""), "-")</f>
        <v/>
      </c>
    </row>
    <row r="1767" spans="1:33" x14ac:dyDescent="0.25">
      <c r="A1767" t="s">
        <v>2966</v>
      </c>
      <c r="B1767" t="s">
        <v>3422</v>
      </c>
      <c r="C1767" t="s">
        <v>3125</v>
      </c>
      <c r="D1767" t="s">
        <v>72</v>
      </c>
      <c r="E1767" t="s">
        <v>3420</v>
      </c>
      <c r="F1767">
        <v>1773</v>
      </c>
      <c r="G1767">
        <v>1271</v>
      </c>
      <c r="H1767" t="s">
        <v>2975</v>
      </c>
      <c r="I1767" t="s">
        <v>80</v>
      </c>
      <c r="J1767" t="s">
        <v>3126</v>
      </c>
      <c r="K1767" t="s">
        <v>38</v>
      </c>
      <c r="L1767" t="s">
        <v>38</v>
      </c>
      <c r="M1767" t="s">
        <v>38</v>
      </c>
      <c r="N1767" t="s">
        <v>38</v>
      </c>
      <c r="O1767" t="s">
        <v>74</v>
      </c>
      <c r="P1767" t="s">
        <v>42</v>
      </c>
      <c r="Q1767" t="s">
        <v>43</v>
      </c>
      <c r="R1767" t="s">
        <v>2452</v>
      </c>
      <c r="S1767" t="s">
        <v>45</v>
      </c>
      <c r="T1767" t="s">
        <v>89</v>
      </c>
      <c r="U1767" t="s">
        <v>2453</v>
      </c>
      <c r="V1767" t="s">
        <v>137</v>
      </c>
      <c r="W1767" t="s">
        <v>92</v>
      </c>
      <c r="X1767" t="s">
        <v>38</v>
      </c>
      <c r="Y1767" t="s">
        <v>38</v>
      </c>
      <c r="Z1767" t="s">
        <v>42</v>
      </c>
      <c r="AA1767" t="s">
        <v>169</v>
      </c>
      <c r="AB1767" t="s">
        <v>38</v>
      </c>
      <c r="AC1767" t="s">
        <v>45</v>
      </c>
      <c r="AD1767" t="s">
        <v>48</v>
      </c>
      <c r="AG1767" t="str">
        <f>IF(AD1767="United States", IFERROR(INDEX(Sheet2!$C:$C, MATCH(AE1767&amp;AF1767, Sheet2!$E:$E, 0)) &amp; ", " &amp; INDEX(Sheet2!$D:$D, MATCH(AE1767&amp;AF1767, Sheet2!$E:$E, 0)), ""), "-")</f>
        <v/>
      </c>
    </row>
    <row r="1768" spans="1:33" x14ac:dyDescent="0.25">
      <c r="A1768" t="s">
        <v>2966</v>
      </c>
      <c r="B1768" t="s">
        <v>3423</v>
      </c>
      <c r="C1768" t="s">
        <v>3125</v>
      </c>
      <c r="D1768" t="s">
        <v>1840</v>
      </c>
      <c r="E1768" t="s">
        <v>848</v>
      </c>
      <c r="F1768">
        <v>1765</v>
      </c>
      <c r="G1768">
        <v>1272</v>
      </c>
      <c r="H1768" t="s">
        <v>38</v>
      </c>
      <c r="I1768" t="s">
        <v>80</v>
      </c>
      <c r="J1768" t="s">
        <v>3126</v>
      </c>
      <c r="K1768" t="s">
        <v>38</v>
      </c>
      <c r="L1768" t="s">
        <v>38</v>
      </c>
      <c r="M1768" t="s">
        <v>38</v>
      </c>
      <c r="N1768" t="s">
        <v>38</v>
      </c>
      <c r="O1768" t="s">
        <v>74</v>
      </c>
      <c r="P1768" t="s">
        <v>42</v>
      </c>
      <c r="Q1768" t="s">
        <v>43</v>
      </c>
      <c r="R1768" t="s">
        <v>3424</v>
      </c>
      <c r="S1768" t="s">
        <v>45</v>
      </c>
      <c r="T1768" t="s">
        <v>38</v>
      </c>
      <c r="U1768" t="s">
        <v>38</v>
      </c>
      <c r="V1768" t="s">
        <v>137</v>
      </c>
      <c r="W1768" t="s">
        <v>38</v>
      </c>
      <c r="X1768" t="s">
        <v>38</v>
      </c>
      <c r="Y1768" t="s">
        <v>38</v>
      </c>
      <c r="Z1768" t="s">
        <v>42</v>
      </c>
      <c r="AA1768" t="s">
        <v>169</v>
      </c>
      <c r="AB1768" t="s">
        <v>38</v>
      </c>
      <c r="AC1768" t="s">
        <v>45</v>
      </c>
      <c r="AD1768" t="s">
        <v>48</v>
      </c>
      <c r="AG1768" t="str">
        <f>IF(AD1768="United States", IFERROR(INDEX(Sheet2!$C:$C, MATCH(AE1768&amp;AF1768, Sheet2!$E:$E, 0)) &amp; ", " &amp; INDEX(Sheet2!$D:$D, MATCH(AE1768&amp;AF1768, Sheet2!$E:$E, 0)), ""), "-")</f>
        <v/>
      </c>
    </row>
    <row r="1769" spans="1:33" x14ac:dyDescent="0.25">
      <c r="A1769" t="s">
        <v>2966</v>
      </c>
      <c r="B1769" t="s">
        <v>3425</v>
      </c>
      <c r="C1769" t="s">
        <v>3125</v>
      </c>
      <c r="D1769" t="s">
        <v>114</v>
      </c>
      <c r="E1769" t="s">
        <v>268</v>
      </c>
      <c r="F1769">
        <v>1743</v>
      </c>
      <c r="G1769">
        <v>1273</v>
      </c>
      <c r="H1769" t="s">
        <v>2975</v>
      </c>
      <c r="I1769" t="s">
        <v>80</v>
      </c>
      <c r="J1769" t="s">
        <v>3126</v>
      </c>
      <c r="K1769" t="s">
        <v>38</v>
      </c>
      <c r="L1769" t="s">
        <v>38</v>
      </c>
      <c r="M1769" t="s">
        <v>38</v>
      </c>
      <c r="N1769" t="s">
        <v>38</v>
      </c>
      <c r="O1769" t="s">
        <v>57</v>
      </c>
      <c r="P1769" t="s">
        <v>42</v>
      </c>
      <c r="Q1769" t="s">
        <v>43</v>
      </c>
      <c r="R1769" t="s">
        <v>2452</v>
      </c>
      <c r="S1769" t="s">
        <v>153</v>
      </c>
      <c r="T1769" t="s">
        <v>89</v>
      </c>
      <c r="U1769" t="s">
        <v>2453</v>
      </c>
      <c r="V1769" t="s">
        <v>137</v>
      </c>
      <c r="W1769" t="s">
        <v>92</v>
      </c>
      <c r="X1769" t="s">
        <v>38</v>
      </c>
      <c r="Y1769" t="s">
        <v>38</v>
      </c>
      <c r="Z1769" t="s">
        <v>42</v>
      </c>
      <c r="AA1769" t="s">
        <v>155</v>
      </c>
      <c r="AB1769" t="s">
        <v>38</v>
      </c>
      <c r="AC1769" t="s">
        <v>153</v>
      </c>
      <c r="AD1769" t="s">
        <v>48</v>
      </c>
      <c r="AG1769" t="str">
        <f>IF(AD1769="United States", IFERROR(INDEX(Sheet2!$C:$C, MATCH(AE1769&amp;AF1769, Sheet2!$E:$E, 0)) &amp; ", " &amp; INDEX(Sheet2!$D:$D, MATCH(AE1769&amp;AF1769, Sheet2!$E:$E, 0)), ""), "-")</f>
        <v/>
      </c>
    </row>
    <row r="1770" spans="1:33" x14ac:dyDescent="0.25">
      <c r="A1770" t="s">
        <v>2966</v>
      </c>
      <c r="B1770" t="s">
        <v>3426</v>
      </c>
      <c r="C1770" t="s">
        <v>3125</v>
      </c>
      <c r="D1770" t="s">
        <v>2717</v>
      </c>
      <c r="E1770" t="s">
        <v>3191</v>
      </c>
      <c r="F1770">
        <v>1749</v>
      </c>
      <c r="G1770">
        <v>1274</v>
      </c>
      <c r="H1770" t="s">
        <v>38</v>
      </c>
      <c r="I1770" t="s">
        <v>80</v>
      </c>
      <c r="J1770" t="s">
        <v>3126</v>
      </c>
      <c r="K1770" t="s">
        <v>38</v>
      </c>
      <c r="L1770" t="s">
        <v>38</v>
      </c>
      <c r="M1770" t="s">
        <v>38</v>
      </c>
      <c r="N1770" t="s">
        <v>38</v>
      </c>
      <c r="O1770" t="s">
        <v>57</v>
      </c>
      <c r="P1770" t="s">
        <v>42</v>
      </c>
      <c r="Q1770" t="s">
        <v>43</v>
      </c>
      <c r="R1770" t="s">
        <v>3427</v>
      </c>
      <c r="S1770" t="s">
        <v>45</v>
      </c>
      <c r="T1770" t="s">
        <v>38</v>
      </c>
      <c r="U1770" t="s">
        <v>38</v>
      </c>
      <c r="V1770" t="s">
        <v>137</v>
      </c>
      <c r="W1770" t="s">
        <v>38</v>
      </c>
      <c r="X1770" t="s">
        <v>38</v>
      </c>
      <c r="Y1770" t="s">
        <v>38</v>
      </c>
      <c r="Z1770" t="s">
        <v>42</v>
      </c>
      <c r="AA1770" t="s">
        <v>38</v>
      </c>
      <c r="AB1770" t="s">
        <v>38</v>
      </c>
      <c r="AC1770" t="s">
        <v>45</v>
      </c>
      <c r="AD1770" t="s">
        <v>48</v>
      </c>
      <c r="AG1770" t="str">
        <f>IF(AD1770="United States", IFERROR(INDEX(Sheet2!$C:$C, MATCH(AE1770&amp;AF1770, Sheet2!$E:$E, 0)) &amp; ", " &amp; INDEX(Sheet2!$D:$D, MATCH(AE1770&amp;AF1770, Sheet2!$E:$E, 0)), ""), "-")</f>
        <v/>
      </c>
    </row>
    <row r="1771" spans="1:33" x14ac:dyDescent="0.25">
      <c r="A1771" t="s">
        <v>2966</v>
      </c>
      <c r="B1771" t="s">
        <v>3428</v>
      </c>
      <c r="C1771" t="s">
        <v>3125</v>
      </c>
      <c r="D1771" t="s">
        <v>434</v>
      </c>
      <c r="E1771" t="s">
        <v>3191</v>
      </c>
      <c r="F1771">
        <v>1771</v>
      </c>
      <c r="G1771">
        <v>1275</v>
      </c>
      <c r="H1771" t="s">
        <v>38</v>
      </c>
      <c r="I1771" t="s">
        <v>80</v>
      </c>
      <c r="J1771" t="s">
        <v>3126</v>
      </c>
      <c r="K1771" t="s">
        <v>38</v>
      </c>
      <c r="L1771" t="s">
        <v>38</v>
      </c>
      <c r="M1771" t="s">
        <v>38</v>
      </c>
      <c r="N1771" t="s">
        <v>38</v>
      </c>
      <c r="O1771" t="s">
        <v>54</v>
      </c>
      <c r="P1771" t="s">
        <v>42</v>
      </c>
      <c r="Q1771" t="s">
        <v>43</v>
      </c>
      <c r="R1771" t="s">
        <v>3427</v>
      </c>
      <c r="S1771" t="s">
        <v>45</v>
      </c>
      <c r="T1771" t="s">
        <v>38</v>
      </c>
      <c r="U1771" t="s">
        <v>38</v>
      </c>
      <c r="V1771" t="s">
        <v>137</v>
      </c>
      <c r="W1771" t="s">
        <v>38</v>
      </c>
      <c r="X1771" t="s">
        <v>38</v>
      </c>
      <c r="Y1771" t="s">
        <v>38</v>
      </c>
      <c r="Z1771" t="s">
        <v>42</v>
      </c>
      <c r="AA1771" t="s">
        <v>38</v>
      </c>
      <c r="AB1771" t="s">
        <v>38</v>
      </c>
      <c r="AC1771" t="s">
        <v>45</v>
      </c>
      <c r="AD1771" t="s">
        <v>48</v>
      </c>
      <c r="AG1771" t="str">
        <f>IF(AD1771="United States", IFERROR(INDEX(Sheet2!$C:$C, MATCH(AE1771&amp;AF1771, Sheet2!$E:$E, 0)) &amp; ", " &amp; INDEX(Sheet2!$D:$D, MATCH(AE1771&amp;AF1771, Sheet2!$E:$E, 0)), ""), "-")</f>
        <v/>
      </c>
    </row>
    <row r="1772" spans="1:33" x14ac:dyDescent="0.25">
      <c r="A1772" t="s">
        <v>2966</v>
      </c>
      <c r="B1772" t="s">
        <v>3429</v>
      </c>
      <c r="C1772" t="s">
        <v>3125</v>
      </c>
      <c r="D1772" t="s">
        <v>114</v>
      </c>
      <c r="E1772" t="s">
        <v>3191</v>
      </c>
      <c r="F1772">
        <v>1780</v>
      </c>
      <c r="G1772">
        <v>1276</v>
      </c>
      <c r="H1772" t="s">
        <v>2975</v>
      </c>
      <c r="I1772" t="s">
        <v>80</v>
      </c>
      <c r="J1772" t="s">
        <v>3126</v>
      </c>
      <c r="K1772" t="s">
        <v>38</v>
      </c>
      <c r="L1772" t="s">
        <v>38</v>
      </c>
      <c r="M1772" t="s">
        <v>38</v>
      </c>
      <c r="N1772" t="s">
        <v>38</v>
      </c>
      <c r="O1772" t="s">
        <v>54</v>
      </c>
      <c r="P1772" t="s">
        <v>42</v>
      </c>
      <c r="Q1772" t="s">
        <v>43</v>
      </c>
      <c r="R1772" t="s">
        <v>2452</v>
      </c>
      <c r="S1772" t="s">
        <v>38</v>
      </c>
      <c r="T1772" t="s">
        <v>89</v>
      </c>
      <c r="U1772" t="s">
        <v>2453</v>
      </c>
      <c r="V1772" t="s">
        <v>137</v>
      </c>
      <c r="W1772" t="s">
        <v>92</v>
      </c>
      <c r="X1772" t="s">
        <v>38</v>
      </c>
      <c r="Y1772" t="s">
        <v>38</v>
      </c>
      <c r="Z1772" t="s">
        <v>42</v>
      </c>
      <c r="AA1772" t="s">
        <v>38</v>
      </c>
      <c r="AB1772" t="s">
        <v>38</v>
      </c>
      <c r="AC1772" t="s">
        <v>38</v>
      </c>
      <c r="AD1772" t="s">
        <v>48</v>
      </c>
      <c r="AG1772" t="str">
        <f>IF(AD1772="United States", IFERROR(INDEX(Sheet2!$C:$C, MATCH(AE1772&amp;AF1772, Sheet2!$E:$E, 0)) &amp; ", " &amp; INDEX(Sheet2!$D:$D, MATCH(AE1772&amp;AF1772, Sheet2!$E:$E, 0)), ""), "-")</f>
        <v/>
      </c>
    </row>
    <row r="1773" spans="1:33" x14ac:dyDescent="0.25">
      <c r="A1773" t="s">
        <v>2966</v>
      </c>
      <c r="B1773" t="s">
        <v>3430</v>
      </c>
      <c r="C1773" t="s">
        <v>3125</v>
      </c>
      <c r="D1773" t="s">
        <v>3431</v>
      </c>
      <c r="E1773" t="s">
        <v>1159</v>
      </c>
      <c r="F1773">
        <v>1770</v>
      </c>
      <c r="G1773">
        <v>1277</v>
      </c>
      <c r="H1773" t="s">
        <v>38</v>
      </c>
      <c r="I1773" t="s">
        <v>80</v>
      </c>
      <c r="J1773" t="s">
        <v>3126</v>
      </c>
      <c r="K1773" t="s">
        <v>38</v>
      </c>
      <c r="L1773" t="s">
        <v>38</v>
      </c>
      <c r="M1773" t="s">
        <v>38</v>
      </c>
      <c r="N1773" t="s">
        <v>38</v>
      </c>
      <c r="O1773" t="s">
        <v>74</v>
      </c>
      <c r="P1773" t="s">
        <v>42</v>
      </c>
      <c r="Q1773" t="s">
        <v>43</v>
      </c>
      <c r="R1773" t="s">
        <v>3432</v>
      </c>
      <c r="S1773" t="s">
        <v>45</v>
      </c>
      <c r="T1773" t="s">
        <v>38</v>
      </c>
      <c r="U1773" t="s">
        <v>38</v>
      </c>
      <c r="V1773" t="s">
        <v>137</v>
      </c>
      <c r="W1773" t="s">
        <v>38</v>
      </c>
      <c r="X1773" t="s">
        <v>38</v>
      </c>
      <c r="Y1773" t="s">
        <v>38</v>
      </c>
      <c r="Z1773" t="s">
        <v>42</v>
      </c>
      <c r="AA1773" t="s">
        <v>38</v>
      </c>
      <c r="AB1773" t="s">
        <v>38</v>
      </c>
      <c r="AC1773" t="s">
        <v>45</v>
      </c>
      <c r="AD1773" t="s">
        <v>48</v>
      </c>
      <c r="AG1773" t="str">
        <f>IF(AD1773="United States", IFERROR(INDEX(Sheet2!$C:$C, MATCH(AE1773&amp;AF1773, Sheet2!$E:$E, 0)) &amp; ", " &amp; INDEX(Sheet2!$D:$D, MATCH(AE1773&amp;AF1773, Sheet2!$E:$E, 0)), ""), "-")</f>
        <v/>
      </c>
    </row>
    <row r="1774" spans="1:33" x14ac:dyDescent="0.25">
      <c r="A1774" t="s">
        <v>2966</v>
      </c>
      <c r="B1774" t="s">
        <v>3433</v>
      </c>
      <c r="C1774" t="s">
        <v>3125</v>
      </c>
      <c r="D1774" t="s">
        <v>3013</v>
      </c>
      <c r="E1774" t="s">
        <v>3434</v>
      </c>
      <c r="F1774">
        <v>1753</v>
      </c>
      <c r="G1774">
        <v>1278</v>
      </c>
      <c r="H1774" t="s">
        <v>38</v>
      </c>
      <c r="I1774" t="s">
        <v>80</v>
      </c>
      <c r="J1774" t="s">
        <v>3126</v>
      </c>
      <c r="K1774" t="s">
        <v>38</v>
      </c>
      <c r="L1774" t="s">
        <v>38</v>
      </c>
      <c r="M1774" t="s">
        <v>38</v>
      </c>
      <c r="N1774" t="s">
        <v>38</v>
      </c>
      <c r="O1774" t="s">
        <v>57</v>
      </c>
      <c r="P1774" t="s">
        <v>42</v>
      </c>
      <c r="Q1774" t="s">
        <v>43</v>
      </c>
      <c r="R1774" t="s">
        <v>3435</v>
      </c>
      <c r="S1774" t="s">
        <v>45</v>
      </c>
      <c r="T1774" t="s">
        <v>38</v>
      </c>
      <c r="U1774" t="s">
        <v>38</v>
      </c>
      <c r="V1774" t="s">
        <v>137</v>
      </c>
      <c r="W1774" t="s">
        <v>38</v>
      </c>
      <c r="X1774" t="s">
        <v>38</v>
      </c>
      <c r="Y1774" t="s">
        <v>38</v>
      </c>
      <c r="Z1774" t="s">
        <v>42</v>
      </c>
      <c r="AA1774" t="s">
        <v>38</v>
      </c>
      <c r="AB1774" t="s">
        <v>38</v>
      </c>
      <c r="AC1774" t="s">
        <v>45</v>
      </c>
      <c r="AD1774" t="s">
        <v>48</v>
      </c>
      <c r="AG1774" t="str">
        <f>IF(AD1774="United States", IFERROR(INDEX(Sheet2!$C:$C, MATCH(AE1774&amp;AF1774, Sheet2!$E:$E, 0)) &amp; ", " &amp; INDEX(Sheet2!$D:$D, MATCH(AE1774&amp;AF1774, Sheet2!$E:$E, 0)), ""), "-")</f>
        <v/>
      </c>
    </row>
    <row r="1775" spans="1:33" x14ac:dyDescent="0.25">
      <c r="A1775" t="s">
        <v>2966</v>
      </c>
      <c r="B1775" t="s">
        <v>3436</v>
      </c>
      <c r="C1775" t="s">
        <v>3125</v>
      </c>
      <c r="D1775" t="s">
        <v>36</v>
      </c>
      <c r="E1775" t="s">
        <v>3434</v>
      </c>
      <c r="F1775">
        <v>1738</v>
      </c>
      <c r="G1775">
        <v>1279</v>
      </c>
      <c r="H1775" t="s">
        <v>2975</v>
      </c>
      <c r="I1775" t="s">
        <v>80</v>
      </c>
      <c r="J1775" t="s">
        <v>3126</v>
      </c>
      <c r="K1775" t="s">
        <v>38</v>
      </c>
      <c r="L1775" t="s">
        <v>38</v>
      </c>
      <c r="M1775" t="s">
        <v>38</v>
      </c>
      <c r="N1775" t="s">
        <v>38</v>
      </c>
      <c r="O1775" t="s">
        <v>41</v>
      </c>
      <c r="P1775" t="s">
        <v>42</v>
      </c>
      <c r="Q1775" t="s">
        <v>43</v>
      </c>
      <c r="R1775" t="s">
        <v>2452</v>
      </c>
      <c r="S1775" t="s">
        <v>45</v>
      </c>
      <c r="T1775" t="s">
        <v>89</v>
      </c>
      <c r="U1775" t="s">
        <v>2453</v>
      </c>
      <c r="V1775" t="s">
        <v>137</v>
      </c>
      <c r="W1775" t="s">
        <v>92</v>
      </c>
      <c r="X1775" t="s">
        <v>38</v>
      </c>
      <c r="Y1775" t="s">
        <v>38</v>
      </c>
      <c r="Z1775" t="s">
        <v>42</v>
      </c>
      <c r="AA1775" t="s">
        <v>38</v>
      </c>
      <c r="AB1775" t="s">
        <v>38</v>
      </c>
      <c r="AC1775" t="s">
        <v>45</v>
      </c>
      <c r="AD1775" t="s">
        <v>48</v>
      </c>
      <c r="AG1775" t="str">
        <f>IF(AD1775="United States", IFERROR(INDEX(Sheet2!$C:$C, MATCH(AE1775&amp;AF1775, Sheet2!$E:$E, 0)) &amp; ", " &amp; INDEX(Sheet2!$D:$D, MATCH(AE1775&amp;AF1775, Sheet2!$E:$E, 0)), ""), "-")</f>
        <v/>
      </c>
    </row>
    <row r="1776" spans="1:33" x14ac:dyDescent="0.25">
      <c r="A1776" t="s">
        <v>2966</v>
      </c>
      <c r="B1776" t="s">
        <v>3437</v>
      </c>
      <c r="C1776" t="s">
        <v>3125</v>
      </c>
      <c r="D1776" t="s">
        <v>3438</v>
      </c>
      <c r="E1776" t="s">
        <v>191</v>
      </c>
      <c r="F1776">
        <v>1755</v>
      </c>
      <c r="G1776">
        <v>1280</v>
      </c>
      <c r="H1776" t="s">
        <v>38</v>
      </c>
      <c r="I1776" t="s">
        <v>80</v>
      </c>
      <c r="J1776" t="s">
        <v>3126</v>
      </c>
      <c r="K1776" t="s">
        <v>38</v>
      </c>
      <c r="L1776" t="s">
        <v>38</v>
      </c>
      <c r="M1776" t="s">
        <v>38</v>
      </c>
      <c r="N1776" t="s">
        <v>38</v>
      </c>
      <c r="O1776" t="s">
        <v>57</v>
      </c>
      <c r="P1776" t="s">
        <v>42</v>
      </c>
      <c r="Q1776" t="s">
        <v>43</v>
      </c>
      <c r="R1776" t="s">
        <v>3439</v>
      </c>
      <c r="S1776" t="s">
        <v>153</v>
      </c>
      <c r="T1776" t="s">
        <v>38</v>
      </c>
      <c r="U1776" t="s">
        <v>38</v>
      </c>
      <c r="V1776" t="s">
        <v>137</v>
      </c>
      <c r="W1776" t="s">
        <v>38</v>
      </c>
      <c r="X1776" t="s">
        <v>38</v>
      </c>
      <c r="Y1776" t="s">
        <v>38</v>
      </c>
      <c r="Z1776" t="s">
        <v>42</v>
      </c>
      <c r="AA1776" t="s">
        <v>155</v>
      </c>
      <c r="AB1776" t="s">
        <v>38</v>
      </c>
      <c r="AC1776" t="s">
        <v>153</v>
      </c>
      <c r="AD1776" t="s">
        <v>48</v>
      </c>
      <c r="AG1776" t="str">
        <f>IF(AD1776="United States", IFERROR(INDEX(Sheet2!$C:$C, MATCH(AE1776&amp;AF1776, Sheet2!$E:$E, 0)) &amp; ", " &amp; INDEX(Sheet2!$D:$D, MATCH(AE1776&amp;AF1776, Sheet2!$E:$E, 0)), ""), "-")</f>
        <v/>
      </c>
    </row>
    <row r="1777" spans="1:33" x14ac:dyDescent="0.25">
      <c r="A1777" t="s">
        <v>2966</v>
      </c>
      <c r="B1777" t="s">
        <v>3440</v>
      </c>
      <c r="C1777" t="s">
        <v>3125</v>
      </c>
      <c r="D1777" t="s">
        <v>226</v>
      </c>
      <c r="E1777" t="s">
        <v>191</v>
      </c>
      <c r="F1777">
        <v>1755</v>
      </c>
      <c r="G1777">
        <v>1281</v>
      </c>
      <c r="H1777" t="s">
        <v>2977</v>
      </c>
      <c r="I1777" t="s">
        <v>80</v>
      </c>
      <c r="J1777" t="s">
        <v>3126</v>
      </c>
      <c r="K1777" t="s">
        <v>38</v>
      </c>
      <c r="L1777" t="s">
        <v>38</v>
      </c>
      <c r="M1777" t="s">
        <v>38</v>
      </c>
      <c r="N1777" t="s">
        <v>38</v>
      </c>
      <c r="O1777" t="s">
        <v>41</v>
      </c>
      <c r="P1777" t="s">
        <v>42</v>
      </c>
      <c r="Q1777" t="s">
        <v>43</v>
      </c>
      <c r="R1777" t="s">
        <v>2452</v>
      </c>
      <c r="S1777" t="s">
        <v>153</v>
      </c>
      <c r="T1777" t="s">
        <v>89</v>
      </c>
      <c r="U1777" t="s">
        <v>2453</v>
      </c>
      <c r="V1777" t="s">
        <v>137</v>
      </c>
      <c r="W1777" t="s">
        <v>92</v>
      </c>
      <c r="X1777" t="s">
        <v>38</v>
      </c>
      <c r="Y1777" t="s">
        <v>38</v>
      </c>
      <c r="Z1777" t="s">
        <v>42</v>
      </c>
      <c r="AA1777" t="s">
        <v>155</v>
      </c>
      <c r="AB1777" t="s">
        <v>38</v>
      </c>
      <c r="AC1777" t="s">
        <v>153</v>
      </c>
      <c r="AD1777" t="s">
        <v>48</v>
      </c>
      <c r="AG1777" t="str">
        <f>IF(AD1777="United States", IFERROR(INDEX(Sheet2!$C:$C, MATCH(AE1777&amp;AF1777, Sheet2!$E:$E, 0)) &amp; ", " &amp; INDEX(Sheet2!$D:$D, MATCH(AE1777&amp;AF1777, Sheet2!$E:$E, 0)), ""), "-")</f>
        <v/>
      </c>
    </row>
    <row r="1778" spans="1:33" x14ac:dyDescent="0.25">
      <c r="A1778" t="s">
        <v>2966</v>
      </c>
      <c r="B1778" t="s">
        <v>3441</v>
      </c>
      <c r="C1778" t="s">
        <v>3125</v>
      </c>
      <c r="D1778" t="s">
        <v>1122</v>
      </c>
      <c r="E1778" t="s">
        <v>3442</v>
      </c>
      <c r="F1778">
        <v>1733</v>
      </c>
      <c r="G1778">
        <v>1050</v>
      </c>
      <c r="H1778" t="s">
        <v>38</v>
      </c>
      <c r="I1778" t="s">
        <v>80</v>
      </c>
      <c r="J1778" t="s">
        <v>3126</v>
      </c>
      <c r="K1778" t="s">
        <v>38</v>
      </c>
      <c r="L1778" t="s">
        <v>38</v>
      </c>
      <c r="M1778" t="s">
        <v>38</v>
      </c>
      <c r="N1778" t="s">
        <v>38</v>
      </c>
      <c r="O1778" t="s">
        <v>41</v>
      </c>
      <c r="P1778" t="s">
        <v>42</v>
      </c>
      <c r="Q1778" t="s">
        <v>43</v>
      </c>
      <c r="R1778" t="s">
        <v>3443</v>
      </c>
      <c r="S1778" t="s">
        <v>201</v>
      </c>
      <c r="T1778" t="s">
        <v>38</v>
      </c>
      <c r="U1778" t="s">
        <v>38</v>
      </c>
      <c r="V1778" t="s">
        <v>137</v>
      </c>
      <c r="W1778" t="s">
        <v>38</v>
      </c>
      <c r="X1778" t="s">
        <v>38</v>
      </c>
      <c r="Y1778" t="s">
        <v>38</v>
      </c>
      <c r="Z1778" t="s">
        <v>42</v>
      </c>
      <c r="AA1778" t="s">
        <v>38</v>
      </c>
      <c r="AB1778" t="s">
        <v>38</v>
      </c>
      <c r="AC1778" t="s">
        <v>201</v>
      </c>
      <c r="AD1778" t="s">
        <v>48</v>
      </c>
      <c r="AG1778" t="str">
        <f>IF(AD1778="United States", IFERROR(INDEX(Sheet2!$C:$C, MATCH(AE1778&amp;AF1778, Sheet2!$E:$E, 0)) &amp; ", " &amp; INDEX(Sheet2!$D:$D, MATCH(AE1778&amp;AF1778, Sheet2!$E:$E, 0)), ""), "-")</f>
        <v/>
      </c>
    </row>
    <row r="1779" spans="1:33" x14ac:dyDescent="0.25">
      <c r="A1779" t="s">
        <v>2966</v>
      </c>
      <c r="B1779" t="s">
        <v>3444</v>
      </c>
      <c r="C1779" t="s">
        <v>3125</v>
      </c>
      <c r="D1779" t="s">
        <v>3445</v>
      </c>
      <c r="E1779" t="s">
        <v>3446</v>
      </c>
      <c r="F1779">
        <v>1763</v>
      </c>
      <c r="G1779">
        <v>1049</v>
      </c>
      <c r="H1779" t="s">
        <v>38</v>
      </c>
      <c r="I1779" t="s">
        <v>80</v>
      </c>
      <c r="J1779" t="s">
        <v>3126</v>
      </c>
      <c r="K1779" t="s">
        <v>38</v>
      </c>
      <c r="L1779" t="s">
        <v>38</v>
      </c>
      <c r="M1779" t="s">
        <v>676</v>
      </c>
      <c r="N1779" t="s">
        <v>3303</v>
      </c>
      <c r="O1779" t="s">
        <v>74</v>
      </c>
      <c r="P1779" t="s">
        <v>42</v>
      </c>
      <c r="Q1779" t="s">
        <v>43</v>
      </c>
      <c r="R1779" t="s">
        <v>38</v>
      </c>
      <c r="S1779" t="s">
        <v>38</v>
      </c>
      <c r="T1779" t="s">
        <v>38</v>
      </c>
      <c r="U1779" t="s">
        <v>38</v>
      </c>
      <c r="V1779" t="s">
        <v>137</v>
      </c>
      <c r="W1779" t="s">
        <v>38</v>
      </c>
      <c r="X1779" t="s">
        <v>38</v>
      </c>
      <c r="Y1779" t="s">
        <v>38</v>
      </c>
      <c r="Z1779" t="s">
        <v>42</v>
      </c>
      <c r="AA1779" t="s">
        <v>38</v>
      </c>
      <c r="AB1779" t="s">
        <v>38</v>
      </c>
      <c r="AC1779" t="s">
        <v>38</v>
      </c>
      <c r="AD1779" t="s">
        <v>48</v>
      </c>
      <c r="AG1779" t="str">
        <f>IF(AD1779="United States", IFERROR(INDEX(Sheet2!$C:$C, MATCH(AE1779&amp;AF1779, Sheet2!$E:$E, 0)) &amp; ", " &amp; INDEX(Sheet2!$D:$D, MATCH(AE1779&amp;AF1779, Sheet2!$E:$E, 0)), ""), "-")</f>
        <v/>
      </c>
    </row>
    <row r="1780" spans="1:33" x14ac:dyDescent="0.25">
      <c r="A1780" t="s">
        <v>2966</v>
      </c>
      <c r="B1780" t="s">
        <v>3447</v>
      </c>
      <c r="C1780" t="s">
        <v>3125</v>
      </c>
      <c r="D1780" t="s">
        <v>676</v>
      </c>
      <c r="E1780" t="s">
        <v>3303</v>
      </c>
      <c r="F1780">
        <v>1743</v>
      </c>
      <c r="G1780">
        <v>1048</v>
      </c>
      <c r="H1780" t="s">
        <v>38</v>
      </c>
      <c r="I1780" t="s">
        <v>80</v>
      </c>
      <c r="J1780" t="s">
        <v>3126</v>
      </c>
      <c r="K1780" t="s">
        <v>38</v>
      </c>
      <c r="L1780" t="s">
        <v>38</v>
      </c>
      <c r="M1780" t="s">
        <v>38</v>
      </c>
      <c r="N1780" t="s">
        <v>38</v>
      </c>
      <c r="O1780" t="s">
        <v>57</v>
      </c>
      <c r="P1780" t="s">
        <v>42</v>
      </c>
      <c r="Q1780" t="s">
        <v>43</v>
      </c>
      <c r="R1780" t="s">
        <v>38</v>
      </c>
      <c r="S1780" t="s">
        <v>89</v>
      </c>
      <c r="T1780" t="s">
        <v>38</v>
      </c>
      <c r="U1780" t="s">
        <v>38</v>
      </c>
      <c r="V1780" t="s">
        <v>137</v>
      </c>
      <c r="W1780" t="s">
        <v>38</v>
      </c>
      <c r="X1780" t="s">
        <v>38</v>
      </c>
      <c r="Y1780" t="s">
        <v>38</v>
      </c>
      <c r="Z1780" t="s">
        <v>42</v>
      </c>
      <c r="AA1780" t="s">
        <v>38</v>
      </c>
      <c r="AB1780" t="s">
        <v>38</v>
      </c>
      <c r="AC1780" t="s">
        <v>38</v>
      </c>
      <c r="AD1780" t="s">
        <v>48</v>
      </c>
      <c r="AG1780" t="str">
        <f>IF(AD1780="United States", IFERROR(INDEX(Sheet2!$C:$C, MATCH(AE1780&amp;AF1780, Sheet2!$E:$E, 0)) &amp; ", " &amp; INDEX(Sheet2!$D:$D, MATCH(AE1780&amp;AF1780, Sheet2!$E:$E, 0)), ""), "-")</f>
        <v/>
      </c>
    </row>
    <row r="1781" spans="1:33" x14ac:dyDescent="0.25">
      <c r="A1781" t="s">
        <v>2966</v>
      </c>
      <c r="B1781" t="s">
        <v>3448</v>
      </c>
      <c r="C1781" t="s">
        <v>3125</v>
      </c>
      <c r="D1781" t="s">
        <v>1110</v>
      </c>
      <c r="E1781" t="s">
        <v>3303</v>
      </c>
      <c r="F1781">
        <v>1752</v>
      </c>
      <c r="G1781">
        <v>1047</v>
      </c>
      <c r="H1781" t="s">
        <v>38</v>
      </c>
      <c r="I1781" t="s">
        <v>80</v>
      </c>
      <c r="J1781" t="s">
        <v>3126</v>
      </c>
      <c r="K1781" t="s">
        <v>38</v>
      </c>
      <c r="L1781" t="s">
        <v>38</v>
      </c>
      <c r="M1781" t="s">
        <v>38</v>
      </c>
      <c r="N1781" t="s">
        <v>38</v>
      </c>
      <c r="O1781" t="s">
        <v>41</v>
      </c>
      <c r="P1781" t="s">
        <v>42</v>
      </c>
      <c r="Q1781" t="s">
        <v>43</v>
      </c>
      <c r="R1781" t="s">
        <v>38</v>
      </c>
      <c r="S1781" t="s">
        <v>38</v>
      </c>
      <c r="T1781" t="s">
        <v>38</v>
      </c>
      <c r="U1781" t="s">
        <v>38</v>
      </c>
      <c r="V1781" t="s">
        <v>137</v>
      </c>
      <c r="W1781" t="s">
        <v>38</v>
      </c>
      <c r="X1781" t="s">
        <v>38</v>
      </c>
      <c r="Y1781" t="s">
        <v>38</v>
      </c>
      <c r="Z1781" t="s">
        <v>42</v>
      </c>
      <c r="AA1781" t="s">
        <v>38</v>
      </c>
      <c r="AB1781" t="s">
        <v>38</v>
      </c>
      <c r="AC1781" t="s">
        <v>1200</v>
      </c>
      <c r="AD1781" t="s">
        <v>48</v>
      </c>
      <c r="AG1781" t="str">
        <f>IF(AD1781="United States", IFERROR(INDEX(Sheet2!$C:$C, MATCH(AE1781&amp;AF1781, Sheet2!$E:$E, 0)) &amp; ", " &amp; INDEX(Sheet2!$D:$D, MATCH(AE1781&amp;AF1781, Sheet2!$E:$E, 0)), ""), "-")</f>
        <v/>
      </c>
    </row>
    <row r="1782" spans="1:33" x14ac:dyDescent="0.25">
      <c r="A1782" t="s">
        <v>2966</v>
      </c>
      <c r="B1782" t="s">
        <v>3258</v>
      </c>
      <c r="C1782" t="s">
        <v>3125</v>
      </c>
      <c r="D1782" t="s">
        <v>2459</v>
      </c>
      <c r="E1782" t="s">
        <v>3259</v>
      </c>
      <c r="F1782">
        <v>1757</v>
      </c>
      <c r="G1782">
        <v>960</v>
      </c>
      <c r="H1782" t="s">
        <v>38</v>
      </c>
      <c r="I1782" t="s">
        <v>80</v>
      </c>
      <c r="J1782" t="s">
        <v>3126</v>
      </c>
      <c r="K1782" t="s">
        <v>38</v>
      </c>
      <c r="L1782" t="s">
        <v>38</v>
      </c>
      <c r="M1782" t="s">
        <v>38</v>
      </c>
      <c r="N1782" t="s">
        <v>38</v>
      </c>
      <c r="O1782" t="s">
        <v>41</v>
      </c>
      <c r="P1782" t="s">
        <v>42</v>
      </c>
      <c r="Q1782" t="s">
        <v>43</v>
      </c>
      <c r="R1782" t="s">
        <v>3260</v>
      </c>
      <c r="S1782" t="s">
        <v>45</v>
      </c>
      <c r="T1782" t="s">
        <v>38</v>
      </c>
      <c r="U1782" t="s">
        <v>38</v>
      </c>
      <c r="V1782" t="s">
        <v>137</v>
      </c>
      <c r="W1782" t="s">
        <v>38</v>
      </c>
      <c r="X1782" t="s">
        <v>38</v>
      </c>
      <c r="Y1782" t="s">
        <v>38</v>
      </c>
      <c r="Z1782" t="s">
        <v>42</v>
      </c>
      <c r="AA1782" t="s">
        <v>1135</v>
      </c>
      <c r="AB1782" t="s">
        <v>38</v>
      </c>
      <c r="AC1782" t="s">
        <v>45</v>
      </c>
      <c r="AD1782" t="s">
        <v>48</v>
      </c>
      <c r="AG1782" t="str">
        <f>IF(AD1782="United States", IFERROR(INDEX(Sheet2!$C:$C, MATCH(AE1782&amp;AF1782, Sheet2!$E:$E, 0)) &amp; ", " &amp; INDEX(Sheet2!$D:$D, MATCH(AE1782&amp;AF1782, Sheet2!$E:$E, 0)), ""), "-")</f>
        <v/>
      </c>
    </row>
    <row r="1783" spans="1:33" x14ac:dyDescent="0.25">
      <c r="A1783" t="s">
        <v>2966</v>
      </c>
      <c r="B1783" t="s">
        <v>3264</v>
      </c>
      <c r="C1783" t="s">
        <v>3125</v>
      </c>
      <c r="D1783" t="s">
        <v>210</v>
      </c>
      <c r="E1783" t="s">
        <v>191</v>
      </c>
      <c r="F1783">
        <v>1750</v>
      </c>
      <c r="G1783">
        <v>961</v>
      </c>
      <c r="H1783" t="s">
        <v>2977</v>
      </c>
      <c r="I1783" t="s">
        <v>80</v>
      </c>
      <c r="J1783" t="s">
        <v>3126</v>
      </c>
      <c r="K1783" t="s">
        <v>38</v>
      </c>
      <c r="L1783" t="s">
        <v>38</v>
      </c>
      <c r="M1783" t="s">
        <v>38</v>
      </c>
      <c r="N1783" t="s">
        <v>38</v>
      </c>
      <c r="O1783" t="s">
        <v>41</v>
      </c>
      <c r="P1783" t="s">
        <v>42</v>
      </c>
      <c r="Q1783" t="s">
        <v>43</v>
      </c>
      <c r="R1783" t="s">
        <v>2452</v>
      </c>
      <c r="S1783" t="s">
        <v>89</v>
      </c>
      <c r="T1783" t="s">
        <v>89</v>
      </c>
      <c r="U1783" t="s">
        <v>2453</v>
      </c>
      <c r="V1783" t="s">
        <v>137</v>
      </c>
      <c r="W1783" t="s">
        <v>92</v>
      </c>
      <c r="X1783" t="s">
        <v>38</v>
      </c>
      <c r="Y1783" t="s">
        <v>38</v>
      </c>
      <c r="Z1783" t="s">
        <v>42</v>
      </c>
      <c r="AA1783" t="s">
        <v>38</v>
      </c>
      <c r="AB1783" t="s">
        <v>38</v>
      </c>
      <c r="AC1783" t="s">
        <v>3265</v>
      </c>
      <c r="AD1783" t="s">
        <v>48</v>
      </c>
      <c r="AG1783" t="str">
        <f>IF(AD1783="United States", IFERROR(INDEX(Sheet2!$C:$C, MATCH(AE1783&amp;AF1783, Sheet2!$E:$E, 0)) &amp; ", " &amp; INDEX(Sheet2!$D:$D, MATCH(AE1783&amp;AF1783, Sheet2!$E:$E, 0)), ""), "-")</f>
        <v/>
      </c>
    </row>
    <row r="1784" spans="1:33" x14ac:dyDescent="0.25">
      <c r="A1784" t="s">
        <v>2966</v>
      </c>
      <c r="B1784" t="s">
        <v>3291</v>
      </c>
      <c r="C1784" t="s">
        <v>3125</v>
      </c>
      <c r="D1784" t="s">
        <v>357</v>
      </c>
      <c r="E1784" t="s">
        <v>37</v>
      </c>
      <c r="F1784">
        <v>1756</v>
      </c>
      <c r="G1784">
        <v>962</v>
      </c>
      <c r="H1784" t="s">
        <v>38</v>
      </c>
      <c r="I1784" t="s">
        <v>80</v>
      </c>
      <c r="J1784" t="s">
        <v>3126</v>
      </c>
      <c r="K1784" t="s">
        <v>38</v>
      </c>
      <c r="L1784" t="s">
        <v>38</v>
      </c>
      <c r="M1784" t="s">
        <v>38</v>
      </c>
      <c r="N1784" t="s">
        <v>38</v>
      </c>
      <c r="O1784" t="s">
        <v>41</v>
      </c>
      <c r="P1784" t="s">
        <v>42</v>
      </c>
      <c r="Q1784" t="s">
        <v>43</v>
      </c>
      <c r="R1784" t="s">
        <v>3292</v>
      </c>
      <c r="S1784" t="s">
        <v>45</v>
      </c>
      <c r="T1784" t="s">
        <v>38</v>
      </c>
      <c r="U1784" t="s">
        <v>38</v>
      </c>
      <c r="V1784" t="s">
        <v>137</v>
      </c>
      <c r="W1784" t="s">
        <v>38</v>
      </c>
      <c r="X1784" t="s">
        <v>38</v>
      </c>
      <c r="Y1784" t="s">
        <v>38</v>
      </c>
      <c r="Z1784" t="s">
        <v>42</v>
      </c>
      <c r="AA1784" t="s">
        <v>241</v>
      </c>
      <c r="AB1784" t="s">
        <v>38</v>
      </c>
      <c r="AC1784" t="s">
        <v>45</v>
      </c>
      <c r="AD1784" t="s">
        <v>48</v>
      </c>
      <c r="AG1784" t="str">
        <f>IF(AD1784="United States", IFERROR(INDEX(Sheet2!$C:$C, MATCH(AE1784&amp;AF1784, Sheet2!$E:$E, 0)) &amp; ", " &amp; INDEX(Sheet2!$D:$D, MATCH(AE1784&amp;AF1784, Sheet2!$E:$E, 0)), ""), "-")</f>
        <v/>
      </c>
    </row>
    <row r="1785" spans="1:33" x14ac:dyDescent="0.25">
      <c r="A1785" t="s">
        <v>2966</v>
      </c>
      <c r="B1785" t="s">
        <v>3266</v>
      </c>
      <c r="C1785" t="s">
        <v>3125</v>
      </c>
      <c r="D1785" t="s">
        <v>1413</v>
      </c>
      <c r="E1785" t="s">
        <v>37</v>
      </c>
      <c r="F1785">
        <v>1756</v>
      </c>
      <c r="G1785">
        <v>963</v>
      </c>
      <c r="H1785" t="s">
        <v>38</v>
      </c>
      <c r="I1785" t="s">
        <v>80</v>
      </c>
      <c r="J1785" t="s">
        <v>3126</v>
      </c>
      <c r="K1785" t="s">
        <v>38</v>
      </c>
      <c r="L1785" t="s">
        <v>38</v>
      </c>
      <c r="M1785" t="s">
        <v>38</v>
      </c>
      <c r="N1785" t="s">
        <v>38</v>
      </c>
      <c r="O1785" t="s">
        <v>57</v>
      </c>
      <c r="P1785" t="s">
        <v>42</v>
      </c>
      <c r="Q1785" t="s">
        <v>43</v>
      </c>
      <c r="R1785" t="s">
        <v>3267</v>
      </c>
      <c r="S1785" t="s">
        <v>45</v>
      </c>
      <c r="T1785" t="s">
        <v>38</v>
      </c>
      <c r="U1785" t="s">
        <v>38</v>
      </c>
      <c r="V1785" t="s">
        <v>137</v>
      </c>
      <c r="W1785" t="s">
        <v>38</v>
      </c>
      <c r="X1785" t="s">
        <v>38</v>
      </c>
      <c r="Y1785" t="s">
        <v>38</v>
      </c>
      <c r="Z1785" t="s">
        <v>42</v>
      </c>
      <c r="AA1785" t="s">
        <v>45</v>
      </c>
      <c r="AB1785" t="s">
        <v>780</v>
      </c>
      <c r="AC1785" t="s">
        <v>45</v>
      </c>
      <c r="AD1785" t="s">
        <v>48</v>
      </c>
      <c r="AG1785" t="str">
        <f>IF(AD1785="United States", IFERROR(INDEX(Sheet2!$C:$C, MATCH(AE1785&amp;AF1785, Sheet2!$E:$E, 0)) &amp; ", " &amp; INDEX(Sheet2!$D:$D, MATCH(AE1785&amp;AF1785, Sheet2!$E:$E, 0)), ""), "-")</f>
        <v/>
      </c>
    </row>
    <row r="1786" spans="1:33" x14ac:dyDescent="0.25">
      <c r="A1786" t="s">
        <v>2966</v>
      </c>
      <c r="B1786" t="s">
        <v>3268</v>
      </c>
      <c r="C1786" t="s">
        <v>3125</v>
      </c>
      <c r="D1786" t="s">
        <v>193</v>
      </c>
      <c r="E1786" t="s">
        <v>268</v>
      </c>
      <c r="F1786">
        <v>1748</v>
      </c>
      <c r="G1786">
        <v>964</v>
      </c>
      <c r="H1786" t="s">
        <v>38</v>
      </c>
      <c r="I1786" t="s">
        <v>80</v>
      </c>
      <c r="J1786" t="s">
        <v>3126</v>
      </c>
      <c r="K1786" t="s">
        <v>38</v>
      </c>
      <c r="L1786" t="s">
        <v>38</v>
      </c>
      <c r="M1786" t="s">
        <v>38</v>
      </c>
      <c r="N1786" t="s">
        <v>38</v>
      </c>
      <c r="O1786" t="s">
        <v>41</v>
      </c>
      <c r="P1786" t="s">
        <v>42</v>
      </c>
      <c r="Q1786" t="s">
        <v>43</v>
      </c>
      <c r="R1786" t="s">
        <v>3269</v>
      </c>
      <c r="S1786" t="s">
        <v>286</v>
      </c>
      <c r="T1786" t="s">
        <v>38</v>
      </c>
      <c r="U1786" t="s">
        <v>38</v>
      </c>
      <c r="V1786" t="s">
        <v>137</v>
      </c>
      <c r="W1786" t="s">
        <v>38</v>
      </c>
      <c r="X1786" t="s">
        <v>38</v>
      </c>
      <c r="Y1786" t="s">
        <v>38</v>
      </c>
      <c r="Z1786" t="s">
        <v>42</v>
      </c>
      <c r="AA1786" t="s">
        <v>3270</v>
      </c>
      <c r="AB1786" t="s">
        <v>38</v>
      </c>
      <c r="AC1786" t="s">
        <v>286</v>
      </c>
      <c r="AD1786" t="s">
        <v>48</v>
      </c>
      <c r="AG1786" t="str">
        <f>IF(AD1786="United States", IFERROR(INDEX(Sheet2!$C:$C, MATCH(AE1786&amp;AF1786, Sheet2!$E:$E, 0)) &amp; ", " &amp; INDEX(Sheet2!$D:$D, MATCH(AE1786&amp;AF1786, Sheet2!$E:$E, 0)), ""), "-")</f>
        <v/>
      </c>
    </row>
    <row r="1787" spans="1:33" x14ac:dyDescent="0.25">
      <c r="A1787" t="s">
        <v>2966</v>
      </c>
      <c r="B1787" t="s">
        <v>3271</v>
      </c>
      <c r="C1787" t="s">
        <v>3125</v>
      </c>
      <c r="D1787" t="s">
        <v>210</v>
      </c>
      <c r="E1787" t="s">
        <v>1147</v>
      </c>
      <c r="F1787">
        <v>1753</v>
      </c>
      <c r="G1787">
        <v>965</v>
      </c>
      <c r="H1787" t="s">
        <v>2977</v>
      </c>
      <c r="I1787" t="s">
        <v>80</v>
      </c>
      <c r="J1787" t="s">
        <v>3126</v>
      </c>
      <c r="K1787" t="s">
        <v>38</v>
      </c>
      <c r="L1787" t="s">
        <v>38</v>
      </c>
      <c r="M1787" t="s">
        <v>38</v>
      </c>
      <c r="N1787" t="s">
        <v>38</v>
      </c>
      <c r="O1787" t="s">
        <v>41</v>
      </c>
      <c r="P1787" t="s">
        <v>42</v>
      </c>
      <c r="Q1787" t="s">
        <v>43</v>
      </c>
      <c r="R1787" t="s">
        <v>2452</v>
      </c>
      <c r="S1787" t="s">
        <v>45</v>
      </c>
      <c r="T1787" t="s">
        <v>89</v>
      </c>
      <c r="U1787" t="s">
        <v>2453</v>
      </c>
      <c r="V1787" t="s">
        <v>137</v>
      </c>
      <c r="W1787" t="s">
        <v>92</v>
      </c>
      <c r="X1787" t="s">
        <v>38</v>
      </c>
      <c r="Y1787" t="s">
        <v>38</v>
      </c>
      <c r="Z1787" t="s">
        <v>42</v>
      </c>
      <c r="AA1787" t="s">
        <v>241</v>
      </c>
      <c r="AB1787" t="s">
        <v>38</v>
      </c>
      <c r="AC1787" t="s">
        <v>45</v>
      </c>
      <c r="AD1787" t="s">
        <v>48</v>
      </c>
      <c r="AG1787" t="str">
        <f>IF(AD1787="United States", IFERROR(INDEX(Sheet2!$C:$C, MATCH(AE1787&amp;AF1787, Sheet2!$E:$E, 0)) &amp; ", " &amp; INDEX(Sheet2!$D:$D, MATCH(AE1787&amp;AF1787, Sheet2!$E:$E, 0)), ""), "-")</f>
        <v/>
      </c>
    </row>
    <row r="1788" spans="1:33" x14ac:dyDescent="0.25">
      <c r="A1788" t="s">
        <v>2966</v>
      </c>
      <c r="B1788" t="s">
        <v>3272</v>
      </c>
      <c r="C1788" t="s">
        <v>3125</v>
      </c>
      <c r="D1788" t="s">
        <v>445</v>
      </c>
      <c r="E1788" t="s">
        <v>1147</v>
      </c>
      <c r="F1788">
        <v>1759</v>
      </c>
      <c r="G1788">
        <v>966</v>
      </c>
      <c r="H1788" t="s">
        <v>38</v>
      </c>
      <c r="I1788" t="s">
        <v>80</v>
      </c>
      <c r="J1788" t="s">
        <v>3126</v>
      </c>
      <c r="K1788" t="s">
        <v>38</v>
      </c>
      <c r="L1788" t="s">
        <v>38</v>
      </c>
      <c r="M1788" t="s">
        <v>38</v>
      </c>
      <c r="N1788" t="s">
        <v>38</v>
      </c>
      <c r="O1788" t="s">
        <v>57</v>
      </c>
      <c r="P1788" t="s">
        <v>42</v>
      </c>
      <c r="Q1788" t="s">
        <v>43</v>
      </c>
      <c r="R1788" t="s">
        <v>3273</v>
      </c>
      <c r="S1788" t="s">
        <v>45</v>
      </c>
      <c r="T1788" t="s">
        <v>38</v>
      </c>
      <c r="U1788" t="s">
        <v>38</v>
      </c>
      <c r="V1788" t="s">
        <v>137</v>
      </c>
      <c r="W1788" t="s">
        <v>38</v>
      </c>
      <c r="X1788" t="s">
        <v>38</v>
      </c>
      <c r="Y1788" t="s">
        <v>38</v>
      </c>
      <c r="Z1788" t="s">
        <v>42</v>
      </c>
      <c r="AA1788" t="s">
        <v>38</v>
      </c>
      <c r="AB1788" t="s">
        <v>38</v>
      </c>
      <c r="AC1788" t="s">
        <v>45</v>
      </c>
      <c r="AD1788" t="s">
        <v>48</v>
      </c>
      <c r="AG1788" t="str">
        <f>IF(AD1788="United States", IFERROR(INDEX(Sheet2!$C:$C, MATCH(AE1788&amp;AF1788, Sheet2!$E:$E, 0)) &amp; ", " &amp; INDEX(Sheet2!$D:$D, MATCH(AE1788&amp;AF1788, Sheet2!$E:$E, 0)), ""), "-")</f>
        <v/>
      </c>
    </row>
    <row r="1789" spans="1:33" x14ac:dyDescent="0.25">
      <c r="A1789" t="s">
        <v>2966</v>
      </c>
      <c r="B1789" t="s">
        <v>3274</v>
      </c>
      <c r="C1789" t="s">
        <v>3125</v>
      </c>
      <c r="D1789" t="s">
        <v>3275</v>
      </c>
      <c r="E1789" t="s">
        <v>3276</v>
      </c>
      <c r="F1789">
        <v>1723</v>
      </c>
      <c r="G1789">
        <v>967</v>
      </c>
      <c r="H1789" t="s">
        <v>38</v>
      </c>
      <c r="I1789" t="s">
        <v>80</v>
      </c>
      <c r="J1789" t="s">
        <v>3126</v>
      </c>
      <c r="K1789" t="s">
        <v>38</v>
      </c>
      <c r="L1789" t="s">
        <v>38</v>
      </c>
      <c r="M1789" t="s">
        <v>38</v>
      </c>
      <c r="N1789" t="s">
        <v>38</v>
      </c>
      <c r="O1789" t="s">
        <v>41</v>
      </c>
      <c r="P1789" t="s">
        <v>42</v>
      </c>
      <c r="Q1789" t="s">
        <v>43</v>
      </c>
      <c r="R1789" t="s">
        <v>3277</v>
      </c>
      <c r="S1789" t="s">
        <v>1063</v>
      </c>
      <c r="T1789" t="s">
        <v>38</v>
      </c>
      <c r="U1789" t="s">
        <v>38</v>
      </c>
      <c r="V1789" t="s">
        <v>137</v>
      </c>
      <c r="W1789" t="s">
        <v>38</v>
      </c>
      <c r="X1789" t="s">
        <v>38</v>
      </c>
      <c r="Y1789" t="s">
        <v>38</v>
      </c>
      <c r="Z1789" t="s">
        <v>42</v>
      </c>
      <c r="AA1789" t="s">
        <v>1065</v>
      </c>
      <c r="AB1789" t="s">
        <v>38</v>
      </c>
      <c r="AC1789" t="s">
        <v>1063</v>
      </c>
      <c r="AD1789" t="s">
        <v>48</v>
      </c>
      <c r="AG1789" t="str">
        <f>IF(AD1789="United States", IFERROR(INDEX(Sheet2!$C:$C, MATCH(AE1789&amp;AF1789, Sheet2!$E:$E, 0)) &amp; ", " &amp; INDEX(Sheet2!$D:$D, MATCH(AE1789&amp;AF1789, Sheet2!$E:$E, 0)), ""), "-")</f>
        <v/>
      </c>
    </row>
    <row r="1790" spans="1:33" x14ac:dyDescent="0.25">
      <c r="A1790" t="s">
        <v>2966</v>
      </c>
      <c r="B1790" t="s">
        <v>3278</v>
      </c>
      <c r="C1790" t="s">
        <v>3125</v>
      </c>
      <c r="D1790" t="s">
        <v>245</v>
      </c>
      <c r="E1790" t="s">
        <v>3276</v>
      </c>
      <c r="F1790">
        <v>1738</v>
      </c>
      <c r="G1790">
        <v>968</v>
      </c>
      <c r="H1790" t="s">
        <v>38</v>
      </c>
      <c r="I1790" t="s">
        <v>80</v>
      </c>
      <c r="J1790" t="s">
        <v>3126</v>
      </c>
      <c r="K1790" t="s">
        <v>38</v>
      </c>
      <c r="L1790" t="s">
        <v>38</v>
      </c>
      <c r="M1790" t="s">
        <v>38</v>
      </c>
      <c r="N1790" t="s">
        <v>38</v>
      </c>
      <c r="O1790" t="s">
        <v>57</v>
      </c>
      <c r="P1790" t="s">
        <v>42</v>
      </c>
      <c r="Q1790" t="s">
        <v>43</v>
      </c>
      <c r="R1790" t="s">
        <v>3279</v>
      </c>
      <c r="S1790" t="s">
        <v>45</v>
      </c>
      <c r="T1790" t="s">
        <v>38</v>
      </c>
      <c r="U1790" t="s">
        <v>38</v>
      </c>
      <c r="V1790" t="s">
        <v>137</v>
      </c>
      <c r="W1790" t="s">
        <v>38</v>
      </c>
      <c r="X1790" t="s">
        <v>38</v>
      </c>
      <c r="Y1790" t="s">
        <v>38</v>
      </c>
      <c r="Z1790" t="s">
        <v>42</v>
      </c>
      <c r="AA1790" t="s">
        <v>38</v>
      </c>
      <c r="AB1790" t="s">
        <v>38</v>
      </c>
      <c r="AC1790" t="s">
        <v>45</v>
      </c>
      <c r="AD1790" t="s">
        <v>48</v>
      </c>
      <c r="AG1790" t="str">
        <f>IF(AD1790="United States", IFERROR(INDEX(Sheet2!$C:$C, MATCH(AE1790&amp;AF1790, Sheet2!$E:$E, 0)) &amp; ", " &amp; INDEX(Sheet2!$D:$D, MATCH(AE1790&amp;AF1790, Sheet2!$E:$E, 0)), ""), "-")</f>
        <v/>
      </c>
    </row>
    <row r="1791" spans="1:33" x14ac:dyDescent="0.25">
      <c r="A1791" t="s">
        <v>2966</v>
      </c>
      <c r="B1791" t="s">
        <v>3280</v>
      </c>
      <c r="C1791" t="s">
        <v>3125</v>
      </c>
      <c r="D1791" t="s">
        <v>3281</v>
      </c>
      <c r="E1791" t="s">
        <v>3282</v>
      </c>
      <c r="F1791">
        <v>1766</v>
      </c>
      <c r="G1791">
        <v>969</v>
      </c>
      <c r="H1791" t="s">
        <v>38</v>
      </c>
      <c r="I1791" t="s">
        <v>80</v>
      </c>
      <c r="J1791" t="s">
        <v>3126</v>
      </c>
      <c r="K1791" t="s">
        <v>38</v>
      </c>
      <c r="L1791" t="s">
        <v>38</v>
      </c>
      <c r="M1791" t="s">
        <v>38</v>
      </c>
      <c r="N1791" t="s">
        <v>38</v>
      </c>
      <c r="O1791" t="s">
        <v>54</v>
      </c>
      <c r="P1791" t="s">
        <v>42</v>
      </c>
      <c r="Q1791" t="s">
        <v>43</v>
      </c>
      <c r="R1791" t="s">
        <v>3283</v>
      </c>
      <c r="S1791" t="s">
        <v>45</v>
      </c>
      <c r="T1791" t="s">
        <v>38</v>
      </c>
      <c r="U1791" t="s">
        <v>38</v>
      </c>
      <c r="V1791" t="s">
        <v>137</v>
      </c>
      <c r="W1791" t="s">
        <v>38</v>
      </c>
      <c r="X1791" t="s">
        <v>38</v>
      </c>
      <c r="Y1791" t="s">
        <v>38</v>
      </c>
      <c r="Z1791" t="s">
        <v>42</v>
      </c>
      <c r="AA1791" t="s">
        <v>1120</v>
      </c>
      <c r="AB1791" t="s">
        <v>38</v>
      </c>
      <c r="AC1791" t="s">
        <v>45</v>
      </c>
      <c r="AD1791" t="s">
        <v>48</v>
      </c>
      <c r="AG1791" t="str">
        <f>IF(AD1791="United States", IFERROR(INDEX(Sheet2!$C:$C, MATCH(AE1791&amp;AF1791, Sheet2!$E:$E, 0)) &amp; ", " &amp; INDEX(Sheet2!$D:$D, MATCH(AE1791&amp;AF1791, Sheet2!$E:$E, 0)), ""), "-")</f>
        <v/>
      </c>
    </row>
    <row r="1792" spans="1:33" x14ac:dyDescent="0.25">
      <c r="A1792" t="s">
        <v>2966</v>
      </c>
      <c r="B1792" t="s">
        <v>3284</v>
      </c>
      <c r="C1792" t="s">
        <v>3125</v>
      </c>
      <c r="D1792" t="s">
        <v>495</v>
      </c>
      <c r="E1792" t="s">
        <v>268</v>
      </c>
      <c r="F1792">
        <v>1755</v>
      </c>
      <c r="G1792">
        <v>970</v>
      </c>
      <c r="H1792" t="s">
        <v>2975</v>
      </c>
      <c r="I1792" t="s">
        <v>80</v>
      </c>
      <c r="J1792" t="s">
        <v>3126</v>
      </c>
      <c r="K1792" t="s">
        <v>38</v>
      </c>
      <c r="L1792" t="s">
        <v>38</v>
      </c>
      <c r="M1792" t="s">
        <v>38</v>
      </c>
      <c r="N1792" t="s">
        <v>38</v>
      </c>
      <c r="O1792" t="s">
        <v>57</v>
      </c>
      <c r="P1792" t="s">
        <v>42</v>
      </c>
      <c r="Q1792" t="s">
        <v>43</v>
      </c>
      <c r="R1792" t="s">
        <v>2452</v>
      </c>
      <c r="S1792" t="s">
        <v>38</v>
      </c>
      <c r="T1792" t="s">
        <v>89</v>
      </c>
      <c r="U1792" t="s">
        <v>2453</v>
      </c>
      <c r="V1792" t="s">
        <v>137</v>
      </c>
      <c r="W1792" t="s">
        <v>92</v>
      </c>
      <c r="X1792" t="s">
        <v>38</v>
      </c>
      <c r="Y1792" t="s">
        <v>38</v>
      </c>
      <c r="Z1792" t="s">
        <v>42</v>
      </c>
      <c r="AA1792" t="s">
        <v>38</v>
      </c>
      <c r="AB1792" t="s">
        <v>38</v>
      </c>
      <c r="AC1792" t="s">
        <v>233</v>
      </c>
      <c r="AD1792" t="s">
        <v>48</v>
      </c>
      <c r="AG1792" t="str">
        <f>IF(AD1792="United States", IFERROR(INDEX(Sheet2!$C:$C, MATCH(AE1792&amp;AF1792, Sheet2!$E:$E, 0)) &amp; ", " &amp; INDEX(Sheet2!$D:$D, MATCH(AE1792&amp;AF1792, Sheet2!$E:$E, 0)), ""), "-")</f>
        <v/>
      </c>
    </row>
    <row r="1793" spans="1:33" x14ac:dyDescent="0.25">
      <c r="A1793" t="s">
        <v>2966</v>
      </c>
      <c r="B1793" t="s">
        <v>3285</v>
      </c>
      <c r="C1793" t="s">
        <v>3125</v>
      </c>
      <c r="D1793" t="s">
        <v>193</v>
      </c>
      <c r="E1793" t="s">
        <v>268</v>
      </c>
      <c r="F1793">
        <v>1782</v>
      </c>
      <c r="G1793">
        <v>971</v>
      </c>
      <c r="H1793" t="s">
        <v>38</v>
      </c>
      <c r="I1793" t="s">
        <v>80</v>
      </c>
      <c r="J1793" t="s">
        <v>3126</v>
      </c>
      <c r="K1793" t="s">
        <v>38</v>
      </c>
      <c r="L1793" t="s">
        <v>38</v>
      </c>
      <c r="M1793" t="s">
        <v>38</v>
      </c>
      <c r="N1793" t="s">
        <v>38</v>
      </c>
      <c r="O1793" t="s">
        <v>54</v>
      </c>
      <c r="P1793" t="s">
        <v>42</v>
      </c>
      <c r="Q1793" t="s">
        <v>43</v>
      </c>
      <c r="R1793" t="s">
        <v>38</v>
      </c>
      <c r="S1793" t="s">
        <v>38</v>
      </c>
      <c r="T1793" t="s">
        <v>38</v>
      </c>
      <c r="U1793" t="s">
        <v>38</v>
      </c>
      <c r="V1793" t="s">
        <v>137</v>
      </c>
      <c r="W1793" t="s">
        <v>38</v>
      </c>
      <c r="X1793" t="s">
        <v>38</v>
      </c>
      <c r="Y1793" t="s">
        <v>38</v>
      </c>
      <c r="Z1793" t="s">
        <v>42</v>
      </c>
      <c r="AA1793" t="s">
        <v>38</v>
      </c>
      <c r="AB1793" t="s">
        <v>38</v>
      </c>
      <c r="AC1793" t="s">
        <v>38</v>
      </c>
      <c r="AD1793" t="s">
        <v>48</v>
      </c>
      <c r="AG1793" t="str">
        <f>IF(AD1793="United States", IFERROR(INDEX(Sheet2!$C:$C, MATCH(AE1793&amp;AF1793, Sheet2!$E:$E, 0)) &amp; ", " &amp; INDEX(Sheet2!$D:$D, MATCH(AE1793&amp;AF1793, Sheet2!$E:$E, 0)), ""), "-")</f>
        <v/>
      </c>
    </row>
    <row r="1794" spans="1:33" x14ac:dyDescent="0.25">
      <c r="A1794" t="s">
        <v>2966</v>
      </c>
      <c r="B1794" t="s">
        <v>3255</v>
      </c>
      <c r="C1794" t="s">
        <v>3125</v>
      </c>
      <c r="D1794" t="s">
        <v>352</v>
      </c>
      <c r="E1794" t="s">
        <v>3256</v>
      </c>
      <c r="F1794">
        <v>1766</v>
      </c>
      <c r="G1794">
        <v>959</v>
      </c>
      <c r="H1794" t="s">
        <v>38</v>
      </c>
      <c r="I1794" t="s">
        <v>80</v>
      </c>
      <c r="J1794" t="s">
        <v>3126</v>
      </c>
      <c r="K1794" t="s">
        <v>38</v>
      </c>
      <c r="L1794" t="s">
        <v>38</v>
      </c>
      <c r="M1794" t="s">
        <v>38</v>
      </c>
      <c r="N1794" t="s">
        <v>38</v>
      </c>
      <c r="O1794" t="s">
        <v>74</v>
      </c>
      <c r="P1794" t="s">
        <v>42</v>
      </c>
      <c r="Q1794" t="s">
        <v>43</v>
      </c>
      <c r="R1794" t="s">
        <v>3257</v>
      </c>
      <c r="S1794" t="s">
        <v>45</v>
      </c>
      <c r="T1794" t="s">
        <v>38</v>
      </c>
      <c r="U1794" t="s">
        <v>38</v>
      </c>
      <c r="V1794" t="s">
        <v>137</v>
      </c>
      <c r="W1794" t="s">
        <v>38</v>
      </c>
      <c r="X1794" t="s">
        <v>38</v>
      </c>
      <c r="Y1794" t="s">
        <v>38</v>
      </c>
      <c r="Z1794" t="s">
        <v>42</v>
      </c>
      <c r="AA1794" t="s">
        <v>241</v>
      </c>
      <c r="AB1794" t="s">
        <v>38</v>
      </c>
      <c r="AC1794" t="s">
        <v>45</v>
      </c>
      <c r="AD1794" t="s">
        <v>48</v>
      </c>
      <c r="AG1794" t="str">
        <f>IF(AD1794="United States", IFERROR(INDEX(Sheet2!$C:$C, MATCH(AE1794&amp;AF1794, Sheet2!$E:$E, 0)) &amp; ", " &amp; INDEX(Sheet2!$D:$D, MATCH(AE1794&amp;AF1794, Sheet2!$E:$E, 0)), ""), "-")</f>
        <v/>
      </c>
    </row>
    <row r="1795" spans="1:33" x14ac:dyDescent="0.25">
      <c r="A1795" t="s">
        <v>2966</v>
      </c>
      <c r="B1795" t="s">
        <v>3286</v>
      </c>
      <c r="C1795" t="s">
        <v>3125</v>
      </c>
      <c r="D1795" t="s">
        <v>285</v>
      </c>
      <c r="E1795" t="s">
        <v>3287</v>
      </c>
      <c r="F1795">
        <v>1757</v>
      </c>
      <c r="G1795">
        <v>972</v>
      </c>
      <c r="H1795" t="s">
        <v>2975</v>
      </c>
      <c r="I1795" t="s">
        <v>80</v>
      </c>
      <c r="J1795" t="s">
        <v>3126</v>
      </c>
      <c r="K1795" t="s">
        <v>38</v>
      </c>
      <c r="L1795" t="s">
        <v>38</v>
      </c>
      <c r="M1795" t="s">
        <v>38</v>
      </c>
      <c r="N1795" t="s">
        <v>38</v>
      </c>
      <c r="O1795" t="s">
        <v>57</v>
      </c>
      <c r="P1795" t="s">
        <v>42</v>
      </c>
      <c r="Q1795" t="s">
        <v>43</v>
      </c>
      <c r="R1795" t="s">
        <v>2452</v>
      </c>
      <c r="S1795" t="s">
        <v>45</v>
      </c>
      <c r="T1795" t="s">
        <v>89</v>
      </c>
      <c r="U1795" t="s">
        <v>2453</v>
      </c>
      <c r="V1795" t="s">
        <v>137</v>
      </c>
      <c r="W1795" t="s">
        <v>92</v>
      </c>
      <c r="X1795" t="s">
        <v>38</v>
      </c>
      <c r="Y1795" t="s">
        <v>38</v>
      </c>
      <c r="Z1795" t="s">
        <v>42</v>
      </c>
      <c r="AA1795" t="s">
        <v>1254</v>
      </c>
      <c r="AB1795" t="s">
        <v>38</v>
      </c>
      <c r="AC1795" t="s">
        <v>45</v>
      </c>
      <c r="AD1795" t="s">
        <v>48</v>
      </c>
      <c r="AG1795" t="str">
        <f>IF(AD1795="United States", IFERROR(INDEX(Sheet2!$C:$C, MATCH(AE1795&amp;AF1795, Sheet2!$E:$E, 0)) &amp; ", " &amp; INDEX(Sheet2!$D:$D, MATCH(AE1795&amp;AF1795, Sheet2!$E:$E, 0)), ""), "-")</f>
        <v/>
      </c>
    </row>
    <row r="1796" spans="1:33" x14ac:dyDescent="0.25">
      <c r="A1796" t="s">
        <v>2966</v>
      </c>
      <c r="B1796" t="s">
        <v>3290</v>
      </c>
      <c r="C1796" t="s">
        <v>3125</v>
      </c>
      <c r="D1796" t="s">
        <v>834</v>
      </c>
      <c r="E1796" t="s">
        <v>3287</v>
      </c>
      <c r="F1796">
        <v>1779</v>
      </c>
      <c r="G1796">
        <v>974</v>
      </c>
      <c r="H1796" t="s">
        <v>38</v>
      </c>
      <c r="I1796" t="s">
        <v>80</v>
      </c>
      <c r="J1796" t="s">
        <v>3126</v>
      </c>
      <c r="K1796" t="s">
        <v>38</v>
      </c>
      <c r="L1796" t="s">
        <v>38</v>
      </c>
      <c r="M1796" t="s">
        <v>38</v>
      </c>
      <c r="N1796" t="s">
        <v>38</v>
      </c>
      <c r="O1796" t="s">
        <v>54</v>
      </c>
      <c r="P1796" t="s">
        <v>42</v>
      </c>
      <c r="Q1796" t="s">
        <v>43</v>
      </c>
      <c r="R1796" t="s">
        <v>38</v>
      </c>
      <c r="S1796" t="s">
        <v>38</v>
      </c>
      <c r="T1796" t="s">
        <v>38</v>
      </c>
      <c r="U1796" t="s">
        <v>38</v>
      </c>
      <c r="V1796" t="s">
        <v>137</v>
      </c>
      <c r="W1796" t="s">
        <v>38</v>
      </c>
      <c r="X1796" t="s">
        <v>38</v>
      </c>
      <c r="Y1796" t="s">
        <v>38</v>
      </c>
      <c r="Z1796" t="s">
        <v>42</v>
      </c>
      <c r="AA1796" t="s">
        <v>38</v>
      </c>
      <c r="AB1796" t="s">
        <v>38</v>
      </c>
      <c r="AC1796" t="s">
        <v>38</v>
      </c>
      <c r="AD1796" t="s">
        <v>48</v>
      </c>
      <c r="AG1796" t="str">
        <f>IF(AD1796="United States", IFERROR(INDEX(Sheet2!$C:$C, MATCH(AE1796&amp;AF1796, Sheet2!$E:$E, 0)) &amp; ", " &amp; INDEX(Sheet2!$D:$D, MATCH(AE1796&amp;AF1796, Sheet2!$E:$E, 0)), ""), "-")</f>
        <v/>
      </c>
    </row>
    <row r="1797" spans="1:33" x14ac:dyDescent="0.25">
      <c r="A1797" t="s">
        <v>2966</v>
      </c>
      <c r="B1797" t="s">
        <v>3293</v>
      </c>
      <c r="C1797" t="s">
        <v>3125</v>
      </c>
      <c r="D1797" t="s">
        <v>245</v>
      </c>
      <c r="E1797" t="s">
        <v>3294</v>
      </c>
      <c r="F1797">
        <v>1763</v>
      </c>
      <c r="G1797">
        <v>975</v>
      </c>
      <c r="H1797" t="s">
        <v>38</v>
      </c>
      <c r="I1797" t="s">
        <v>80</v>
      </c>
      <c r="J1797" t="s">
        <v>3126</v>
      </c>
      <c r="K1797" t="s">
        <v>38</v>
      </c>
      <c r="L1797" t="s">
        <v>38</v>
      </c>
      <c r="M1797" t="s">
        <v>38</v>
      </c>
      <c r="N1797" t="s">
        <v>38</v>
      </c>
      <c r="O1797" t="s">
        <v>57</v>
      </c>
      <c r="P1797" t="s">
        <v>42</v>
      </c>
      <c r="Q1797" t="s">
        <v>43</v>
      </c>
      <c r="R1797" t="s">
        <v>3295</v>
      </c>
      <c r="S1797" t="s">
        <v>45</v>
      </c>
      <c r="T1797" t="s">
        <v>38</v>
      </c>
      <c r="U1797" t="s">
        <v>38</v>
      </c>
      <c r="V1797" t="s">
        <v>137</v>
      </c>
      <c r="W1797" t="s">
        <v>38</v>
      </c>
      <c r="X1797" t="s">
        <v>38</v>
      </c>
      <c r="Y1797" t="s">
        <v>38</v>
      </c>
      <c r="Z1797" t="s">
        <v>42</v>
      </c>
      <c r="AA1797" t="s">
        <v>247</v>
      </c>
      <c r="AB1797" t="s">
        <v>38</v>
      </c>
      <c r="AC1797" t="s">
        <v>45</v>
      </c>
      <c r="AD1797" t="s">
        <v>48</v>
      </c>
      <c r="AG1797" t="str">
        <f>IF(AD1797="United States", IFERROR(INDEX(Sheet2!$C:$C, MATCH(AE1797&amp;AF1797, Sheet2!$E:$E, 0)) &amp; ", " &amp; INDEX(Sheet2!$D:$D, MATCH(AE1797&amp;AF1797, Sheet2!$E:$E, 0)), ""), "-")</f>
        <v/>
      </c>
    </row>
    <row r="1798" spans="1:33" x14ac:dyDescent="0.25">
      <c r="A1798" t="s">
        <v>2966</v>
      </c>
      <c r="B1798" t="s">
        <v>3341</v>
      </c>
      <c r="C1798" t="s">
        <v>3125</v>
      </c>
      <c r="D1798" t="s">
        <v>98</v>
      </c>
      <c r="E1798" t="s">
        <v>3342</v>
      </c>
      <c r="F1798">
        <v>1760</v>
      </c>
      <c r="G1798">
        <v>976</v>
      </c>
      <c r="H1798" t="s">
        <v>38</v>
      </c>
      <c r="I1798" t="s">
        <v>80</v>
      </c>
      <c r="J1798" t="s">
        <v>3126</v>
      </c>
      <c r="K1798" t="s">
        <v>38</v>
      </c>
      <c r="L1798" t="s">
        <v>38</v>
      </c>
      <c r="M1798" t="s">
        <v>245</v>
      </c>
      <c r="N1798" t="s">
        <v>3294</v>
      </c>
      <c r="O1798" t="s">
        <v>57</v>
      </c>
      <c r="P1798" t="s">
        <v>42</v>
      </c>
      <c r="Q1798" t="s">
        <v>43</v>
      </c>
      <c r="R1798" t="s">
        <v>38</v>
      </c>
      <c r="S1798" t="s">
        <v>45</v>
      </c>
      <c r="T1798" t="s">
        <v>38</v>
      </c>
      <c r="U1798" t="s">
        <v>38</v>
      </c>
      <c r="V1798" t="s">
        <v>137</v>
      </c>
      <c r="W1798" t="s">
        <v>38</v>
      </c>
      <c r="X1798" t="s">
        <v>38</v>
      </c>
      <c r="Y1798" t="s">
        <v>38</v>
      </c>
      <c r="Z1798" t="s">
        <v>42</v>
      </c>
      <c r="AA1798" t="s">
        <v>38</v>
      </c>
      <c r="AB1798" t="s">
        <v>38</v>
      </c>
      <c r="AC1798" t="s">
        <v>45</v>
      </c>
      <c r="AD1798" t="s">
        <v>48</v>
      </c>
      <c r="AG1798" t="str">
        <f>IF(AD1798="United States", IFERROR(INDEX(Sheet2!$C:$C, MATCH(AE1798&amp;AF1798, Sheet2!$E:$E, 0)) &amp; ", " &amp; INDEX(Sheet2!$D:$D, MATCH(AE1798&amp;AF1798, Sheet2!$E:$E, 0)), ""), "-")</f>
        <v/>
      </c>
    </row>
    <row r="1799" spans="1:33" x14ac:dyDescent="0.25">
      <c r="A1799" t="s">
        <v>2966</v>
      </c>
      <c r="B1799" t="s">
        <v>3343</v>
      </c>
      <c r="C1799" t="s">
        <v>3125</v>
      </c>
      <c r="D1799" t="s">
        <v>1964</v>
      </c>
      <c r="E1799" t="s">
        <v>368</v>
      </c>
      <c r="F1799">
        <v>1764</v>
      </c>
      <c r="G1799">
        <v>977</v>
      </c>
      <c r="H1799" t="s">
        <v>38</v>
      </c>
      <c r="I1799" t="s">
        <v>80</v>
      </c>
      <c r="J1799" t="s">
        <v>3126</v>
      </c>
      <c r="K1799" t="s">
        <v>38</v>
      </c>
      <c r="L1799" t="s">
        <v>38</v>
      </c>
      <c r="M1799" t="s">
        <v>38</v>
      </c>
      <c r="N1799" t="s">
        <v>38</v>
      </c>
      <c r="O1799" t="s">
        <v>57</v>
      </c>
      <c r="P1799" t="s">
        <v>42</v>
      </c>
      <c r="Q1799" t="s">
        <v>43</v>
      </c>
      <c r="R1799" t="s">
        <v>38</v>
      </c>
      <c r="S1799" t="s">
        <v>45</v>
      </c>
      <c r="T1799" t="s">
        <v>38</v>
      </c>
      <c r="U1799" t="s">
        <v>38</v>
      </c>
      <c r="V1799" t="s">
        <v>137</v>
      </c>
      <c r="W1799" t="s">
        <v>38</v>
      </c>
      <c r="X1799" t="s">
        <v>38</v>
      </c>
      <c r="Y1799" t="s">
        <v>38</v>
      </c>
      <c r="Z1799" t="s">
        <v>42</v>
      </c>
      <c r="AA1799" t="s">
        <v>38</v>
      </c>
      <c r="AB1799" t="s">
        <v>38</v>
      </c>
      <c r="AC1799" t="s">
        <v>45</v>
      </c>
      <c r="AD1799" t="s">
        <v>48</v>
      </c>
      <c r="AG1799" t="str">
        <f>IF(AD1799="United States", IFERROR(INDEX(Sheet2!$C:$C, MATCH(AE1799&amp;AF1799, Sheet2!$E:$E, 0)) &amp; ", " &amp; INDEX(Sheet2!$D:$D, MATCH(AE1799&amp;AF1799, Sheet2!$E:$E, 0)), ""), "-")</f>
        <v/>
      </c>
    </row>
    <row r="1800" spans="1:33" x14ac:dyDescent="0.25">
      <c r="A1800" t="s">
        <v>2966</v>
      </c>
      <c r="B1800" t="s">
        <v>3344</v>
      </c>
      <c r="C1800" t="s">
        <v>3125</v>
      </c>
      <c r="D1800" t="s">
        <v>114</v>
      </c>
      <c r="E1800" t="s">
        <v>38</v>
      </c>
      <c r="F1800">
        <v>1772</v>
      </c>
      <c r="G1800">
        <v>978</v>
      </c>
      <c r="H1800" t="s">
        <v>2975</v>
      </c>
      <c r="I1800" t="s">
        <v>80</v>
      </c>
      <c r="J1800" t="s">
        <v>3126</v>
      </c>
      <c r="K1800" t="s">
        <v>38</v>
      </c>
      <c r="L1800" t="s">
        <v>38</v>
      </c>
      <c r="M1800" t="s">
        <v>38</v>
      </c>
      <c r="N1800" t="s">
        <v>38</v>
      </c>
      <c r="O1800" t="s">
        <v>54</v>
      </c>
      <c r="P1800" t="s">
        <v>42</v>
      </c>
      <c r="Q1800" t="s">
        <v>43</v>
      </c>
      <c r="R1800" t="s">
        <v>2452</v>
      </c>
      <c r="S1800" t="s">
        <v>38</v>
      </c>
      <c r="T1800" t="s">
        <v>89</v>
      </c>
      <c r="U1800" t="s">
        <v>2453</v>
      </c>
      <c r="V1800" t="s">
        <v>137</v>
      </c>
      <c r="W1800" t="s">
        <v>92</v>
      </c>
      <c r="X1800" t="s">
        <v>38</v>
      </c>
      <c r="Y1800" t="s">
        <v>38</v>
      </c>
      <c r="Z1800" t="s">
        <v>42</v>
      </c>
      <c r="AA1800" t="s">
        <v>38</v>
      </c>
      <c r="AB1800" t="s">
        <v>38</v>
      </c>
      <c r="AC1800" t="s">
        <v>38</v>
      </c>
      <c r="AD1800" t="s">
        <v>48</v>
      </c>
      <c r="AG1800" t="str">
        <f>IF(AD1800="United States", IFERROR(INDEX(Sheet2!$C:$C, MATCH(AE1800&amp;AF1800, Sheet2!$E:$E, 0)) &amp; ", " &amp; INDEX(Sheet2!$D:$D, MATCH(AE1800&amp;AF1800, Sheet2!$E:$E, 0)), ""), "-")</f>
        <v/>
      </c>
    </row>
    <row r="1801" spans="1:33" x14ac:dyDescent="0.25">
      <c r="A1801" t="s">
        <v>2966</v>
      </c>
      <c r="B1801" t="s">
        <v>3395</v>
      </c>
      <c r="C1801" t="s">
        <v>3125</v>
      </c>
      <c r="D1801" t="s">
        <v>615</v>
      </c>
      <c r="E1801" t="s">
        <v>1084</v>
      </c>
      <c r="F1801">
        <v>1757</v>
      </c>
      <c r="G1801">
        <v>979</v>
      </c>
      <c r="H1801" t="s">
        <v>2975</v>
      </c>
      <c r="I1801" t="s">
        <v>80</v>
      </c>
      <c r="J1801" t="s">
        <v>3126</v>
      </c>
      <c r="K1801" t="s">
        <v>38</v>
      </c>
      <c r="L1801" t="s">
        <v>38</v>
      </c>
      <c r="M1801" t="s">
        <v>38</v>
      </c>
      <c r="N1801" t="s">
        <v>38</v>
      </c>
      <c r="O1801" t="s">
        <v>41</v>
      </c>
      <c r="P1801" t="s">
        <v>42</v>
      </c>
      <c r="Q1801" t="s">
        <v>43</v>
      </c>
      <c r="R1801" t="s">
        <v>2452</v>
      </c>
      <c r="S1801" t="s">
        <v>286</v>
      </c>
      <c r="T1801" t="s">
        <v>89</v>
      </c>
      <c r="U1801" t="s">
        <v>2453</v>
      </c>
      <c r="V1801" t="s">
        <v>137</v>
      </c>
      <c r="W1801" t="s">
        <v>92</v>
      </c>
      <c r="X1801" t="s">
        <v>38</v>
      </c>
      <c r="Y1801" t="s">
        <v>38</v>
      </c>
      <c r="Z1801" t="s">
        <v>42</v>
      </c>
      <c r="AA1801" t="s">
        <v>2238</v>
      </c>
      <c r="AB1801" t="s">
        <v>38</v>
      </c>
      <c r="AC1801" t="s">
        <v>286</v>
      </c>
      <c r="AD1801" t="s">
        <v>48</v>
      </c>
      <c r="AG1801" t="str">
        <f>IF(AD1801="United States", IFERROR(INDEX(Sheet2!$C:$C, MATCH(AE1801&amp;AF1801, Sheet2!$E:$E, 0)) &amp; ", " &amp; INDEX(Sheet2!$D:$D, MATCH(AE1801&amp;AF1801, Sheet2!$E:$E, 0)), ""), "-")</f>
        <v/>
      </c>
    </row>
    <row r="1802" spans="1:33" x14ac:dyDescent="0.25">
      <c r="A1802" t="s">
        <v>2966</v>
      </c>
      <c r="B1802" t="s">
        <v>3396</v>
      </c>
      <c r="C1802" t="s">
        <v>3125</v>
      </c>
      <c r="D1802" t="s">
        <v>3397</v>
      </c>
      <c r="E1802" t="s">
        <v>1084</v>
      </c>
      <c r="F1802">
        <v>1752</v>
      </c>
      <c r="G1802">
        <v>980</v>
      </c>
      <c r="H1802" t="s">
        <v>38</v>
      </c>
      <c r="I1802" t="s">
        <v>80</v>
      </c>
      <c r="J1802" t="s">
        <v>3126</v>
      </c>
      <c r="K1802" t="s">
        <v>38</v>
      </c>
      <c r="L1802" t="s">
        <v>38</v>
      </c>
      <c r="M1802" t="s">
        <v>38</v>
      </c>
      <c r="N1802" t="s">
        <v>38</v>
      </c>
      <c r="O1802" t="s">
        <v>57</v>
      </c>
      <c r="P1802" t="s">
        <v>42</v>
      </c>
      <c r="Q1802" t="s">
        <v>43</v>
      </c>
      <c r="R1802" t="s">
        <v>3398</v>
      </c>
      <c r="S1802" t="s">
        <v>45</v>
      </c>
      <c r="T1802" t="s">
        <v>38</v>
      </c>
      <c r="U1802" t="s">
        <v>38</v>
      </c>
      <c r="V1802" t="s">
        <v>137</v>
      </c>
      <c r="W1802" t="s">
        <v>38</v>
      </c>
      <c r="X1802" t="s">
        <v>38</v>
      </c>
      <c r="Y1802" t="s">
        <v>38</v>
      </c>
      <c r="Z1802" t="s">
        <v>42</v>
      </c>
      <c r="AA1802" t="s">
        <v>143</v>
      </c>
      <c r="AB1802" t="s">
        <v>38</v>
      </c>
      <c r="AC1802" t="s">
        <v>45</v>
      </c>
      <c r="AD1802" t="s">
        <v>48</v>
      </c>
      <c r="AG1802" t="str">
        <f>IF(AD1802="United States", IFERROR(INDEX(Sheet2!$C:$C, MATCH(AE1802&amp;AF1802, Sheet2!$E:$E, 0)) &amp; ", " &amp; INDEX(Sheet2!$D:$D, MATCH(AE1802&amp;AF1802, Sheet2!$E:$E, 0)), ""), "-")</f>
        <v/>
      </c>
    </row>
    <row r="1803" spans="1:33" x14ac:dyDescent="0.25">
      <c r="A1803" t="s">
        <v>2966</v>
      </c>
      <c r="B1803" t="s">
        <v>3399</v>
      </c>
      <c r="C1803" t="s">
        <v>3125</v>
      </c>
      <c r="D1803" t="s">
        <v>52</v>
      </c>
      <c r="E1803" t="s">
        <v>1084</v>
      </c>
      <c r="F1803">
        <v>1777</v>
      </c>
      <c r="G1803">
        <v>981</v>
      </c>
      <c r="H1803" t="s">
        <v>2977</v>
      </c>
      <c r="I1803" t="s">
        <v>80</v>
      </c>
      <c r="J1803" t="s">
        <v>3126</v>
      </c>
      <c r="K1803" t="s">
        <v>38</v>
      </c>
      <c r="L1803" t="s">
        <v>38</v>
      </c>
      <c r="M1803" t="s">
        <v>38</v>
      </c>
      <c r="N1803" t="s">
        <v>38</v>
      </c>
      <c r="O1803" t="s">
        <v>54</v>
      </c>
      <c r="P1803" t="s">
        <v>42</v>
      </c>
      <c r="Q1803" t="s">
        <v>43</v>
      </c>
      <c r="R1803" t="s">
        <v>2452</v>
      </c>
      <c r="S1803" t="s">
        <v>38</v>
      </c>
      <c r="T1803" t="s">
        <v>89</v>
      </c>
      <c r="U1803" t="s">
        <v>2453</v>
      </c>
      <c r="V1803" t="s">
        <v>137</v>
      </c>
      <c r="W1803" t="s">
        <v>92</v>
      </c>
      <c r="X1803" t="s">
        <v>38</v>
      </c>
      <c r="Y1803" t="s">
        <v>38</v>
      </c>
      <c r="Z1803" t="s">
        <v>42</v>
      </c>
      <c r="AA1803" t="s">
        <v>38</v>
      </c>
      <c r="AB1803" t="s">
        <v>38</v>
      </c>
      <c r="AC1803" t="s">
        <v>38</v>
      </c>
      <c r="AD1803" t="s">
        <v>48</v>
      </c>
      <c r="AG1803" t="str">
        <f>IF(AD1803="United States", IFERROR(INDEX(Sheet2!$C:$C, MATCH(AE1803&amp;AF1803, Sheet2!$E:$E, 0)) &amp; ", " &amp; INDEX(Sheet2!$D:$D, MATCH(AE1803&amp;AF1803, Sheet2!$E:$E, 0)), ""), "-")</f>
        <v/>
      </c>
    </row>
    <row r="1804" spans="1:33" x14ac:dyDescent="0.25">
      <c r="A1804" t="s">
        <v>2966</v>
      </c>
      <c r="B1804" t="s">
        <v>3400</v>
      </c>
      <c r="C1804" t="s">
        <v>3125</v>
      </c>
      <c r="D1804" t="s">
        <v>352</v>
      </c>
      <c r="E1804" t="s">
        <v>2028</v>
      </c>
      <c r="F1804">
        <v>1738</v>
      </c>
      <c r="G1804">
        <v>982</v>
      </c>
      <c r="H1804" t="s">
        <v>38</v>
      </c>
      <c r="I1804" t="s">
        <v>80</v>
      </c>
      <c r="J1804" t="s">
        <v>3126</v>
      </c>
      <c r="K1804" t="s">
        <v>38</v>
      </c>
      <c r="L1804" t="s">
        <v>38</v>
      </c>
      <c r="M1804" t="s">
        <v>38</v>
      </c>
      <c r="N1804" t="s">
        <v>38</v>
      </c>
      <c r="O1804" t="s">
        <v>57</v>
      </c>
      <c r="P1804" t="s">
        <v>42</v>
      </c>
      <c r="Q1804" t="s">
        <v>43</v>
      </c>
      <c r="R1804" t="s">
        <v>3401</v>
      </c>
      <c r="S1804" t="s">
        <v>45</v>
      </c>
      <c r="T1804" t="s">
        <v>38</v>
      </c>
      <c r="U1804" t="s">
        <v>38</v>
      </c>
      <c r="V1804" t="s">
        <v>137</v>
      </c>
      <c r="W1804" t="s">
        <v>38</v>
      </c>
      <c r="X1804" t="s">
        <v>38</v>
      </c>
      <c r="Y1804" t="s">
        <v>38</v>
      </c>
      <c r="Z1804" t="s">
        <v>42</v>
      </c>
      <c r="AA1804" t="s">
        <v>241</v>
      </c>
      <c r="AB1804" t="s">
        <v>38</v>
      </c>
      <c r="AC1804" t="s">
        <v>45</v>
      </c>
      <c r="AD1804" t="s">
        <v>48</v>
      </c>
      <c r="AG1804" t="str">
        <f>IF(AD1804="United States", IFERROR(INDEX(Sheet2!$C:$C, MATCH(AE1804&amp;AF1804, Sheet2!$E:$E, 0)) &amp; ", " &amp; INDEX(Sheet2!$D:$D, MATCH(AE1804&amp;AF1804, Sheet2!$E:$E, 0)), ""), "-")</f>
        <v/>
      </c>
    </row>
    <row r="1805" spans="1:33" x14ac:dyDescent="0.25">
      <c r="A1805" t="s">
        <v>2966</v>
      </c>
      <c r="B1805" t="s">
        <v>3402</v>
      </c>
      <c r="C1805" t="s">
        <v>3125</v>
      </c>
      <c r="D1805" t="s">
        <v>904</v>
      </c>
      <c r="E1805" t="s">
        <v>2028</v>
      </c>
      <c r="F1805">
        <v>1774</v>
      </c>
      <c r="G1805">
        <v>983</v>
      </c>
      <c r="H1805" t="s">
        <v>38</v>
      </c>
      <c r="I1805" t="s">
        <v>80</v>
      </c>
      <c r="J1805" t="s">
        <v>3126</v>
      </c>
      <c r="K1805" t="s">
        <v>38</v>
      </c>
      <c r="L1805" t="s">
        <v>38</v>
      </c>
      <c r="M1805" t="s">
        <v>38</v>
      </c>
      <c r="N1805" t="s">
        <v>38</v>
      </c>
      <c r="O1805" t="s">
        <v>74</v>
      </c>
      <c r="P1805" t="s">
        <v>42</v>
      </c>
      <c r="Q1805" t="s">
        <v>43</v>
      </c>
      <c r="R1805" t="s">
        <v>3401</v>
      </c>
      <c r="S1805" t="s">
        <v>45</v>
      </c>
      <c r="T1805" t="s">
        <v>38</v>
      </c>
      <c r="U1805" t="s">
        <v>38</v>
      </c>
      <c r="V1805" t="s">
        <v>137</v>
      </c>
      <c r="W1805" t="s">
        <v>38</v>
      </c>
      <c r="X1805" t="s">
        <v>38</v>
      </c>
      <c r="Y1805" t="s">
        <v>38</v>
      </c>
      <c r="Z1805" t="s">
        <v>42</v>
      </c>
      <c r="AA1805" t="s">
        <v>241</v>
      </c>
      <c r="AB1805" t="s">
        <v>38</v>
      </c>
      <c r="AC1805" t="s">
        <v>45</v>
      </c>
      <c r="AD1805" t="s">
        <v>48</v>
      </c>
      <c r="AG1805" t="str">
        <f>IF(AD1805="United States", IFERROR(INDEX(Sheet2!$C:$C, MATCH(AE1805&amp;AF1805, Sheet2!$E:$E, 0)) &amp; ", " &amp; INDEX(Sheet2!$D:$D, MATCH(AE1805&amp;AF1805, Sheet2!$E:$E, 0)), ""), "-")</f>
        <v/>
      </c>
    </row>
    <row r="1806" spans="1:33" x14ac:dyDescent="0.25">
      <c r="A1806" t="s">
        <v>2966</v>
      </c>
      <c r="B1806" t="s">
        <v>3403</v>
      </c>
      <c r="C1806" t="s">
        <v>3125</v>
      </c>
      <c r="D1806" t="s">
        <v>2121</v>
      </c>
      <c r="E1806" t="s">
        <v>3404</v>
      </c>
      <c r="F1806">
        <v>1743</v>
      </c>
      <c r="G1806">
        <v>984</v>
      </c>
      <c r="H1806" t="s">
        <v>38</v>
      </c>
      <c r="I1806" t="s">
        <v>80</v>
      </c>
      <c r="J1806" t="s">
        <v>3126</v>
      </c>
      <c r="K1806" t="s">
        <v>38</v>
      </c>
      <c r="L1806" t="s">
        <v>38</v>
      </c>
      <c r="M1806" t="s">
        <v>38</v>
      </c>
      <c r="N1806" t="s">
        <v>38</v>
      </c>
      <c r="O1806" t="s">
        <v>41</v>
      </c>
      <c r="P1806" t="s">
        <v>42</v>
      </c>
      <c r="Q1806" t="s">
        <v>43</v>
      </c>
      <c r="R1806" t="s">
        <v>38</v>
      </c>
      <c r="S1806" t="s">
        <v>38</v>
      </c>
      <c r="T1806" t="s">
        <v>38</v>
      </c>
      <c r="U1806" t="s">
        <v>38</v>
      </c>
      <c r="V1806" t="s">
        <v>137</v>
      </c>
      <c r="W1806" t="s">
        <v>38</v>
      </c>
      <c r="X1806" t="s">
        <v>38</v>
      </c>
      <c r="Y1806" t="s">
        <v>38</v>
      </c>
      <c r="Z1806" t="s">
        <v>42</v>
      </c>
      <c r="AA1806" t="s">
        <v>3405</v>
      </c>
      <c r="AB1806" t="s">
        <v>38</v>
      </c>
      <c r="AC1806" t="s">
        <v>3406</v>
      </c>
      <c r="AD1806" t="s">
        <v>48</v>
      </c>
      <c r="AG1806" t="str">
        <f>IF(AD1806="United States", IFERROR(INDEX(Sheet2!$C:$C, MATCH(AE1806&amp;AF1806, Sheet2!$E:$E, 0)) &amp; ", " &amp; INDEX(Sheet2!$D:$D, MATCH(AE1806&amp;AF1806, Sheet2!$E:$E, 0)), ""), "-")</f>
        <v/>
      </c>
    </row>
    <row r="1807" spans="1:33" x14ac:dyDescent="0.25">
      <c r="A1807" t="s">
        <v>2966</v>
      </c>
      <c r="B1807" t="s">
        <v>3407</v>
      </c>
      <c r="C1807" t="s">
        <v>3125</v>
      </c>
      <c r="D1807" t="s">
        <v>190</v>
      </c>
      <c r="E1807" t="s">
        <v>3404</v>
      </c>
      <c r="F1807">
        <v>1753</v>
      </c>
      <c r="G1807">
        <v>985</v>
      </c>
      <c r="H1807" t="s">
        <v>2975</v>
      </c>
      <c r="I1807" t="s">
        <v>80</v>
      </c>
      <c r="J1807" t="s">
        <v>3126</v>
      </c>
      <c r="K1807" t="s">
        <v>38</v>
      </c>
      <c r="L1807" t="s">
        <v>38</v>
      </c>
      <c r="M1807" t="s">
        <v>38</v>
      </c>
      <c r="N1807" t="s">
        <v>38</v>
      </c>
      <c r="O1807" t="s">
        <v>57</v>
      </c>
      <c r="P1807" t="s">
        <v>42</v>
      </c>
      <c r="Q1807" t="s">
        <v>43</v>
      </c>
      <c r="R1807" t="s">
        <v>2452</v>
      </c>
      <c r="S1807" t="s">
        <v>45</v>
      </c>
      <c r="T1807" t="s">
        <v>89</v>
      </c>
      <c r="U1807" t="s">
        <v>2453</v>
      </c>
      <c r="V1807" t="s">
        <v>137</v>
      </c>
      <c r="W1807" t="s">
        <v>92</v>
      </c>
      <c r="X1807" t="s">
        <v>38</v>
      </c>
      <c r="Y1807" t="s">
        <v>38</v>
      </c>
      <c r="Z1807" t="s">
        <v>42</v>
      </c>
      <c r="AA1807" t="s">
        <v>241</v>
      </c>
      <c r="AB1807" t="s">
        <v>38</v>
      </c>
      <c r="AC1807" t="s">
        <v>45</v>
      </c>
      <c r="AD1807" t="s">
        <v>48</v>
      </c>
      <c r="AG1807" t="str">
        <f>IF(AD1807="United States", IFERROR(INDEX(Sheet2!$C:$C, MATCH(AE1807&amp;AF1807, Sheet2!$E:$E, 0)) &amp; ", " &amp; INDEX(Sheet2!$D:$D, MATCH(AE1807&amp;AF1807, Sheet2!$E:$E, 0)), ""), "-")</f>
        <v/>
      </c>
    </row>
    <row r="1808" spans="1:33" x14ac:dyDescent="0.25">
      <c r="A1808" t="s">
        <v>2966</v>
      </c>
      <c r="B1808" t="s">
        <v>3288</v>
      </c>
      <c r="C1808" t="s">
        <v>3125</v>
      </c>
      <c r="D1808" t="s">
        <v>2124</v>
      </c>
      <c r="E1808" t="s">
        <v>970</v>
      </c>
      <c r="F1808">
        <v>1768</v>
      </c>
      <c r="G1808">
        <v>973</v>
      </c>
      <c r="H1808" t="s">
        <v>2975</v>
      </c>
      <c r="I1808" t="s">
        <v>80</v>
      </c>
      <c r="J1808" t="s">
        <v>3126</v>
      </c>
      <c r="K1808" t="s">
        <v>38</v>
      </c>
      <c r="L1808" t="s">
        <v>38</v>
      </c>
      <c r="M1808" t="s">
        <v>38</v>
      </c>
      <c r="N1808" t="s">
        <v>38</v>
      </c>
      <c r="O1808" t="s">
        <v>54</v>
      </c>
      <c r="P1808" t="s">
        <v>42</v>
      </c>
      <c r="Q1808" t="s">
        <v>43</v>
      </c>
      <c r="R1808" t="s">
        <v>2452</v>
      </c>
      <c r="S1808" t="s">
        <v>38</v>
      </c>
      <c r="T1808" t="s">
        <v>89</v>
      </c>
      <c r="U1808" t="s">
        <v>2453</v>
      </c>
      <c r="V1808" t="s">
        <v>137</v>
      </c>
      <c r="W1808" t="s">
        <v>92</v>
      </c>
      <c r="X1808" t="s">
        <v>38</v>
      </c>
      <c r="Y1808" t="s">
        <v>38</v>
      </c>
      <c r="Z1808" t="s">
        <v>42</v>
      </c>
      <c r="AA1808" t="s">
        <v>38</v>
      </c>
      <c r="AB1808" t="s">
        <v>38</v>
      </c>
      <c r="AC1808" t="s">
        <v>3289</v>
      </c>
      <c r="AD1808" t="s">
        <v>48</v>
      </c>
      <c r="AG1808" t="str">
        <f>IF(AD1808="United States", IFERROR(INDEX(Sheet2!$C:$C, MATCH(AE1808&amp;AF1808, Sheet2!$E:$E, 0)) &amp; ", " &amp; INDEX(Sheet2!$D:$D, MATCH(AE1808&amp;AF1808, Sheet2!$E:$E, 0)), ""), "-")</f>
        <v/>
      </c>
    </row>
    <row r="1809" spans="1:33" x14ac:dyDescent="0.25">
      <c r="A1809" t="s">
        <v>2966</v>
      </c>
      <c r="B1809" t="s">
        <v>3252</v>
      </c>
      <c r="C1809" t="s">
        <v>3125</v>
      </c>
      <c r="D1809" t="s">
        <v>1840</v>
      </c>
      <c r="E1809" t="s">
        <v>3253</v>
      </c>
      <c r="F1809">
        <v>1767</v>
      </c>
      <c r="G1809">
        <v>958</v>
      </c>
      <c r="H1809" t="s">
        <v>38</v>
      </c>
      <c r="I1809" t="s">
        <v>80</v>
      </c>
      <c r="J1809" t="s">
        <v>3126</v>
      </c>
      <c r="K1809" t="s">
        <v>38</v>
      </c>
      <c r="L1809" t="s">
        <v>38</v>
      </c>
      <c r="M1809" t="s">
        <v>38</v>
      </c>
      <c r="N1809" t="s">
        <v>38</v>
      </c>
      <c r="O1809" t="s">
        <v>74</v>
      </c>
      <c r="P1809" t="s">
        <v>42</v>
      </c>
      <c r="Q1809" t="s">
        <v>43</v>
      </c>
      <c r="R1809" t="s">
        <v>3254</v>
      </c>
      <c r="S1809" t="s">
        <v>45</v>
      </c>
      <c r="T1809" t="s">
        <v>38</v>
      </c>
      <c r="U1809" t="s">
        <v>38</v>
      </c>
      <c r="V1809" t="s">
        <v>137</v>
      </c>
      <c r="W1809" t="s">
        <v>38</v>
      </c>
      <c r="X1809" t="s">
        <v>38</v>
      </c>
      <c r="Y1809" t="s">
        <v>38</v>
      </c>
      <c r="Z1809" t="s">
        <v>42</v>
      </c>
      <c r="AA1809" t="s">
        <v>1135</v>
      </c>
      <c r="AB1809" t="s">
        <v>38</v>
      </c>
      <c r="AC1809" t="s">
        <v>45</v>
      </c>
      <c r="AD1809" t="s">
        <v>48</v>
      </c>
      <c r="AG1809" t="str">
        <f>IF(AD1809="United States", IFERROR(INDEX(Sheet2!$C:$C, MATCH(AE1809&amp;AF1809, Sheet2!$E:$E, 0)) &amp; ", " &amp; INDEX(Sheet2!$D:$D, MATCH(AE1809&amp;AF1809, Sheet2!$E:$E, 0)), ""), "-")</f>
        <v/>
      </c>
    </row>
    <row r="1810" spans="1:33" x14ac:dyDescent="0.25">
      <c r="A1810" t="s">
        <v>2966</v>
      </c>
      <c r="B1810" t="s">
        <v>3251</v>
      </c>
      <c r="C1810" t="s">
        <v>3125</v>
      </c>
      <c r="D1810" t="s">
        <v>1230</v>
      </c>
      <c r="E1810" t="s">
        <v>913</v>
      </c>
      <c r="F1810">
        <v>1723</v>
      </c>
      <c r="G1810">
        <v>957</v>
      </c>
      <c r="H1810" t="s">
        <v>2977</v>
      </c>
      <c r="I1810" t="s">
        <v>80</v>
      </c>
      <c r="J1810" t="s">
        <v>3126</v>
      </c>
      <c r="K1810" t="s">
        <v>38</v>
      </c>
      <c r="L1810" t="s">
        <v>38</v>
      </c>
      <c r="M1810" t="s">
        <v>38</v>
      </c>
      <c r="N1810" t="s">
        <v>38</v>
      </c>
      <c r="O1810" t="s">
        <v>57</v>
      </c>
      <c r="P1810" t="s">
        <v>42</v>
      </c>
      <c r="Q1810" t="s">
        <v>43</v>
      </c>
      <c r="R1810" t="s">
        <v>2452</v>
      </c>
      <c r="S1810" t="s">
        <v>45</v>
      </c>
      <c r="T1810" t="s">
        <v>89</v>
      </c>
      <c r="U1810" t="s">
        <v>2453</v>
      </c>
      <c r="V1810" t="s">
        <v>137</v>
      </c>
      <c r="W1810" t="s">
        <v>92</v>
      </c>
      <c r="X1810" t="s">
        <v>38</v>
      </c>
      <c r="Y1810" t="s">
        <v>38</v>
      </c>
      <c r="Z1810" t="s">
        <v>42</v>
      </c>
      <c r="AA1810" t="s">
        <v>1244</v>
      </c>
      <c r="AB1810" t="s">
        <v>38</v>
      </c>
      <c r="AC1810" t="s">
        <v>45</v>
      </c>
      <c r="AD1810" t="s">
        <v>48</v>
      </c>
      <c r="AG1810" t="str">
        <f>IF(AD1810="United States", IFERROR(INDEX(Sheet2!$C:$C, MATCH(AE1810&amp;AF1810, Sheet2!$E:$E, 0)) &amp; ", " &amp; INDEX(Sheet2!$D:$D, MATCH(AE1810&amp;AF1810, Sheet2!$E:$E, 0)), ""), "-")</f>
        <v/>
      </c>
    </row>
    <row r="1811" spans="1:33" x14ac:dyDescent="0.25">
      <c r="A1811" t="s">
        <v>2966</v>
      </c>
      <c r="B1811" t="s">
        <v>3249</v>
      </c>
      <c r="C1811" t="s">
        <v>3125</v>
      </c>
      <c r="D1811" t="s">
        <v>52</v>
      </c>
      <c r="E1811" t="s">
        <v>1318</v>
      </c>
      <c r="F1811">
        <v>1760</v>
      </c>
      <c r="G1811">
        <v>956</v>
      </c>
      <c r="H1811" t="s">
        <v>2977</v>
      </c>
      <c r="I1811" t="s">
        <v>80</v>
      </c>
      <c r="J1811" t="s">
        <v>3126</v>
      </c>
      <c r="K1811" t="s">
        <v>38</v>
      </c>
      <c r="L1811" t="s">
        <v>38</v>
      </c>
      <c r="M1811" t="s">
        <v>38</v>
      </c>
      <c r="N1811" t="s">
        <v>38</v>
      </c>
      <c r="O1811" t="s">
        <v>57</v>
      </c>
      <c r="P1811" t="s">
        <v>125</v>
      </c>
      <c r="Q1811" t="s">
        <v>124</v>
      </c>
      <c r="R1811" t="s">
        <v>2452</v>
      </c>
      <c r="S1811" t="s">
        <v>38</v>
      </c>
      <c r="T1811" t="s">
        <v>89</v>
      </c>
      <c r="U1811" t="s">
        <v>2453</v>
      </c>
      <c r="V1811" t="s">
        <v>137</v>
      </c>
      <c r="W1811" t="s">
        <v>92</v>
      </c>
      <c r="X1811" t="s">
        <v>38</v>
      </c>
      <c r="Y1811" t="s">
        <v>38</v>
      </c>
      <c r="Z1811" t="s">
        <v>125</v>
      </c>
      <c r="AA1811" t="s">
        <v>3250</v>
      </c>
      <c r="AB1811" t="s">
        <v>38</v>
      </c>
      <c r="AC1811" t="s">
        <v>2580</v>
      </c>
      <c r="AD1811" t="s">
        <v>48</v>
      </c>
      <c r="AG1811" t="str">
        <f>IF(AD1811="United States", IFERROR(INDEX(Sheet2!$C:$C, MATCH(AE1811&amp;AF1811, Sheet2!$E:$E, 0)) &amp; ", " &amp; INDEX(Sheet2!$D:$D, MATCH(AE1811&amp;AF1811, Sheet2!$E:$E, 0)), ""), "-")</f>
        <v/>
      </c>
    </row>
    <row r="1812" spans="1:33" x14ac:dyDescent="0.25">
      <c r="A1812" t="s">
        <v>2966</v>
      </c>
      <c r="B1812" t="s">
        <v>3313</v>
      </c>
      <c r="C1812" t="s">
        <v>3125</v>
      </c>
      <c r="D1812" t="s">
        <v>210</v>
      </c>
      <c r="E1812" t="s">
        <v>3314</v>
      </c>
      <c r="F1812">
        <v>1748</v>
      </c>
      <c r="G1812">
        <v>929</v>
      </c>
      <c r="H1812" t="s">
        <v>2977</v>
      </c>
      <c r="I1812" t="s">
        <v>80</v>
      </c>
      <c r="J1812" t="s">
        <v>3126</v>
      </c>
      <c r="K1812" t="s">
        <v>38</v>
      </c>
      <c r="L1812" t="s">
        <v>38</v>
      </c>
      <c r="M1812" t="s">
        <v>38</v>
      </c>
      <c r="N1812" t="s">
        <v>38</v>
      </c>
      <c r="O1812" t="s">
        <v>41</v>
      </c>
      <c r="P1812" t="s">
        <v>42</v>
      </c>
      <c r="Q1812" t="s">
        <v>43</v>
      </c>
      <c r="R1812" t="s">
        <v>2452</v>
      </c>
      <c r="S1812" t="s">
        <v>45</v>
      </c>
      <c r="T1812" t="s">
        <v>89</v>
      </c>
      <c r="U1812" t="s">
        <v>2453</v>
      </c>
      <c r="V1812" t="s">
        <v>137</v>
      </c>
      <c r="W1812" t="s">
        <v>92</v>
      </c>
      <c r="X1812" t="s">
        <v>38</v>
      </c>
      <c r="Y1812" t="s">
        <v>38</v>
      </c>
      <c r="Z1812" t="s">
        <v>42</v>
      </c>
      <c r="AA1812" t="s">
        <v>1269</v>
      </c>
      <c r="AB1812" t="s">
        <v>38</v>
      </c>
      <c r="AC1812" t="s">
        <v>45</v>
      </c>
      <c r="AD1812" t="s">
        <v>48</v>
      </c>
      <c r="AG1812" t="str">
        <f>IF(AD1812="United States", IFERROR(INDEX(Sheet2!$C:$C, MATCH(AE1812&amp;AF1812, Sheet2!$E:$E, 0)) &amp; ", " &amp; INDEX(Sheet2!$D:$D, MATCH(AE1812&amp;AF1812, Sheet2!$E:$E, 0)), ""), "-")</f>
        <v/>
      </c>
    </row>
    <row r="1813" spans="1:33" x14ac:dyDescent="0.25">
      <c r="A1813" t="s">
        <v>2966</v>
      </c>
      <c r="B1813" t="s">
        <v>3315</v>
      </c>
      <c r="C1813" t="s">
        <v>3125</v>
      </c>
      <c r="D1813" t="s">
        <v>1491</v>
      </c>
      <c r="E1813" t="s">
        <v>859</v>
      </c>
      <c r="F1813">
        <v>1768</v>
      </c>
      <c r="G1813">
        <v>930</v>
      </c>
      <c r="H1813" t="s">
        <v>38</v>
      </c>
      <c r="I1813" t="s">
        <v>80</v>
      </c>
      <c r="J1813" t="s">
        <v>3126</v>
      </c>
      <c r="K1813" t="s">
        <v>38</v>
      </c>
      <c r="L1813" t="s">
        <v>38</v>
      </c>
      <c r="M1813" t="s">
        <v>38</v>
      </c>
      <c r="N1813" t="s">
        <v>38</v>
      </c>
      <c r="O1813" t="s">
        <v>54</v>
      </c>
      <c r="P1813" t="s">
        <v>42</v>
      </c>
      <c r="Q1813" t="s">
        <v>43</v>
      </c>
      <c r="R1813" t="s">
        <v>241</v>
      </c>
      <c r="S1813" t="s">
        <v>45</v>
      </c>
      <c r="T1813" t="s">
        <v>38</v>
      </c>
      <c r="U1813" t="s">
        <v>38</v>
      </c>
      <c r="V1813" t="s">
        <v>137</v>
      </c>
      <c r="W1813" t="s">
        <v>38</v>
      </c>
      <c r="X1813" t="s">
        <v>38</v>
      </c>
      <c r="Y1813" t="s">
        <v>38</v>
      </c>
      <c r="Z1813" t="s">
        <v>42</v>
      </c>
      <c r="AA1813" t="s">
        <v>241</v>
      </c>
      <c r="AB1813" t="s">
        <v>38</v>
      </c>
      <c r="AC1813" t="s">
        <v>45</v>
      </c>
      <c r="AD1813" t="s">
        <v>48</v>
      </c>
      <c r="AG1813" t="str">
        <f>IF(AD1813="United States", IFERROR(INDEX(Sheet2!$C:$C, MATCH(AE1813&amp;AF1813, Sheet2!$E:$E, 0)) &amp; ", " &amp; INDEX(Sheet2!$D:$D, MATCH(AE1813&amp;AF1813, Sheet2!$E:$E, 0)), ""), "-")</f>
        <v/>
      </c>
    </row>
    <row r="1814" spans="1:33" x14ac:dyDescent="0.25">
      <c r="A1814" t="s">
        <v>2966</v>
      </c>
      <c r="B1814" t="s">
        <v>3318</v>
      </c>
      <c r="C1814" t="s">
        <v>3125</v>
      </c>
      <c r="D1814" t="s">
        <v>1603</v>
      </c>
      <c r="E1814" t="s">
        <v>3319</v>
      </c>
      <c r="F1814">
        <v>1757</v>
      </c>
      <c r="G1814">
        <v>931</v>
      </c>
      <c r="H1814" t="s">
        <v>38</v>
      </c>
      <c r="I1814" t="s">
        <v>80</v>
      </c>
      <c r="J1814" t="s">
        <v>3126</v>
      </c>
      <c r="K1814" t="s">
        <v>38</v>
      </c>
      <c r="L1814" t="s">
        <v>38</v>
      </c>
      <c r="M1814" t="s">
        <v>38</v>
      </c>
      <c r="N1814" t="s">
        <v>38</v>
      </c>
      <c r="O1814" t="s">
        <v>57</v>
      </c>
      <c r="P1814" t="s">
        <v>42</v>
      </c>
      <c r="Q1814" t="s">
        <v>43</v>
      </c>
      <c r="R1814" t="s">
        <v>3320</v>
      </c>
      <c r="S1814" t="s">
        <v>201</v>
      </c>
      <c r="T1814" t="s">
        <v>38</v>
      </c>
      <c r="U1814" t="s">
        <v>38</v>
      </c>
      <c r="V1814" t="s">
        <v>137</v>
      </c>
      <c r="W1814" t="s">
        <v>38</v>
      </c>
      <c r="X1814" t="s">
        <v>38</v>
      </c>
      <c r="Y1814" t="s">
        <v>38</v>
      </c>
      <c r="Z1814" t="s">
        <v>42</v>
      </c>
      <c r="AA1814" t="s">
        <v>202</v>
      </c>
      <c r="AB1814" t="s">
        <v>38</v>
      </c>
      <c r="AC1814" t="s">
        <v>201</v>
      </c>
      <c r="AD1814" t="s">
        <v>48</v>
      </c>
      <c r="AG1814" t="str">
        <f>IF(AD1814="United States", IFERROR(INDEX(Sheet2!$C:$C, MATCH(AE1814&amp;AF1814, Sheet2!$E:$E, 0)) &amp; ", " &amp; INDEX(Sheet2!$D:$D, MATCH(AE1814&amp;AF1814, Sheet2!$E:$E, 0)), ""), "-")</f>
        <v/>
      </c>
    </row>
    <row r="1815" spans="1:33" x14ac:dyDescent="0.25">
      <c r="A1815" t="s">
        <v>2966</v>
      </c>
      <c r="B1815" t="s">
        <v>3340</v>
      </c>
      <c r="C1815" t="s">
        <v>3125</v>
      </c>
      <c r="D1815" t="s">
        <v>114</v>
      </c>
      <c r="E1815" t="s">
        <v>3319</v>
      </c>
      <c r="F1815">
        <v>1778</v>
      </c>
      <c r="G1815">
        <v>932</v>
      </c>
      <c r="H1815" t="s">
        <v>2975</v>
      </c>
      <c r="I1815" t="s">
        <v>80</v>
      </c>
      <c r="J1815" t="s">
        <v>3126</v>
      </c>
      <c r="K1815" t="s">
        <v>38</v>
      </c>
      <c r="L1815" t="s">
        <v>38</v>
      </c>
      <c r="M1815" t="s">
        <v>38</v>
      </c>
      <c r="N1815" t="s">
        <v>38</v>
      </c>
      <c r="O1815" t="s">
        <v>74</v>
      </c>
      <c r="P1815" t="s">
        <v>42</v>
      </c>
      <c r="Q1815" t="s">
        <v>43</v>
      </c>
      <c r="R1815" t="s">
        <v>2452</v>
      </c>
      <c r="S1815" t="s">
        <v>201</v>
      </c>
      <c r="T1815" t="s">
        <v>89</v>
      </c>
      <c r="U1815" t="s">
        <v>2453</v>
      </c>
      <c r="V1815" t="s">
        <v>137</v>
      </c>
      <c r="W1815" t="s">
        <v>92</v>
      </c>
      <c r="X1815" t="s">
        <v>38</v>
      </c>
      <c r="Y1815" t="s">
        <v>38</v>
      </c>
      <c r="Z1815" t="s">
        <v>42</v>
      </c>
      <c r="AA1815" t="s">
        <v>202</v>
      </c>
      <c r="AB1815" t="s">
        <v>38</v>
      </c>
      <c r="AC1815" t="s">
        <v>201</v>
      </c>
      <c r="AD1815" t="s">
        <v>48</v>
      </c>
      <c r="AG1815" t="str">
        <f>IF(AD1815="United States", IFERROR(INDEX(Sheet2!$C:$C, MATCH(AE1815&amp;AF1815, Sheet2!$E:$E, 0)) &amp; ", " &amp; INDEX(Sheet2!$D:$D, MATCH(AE1815&amp;AF1815, Sheet2!$E:$E, 0)), ""), "-")</f>
        <v/>
      </c>
    </row>
    <row r="1816" spans="1:33" x14ac:dyDescent="0.25">
      <c r="A1816" t="s">
        <v>2966</v>
      </c>
      <c r="B1816" t="s">
        <v>3321</v>
      </c>
      <c r="C1816" t="s">
        <v>3125</v>
      </c>
      <c r="D1816" t="s">
        <v>200</v>
      </c>
      <c r="E1816" t="s">
        <v>3319</v>
      </c>
      <c r="F1816">
        <v>1781</v>
      </c>
      <c r="G1816">
        <v>933</v>
      </c>
      <c r="H1816" t="s">
        <v>2975</v>
      </c>
      <c r="I1816" t="s">
        <v>80</v>
      </c>
      <c r="J1816" t="s">
        <v>3126</v>
      </c>
      <c r="K1816" t="s">
        <v>38</v>
      </c>
      <c r="L1816" t="s">
        <v>38</v>
      </c>
      <c r="M1816" t="s">
        <v>38</v>
      </c>
      <c r="N1816" t="s">
        <v>38</v>
      </c>
      <c r="O1816" t="s">
        <v>54</v>
      </c>
      <c r="P1816" t="s">
        <v>42</v>
      </c>
      <c r="Q1816" t="s">
        <v>43</v>
      </c>
      <c r="R1816" t="s">
        <v>2452</v>
      </c>
      <c r="S1816" t="s">
        <v>38</v>
      </c>
      <c r="T1816" t="s">
        <v>89</v>
      </c>
      <c r="U1816" t="s">
        <v>2453</v>
      </c>
      <c r="V1816" t="s">
        <v>137</v>
      </c>
      <c r="W1816" t="s">
        <v>92</v>
      </c>
      <c r="X1816" t="s">
        <v>38</v>
      </c>
      <c r="Y1816" t="s">
        <v>38</v>
      </c>
      <c r="Z1816" t="s">
        <v>42</v>
      </c>
      <c r="AA1816" t="s">
        <v>38</v>
      </c>
      <c r="AB1816" t="s">
        <v>38</v>
      </c>
      <c r="AC1816" t="s">
        <v>38</v>
      </c>
      <c r="AD1816" t="s">
        <v>48</v>
      </c>
      <c r="AG1816" t="str">
        <f>IF(AD1816="United States", IFERROR(INDEX(Sheet2!$C:$C, MATCH(AE1816&amp;AF1816, Sheet2!$E:$E, 0)) &amp; ", " &amp; INDEX(Sheet2!$D:$D, MATCH(AE1816&amp;AF1816, Sheet2!$E:$E, 0)), ""), "-")</f>
        <v/>
      </c>
    </row>
    <row r="1817" spans="1:33" x14ac:dyDescent="0.25">
      <c r="A1817" t="s">
        <v>2966</v>
      </c>
      <c r="B1817" t="s">
        <v>3322</v>
      </c>
      <c r="C1817" t="s">
        <v>3125</v>
      </c>
      <c r="D1817" t="s">
        <v>3323</v>
      </c>
      <c r="E1817" t="s">
        <v>3319</v>
      </c>
      <c r="F1817">
        <v>1753</v>
      </c>
      <c r="G1817">
        <v>934</v>
      </c>
      <c r="H1817" t="s">
        <v>38</v>
      </c>
      <c r="I1817" t="s">
        <v>80</v>
      </c>
      <c r="J1817" t="s">
        <v>3126</v>
      </c>
      <c r="K1817" t="s">
        <v>38</v>
      </c>
      <c r="L1817" t="s">
        <v>38</v>
      </c>
      <c r="M1817" t="s">
        <v>38</v>
      </c>
      <c r="N1817" t="s">
        <v>38</v>
      </c>
      <c r="O1817" t="s">
        <v>41</v>
      </c>
      <c r="P1817" t="s">
        <v>42</v>
      </c>
      <c r="Q1817" t="s">
        <v>43</v>
      </c>
      <c r="R1817" t="s">
        <v>3324</v>
      </c>
      <c r="S1817" t="s">
        <v>201</v>
      </c>
      <c r="T1817" t="s">
        <v>38</v>
      </c>
      <c r="U1817" t="s">
        <v>38</v>
      </c>
      <c r="V1817" t="s">
        <v>137</v>
      </c>
      <c r="W1817" t="s">
        <v>38</v>
      </c>
      <c r="X1817" t="s">
        <v>38</v>
      </c>
      <c r="Y1817" t="s">
        <v>38</v>
      </c>
      <c r="Z1817" t="s">
        <v>42</v>
      </c>
      <c r="AA1817" t="s">
        <v>202</v>
      </c>
      <c r="AB1817" t="s">
        <v>38</v>
      </c>
      <c r="AC1817" t="s">
        <v>201</v>
      </c>
      <c r="AD1817" t="s">
        <v>48</v>
      </c>
      <c r="AG1817" t="str">
        <f>IF(AD1817="United States", IFERROR(INDEX(Sheet2!$C:$C, MATCH(AE1817&amp;AF1817, Sheet2!$E:$E, 0)) &amp; ", " &amp; INDEX(Sheet2!$D:$D, MATCH(AE1817&amp;AF1817, Sheet2!$E:$E, 0)), ""), "-")</f>
        <v/>
      </c>
    </row>
    <row r="1818" spans="1:33" x14ac:dyDescent="0.25">
      <c r="A1818" t="s">
        <v>2966</v>
      </c>
      <c r="B1818" t="s">
        <v>3325</v>
      </c>
      <c r="C1818" t="s">
        <v>3125</v>
      </c>
      <c r="D1818" t="s">
        <v>495</v>
      </c>
      <c r="E1818" t="s">
        <v>3326</v>
      </c>
      <c r="F1818">
        <v>1762</v>
      </c>
      <c r="G1818">
        <v>935</v>
      </c>
      <c r="H1818" t="s">
        <v>2975</v>
      </c>
      <c r="I1818" t="s">
        <v>80</v>
      </c>
      <c r="J1818" t="s">
        <v>3126</v>
      </c>
      <c r="K1818" t="s">
        <v>38</v>
      </c>
      <c r="L1818" t="s">
        <v>38</v>
      </c>
      <c r="M1818" t="s">
        <v>38</v>
      </c>
      <c r="N1818" t="s">
        <v>38</v>
      </c>
      <c r="O1818" t="s">
        <v>57</v>
      </c>
      <c r="P1818" t="s">
        <v>42</v>
      </c>
      <c r="Q1818" t="s">
        <v>43</v>
      </c>
      <c r="R1818" t="s">
        <v>2452</v>
      </c>
      <c r="S1818" t="s">
        <v>45</v>
      </c>
      <c r="T1818" t="s">
        <v>89</v>
      </c>
      <c r="U1818" t="s">
        <v>2453</v>
      </c>
      <c r="V1818" t="s">
        <v>137</v>
      </c>
      <c r="W1818" t="s">
        <v>92</v>
      </c>
      <c r="X1818" t="s">
        <v>38</v>
      </c>
      <c r="Y1818" t="s">
        <v>38</v>
      </c>
      <c r="Z1818" t="s">
        <v>42</v>
      </c>
      <c r="AA1818" t="s">
        <v>38</v>
      </c>
      <c r="AB1818" t="s">
        <v>38</v>
      </c>
      <c r="AC1818" t="s">
        <v>45</v>
      </c>
      <c r="AD1818" t="s">
        <v>48</v>
      </c>
      <c r="AG1818" t="str">
        <f>IF(AD1818="United States", IFERROR(INDEX(Sheet2!$C:$C, MATCH(AE1818&amp;AF1818, Sheet2!$E:$E, 0)) &amp; ", " &amp; INDEX(Sheet2!$D:$D, MATCH(AE1818&amp;AF1818, Sheet2!$E:$E, 0)), ""), "-")</f>
        <v/>
      </c>
    </row>
    <row r="1819" spans="1:33" x14ac:dyDescent="0.25">
      <c r="A1819" t="s">
        <v>2966</v>
      </c>
      <c r="B1819" t="s">
        <v>3327</v>
      </c>
      <c r="C1819" t="s">
        <v>3125</v>
      </c>
      <c r="D1819" t="s">
        <v>177</v>
      </c>
      <c r="E1819" t="s">
        <v>3326</v>
      </c>
      <c r="F1819">
        <v>1765</v>
      </c>
      <c r="G1819">
        <v>936</v>
      </c>
      <c r="H1819" t="s">
        <v>38</v>
      </c>
      <c r="I1819" t="s">
        <v>80</v>
      </c>
      <c r="J1819" t="s">
        <v>3126</v>
      </c>
      <c r="K1819" t="s">
        <v>38</v>
      </c>
      <c r="L1819" t="s">
        <v>38</v>
      </c>
      <c r="M1819" t="s">
        <v>38</v>
      </c>
      <c r="N1819" t="s">
        <v>38</v>
      </c>
      <c r="O1819" t="s">
        <v>54</v>
      </c>
      <c r="P1819" t="s">
        <v>42</v>
      </c>
      <c r="Q1819" t="s">
        <v>43</v>
      </c>
      <c r="R1819" t="s">
        <v>38</v>
      </c>
      <c r="S1819" t="s">
        <v>38</v>
      </c>
      <c r="T1819" t="s">
        <v>38</v>
      </c>
      <c r="U1819" t="s">
        <v>38</v>
      </c>
      <c r="V1819" t="s">
        <v>137</v>
      </c>
      <c r="W1819" t="s">
        <v>38</v>
      </c>
      <c r="X1819" t="s">
        <v>38</v>
      </c>
      <c r="Y1819" t="s">
        <v>38</v>
      </c>
      <c r="Z1819" t="s">
        <v>42</v>
      </c>
      <c r="AA1819" t="s">
        <v>38</v>
      </c>
      <c r="AB1819" t="s">
        <v>38</v>
      </c>
      <c r="AC1819" t="s">
        <v>38</v>
      </c>
      <c r="AD1819" t="s">
        <v>48</v>
      </c>
      <c r="AG1819" t="str">
        <f>IF(AD1819="United States", IFERROR(INDEX(Sheet2!$C:$C, MATCH(AE1819&amp;AF1819, Sheet2!$E:$E, 0)) &amp; ", " &amp; INDEX(Sheet2!$D:$D, MATCH(AE1819&amp;AF1819, Sheet2!$E:$E, 0)), ""), "-")</f>
        <v/>
      </c>
    </row>
    <row r="1820" spans="1:33" x14ac:dyDescent="0.25">
      <c r="A1820" t="s">
        <v>2966</v>
      </c>
      <c r="B1820" t="s">
        <v>3328</v>
      </c>
      <c r="C1820" t="s">
        <v>3125</v>
      </c>
      <c r="D1820" t="s">
        <v>1003</v>
      </c>
      <c r="E1820" t="s">
        <v>1387</v>
      </c>
      <c r="F1820">
        <v>1771</v>
      </c>
      <c r="G1820">
        <v>937</v>
      </c>
      <c r="H1820" t="s">
        <v>2975</v>
      </c>
      <c r="I1820" t="s">
        <v>80</v>
      </c>
      <c r="J1820" t="s">
        <v>3126</v>
      </c>
      <c r="K1820" t="s">
        <v>38</v>
      </c>
      <c r="L1820" t="s">
        <v>38</v>
      </c>
      <c r="M1820" t="s">
        <v>38</v>
      </c>
      <c r="N1820" t="s">
        <v>38</v>
      </c>
      <c r="O1820" t="s">
        <v>74</v>
      </c>
      <c r="P1820" t="s">
        <v>42</v>
      </c>
      <c r="Q1820" t="s">
        <v>43</v>
      </c>
      <c r="R1820" t="s">
        <v>2452</v>
      </c>
      <c r="S1820" t="s">
        <v>45</v>
      </c>
      <c r="T1820" t="s">
        <v>89</v>
      </c>
      <c r="U1820" t="s">
        <v>2453</v>
      </c>
      <c r="V1820" t="s">
        <v>137</v>
      </c>
      <c r="W1820" t="s">
        <v>92</v>
      </c>
      <c r="X1820" t="s">
        <v>38</v>
      </c>
      <c r="Y1820" t="s">
        <v>38</v>
      </c>
      <c r="Z1820" t="s">
        <v>42</v>
      </c>
      <c r="AA1820" t="s">
        <v>38</v>
      </c>
      <c r="AB1820" t="s">
        <v>38</v>
      </c>
      <c r="AC1820" t="s">
        <v>45</v>
      </c>
      <c r="AD1820" t="s">
        <v>48</v>
      </c>
      <c r="AG1820" t="str">
        <f>IF(AD1820="United States", IFERROR(INDEX(Sheet2!$C:$C, MATCH(AE1820&amp;AF1820, Sheet2!$E:$E, 0)) &amp; ", " &amp; INDEX(Sheet2!$D:$D, MATCH(AE1820&amp;AF1820, Sheet2!$E:$E, 0)), ""), "-")</f>
        <v/>
      </c>
    </row>
    <row r="1821" spans="1:33" x14ac:dyDescent="0.25">
      <c r="A1821" t="s">
        <v>2966</v>
      </c>
      <c r="B1821" t="s">
        <v>3329</v>
      </c>
      <c r="C1821" t="s">
        <v>3125</v>
      </c>
      <c r="D1821" t="s">
        <v>177</v>
      </c>
      <c r="E1821" t="s">
        <v>2754</v>
      </c>
      <c r="F1821">
        <v>1773</v>
      </c>
      <c r="G1821">
        <v>938</v>
      </c>
      <c r="H1821" t="s">
        <v>38</v>
      </c>
      <c r="I1821" t="s">
        <v>80</v>
      </c>
      <c r="J1821" t="s">
        <v>3126</v>
      </c>
      <c r="K1821" t="s">
        <v>38</v>
      </c>
      <c r="L1821" t="s">
        <v>38</v>
      </c>
      <c r="M1821" t="s">
        <v>38</v>
      </c>
      <c r="N1821" t="s">
        <v>38</v>
      </c>
      <c r="O1821" t="s">
        <v>54</v>
      </c>
      <c r="P1821" t="s">
        <v>42</v>
      </c>
      <c r="Q1821" t="s">
        <v>43</v>
      </c>
      <c r="R1821" t="s">
        <v>3330</v>
      </c>
      <c r="S1821" t="s">
        <v>45</v>
      </c>
      <c r="T1821" t="s">
        <v>38</v>
      </c>
      <c r="U1821" t="s">
        <v>38</v>
      </c>
      <c r="V1821" t="s">
        <v>137</v>
      </c>
      <c r="W1821" t="s">
        <v>38</v>
      </c>
      <c r="X1821" t="s">
        <v>38</v>
      </c>
      <c r="Y1821" t="s">
        <v>38</v>
      </c>
      <c r="Z1821" t="s">
        <v>42</v>
      </c>
      <c r="AA1821" t="s">
        <v>3102</v>
      </c>
      <c r="AB1821" t="s">
        <v>38</v>
      </c>
      <c r="AC1821" t="s">
        <v>45</v>
      </c>
      <c r="AD1821" t="s">
        <v>48</v>
      </c>
      <c r="AG1821" t="str">
        <f>IF(AD1821="United States", IFERROR(INDEX(Sheet2!$C:$C, MATCH(AE1821&amp;AF1821, Sheet2!$E:$E, 0)) &amp; ", " &amp; INDEX(Sheet2!$D:$D, MATCH(AE1821&amp;AF1821, Sheet2!$E:$E, 0)), ""), "-")</f>
        <v/>
      </c>
    </row>
    <row r="1822" spans="1:33" x14ac:dyDescent="0.25">
      <c r="A1822" t="s">
        <v>2966</v>
      </c>
      <c r="B1822" t="s">
        <v>3331</v>
      </c>
      <c r="C1822" t="s">
        <v>3125</v>
      </c>
      <c r="D1822" t="s">
        <v>195</v>
      </c>
      <c r="E1822" t="s">
        <v>3332</v>
      </c>
      <c r="F1822">
        <v>1755</v>
      </c>
      <c r="G1822">
        <v>939</v>
      </c>
      <c r="H1822" t="s">
        <v>2975</v>
      </c>
      <c r="I1822" t="s">
        <v>80</v>
      </c>
      <c r="J1822" t="s">
        <v>3126</v>
      </c>
      <c r="K1822" t="s">
        <v>38</v>
      </c>
      <c r="L1822" t="s">
        <v>38</v>
      </c>
      <c r="M1822" t="s">
        <v>38</v>
      </c>
      <c r="N1822" t="s">
        <v>38</v>
      </c>
      <c r="O1822" t="s">
        <v>41</v>
      </c>
      <c r="P1822" t="s">
        <v>42</v>
      </c>
      <c r="Q1822" t="s">
        <v>43</v>
      </c>
      <c r="R1822" t="s">
        <v>2452</v>
      </c>
      <c r="S1822" t="s">
        <v>45</v>
      </c>
      <c r="T1822" t="s">
        <v>89</v>
      </c>
      <c r="U1822" t="s">
        <v>2453</v>
      </c>
      <c r="V1822" t="s">
        <v>137</v>
      </c>
      <c r="W1822" t="s">
        <v>92</v>
      </c>
      <c r="X1822" t="s">
        <v>38</v>
      </c>
      <c r="Y1822" t="s">
        <v>38</v>
      </c>
      <c r="Z1822" t="s">
        <v>42</v>
      </c>
      <c r="AA1822" t="s">
        <v>1135</v>
      </c>
      <c r="AB1822" t="s">
        <v>38</v>
      </c>
      <c r="AC1822" t="s">
        <v>45</v>
      </c>
      <c r="AD1822" t="s">
        <v>48</v>
      </c>
      <c r="AG1822" t="str">
        <f>IF(AD1822="United States", IFERROR(INDEX(Sheet2!$C:$C, MATCH(AE1822&amp;AF1822, Sheet2!$E:$E, 0)) &amp; ", " &amp; INDEX(Sheet2!$D:$D, MATCH(AE1822&amp;AF1822, Sheet2!$E:$E, 0)), ""), "-")</f>
        <v/>
      </c>
    </row>
    <row r="1823" spans="1:33" x14ac:dyDescent="0.25">
      <c r="A1823" t="s">
        <v>2966</v>
      </c>
      <c r="B1823" t="s">
        <v>3333</v>
      </c>
      <c r="C1823" t="s">
        <v>3125</v>
      </c>
      <c r="D1823" t="s">
        <v>72</v>
      </c>
      <c r="E1823" t="s">
        <v>3332</v>
      </c>
      <c r="F1823">
        <v>1753</v>
      </c>
      <c r="G1823">
        <v>940</v>
      </c>
      <c r="H1823" t="s">
        <v>2975</v>
      </c>
      <c r="I1823" t="s">
        <v>80</v>
      </c>
      <c r="J1823" t="s">
        <v>3126</v>
      </c>
      <c r="K1823" t="s">
        <v>38</v>
      </c>
      <c r="L1823" t="s">
        <v>38</v>
      </c>
      <c r="M1823" t="s">
        <v>38</v>
      </c>
      <c r="N1823" t="s">
        <v>38</v>
      </c>
      <c r="O1823" t="s">
        <v>57</v>
      </c>
      <c r="P1823" t="s">
        <v>42</v>
      </c>
      <c r="Q1823" t="s">
        <v>43</v>
      </c>
      <c r="R1823" t="s">
        <v>2452</v>
      </c>
      <c r="S1823" t="s">
        <v>45</v>
      </c>
      <c r="T1823" t="s">
        <v>89</v>
      </c>
      <c r="U1823" t="s">
        <v>2453</v>
      </c>
      <c r="V1823" t="s">
        <v>137</v>
      </c>
      <c r="W1823" t="s">
        <v>92</v>
      </c>
      <c r="X1823" t="s">
        <v>38</v>
      </c>
      <c r="Y1823" t="s">
        <v>38</v>
      </c>
      <c r="Z1823" t="s">
        <v>42</v>
      </c>
      <c r="AA1823" t="s">
        <v>1135</v>
      </c>
      <c r="AB1823" t="s">
        <v>38</v>
      </c>
      <c r="AC1823" t="s">
        <v>45</v>
      </c>
      <c r="AD1823" t="s">
        <v>48</v>
      </c>
      <c r="AG1823" t="str">
        <f>IF(AD1823="United States", IFERROR(INDEX(Sheet2!$C:$C, MATCH(AE1823&amp;AF1823, Sheet2!$E:$E, 0)) &amp; ", " &amp; INDEX(Sheet2!$D:$D, MATCH(AE1823&amp;AF1823, Sheet2!$E:$E, 0)), ""), "-")</f>
        <v/>
      </c>
    </row>
    <row r="1824" spans="1:33" x14ac:dyDescent="0.25">
      <c r="A1824" t="s">
        <v>2966</v>
      </c>
      <c r="B1824" t="s">
        <v>3334</v>
      </c>
      <c r="C1824" t="s">
        <v>3125</v>
      </c>
      <c r="D1824" t="s">
        <v>3335</v>
      </c>
      <c r="E1824" t="s">
        <v>3332</v>
      </c>
      <c r="F1824">
        <v>1781</v>
      </c>
      <c r="G1824">
        <v>941</v>
      </c>
      <c r="H1824" t="s">
        <v>38</v>
      </c>
      <c r="I1824" t="s">
        <v>80</v>
      </c>
      <c r="J1824" t="s">
        <v>3126</v>
      </c>
      <c r="K1824" t="s">
        <v>38</v>
      </c>
      <c r="L1824" t="s">
        <v>38</v>
      </c>
      <c r="M1824" t="s">
        <v>38</v>
      </c>
      <c r="N1824" t="s">
        <v>38</v>
      </c>
      <c r="O1824" t="s">
        <v>54</v>
      </c>
      <c r="P1824" t="s">
        <v>42</v>
      </c>
      <c r="Q1824" t="s">
        <v>43</v>
      </c>
      <c r="R1824" t="s">
        <v>38</v>
      </c>
      <c r="S1824" t="s">
        <v>38</v>
      </c>
      <c r="T1824" t="s">
        <v>38</v>
      </c>
      <c r="U1824" t="s">
        <v>38</v>
      </c>
      <c r="V1824" t="s">
        <v>137</v>
      </c>
      <c r="W1824" t="s">
        <v>38</v>
      </c>
      <c r="X1824" t="s">
        <v>38</v>
      </c>
      <c r="Y1824" t="s">
        <v>38</v>
      </c>
      <c r="Z1824" t="s">
        <v>42</v>
      </c>
      <c r="AA1824" t="s">
        <v>38</v>
      </c>
      <c r="AB1824" t="s">
        <v>38</v>
      </c>
      <c r="AC1824" t="s">
        <v>38</v>
      </c>
      <c r="AD1824" t="s">
        <v>48</v>
      </c>
      <c r="AG1824" t="str">
        <f>IF(AD1824="United States", IFERROR(INDEX(Sheet2!$C:$C, MATCH(AE1824&amp;AF1824, Sheet2!$E:$E, 0)) &amp; ", " &amp; INDEX(Sheet2!$D:$D, MATCH(AE1824&amp;AF1824, Sheet2!$E:$E, 0)), ""), "-")</f>
        <v/>
      </c>
    </row>
    <row r="1825" spans="1:33" x14ac:dyDescent="0.25">
      <c r="A1825" t="s">
        <v>2966</v>
      </c>
      <c r="B1825" t="s">
        <v>3336</v>
      </c>
      <c r="C1825" t="s">
        <v>3125</v>
      </c>
      <c r="D1825" t="s">
        <v>463</v>
      </c>
      <c r="E1825" t="s">
        <v>1327</v>
      </c>
      <c r="F1825">
        <v>1753</v>
      </c>
      <c r="G1825">
        <v>942</v>
      </c>
      <c r="H1825" t="s">
        <v>38</v>
      </c>
      <c r="I1825" t="s">
        <v>80</v>
      </c>
      <c r="J1825" t="s">
        <v>3126</v>
      </c>
      <c r="K1825" t="s">
        <v>38</v>
      </c>
      <c r="L1825" t="s">
        <v>38</v>
      </c>
      <c r="M1825" t="s">
        <v>38</v>
      </c>
      <c r="N1825" t="s">
        <v>38</v>
      </c>
      <c r="O1825" t="s">
        <v>41</v>
      </c>
      <c r="P1825" t="s">
        <v>42</v>
      </c>
      <c r="Q1825" t="s">
        <v>43</v>
      </c>
      <c r="R1825" t="s">
        <v>1254</v>
      </c>
      <c r="S1825" t="s">
        <v>45</v>
      </c>
      <c r="T1825" t="s">
        <v>38</v>
      </c>
      <c r="U1825" t="s">
        <v>38</v>
      </c>
      <c r="V1825" t="s">
        <v>137</v>
      </c>
      <c r="W1825" t="s">
        <v>38</v>
      </c>
      <c r="X1825" t="s">
        <v>38</v>
      </c>
      <c r="Y1825" t="s">
        <v>38</v>
      </c>
      <c r="Z1825" t="s">
        <v>42</v>
      </c>
      <c r="AA1825" t="s">
        <v>1254</v>
      </c>
      <c r="AB1825" t="s">
        <v>38</v>
      </c>
      <c r="AC1825" t="s">
        <v>45</v>
      </c>
      <c r="AD1825" t="s">
        <v>48</v>
      </c>
      <c r="AG1825" t="str">
        <f>IF(AD1825="United States", IFERROR(INDEX(Sheet2!$C:$C, MATCH(AE1825&amp;AF1825, Sheet2!$E:$E, 0)) &amp; ", " &amp; INDEX(Sheet2!$D:$D, MATCH(AE1825&amp;AF1825, Sheet2!$E:$E, 0)), ""), "-")</f>
        <v/>
      </c>
    </row>
    <row r="1826" spans="1:33" x14ac:dyDescent="0.25">
      <c r="A1826" t="s">
        <v>2966</v>
      </c>
      <c r="B1826" t="s">
        <v>3337</v>
      </c>
      <c r="C1826" t="s">
        <v>3125</v>
      </c>
      <c r="D1826" t="s">
        <v>245</v>
      </c>
      <c r="E1826" t="s">
        <v>1327</v>
      </c>
      <c r="F1826">
        <v>1757</v>
      </c>
      <c r="G1826">
        <v>943</v>
      </c>
      <c r="H1826" t="s">
        <v>38</v>
      </c>
      <c r="I1826" t="s">
        <v>80</v>
      </c>
      <c r="J1826" t="s">
        <v>3126</v>
      </c>
      <c r="K1826" t="s">
        <v>38</v>
      </c>
      <c r="L1826" t="s">
        <v>38</v>
      </c>
      <c r="M1826" t="s">
        <v>38</v>
      </c>
      <c r="N1826" t="s">
        <v>38</v>
      </c>
      <c r="O1826" t="s">
        <v>57</v>
      </c>
      <c r="P1826" t="s">
        <v>42</v>
      </c>
      <c r="Q1826" t="s">
        <v>43</v>
      </c>
      <c r="R1826" t="s">
        <v>3338</v>
      </c>
      <c r="S1826" t="s">
        <v>45</v>
      </c>
      <c r="T1826" t="s">
        <v>38</v>
      </c>
      <c r="U1826" t="s">
        <v>38</v>
      </c>
      <c r="V1826" t="s">
        <v>137</v>
      </c>
      <c r="W1826" t="s">
        <v>38</v>
      </c>
      <c r="X1826" t="s">
        <v>38</v>
      </c>
      <c r="Y1826" t="s">
        <v>38</v>
      </c>
      <c r="Z1826" t="s">
        <v>42</v>
      </c>
      <c r="AA1826" t="s">
        <v>1135</v>
      </c>
      <c r="AB1826" t="s">
        <v>38</v>
      </c>
      <c r="AC1826" t="s">
        <v>45</v>
      </c>
      <c r="AD1826" t="s">
        <v>48</v>
      </c>
      <c r="AG1826" t="str">
        <f>IF(AD1826="United States", IFERROR(INDEX(Sheet2!$C:$C, MATCH(AE1826&amp;AF1826, Sheet2!$E:$E, 0)) &amp; ", " &amp; INDEX(Sheet2!$D:$D, MATCH(AE1826&amp;AF1826, Sheet2!$E:$E, 0)), ""), "-")</f>
        <v/>
      </c>
    </row>
    <row r="1827" spans="1:33" x14ac:dyDescent="0.25">
      <c r="A1827" t="s">
        <v>2966</v>
      </c>
      <c r="B1827" t="s">
        <v>3339</v>
      </c>
      <c r="C1827" t="s">
        <v>3125</v>
      </c>
      <c r="D1827" t="s">
        <v>676</v>
      </c>
      <c r="E1827" t="s">
        <v>3317</v>
      </c>
      <c r="F1827">
        <v>1756</v>
      </c>
      <c r="G1827">
        <v>944</v>
      </c>
      <c r="H1827" t="s">
        <v>38</v>
      </c>
      <c r="I1827" t="s">
        <v>80</v>
      </c>
      <c r="J1827" t="s">
        <v>3126</v>
      </c>
      <c r="K1827" t="s">
        <v>38</v>
      </c>
      <c r="L1827" t="s">
        <v>38</v>
      </c>
      <c r="M1827" t="s">
        <v>38</v>
      </c>
      <c r="N1827" t="s">
        <v>38</v>
      </c>
      <c r="O1827" t="s">
        <v>57</v>
      </c>
      <c r="P1827" t="s">
        <v>42</v>
      </c>
      <c r="Q1827" t="s">
        <v>43</v>
      </c>
      <c r="R1827" t="s">
        <v>38</v>
      </c>
      <c r="S1827" t="s">
        <v>45</v>
      </c>
      <c r="T1827" t="s">
        <v>38</v>
      </c>
      <c r="U1827" t="s">
        <v>38</v>
      </c>
      <c r="V1827" t="s">
        <v>137</v>
      </c>
      <c r="W1827" t="s">
        <v>38</v>
      </c>
      <c r="X1827" t="s">
        <v>38</v>
      </c>
      <c r="Y1827" t="s">
        <v>38</v>
      </c>
      <c r="Z1827" t="s">
        <v>42</v>
      </c>
      <c r="AA1827" t="s">
        <v>38</v>
      </c>
      <c r="AB1827" t="s">
        <v>38</v>
      </c>
      <c r="AC1827" t="s">
        <v>45</v>
      </c>
      <c r="AD1827" t="s">
        <v>48</v>
      </c>
      <c r="AG1827" t="str">
        <f>IF(AD1827="United States", IFERROR(INDEX(Sheet2!$C:$C, MATCH(AE1827&amp;AF1827, Sheet2!$E:$E, 0)) &amp; ", " &amp; INDEX(Sheet2!$D:$D, MATCH(AE1827&amp;AF1827, Sheet2!$E:$E, 0)), ""), "-")</f>
        <v/>
      </c>
    </row>
    <row r="1828" spans="1:33" x14ac:dyDescent="0.25">
      <c r="A1828" t="s">
        <v>2966</v>
      </c>
      <c r="B1828" t="s">
        <v>3297</v>
      </c>
      <c r="C1828" t="s">
        <v>3125</v>
      </c>
      <c r="D1828" t="s">
        <v>190</v>
      </c>
      <c r="E1828" t="s">
        <v>3298</v>
      </c>
      <c r="F1828">
        <v>1781</v>
      </c>
      <c r="G1828">
        <v>945</v>
      </c>
      <c r="H1828" t="s">
        <v>2975</v>
      </c>
      <c r="I1828" t="s">
        <v>80</v>
      </c>
      <c r="J1828" t="s">
        <v>3126</v>
      </c>
      <c r="K1828" t="s">
        <v>38</v>
      </c>
      <c r="L1828" t="s">
        <v>38</v>
      </c>
      <c r="M1828" t="s">
        <v>38</v>
      </c>
      <c r="N1828" t="s">
        <v>38</v>
      </c>
      <c r="O1828" t="s">
        <v>54</v>
      </c>
      <c r="P1828" t="s">
        <v>42</v>
      </c>
      <c r="Q1828" t="s">
        <v>43</v>
      </c>
      <c r="R1828" t="s">
        <v>2452</v>
      </c>
      <c r="S1828" t="s">
        <v>38</v>
      </c>
      <c r="T1828" t="s">
        <v>89</v>
      </c>
      <c r="U1828" t="s">
        <v>2453</v>
      </c>
      <c r="V1828" t="s">
        <v>137</v>
      </c>
      <c r="W1828" t="s">
        <v>92</v>
      </c>
      <c r="X1828" t="s">
        <v>38</v>
      </c>
      <c r="Y1828" t="s">
        <v>38</v>
      </c>
      <c r="Z1828" t="s">
        <v>42</v>
      </c>
      <c r="AA1828" t="s">
        <v>38</v>
      </c>
      <c r="AB1828" t="s">
        <v>38</v>
      </c>
      <c r="AC1828" t="s">
        <v>38</v>
      </c>
      <c r="AD1828" t="s">
        <v>48</v>
      </c>
      <c r="AG1828" t="str">
        <f>IF(AD1828="United States", IFERROR(INDEX(Sheet2!$C:$C, MATCH(AE1828&amp;AF1828, Sheet2!$E:$E, 0)) &amp; ", " &amp; INDEX(Sheet2!$D:$D, MATCH(AE1828&amp;AF1828, Sheet2!$E:$E, 0)), ""), "-")</f>
        <v/>
      </c>
    </row>
    <row r="1829" spans="1:33" x14ac:dyDescent="0.25">
      <c r="A1829" t="s">
        <v>2966</v>
      </c>
      <c r="B1829" t="s">
        <v>3316</v>
      </c>
      <c r="C1829" t="s">
        <v>3125</v>
      </c>
      <c r="D1829" t="s">
        <v>834</v>
      </c>
      <c r="E1829" t="s">
        <v>1141</v>
      </c>
      <c r="F1829">
        <v>1772</v>
      </c>
      <c r="G1829">
        <v>946</v>
      </c>
      <c r="H1829" t="s">
        <v>38</v>
      </c>
      <c r="I1829" t="s">
        <v>80</v>
      </c>
      <c r="J1829" t="s">
        <v>3126</v>
      </c>
      <c r="K1829" t="s">
        <v>38</v>
      </c>
      <c r="L1829" t="s">
        <v>38</v>
      </c>
      <c r="M1829" t="s">
        <v>676</v>
      </c>
      <c r="N1829" t="s">
        <v>3317</v>
      </c>
      <c r="O1829" t="s">
        <v>74</v>
      </c>
      <c r="P1829" t="s">
        <v>42</v>
      </c>
      <c r="Q1829" t="s">
        <v>43</v>
      </c>
      <c r="R1829" t="s">
        <v>38</v>
      </c>
      <c r="S1829" t="s">
        <v>45</v>
      </c>
      <c r="T1829" t="s">
        <v>38</v>
      </c>
      <c r="U1829" t="s">
        <v>38</v>
      </c>
      <c r="V1829" t="s">
        <v>137</v>
      </c>
      <c r="W1829" t="s">
        <v>38</v>
      </c>
      <c r="X1829" t="s">
        <v>38</v>
      </c>
      <c r="Y1829" t="s">
        <v>38</v>
      </c>
      <c r="Z1829" t="s">
        <v>42</v>
      </c>
      <c r="AA1829" t="s">
        <v>38</v>
      </c>
      <c r="AB1829" t="s">
        <v>38</v>
      </c>
      <c r="AC1829" t="s">
        <v>45</v>
      </c>
      <c r="AD1829" t="s">
        <v>48</v>
      </c>
      <c r="AG1829" t="str">
        <f>IF(AD1829="United States", IFERROR(INDEX(Sheet2!$C:$C, MATCH(AE1829&amp;AF1829, Sheet2!$E:$E, 0)) &amp; ", " &amp; INDEX(Sheet2!$D:$D, MATCH(AE1829&amp;AF1829, Sheet2!$E:$E, 0)), ""), "-")</f>
        <v/>
      </c>
    </row>
    <row r="1830" spans="1:33" x14ac:dyDescent="0.25">
      <c r="A1830" t="s">
        <v>2966</v>
      </c>
      <c r="B1830" t="s">
        <v>3296</v>
      </c>
      <c r="C1830" t="s">
        <v>3125</v>
      </c>
      <c r="D1830" t="s">
        <v>132</v>
      </c>
      <c r="E1830" t="s">
        <v>3241</v>
      </c>
      <c r="F1830">
        <v>1758</v>
      </c>
      <c r="G1830">
        <v>947</v>
      </c>
      <c r="H1830" t="s">
        <v>2975</v>
      </c>
      <c r="I1830" t="s">
        <v>80</v>
      </c>
      <c r="J1830" t="s">
        <v>3126</v>
      </c>
      <c r="K1830" t="s">
        <v>38</v>
      </c>
      <c r="L1830" t="s">
        <v>38</v>
      </c>
      <c r="M1830" t="s">
        <v>38</v>
      </c>
      <c r="N1830" t="s">
        <v>38</v>
      </c>
      <c r="O1830" t="s">
        <v>41</v>
      </c>
      <c r="P1830" t="s">
        <v>42</v>
      </c>
      <c r="Q1830" t="s">
        <v>43</v>
      </c>
      <c r="R1830" t="s">
        <v>2452</v>
      </c>
      <c r="S1830" t="s">
        <v>45</v>
      </c>
      <c r="T1830" t="s">
        <v>89</v>
      </c>
      <c r="U1830" t="s">
        <v>2453</v>
      </c>
      <c r="V1830" t="s">
        <v>137</v>
      </c>
      <c r="W1830" t="s">
        <v>92</v>
      </c>
      <c r="X1830" t="s">
        <v>38</v>
      </c>
      <c r="Y1830" t="s">
        <v>38</v>
      </c>
      <c r="Z1830" t="s">
        <v>42</v>
      </c>
      <c r="AA1830" t="s">
        <v>1135</v>
      </c>
      <c r="AB1830" t="s">
        <v>38</v>
      </c>
      <c r="AC1830" t="s">
        <v>45</v>
      </c>
      <c r="AD1830" t="s">
        <v>48</v>
      </c>
      <c r="AG1830" t="str">
        <f>IF(AD1830="United States", IFERROR(INDEX(Sheet2!$C:$C, MATCH(AE1830&amp;AF1830, Sheet2!$E:$E, 0)) &amp; ", " &amp; INDEX(Sheet2!$D:$D, MATCH(AE1830&amp;AF1830, Sheet2!$E:$E, 0)), ""), "-")</f>
        <v/>
      </c>
    </row>
    <row r="1831" spans="1:33" x14ac:dyDescent="0.25">
      <c r="A1831" t="s">
        <v>2966</v>
      </c>
      <c r="B1831" t="s">
        <v>3261</v>
      </c>
      <c r="C1831" t="s">
        <v>3125</v>
      </c>
      <c r="D1831" t="s">
        <v>3262</v>
      </c>
      <c r="E1831" t="s">
        <v>3241</v>
      </c>
      <c r="F1831">
        <v>1759</v>
      </c>
      <c r="G1831">
        <v>948</v>
      </c>
      <c r="H1831" t="s">
        <v>38</v>
      </c>
      <c r="I1831" t="s">
        <v>80</v>
      </c>
      <c r="J1831" t="s">
        <v>3126</v>
      </c>
      <c r="K1831" t="s">
        <v>38</v>
      </c>
      <c r="L1831" t="s">
        <v>38</v>
      </c>
      <c r="M1831" t="s">
        <v>38</v>
      </c>
      <c r="N1831" t="s">
        <v>38</v>
      </c>
      <c r="O1831" t="s">
        <v>57</v>
      </c>
      <c r="P1831" t="s">
        <v>42</v>
      </c>
      <c r="Q1831" t="s">
        <v>43</v>
      </c>
      <c r="R1831" t="s">
        <v>38</v>
      </c>
      <c r="S1831" t="s">
        <v>38</v>
      </c>
      <c r="T1831" t="s">
        <v>38</v>
      </c>
      <c r="U1831" t="s">
        <v>38</v>
      </c>
      <c r="V1831" t="s">
        <v>137</v>
      </c>
      <c r="W1831" t="s">
        <v>38</v>
      </c>
      <c r="X1831" t="s">
        <v>38</v>
      </c>
      <c r="Y1831" t="s">
        <v>38</v>
      </c>
      <c r="Z1831" t="s">
        <v>42</v>
      </c>
      <c r="AA1831" t="s">
        <v>38</v>
      </c>
      <c r="AB1831" t="s">
        <v>38</v>
      </c>
      <c r="AC1831" t="s">
        <v>3263</v>
      </c>
      <c r="AD1831" t="s">
        <v>48</v>
      </c>
      <c r="AG1831" t="str">
        <f>IF(AD1831="United States", IFERROR(INDEX(Sheet2!$C:$C, MATCH(AE1831&amp;AF1831, Sheet2!$E:$E, 0)) &amp; ", " &amp; INDEX(Sheet2!$D:$D, MATCH(AE1831&amp;AF1831, Sheet2!$E:$E, 0)), ""), "-")</f>
        <v/>
      </c>
    </row>
    <row r="1832" spans="1:33" x14ac:dyDescent="0.25">
      <c r="A1832" t="s">
        <v>2966</v>
      </c>
      <c r="B1832" t="s">
        <v>3240</v>
      </c>
      <c r="C1832" t="s">
        <v>3125</v>
      </c>
      <c r="D1832" t="s">
        <v>140</v>
      </c>
      <c r="E1832" t="s">
        <v>3241</v>
      </c>
      <c r="F1832">
        <v>1765</v>
      </c>
      <c r="G1832">
        <v>949</v>
      </c>
      <c r="H1832" t="s">
        <v>2975</v>
      </c>
      <c r="I1832" t="s">
        <v>80</v>
      </c>
      <c r="J1832" t="s">
        <v>3126</v>
      </c>
      <c r="K1832" t="s">
        <v>38</v>
      </c>
      <c r="L1832" t="s">
        <v>38</v>
      </c>
      <c r="M1832" t="s">
        <v>38</v>
      </c>
      <c r="N1832" t="s">
        <v>38</v>
      </c>
      <c r="O1832" t="s">
        <v>54</v>
      </c>
      <c r="P1832" t="s">
        <v>42</v>
      </c>
      <c r="Q1832" t="s">
        <v>43</v>
      </c>
      <c r="R1832" t="s">
        <v>2452</v>
      </c>
      <c r="S1832" t="s">
        <v>38</v>
      </c>
      <c r="T1832" t="s">
        <v>89</v>
      </c>
      <c r="U1832" t="s">
        <v>2453</v>
      </c>
      <c r="V1832" t="s">
        <v>137</v>
      </c>
      <c r="W1832" t="s">
        <v>92</v>
      </c>
      <c r="X1832" t="s">
        <v>38</v>
      </c>
      <c r="Y1832" t="s">
        <v>38</v>
      </c>
      <c r="Z1832" t="s">
        <v>42</v>
      </c>
      <c r="AA1832" t="s">
        <v>38</v>
      </c>
      <c r="AB1832" t="s">
        <v>38</v>
      </c>
      <c r="AC1832" t="s">
        <v>38</v>
      </c>
      <c r="AD1832" t="s">
        <v>48</v>
      </c>
      <c r="AG1832" t="str">
        <f>IF(AD1832="United States", IFERROR(INDEX(Sheet2!$C:$C, MATCH(AE1832&amp;AF1832, Sheet2!$E:$E, 0)) &amp; ", " &amp; INDEX(Sheet2!$D:$D, MATCH(AE1832&amp;AF1832, Sheet2!$E:$E, 0)), ""), "-")</f>
        <v/>
      </c>
    </row>
    <row r="1833" spans="1:33" x14ac:dyDescent="0.25">
      <c r="A1833" t="s">
        <v>2966</v>
      </c>
      <c r="B1833" t="s">
        <v>3242</v>
      </c>
      <c r="C1833" t="s">
        <v>3125</v>
      </c>
      <c r="D1833" t="s">
        <v>1230</v>
      </c>
      <c r="E1833" t="s">
        <v>3241</v>
      </c>
      <c r="F1833">
        <v>1777</v>
      </c>
      <c r="G1833">
        <v>950</v>
      </c>
      <c r="H1833" t="s">
        <v>2977</v>
      </c>
      <c r="I1833" t="s">
        <v>80</v>
      </c>
      <c r="J1833" t="s">
        <v>3126</v>
      </c>
      <c r="K1833" t="s">
        <v>38</v>
      </c>
      <c r="L1833" t="s">
        <v>38</v>
      </c>
      <c r="M1833" t="s">
        <v>38</v>
      </c>
      <c r="N1833" t="s">
        <v>38</v>
      </c>
      <c r="O1833" t="s">
        <v>74</v>
      </c>
      <c r="P1833" t="s">
        <v>42</v>
      </c>
      <c r="Q1833" t="s">
        <v>43</v>
      </c>
      <c r="R1833" t="s">
        <v>2452</v>
      </c>
      <c r="S1833" t="s">
        <v>45</v>
      </c>
      <c r="T1833" t="s">
        <v>89</v>
      </c>
      <c r="U1833" t="s">
        <v>2453</v>
      </c>
      <c r="V1833" t="s">
        <v>137</v>
      </c>
      <c r="W1833" t="s">
        <v>92</v>
      </c>
      <c r="X1833" t="s">
        <v>38</v>
      </c>
      <c r="Y1833" t="s">
        <v>38</v>
      </c>
      <c r="Z1833" t="s">
        <v>42</v>
      </c>
      <c r="AA1833" t="s">
        <v>1135</v>
      </c>
      <c r="AB1833" t="s">
        <v>38</v>
      </c>
      <c r="AC1833" t="s">
        <v>45</v>
      </c>
      <c r="AD1833" t="s">
        <v>48</v>
      </c>
      <c r="AG1833" t="str">
        <f>IF(AD1833="United States", IFERROR(INDEX(Sheet2!$C:$C, MATCH(AE1833&amp;AF1833, Sheet2!$E:$E, 0)) &amp; ", " &amp; INDEX(Sheet2!$D:$D, MATCH(AE1833&amp;AF1833, Sheet2!$E:$E, 0)), ""), "-")</f>
        <v/>
      </c>
    </row>
    <row r="1834" spans="1:33" x14ac:dyDescent="0.25">
      <c r="A1834" t="s">
        <v>2966</v>
      </c>
      <c r="B1834" t="s">
        <v>3243</v>
      </c>
      <c r="C1834" t="s">
        <v>3125</v>
      </c>
      <c r="D1834" t="s">
        <v>50</v>
      </c>
      <c r="E1834" t="s">
        <v>1496</v>
      </c>
      <c r="F1834">
        <v>1747</v>
      </c>
      <c r="G1834">
        <v>951</v>
      </c>
      <c r="H1834" t="s">
        <v>38</v>
      </c>
      <c r="I1834" t="s">
        <v>80</v>
      </c>
      <c r="J1834" t="s">
        <v>3126</v>
      </c>
      <c r="K1834" t="s">
        <v>38</v>
      </c>
      <c r="L1834" t="s">
        <v>38</v>
      </c>
      <c r="M1834" t="s">
        <v>38</v>
      </c>
      <c r="N1834" t="s">
        <v>38</v>
      </c>
      <c r="O1834" t="s">
        <v>57</v>
      </c>
      <c r="P1834" t="s">
        <v>42</v>
      </c>
      <c r="Q1834" t="s">
        <v>43</v>
      </c>
      <c r="R1834" t="s">
        <v>3244</v>
      </c>
      <c r="S1834" t="s">
        <v>45</v>
      </c>
      <c r="T1834" t="s">
        <v>38</v>
      </c>
      <c r="U1834" t="s">
        <v>38</v>
      </c>
      <c r="V1834" t="s">
        <v>137</v>
      </c>
      <c r="W1834" t="s">
        <v>38</v>
      </c>
      <c r="X1834" t="s">
        <v>38</v>
      </c>
      <c r="Y1834" t="s">
        <v>38</v>
      </c>
      <c r="Z1834" t="s">
        <v>42</v>
      </c>
      <c r="AA1834" t="s">
        <v>1135</v>
      </c>
      <c r="AB1834" t="s">
        <v>38</v>
      </c>
      <c r="AC1834" t="s">
        <v>45</v>
      </c>
      <c r="AD1834" t="s">
        <v>48</v>
      </c>
      <c r="AG1834" t="str">
        <f>IF(AD1834="United States", IFERROR(INDEX(Sheet2!$C:$C, MATCH(AE1834&amp;AF1834, Sheet2!$E:$E, 0)) &amp; ", " &amp; INDEX(Sheet2!$D:$D, MATCH(AE1834&amp;AF1834, Sheet2!$E:$E, 0)), ""), "-")</f>
        <v/>
      </c>
    </row>
    <row r="1835" spans="1:33" x14ac:dyDescent="0.25">
      <c r="A1835" t="s">
        <v>2966</v>
      </c>
      <c r="B1835" t="s">
        <v>3245</v>
      </c>
      <c r="C1835" t="s">
        <v>3125</v>
      </c>
      <c r="D1835" t="s">
        <v>210</v>
      </c>
      <c r="E1835" t="s">
        <v>1496</v>
      </c>
      <c r="F1835">
        <v>1770</v>
      </c>
      <c r="G1835">
        <v>952</v>
      </c>
      <c r="H1835" t="s">
        <v>2977</v>
      </c>
      <c r="I1835" t="s">
        <v>80</v>
      </c>
      <c r="J1835" t="s">
        <v>3126</v>
      </c>
      <c r="K1835" t="s">
        <v>38</v>
      </c>
      <c r="L1835" t="s">
        <v>38</v>
      </c>
      <c r="M1835" t="s">
        <v>38</v>
      </c>
      <c r="N1835" t="s">
        <v>38</v>
      </c>
      <c r="O1835" t="s">
        <v>54</v>
      </c>
      <c r="P1835" t="s">
        <v>42</v>
      </c>
      <c r="Q1835" t="s">
        <v>43</v>
      </c>
      <c r="R1835" t="s">
        <v>2452</v>
      </c>
      <c r="S1835" t="s">
        <v>45</v>
      </c>
      <c r="T1835" t="s">
        <v>89</v>
      </c>
      <c r="U1835" t="s">
        <v>2453</v>
      </c>
      <c r="V1835" t="s">
        <v>137</v>
      </c>
      <c r="W1835" t="s">
        <v>92</v>
      </c>
      <c r="X1835" t="s">
        <v>38</v>
      </c>
      <c r="Y1835" t="s">
        <v>38</v>
      </c>
      <c r="Z1835" t="s">
        <v>42</v>
      </c>
      <c r="AA1835" t="s">
        <v>1135</v>
      </c>
      <c r="AB1835" t="s">
        <v>38</v>
      </c>
      <c r="AC1835" t="s">
        <v>45</v>
      </c>
      <c r="AD1835" t="s">
        <v>48</v>
      </c>
      <c r="AG1835" t="str">
        <f>IF(AD1835="United States", IFERROR(INDEX(Sheet2!$C:$C, MATCH(AE1835&amp;AF1835, Sheet2!$E:$E, 0)) &amp; ", " &amp; INDEX(Sheet2!$D:$D, MATCH(AE1835&amp;AF1835, Sheet2!$E:$E, 0)), ""), "-")</f>
        <v/>
      </c>
    </row>
    <row r="1836" spans="1:33" x14ac:dyDescent="0.25">
      <c r="A1836" t="s">
        <v>2966</v>
      </c>
      <c r="B1836" t="s">
        <v>3246</v>
      </c>
      <c r="C1836" t="s">
        <v>3125</v>
      </c>
      <c r="D1836" t="s">
        <v>230</v>
      </c>
      <c r="E1836" t="s">
        <v>1496</v>
      </c>
      <c r="F1836">
        <v>1773</v>
      </c>
      <c r="G1836">
        <v>953</v>
      </c>
      <c r="H1836" t="s">
        <v>2975</v>
      </c>
      <c r="I1836" t="s">
        <v>80</v>
      </c>
      <c r="J1836" t="s">
        <v>3126</v>
      </c>
      <c r="K1836" t="s">
        <v>38</v>
      </c>
      <c r="L1836" t="s">
        <v>38</v>
      </c>
      <c r="M1836" t="s">
        <v>38</v>
      </c>
      <c r="N1836" t="s">
        <v>38</v>
      </c>
      <c r="O1836" t="s">
        <v>54</v>
      </c>
      <c r="P1836" t="s">
        <v>42</v>
      </c>
      <c r="Q1836" t="s">
        <v>43</v>
      </c>
      <c r="R1836" t="s">
        <v>2452</v>
      </c>
      <c r="S1836" t="s">
        <v>45</v>
      </c>
      <c r="T1836" t="s">
        <v>89</v>
      </c>
      <c r="U1836" t="s">
        <v>2453</v>
      </c>
      <c r="V1836" t="s">
        <v>137</v>
      </c>
      <c r="W1836" t="s">
        <v>92</v>
      </c>
      <c r="X1836" t="s">
        <v>38</v>
      </c>
      <c r="Y1836" t="s">
        <v>38</v>
      </c>
      <c r="Z1836" t="s">
        <v>42</v>
      </c>
      <c r="AA1836" t="s">
        <v>1135</v>
      </c>
      <c r="AB1836" t="s">
        <v>38</v>
      </c>
      <c r="AC1836" t="s">
        <v>45</v>
      </c>
      <c r="AD1836" t="s">
        <v>48</v>
      </c>
      <c r="AG1836" t="str">
        <f>IF(AD1836="United States", IFERROR(INDEX(Sheet2!$C:$C, MATCH(AE1836&amp;AF1836, Sheet2!$E:$E, 0)) &amp; ", " &amp; INDEX(Sheet2!$D:$D, MATCH(AE1836&amp;AF1836, Sheet2!$E:$E, 0)), ""), "-")</f>
        <v/>
      </c>
    </row>
    <row r="1837" spans="1:33" x14ac:dyDescent="0.25">
      <c r="A1837" t="s">
        <v>2966</v>
      </c>
      <c r="B1837" t="s">
        <v>3247</v>
      </c>
      <c r="C1837" t="s">
        <v>3125</v>
      </c>
      <c r="D1837" t="s">
        <v>1003</v>
      </c>
      <c r="E1837" t="s">
        <v>1496</v>
      </c>
      <c r="F1837">
        <v>1768</v>
      </c>
      <c r="G1837">
        <v>954</v>
      </c>
      <c r="H1837" t="s">
        <v>2975</v>
      </c>
      <c r="I1837" t="s">
        <v>80</v>
      </c>
      <c r="J1837" t="s">
        <v>3126</v>
      </c>
      <c r="K1837" t="s">
        <v>38</v>
      </c>
      <c r="L1837" t="s">
        <v>38</v>
      </c>
      <c r="M1837" t="s">
        <v>38</v>
      </c>
      <c r="N1837" t="s">
        <v>38</v>
      </c>
      <c r="O1837" t="s">
        <v>74</v>
      </c>
      <c r="P1837" t="s">
        <v>42</v>
      </c>
      <c r="Q1837" t="s">
        <v>43</v>
      </c>
      <c r="R1837" t="s">
        <v>2452</v>
      </c>
      <c r="S1837" t="s">
        <v>45</v>
      </c>
      <c r="T1837" t="s">
        <v>89</v>
      </c>
      <c r="U1837" t="s">
        <v>2453</v>
      </c>
      <c r="V1837" t="s">
        <v>137</v>
      </c>
      <c r="W1837" t="s">
        <v>92</v>
      </c>
      <c r="X1837" t="s">
        <v>38</v>
      </c>
      <c r="Y1837" t="s">
        <v>38</v>
      </c>
      <c r="Z1837" t="s">
        <v>42</v>
      </c>
      <c r="AA1837" t="s">
        <v>1135</v>
      </c>
      <c r="AB1837" t="s">
        <v>38</v>
      </c>
      <c r="AC1837" t="s">
        <v>45</v>
      </c>
      <c r="AD1837" t="s">
        <v>48</v>
      </c>
      <c r="AG1837" t="str">
        <f>IF(AD1837="United States", IFERROR(INDEX(Sheet2!$C:$C, MATCH(AE1837&amp;AF1837, Sheet2!$E:$E, 0)) &amp; ", " &amp; INDEX(Sheet2!$D:$D, MATCH(AE1837&amp;AF1837, Sheet2!$E:$E, 0)), ""), "-")</f>
        <v/>
      </c>
    </row>
    <row r="1838" spans="1:33" x14ac:dyDescent="0.25">
      <c r="A1838" t="s">
        <v>2966</v>
      </c>
      <c r="B1838" t="s">
        <v>3449</v>
      </c>
      <c r="C1838" t="s">
        <v>2968</v>
      </c>
      <c r="D1838" t="s">
        <v>473</v>
      </c>
      <c r="E1838" t="s">
        <v>368</v>
      </c>
      <c r="F1838">
        <v>1752</v>
      </c>
      <c r="G1838">
        <v>1658</v>
      </c>
      <c r="H1838" t="s">
        <v>2975</v>
      </c>
      <c r="I1838" t="s">
        <v>80</v>
      </c>
      <c r="J1838" t="s">
        <v>2969</v>
      </c>
      <c r="K1838" t="s">
        <v>38</v>
      </c>
      <c r="L1838" t="s">
        <v>38</v>
      </c>
      <c r="M1838" t="s">
        <v>38</v>
      </c>
      <c r="N1838" t="s">
        <v>38</v>
      </c>
      <c r="O1838" t="s">
        <v>41</v>
      </c>
      <c r="P1838" t="s">
        <v>42</v>
      </c>
      <c r="Q1838" t="s">
        <v>43</v>
      </c>
      <c r="R1838" t="s">
        <v>2452</v>
      </c>
      <c r="S1838" t="s">
        <v>153</v>
      </c>
      <c r="T1838" t="s">
        <v>89</v>
      </c>
      <c r="U1838" t="s">
        <v>2453</v>
      </c>
      <c r="V1838" t="s">
        <v>137</v>
      </c>
      <c r="W1838" t="s">
        <v>92</v>
      </c>
      <c r="X1838" t="s">
        <v>38</v>
      </c>
      <c r="Y1838" t="s">
        <v>38</v>
      </c>
      <c r="Z1838" t="s">
        <v>42</v>
      </c>
      <c r="AA1838" t="s">
        <v>155</v>
      </c>
      <c r="AB1838" t="s">
        <v>38</v>
      </c>
      <c r="AC1838" t="s">
        <v>153</v>
      </c>
      <c r="AD1838" t="s">
        <v>48</v>
      </c>
      <c r="AG1838" t="str">
        <f>IF(AD1838="United States", IFERROR(INDEX(Sheet2!$C:$C, MATCH(AE1838&amp;AF1838, Sheet2!$E:$E, 0)) &amp; ", " &amp; INDEX(Sheet2!$D:$D, MATCH(AE1838&amp;AF1838, Sheet2!$E:$E, 0)), ""), "-")</f>
        <v/>
      </c>
    </row>
    <row r="1839" spans="1:33" x14ac:dyDescent="0.25">
      <c r="A1839" t="s">
        <v>2966</v>
      </c>
      <c r="B1839" t="s">
        <v>3408</v>
      </c>
      <c r="C1839" t="s">
        <v>3125</v>
      </c>
      <c r="D1839" t="s">
        <v>1413</v>
      </c>
      <c r="E1839" t="s">
        <v>3404</v>
      </c>
      <c r="F1839">
        <v>1765</v>
      </c>
      <c r="G1839">
        <v>986</v>
      </c>
      <c r="H1839" t="s">
        <v>38</v>
      </c>
      <c r="I1839" t="s">
        <v>80</v>
      </c>
      <c r="J1839" t="s">
        <v>3126</v>
      </c>
      <c r="K1839" t="s">
        <v>38</v>
      </c>
      <c r="L1839" t="s">
        <v>38</v>
      </c>
      <c r="M1839" t="s">
        <v>38</v>
      </c>
      <c r="N1839" t="s">
        <v>38</v>
      </c>
      <c r="O1839" t="s">
        <v>54</v>
      </c>
      <c r="P1839" t="s">
        <v>42</v>
      </c>
      <c r="Q1839" t="s">
        <v>43</v>
      </c>
      <c r="R1839" t="s">
        <v>38</v>
      </c>
      <c r="S1839" t="s">
        <v>38</v>
      </c>
      <c r="T1839" t="s">
        <v>38</v>
      </c>
      <c r="U1839" t="s">
        <v>38</v>
      </c>
      <c r="V1839" t="s">
        <v>137</v>
      </c>
      <c r="W1839" t="s">
        <v>38</v>
      </c>
      <c r="X1839" t="s">
        <v>38</v>
      </c>
      <c r="Y1839" t="s">
        <v>38</v>
      </c>
      <c r="Z1839" t="s">
        <v>42</v>
      </c>
      <c r="AA1839" t="s">
        <v>38</v>
      </c>
      <c r="AB1839" t="s">
        <v>38</v>
      </c>
      <c r="AC1839" t="s">
        <v>38</v>
      </c>
      <c r="AD1839" t="s">
        <v>48</v>
      </c>
      <c r="AG1839" t="str">
        <f>IF(AD1839="United States", IFERROR(INDEX(Sheet2!$C:$C, MATCH(AE1839&amp;AF1839, Sheet2!$E:$E, 0)) &amp; ", " &amp; INDEX(Sheet2!$D:$D, MATCH(AE1839&amp;AF1839, Sheet2!$E:$E, 0)), ""), "-")</f>
        <v/>
      </c>
    </row>
    <row r="1840" spans="1:33" x14ac:dyDescent="0.25">
      <c r="A1840" t="s">
        <v>2966</v>
      </c>
      <c r="B1840" t="s">
        <v>3450</v>
      </c>
      <c r="C1840" t="s">
        <v>3125</v>
      </c>
      <c r="D1840" t="s">
        <v>359</v>
      </c>
      <c r="E1840" t="s">
        <v>1684</v>
      </c>
      <c r="F1840">
        <v>1759</v>
      </c>
      <c r="G1840">
        <v>1312</v>
      </c>
      <c r="H1840" t="s">
        <v>38</v>
      </c>
      <c r="I1840" t="s">
        <v>80</v>
      </c>
      <c r="J1840" t="s">
        <v>3126</v>
      </c>
      <c r="K1840" t="s">
        <v>38</v>
      </c>
      <c r="L1840" t="s">
        <v>38</v>
      </c>
      <c r="M1840" t="s">
        <v>38</v>
      </c>
      <c r="N1840" t="s">
        <v>38</v>
      </c>
      <c r="O1840" t="s">
        <v>57</v>
      </c>
      <c r="P1840" t="s">
        <v>42</v>
      </c>
      <c r="Q1840" t="s">
        <v>43</v>
      </c>
      <c r="R1840" t="s">
        <v>3451</v>
      </c>
      <c r="S1840" t="s">
        <v>45</v>
      </c>
      <c r="T1840" t="s">
        <v>38</v>
      </c>
      <c r="U1840" t="s">
        <v>38</v>
      </c>
      <c r="V1840" t="s">
        <v>137</v>
      </c>
      <c r="W1840" t="s">
        <v>38</v>
      </c>
      <c r="X1840" t="s">
        <v>38</v>
      </c>
      <c r="Y1840" t="s">
        <v>38</v>
      </c>
      <c r="Z1840" t="s">
        <v>42</v>
      </c>
      <c r="AA1840" t="s">
        <v>1135</v>
      </c>
      <c r="AB1840" t="s">
        <v>38</v>
      </c>
      <c r="AC1840" t="s">
        <v>45</v>
      </c>
      <c r="AD1840" t="s">
        <v>48</v>
      </c>
      <c r="AG1840" t="str">
        <f>IF(AD1840="United States", IFERROR(INDEX(Sheet2!$C:$C, MATCH(AE1840&amp;AF1840, Sheet2!$E:$E, 0)) &amp; ", " &amp; INDEX(Sheet2!$D:$D, MATCH(AE1840&amp;AF1840, Sheet2!$E:$E, 0)), ""), "-")</f>
        <v/>
      </c>
    </row>
    <row r="1841" spans="1:33" x14ac:dyDescent="0.25">
      <c r="A1841" t="s">
        <v>2966</v>
      </c>
      <c r="B1841" t="s">
        <v>3409</v>
      </c>
      <c r="C1841" t="s">
        <v>3125</v>
      </c>
      <c r="D1841" t="s">
        <v>513</v>
      </c>
      <c r="E1841" t="s">
        <v>3404</v>
      </c>
      <c r="F1841">
        <v>1774</v>
      </c>
      <c r="G1841">
        <v>987</v>
      </c>
      <c r="H1841" t="s">
        <v>38</v>
      </c>
      <c r="I1841" t="s">
        <v>80</v>
      </c>
      <c r="J1841" t="s">
        <v>3126</v>
      </c>
      <c r="K1841" t="s">
        <v>38</v>
      </c>
      <c r="L1841" t="s">
        <v>38</v>
      </c>
      <c r="M1841" t="s">
        <v>38</v>
      </c>
      <c r="N1841" t="s">
        <v>38</v>
      </c>
      <c r="O1841" t="s">
        <v>54</v>
      </c>
      <c r="P1841" t="s">
        <v>42</v>
      </c>
      <c r="Q1841" t="s">
        <v>43</v>
      </c>
      <c r="R1841" t="s">
        <v>3410</v>
      </c>
      <c r="S1841" t="s">
        <v>45</v>
      </c>
      <c r="T1841" t="s">
        <v>38</v>
      </c>
      <c r="U1841" t="s">
        <v>38</v>
      </c>
      <c r="V1841" t="s">
        <v>137</v>
      </c>
      <c r="W1841" t="s">
        <v>38</v>
      </c>
      <c r="X1841" t="s">
        <v>38</v>
      </c>
      <c r="Y1841" t="s">
        <v>38</v>
      </c>
      <c r="Z1841" t="s">
        <v>42</v>
      </c>
      <c r="AA1841" t="s">
        <v>241</v>
      </c>
      <c r="AB1841" t="s">
        <v>38</v>
      </c>
      <c r="AC1841" t="s">
        <v>45</v>
      </c>
      <c r="AD1841" t="s">
        <v>48</v>
      </c>
      <c r="AG1841" t="str">
        <f>IF(AD1841="United States", IFERROR(INDEX(Sheet2!$C:$C, MATCH(AE1841&amp;AF1841, Sheet2!$E:$E, 0)) &amp; ", " &amp; INDEX(Sheet2!$D:$D, MATCH(AE1841&amp;AF1841, Sheet2!$E:$E, 0)), ""), "-")</f>
        <v/>
      </c>
    </row>
    <row r="1842" spans="1:33" x14ac:dyDescent="0.25">
      <c r="A1842" t="s">
        <v>2966</v>
      </c>
      <c r="B1842" t="s">
        <v>3412</v>
      </c>
      <c r="C1842" t="s">
        <v>3125</v>
      </c>
      <c r="D1842" t="s">
        <v>927</v>
      </c>
      <c r="E1842" t="s">
        <v>101</v>
      </c>
      <c r="F1842">
        <v>1777</v>
      </c>
      <c r="G1842">
        <v>989</v>
      </c>
      <c r="H1842" t="s">
        <v>38</v>
      </c>
      <c r="I1842" t="s">
        <v>80</v>
      </c>
      <c r="J1842" t="s">
        <v>3126</v>
      </c>
      <c r="K1842" t="s">
        <v>38</v>
      </c>
      <c r="L1842" t="s">
        <v>38</v>
      </c>
      <c r="M1842" t="s">
        <v>38</v>
      </c>
      <c r="N1842" t="s">
        <v>38</v>
      </c>
      <c r="O1842" t="s">
        <v>54</v>
      </c>
      <c r="P1842" t="s">
        <v>42</v>
      </c>
      <c r="Q1842" t="s">
        <v>43</v>
      </c>
      <c r="R1842" t="s">
        <v>38</v>
      </c>
      <c r="S1842" t="s">
        <v>38</v>
      </c>
      <c r="T1842" t="s">
        <v>38</v>
      </c>
      <c r="U1842" t="s">
        <v>38</v>
      </c>
      <c r="V1842" t="s">
        <v>137</v>
      </c>
      <c r="W1842" t="s">
        <v>38</v>
      </c>
      <c r="X1842" t="s">
        <v>38</v>
      </c>
      <c r="Y1842" t="s">
        <v>38</v>
      </c>
      <c r="Z1842" t="s">
        <v>42</v>
      </c>
      <c r="AA1842" t="s">
        <v>38</v>
      </c>
      <c r="AB1842" t="s">
        <v>38</v>
      </c>
      <c r="AC1842" t="s">
        <v>38</v>
      </c>
      <c r="AD1842" t="s">
        <v>48</v>
      </c>
      <c r="AG1842" t="str">
        <f>IF(AD1842="United States", IFERROR(INDEX(Sheet2!$C:$C, MATCH(AE1842&amp;AF1842, Sheet2!$E:$E, 0)) &amp; ", " &amp; INDEX(Sheet2!$D:$D, MATCH(AE1842&amp;AF1842, Sheet2!$E:$E, 0)), ""), "-")</f>
        <v/>
      </c>
    </row>
    <row r="1843" spans="1:33" x14ac:dyDescent="0.25">
      <c r="A1843" t="s">
        <v>2966</v>
      </c>
      <c r="B1843" t="s">
        <v>3364</v>
      </c>
      <c r="C1843" t="s">
        <v>3125</v>
      </c>
      <c r="D1843" t="s">
        <v>210</v>
      </c>
      <c r="E1843" t="s">
        <v>3362</v>
      </c>
      <c r="F1843">
        <v>1764</v>
      </c>
      <c r="G1843">
        <v>1021</v>
      </c>
      <c r="H1843" t="s">
        <v>2977</v>
      </c>
      <c r="I1843" t="s">
        <v>80</v>
      </c>
      <c r="J1843" t="s">
        <v>3126</v>
      </c>
      <c r="K1843" t="s">
        <v>38</v>
      </c>
      <c r="L1843" t="s">
        <v>38</v>
      </c>
      <c r="M1843" t="s">
        <v>38</v>
      </c>
      <c r="N1843" t="s">
        <v>38</v>
      </c>
      <c r="O1843" t="s">
        <v>54</v>
      </c>
      <c r="P1843" t="s">
        <v>42</v>
      </c>
      <c r="Q1843" t="s">
        <v>43</v>
      </c>
      <c r="R1843" t="s">
        <v>2452</v>
      </c>
      <c r="S1843" t="s">
        <v>38</v>
      </c>
      <c r="T1843" t="s">
        <v>89</v>
      </c>
      <c r="U1843" t="s">
        <v>2453</v>
      </c>
      <c r="V1843" t="s">
        <v>137</v>
      </c>
      <c r="W1843" t="s">
        <v>92</v>
      </c>
      <c r="X1843" t="s">
        <v>38</v>
      </c>
      <c r="Y1843" t="s">
        <v>38</v>
      </c>
      <c r="Z1843" t="s">
        <v>42</v>
      </c>
      <c r="AA1843" t="s">
        <v>38</v>
      </c>
      <c r="AB1843" t="s">
        <v>38</v>
      </c>
      <c r="AC1843" t="s">
        <v>38</v>
      </c>
      <c r="AD1843" t="s">
        <v>48</v>
      </c>
      <c r="AG1843" t="str">
        <f>IF(AD1843="United States", IFERROR(INDEX(Sheet2!$C:$C, MATCH(AE1843&amp;AF1843, Sheet2!$E:$E, 0)) &amp; ", " &amp; INDEX(Sheet2!$D:$D, MATCH(AE1843&amp;AF1843, Sheet2!$E:$E, 0)), ""), "-")</f>
        <v/>
      </c>
    </row>
    <row r="1844" spans="1:33" x14ac:dyDescent="0.25">
      <c r="A1844" t="s">
        <v>2966</v>
      </c>
      <c r="B1844" t="s">
        <v>3366</v>
      </c>
      <c r="C1844" t="s">
        <v>3125</v>
      </c>
      <c r="D1844" t="s">
        <v>3367</v>
      </c>
      <c r="E1844" t="s">
        <v>3368</v>
      </c>
      <c r="F1844">
        <v>1761</v>
      </c>
      <c r="G1844">
        <v>1022</v>
      </c>
      <c r="H1844" t="s">
        <v>38</v>
      </c>
      <c r="I1844" t="s">
        <v>80</v>
      </c>
      <c r="J1844" t="s">
        <v>3126</v>
      </c>
      <c r="K1844" t="s">
        <v>38</v>
      </c>
      <c r="L1844" t="s">
        <v>38</v>
      </c>
      <c r="M1844" t="s">
        <v>38</v>
      </c>
      <c r="N1844" t="s">
        <v>38</v>
      </c>
      <c r="O1844" t="s">
        <v>41</v>
      </c>
      <c r="P1844" t="s">
        <v>42</v>
      </c>
      <c r="Q1844" t="s">
        <v>43</v>
      </c>
      <c r="R1844" t="s">
        <v>3369</v>
      </c>
      <c r="S1844" t="s">
        <v>1063</v>
      </c>
      <c r="T1844" t="s">
        <v>38</v>
      </c>
      <c r="U1844" t="s">
        <v>38</v>
      </c>
      <c r="V1844" t="s">
        <v>137</v>
      </c>
      <c r="W1844" t="s">
        <v>38</v>
      </c>
      <c r="X1844" t="s">
        <v>38</v>
      </c>
      <c r="Y1844" t="s">
        <v>38</v>
      </c>
      <c r="Z1844" t="s">
        <v>42</v>
      </c>
      <c r="AA1844" t="s">
        <v>3212</v>
      </c>
      <c r="AB1844" t="s">
        <v>38</v>
      </c>
      <c r="AC1844" t="s">
        <v>1063</v>
      </c>
      <c r="AD1844" t="s">
        <v>48</v>
      </c>
      <c r="AG1844" t="str">
        <f>IF(AD1844="United States", IFERROR(INDEX(Sheet2!$C:$C, MATCH(AE1844&amp;AF1844, Sheet2!$E:$E, 0)) &amp; ", " &amp; INDEX(Sheet2!$D:$D, MATCH(AE1844&amp;AF1844, Sheet2!$E:$E, 0)), ""), "-")</f>
        <v/>
      </c>
    </row>
    <row r="1845" spans="1:33" x14ac:dyDescent="0.25">
      <c r="A1845" t="s">
        <v>2966</v>
      </c>
      <c r="B1845" t="s">
        <v>3388</v>
      </c>
      <c r="C1845" t="s">
        <v>3125</v>
      </c>
      <c r="D1845" t="s">
        <v>193</v>
      </c>
      <c r="E1845" t="s">
        <v>3371</v>
      </c>
      <c r="F1845">
        <v>1743</v>
      </c>
      <c r="G1845">
        <v>1023</v>
      </c>
      <c r="H1845" t="s">
        <v>38</v>
      </c>
      <c r="I1845" t="s">
        <v>80</v>
      </c>
      <c r="J1845" t="s">
        <v>3126</v>
      </c>
      <c r="K1845" t="s">
        <v>38</v>
      </c>
      <c r="L1845" t="s">
        <v>38</v>
      </c>
      <c r="M1845" t="s">
        <v>38</v>
      </c>
      <c r="N1845" t="s">
        <v>38</v>
      </c>
      <c r="O1845" t="s">
        <v>41</v>
      </c>
      <c r="P1845" t="s">
        <v>42</v>
      </c>
      <c r="Q1845" t="s">
        <v>43</v>
      </c>
      <c r="R1845" t="s">
        <v>3389</v>
      </c>
      <c r="S1845" t="s">
        <v>153</v>
      </c>
      <c r="T1845" t="s">
        <v>38</v>
      </c>
      <c r="U1845" t="s">
        <v>38</v>
      </c>
      <c r="V1845" t="s">
        <v>137</v>
      </c>
      <c r="W1845" t="s">
        <v>38</v>
      </c>
      <c r="X1845" t="s">
        <v>38</v>
      </c>
      <c r="Y1845" t="s">
        <v>38</v>
      </c>
      <c r="Z1845" t="s">
        <v>42</v>
      </c>
      <c r="AA1845" t="s">
        <v>155</v>
      </c>
      <c r="AB1845" t="s">
        <v>38</v>
      </c>
      <c r="AC1845" t="s">
        <v>153</v>
      </c>
      <c r="AD1845" t="s">
        <v>48</v>
      </c>
      <c r="AG1845" t="str">
        <f>IF(AD1845="United States", IFERROR(INDEX(Sheet2!$C:$C, MATCH(AE1845&amp;AF1845, Sheet2!$E:$E, 0)) &amp; ", " &amp; INDEX(Sheet2!$D:$D, MATCH(AE1845&amp;AF1845, Sheet2!$E:$E, 0)), ""), "-")</f>
        <v/>
      </c>
    </row>
    <row r="1846" spans="1:33" x14ac:dyDescent="0.25">
      <c r="A1846" t="s">
        <v>2966</v>
      </c>
      <c r="B1846" t="s">
        <v>3370</v>
      </c>
      <c r="C1846" t="s">
        <v>3125</v>
      </c>
      <c r="D1846" t="s">
        <v>50</v>
      </c>
      <c r="E1846" t="s">
        <v>3371</v>
      </c>
      <c r="F1846">
        <v>1748</v>
      </c>
      <c r="G1846">
        <v>1024</v>
      </c>
      <c r="H1846" t="s">
        <v>38</v>
      </c>
      <c r="I1846" t="s">
        <v>80</v>
      </c>
      <c r="J1846" t="s">
        <v>3126</v>
      </c>
      <c r="K1846" t="s">
        <v>38</v>
      </c>
      <c r="L1846" t="s">
        <v>38</v>
      </c>
      <c r="M1846" t="s">
        <v>38</v>
      </c>
      <c r="N1846" t="s">
        <v>38</v>
      </c>
      <c r="O1846" t="s">
        <v>57</v>
      </c>
      <c r="P1846" t="s">
        <v>42</v>
      </c>
      <c r="Q1846" t="s">
        <v>43</v>
      </c>
      <c r="R1846" t="s">
        <v>3372</v>
      </c>
      <c r="S1846" t="s">
        <v>165</v>
      </c>
      <c r="T1846" t="s">
        <v>38</v>
      </c>
      <c r="U1846" t="s">
        <v>38</v>
      </c>
      <c r="V1846" t="s">
        <v>137</v>
      </c>
      <c r="W1846" t="s">
        <v>38</v>
      </c>
      <c r="X1846" t="s">
        <v>38</v>
      </c>
      <c r="Y1846" t="s">
        <v>38</v>
      </c>
      <c r="Z1846" t="s">
        <v>42</v>
      </c>
      <c r="AA1846" t="s">
        <v>166</v>
      </c>
      <c r="AB1846" t="s">
        <v>38</v>
      </c>
      <c r="AC1846" t="s">
        <v>165</v>
      </c>
      <c r="AD1846" t="s">
        <v>48</v>
      </c>
      <c r="AG1846" t="str">
        <f>IF(AD1846="United States", IFERROR(INDEX(Sheet2!$C:$C, MATCH(AE1846&amp;AF1846, Sheet2!$E:$E, 0)) &amp; ", " &amp; INDEX(Sheet2!$D:$D, MATCH(AE1846&amp;AF1846, Sheet2!$E:$E, 0)), ""), "-")</f>
        <v/>
      </c>
    </row>
    <row r="1847" spans="1:33" x14ac:dyDescent="0.25">
      <c r="A1847" t="s">
        <v>2966</v>
      </c>
      <c r="B1847" t="s">
        <v>3373</v>
      </c>
      <c r="C1847" t="s">
        <v>3125</v>
      </c>
      <c r="D1847" t="s">
        <v>113</v>
      </c>
      <c r="E1847" t="s">
        <v>2465</v>
      </c>
      <c r="F1847">
        <v>1747</v>
      </c>
      <c r="G1847">
        <v>1025</v>
      </c>
      <c r="H1847" t="s">
        <v>2975</v>
      </c>
      <c r="I1847" t="s">
        <v>80</v>
      </c>
      <c r="J1847" t="s">
        <v>3126</v>
      </c>
      <c r="K1847" t="s">
        <v>38</v>
      </c>
      <c r="L1847" t="s">
        <v>38</v>
      </c>
      <c r="M1847" t="s">
        <v>38</v>
      </c>
      <c r="N1847" t="s">
        <v>38</v>
      </c>
      <c r="O1847" t="s">
        <v>41</v>
      </c>
      <c r="P1847" t="s">
        <v>42</v>
      </c>
      <c r="Q1847" t="s">
        <v>43</v>
      </c>
      <c r="R1847" t="s">
        <v>2452</v>
      </c>
      <c r="S1847" t="s">
        <v>45</v>
      </c>
      <c r="T1847" t="s">
        <v>89</v>
      </c>
      <c r="U1847" t="s">
        <v>2453</v>
      </c>
      <c r="V1847" t="s">
        <v>137</v>
      </c>
      <c r="W1847" t="s">
        <v>92</v>
      </c>
      <c r="X1847" t="s">
        <v>38</v>
      </c>
      <c r="Y1847" t="s">
        <v>38</v>
      </c>
      <c r="Z1847" t="s">
        <v>42</v>
      </c>
      <c r="AA1847" t="s">
        <v>169</v>
      </c>
      <c r="AB1847" t="s">
        <v>38</v>
      </c>
      <c r="AC1847" t="s">
        <v>45</v>
      </c>
      <c r="AD1847" t="s">
        <v>48</v>
      </c>
      <c r="AG1847" t="str">
        <f>IF(AD1847="United States", IFERROR(INDEX(Sheet2!$C:$C, MATCH(AE1847&amp;AF1847, Sheet2!$E:$E, 0)) &amp; ", " &amp; INDEX(Sheet2!$D:$D, MATCH(AE1847&amp;AF1847, Sheet2!$E:$E, 0)), ""), "-")</f>
        <v/>
      </c>
    </row>
    <row r="1848" spans="1:33" x14ac:dyDescent="0.25">
      <c r="A1848" t="s">
        <v>2966</v>
      </c>
      <c r="B1848" t="s">
        <v>3374</v>
      </c>
      <c r="C1848" t="s">
        <v>3125</v>
      </c>
      <c r="D1848" t="s">
        <v>1238</v>
      </c>
      <c r="E1848" t="s">
        <v>2465</v>
      </c>
      <c r="F1848">
        <v>1746</v>
      </c>
      <c r="G1848">
        <v>1026</v>
      </c>
      <c r="H1848" t="s">
        <v>38</v>
      </c>
      <c r="I1848" t="s">
        <v>80</v>
      </c>
      <c r="J1848" t="s">
        <v>3126</v>
      </c>
      <c r="K1848" t="s">
        <v>38</v>
      </c>
      <c r="L1848" t="s">
        <v>38</v>
      </c>
      <c r="M1848" t="s">
        <v>38</v>
      </c>
      <c r="N1848" t="s">
        <v>38</v>
      </c>
      <c r="O1848" t="s">
        <v>57</v>
      </c>
      <c r="P1848" t="s">
        <v>42</v>
      </c>
      <c r="Q1848" t="s">
        <v>43</v>
      </c>
      <c r="R1848" t="s">
        <v>3375</v>
      </c>
      <c r="S1848" t="s">
        <v>45</v>
      </c>
      <c r="T1848" t="s">
        <v>38</v>
      </c>
      <c r="U1848" t="s">
        <v>38</v>
      </c>
      <c r="V1848" t="s">
        <v>137</v>
      </c>
      <c r="W1848" t="s">
        <v>38</v>
      </c>
      <c r="X1848" t="s">
        <v>38</v>
      </c>
      <c r="Y1848" t="s">
        <v>38</v>
      </c>
      <c r="Z1848" t="s">
        <v>42</v>
      </c>
      <c r="AA1848" t="s">
        <v>169</v>
      </c>
      <c r="AB1848" t="s">
        <v>38</v>
      </c>
      <c r="AC1848" t="s">
        <v>45</v>
      </c>
      <c r="AD1848" t="s">
        <v>48</v>
      </c>
      <c r="AG1848" t="str">
        <f>IF(AD1848="United States", IFERROR(INDEX(Sheet2!$C:$C, MATCH(AE1848&amp;AF1848, Sheet2!$E:$E, 0)) &amp; ", " &amp; INDEX(Sheet2!$D:$D, MATCH(AE1848&amp;AF1848, Sheet2!$E:$E, 0)), ""), "-")</f>
        <v/>
      </c>
    </row>
    <row r="1849" spans="1:33" x14ac:dyDescent="0.25">
      <c r="A1849" t="s">
        <v>2966</v>
      </c>
      <c r="B1849" t="s">
        <v>3376</v>
      </c>
      <c r="C1849" t="s">
        <v>3125</v>
      </c>
      <c r="D1849" t="s">
        <v>132</v>
      </c>
      <c r="E1849" t="s">
        <v>2465</v>
      </c>
      <c r="F1849">
        <v>1770</v>
      </c>
      <c r="G1849">
        <v>1027</v>
      </c>
      <c r="H1849" t="s">
        <v>2975</v>
      </c>
      <c r="I1849" t="s">
        <v>80</v>
      </c>
      <c r="J1849" t="s">
        <v>3126</v>
      </c>
      <c r="K1849" t="s">
        <v>38</v>
      </c>
      <c r="L1849" t="s">
        <v>38</v>
      </c>
      <c r="M1849" t="s">
        <v>38</v>
      </c>
      <c r="N1849" t="s">
        <v>38</v>
      </c>
      <c r="O1849" t="s">
        <v>54</v>
      </c>
      <c r="P1849" t="s">
        <v>42</v>
      </c>
      <c r="Q1849" t="s">
        <v>43</v>
      </c>
      <c r="R1849" t="s">
        <v>2452</v>
      </c>
      <c r="S1849" t="s">
        <v>45</v>
      </c>
      <c r="T1849" t="s">
        <v>89</v>
      </c>
      <c r="U1849" t="s">
        <v>2453</v>
      </c>
      <c r="V1849" t="s">
        <v>137</v>
      </c>
      <c r="W1849" t="s">
        <v>92</v>
      </c>
      <c r="X1849" t="s">
        <v>38</v>
      </c>
      <c r="Y1849" t="s">
        <v>38</v>
      </c>
      <c r="Z1849" t="s">
        <v>42</v>
      </c>
      <c r="AA1849" t="s">
        <v>1135</v>
      </c>
      <c r="AB1849" t="s">
        <v>38</v>
      </c>
      <c r="AC1849" t="s">
        <v>45</v>
      </c>
      <c r="AD1849" t="s">
        <v>48</v>
      </c>
      <c r="AG1849" t="str">
        <f>IF(AD1849="United States", IFERROR(INDEX(Sheet2!$C:$C, MATCH(AE1849&amp;AF1849, Sheet2!$E:$E, 0)) &amp; ", " &amp; INDEX(Sheet2!$D:$D, MATCH(AE1849&amp;AF1849, Sheet2!$E:$E, 0)), ""), "-")</f>
        <v/>
      </c>
    </row>
    <row r="1850" spans="1:33" x14ac:dyDescent="0.25">
      <c r="A1850" t="s">
        <v>2966</v>
      </c>
      <c r="B1850" t="s">
        <v>3377</v>
      </c>
      <c r="C1850" t="s">
        <v>3125</v>
      </c>
      <c r="D1850" t="s">
        <v>132</v>
      </c>
      <c r="E1850" t="s">
        <v>1250</v>
      </c>
      <c r="F1850">
        <v>1718</v>
      </c>
      <c r="G1850">
        <v>1028</v>
      </c>
      <c r="H1850" t="s">
        <v>2975</v>
      </c>
      <c r="I1850" t="s">
        <v>80</v>
      </c>
      <c r="J1850" t="s">
        <v>3126</v>
      </c>
      <c r="K1850" t="s">
        <v>38</v>
      </c>
      <c r="L1850" t="s">
        <v>38</v>
      </c>
      <c r="M1850" t="s">
        <v>38</v>
      </c>
      <c r="N1850" t="s">
        <v>38</v>
      </c>
      <c r="O1850" t="s">
        <v>41</v>
      </c>
      <c r="P1850" t="s">
        <v>42</v>
      </c>
      <c r="Q1850" t="s">
        <v>43</v>
      </c>
      <c r="R1850" t="s">
        <v>2452</v>
      </c>
      <c r="S1850" t="s">
        <v>45</v>
      </c>
      <c r="T1850" t="s">
        <v>89</v>
      </c>
      <c r="U1850" t="s">
        <v>2453</v>
      </c>
      <c r="V1850" t="s">
        <v>137</v>
      </c>
      <c r="W1850" t="s">
        <v>92</v>
      </c>
      <c r="X1850" t="s">
        <v>38</v>
      </c>
      <c r="Y1850" t="s">
        <v>38</v>
      </c>
      <c r="Z1850" t="s">
        <v>42</v>
      </c>
      <c r="AA1850" t="s">
        <v>1135</v>
      </c>
      <c r="AB1850" t="s">
        <v>38</v>
      </c>
      <c r="AC1850" t="s">
        <v>45</v>
      </c>
      <c r="AD1850" t="s">
        <v>48</v>
      </c>
      <c r="AG1850" t="str">
        <f>IF(AD1850="United States", IFERROR(INDEX(Sheet2!$C:$C, MATCH(AE1850&amp;AF1850, Sheet2!$E:$E, 0)) &amp; ", " &amp; INDEX(Sheet2!$D:$D, MATCH(AE1850&amp;AF1850, Sheet2!$E:$E, 0)), ""), "-")</f>
        <v/>
      </c>
    </row>
    <row r="1851" spans="1:33" x14ac:dyDescent="0.25">
      <c r="A1851" t="s">
        <v>2966</v>
      </c>
      <c r="B1851" t="s">
        <v>3378</v>
      </c>
      <c r="C1851" t="s">
        <v>3125</v>
      </c>
      <c r="D1851" t="s">
        <v>50</v>
      </c>
      <c r="E1851" t="s">
        <v>1250</v>
      </c>
      <c r="F1851">
        <v>1723</v>
      </c>
      <c r="G1851">
        <v>1029</v>
      </c>
      <c r="H1851" t="s">
        <v>38</v>
      </c>
      <c r="I1851" t="s">
        <v>80</v>
      </c>
      <c r="J1851" t="s">
        <v>3126</v>
      </c>
      <c r="K1851" t="s">
        <v>38</v>
      </c>
      <c r="L1851" t="s">
        <v>38</v>
      </c>
      <c r="M1851" t="s">
        <v>38</v>
      </c>
      <c r="N1851" t="s">
        <v>38</v>
      </c>
      <c r="O1851" t="s">
        <v>57</v>
      </c>
      <c r="P1851" t="s">
        <v>42</v>
      </c>
      <c r="Q1851" t="s">
        <v>43</v>
      </c>
      <c r="R1851" t="s">
        <v>1414</v>
      </c>
      <c r="S1851" t="s">
        <v>45</v>
      </c>
      <c r="T1851" t="s">
        <v>38</v>
      </c>
      <c r="U1851" t="s">
        <v>38</v>
      </c>
      <c r="V1851" t="s">
        <v>137</v>
      </c>
      <c r="W1851" t="s">
        <v>38</v>
      </c>
      <c r="X1851" t="s">
        <v>38</v>
      </c>
      <c r="Y1851" t="s">
        <v>38</v>
      </c>
      <c r="Z1851" t="s">
        <v>42</v>
      </c>
      <c r="AA1851" t="s">
        <v>38</v>
      </c>
      <c r="AB1851" t="s">
        <v>38</v>
      </c>
      <c r="AC1851" t="s">
        <v>45</v>
      </c>
      <c r="AD1851" t="s">
        <v>48</v>
      </c>
      <c r="AG1851" t="str">
        <f>IF(AD1851="United States", IFERROR(INDEX(Sheet2!$C:$C, MATCH(AE1851&amp;AF1851, Sheet2!$E:$E, 0)) &amp; ", " &amp; INDEX(Sheet2!$D:$D, MATCH(AE1851&amp;AF1851, Sheet2!$E:$E, 0)), ""), "-")</f>
        <v/>
      </c>
    </row>
    <row r="1852" spans="1:33" x14ac:dyDescent="0.25">
      <c r="A1852" t="s">
        <v>2966</v>
      </c>
      <c r="B1852" t="s">
        <v>3379</v>
      </c>
      <c r="C1852" t="s">
        <v>3125</v>
      </c>
      <c r="D1852" t="s">
        <v>113</v>
      </c>
      <c r="E1852" t="s">
        <v>3380</v>
      </c>
      <c r="F1852">
        <v>1773</v>
      </c>
      <c r="G1852">
        <v>1030</v>
      </c>
      <c r="H1852" t="s">
        <v>2975</v>
      </c>
      <c r="I1852" t="s">
        <v>80</v>
      </c>
      <c r="J1852" t="s">
        <v>3126</v>
      </c>
      <c r="K1852" t="s">
        <v>38</v>
      </c>
      <c r="L1852" t="s">
        <v>38</v>
      </c>
      <c r="M1852" t="s">
        <v>38</v>
      </c>
      <c r="N1852" t="s">
        <v>38</v>
      </c>
      <c r="O1852" t="s">
        <v>54</v>
      </c>
      <c r="P1852" t="s">
        <v>42</v>
      </c>
      <c r="Q1852" t="s">
        <v>43</v>
      </c>
      <c r="R1852" t="s">
        <v>2452</v>
      </c>
      <c r="S1852" t="s">
        <v>45</v>
      </c>
      <c r="T1852" t="s">
        <v>89</v>
      </c>
      <c r="U1852" t="s">
        <v>2453</v>
      </c>
      <c r="V1852" t="s">
        <v>137</v>
      </c>
      <c r="W1852" t="s">
        <v>92</v>
      </c>
      <c r="X1852" t="s">
        <v>38</v>
      </c>
      <c r="Y1852" t="s">
        <v>38</v>
      </c>
      <c r="Z1852" t="s">
        <v>42</v>
      </c>
      <c r="AA1852" t="s">
        <v>38</v>
      </c>
      <c r="AB1852" t="s">
        <v>38</v>
      </c>
      <c r="AC1852" t="s">
        <v>45</v>
      </c>
      <c r="AD1852" t="s">
        <v>48</v>
      </c>
      <c r="AG1852" t="str">
        <f>IF(AD1852="United States", IFERROR(INDEX(Sheet2!$C:$C, MATCH(AE1852&amp;AF1852, Sheet2!$E:$E, 0)) &amp; ", " &amp; INDEX(Sheet2!$D:$D, MATCH(AE1852&amp;AF1852, Sheet2!$E:$E, 0)), ""), "-")</f>
        <v/>
      </c>
    </row>
    <row r="1853" spans="1:33" x14ac:dyDescent="0.25">
      <c r="A1853" t="s">
        <v>2966</v>
      </c>
      <c r="B1853" t="s">
        <v>3381</v>
      </c>
      <c r="C1853" t="s">
        <v>3125</v>
      </c>
      <c r="D1853" t="s">
        <v>1230</v>
      </c>
      <c r="E1853" t="s">
        <v>3382</v>
      </c>
      <c r="F1853">
        <v>1763</v>
      </c>
      <c r="G1853">
        <v>1031</v>
      </c>
      <c r="H1853" t="s">
        <v>2977</v>
      </c>
      <c r="I1853" t="s">
        <v>80</v>
      </c>
      <c r="J1853" t="s">
        <v>3126</v>
      </c>
      <c r="K1853" t="s">
        <v>38</v>
      </c>
      <c r="L1853" t="s">
        <v>38</v>
      </c>
      <c r="M1853" t="s">
        <v>38</v>
      </c>
      <c r="N1853" t="s">
        <v>38</v>
      </c>
      <c r="O1853" t="s">
        <v>57</v>
      </c>
      <c r="P1853" t="s">
        <v>42</v>
      </c>
      <c r="Q1853" t="s">
        <v>43</v>
      </c>
      <c r="R1853" t="s">
        <v>2452</v>
      </c>
      <c r="S1853" t="s">
        <v>165</v>
      </c>
      <c r="T1853" t="s">
        <v>89</v>
      </c>
      <c r="U1853" t="s">
        <v>2453</v>
      </c>
      <c r="V1853" t="s">
        <v>137</v>
      </c>
      <c r="W1853" t="s">
        <v>92</v>
      </c>
      <c r="X1853" t="s">
        <v>38</v>
      </c>
      <c r="Y1853" t="s">
        <v>38</v>
      </c>
      <c r="Z1853" t="s">
        <v>42</v>
      </c>
      <c r="AA1853" t="s">
        <v>166</v>
      </c>
      <c r="AB1853" t="s">
        <v>38</v>
      </c>
      <c r="AC1853" t="s">
        <v>165</v>
      </c>
      <c r="AD1853" t="s">
        <v>48</v>
      </c>
      <c r="AG1853" t="str">
        <f>IF(AD1853="United States", IFERROR(INDEX(Sheet2!$C:$C, MATCH(AE1853&amp;AF1853, Sheet2!$E:$E, 0)) &amp; ", " &amp; INDEX(Sheet2!$D:$D, MATCH(AE1853&amp;AF1853, Sheet2!$E:$E, 0)), ""), "-")</f>
        <v/>
      </c>
    </row>
    <row r="1854" spans="1:33" x14ac:dyDescent="0.25">
      <c r="A1854" t="s">
        <v>2966</v>
      </c>
      <c r="B1854" t="s">
        <v>3383</v>
      </c>
      <c r="C1854" t="s">
        <v>3125</v>
      </c>
      <c r="D1854" t="s">
        <v>2174</v>
      </c>
      <c r="E1854" t="s">
        <v>3382</v>
      </c>
      <c r="F1854">
        <v>1774</v>
      </c>
      <c r="G1854">
        <v>1032</v>
      </c>
      <c r="H1854" t="s">
        <v>38</v>
      </c>
      <c r="I1854" t="s">
        <v>80</v>
      </c>
      <c r="J1854" t="s">
        <v>3126</v>
      </c>
      <c r="K1854" t="s">
        <v>38</v>
      </c>
      <c r="L1854" t="s">
        <v>38</v>
      </c>
      <c r="M1854" t="s">
        <v>38</v>
      </c>
      <c r="N1854" t="s">
        <v>38</v>
      </c>
      <c r="O1854" t="s">
        <v>54</v>
      </c>
      <c r="P1854" t="s">
        <v>42</v>
      </c>
      <c r="Q1854" t="s">
        <v>43</v>
      </c>
      <c r="R1854" t="s">
        <v>38</v>
      </c>
      <c r="S1854" t="s">
        <v>38</v>
      </c>
      <c r="T1854" t="s">
        <v>38</v>
      </c>
      <c r="U1854" t="s">
        <v>38</v>
      </c>
      <c r="V1854" t="s">
        <v>137</v>
      </c>
      <c r="W1854" t="s">
        <v>38</v>
      </c>
      <c r="X1854" t="s">
        <v>38</v>
      </c>
      <c r="Y1854" t="s">
        <v>38</v>
      </c>
      <c r="Z1854" t="s">
        <v>42</v>
      </c>
      <c r="AA1854" t="s">
        <v>38</v>
      </c>
      <c r="AB1854" t="s">
        <v>38</v>
      </c>
      <c r="AC1854" t="s">
        <v>38</v>
      </c>
      <c r="AD1854" t="s">
        <v>48</v>
      </c>
      <c r="AG1854" t="str">
        <f>IF(AD1854="United States", IFERROR(INDEX(Sheet2!$C:$C, MATCH(AE1854&amp;AF1854, Sheet2!$E:$E, 0)) &amp; ", " &amp; INDEX(Sheet2!$D:$D, MATCH(AE1854&amp;AF1854, Sheet2!$E:$E, 0)), ""), "-")</f>
        <v/>
      </c>
    </row>
    <row r="1855" spans="1:33" x14ac:dyDescent="0.25">
      <c r="A1855" t="s">
        <v>2966</v>
      </c>
      <c r="B1855" t="s">
        <v>3361</v>
      </c>
      <c r="C1855" t="s">
        <v>3125</v>
      </c>
      <c r="D1855" t="s">
        <v>50</v>
      </c>
      <c r="E1855" t="s">
        <v>3362</v>
      </c>
      <c r="F1855">
        <v>1763</v>
      </c>
      <c r="G1855">
        <v>1020</v>
      </c>
      <c r="H1855" t="s">
        <v>38</v>
      </c>
      <c r="I1855" t="s">
        <v>80</v>
      </c>
      <c r="J1855" t="s">
        <v>3126</v>
      </c>
      <c r="K1855" t="s">
        <v>38</v>
      </c>
      <c r="L1855" t="s">
        <v>38</v>
      </c>
      <c r="M1855" t="s">
        <v>38</v>
      </c>
      <c r="N1855" t="s">
        <v>38</v>
      </c>
      <c r="O1855" t="s">
        <v>57</v>
      </c>
      <c r="P1855" t="s">
        <v>42</v>
      </c>
      <c r="Q1855" t="s">
        <v>43</v>
      </c>
      <c r="R1855" t="s">
        <v>3363</v>
      </c>
      <c r="S1855" t="s">
        <v>45</v>
      </c>
      <c r="T1855" t="s">
        <v>38</v>
      </c>
      <c r="U1855" t="s">
        <v>38</v>
      </c>
      <c r="V1855" t="s">
        <v>137</v>
      </c>
      <c r="W1855" t="s">
        <v>38</v>
      </c>
      <c r="X1855" t="s">
        <v>38</v>
      </c>
      <c r="Y1855" t="s">
        <v>38</v>
      </c>
      <c r="Z1855" t="s">
        <v>42</v>
      </c>
      <c r="AA1855" t="s">
        <v>878</v>
      </c>
      <c r="AB1855" t="s">
        <v>38</v>
      </c>
      <c r="AC1855" t="s">
        <v>45</v>
      </c>
      <c r="AD1855" t="s">
        <v>48</v>
      </c>
      <c r="AG1855" t="str">
        <f>IF(AD1855="United States", IFERROR(INDEX(Sheet2!$C:$C, MATCH(AE1855&amp;AF1855, Sheet2!$E:$E, 0)) &amp; ", " &amp; INDEX(Sheet2!$D:$D, MATCH(AE1855&amp;AF1855, Sheet2!$E:$E, 0)), ""), "-")</f>
        <v/>
      </c>
    </row>
    <row r="1856" spans="1:33" x14ac:dyDescent="0.25">
      <c r="A1856" t="s">
        <v>2966</v>
      </c>
      <c r="B1856" t="s">
        <v>3384</v>
      </c>
      <c r="C1856" t="s">
        <v>3125</v>
      </c>
      <c r="D1856" t="s">
        <v>3235</v>
      </c>
      <c r="E1856" t="s">
        <v>3382</v>
      </c>
      <c r="F1856">
        <v>1753</v>
      </c>
      <c r="G1856">
        <v>1033</v>
      </c>
      <c r="H1856" t="s">
        <v>38</v>
      </c>
      <c r="I1856" t="s">
        <v>80</v>
      </c>
      <c r="J1856" t="s">
        <v>3126</v>
      </c>
      <c r="K1856" t="s">
        <v>38</v>
      </c>
      <c r="L1856" t="s">
        <v>38</v>
      </c>
      <c r="M1856" t="s">
        <v>38</v>
      </c>
      <c r="N1856" t="s">
        <v>38</v>
      </c>
      <c r="O1856" t="s">
        <v>57</v>
      </c>
      <c r="P1856" t="s">
        <v>42</v>
      </c>
      <c r="Q1856" t="s">
        <v>43</v>
      </c>
      <c r="R1856" t="s">
        <v>3385</v>
      </c>
      <c r="S1856" t="s">
        <v>45</v>
      </c>
      <c r="T1856" t="s">
        <v>38</v>
      </c>
      <c r="U1856" t="s">
        <v>38</v>
      </c>
      <c r="V1856" t="s">
        <v>137</v>
      </c>
      <c r="W1856" t="s">
        <v>38</v>
      </c>
      <c r="X1856" t="s">
        <v>38</v>
      </c>
      <c r="Y1856" t="s">
        <v>38</v>
      </c>
      <c r="Z1856" t="s">
        <v>42</v>
      </c>
      <c r="AA1856" t="s">
        <v>1135</v>
      </c>
      <c r="AB1856" t="s">
        <v>38</v>
      </c>
      <c r="AC1856" t="s">
        <v>45</v>
      </c>
      <c r="AD1856" t="s">
        <v>48</v>
      </c>
      <c r="AG1856" t="str">
        <f>IF(AD1856="United States", IFERROR(INDEX(Sheet2!$C:$C, MATCH(AE1856&amp;AF1856, Sheet2!$E:$E, 0)) &amp; ", " &amp; INDEX(Sheet2!$D:$D, MATCH(AE1856&amp;AF1856, Sheet2!$E:$E, 0)), ""), "-")</f>
        <v/>
      </c>
    </row>
    <row r="1857" spans="1:33" x14ac:dyDescent="0.25">
      <c r="A1857" t="s">
        <v>2966</v>
      </c>
      <c r="B1857" t="s">
        <v>3387</v>
      </c>
      <c r="C1857" t="s">
        <v>3125</v>
      </c>
      <c r="D1857" t="s">
        <v>222</v>
      </c>
      <c r="E1857" t="s">
        <v>633</v>
      </c>
      <c r="F1857">
        <v>1780</v>
      </c>
      <c r="G1857">
        <v>1035</v>
      </c>
      <c r="H1857" t="s">
        <v>38</v>
      </c>
      <c r="I1857" t="s">
        <v>80</v>
      </c>
      <c r="J1857" t="s">
        <v>3126</v>
      </c>
      <c r="K1857" t="s">
        <v>38</v>
      </c>
      <c r="L1857" t="s">
        <v>38</v>
      </c>
      <c r="M1857" t="s">
        <v>38</v>
      </c>
      <c r="N1857" t="s">
        <v>38</v>
      </c>
      <c r="O1857" t="s">
        <v>54</v>
      </c>
      <c r="P1857" t="s">
        <v>42</v>
      </c>
      <c r="Q1857" t="s">
        <v>43</v>
      </c>
      <c r="R1857" t="s">
        <v>38</v>
      </c>
      <c r="S1857" t="s">
        <v>38</v>
      </c>
      <c r="T1857" t="s">
        <v>38</v>
      </c>
      <c r="U1857" t="s">
        <v>38</v>
      </c>
      <c r="V1857" t="s">
        <v>137</v>
      </c>
      <c r="W1857" t="s">
        <v>38</v>
      </c>
      <c r="X1857" t="s">
        <v>38</v>
      </c>
      <c r="Y1857" t="s">
        <v>38</v>
      </c>
      <c r="Z1857" t="s">
        <v>42</v>
      </c>
      <c r="AA1857" t="s">
        <v>38</v>
      </c>
      <c r="AB1857" t="s">
        <v>38</v>
      </c>
      <c r="AC1857" t="s">
        <v>38</v>
      </c>
      <c r="AD1857" t="s">
        <v>48</v>
      </c>
      <c r="AG1857" t="str">
        <f>IF(AD1857="United States", IFERROR(INDEX(Sheet2!$C:$C, MATCH(AE1857&amp;AF1857, Sheet2!$E:$E, 0)) &amp; ", " &amp; INDEX(Sheet2!$D:$D, MATCH(AE1857&amp;AF1857, Sheet2!$E:$E, 0)), ""), "-")</f>
        <v/>
      </c>
    </row>
    <row r="1858" spans="1:33" x14ac:dyDescent="0.25">
      <c r="A1858" t="s">
        <v>2966</v>
      </c>
      <c r="B1858" t="s">
        <v>3450</v>
      </c>
      <c r="C1858" t="s">
        <v>3125</v>
      </c>
      <c r="D1858" t="s">
        <v>359</v>
      </c>
      <c r="E1858" t="s">
        <v>1684</v>
      </c>
      <c r="F1858">
        <v>1759</v>
      </c>
      <c r="G1858">
        <v>1036</v>
      </c>
      <c r="H1858" t="s">
        <v>38</v>
      </c>
      <c r="I1858" t="s">
        <v>80</v>
      </c>
      <c r="J1858" t="s">
        <v>3126</v>
      </c>
      <c r="K1858" t="s">
        <v>38</v>
      </c>
      <c r="L1858" t="s">
        <v>38</v>
      </c>
      <c r="M1858" t="s">
        <v>38</v>
      </c>
      <c r="N1858" t="s">
        <v>38</v>
      </c>
      <c r="O1858" t="s">
        <v>57</v>
      </c>
      <c r="P1858" t="s">
        <v>42</v>
      </c>
      <c r="Q1858" t="s">
        <v>43</v>
      </c>
      <c r="R1858" t="s">
        <v>3451</v>
      </c>
      <c r="S1858" t="s">
        <v>45</v>
      </c>
      <c r="T1858" t="s">
        <v>38</v>
      </c>
      <c r="U1858" t="s">
        <v>38</v>
      </c>
      <c r="V1858" t="s">
        <v>137</v>
      </c>
      <c r="W1858" t="s">
        <v>38</v>
      </c>
      <c r="X1858" t="s">
        <v>38</v>
      </c>
      <c r="Y1858" t="s">
        <v>38</v>
      </c>
      <c r="Z1858" t="s">
        <v>42</v>
      </c>
      <c r="AA1858" t="s">
        <v>1135</v>
      </c>
      <c r="AB1858" t="s">
        <v>38</v>
      </c>
      <c r="AC1858" t="s">
        <v>45</v>
      </c>
      <c r="AD1858" t="s">
        <v>48</v>
      </c>
      <c r="AG1858" t="str">
        <f>IF(AD1858="United States", IFERROR(INDEX(Sheet2!$C:$C, MATCH(AE1858&amp;AF1858, Sheet2!$E:$E, 0)) &amp; ", " &amp; INDEX(Sheet2!$D:$D, MATCH(AE1858&amp;AF1858, Sheet2!$E:$E, 0)), ""), "-")</f>
        <v/>
      </c>
    </row>
    <row r="1859" spans="1:33" x14ac:dyDescent="0.25">
      <c r="A1859" t="s">
        <v>2966</v>
      </c>
      <c r="B1859" t="s">
        <v>3452</v>
      </c>
      <c r="C1859" t="s">
        <v>3125</v>
      </c>
      <c r="D1859" t="s">
        <v>140</v>
      </c>
      <c r="E1859" t="s">
        <v>2178</v>
      </c>
      <c r="F1859">
        <v>1757</v>
      </c>
      <c r="G1859">
        <v>1037</v>
      </c>
      <c r="H1859" t="s">
        <v>2975</v>
      </c>
      <c r="I1859" t="s">
        <v>80</v>
      </c>
      <c r="J1859" t="s">
        <v>3126</v>
      </c>
      <c r="K1859" t="s">
        <v>38</v>
      </c>
      <c r="L1859" t="s">
        <v>38</v>
      </c>
      <c r="M1859" t="s">
        <v>38</v>
      </c>
      <c r="N1859" t="s">
        <v>38</v>
      </c>
      <c r="O1859" t="s">
        <v>57</v>
      </c>
      <c r="P1859" t="s">
        <v>42</v>
      </c>
      <c r="Q1859" t="s">
        <v>43</v>
      </c>
      <c r="R1859" t="s">
        <v>2452</v>
      </c>
      <c r="S1859" t="s">
        <v>45</v>
      </c>
      <c r="T1859" t="s">
        <v>89</v>
      </c>
      <c r="U1859" t="s">
        <v>2453</v>
      </c>
      <c r="V1859" t="s">
        <v>137</v>
      </c>
      <c r="W1859" t="s">
        <v>92</v>
      </c>
      <c r="X1859" t="s">
        <v>38</v>
      </c>
      <c r="Y1859" t="s">
        <v>38</v>
      </c>
      <c r="Z1859" t="s">
        <v>42</v>
      </c>
      <c r="AA1859" t="s">
        <v>1135</v>
      </c>
      <c r="AB1859" t="s">
        <v>38</v>
      </c>
      <c r="AC1859" t="s">
        <v>45</v>
      </c>
      <c r="AD1859" t="s">
        <v>48</v>
      </c>
      <c r="AG1859" t="str">
        <f>IF(AD1859="United States", IFERROR(INDEX(Sheet2!$C:$C, MATCH(AE1859&amp;AF1859, Sheet2!$E:$E, 0)) &amp; ", " &amp; INDEX(Sheet2!$D:$D, MATCH(AE1859&amp;AF1859, Sheet2!$E:$E, 0)), ""), "-")</f>
        <v/>
      </c>
    </row>
    <row r="1860" spans="1:33" x14ac:dyDescent="0.25">
      <c r="A1860" t="s">
        <v>2966</v>
      </c>
      <c r="B1860" t="s">
        <v>3453</v>
      </c>
      <c r="C1860" t="s">
        <v>3125</v>
      </c>
      <c r="D1860" t="s">
        <v>834</v>
      </c>
      <c r="E1860" t="s">
        <v>2178</v>
      </c>
      <c r="F1860">
        <v>1777</v>
      </c>
      <c r="G1860">
        <v>1038</v>
      </c>
      <c r="H1860" t="s">
        <v>38</v>
      </c>
      <c r="I1860" t="s">
        <v>80</v>
      </c>
      <c r="J1860" t="s">
        <v>3126</v>
      </c>
      <c r="K1860" t="s">
        <v>38</v>
      </c>
      <c r="L1860" t="s">
        <v>38</v>
      </c>
      <c r="M1860" t="s">
        <v>140</v>
      </c>
      <c r="N1860" t="s">
        <v>2178</v>
      </c>
      <c r="O1860" t="s">
        <v>54</v>
      </c>
      <c r="P1860" t="s">
        <v>42</v>
      </c>
      <c r="Q1860" t="s">
        <v>43</v>
      </c>
      <c r="R1860" t="s">
        <v>3454</v>
      </c>
      <c r="S1860" t="s">
        <v>45</v>
      </c>
      <c r="T1860" t="s">
        <v>38</v>
      </c>
      <c r="U1860" t="s">
        <v>38</v>
      </c>
      <c r="V1860" t="s">
        <v>137</v>
      </c>
      <c r="W1860" t="s">
        <v>38</v>
      </c>
      <c r="X1860" t="s">
        <v>38</v>
      </c>
      <c r="Y1860" t="s">
        <v>38</v>
      </c>
      <c r="Z1860" t="s">
        <v>42</v>
      </c>
      <c r="AA1860" t="s">
        <v>1135</v>
      </c>
      <c r="AB1860" t="s">
        <v>38</v>
      </c>
      <c r="AC1860" t="s">
        <v>45</v>
      </c>
      <c r="AD1860" t="s">
        <v>48</v>
      </c>
      <c r="AG1860" t="str">
        <f>IF(AD1860="United States", IFERROR(INDEX(Sheet2!$C:$C, MATCH(AE1860&amp;AF1860, Sheet2!$E:$E, 0)) &amp; ", " &amp; INDEX(Sheet2!$D:$D, MATCH(AE1860&amp;AF1860, Sheet2!$E:$E, 0)), ""), "-")</f>
        <v/>
      </c>
    </row>
    <row r="1861" spans="1:33" x14ac:dyDescent="0.25">
      <c r="A1861" t="s">
        <v>2966</v>
      </c>
      <c r="B1861" t="s">
        <v>3455</v>
      </c>
      <c r="C1861" t="s">
        <v>3125</v>
      </c>
      <c r="D1861" t="s">
        <v>1151</v>
      </c>
      <c r="E1861" t="s">
        <v>2178</v>
      </c>
      <c r="F1861">
        <v>1773</v>
      </c>
      <c r="G1861">
        <v>1039</v>
      </c>
      <c r="H1861" t="s">
        <v>38</v>
      </c>
      <c r="I1861" t="s">
        <v>80</v>
      </c>
      <c r="J1861" t="s">
        <v>3126</v>
      </c>
      <c r="K1861" t="s">
        <v>38</v>
      </c>
      <c r="L1861" t="s">
        <v>38</v>
      </c>
      <c r="M1861" t="s">
        <v>38</v>
      </c>
      <c r="N1861" t="s">
        <v>38</v>
      </c>
      <c r="O1861" t="s">
        <v>54</v>
      </c>
      <c r="P1861" t="s">
        <v>42</v>
      </c>
      <c r="Q1861" t="s">
        <v>43</v>
      </c>
      <c r="R1861" t="s">
        <v>3454</v>
      </c>
      <c r="S1861" t="s">
        <v>45</v>
      </c>
      <c r="T1861" t="s">
        <v>38</v>
      </c>
      <c r="U1861" t="s">
        <v>38</v>
      </c>
      <c r="V1861" t="s">
        <v>137</v>
      </c>
      <c r="W1861" t="s">
        <v>38</v>
      </c>
      <c r="X1861" t="s">
        <v>38</v>
      </c>
      <c r="Y1861" t="s">
        <v>38</v>
      </c>
      <c r="Z1861" t="s">
        <v>42</v>
      </c>
      <c r="AA1861" t="s">
        <v>1135</v>
      </c>
      <c r="AB1861" t="s">
        <v>38</v>
      </c>
      <c r="AC1861" t="s">
        <v>45</v>
      </c>
      <c r="AD1861" t="s">
        <v>48</v>
      </c>
      <c r="AG1861" t="str">
        <f>IF(AD1861="United States", IFERROR(INDEX(Sheet2!$C:$C, MATCH(AE1861&amp;AF1861, Sheet2!$E:$E, 0)) &amp; ", " &amp; INDEX(Sheet2!$D:$D, MATCH(AE1861&amp;AF1861, Sheet2!$E:$E, 0)), ""), "-")</f>
        <v/>
      </c>
    </row>
    <row r="1862" spans="1:33" x14ac:dyDescent="0.25">
      <c r="A1862" t="s">
        <v>2966</v>
      </c>
      <c r="B1862" t="s">
        <v>3456</v>
      </c>
      <c r="C1862" t="s">
        <v>3125</v>
      </c>
      <c r="D1862" t="s">
        <v>200</v>
      </c>
      <c r="E1862" t="s">
        <v>2178</v>
      </c>
      <c r="F1862">
        <v>1755</v>
      </c>
      <c r="G1862">
        <v>1040</v>
      </c>
      <c r="H1862" t="s">
        <v>2975</v>
      </c>
      <c r="I1862" t="s">
        <v>80</v>
      </c>
      <c r="J1862" t="s">
        <v>3126</v>
      </c>
      <c r="K1862" t="s">
        <v>38</v>
      </c>
      <c r="L1862" t="s">
        <v>38</v>
      </c>
      <c r="M1862" t="s">
        <v>38</v>
      </c>
      <c r="N1862" t="s">
        <v>38</v>
      </c>
      <c r="O1862" t="s">
        <v>41</v>
      </c>
      <c r="P1862" t="s">
        <v>42</v>
      </c>
      <c r="Q1862" t="s">
        <v>43</v>
      </c>
      <c r="R1862" t="s">
        <v>2452</v>
      </c>
      <c r="S1862" t="s">
        <v>45</v>
      </c>
      <c r="T1862" t="s">
        <v>89</v>
      </c>
      <c r="U1862" t="s">
        <v>2453</v>
      </c>
      <c r="V1862" t="s">
        <v>137</v>
      </c>
      <c r="W1862" t="s">
        <v>92</v>
      </c>
      <c r="X1862" t="s">
        <v>38</v>
      </c>
      <c r="Y1862" t="s">
        <v>38</v>
      </c>
      <c r="Z1862" t="s">
        <v>42</v>
      </c>
      <c r="AA1862" t="s">
        <v>1135</v>
      </c>
      <c r="AB1862" t="s">
        <v>38</v>
      </c>
      <c r="AC1862" t="s">
        <v>45</v>
      </c>
      <c r="AD1862" t="s">
        <v>48</v>
      </c>
      <c r="AG1862" t="str">
        <f>IF(AD1862="United States", IFERROR(INDEX(Sheet2!$C:$C, MATCH(AE1862&amp;AF1862, Sheet2!$E:$E, 0)) &amp; ", " &amp; INDEX(Sheet2!$D:$D, MATCH(AE1862&amp;AF1862, Sheet2!$E:$E, 0)), ""), "-")</f>
        <v/>
      </c>
    </row>
    <row r="1863" spans="1:33" x14ac:dyDescent="0.25">
      <c r="A1863" t="s">
        <v>2966</v>
      </c>
      <c r="B1863" t="s">
        <v>3457</v>
      </c>
      <c r="C1863" t="s">
        <v>3125</v>
      </c>
      <c r="D1863" t="s">
        <v>495</v>
      </c>
      <c r="E1863" t="s">
        <v>1377</v>
      </c>
      <c r="F1863">
        <v>1758</v>
      </c>
      <c r="G1863">
        <v>1041</v>
      </c>
      <c r="H1863" t="s">
        <v>2975</v>
      </c>
      <c r="I1863" t="s">
        <v>80</v>
      </c>
      <c r="J1863" t="s">
        <v>3126</v>
      </c>
      <c r="K1863" t="s">
        <v>38</v>
      </c>
      <c r="L1863" t="s">
        <v>38</v>
      </c>
      <c r="M1863" t="s">
        <v>38</v>
      </c>
      <c r="N1863" t="s">
        <v>38</v>
      </c>
      <c r="O1863" t="s">
        <v>57</v>
      </c>
      <c r="P1863" t="s">
        <v>42</v>
      </c>
      <c r="Q1863" t="s">
        <v>43</v>
      </c>
      <c r="R1863" t="s">
        <v>2452</v>
      </c>
      <c r="S1863" t="s">
        <v>45</v>
      </c>
      <c r="T1863" t="s">
        <v>89</v>
      </c>
      <c r="U1863" t="s">
        <v>2453</v>
      </c>
      <c r="V1863" t="s">
        <v>137</v>
      </c>
      <c r="W1863" t="s">
        <v>92</v>
      </c>
      <c r="X1863" t="s">
        <v>38</v>
      </c>
      <c r="Y1863" t="s">
        <v>38</v>
      </c>
      <c r="Z1863" t="s">
        <v>42</v>
      </c>
      <c r="AA1863" t="s">
        <v>143</v>
      </c>
      <c r="AB1863" t="s">
        <v>38</v>
      </c>
      <c r="AC1863" t="s">
        <v>45</v>
      </c>
      <c r="AD1863" t="s">
        <v>48</v>
      </c>
      <c r="AG1863" t="str">
        <f>IF(AD1863="United States", IFERROR(INDEX(Sheet2!$C:$C, MATCH(AE1863&amp;AF1863, Sheet2!$E:$E, 0)) &amp; ", " &amp; INDEX(Sheet2!$D:$D, MATCH(AE1863&amp;AF1863, Sheet2!$E:$E, 0)), ""), "-")</f>
        <v/>
      </c>
    </row>
    <row r="1864" spans="1:33" x14ac:dyDescent="0.25">
      <c r="A1864" t="s">
        <v>2966</v>
      </c>
      <c r="B1864" t="s">
        <v>3458</v>
      </c>
      <c r="C1864" t="s">
        <v>3125</v>
      </c>
      <c r="D1864" t="s">
        <v>114</v>
      </c>
      <c r="E1864" t="s">
        <v>1147</v>
      </c>
      <c r="F1864">
        <v>1762</v>
      </c>
      <c r="G1864">
        <v>1042</v>
      </c>
      <c r="H1864" t="s">
        <v>2975</v>
      </c>
      <c r="I1864" t="s">
        <v>80</v>
      </c>
      <c r="J1864" t="s">
        <v>3126</v>
      </c>
      <c r="K1864" t="s">
        <v>38</v>
      </c>
      <c r="L1864" t="s">
        <v>38</v>
      </c>
      <c r="M1864" t="s">
        <v>38</v>
      </c>
      <c r="N1864" t="s">
        <v>38</v>
      </c>
      <c r="O1864" t="s">
        <v>57</v>
      </c>
      <c r="P1864" t="s">
        <v>42</v>
      </c>
      <c r="Q1864" t="s">
        <v>43</v>
      </c>
      <c r="R1864" t="s">
        <v>2452</v>
      </c>
      <c r="S1864" t="s">
        <v>45</v>
      </c>
      <c r="T1864" t="s">
        <v>89</v>
      </c>
      <c r="U1864" t="s">
        <v>2453</v>
      </c>
      <c r="V1864" t="s">
        <v>137</v>
      </c>
      <c r="W1864" t="s">
        <v>92</v>
      </c>
      <c r="X1864" t="s">
        <v>38</v>
      </c>
      <c r="Y1864" t="s">
        <v>38</v>
      </c>
      <c r="Z1864" t="s">
        <v>42</v>
      </c>
      <c r="AA1864" t="s">
        <v>38</v>
      </c>
      <c r="AB1864" t="s">
        <v>38</v>
      </c>
      <c r="AC1864" t="s">
        <v>45</v>
      </c>
      <c r="AD1864" t="s">
        <v>48</v>
      </c>
      <c r="AG1864" t="str">
        <f>IF(AD1864="United States", IFERROR(INDEX(Sheet2!$C:$C, MATCH(AE1864&amp;AF1864, Sheet2!$E:$E, 0)) &amp; ", " &amp; INDEX(Sheet2!$D:$D, MATCH(AE1864&amp;AF1864, Sheet2!$E:$E, 0)), ""), "-")</f>
        <v/>
      </c>
    </row>
    <row r="1865" spans="1:33" x14ac:dyDescent="0.25">
      <c r="A1865" t="s">
        <v>2966</v>
      </c>
      <c r="B1865" t="s">
        <v>3459</v>
      </c>
      <c r="C1865" t="s">
        <v>3125</v>
      </c>
      <c r="D1865" t="s">
        <v>1230</v>
      </c>
      <c r="E1865" t="s">
        <v>3460</v>
      </c>
      <c r="F1865">
        <v>1718</v>
      </c>
      <c r="G1865">
        <v>1043</v>
      </c>
      <c r="H1865" t="s">
        <v>2977</v>
      </c>
      <c r="I1865" t="s">
        <v>80</v>
      </c>
      <c r="J1865" t="s">
        <v>3126</v>
      </c>
      <c r="K1865" t="s">
        <v>38</v>
      </c>
      <c r="L1865" t="s">
        <v>38</v>
      </c>
      <c r="M1865" t="s">
        <v>38</v>
      </c>
      <c r="N1865" t="s">
        <v>38</v>
      </c>
      <c r="O1865" t="s">
        <v>57</v>
      </c>
      <c r="P1865" t="s">
        <v>42</v>
      </c>
      <c r="Q1865" t="s">
        <v>43</v>
      </c>
      <c r="R1865" t="s">
        <v>2452</v>
      </c>
      <c r="S1865" t="s">
        <v>45</v>
      </c>
      <c r="T1865" t="s">
        <v>89</v>
      </c>
      <c r="U1865" t="s">
        <v>2453</v>
      </c>
      <c r="V1865" t="s">
        <v>137</v>
      </c>
      <c r="W1865" t="s">
        <v>92</v>
      </c>
      <c r="X1865" t="s">
        <v>38</v>
      </c>
      <c r="Y1865" t="s">
        <v>38</v>
      </c>
      <c r="Z1865" t="s">
        <v>42</v>
      </c>
      <c r="AA1865" t="s">
        <v>169</v>
      </c>
      <c r="AB1865" t="s">
        <v>38</v>
      </c>
      <c r="AC1865" t="s">
        <v>45</v>
      </c>
      <c r="AD1865" t="s">
        <v>48</v>
      </c>
      <c r="AG1865" t="str">
        <f>IF(AD1865="United States", IFERROR(INDEX(Sheet2!$C:$C, MATCH(AE1865&amp;AF1865, Sheet2!$E:$E, 0)) &amp; ", " &amp; INDEX(Sheet2!$D:$D, MATCH(AE1865&amp;AF1865, Sheet2!$E:$E, 0)), ""), "-")</f>
        <v/>
      </c>
    </row>
    <row r="1866" spans="1:33" x14ac:dyDescent="0.25">
      <c r="A1866" t="s">
        <v>2966</v>
      </c>
      <c r="B1866" t="s">
        <v>3461</v>
      </c>
      <c r="C1866" t="s">
        <v>3125</v>
      </c>
      <c r="D1866" t="s">
        <v>807</v>
      </c>
      <c r="E1866" t="s">
        <v>728</v>
      </c>
      <c r="F1866">
        <v>1741</v>
      </c>
      <c r="G1866">
        <v>1044</v>
      </c>
      <c r="H1866" t="s">
        <v>38</v>
      </c>
      <c r="I1866" t="s">
        <v>80</v>
      </c>
      <c r="J1866" t="s">
        <v>3126</v>
      </c>
      <c r="K1866" t="s">
        <v>38</v>
      </c>
      <c r="L1866" t="s">
        <v>38</v>
      </c>
      <c r="M1866" t="s">
        <v>38</v>
      </c>
      <c r="N1866" t="s">
        <v>38</v>
      </c>
      <c r="O1866" t="s">
        <v>41</v>
      </c>
      <c r="P1866" t="s">
        <v>42</v>
      </c>
      <c r="Q1866" t="s">
        <v>43</v>
      </c>
      <c r="R1866" t="s">
        <v>3462</v>
      </c>
      <c r="S1866" t="s">
        <v>45</v>
      </c>
      <c r="T1866" t="s">
        <v>38</v>
      </c>
      <c r="U1866" t="s">
        <v>38</v>
      </c>
      <c r="V1866" t="s">
        <v>137</v>
      </c>
      <c r="W1866" t="s">
        <v>38</v>
      </c>
      <c r="X1866" t="s">
        <v>38</v>
      </c>
      <c r="Y1866" t="s">
        <v>38</v>
      </c>
      <c r="Z1866" t="s">
        <v>42</v>
      </c>
      <c r="AA1866" t="s">
        <v>3463</v>
      </c>
      <c r="AB1866" t="s">
        <v>38</v>
      </c>
      <c r="AC1866" t="s">
        <v>45</v>
      </c>
      <c r="AD1866" t="s">
        <v>48</v>
      </c>
      <c r="AG1866" t="str">
        <f>IF(AD1866="United States", IFERROR(INDEX(Sheet2!$C:$C, MATCH(AE1866&amp;AF1866, Sheet2!$E:$E, 0)) &amp; ", " &amp; INDEX(Sheet2!$D:$D, MATCH(AE1866&amp;AF1866, Sheet2!$E:$E, 0)), ""), "-")</f>
        <v/>
      </c>
    </row>
    <row r="1867" spans="1:33" x14ac:dyDescent="0.25">
      <c r="A1867" t="s">
        <v>2966</v>
      </c>
      <c r="B1867" t="s">
        <v>3464</v>
      </c>
      <c r="C1867" t="s">
        <v>3125</v>
      </c>
      <c r="D1867" t="s">
        <v>945</v>
      </c>
      <c r="E1867" t="s">
        <v>368</v>
      </c>
      <c r="F1867">
        <v>1760</v>
      </c>
      <c r="G1867">
        <v>1045</v>
      </c>
      <c r="H1867" t="s">
        <v>38</v>
      </c>
      <c r="I1867" t="s">
        <v>80</v>
      </c>
      <c r="J1867" t="s">
        <v>3126</v>
      </c>
      <c r="K1867" t="s">
        <v>38</v>
      </c>
      <c r="L1867" t="s">
        <v>38</v>
      </c>
      <c r="M1867" t="s">
        <v>38</v>
      </c>
      <c r="N1867" t="s">
        <v>38</v>
      </c>
      <c r="O1867" t="s">
        <v>41</v>
      </c>
      <c r="P1867" t="s">
        <v>42</v>
      </c>
      <c r="Q1867" t="s">
        <v>43</v>
      </c>
      <c r="R1867" t="s">
        <v>3465</v>
      </c>
      <c r="S1867" t="s">
        <v>45</v>
      </c>
      <c r="T1867" t="s">
        <v>38</v>
      </c>
      <c r="U1867" t="s">
        <v>38</v>
      </c>
      <c r="V1867" t="s">
        <v>137</v>
      </c>
      <c r="W1867" t="s">
        <v>38</v>
      </c>
      <c r="X1867" t="s">
        <v>38</v>
      </c>
      <c r="Y1867" t="s">
        <v>38</v>
      </c>
      <c r="Z1867" t="s">
        <v>42</v>
      </c>
      <c r="AA1867" t="s">
        <v>241</v>
      </c>
      <c r="AB1867" t="s">
        <v>38</v>
      </c>
      <c r="AC1867" t="s">
        <v>45</v>
      </c>
      <c r="AD1867" t="s">
        <v>48</v>
      </c>
      <c r="AG1867" t="str">
        <f>IF(AD1867="United States", IFERROR(INDEX(Sheet2!$C:$C, MATCH(AE1867&amp;AF1867, Sheet2!$E:$E, 0)) &amp; ", " &amp; INDEX(Sheet2!$D:$D, MATCH(AE1867&amp;AF1867, Sheet2!$E:$E, 0)), ""), "-")</f>
        <v/>
      </c>
    </row>
    <row r="1868" spans="1:33" x14ac:dyDescent="0.25">
      <c r="A1868" t="s">
        <v>2966</v>
      </c>
      <c r="B1868" t="s">
        <v>3466</v>
      </c>
      <c r="C1868" t="s">
        <v>3125</v>
      </c>
      <c r="D1868" t="s">
        <v>1964</v>
      </c>
      <c r="E1868" t="s">
        <v>368</v>
      </c>
      <c r="F1868">
        <v>1763</v>
      </c>
      <c r="G1868">
        <v>1046</v>
      </c>
      <c r="H1868" t="s">
        <v>38</v>
      </c>
      <c r="I1868" t="s">
        <v>80</v>
      </c>
      <c r="J1868" t="s">
        <v>3126</v>
      </c>
      <c r="K1868" t="s">
        <v>38</v>
      </c>
      <c r="L1868" t="s">
        <v>38</v>
      </c>
      <c r="M1868" t="s">
        <v>38</v>
      </c>
      <c r="N1868" t="s">
        <v>38</v>
      </c>
      <c r="O1868" t="s">
        <v>57</v>
      </c>
      <c r="P1868" t="s">
        <v>42</v>
      </c>
      <c r="Q1868" t="s">
        <v>43</v>
      </c>
      <c r="R1868" t="s">
        <v>3467</v>
      </c>
      <c r="S1868" t="s">
        <v>153</v>
      </c>
      <c r="T1868" t="s">
        <v>38</v>
      </c>
      <c r="U1868" t="s">
        <v>38</v>
      </c>
      <c r="V1868" t="s">
        <v>137</v>
      </c>
      <c r="W1868" t="s">
        <v>38</v>
      </c>
      <c r="X1868" t="s">
        <v>38</v>
      </c>
      <c r="Y1868" t="s">
        <v>38</v>
      </c>
      <c r="Z1868" t="s">
        <v>42</v>
      </c>
      <c r="AA1868" t="s">
        <v>155</v>
      </c>
      <c r="AB1868" t="s">
        <v>38</v>
      </c>
      <c r="AC1868" t="s">
        <v>153</v>
      </c>
      <c r="AD1868" t="s">
        <v>48</v>
      </c>
      <c r="AG1868" t="str">
        <f>IF(AD1868="United States", IFERROR(INDEX(Sheet2!$C:$C, MATCH(AE1868&amp;AF1868, Sheet2!$E:$E, 0)) &amp; ", " &amp; INDEX(Sheet2!$D:$D, MATCH(AE1868&amp;AF1868, Sheet2!$E:$E, 0)), ""), "-")</f>
        <v/>
      </c>
    </row>
    <row r="1869" spans="1:33" x14ac:dyDescent="0.25">
      <c r="A1869" t="s">
        <v>2966</v>
      </c>
      <c r="B1869" t="s">
        <v>3386</v>
      </c>
      <c r="C1869" t="s">
        <v>3125</v>
      </c>
      <c r="D1869" t="s">
        <v>36</v>
      </c>
      <c r="E1869" t="s">
        <v>1143</v>
      </c>
      <c r="F1869">
        <v>1771</v>
      </c>
      <c r="G1869">
        <v>1034</v>
      </c>
      <c r="H1869" t="s">
        <v>2975</v>
      </c>
      <c r="I1869" t="s">
        <v>80</v>
      </c>
      <c r="J1869" t="s">
        <v>3126</v>
      </c>
      <c r="K1869" t="s">
        <v>38</v>
      </c>
      <c r="L1869" t="s">
        <v>38</v>
      </c>
      <c r="M1869" t="s">
        <v>38</v>
      </c>
      <c r="N1869" t="s">
        <v>38</v>
      </c>
      <c r="O1869" t="s">
        <v>54</v>
      </c>
      <c r="P1869" t="s">
        <v>42</v>
      </c>
      <c r="Q1869" t="s">
        <v>43</v>
      </c>
      <c r="R1869" t="s">
        <v>2452</v>
      </c>
      <c r="S1869" t="s">
        <v>45</v>
      </c>
      <c r="T1869" t="s">
        <v>89</v>
      </c>
      <c r="U1869" t="s">
        <v>2453</v>
      </c>
      <c r="V1869" t="s">
        <v>137</v>
      </c>
      <c r="W1869" t="s">
        <v>92</v>
      </c>
      <c r="X1869" t="s">
        <v>38</v>
      </c>
      <c r="Y1869" t="s">
        <v>38</v>
      </c>
      <c r="Z1869" t="s">
        <v>42</v>
      </c>
      <c r="AA1869" t="s">
        <v>1135</v>
      </c>
      <c r="AB1869" t="s">
        <v>38</v>
      </c>
      <c r="AC1869" t="s">
        <v>45</v>
      </c>
      <c r="AD1869" t="s">
        <v>48</v>
      </c>
      <c r="AG1869" t="str">
        <f>IF(AD1869="United States", IFERROR(INDEX(Sheet2!$C:$C, MATCH(AE1869&amp;AF1869, Sheet2!$E:$E, 0)) &amp; ", " &amp; INDEX(Sheet2!$D:$D, MATCH(AE1869&amp;AF1869, Sheet2!$E:$E, 0)), ""), "-")</f>
        <v/>
      </c>
    </row>
    <row r="1870" spans="1:33" x14ac:dyDescent="0.25">
      <c r="A1870" t="s">
        <v>2966</v>
      </c>
      <c r="B1870" t="s">
        <v>3359</v>
      </c>
      <c r="C1870" t="s">
        <v>3125</v>
      </c>
      <c r="D1870" t="s">
        <v>62</v>
      </c>
      <c r="E1870" t="s">
        <v>3360</v>
      </c>
      <c r="F1870">
        <v>1760</v>
      </c>
      <c r="G1870">
        <v>1019</v>
      </c>
      <c r="H1870" t="s">
        <v>2977</v>
      </c>
      <c r="I1870" t="s">
        <v>80</v>
      </c>
      <c r="J1870" t="s">
        <v>3126</v>
      </c>
      <c r="K1870" t="s">
        <v>38</v>
      </c>
      <c r="L1870" t="s">
        <v>38</v>
      </c>
      <c r="M1870" t="s">
        <v>38</v>
      </c>
      <c r="N1870" t="s">
        <v>38</v>
      </c>
      <c r="O1870" t="s">
        <v>41</v>
      </c>
      <c r="P1870" t="s">
        <v>42</v>
      </c>
      <c r="Q1870" t="s">
        <v>43</v>
      </c>
      <c r="R1870" t="s">
        <v>2452</v>
      </c>
      <c r="S1870" t="s">
        <v>45</v>
      </c>
      <c r="T1870" t="s">
        <v>89</v>
      </c>
      <c r="U1870" t="s">
        <v>2453</v>
      </c>
      <c r="V1870" t="s">
        <v>137</v>
      </c>
      <c r="W1870" t="s">
        <v>92</v>
      </c>
      <c r="X1870" t="s">
        <v>38</v>
      </c>
      <c r="Y1870" t="s">
        <v>38</v>
      </c>
      <c r="Z1870" t="s">
        <v>42</v>
      </c>
      <c r="AA1870" t="s">
        <v>169</v>
      </c>
      <c r="AB1870" t="s">
        <v>38</v>
      </c>
      <c r="AC1870" t="s">
        <v>45</v>
      </c>
      <c r="AD1870" t="s">
        <v>48</v>
      </c>
      <c r="AG1870" t="str">
        <f>IF(AD1870="United States", IFERROR(INDEX(Sheet2!$C:$C, MATCH(AE1870&amp;AF1870, Sheet2!$E:$E, 0)) &amp; ", " &amp; INDEX(Sheet2!$D:$D, MATCH(AE1870&amp;AF1870, Sheet2!$E:$E, 0)), ""), "-")</f>
        <v/>
      </c>
    </row>
    <row r="1871" spans="1:33" x14ac:dyDescent="0.25">
      <c r="A1871" t="s">
        <v>2966</v>
      </c>
      <c r="B1871" t="s">
        <v>3358</v>
      </c>
      <c r="C1871" t="s">
        <v>3125</v>
      </c>
      <c r="D1871" t="s">
        <v>50</v>
      </c>
      <c r="E1871" t="s">
        <v>991</v>
      </c>
      <c r="F1871">
        <v>1765</v>
      </c>
      <c r="G1871">
        <v>1018</v>
      </c>
      <c r="H1871" t="s">
        <v>38</v>
      </c>
      <c r="I1871" t="s">
        <v>80</v>
      </c>
      <c r="J1871" t="s">
        <v>3126</v>
      </c>
      <c r="K1871" t="s">
        <v>38</v>
      </c>
      <c r="L1871" t="s">
        <v>38</v>
      </c>
      <c r="M1871" t="s">
        <v>38</v>
      </c>
      <c r="N1871" t="s">
        <v>38</v>
      </c>
      <c r="O1871" t="s">
        <v>54</v>
      </c>
      <c r="P1871" t="s">
        <v>42</v>
      </c>
      <c r="Q1871" t="s">
        <v>43</v>
      </c>
      <c r="R1871" t="s">
        <v>38</v>
      </c>
      <c r="S1871" t="s">
        <v>38</v>
      </c>
      <c r="T1871" t="s">
        <v>38</v>
      </c>
      <c r="U1871" t="s">
        <v>38</v>
      </c>
      <c r="V1871" t="s">
        <v>137</v>
      </c>
      <c r="W1871" t="s">
        <v>38</v>
      </c>
      <c r="X1871" t="s">
        <v>38</v>
      </c>
      <c r="Y1871" t="s">
        <v>38</v>
      </c>
      <c r="Z1871" t="s">
        <v>42</v>
      </c>
      <c r="AA1871" t="s">
        <v>38</v>
      </c>
      <c r="AB1871" t="s">
        <v>38</v>
      </c>
      <c r="AC1871" t="s">
        <v>3357</v>
      </c>
      <c r="AD1871" t="s">
        <v>48</v>
      </c>
      <c r="AG1871" t="str">
        <f>IF(AD1871="United States", IFERROR(INDEX(Sheet2!$C:$C, MATCH(AE1871&amp;AF1871, Sheet2!$E:$E, 0)) &amp; ", " &amp; INDEX(Sheet2!$D:$D, MATCH(AE1871&amp;AF1871, Sheet2!$E:$E, 0)), ""), "-")</f>
        <v/>
      </c>
    </row>
    <row r="1872" spans="1:33" x14ac:dyDescent="0.25">
      <c r="A1872" t="s">
        <v>2966</v>
      </c>
      <c r="B1872" t="s">
        <v>3356</v>
      </c>
      <c r="C1872" t="s">
        <v>3125</v>
      </c>
      <c r="D1872" t="s">
        <v>140</v>
      </c>
      <c r="E1872" t="s">
        <v>991</v>
      </c>
      <c r="F1872">
        <v>1759</v>
      </c>
      <c r="G1872">
        <v>1017</v>
      </c>
      <c r="H1872" t="s">
        <v>2975</v>
      </c>
      <c r="I1872" t="s">
        <v>80</v>
      </c>
      <c r="J1872" t="s">
        <v>3126</v>
      </c>
      <c r="K1872" t="s">
        <v>38</v>
      </c>
      <c r="L1872" t="s">
        <v>38</v>
      </c>
      <c r="M1872" t="s">
        <v>38</v>
      </c>
      <c r="N1872" t="s">
        <v>38</v>
      </c>
      <c r="O1872" t="s">
        <v>57</v>
      </c>
      <c r="P1872" t="s">
        <v>42</v>
      </c>
      <c r="Q1872" t="s">
        <v>43</v>
      </c>
      <c r="R1872" t="s">
        <v>2452</v>
      </c>
      <c r="S1872" t="s">
        <v>45</v>
      </c>
      <c r="T1872" t="s">
        <v>89</v>
      </c>
      <c r="U1872" t="s">
        <v>2453</v>
      </c>
      <c r="V1872" t="s">
        <v>137</v>
      </c>
      <c r="W1872" t="s">
        <v>92</v>
      </c>
      <c r="X1872" t="s">
        <v>38</v>
      </c>
      <c r="Y1872" t="s">
        <v>38</v>
      </c>
      <c r="Z1872" t="s">
        <v>42</v>
      </c>
      <c r="AA1872" t="s">
        <v>3357</v>
      </c>
      <c r="AB1872" t="s">
        <v>780</v>
      </c>
      <c r="AC1872" t="s">
        <v>45</v>
      </c>
      <c r="AD1872" t="s">
        <v>48</v>
      </c>
      <c r="AG1872" t="str">
        <f>IF(AD1872="United States", IFERROR(INDEX(Sheet2!$C:$C, MATCH(AE1872&amp;AF1872, Sheet2!$E:$E, 0)) &amp; ", " &amp; INDEX(Sheet2!$D:$D, MATCH(AE1872&amp;AF1872, Sheet2!$E:$E, 0)), ""), "-")</f>
        <v/>
      </c>
    </row>
    <row r="1873" spans="1:33" x14ac:dyDescent="0.25">
      <c r="A1873" t="s">
        <v>2966</v>
      </c>
      <c r="B1873" t="s">
        <v>3413</v>
      </c>
      <c r="C1873" t="s">
        <v>3125</v>
      </c>
      <c r="D1873" t="s">
        <v>235</v>
      </c>
      <c r="E1873" t="s">
        <v>1337</v>
      </c>
      <c r="F1873">
        <v>1759</v>
      </c>
      <c r="G1873">
        <v>990</v>
      </c>
      <c r="H1873" t="s">
        <v>38</v>
      </c>
      <c r="I1873" t="s">
        <v>80</v>
      </c>
      <c r="J1873" t="s">
        <v>3126</v>
      </c>
      <c r="K1873" t="s">
        <v>38</v>
      </c>
      <c r="L1873" t="s">
        <v>38</v>
      </c>
      <c r="M1873" t="s">
        <v>38</v>
      </c>
      <c r="N1873" t="s">
        <v>38</v>
      </c>
      <c r="O1873" t="s">
        <v>57</v>
      </c>
      <c r="P1873" t="s">
        <v>42</v>
      </c>
      <c r="Q1873" t="s">
        <v>43</v>
      </c>
      <c r="R1873" t="s">
        <v>3414</v>
      </c>
      <c r="S1873" t="s">
        <v>45</v>
      </c>
      <c r="T1873" t="s">
        <v>38</v>
      </c>
      <c r="U1873" t="s">
        <v>38</v>
      </c>
      <c r="V1873" t="s">
        <v>137</v>
      </c>
      <c r="W1873" t="s">
        <v>38</v>
      </c>
      <c r="X1873" t="s">
        <v>38</v>
      </c>
      <c r="Y1873" t="s">
        <v>38</v>
      </c>
      <c r="Z1873" t="s">
        <v>42</v>
      </c>
      <c r="AA1873" t="s">
        <v>1135</v>
      </c>
      <c r="AB1873" t="s">
        <v>38</v>
      </c>
      <c r="AC1873" t="s">
        <v>45</v>
      </c>
      <c r="AD1873" t="s">
        <v>48</v>
      </c>
      <c r="AG1873" t="str">
        <f>IF(AD1873="United States", IFERROR(INDEX(Sheet2!$C:$C, MATCH(AE1873&amp;AF1873, Sheet2!$E:$E, 0)) &amp; ", " &amp; INDEX(Sheet2!$D:$D, MATCH(AE1873&amp;AF1873, Sheet2!$E:$E, 0)), ""), "-")</f>
        <v/>
      </c>
    </row>
    <row r="1874" spans="1:33" x14ac:dyDescent="0.25">
      <c r="A1874" t="s">
        <v>2966</v>
      </c>
      <c r="B1874" t="s">
        <v>3415</v>
      </c>
      <c r="C1874" t="s">
        <v>3125</v>
      </c>
      <c r="D1874" t="s">
        <v>2146</v>
      </c>
      <c r="E1874" t="s">
        <v>1337</v>
      </c>
      <c r="F1874">
        <v>1769</v>
      </c>
      <c r="G1874">
        <v>991</v>
      </c>
      <c r="H1874" t="s">
        <v>38</v>
      </c>
      <c r="I1874" t="s">
        <v>80</v>
      </c>
      <c r="J1874" t="s">
        <v>3126</v>
      </c>
      <c r="K1874" t="s">
        <v>38</v>
      </c>
      <c r="L1874" t="s">
        <v>38</v>
      </c>
      <c r="M1874" t="s">
        <v>38</v>
      </c>
      <c r="N1874" t="s">
        <v>38</v>
      </c>
      <c r="O1874" t="s">
        <v>74</v>
      </c>
      <c r="P1874" t="s">
        <v>42</v>
      </c>
      <c r="Q1874" t="s">
        <v>43</v>
      </c>
      <c r="R1874" t="s">
        <v>3414</v>
      </c>
      <c r="S1874" t="s">
        <v>45</v>
      </c>
      <c r="T1874" t="s">
        <v>38</v>
      </c>
      <c r="U1874" t="s">
        <v>38</v>
      </c>
      <c r="V1874" t="s">
        <v>137</v>
      </c>
      <c r="W1874" t="s">
        <v>38</v>
      </c>
      <c r="X1874" t="s">
        <v>38</v>
      </c>
      <c r="Y1874" t="s">
        <v>38</v>
      </c>
      <c r="Z1874" t="s">
        <v>42</v>
      </c>
      <c r="AA1874" t="s">
        <v>1135</v>
      </c>
      <c r="AB1874" t="s">
        <v>38</v>
      </c>
      <c r="AC1874" t="s">
        <v>45</v>
      </c>
      <c r="AD1874" t="s">
        <v>48</v>
      </c>
      <c r="AG1874" t="str">
        <f>IF(AD1874="United States", IFERROR(INDEX(Sheet2!$C:$C, MATCH(AE1874&amp;AF1874, Sheet2!$E:$E, 0)) &amp; ", " &amp; INDEX(Sheet2!$D:$D, MATCH(AE1874&amp;AF1874, Sheet2!$E:$E, 0)), ""), "-")</f>
        <v/>
      </c>
    </row>
    <row r="1875" spans="1:33" x14ac:dyDescent="0.25">
      <c r="A1875" t="s">
        <v>2966</v>
      </c>
      <c r="B1875" t="s">
        <v>3416</v>
      </c>
      <c r="C1875" t="s">
        <v>3125</v>
      </c>
      <c r="D1875" t="s">
        <v>835</v>
      </c>
      <c r="E1875" t="s">
        <v>1337</v>
      </c>
      <c r="F1875">
        <v>1774</v>
      </c>
      <c r="G1875">
        <v>992</v>
      </c>
      <c r="H1875" t="s">
        <v>38</v>
      </c>
      <c r="I1875" t="s">
        <v>80</v>
      </c>
      <c r="J1875" t="s">
        <v>3126</v>
      </c>
      <c r="K1875" t="s">
        <v>38</v>
      </c>
      <c r="L1875" t="s">
        <v>38</v>
      </c>
      <c r="M1875" t="s">
        <v>38</v>
      </c>
      <c r="N1875" t="s">
        <v>38</v>
      </c>
      <c r="O1875" t="s">
        <v>74</v>
      </c>
      <c r="P1875" t="s">
        <v>42</v>
      </c>
      <c r="Q1875" t="s">
        <v>43</v>
      </c>
      <c r="R1875" t="s">
        <v>3414</v>
      </c>
      <c r="S1875" t="s">
        <v>45</v>
      </c>
      <c r="T1875" t="s">
        <v>38</v>
      </c>
      <c r="U1875" t="s">
        <v>38</v>
      </c>
      <c r="V1875" t="s">
        <v>137</v>
      </c>
      <c r="W1875" t="s">
        <v>38</v>
      </c>
      <c r="X1875" t="s">
        <v>38</v>
      </c>
      <c r="Y1875" t="s">
        <v>38</v>
      </c>
      <c r="Z1875" t="s">
        <v>42</v>
      </c>
      <c r="AA1875" t="s">
        <v>1135</v>
      </c>
      <c r="AB1875" t="s">
        <v>38</v>
      </c>
      <c r="AC1875" t="s">
        <v>45</v>
      </c>
      <c r="AD1875" t="s">
        <v>48</v>
      </c>
      <c r="AG1875" t="str">
        <f>IF(AD1875="United States", IFERROR(INDEX(Sheet2!$C:$C, MATCH(AE1875&amp;AF1875, Sheet2!$E:$E, 0)) &amp; ", " &amp; INDEX(Sheet2!$D:$D, MATCH(AE1875&amp;AF1875, Sheet2!$E:$E, 0)), ""), "-")</f>
        <v/>
      </c>
    </row>
    <row r="1876" spans="1:33" x14ac:dyDescent="0.25">
      <c r="A1876" t="s">
        <v>2966</v>
      </c>
      <c r="B1876" t="s">
        <v>3417</v>
      </c>
      <c r="C1876" t="s">
        <v>3125</v>
      </c>
      <c r="D1876" t="s">
        <v>114</v>
      </c>
      <c r="E1876" t="s">
        <v>3186</v>
      </c>
      <c r="F1876">
        <v>1740</v>
      </c>
      <c r="G1876">
        <v>993</v>
      </c>
      <c r="H1876" t="s">
        <v>2975</v>
      </c>
      <c r="I1876" t="s">
        <v>80</v>
      </c>
      <c r="J1876" t="s">
        <v>3126</v>
      </c>
      <c r="K1876" t="s">
        <v>38</v>
      </c>
      <c r="L1876" t="s">
        <v>38</v>
      </c>
      <c r="M1876" t="s">
        <v>38</v>
      </c>
      <c r="N1876" t="s">
        <v>38</v>
      </c>
      <c r="O1876" t="s">
        <v>57</v>
      </c>
      <c r="P1876" t="s">
        <v>42</v>
      </c>
      <c r="Q1876" t="s">
        <v>43</v>
      </c>
      <c r="R1876" t="s">
        <v>2452</v>
      </c>
      <c r="S1876" t="s">
        <v>45</v>
      </c>
      <c r="T1876" t="s">
        <v>89</v>
      </c>
      <c r="U1876" t="s">
        <v>2453</v>
      </c>
      <c r="V1876" t="s">
        <v>137</v>
      </c>
      <c r="W1876" t="s">
        <v>92</v>
      </c>
      <c r="X1876" t="s">
        <v>38</v>
      </c>
      <c r="Y1876" t="s">
        <v>38</v>
      </c>
      <c r="Z1876" t="s">
        <v>42</v>
      </c>
      <c r="AA1876" t="s">
        <v>169</v>
      </c>
      <c r="AB1876" t="s">
        <v>38</v>
      </c>
      <c r="AC1876" t="s">
        <v>45</v>
      </c>
      <c r="AD1876" t="s">
        <v>48</v>
      </c>
      <c r="AG1876" t="str">
        <f>IF(AD1876="United States", IFERROR(INDEX(Sheet2!$C:$C, MATCH(AE1876&amp;AF1876, Sheet2!$E:$E, 0)) &amp; ", " &amp; INDEX(Sheet2!$D:$D, MATCH(AE1876&amp;AF1876, Sheet2!$E:$E, 0)), ""), "-")</f>
        <v/>
      </c>
    </row>
    <row r="1877" spans="1:33" x14ac:dyDescent="0.25">
      <c r="A1877" t="s">
        <v>2966</v>
      </c>
      <c r="B1877" t="s">
        <v>3418</v>
      </c>
      <c r="C1877" t="s">
        <v>3125</v>
      </c>
      <c r="D1877" t="s">
        <v>3419</v>
      </c>
      <c r="E1877" t="s">
        <v>3420</v>
      </c>
      <c r="F1877">
        <v>1768</v>
      </c>
      <c r="G1877">
        <v>994</v>
      </c>
      <c r="H1877" t="s">
        <v>38</v>
      </c>
      <c r="I1877" t="s">
        <v>80</v>
      </c>
      <c r="J1877" t="s">
        <v>3126</v>
      </c>
      <c r="K1877" t="s">
        <v>38</v>
      </c>
      <c r="L1877" t="s">
        <v>38</v>
      </c>
      <c r="M1877" t="s">
        <v>38</v>
      </c>
      <c r="N1877" t="s">
        <v>38</v>
      </c>
      <c r="O1877" t="s">
        <v>74</v>
      </c>
      <c r="P1877" t="s">
        <v>42</v>
      </c>
      <c r="Q1877" t="s">
        <v>43</v>
      </c>
      <c r="R1877" t="s">
        <v>3421</v>
      </c>
      <c r="S1877" t="s">
        <v>45</v>
      </c>
      <c r="T1877" t="s">
        <v>38</v>
      </c>
      <c r="U1877" t="s">
        <v>38</v>
      </c>
      <c r="V1877" t="s">
        <v>137</v>
      </c>
      <c r="W1877" t="s">
        <v>38</v>
      </c>
      <c r="X1877" t="s">
        <v>38</v>
      </c>
      <c r="Y1877" t="s">
        <v>38</v>
      </c>
      <c r="Z1877" t="s">
        <v>42</v>
      </c>
      <c r="AA1877" t="s">
        <v>169</v>
      </c>
      <c r="AB1877" t="s">
        <v>38</v>
      </c>
      <c r="AC1877" t="s">
        <v>45</v>
      </c>
      <c r="AD1877" t="s">
        <v>48</v>
      </c>
      <c r="AG1877" t="str">
        <f>IF(AD1877="United States", IFERROR(INDEX(Sheet2!$C:$C, MATCH(AE1877&amp;AF1877, Sheet2!$E:$E, 0)) &amp; ", " &amp; INDEX(Sheet2!$D:$D, MATCH(AE1877&amp;AF1877, Sheet2!$E:$E, 0)), ""), "-")</f>
        <v/>
      </c>
    </row>
    <row r="1878" spans="1:33" x14ac:dyDescent="0.25">
      <c r="A1878" t="s">
        <v>2966</v>
      </c>
      <c r="B1878" t="s">
        <v>3422</v>
      </c>
      <c r="C1878" t="s">
        <v>3125</v>
      </c>
      <c r="D1878" t="s">
        <v>72</v>
      </c>
      <c r="E1878" t="s">
        <v>3420</v>
      </c>
      <c r="F1878">
        <v>1773</v>
      </c>
      <c r="G1878">
        <v>995</v>
      </c>
      <c r="H1878" t="s">
        <v>2975</v>
      </c>
      <c r="I1878" t="s">
        <v>80</v>
      </c>
      <c r="J1878" t="s">
        <v>3126</v>
      </c>
      <c r="K1878" t="s">
        <v>38</v>
      </c>
      <c r="L1878" t="s">
        <v>38</v>
      </c>
      <c r="M1878" t="s">
        <v>38</v>
      </c>
      <c r="N1878" t="s">
        <v>38</v>
      </c>
      <c r="O1878" t="s">
        <v>74</v>
      </c>
      <c r="P1878" t="s">
        <v>42</v>
      </c>
      <c r="Q1878" t="s">
        <v>43</v>
      </c>
      <c r="R1878" t="s">
        <v>2452</v>
      </c>
      <c r="S1878" t="s">
        <v>45</v>
      </c>
      <c r="T1878" t="s">
        <v>89</v>
      </c>
      <c r="U1878" t="s">
        <v>2453</v>
      </c>
      <c r="V1878" t="s">
        <v>137</v>
      </c>
      <c r="W1878" t="s">
        <v>92</v>
      </c>
      <c r="X1878" t="s">
        <v>38</v>
      </c>
      <c r="Y1878" t="s">
        <v>38</v>
      </c>
      <c r="Z1878" t="s">
        <v>42</v>
      </c>
      <c r="AA1878" t="s">
        <v>169</v>
      </c>
      <c r="AB1878" t="s">
        <v>38</v>
      </c>
      <c r="AC1878" t="s">
        <v>45</v>
      </c>
      <c r="AD1878" t="s">
        <v>48</v>
      </c>
      <c r="AG1878" t="str">
        <f>IF(AD1878="United States", IFERROR(INDEX(Sheet2!$C:$C, MATCH(AE1878&amp;AF1878, Sheet2!$E:$E, 0)) &amp; ", " &amp; INDEX(Sheet2!$D:$D, MATCH(AE1878&amp;AF1878, Sheet2!$E:$E, 0)), ""), "-")</f>
        <v/>
      </c>
    </row>
    <row r="1879" spans="1:33" x14ac:dyDescent="0.25">
      <c r="A1879" t="s">
        <v>2966</v>
      </c>
      <c r="B1879" t="s">
        <v>3423</v>
      </c>
      <c r="C1879" t="s">
        <v>3125</v>
      </c>
      <c r="D1879" t="s">
        <v>1840</v>
      </c>
      <c r="E1879" t="s">
        <v>848</v>
      </c>
      <c r="F1879">
        <v>1765</v>
      </c>
      <c r="G1879">
        <v>996</v>
      </c>
      <c r="H1879" t="s">
        <v>38</v>
      </c>
      <c r="I1879" t="s">
        <v>80</v>
      </c>
      <c r="J1879" t="s">
        <v>3126</v>
      </c>
      <c r="K1879" t="s">
        <v>38</v>
      </c>
      <c r="L1879" t="s">
        <v>38</v>
      </c>
      <c r="M1879" t="s">
        <v>38</v>
      </c>
      <c r="N1879" t="s">
        <v>38</v>
      </c>
      <c r="O1879" t="s">
        <v>74</v>
      </c>
      <c r="P1879" t="s">
        <v>42</v>
      </c>
      <c r="Q1879" t="s">
        <v>43</v>
      </c>
      <c r="R1879" t="s">
        <v>3424</v>
      </c>
      <c r="S1879" t="s">
        <v>45</v>
      </c>
      <c r="T1879" t="s">
        <v>38</v>
      </c>
      <c r="U1879" t="s">
        <v>38</v>
      </c>
      <c r="V1879" t="s">
        <v>137</v>
      </c>
      <c r="W1879" t="s">
        <v>38</v>
      </c>
      <c r="X1879" t="s">
        <v>38</v>
      </c>
      <c r="Y1879" t="s">
        <v>38</v>
      </c>
      <c r="Z1879" t="s">
        <v>42</v>
      </c>
      <c r="AA1879" t="s">
        <v>169</v>
      </c>
      <c r="AB1879" t="s">
        <v>38</v>
      </c>
      <c r="AC1879" t="s">
        <v>45</v>
      </c>
      <c r="AD1879" t="s">
        <v>48</v>
      </c>
      <c r="AG1879" t="str">
        <f>IF(AD1879="United States", IFERROR(INDEX(Sheet2!$C:$C, MATCH(AE1879&amp;AF1879, Sheet2!$E:$E, 0)) &amp; ", " &amp; INDEX(Sheet2!$D:$D, MATCH(AE1879&amp;AF1879, Sheet2!$E:$E, 0)), ""), "-")</f>
        <v/>
      </c>
    </row>
    <row r="1880" spans="1:33" x14ac:dyDescent="0.25">
      <c r="A1880" t="s">
        <v>2966</v>
      </c>
      <c r="B1880" t="s">
        <v>3425</v>
      </c>
      <c r="C1880" t="s">
        <v>3125</v>
      </c>
      <c r="D1880" t="s">
        <v>114</v>
      </c>
      <c r="E1880" t="s">
        <v>268</v>
      </c>
      <c r="F1880">
        <v>1743</v>
      </c>
      <c r="G1880">
        <v>997</v>
      </c>
      <c r="H1880" t="s">
        <v>2975</v>
      </c>
      <c r="I1880" t="s">
        <v>80</v>
      </c>
      <c r="J1880" t="s">
        <v>3126</v>
      </c>
      <c r="K1880" t="s">
        <v>38</v>
      </c>
      <c r="L1880" t="s">
        <v>38</v>
      </c>
      <c r="M1880" t="s">
        <v>38</v>
      </c>
      <c r="N1880" t="s">
        <v>38</v>
      </c>
      <c r="O1880" t="s">
        <v>57</v>
      </c>
      <c r="P1880" t="s">
        <v>42</v>
      </c>
      <c r="Q1880" t="s">
        <v>43</v>
      </c>
      <c r="R1880" t="s">
        <v>2452</v>
      </c>
      <c r="S1880" t="s">
        <v>153</v>
      </c>
      <c r="T1880" t="s">
        <v>89</v>
      </c>
      <c r="U1880" t="s">
        <v>2453</v>
      </c>
      <c r="V1880" t="s">
        <v>137</v>
      </c>
      <c r="W1880" t="s">
        <v>92</v>
      </c>
      <c r="X1880" t="s">
        <v>38</v>
      </c>
      <c r="Y1880" t="s">
        <v>38</v>
      </c>
      <c r="Z1880" t="s">
        <v>42</v>
      </c>
      <c r="AA1880" t="s">
        <v>155</v>
      </c>
      <c r="AB1880" t="s">
        <v>38</v>
      </c>
      <c r="AC1880" t="s">
        <v>153</v>
      </c>
      <c r="AD1880" t="s">
        <v>48</v>
      </c>
      <c r="AG1880" t="str">
        <f>IF(AD1880="United States", IFERROR(INDEX(Sheet2!$C:$C, MATCH(AE1880&amp;AF1880, Sheet2!$E:$E, 0)) &amp; ", " &amp; INDEX(Sheet2!$D:$D, MATCH(AE1880&amp;AF1880, Sheet2!$E:$E, 0)), ""), "-")</f>
        <v/>
      </c>
    </row>
    <row r="1881" spans="1:33" x14ac:dyDescent="0.25">
      <c r="A1881" t="s">
        <v>2966</v>
      </c>
      <c r="B1881" t="s">
        <v>3426</v>
      </c>
      <c r="C1881" t="s">
        <v>3125</v>
      </c>
      <c r="D1881" t="s">
        <v>2717</v>
      </c>
      <c r="E1881" t="s">
        <v>3191</v>
      </c>
      <c r="F1881">
        <v>1749</v>
      </c>
      <c r="G1881">
        <v>998</v>
      </c>
      <c r="H1881" t="s">
        <v>38</v>
      </c>
      <c r="I1881" t="s">
        <v>80</v>
      </c>
      <c r="J1881" t="s">
        <v>3126</v>
      </c>
      <c r="K1881" t="s">
        <v>38</v>
      </c>
      <c r="L1881" t="s">
        <v>38</v>
      </c>
      <c r="M1881" t="s">
        <v>38</v>
      </c>
      <c r="N1881" t="s">
        <v>38</v>
      </c>
      <c r="O1881" t="s">
        <v>57</v>
      </c>
      <c r="P1881" t="s">
        <v>42</v>
      </c>
      <c r="Q1881" t="s">
        <v>43</v>
      </c>
      <c r="R1881" t="s">
        <v>3427</v>
      </c>
      <c r="S1881" t="s">
        <v>45</v>
      </c>
      <c r="T1881" t="s">
        <v>38</v>
      </c>
      <c r="U1881" t="s">
        <v>38</v>
      </c>
      <c r="V1881" t="s">
        <v>137</v>
      </c>
      <c r="W1881" t="s">
        <v>38</v>
      </c>
      <c r="X1881" t="s">
        <v>38</v>
      </c>
      <c r="Y1881" t="s">
        <v>38</v>
      </c>
      <c r="Z1881" t="s">
        <v>42</v>
      </c>
      <c r="AA1881" t="s">
        <v>38</v>
      </c>
      <c r="AB1881" t="s">
        <v>38</v>
      </c>
      <c r="AC1881" t="s">
        <v>45</v>
      </c>
      <c r="AD1881" t="s">
        <v>48</v>
      </c>
      <c r="AG1881" t="str">
        <f>IF(AD1881="United States", IFERROR(INDEX(Sheet2!$C:$C, MATCH(AE1881&amp;AF1881, Sheet2!$E:$E, 0)) &amp; ", " &amp; INDEX(Sheet2!$D:$D, MATCH(AE1881&amp;AF1881, Sheet2!$E:$E, 0)), ""), "-")</f>
        <v/>
      </c>
    </row>
    <row r="1882" spans="1:33" x14ac:dyDescent="0.25">
      <c r="A1882" t="s">
        <v>2966</v>
      </c>
      <c r="B1882" t="s">
        <v>3428</v>
      </c>
      <c r="C1882" t="s">
        <v>3125</v>
      </c>
      <c r="D1882" t="s">
        <v>434</v>
      </c>
      <c r="E1882" t="s">
        <v>3191</v>
      </c>
      <c r="F1882">
        <v>1771</v>
      </c>
      <c r="G1882">
        <v>999</v>
      </c>
      <c r="H1882" t="s">
        <v>38</v>
      </c>
      <c r="I1882" t="s">
        <v>80</v>
      </c>
      <c r="J1882" t="s">
        <v>3126</v>
      </c>
      <c r="K1882" t="s">
        <v>38</v>
      </c>
      <c r="L1882" t="s">
        <v>38</v>
      </c>
      <c r="M1882" t="s">
        <v>38</v>
      </c>
      <c r="N1882" t="s">
        <v>38</v>
      </c>
      <c r="O1882" t="s">
        <v>54</v>
      </c>
      <c r="P1882" t="s">
        <v>42</v>
      </c>
      <c r="Q1882" t="s">
        <v>43</v>
      </c>
      <c r="R1882" t="s">
        <v>3427</v>
      </c>
      <c r="S1882" t="s">
        <v>45</v>
      </c>
      <c r="T1882" t="s">
        <v>38</v>
      </c>
      <c r="U1882" t="s">
        <v>38</v>
      </c>
      <c r="V1882" t="s">
        <v>137</v>
      </c>
      <c r="W1882" t="s">
        <v>38</v>
      </c>
      <c r="X1882" t="s">
        <v>38</v>
      </c>
      <c r="Y1882" t="s">
        <v>38</v>
      </c>
      <c r="Z1882" t="s">
        <v>42</v>
      </c>
      <c r="AA1882" t="s">
        <v>38</v>
      </c>
      <c r="AB1882" t="s">
        <v>38</v>
      </c>
      <c r="AC1882" t="s">
        <v>45</v>
      </c>
      <c r="AD1882" t="s">
        <v>48</v>
      </c>
      <c r="AG1882" t="str">
        <f>IF(AD1882="United States", IFERROR(INDEX(Sheet2!$C:$C, MATCH(AE1882&amp;AF1882, Sheet2!$E:$E, 0)) &amp; ", " &amp; INDEX(Sheet2!$D:$D, MATCH(AE1882&amp;AF1882, Sheet2!$E:$E, 0)), ""), "-")</f>
        <v/>
      </c>
    </row>
    <row r="1883" spans="1:33" x14ac:dyDescent="0.25">
      <c r="A1883" t="s">
        <v>2966</v>
      </c>
      <c r="B1883" t="s">
        <v>3429</v>
      </c>
      <c r="C1883" t="s">
        <v>3125</v>
      </c>
      <c r="D1883" t="s">
        <v>114</v>
      </c>
      <c r="E1883" t="s">
        <v>3191</v>
      </c>
      <c r="F1883">
        <v>1780</v>
      </c>
      <c r="G1883">
        <v>1000</v>
      </c>
      <c r="H1883" t="s">
        <v>2975</v>
      </c>
      <c r="I1883" t="s">
        <v>80</v>
      </c>
      <c r="J1883" t="s">
        <v>3126</v>
      </c>
      <c r="K1883" t="s">
        <v>38</v>
      </c>
      <c r="L1883" t="s">
        <v>38</v>
      </c>
      <c r="M1883" t="s">
        <v>38</v>
      </c>
      <c r="N1883" t="s">
        <v>38</v>
      </c>
      <c r="O1883" t="s">
        <v>54</v>
      </c>
      <c r="P1883" t="s">
        <v>42</v>
      </c>
      <c r="Q1883" t="s">
        <v>43</v>
      </c>
      <c r="R1883" t="s">
        <v>2452</v>
      </c>
      <c r="S1883" t="s">
        <v>38</v>
      </c>
      <c r="T1883" t="s">
        <v>89</v>
      </c>
      <c r="U1883" t="s">
        <v>2453</v>
      </c>
      <c r="V1883" t="s">
        <v>137</v>
      </c>
      <c r="W1883" t="s">
        <v>92</v>
      </c>
      <c r="X1883" t="s">
        <v>38</v>
      </c>
      <c r="Y1883" t="s">
        <v>38</v>
      </c>
      <c r="Z1883" t="s">
        <v>42</v>
      </c>
      <c r="AA1883" t="s">
        <v>38</v>
      </c>
      <c r="AB1883" t="s">
        <v>38</v>
      </c>
      <c r="AC1883" t="s">
        <v>38</v>
      </c>
      <c r="AD1883" t="s">
        <v>48</v>
      </c>
      <c r="AG1883" t="str">
        <f>IF(AD1883="United States", IFERROR(INDEX(Sheet2!$C:$C, MATCH(AE1883&amp;AF1883, Sheet2!$E:$E, 0)) &amp; ", " &amp; INDEX(Sheet2!$D:$D, MATCH(AE1883&amp;AF1883, Sheet2!$E:$E, 0)), ""), "-")</f>
        <v/>
      </c>
    </row>
    <row r="1884" spans="1:33" x14ac:dyDescent="0.25">
      <c r="A1884" t="s">
        <v>2966</v>
      </c>
      <c r="B1884" t="s">
        <v>3430</v>
      </c>
      <c r="C1884" t="s">
        <v>3125</v>
      </c>
      <c r="D1884" t="s">
        <v>3431</v>
      </c>
      <c r="E1884" t="s">
        <v>1159</v>
      </c>
      <c r="F1884">
        <v>1770</v>
      </c>
      <c r="G1884">
        <v>1001</v>
      </c>
      <c r="H1884" t="s">
        <v>38</v>
      </c>
      <c r="I1884" t="s">
        <v>80</v>
      </c>
      <c r="J1884" t="s">
        <v>3126</v>
      </c>
      <c r="K1884" t="s">
        <v>38</v>
      </c>
      <c r="L1884" t="s">
        <v>38</v>
      </c>
      <c r="M1884" t="s">
        <v>38</v>
      </c>
      <c r="N1884" t="s">
        <v>38</v>
      </c>
      <c r="O1884" t="s">
        <v>74</v>
      </c>
      <c r="P1884" t="s">
        <v>42</v>
      </c>
      <c r="Q1884" t="s">
        <v>43</v>
      </c>
      <c r="R1884" t="s">
        <v>3432</v>
      </c>
      <c r="S1884" t="s">
        <v>45</v>
      </c>
      <c r="T1884" t="s">
        <v>38</v>
      </c>
      <c r="U1884" t="s">
        <v>38</v>
      </c>
      <c r="V1884" t="s">
        <v>137</v>
      </c>
      <c r="W1884" t="s">
        <v>38</v>
      </c>
      <c r="X1884" t="s">
        <v>38</v>
      </c>
      <c r="Y1884" t="s">
        <v>38</v>
      </c>
      <c r="Z1884" t="s">
        <v>42</v>
      </c>
      <c r="AA1884" t="s">
        <v>38</v>
      </c>
      <c r="AB1884" t="s">
        <v>38</v>
      </c>
      <c r="AC1884" t="s">
        <v>45</v>
      </c>
      <c r="AD1884" t="s">
        <v>48</v>
      </c>
      <c r="AG1884" t="str">
        <f>IF(AD1884="United States", IFERROR(INDEX(Sheet2!$C:$C, MATCH(AE1884&amp;AF1884, Sheet2!$E:$E, 0)) &amp; ", " &amp; INDEX(Sheet2!$D:$D, MATCH(AE1884&amp;AF1884, Sheet2!$E:$E, 0)), ""), "-")</f>
        <v/>
      </c>
    </row>
    <row r="1885" spans="1:33" x14ac:dyDescent="0.25">
      <c r="A1885" t="s">
        <v>2966</v>
      </c>
      <c r="B1885" t="s">
        <v>3433</v>
      </c>
      <c r="C1885" t="s">
        <v>3125</v>
      </c>
      <c r="D1885" t="s">
        <v>3013</v>
      </c>
      <c r="E1885" t="s">
        <v>3434</v>
      </c>
      <c r="F1885">
        <v>1753</v>
      </c>
      <c r="G1885">
        <v>1002</v>
      </c>
      <c r="H1885" t="s">
        <v>38</v>
      </c>
      <c r="I1885" t="s">
        <v>80</v>
      </c>
      <c r="J1885" t="s">
        <v>3126</v>
      </c>
      <c r="K1885" t="s">
        <v>38</v>
      </c>
      <c r="L1885" t="s">
        <v>38</v>
      </c>
      <c r="M1885" t="s">
        <v>38</v>
      </c>
      <c r="N1885" t="s">
        <v>38</v>
      </c>
      <c r="O1885" t="s">
        <v>57</v>
      </c>
      <c r="P1885" t="s">
        <v>42</v>
      </c>
      <c r="Q1885" t="s">
        <v>43</v>
      </c>
      <c r="R1885" t="s">
        <v>3435</v>
      </c>
      <c r="S1885" t="s">
        <v>45</v>
      </c>
      <c r="T1885" t="s">
        <v>38</v>
      </c>
      <c r="U1885" t="s">
        <v>38</v>
      </c>
      <c r="V1885" t="s">
        <v>137</v>
      </c>
      <c r="W1885" t="s">
        <v>38</v>
      </c>
      <c r="X1885" t="s">
        <v>38</v>
      </c>
      <c r="Y1885" t="s">
        <v>38</v>
      </c>
      <c r="Z1885" t="s">
        <v>42</v>
      </c>
      <c r="AA1885" t="s">
        <v>38</v>
      </c>
      <c r="AB1885" t="s">
        <v>38</v>
      </c>
      <c r="AC1885" t="s">
        <v>45</v>
      </c>
      <c r="AD1885" t="s">
        <v>48</v>
      </c>
      <c r="AG1885" t="str">
        <f>IF(AD1885="United States", IFERROR(INDEX(Sheet2!$C:$C, MATCH(AE1885&amp;AF1885, Sheet2!$E:$E, 0)) &amp; ", " &amp; INDEX(Sheet2!$D:$D, MATCH(AE1885&amp;AF1885, Sheet2!$E:$E, 0)), ""), "-")</f>
        <v/>
      </c>
    </row>
    <row r="1886" spans="1:33" x14ac:dyDescent="0.25">
      <c r="A1886" t="s">
        <v>2966</v>
      </c>
      <c r="B1886" t="s">
        <v>3436</v>
      </c>
      <c r="C1886" t="s">
        <v>3125</v>
      </c>
      <c r="D1886" t="s">
        <v>36</v>
      </c>
      <c r="E1886" t="s">
        <v>3434</v>
      </c>
      <c r="F1886">
        <v>1738</v>
      </c>
      <c r="G1886">
        <v>1003</v>
      </c>
      <c r="H1886" t="s">
        <v>2975</v>
      </c>
      <c r="I1886" t="s">
        <v>80</v>
      </c>
      <c r="J1886" t="s">
        <v>3126</v>
      </c>
      <c r="K1886" t="s">
        <v>38</v>
      </c>
      <c r="L1886" t="s">
        <v>38</v>
      </c>
      <c r="M1886" t="s">
        <v>38</v>
      </c>
      <c r="N1886" t="s">
        <v>38</v>
      </c>
      <c r="O1886" t="s">
        <v>41</v>
      </c>
      <c r="P1886" t="s">
        <v>42</v>
      </c>
      <c r="Q1886" t="s">
        <v>43</v>
      </c>
      <c r="R1886" t="s">
        <v>2452</v>
      </c>
      <c r="S1886" t="s">
        <v>45</v>
      </c>
      <c r="T1886" t="s">
        <v>89</v>
      </c>
      <c r="U1886" t="s">
        <v>2453</v>
      </c>
      <c r="V1886" t="s">
        <v>137</v>
      </c>
      <c r="W1886" t="s">
        <v>92</v>
      </c>
      <c r="X1886" t="s">
        <v>38</v>
      </c>
      <c r="Y1886" t="s">
        <v>38</v>
      </c>
      <c r="Z1886" t="s">
        <v>42</v>
      </c>
      <c r="AA1886" t="s">
        <v>38</v>
      </c>
      <c r="AB1886" t="s">
        <v>38</v>
      </c>
      <c r="AC1886" t="s">
        <v>45</v>
      </c>
      <c r="AD1886" t="s">
        <v>48</v>
      </c>
      <c r="AG1886" t="str">
        <f>IF(AD1886="United States", IFERROR(INDEX(Sheet2!$C:$C, MATCH(AE1886&amp;AF1886, Sheet2!$E:$E, 0)) &amp; ", " &amp; INDEX(Sheet2!$D:$D, MATCH(AE1886&amp;AF1886, Sheet2!$E:$E, 0)), ""), "-")</f>
        <v/>
      </c>
    </row>
    <row r="1887" spans="1:33" x14ac:dyDescent="0.25">
      <c r="A1887" t="s">
        <v>2966</v>
      </c>
      <c r="B1887" t="s">
        <v>3437</v>
      </c>
      <c r="C1887" t="s">
        <v>3125</v>
      </c>
      <c r="D1887" t="s">
        <v>3438</v>
      </c>
      <c r="E1887" t="s">
        <v>191</v>
      </c>
      <c r="F1887">
        <v>1755</v>
      </c>
      <c r="G1887">
        <v>1004</v>
      </c>
      <c r="H1887" t="s">
        <v>38</v>
      </c>
      <c r="I1887" t="s">
        <v>80</v>
      </c>
      <c r="J1887" t="s">
        <v>3126</v>
      </c>
      <c r="K1887" t="s">
        <v>38</v>
      </c>
      <c r="L1887" t="s">
        <v>38</v>
      </c>
      <c r="M1887" t="s">
        <v>38</v>
      </c>
      <c r="N1887" t="s">
        <v>38</v>
      </c>
      <c r="O1887" t="s">
        <v>57</v>
      </c>
      <c r="P1887" t="s">
        <v>42</v>
      </c>
      <c r="Q1887" t="s">
        <v>43</v>
      </c>
      <c r="R1887" t="s">
        <v>3439</v>
      </c>
      <c r="S1887" t="s">
        <v>153</v>
      </c>
      <c r="T1887" t="s">
        <v>38</v>
      </c>
      <c r="U1887" t="s">
        <v>38</v>
      </c>
      <c r="V1887" t="s">
        <v>137</v>
      </c>
      <c r="W1887" t="s">
        <v>38</v>
      </c>
      <c r="X1887" t="s">
        <v>38</v>
      </c>
      <c r="Y1887" t="s">
        <v>38</v>
      </c>
      <c r="Z1887" t="s">
        <v>42</v>
      </c>
      <c r="AA1887" t="s">
        <v>155</v>
      </c>
      <c r="AB1887" t="s">
        <v>38</v>
      </c>
      <c r="AC1887" t="s">
        <v>153</v>
      </c>
      <c r="AD1887" t="s">
        <v>48</v>
      </c>
      <c r="AG1887" t="str">
        <f>IF(AD1887="United States", IFERROR(INDEX(Sheet2!$C:$C, MATCH(AE1887&amp;AF1887, Sheet2!$E:$E, 0)) &amp; ", " &amp; INDEX(Sheet2!$D:$D, MATCH(AE1887&amp;AF1887, Sheet2!$E:$E, 0)), ""), "-")</f>
        <v/>
      </c>
    </row>
    <row r="1888" spans="1:33" x14ac:dyDescent="0.25">
      <c r="A1888" t="s">
        <v>2966</v>
      </c>
      <c r="B1888" t="s">
        <v>3440</v>
      </c>
      <c r="C1888" t="s">
        <v>3125</v>
      </c>
      <c r="D1888" t="s">
        <v>226</v>
      </c>
      <c r="E1888" t="s">
        <v>191</v>
      </c>
      <c r="F1888">
        <v>1755</v>
      </c>
      <c r="G1888">
        <v>1005</v>
      </c>
      <c r="H1888" t="s">
        <v>2977</v>
      </c>
      <c r="I1888" t="s">
        <v>80</v>
      </c>
      <c r="J1888" t="s">
        <v>3126</v>
      </c>
      <c r="K1888" t="s">
        <v>38</v>
      </c>
      <c r="L1888" t="s">
        <v>38</v>
      </c>
      <c r="M1888" t="s">
        <v>38</v>
      </c>
      <c r="N1888" t="s">
        <v>38</v>
      </c>
      <c r="O1888" t="s">
        <v>41</v>
      </c>
      <c r="P1888" t="s">
        <v>42</v>
      </c>
      <c r="Q1888" t="s">
        <v>43</v>
      </c>
      <c r="R1888" t="s">
        <v>2452</v>
      </c>
      <c r="S1888" t="s">
        <v>153</v>
      </c>
      <c r="T1888" t="s">
        <v>89</v>
      </c>
      <c r="U1888" t="s">
        <v>2453</v>
      </c>
      <c r="V1888" t="s">
        <v>137</v>
      </c>
      <c r="W1888" t="s">
        <v>92</v>
      </c>
      <c r="X1888" t="s">
        <v>38</v>
      </c>
      <c r="Y1888" t="s">
        <v>38</v>
      </c>
      <c r="Z1888" t="s">
        <v>42</v>
      </c>
      <c r="AA1888" t="s">
        <v>155</v>
      </c>
      <c r="AB1888" t="s">
        <v>38</v>
      </c>
      <c r="AC1888" t="s">
        <v>153</v>
      </c>
      <c r="AD1888" t="s">
        <v>48</v>
      </c>
      <c r="AG1888" t="str">
        <f>IF(AD1888="United States", IFERROR(INDEX(Sheet2!$C:$C, MATCH(AE1888&amp;AF1888, Sheet2!$E:$E, 0)) &amp; ", " &amp; INDEX(Sheet2!$D:$D, MATCH(AE1888&amp;AF1888, Sheet2!$E:$E, 0)), ""), "-")</f>
        <v/>
      </c>
    </row>
    <row r="1889" spans="1:33" x14ac:dyDescent="0.25">
      <c r="A1889" t="s">
        <v>2966</v>
      </c>
      <c r="B1889" t="s">
        <v>3394</v>
      </c>
      <c r="C1889" t="s">
        <v>3125</v>
      </c>
      <c r="D1889" t="s">
        <v>140</v>
      </c>
      <c r="E1889" t="s">
        <v>652</v>
      </c>
      <c r="F1889">
        <v>1756</v>
      </c>
      <c r="G1889">
        <v>1006</v>
      </c>
      <c r="H1889" t="s">
        <v>2975</v>
      </c>
      <c r="I1889" t="s">
        <v>80</v>
      </c>
      <c r="J1889" t="s">
        <v>3126</v>
      </c>
      <c r="K1889" t="s">
        <v>38</v>
      </c>
      <c r="L1889" t="s">
        <v>38</v>
      </c>
      <c r="M1889" t="s">
        <v>38</v>
      </c>
      <c r="N1889" t="s">
        <v>38</v>
      </c>
      <c r="O1889" t="s">
        <v>57</v>
      </c>
      <c r="P1889" t="s">
        <v>42</v>
      </c>
      <c r="Q1889" t="s">
        <v>124</v>
      </c>
      <c r="R1889" t="s">
        <v>2452</v>
      </c>
      <c r="S1889" t="s">
        <v>153</v>
      </c>
      <c r="T1889" t="s">
        <v>89</v>
      </c>
      <c r="U1889" t="s">
        <v>2453</v>
      </c>
      <c r="V1889" t="s">
        <v>137</v>
      </c>
      <c r="W1889" t="s">
        <v>92</v>
      </c>
      <c r="X1889" t="s">
        <v>38</v>
      </c>
      <c r="Y1889" t="s">
        <v>38</v>
      </c>
      <c r="Z1889" t="s">
        <v>42</v>
      </c>
      <c r="AA1889" t="s">
        <v>812</v>
      </c>
      <c r="AB1889" t="s">
        <v>38</v>
      </c>
      <c r="AC1889" t="s">
        <v>153</v>
      </c>
      <c r="AD1889" t="s">
        <v>48</v>
      </c>
      <c r="AG1889" t="str">
        <f>IF(AD1889="United States", IFERROR(INDEX(Sheet2!$C:$C, MATCH(AE1889&amp;AF1889, Sheet2!$E:$E, 0)) &amp; ", " &amp; INDEX(Sheet2!$D:$D, MATCH(AE1889&amp;AF1889, Sheet2!$E:$E, 0)), ""), "-")</f>
        <v/>
      </c>
    </row>
    <row r="1890" spans="1:33" x14ac:dyDescent="0.25">
      <c r="A1890" t="s">
        <v>2966</v>
      </c>
      <c r="B1890" t="s">
        <v>3392</v>
      </c>
      <c r="C1890" t="s">
        <v>3125</v>
      </c>
      <c r="D1890" t="s">
        <v>2717</v>
      </c>
      <c r="E1890" t="s">
        <v>1091</v>
      </c>
      <c r="F1890">
        <v>1748</v>
      </c>
      <c r="G1890">
        <v>1007</v>
      </c>
      <c r="H1890" t="s">
        <v>38</v>
      </c>
      <c r="I1890" t="s">
        <v>80</v>
      </c>
      <c r="J1890" t="s">
        <v>3126</v>
      </c>
      <c r="K1890" t="s">
        <v>38</v>
      </c>
      <c r="L1890" t="s">
        <v>38</v>
      </c>
      <c r="M1890" t="s">
        <v>38</v>
      </c>
      <c r="N1890" t="s">
        <v>38</v>
      </c>
      <c r="O1890" t="s">
        <v>57</v>
      </c>
      <c r="P1890" t="s">
        <v>42</v>
      </c>
      <c r="Q1890" t="s">
        <v>43</v>
      </c>
      <c r="R1890" t="s">
        <v>3393</v>
      </c>
      <c r="S1890" t="s">
        <v>286</v>
      </c>
      <c r="T1890" t="s">
        <v>38</v>
      </c>
      <c r="U1890" t="s">
        <v>38</v>
      </c>
      <c r="V1890" t="s">
        <v>137</v>
      </c>
      <c r="W1890" t="s">
        <v>38</v>
      </c>
      <c r="X1890" t="s">
        <v>38</v>
      </c>
      <c r="Y1890" t="s">
        <v>38</v>
      </c>
      <c r="Z1890" t="s">
        <v>42</v>
      </c>
      <c r="AA1890" t="s">
        <v>2238</v>
      </c>
      <c r="AB1890" t="s">
        <v>38</v>
      </c>
      <c r="AC1890" t="s">
        <v>286</v>
      </c>
      <c r="AD1890" t="s">
        <v>48</v>
      </c>
      <c r="AG1890" t="str">
        <f>IF(AD1890="United States", IFERROR(INDEX(Sheet2!$C:$C, MATCH(AE1890&amp;AF1890, Sheet2!$E:$E, 0)) &amp; ", " &amp; INDEX(Sheet2!$D:$D, MATCH(AE1890&amp;AF1890, Sheet2!$E:$E, 0)), ""), "-")</f>
        <v/>
      </c>
    </row>
    <row r="1891" spans="1:33" x14ac:dyDescent="0.25">
      <c r="A1891" t="s">
        <v>2966</v>
      </c>
      <c r="B1891" t="s">
        <v>3390</v>
      </c>
      <c r="C1891" t="s">
        <v>3125</v>
      </c>
      <c r="D1891" t="s">
        <v>1813</v>
      </c>
      <c r="E1891" t="s">
        <v>1091</v>
      </c>
      <c r="F1891">
        <v>1760</v>
      </c>
      <c r="G1891">
        <v>1008</v>
      </c>
      <c r="H1891" t="s">
        <v>38</v>
      </c>
      <c r="I1891" t="s">
        <v>80</v>
      </c>
      <c r="J1891" t="s">
        <v>3126</v>
      </c>
      <c r="K1891" t="s">
        <v>38</v>
      </c>
      <c r="L1891" t="s">
        <v>38</v>
      </c>
      <c r="M1891" t="s">
        <v>38</v>
      </c>
      <c r="N1891" t="s">
        <v>38</v>
      </c>
      <c r="O1891" t="s">
        <v>41</v>
      </c>
      <c r="P1891" t="s">
        <v>42</v>
      </c>
      <c r="Q1891" t="s">
        <v>43</v>
      </c>
      <c r="R1891" t="s">
        <v>3391</v>
      </c>
      <c r="S1891" t="s">
        <v>153</v>
      </c>
      <c r="T1891" t="s">
        <v>38</v>
      </c>
      <c r="U1891" t="s">
        <v>38</v>
      </c>
      <c r="V1891" t="s">
        <v>137</v>
      </c>
      <c r="W1891" t="s">
        <v>38</v>
      </c>
      <c r="X1891" t="s">
        <v>38</v>
      </c>
      <c r="Y1891" t="s">
        <v>38</v>
      </c>
      <c r="Z1891" t="s">
        <v>42</v>
      </c>
      <c r="AA1891" t="s">
        <v>155</v>
      </c>
      <c r="AB1891" t="s">
        <v>38</v>
      </c>
      <c r="AC1891" t="s">
        <v>153</v>
      </c>
      <c r="AD1891" t="s">
        <v>48</v>
      </c>
      <c r="AG1891" t="str">
        <f>IF(AD1891="United States", IFERROR(INDEX(Sheet2!$C:$C, MATCH(AE1891&amp;AF1891, Sheet2!$E:$E, 0)) &amp; ", " &amp; INDEX(Sheet2!$D:$D, MATCH(AE1891&amp;AF1891, Sheet2!$E:$E, 0)), ""), "-")</f>
        <v/>
      </c>
    </row>
    <row r="1892" spans="1:33" x14ac:dyDescent="0.25">
      <c r="A1892" t="s">
        <v>2966</v>
      </c>
      <c r="B1892" t="s">
        <v>3365</v>
      </c>
      <c r="C1892" t="s">
        <v>3125</v>
      </c>
      <c r="D1892" t="s">
        <v>52</v>
      </c>
      <c r="E1892" t="s">
        <v>1337</v>
      </c>
      <c r="F1892">
        <v>1755</v>
      </c>
      <c r="G1892">
        <v>1009</v>
      </c>
      <c r="H1892" t="s">
        <v>2977</v>
      </c>
      <c r="I1892" t="s">
        <v>80</v>
      </c>
      <c r="J1892" t="s">
        <v>3126</v>
      </c>
      <c r="K1892" t="s">
        <v>38</v>
      </c>
      <c r="L1892" t="s">
        <v>38</v>
      </c>
      <c r="M1892" t="s">
        <v>38</v>
      </c>
      <c r="N1892" t="s">
        <v>38</v>
      </c>
      <c r="O1892" t="s">
        <v>57</v>
      </c>
      <c r="P1892" t="s">
        <v>42</v>
      </c>
      <c r="Q1892" t="s">
        <v>43</v>
      </c>
      <c r="R1892" t="s">
        <v>2452</v>
      </c>
      <c r="S1892" t="s">
        <v>45</v>
      </c>
      <c r="T1892" t="s">
        <v>89</v>
      </c>
      <c r="U1892" t="s">
        <v>2453</v>
      </c>
      <c r="V1892" t="s">
        <v>137</v>
      </c>
      <c r="W1892" t="s">
        <v>92</v>
      </c>
      <c r="X1892" t="s">
        <v>38</v>
      </c>
      <c r="Y1892" t="s">
        <v>38</v>
      </c>
      <c r="Z1892" t="s">
        <v>42</v>
      </c>
      <c r="AA1892" t="s">
        <v>1120</v>
      </c>
      <c r="AB1892" t="s">
        <v>38</v>
      </c>
      <c r="AC1892" t="s">
        <v>45</v>
      </c>
      <c r="AD1892" t="s">
        <v>48</v>
      </c>
      <c r="AG1892" t="str">
        <f>IF(AD1892="United States", IFERROR(INDEX(Sheet2!$C:$C, MATCH(AE1892&amp;AF1892, Sheet2!$E:$E, 0)) &amp; ", " &amp; INDEX(Sheet2!$D:$D, MATCH(AE1892&amp;AF1892, Sheet2!$E:$E, 0)), ""), "-")</f>
        <v/>
      </c>
    </row>
    <row r="1893" spans="1:33" x14ac:dyDescent="0.25">
      <c r="A1893" t="s">
        <v>2966</v>
      </c>
      <c r="B1893" t="s">
        <v>3345</v>
      </c>
      <c r="C1893" t="s">
        <v>3125</v>
      </c>
      <c r="D1893" t="s">
        <v>235</v>
      </c>
      <c r="E1893" t="s">
        <v>1337</v>
      </c>
      <c r="F1893">
        <v>1781</v>
      </c>
      <c r="G1893">
        <v>1010</v>
      </c>
      <c r="H1893" t="s">
        <v>38</v>
      </c>
      <c r="I1893" t="s">
        <v>80</v>
      </c>
      <c r="J1893" t="s">
        <v>3126</v>
      </c>
      <c r="K1893" t="s">
        <v>38</v>
      </c>
      <c r="L1893" t="s">
        <v>38</v>
      </c>
      <c r="M1893" t="s">
        <v>38</v>
      </c>
      <c r="N1893" t="s">
        <v>38</v>
      </c>
      <c r="O1893" t="s">
        <v>54</v>
      </c>
      <c r="P1893" t="s">
        <v>42</v>
      </c>
      <c r="Q1893" t="s">
        <v>43</v>
      </c>
      <c r="R1893" t="s">
        <v>38</v>
      </c>
      <c r="S1893" t="s">
        <v>38</v>
      </c>
      <c r="T1893" t="s">
        <v>38</v>
      </c>
      <c r="U1893" t="s">
        <v>38</v>
      </c>
      <c r="V1893" t="s">
        <v>137</v>
      </c>
      <c r="W1893" t="s">
        <v>38</v>
      </c>
      <c r="X1893" t="s">
        <v>38</v>
      </c>
      <c r="Y1893" t="s">
        <v>38</v>
      </c>
      <c r="Z1893" t="s">
        <v>42</v>
      </c>
      <c r="AA1893" t="s">
        <v>38</v>
      </c>
      <c r="AB1893" t="s">
        <v>38</v>
      </c>
      <c r="AC1893" t="s">
        <v>38</v>
      </c>
      <c r="AD1893" t="s">
        <v>48</v>
      </c>
      <c r="AG1893" t="str">
        <f>IF(AD1893="United States", IFERROR(INDEX(Sheet2!$C:$C, MATCH(AE1893&amp;AF1893, Sheet2!$E:$E, 0)) &amp; ", " &amp; INDEX(Sheet2!$D:$D, MATCH(AE1893&amp;AF1893, Sheet2!$E:$E, 0)), ""), "-")</f>
        <v/>
      </c>
    </row>
    <row r="1894" spans="1:33" x14ac:dyDescent="0.25">
      <c r="A1894" t="s">
        <v>2966</v>
      </c>
      <c r="B1894" t="s">
        <v>3346</v>
      </c>
      <c r="C1894" t="s">
        <v>3125</v>
      </c>
      <c r="D1894" t="s">
        <v>650</v>
      </c>
      <c r="E1894" t="s">
        <v>1337</v>
      </c>
      <c r="F1894">
        <v>1779</v>
      </c>
      <c r="G1894">
        <v>1011</v>
      </c>
      <c r="H1894" t="s">
        <v>38</v>
      </c>
      <c r="I1894" t="s">
        <v>80</v>
      </c>
      <c r="J1894" t="s">
        <v>3126</v>
      </c>
      <c r="K1894" t="s">
        <v>38</v>
      </c>
      <c r="L1894" t="s">
        <v>38</v>
      </c>
      <c r="M1894" t="s">
        <v>38</v>
      </c>
      <c r="N1894" t="s">
        <v>38</v>
      </c>
      <c r="O1894" t="s">
        <v>54</v>
      </c>
      <c r="P1894" t="s">
        <v>42</v>
      </c>
      <c r="Q1894" t="s">
        <v>43</v>
      </c>
      <c r="R1894" t="s">
        <v>38</v>
      </c>
      <c r="S1894" t="s">
        <v>38</v>
      </c>
      <c r="T1894" t="s">
        <v>38</v>
      </c>
      <c r="U1894" t="s">
        <v>38</v>
      </c>
      <c r="V1894" t="s">
        <v>137</v>
      </c>
      <c r="W1894" t="s">
        <v>38</v>
      </c>
      <c r="X1894" t="s">
        <v>38</v>
      </c>
      <c r="Y1894" t="s">
        <v>38</v>
      </c>
      <c r="Z1894" t="s">
        <v>42</v>
      </c>
      <c r="AA1894" t="s">
        <v>38</v>
      </c>
      <c r="AB1894" t="s">
        <v>38</v>
      </c>
      <c r="AC1894" t="s">
        <v>38</v>
      </c>
      <c r="AD1894" t="s">
        <v>48</v>
      </c>
      <c r="AG1894" t="str">
        <f>IF(AD1894="United States", IFERROR(INDEX(Sheet2!$C:$C, MATCH(AE1894&amp;AF1894, Sheet2!$E:$E, 0)) &amp; ", " &amp; INDEX(Sheet2!$D:$D, MATCH(AE1894&amp;AF1894, Sheet2!$E:$E, 0)), ""), "-")</f>
        <v/>
      </c>
    </row>
    <row r="1895" spans="1:33" x14ac:dyDescent="0.25">
      <c r="A1895" t="s">
        <v>2966</v>
      </c>
      <c r="B1895" t="s">
        <v>3347</v>
      </c>
      <c r="C1895" t="s">
        <v>3125</v>
      </c>
      <c r="D1895" t="s">
        <v>195</v>
      </c>
      <c r="E1895" t="s">
        <v>1854</v>
      </c>
      <c r="F1895">
        <v>1750</v>
      </c>
      <c r="G1895">
        <v>1012</v>
      </c>
      <c r="H1895" t="s">
        <v>2975</v>
      </c>
      <c r="I1895" t="s">
        <v>80</v>
      </c>
      <c r="J1895" t="s">
        <v>3126</v>
      </c>
      <c r="K1895" t="s">
        <v>38</v>
      </c>
      <c r="L1895" t="s">
        <v>38</v>
      </c>
      <c r="M1895" t="s">
        <v>38</v>
      </c>
      <c r="N1895" t="s">
        <v>38</v>
      </c>
      <c r="O1895" t="s">
        <v>41</v>
      </c>
      <c r="P1895" t="s">
        <v>42</v>
      </c>
      <c r="Q1895" t="s">
        <v>43</v>
      </c>
      <c r="R1895" t="s">
        <v>2452</v>
      </c>
      <c r="S1895" t="s">
        <v>45</v>
      </c>
      <c r="T1895" t="s">
        <v>89</v>
      </c>
      <c r="U1895" t="s">
        <v>2453</v>
      </c>
      <c r="V1895" t="s">
        <v>137</v>
      </c>
      <c r="W1895" t="s">
        <v>92</v>
      </c>
      <c r="X1895" t="s">
        <v>38</v>
      </c>
      <c r="Y1895" t="s">
        <v>38</v>
      </c>
      <c r="Z1895" t="s">
        <v>42</v>
      </c>
      <c r="AA1895" t="s">
        <v>1120</v>
      </c>
      <c r="AB1895" t="s">
        <v>38</v>
      </c>
      <c r="AC1895" t="s">
        <v>45</v>
      </c>
      <c r="AD1895" t="s">
        <v>48</v>
      </c>
      <c r="AG1895" t="str">
        <f>IF(AD1895="United States", IFERROR(INDEX(Sheet2!$C:$C, MATCH(AE1895&amp;AF1895, Sheet2!$E:$E, 0)) &amp; ", " &amp; INDEX(Sheet2!$D:$D, MATCH(AE1895&amp;AF1895, Sheet2!$E:$E, 0)), ""), "-")</f>
        <v/>
      </c>
    </row>
    <row r="1896" spans="1:33" x14ac:dyDescent="0.25">
      <c r="A1896" t="s">
        <v>2966</v>
      </c>
      <c r="B1896" t="s">
        <v>3348</v>
      </c>
      <c r="C1896" t="s">
        <v>3125</v>
      </c>
      <c r="D1896" t="s">
        <v>1382</v>
      </c>
      <c r="E1896" t="s">
        <v>246</v>
      </c>
      <c r="F1896">
        <v>1753</v>
      </c>
      <c r="G1896">
        <v>1013</v>
      </c>
      <c r="H1896" t="s">
        <v>2986</v>
      </c>
      <c r="I1896" t="s">
        <v>80</v>
      </c>
      <c r="J1896" t="s">
        <v>3126</v>
      </c>
      <c r="K1896" t="s">
        <v>38</v>
      </c>
      <c r="L1896" t="s">
        <v>38</v>
      </c>
      <c r="M1896" t="s">
        <v>38</v>
      </c>
      <c r="N1896" t="s">
        <v>38</v>
      </c>
      <c r="O1896" t="s">
        <v>57</v>
      </c>
      <c r="P1896" t="s">
        <v>42</v>
      </c>
      <c r="Q1896" t="s">
        <v>43</v>
      </c>
      <c r="R1896" t="s">
        <v>2452</v>
      </c>
      <c r="S1896" t="s">
        <v>45</v>
      </c>
      <c r="T1896" t="s">
        <v>89</v>
      </c>
      <c r="U1896" t="s">
        <v>2453</v>
      </c>
      <c r="V1896" t="s">
        <v>137</v>
      </c>
      <c r="W1896" t="s">
        <v>92</v>
      </c>
      <c r="X1896" t="s">
        <v>38</v>
      </c>
      <c r="Y1896" t="s">
        <v>38</v>
      </c>
      <c r="Z1896" t="s">
        <v>42</v>
      </c>
      <c r="AA1896" t="s">
        <v>169</v>
      </c>
      <c r="AB1896" t="s">
        <v>38</v>
      </c>
      <c r="AC1896" t="s">
        <v>45</v>
      </c>
      <c r="AD1896" t="s">
        <v>48</v>
      </c>
      <c r="AG1896" t="str">
        <f>IF(AD1896="United States", IFERROR(INDEX(Sheet2!$C:$C, MATCH(AE1896&amp;AF1896, Sheet2!$E:$E, 0)) &amp; ", " &amp; INDEX(Sheet2!$D:$D, MATCH(AE1896&amp;AF1896, Sheet2!$E:$E, 0)), ""), "-")</f>
        <v/>
      </c>
    </row>
    <row r="1897" spans="1:33" x14ac:dyDescent="0.25">
      <c r="A1897" t="s">
        <v>2966</v>
      </c>
      <c r="B1897" t="s">
        <v>3349</v>
      </c>
      <c r="C1897" t="s">
        <v>3125</v>
      </c>
      <c r="D1897" t="s">
        <v>357</v>
      </c>
      <c r="E1897" t="s">
        <v>246</v>
      </c>
      <c r="F1897">
        <v>1770</v>
      </c>
      <c r="G1897">
        <v>1014</v>
      </c>
      <c r="H1897" t="s">
        <v>38</v>
      </c>
      <c r="I1897" t="s">
        <v>80</v>
      </c>
      <c r="J1897" t="s">
        <v>3126</v>
      </c>
      <c r="K1897" t="s">
        <v>38</v>
      </c>
      <c r="L1897" t="s">
        <v>38</v>
      </c>
      <c r="M1897" t="s">
        <v>38</v>
      </c>
      <c r="N1897" t="s">
        <v>38</v>
      </c>
      <c r="O1897" t="s">
        <v>54</v>
      </c>
      <c r="P1897" t="s">
        <v>42</v>
      </c>
      <c r="Q1897" t="s">
        <v>43</v>
      </c>
      <c r="R1897" t="s">
        <v>3350</v>
      </c>
      <c r="S1897" t="s">
        <v>45</v>
      </c>
      <c r="T1897" t="s">
        <v>38</v>
      </c>
      <c r="U1897" t="s">
        <v>38</v>
      </c>
      <c r="V1897" t="s">
        <v>137</v>
      </c>
      <c r="W1897" t="s">
        <v>38</v>
      </c>
      <c r="X1897" t="s">
        <v>38</v>
      </c>
      <c r="Y1897" t="s">
        <v>38</v>
      </c>
      <c r="Z1897" t="s">
        <v>42</v>
      </c>
      <c r="AA1897" t="s">
        <v>169</v>
      </c>
      <c r="AB1897" t="s">
        <v>38</v>
      </c>
      <c r="AC1897" t="s">
        <v>45</v>
      </c>
      <c r="AD1897" t="s">
        <v>48</v>
      </c>
      <c r="AG1897" t="str">
        <f>IF(AD1897="United States", IFERROR(INDEX(Sheet2!$C:$C, MATCH(AE1897&amp;AF1897, Sheet2!$E:$E, 0)) &amp; ", " &amp; INDEX(Sheet2!$D:$D, MATCH(AE1897&amp;AF1897, Sheet2!$E:$E, 0)), ""), "-")</f>
        <v/>
      </c>
    </row>
    <row r="1898" spans="1:33" x14ac:dyDescent="0.25">
      <c r="A1898" t="s">
        <v>2966</v>
      </c>
      <c r="B1898" t="s">
        <v>3351</v>
      </c>
      <c r="C1898" t="s">
        <v>3125</v>
      </c>
      <c r="D1898" t="s">
        <v>835</v>
      </c>
      <c r="E1898" t="s">
        <v>246</v>
      </c>
      <c r="F1898">
        <v>1776</v>
      </c>
      <c r="G1898">
        <v>1015</v>
      </c>
      <c r="H1898" t="s">
        <v>38</v>
      </c>
      <c r="I1898" t="s">
        <v>80</v>
      </c>
      <c r="J1898" t="s">
        <v>3126</v>
      </c>
      <c r="K1898" t="s">
        <v>38</v>
      </c>
      <c r="L1898" t="s">
        <v>38</v>
      </c>
      <c r="M1898" t="s">
        <v>38</v>
      </c>
      <c r="N1898" t="s">
        <v>38</v>
      </c>
      <c r="O1898" t="s">
        <v>74</v>
      </c>
      <c r="P1898" t="s">
        <v>42</v>
      </c>
      <c r="Q1898" t="s">
        <v>43</v>
      </c>
      <c r="R1898" t="s">
        <v>3350</v>
      </c>
      <c r="S1898" t="s">
        <v>45</v>
      </c>
      <c r="T1898" t="s">
        <v>38</v>
      </c>
      <c r="U1898" t="s">
        <v>38</v>
      </c>
      <c r="V1898" t="s">
        <v>137</v>
      </c>
      <c r="W1898" t="s">
        <v>38</v>
      </c>
      <c r="X1898" t="s">
        <v>38</v>
      </c>
      <c r="Y1898" t="s">
        <v>38</v>
      </c>
      <c r="Z1898" t="s">
        <v>42</v>
      </c>
      <c r="AA1898" t="s">
        <v>169</v>
      </c>
      <c r="AB1898" t="s">
        <v>38</v>
      </c>
      <c r="AC1898" t="s">
        <v>45</v>
      </c>
      <c r="AD1898" t="s">
        <v>48</v>
      </c>
      <c r="AG1898" t="str">
        <f>IF(AD1898="United States", IFERROR(INDEX(Sheet2!$C:$C, MATCH(AE1898&amp;AF1898, Sheet2!$E:$E, 0)) &amp; ", " &amp; INDEX(Sheet2!$D:$D, MATCH(AE1898&amp;AF1898, Sheet2!$E:$E, 0)), ""), "-")</f>
        <v/>
      </c>
    </row>
    <row r="1899" spans="1:33" x14ac:dyDescent="0.25">
      <c r="A1899" t="s">
        <v>2966</v>
      </c>
      <c r="B1899" t="s">
        <v>3352</v>
      </c>
      <c r="C1899" t="s">
        <v>3125</v>
      </c>
      <c r="D1899" t="s">
        <v>3353</v>
      </c>
      <c r="E1899" t="s">
        <v>991</v>
      </c>
      <c r="F1899">
        <v>1759</v>
      </c>
      <c r="G1899">
        <v>1016</v>
      </c>
      <c r="H1899" t="s">
        <v>38</v>
      </c>
      <c r="I1899" t="s">
        <v>80</v>
      </c>
      <c r="J1899" t="s">
        <v>3126</v>
      </c>
      <c r="K1899" t="s">
        <v>38</v>
      </c>
      <c r="L1899" t="s">
        <v>38</v>
      </c>
      <c r="M1899" t="s">
        <v>38</v>
      </c>
      <c r="N1899" t="s">
        <v>38</v>
      </c>
      <c r="O1899" t="s">
        <v>41</v>
      </c>
      <c r="P1899" t="s">
        <v>42</v>
      </c>
      <c r="Q1899" t="s">
        <v>43</v>
      </c>
      <c r="R1899" t="s">
        <v>3354</v>
      </c>
      <c r="S1899" t="s">
        <v>153</v>
      </c>
      <c r="T1899" t="s">
        <v>38</v>
      </c>
      <c r="U1899" t="s">
        <v>38</v>
      </c>
      <c r="V1899" t="s">
        <v>137</v>
      </c>
      <c r="W1899" t="s">
        <v>38</v>
      </c>
      <c r="X1899" t="s">
        <v>38</v>
      </c>
      <c r="Y1899" t="s">
        <v>38</v>
      </c>
      <c r="Z1899" t="s">
        <v>42</v>
      </c>
      <c r="AA1899" t="s">
        <v>3355</v>
      </c>
      <c r="AB1899" t="s">
        <v>155</v>
      </c>
      <c r="AC1899" t="s">
        <v>153</v>
      </c>
      <c r="AD1899" t="s">
        <v>48</v>
      </c>
      <c r="AG1899" t="str">
        <f>IF(AD1899="United States", IFERROR(INDEX(Sheet2!$C:$C, MATCH(AE1899&amp;AF1899, Sheet2!$E:$E, 0)) &amp; ", " &amp; INDEX(Sheet2!$D:$D, MATCH(AE1899&amp;AF1899, Sheet2!$E:$E, 0)), ""), "-")</f>
        <v/>
      </c>
    </row>
    <row r="1900" spans="1:33" x14ac:dyDescent="0.25">
      <c r="A1900" t="s">
        <v>2966</v>
      </c>
      <c r="B1900" t="s">
        <v>3411</v>
      </c>
      <c r="C1900" t="s">
        <v>3125</v>
      </c>
      <c r="D1900" t="s">
        <v>1230</v>
      </c>
      <c r="E1900" t="s">
        <v>101</v>
      </c>
      <c r="F1900">
        <v>1757</v>
      </c>
      <c r="G1900">
        <v>988</v>
      </c>
      <c r="H1900" t="s">
        <v>2977</v>
      </c>
      <c r="I1900" t="s">
        <v>80</v>
      </c>
      <c r="J1900" t="s">
        <v>3126</v>
      </c>
      <c r="K1900" t="s">
        <v>38</v>
      </c>
      <c r="L1900" t="s">
        <v>38</v>
      </c>
      <c r="M1900" t="s">
        <v>38</v>
      </c>
      <c r="N1900" t="s">
        <v>38</v>
      </c>
      <c r="O1900" t="s">
        <v>57</v>
      </c>
      <c r="P1900" t="s">
        <v>42</v>
      </c>
      <c r="Q1900" t="s">
        <v>43</v>
      </c>
      <c r="R1900" t="s">
        <v>2452</v>
      </c>
      <c r="S1900" t="s">
        <v>45</v>
      </c>
      <c r="T1900" t="s">
        <v>89</v>
      </c>
      <c r="U1900" t="s">
        <v>2453</v>
      </c>
      <c r="V1900" t="s">
        <v>137</v>
      </c>
      <c r="W1900" t="s">
        <v>92</v>
      </c>
      <c r="X1900" t="s">
        <v>38</v>
      </c>
      <c r="Y1900" t="s">
        <v>38</v>
      </c>
      <c r="Z1900" t="s">
        <v>42</v>
      </c>
      <c r="AA1900" t="s">
        <v>241</v>
      </c>
      <c r="AB1900" t="s">
        <v>38</v>
      </c>
      <c r="AC1900" t="s">
        <v>45</v>
      </c>
      <c r="AD1900" t="s">
        <v>48</v>
      </c>
      <c r="AG1900" t="str">
        <f>IF(AD1900="United States", IFERROR(INDEX(Sheet2!$C:$C, MATCH(AE1900&amp;AF1900, Sheet2!$E:$E, 0)) &amp; ", " &amp; INDEX(Sheet2!$D:$D, MATCH(AE1900&amp;AF1900, Sheet2!$E:$E, 0)), ""), "-")</f>
        <v/>
      </c>
    </row>
    <row r="1901" spans="1:33" x14ac:dyDescent="0.25">
      <c r="A1901" t="s">
        <v>2966</v>
      </c>
      <c r="B1901" t="s">
        <v>3452</v>
      </c>
      <c r="C1901" t="s">
        <v>3125</v>
      </c>
      <c r="D1901" t="s">
        <v>140</v>
      </c>
      <c r="E1901" t="s">
        <v>2178</v>
      </c>
      <c r="F1901">
        <v>1757</v>
      </c>
      <c r="G1901">
        <v>1313</v>
      </c>
      <c r="H1901" t="s">
        <v>2975</v>
      </c>
      <c r="I1901" t="s">
        <v>80</v>
      </c>
      <c r="J1901" t="s">
        <v>3126</v>
      </c>
      <c r="K1901" t="s">
        <v>38</v>
      </c>
      <c r="L1901" t="s">
        <v>38</v>
      </c>
      <c r="M1901" t="s">
        <v>38</v>
      </c>
      <c r="N1901" t="s">
        <v>38</v>
      </c>
      <c r="O1901" t="s">
        <v>57</v>
      </c>
      <c r="P1901" t="s">
        <v>42</v>
      </c>
      <c r="Q1901" t="s">
        <v>43</v>
      </c>
      <c r="R1901" t="s">
        <v>2452</v>
      </c>
      <c r="S1901" t="s">
        <v>45</v>
      </c>
      <c r="T1901" t="s">
        <v>89</v>
      </c>
      <c r="U1901" t="s">
        <v>2453</v>
      </c>
      <c r="V1901" t="s">
        <v>137</v>
      </c>
      <c r="W1901" t="s">
        <v>92</v>
      </c>
      <c r="X1901" t="s">
        <v>38</v>
      </c>
      <c r="Y1901" t="s">
        <v>38</v>
      </c>
      <c r="Z1901" t="s">
        <v>42</v>
      </c>
      <c r="AA1901" t="s">
        <v>1135</v>
      </c>
      <c r="AB1901" t="s">
        <v>38</v>
      </c>
      <c r="AC1901" t="s">
        <v>45</v>
      </c>
      <c r="AD1901" t="s">
        <v>48</v>
      </c>
      <c r="AG1901" t="str">
        <f>IF(AD1901="United States", IFERROR(INDEX(Sheet2!$C:$C, MATCH(AE1901&amp;AF1901, Sheet2!$E:$E, 0)) &amp; ", " &amp; INDEX(Sheet2!$D:$D, MATCH(AE1901&amp;AF1901, Sheet2!$E:$E, 0)), ""), "-")</f>
        <v/>
      </c>
    </row>
    <row r="1902" spans="1:33" x14ac:dyDescent="0.25">
      <c r="A1902" t="s">
        <v>2966</v>
      </c>
      <c r="B1902" t="s">
        <v>3248</v>
      </c>
      <c r="C1902" t="s">
        <v>3125</v>
      </c>
      <c r="D1902" t="s">
        <v>190</v>
      </c>
      <c r="E1902" t="s">
        <v>1141</v>
      </c>
      <c r="F1902">
        <v>1733</v>
      </c>
      <c r="G1902">
        <v>955</v>
      </c>
      <c r="H1902" t="s">
        <v>2975</v>
      </c>
      <c r="I1902" t="s">
        <v>80</v>
      </c>
      <c r="J1902" t="s">
        <v>3126</v>
      </c>
      <c r="K1902" t="s">
        <v>38</v>
      </c>
      <c r="L1902" t="s">
        <v>38</v>
      </c>
      <c r="M1902" t="s">
        <v>38</v>
      </c>
      <c r="N1902" t="s">
        <v>38</v>
      </c>
      <c r="O1902" t="s">
        <v>57</v>
      </c>
      <c r="P1902" t="s">
        <v>42</v>
      </c>
      <c r="Q1902" t="s">
        <v>43</v>
      </c>
      <c r="R1902" t="s">
        <v>2452</v>
      </c>
      <c r="S1902" t="s">
        <v>45</v>
      </c>
      <c r="T1902" t="s">
        <v>89</v>
      </c>
      <c r="U1902" t="s">
        <v>2453</v>
      </c>
      <c r="V1902" t="s">
        <v>137</v>
      </c>
      <c r="W1902" t="s">
        <v>92</v>
      </c>
      <c r="X1902" t="s">
        <v>38</v>
      </c>
      <c r="Y1902" t="s">
        <v>38</v>
      </c>
      <c r="Z1902" t="s">
        <v>42</v>
      </c>
      <c r="AA1902" t="s">
        <v>1135</v>
      </c>
      <c r="AB1902" t="s">
        <v>38</v>
      </c>
      <c r="AC1902" t="s">
        <v>45</v>
      </c>
      <c r="AD1902" t="s">
        <v>48</v>
      </c>
      <c r="AG1902" t="str">
        <f>IF(AD1902="United States", IFERROR(INDEX(Sheet2!$C:$C, MATCH(AE1902&amp;AF1902, Sheet2!$E:$E, 0)) &amp; ", " &amp; INDEX(Sheet2!$D:$D, MATCH(AE1902&amp;AF1902, Sheet2!$E:$E, 0)), ""), "-")</f>
        <v/>
      </c>
    </row>
    <row r="1903" spans="1:33" x14ac:dyDescent="0.25">
      <c r="A1903" t="s">
        <v>2966</v>
      </c>
      <c r="B1903" t="s">
        <v>3468</v>
      </c>
      <c r="C1903" t="s">
        <v>2968</v>
      </c>
      <c r="D1903" t="s">
        <v>101</v>
      </c>
      <c r="E1903" t="s">
        <v>1264</v>
      </c>
      <c r="F1903">
        <v>1757</v>
      </c>
      <c r="G1903">
        <v>1557</v>
      </c>
      <c r="H1903" t="s">
        <v>2977</v>
      </c>
      <c r="I1903" t="s">
        <v>80</v>
      </c>
      <c r="J1903" t="s">
        <v>2969</v>
      </c>
      <c r="K1903" t="s">
        <v>38</v>
      </c>
      <c r="L1903" t="s">
        <v>38</v>
      </c>
      <c r="M1903" t="s">
        <v>38</v>
      </c>
      <c r="N1903" t="s">
        <v>38</v>
      </c>
      <c r="O1903" t="s">
        <v>41</v>
      </c>
      <c r="P1903" t="s">
        <v>42</v>
      </c>
      <c r="Q1903" t="s">
        <v>43</v>
      </c>
      <c r="R1903" t="s">
        <v>2452</v>
      </c>
      <c r="S1903" t="s">
        <v>45</v>
      </c>
      <c r="T1903" t="s">
        <v>89</v>
      </c>
      <c r="U1903" t="s">
        <v>2453</v>
      </c>
      <c r="V1903" t="s">
        <v>137</v>
      </c>
      <c r="W1903" t="s">
        <v>92</v>
      </c>
      <c r="X1903" t="s">
        <v>38</v>
      </c>
      <c r="Y1903" t="s">
        <v>38</v>
      </c>
      <c r="Z1903" t="s">
        <v>42</v>
      </c>
      <c r="AA1903" t="s">
        <v>241</v>
      </c>
      <c r="AB1903" t="s">
        <v>38</v>
      </c>
      <c r="AC1903" t="s">
        <v>45</v>
      </c>
      <c r="AD1903" t="s">
        <v>48</v>
      </c>
      <c r="AG1903" t="str">
        <f>IF(AD1903="United States", IFERROR(INDEX(Sheet2!$C:$C, MATCH(AE1903&amp;AF1903, Sheet2!$E:$E, 0)) &amp; ", " &amp; INDEX(Sheet2!$D:$D, MATCH(AE1903&amp;AF1903, Sheet2!$E:$E, 0)), ""), "-")</f>
        <v/>
      </c>
    </row>
    <row r="1904" spans="1:33" x14ac:dyDescent="0.25">
      <c r="A1904" t="s">
        <v>2966</v>
      </c>
      <c r="B1904" t="s">
        <v>3469</v>
      </c>
      <c r="C1904" t="s">
        <v>2968</v>
      </c>
      <c r="D1904" t="s">
        <v>3092</v>
      </c>
      <c r="E1904" t="s">
        <v>3470</v>
      </c>
      <c r="F1904">
        <v>1771</v>
      </c>
      <c r="G1904">
        <v>1624</v>
      </c>
      <c r="H1904" t="s">
        <v>38</v>
      </c>
      <c r="I1904" t="s">
        <v>80</v>
      </c>
      <c r="J1904" t="s">
        <v>2969</v>
      </c>
      <c r="K1904" t="s">
        <v>38</v>
      </c>
      <c r="L1904" t="s">
        <v>38</v>
      </c>
      <c r="M1904" t="s">
        <v>38</v>
      </c>
      <c r="N1904" t="s">
        <v>38</v>
      </c>
      <c r="O1904" t="s">
        <v>54</v>
      </c>
      <c r="P1904" t="s">
        <v>42</v>
      </c>
      <c r="Q1904" t="s">
        <v>43</v>
      </c>
      <c r="R1904" t="s">
        <v>52</v>
      </c>
      <c r="S1904" t="s">
        <v>45</v>
      </c>
      <c r="T1904" t="s">
        <v>38</v>
      </c>
      <c r="U1904" t="s">
        <v>38</v>
      </c>
      <c r="V1904" t="s">
        <v>137</v>
      </c>
      <c r="W1904" t="s">
        <v>38</v>
      </c>
      <c r="X1904" t="s">
        <v>38</v>
      </c>
      <c r="Y1904" t="s">
        <v>38</v>
      </c>
      <c r="Z1904" t="s">
        <v>42</v>
      </c>
      <c r="AA1904" t="s">
        <v>38</v>
      </c>
      <c r="AB1904" t="s">
        <v>38</v>
      </c>
      <c r="AC1904" t="s">
        <v>45</v>
      </c>
      <c r="AD1904" t="s">
        <v>48</v>
      </c>
      <c r="AG1904" t="str">
        <f>IF(AD1904="United States", IFERROR(INDEX(Sheet2!$C:$C, MATCH(AE1904&amp;AF1904, Sheet2!$E:$E, 0)) &amp; ", " &amp; INDEX(Sheet2!$D:$D, MATCH(AE1904&amp;AF1904, Sheet2!$E:$E, 0)), ""), "-")</f>
        <v/>
      </c>
    </row>
    <row r="1905" spans="1:33" x14ac:dyDescent="0.25">
      <c r="A1905" t="s">
        <v>2966</v>
      </c>
      <c r="B1905" t="s">
        <v>3456</v>
      </c>
      <c r="C1905" t="s">
        <v>3125</v>
      </c>
      <c r="D1905" t="s">
        <v>200</v>
      </c>
      <c r="E1905" t="s">
        <v>2178</v>
      </c>
      <c r="F1905">
        <v>1755</v>
      </c>
      <c r="G1905">
        <v>1316</v>
      </c>
      <c r="H1905" t="s">
        <v>2975</v>
      </c>
      <c r="I1905" t="s">
        <v>80</v>
      </c>
      <c r="J1905" t="s">
        <v>3126</v>
      </c>
      <c r="K1905" t="s">
        <v>38</v>
      </c>
      <c r="L1905" t="s">
        <v>38</v>
      </c>
      <c r="M1905" t="s">
        <v>38</v>
      </c>
      <c r="N1905" t="s">
        <v>38</v>
      </c>
      <c r="O1905" t="s">
        <v>41</v>
      </c>
      <c r="P1905" t="s">
        <v>42</v>
      </c>
      <c r="Q1905" t="s">
        <v>43</v>
      </c>
      <c r="R1905" t="s">
        <v>2452</v>
      </c>
      <c r="S1905" t="s">
        <v>45</v>
      </c>
      <c r="T1905" t="s">
        <v>89</v>
      </c>
      <c r="U1905" t="s">
        <v>2453</v>
      </c>
      <c r="V1905" t="s">
        <v>137</v>
      </c>
      <c r="W1905" t="s">
        <v>92</v>
      </c>
      <c r="X1905" t="s">
        <v>38</v>
      </c>
      <c r="Y1905" t="s">
        <v>38</v>
      </c>
      <c r="Z1905" t="s">
        <v>42</v>
      </c>
      <c r="AA1905" t="s">
        <v>1135</v>
      </c>
      <c r="AB1905" t="s">
        <v>38</v>
      </c>
      <c r="AC1905" t="s">
        <v>45</v>
      </c>
      <c r="AD1905" t="s">
        <v>48</v>
      </c>
      <c r="AG1905" t="str">
        <f>IF(AD1905="United States", IFERROR(INDEX(Sheet2!$C:$C, MATCH(AE1905&amp;AF1905, Sheet2!$E:$E, 0)) &amp; ", " &amp; INDEX(Sheet2!$D:$D, MATCH(AE1905&amp;AF1905, Sheet2!$E:$E, 0)), ""), "-")</f>
        <v/>
      </c>
    </row>
    <row r="1906" spans="1:33" x14ac:dyDescent="0.25">
      <c r="A1906" t="s">
        <v>2966</v>
      </c>
      <c r="B1906" t="s">
        <v>3457</v>
      </c>
      <c r="C1906" t="s">
        <v>3125</v>
      </c>
      <c r="D1906" t="s">
        <v>495</v>
      </c>
      <c r="E1906" t="s">
        <v>1377</v>
      </c>
      <c r="F1906">
        <v>1758</v>
      </c>
      <c r="G1906">
        <v>1317</v>
      </c>
      <c r="H1906" t="s">
        <v>2975</v>
      </c>
      <c r="I1906" t="s">
        <v>80</v>
      </c>
      <c r="J1906" t="s">
        <v>3126</v>
      </c>
      <c r="K1906" t="s">
        <v>38</v>
      </c>
      <c r="L1906" t="s">
        <v>38</v>
      </c>
      <c r="M1906" t="s">
        <v>38</v>
      </c>
      <c r="N1906" t="s">
        <v>38</v>
      </c>
      <c r="O1906" t="s">
        <v>57</v>
      </c>
      <c r="P1906" t="s">
        <v>42</v>
      </c>
      <c r="Q1906" t="s">
        <v>43</v>
      </c>
      <c r="R1906" t="s">
        <v>2452</v>
      </c>
      <c r="S1906" t="s">
        <v>45</v>
      </c>
      <c r="T1906" t="s">
        <v>89</v>
      </c>
      <c r="U1906" t="s">
        <v>2453</v>
      </c>
      <c r="V1906" t="s">
        <v>137</v>
      </c>
      <c r="W1906" t="s">
        <v>92</v>
      </c>
      <c r="X1906" t="s">
        <v>38</v>
      </c>
      <c r="Y1906" t="s">
        <v>38</v>
      </c>
      <c r="Z1906" t="s">
        <v>42</v>
      </c>
      <c r="AA1906" t="s">
        <v>143</v>
      </c>
      <c r="AB1906" t="s">
        <v>38</v>
      </c>
      <c r="AC1906" t="s">
        <v>45</v>
      </c>
      <c r="AD1906" t="s">
        <v>48</v>
      </c>
      <c r="AG1906" t="str">
        <f>IF(AD1906="United States", IFERROR(INDEX(Sheet2!$C:$C, MATCH(AE1906&amp;AF1906, Sheet2!$E:$E, 0)) &amp; ", " &amp; INDEX(Sheet2!$D:$D, MATCH(AE1906&amp;AF1906, Sheet2!$E:$E, 0)), ""), "-")</f>
        <v/>
      </c>
    </row>
    <row r="1907" spans="1:33" x14ac:dyDescent="0.25">
      <c r="A1907" t="s">
        <v>2966</v>
      </c>
      <c r="B1907" t="s">
        <v>3471</v>
      </c>
      <c r="C1907" t="s">
        <v>2968</v>
      </c>
      <c r="D1907" t="s">
        <v>177</v>
      </c>
      <c r="E1907" t="s">
        <v>3472</v>
      </c>
      <c r="F1907">
        <v>1726</v>
      </c>
      <c r="G1907">
        <v>1623</v>
      </c>
      <c r="H1907" t="s">
        <v>38</v>
      </c>
      <c r="I1907" t="s">
        <v>80</v>
      </c>
      <c r="J1907" t="s">
        <v>2969</v>
      </c>
      <c r="K1907" t="s">
        <v>38</v>
      </c>
      <c r="L1907" t="s">
        <v>38</v>
      </c>
      <c r="M1907" t="s">
        <v>38</v>
      </c>
      <c r="N1907" t="s">
        <v>38</v>
      </c>
      <c r="O1907" t="s">
        <v>41</v>
      </c>
      <c r="P1907" t="s">
        <v>42</v>
      </c>
      <c r="Q1907" t="s">
        <v>43</v>
      </c>
      <c r="R1907" t="s">
        <v>143</v>
      </c>
      <c r="S1907" t="s">
        <v>45</v>
      </c>
      <c r="T1907" t="s">
        <v>38</v>
      </c>
      <c r="U1907" t="s">
        <v>38</v>
      </c>
      <c r="V1907" t="s">
        <v>137</v>
      </c>
      <c r="W1907" t="s">
        <v>38</v>
      </c>
      <c r="X1907" t="s">
        <v>38</v>
      </c>
      <c r="Y1907" t="s">
        <v>38</v>
      </c>
      <c r="Z1907" t="s">
        <v>42</v>
      </c>
      <c r="AA1907" t="s">
        <v>143</v>
      </c>
      <c r="AB1907" t="s">
        <v>38</v>
      </c>
      <c r="AC1907" t="s">
        <v>45</v>
      </c>
      <c r="AD1907" t="s">
        <v>48</v>
      </c>
      <c r="AG1907" t="str">
        <f>IF(AD1907="United States", IFERROR(INDEX(Sheet2!$C:$C, MATCH(AE1907&amp;AF1907, Sheet2!$E:$E, 0)) &amp; ", " &amp; INDEX(Sheet2!$D:$D, MATCH(AE1907&amp;AF1907, Sheet2!$E:$E, 0)), ""), "-")</f>
        <v/>
      </c>
    </row>
    <row r="1908" spans="1:33" x14ac:dyDescent="0.25">
      <c r="A1908" t="s">
        <v>2966</v>
      </c>
      <c r="B1908" t="s">
        <v>3473</v>
      </c>
      <c r="C1908" t="s">
        <v>2968</v>
      </c>
      <c r="D1908" t="s">
        <v>463</v>
      </c>
      <c r="E1908" t="s">
        <v>3470</v>
      </c>
      <c r="F1908">
        <v>1723</v>
      </c>
      <c r="G1908">
        <v>1622</v>
      </c>
      <c r="H1908" t="s">
        <v>38</v>
      </c>
      <c r="I1908" t="s">
        <v>80</v>
      </c>
      <c r="J1908" t="s">
        <v>2969</v>
      </c>
      <c r="K1908" t="s">
        <v>38</v>
      </c>
      <c r="L1908" t="s">
        <v>38</v>
      </c>
      <c r="M1908" t="s">
        <v>38</v>
      </c>
      <c r="N1908" t="s">
        <v>38</v>
      </c>
      <c r="O1908" t="s">
        <v>41</v>
      </c>
      <c r="P1908" t="s">
        <v>42</v>
      </c>
      <c r="Q1908" t="s">
        <v>43</v>
      </c>
      <c r="R1908" t="s">
        <v>169</v>
      </c>
      <c r="S1908" t="s">
        <v>45</v>
      </c>
      <c r="T1908" t="s">
        <v>38</v>
      </c>
      <c r="U1908" t="s">
        <v>38</v>
      </c>
      <c r="V1908" t="s">
        <v>137</v>
      </c>
      <c r="W1908" t="s">
        <v>38</v>
      </c>
      <c r="X1908" t="s">
        <v>38</v>
      </c>
      <c r="Y1908" t="s">
        <v>38</v>
      </c>
      <c r="Z1908" t="s">
        <v>42</v>
      </c>
      <c r="AA1908" t="s">
        <v>169</v>
      </c>
      <c r="AB1908" t="s">
        <v>38</v>
      </c>
      <c r="AC1908" t="s">
        <v>45</v>
      </c>
      <c r="AD1908" t="s">
        <v>48</v>
      </c>
      <c r="AG1908" t="str">
        <f>IF(AD1908="United States", IFERROR(INDEX(Sheet2!$C:$C, MATCH(AE1908&amp;AF1908, Sheet2!$E:$E, 0)) &amp; ", " &amp; INDEX(Sheet2!$D:$D, MATCH(AE1908&amp;AF1908, Sheet2!$E:$E, 0)), ""), "-")</f>
        <v/>
      </c>
    </row>
    <row r="1909" spans="1:33" x14ac:dyDescent="0.25">
      <c r="A1909" t="s">
        <v>2966</v>
      </c>
      <c r="B1909" t="s">
        <v>3474</v>
      </c>
      <c r="C1909" t="s">
        <v>2968</v>
      </c>
      <c r="D1909" t="s">
        <v>36</v>
      </c>
      <c r="E1909" t="s">
        <v>1116</v>
      </c>
      <c r="F1909">
        <v>1765</v>
      </c>
      <c r="G1909">
        <v>1621</v>
      </c>
      <c r="H1909" t="s">
        <v>2975</v>
      </c>
      <c r="I1909" t="s">
        <v>80</v>
      </c>
      <c r="J1909" t="s">
        <v>2969</v>
      </c>
      <c r="K1909" t="s">
        <v>38</v>
      </c>
      <c r="L1909" t="s">
        <v>38</v>
      </c>
      <c r="M1909" t="s">
        <v>38</v>
      </c>
      <c r="N1909" t="s">
        <v>38</v>
      </c>
      <c r="O1909" t="s">
        <v>41</v>
      </c>
      <c r="P1909" t="s">
        <v>42</v>
      </c>
      <c r="Q1909" t="s">
        <v>43</v>
      </c>
      <c r="R1909" t="s">
        <v>2452</v>
      </c>
      <c r="S1909" t="s">
        <v>45</v>
      </c>
      <c r="T1909" t="s">
        <v>89</v>
      </c>
      <c r="U1909" t="s">
        <v>2453</v>
      </c>
      <c r="V1909" t="s">
        <v>137</v>
      </c>
      <c r="W1909" t="s">
        <v>92</v>
      </c>
      <c r="X1909" t="s">
        <v>38</v>
      </c>
      <c r="Y1909" t="s">
        <v>38</v>
      </c>
      <c r="Z1909" t="s">
        <v>42</v>
      </c>
      <c r="AA1909" t="s">
        <v>2166</v>
      </c>
      <c r="AB1909" t="s">
        <v>38</v>
      </c>
      <c r="AC1909" t="s">
        <v>45</v>
      </c>
      <c r="AD1909" t="s">
        <v>48</v>
      </c>
      <c r="AG1909" t="str">
        <f>IF(AD1909="United States", IFERROR(INDEX(Sheet2!$C:$C, MATCH(AE1909&amp;AF1909, Sheet2!$E:$E, 0)) &amp; ", " &amp; INDEX(Sheet2!$D:$D, MATCH(AE1909&amp;AF1909, Sheet2!$E:$E, 0)), ""), "-")</f>
        <v/>
      </c>
    </row>
    <row r="1910" spans="1:33" x14ac:dyDescent="0.25">
      <c r="A1910" t="s">
        <v>2966</v>
      </c>
      <c r="B1910" t="s">
        <v>3475</v>
      </c>
      <c r="C1910" t="s">
        <v>2968</v>
      </c>
      <c r="D1910" t="s">
        <v>226</v>
      </c>
      <c r="E1910" t="s">
        <v>2794</v>
      </c>
      <c r="F1910">
        <v>1755</v>
      </c>
      <c r="G1910">
        <v>1620</v>
      </c>
      <c r="H1910" t="s">
        <v>2977</v>
      </c>
      <c r="I1910" t="s">
        <v>80</v>
      </c>
      <c r="J1910" t="s">
        <v>2969</v>
      </c>
      <c r="K1910" t="s">
        <v>38</v>
      </c>
      <c r="L1910" t="s">
        <v>38</v>
      </c>
      <c r="M1910" t="s">
        <v>38</v>
      </c>
      <c r="N1910" t="s">
        <v>38</v>
      </c>
      <c r="O1910" t="s">
        <v>41</v>
      </c>
      <c r="P1910" t="s">
        <v>42</v>
      </c>
      <c r="Q1910" t="s">
        <v>43</v>
      </c>
      <c r="R1910" t="s">
        <v>2452</v>
      </c>
      <c r="S1910" t="s">
        <v>45</v>
      </c>
      <c r="T1910" t="s">
        <v>89</v>
      </c>
      <c r="U1910" t="s">
        <v>2453</v>
      </c>
      <c r="V1910" t="s">
        <v>137</v>
      </c>
      <c r="W1910" t="s">
        <v>92</v>
      </c>
      <c r="X1910" t="s">
        <v>38</v>
      </c>
      <c r="Y1910" t="s">
        <v>38</v>
      </c>
      <c r="Z1910" t="s">
        <v>42</v>
      </c>
      <c r="AA1910" t="s">
        <v>2166</v>
      </c>
      <c r="AB1910" t="s">
        <v>38</v>
      </c>
      <c r="AC1910" t="s">
        <v>45</v>
      </c>
      <c r="AD1910" t="s">
        <v>48</v>
      </c>
      <c r="AG1910" t="str">
        <f>IF(AD1910="United States", IFERROR(INDEX(Sheet2!$C:$C, MATCH(AE1910&amp;AF1910, Sheet2!$E:$E, 0)) &amp; ", " &amp; INDEX(Sheet2!$D:$D, MATCH(AE1910&amp;AF1910, Sheet2!$E:$E, 0)), ""), "-")</f>
        <v/>
      </c>
    </row>
    <row r="1911" spans="1:33" x14ac:dyDescent="0.25">
      <c r="A1911" t="s">
        <v>2966</v>
      </c>
      <c r="B1911" t="s">
        <v>3476</v>
      </c>
      <c r="C1911" t="s">
        <v>2968</v>
      </c>
      <c r="D1911" t="s">
        <v>3137</v>
      </c>
      <c r="E1911" t="s">
        <v>3477</v>
      </c>
      <c r="F1911">
        <v>1760</v>
      </c>
      <c r="G1911">
        <v>1619</v>
      </c>
      <c r="H1911" t="s">
        <v>38</v>
      </c>
      <c r="I1911" t="s">
        <v>80</v>
      </c>
      <c r="J1911" t="s">
        <v>2969</v>
      </c>
      <c r="K1911" t="s">
        <v>38</v>
      </c>
      <c r="L1911" t="s">
        <v>38</v>
      </c>
      <c r="M1911" t="s">
        <v>38</v>
      </c>
      <c r="N1911" t="s">
        <v>38</v>
      </c>
      <c r="O1911" t="s">
        <v>41</v>
      </c>
      <c r="P1911" t="s">
        <v>42</v>
      </c>
      <c r="Q1911" t="s">
        <v>43</v>
      </c>
      <c r="R1911" t="s">
        <v>3478</v>
      </c>
      <c r="S1911" t="s">
        <v>1063</v>
      </c>
      <c r="T1911" t="s">
        <v>38</v>
      </c>
      <c r="U1911" t="s">
        <v>38</v>
      </c>
      <c r="V1911" t="s">
        <v>137</v>
      </c>
      <c r="W1911" t="s">
        <v>38</v>
      </c>
      <c r="X1911" t="s">
        <v>38</v>
      </c>
      <c r="Y1911" t="s">
        <v>38</v>
      </c>
      <c r="Z1911" t="s">
        <v>42</v>
      </c>
      <c r="AA1911" t="s">
        <v>3479</v>
      </c>
      <c r="AB1911" t="s">
        <v>38</v>
      </c>
      <c r="AC1911" t="s">
        <v>1063</v>
      </c>
      <c r="AD1911" t="s">
        <v>48</v>
      </c>
      <c r="AG1911" t="str">
        <f>IF(AD1911="United States", IFERROR(INDEX(Sheet2!$C:$C, MATCH(AE1911&amp;AF1911, Sheet2!$E:$E, 0)) &amp; ", " &amp; INDEX(Sheet2!$D:$D, MATCH(AE1911&amp;AF1911, Sheet2!$E:$E, 0)), ""), "-")</f>
        <v/>
      </c>
    </row>
    <row r="1912" spans="1:33" x14ac:dyDescent="0.25">
      <c r="A1912" t="s">
        <v>2966</v>
      </c>
      <c r="B1912" t="s">
        <v>3480</v>
      </c>
      <c r="C1912" t="s">
        <v>2968</v>
      </c>
      <c r="D1912" t="s">
        <v>101</v>
      </c>
      <c r="E1912" t="s">
        <v>3481</v>
      </c>
      <c r="F1912">
        <v>1729</v>
      </c>
      <c r="G1912">
        <v>1618</v>
      </c>
      <c r="H1912" t="s">
        <v>2977</v>
      </c>
      <c r="I1912" t="s">
        <v>80</v>
      </c>
      <c r="J1912" t="s">
        <v>2969</v>
      </c>
      <c r="K1912" t="s">
        <v>38</v>
      </c>
      <c r="L1912" t="s">
        <v>38</v>
      </c>
      <c r="M1912" t="s">
        <v>38</v>
      </c>
      <c r="N1912" t="s">
        <v>38</v>
      </c>
      <c r="O1912" t="s">
        <v>41</v>
      </c>
      <c r="P1912" t="s">
        <v>42</v>
      </c>
      <c r="Q1912" t="s">
        <v>43</v>
      </c>
      <c r="R1912" t="s">
        <v>2452</v>
      </c>
      <c r="S1912" t="s">
        <v>45</v>
      </c>
      <c r="T1912" t="s">
        <v>89</v>
      </c>
      <c r="U1912" t="s">
        <v>2453</v>
      </c>
      <c r="V1912" t="s">
        <v>137</v>
      </c>
      <c r="W1912" t="s">
        <v>92</v>
      </c>
      <c r="X1912" t="s">
        <v>38</v>
      </c>
      <c r="Y1912" t="s">
        <v>38</v>
      </c>
      <c r="Z1912" t="s">
        <v>42</v>
      </c>
      <c r="AA1912" t="s">
        <v>169</v>
      </c>
      <c r="AB1912" t="s">
        <v>38</v>
      </c>
      <c r="AC1912" t="s">
        <v>45</v>
      </c>
      <c r="AD1912" t="s">
        <v>48</v>
      </c>
      <c r="AG1912" t="str">
        <f>IF(AD1912="United States", IFERROR(INDEX(Sheet2!$C:$C, MATCH(AE1912&amp;AF1912, Sheet2!$E:$E, 0)) &amp; ", " &amp; INDEX(Sheet2!$D:$D, MATCH(AE1912&amp;AF1912, Sheet2!$E:$E, 0)), ""), "-")</f>
        <v/>
      </c>
    </row>
    <row r="1913" spans="1:33" x14ac:dyDescent="0.25">
      <c r="A1913" t="s">
        <v>2966</v>
      </c>
      <c r="B1913" t="s">
        <v>3482</v>
      </c>
      <c r="C1913" t="s">
        <v>2968</v>
      </c>
      <c r="D1913" t="s">
        <v>132</v>
      </c>
      <c r="E1913" t="s">
        <v>624</v>
      </c>
      <c r="F1913">
        <v>1755</v>
      </c>
      <c r="G1913">
        <v>1617</v>
      </c>
      <c r="H1913" t="s">
        <v>2975</v>
      </c>
      <c r="I1913" t="s">
        <v>80</v>
      </c>
      <c r="J1913" t="s">
        <v>2969</v>
      </c>
      <c r="K1913" t="s">
        <v>38</v>
      </c>
      <c r="L1913" t="s">
        <v>38</v>
      </c>
      <c r="M1913" t="s">
        <v>38</v>
      </c>
      <c r="N1913" t="s">
        <v>38</v>
      </c>
      <c r="O1913" t="s">
        <v>41</v>
      </c>
      <c r="P1913" t="s">
        <v>42</v>
      </c>
      <c r="Q1913" t="s">
        <v>43</v>
      </c>
      <c r="R1913" t="s">
        <v>2452</v>
      </c>
      <c r="S1913" t="s">
        <v>45</v>
      </c>
      <c r="T1913" t="s">
        <v>89</v>
      </c>
      <c r="U1913" t="s">
        <v>2453</v>
      </c>
      <c r="V1913" t="s">
        <v>137</v>
      </c>
      <c r="W1913" t="s">
        <v>92</v>
      </c>
      <c r="X1913" t="s">
        <v>38</v>
      </c>
      <c r="Y1913" t="s">
        <v>38</v>
      </c>
      <c r="Z1913" t="s">
        <v>42</v>
      </c>
      <c r="AA1913" t="s">
        <v>3483</v>
      </c>
      <c r="AB1913" t="s">
        <v>38</v>
      </c>
      <c r="AC1913" t="s">
        <v>45</v>
      </c>
      <c r="AD1913" t="s">
        <v>48</v>
      </c>
      <c r="AG1913" t="str">
        <f>IF(AD1913="United States", IFERROR(INDEX(Sheet2!$C:$C, MATCH(AE1913&amp;AF1913, Sheet2!$E:$E, 0)) &amp; ", " &amp; INDEX(Sheet2!$D:$D, MATCH(AE1913&amp;AF1913, Sheet2!$E:$E, 0)), ""), "-")</f>
        <v/>
      </c>
    </row>
    <row r="1914" spans="1:33" x14ac:dyDescent="0.25">
      <c r="A1914" t="s">
        <v>2966</v>
      </c>
      <c r="B1914" t="s">
        <v>3484</v>
      </c>
      <c r="C1914" t="s">
        <v>2968</v>
      </c>
      <c r="D1914" t="s">
        <v>2865</v>
      </c>
      <c r="E1914" t="s">
        <v>1318</v>
      </c>
      <c r="F1914">
        <v>1754</v>
      </c>
      <c r="G1914">
        <v>1616</v>
      </c>
      <c r="H1914" t="s">
        <v>38</v>
      </c>
      <c r="I1914" t="s">
        <v>80</v>
      </c>
      <c r="J1914" t="s">
        <v>2969</v>
      </c>
      <c r="K1914" t="s">
        <v>38</v>
      </c>
      <c r="L1914" t="s">
        <v>38</v>
      </c>
      <c r="M1914" t="s">
        <v>38</v>
      </c>
      <c r="N1914" t="s">
        <v>38</v>
      </c>
      <c r="O1914" t="s">
        <v>41</v>
      </c>
      <c r="P1914" t="s">
        <v>42</v>
      </c>
      <c r="Q1914" t="s">
        <v>43</v>
      </c>
      <c r="R1914" t="s">
        <v>1135</v>
      </c>
      <c r="S1914" t="s">
        <v>45</v>
      </c>
      <c r="T1914" t="s">
        <v>38</v>
      </c>
      <c r="U1914" t="s">
        <v>38</v>
      </c>
      <c r="V1914" t="s">
        <v>137</v>
      </c>
      <c r="W1914" t="s">
        <v>38</v>
      </c>
      <c r="X1914" t="s">
        <v>38</v>
      </c>
      <c r="Y1914" t="s">
        <v>38</v>
      </c>
      <c r="Z1914" t="s">
        <v>42</v>
      </c>
      <c r="AA1914" t="s">
        <v>1135</v>
      </c>
      <c r="AB1914" t="s">
        <v>38</v>
      </c>
      <c r="AC1914" t="s">
        <v>45</v>
      </c>
      <c r="AD1914" t="s">
        <v>48</v>
      </c>
      <c r="AG1914" t="str">
        <f>IF(AD1914="United States", IFERROR(INDEX(Sheet2!$C:$C, MATCH(AE1914&amp;AF1914, Sheet2!$E:$E, 0)) &amp; ", " &amp; INDEX(Sheet2!$D:$D, MATCH(AE1914&amp;AF1914, Sheet2!$E:$E, 0)), ""), "-")</f>
        <v/>
      </c>
    </row>
    <row r="1915" spans="1:33" x14ac:dyDescent="0.25">
      <c r="A1915" t="s">
        <v>2966</v>
      </c>
      <c r="B1915" t="s">
        <v>3485</v>
      </c>
      <c r="C1915" t="s">
        <v>2968</v>
      </c>
      <c r="D1915" t="s">
        <v>3486</v>
      </c>
      <c r="E1915" t="s">
        <v>338</v>
      </c>
      <c r="F1915">
        <v>1738</v>
      </c>
      <c r="G1915">
        <v>1615</v>
      </c>
      <c r="H1915" t="s">
        <v>38</v>
      </c>
      <c r="I1915" t="s">
        <v>80</v>
      </c>
      <c r="J1915" t="s">
        <v>2969</v>
      </c>
      <c r="K1915" t="s">
        <v>38</v>
      </c>
      <c r="L1915" t="s">
        <v>38</v>
      </c>
      <c r="M1915" t="s">
        <v>38</v>
      </c>
      <c r="N1915" t="s">
        <v>38</v>
      </c>
      <c r="O1915" t="s">
        <v>41</v>
      </c>
      <c r="P1915" t="s">
        <v>42</v>
      </c>
      <c r="Q1915" t="s">
        <v>43</v>
      </c>
      <c r="R1915" t="s">
        <v>1135</v>
      </c>
      <c r="S1915" t="s">
        <v>45</v>
      </c>
      <c r="T1915" t="s">
        <v>38</v>
      </c>
      <c r="U1915" t="s">
        <v>38</v>
      </c>
      <c r="V1915" t="s">
        <v>137</v>
      </c>
      <c r="W1915" t="s">
        <v>38</v>
      </c>
      <c r="X1915" t="s">
        <v>38</v>
      </c>
      <c r="Y1915" t="s">
        <v>38</v>
      </c>
      <c r="Z1915" t="s">
        <v>42</v>
      </c>
      <c r="AA1915" t="s">
        <v>1135</v>
      </c>
      <c r="AB1915" t="s">
        <v>38</v>
      </c>
      <c r="AC1915" t="s">
        <v>45</v>
      </c>
      <c r="AD1915" t="s">
        <v>48</v>
      </c>
      <c r="AG1915" t="str">
        <f>IF(AD1915="United States", IFERROR(INDEX(Sheet2!$C:$C, MATCH(AE1915&amp;AF1915, Sheet2!$E:$E, 0)) &amp; ", " &amp; INDEX(Sheet2!$D:$D, MATCH(AE1915&amp;AF1915, Sheet2!$E:$E, 0)), ""), "-")</f>
        <v/>
      </c>
    </row>
    <row r="1916" spans="1:33" x14ac:dyDescent="0.25">
      <c r="A1916" t="s">
        <v>2966</v>
      </c>
      <c r="B1916" t="s">
        <v>3487</v>
      </c>
      <c r="C1916" t="s">
        <v>2968</v>
      </c>
      <c r="D1916" t="s">
        <v>222</v>
      </c>
      <c r="E1916" t="s">
        <v>1688</v>
      </c>
      <c r="F1916">
        <v>1764</v>
      </c>
      <c r="G1916">
        <v>1614</v>
      </c>
      <c r="H1916" t="s">
        <v>38</v>
      </c>
      <c r="I1916" t="s">
        <v>80</v>
      </c>
      <c r="J1916" t="s">
        <v>2969</v>
      </c>
      <c r="K1916" t="s">
        <v>38</v>
      </c>
      <c r="L1916" t="s">
        <v>38</v>
      </c>
      <c r="M1916" t="s">
        <v>38</v>
      </c>
      <c r="N1916" t="s">
        <v>38</v>
      </c>
      <c r="O1916" t="s">
        <v>57</v>
      </c>
      <c r="P1916" t="s">
        <v>42</v>
      </c>
      <c r="Q1916" t="s">
        <v>43</v>
      </c>
      <c r="R1916" t="s">
        <v>1485</v>
      </c>
      <c r="S1916" t="s">
        <v>45</v>
      </c>
      <c r="T1916" t="s">
        <v>38</v>
      </c>
      <c r="U1916" t="s">
        <v>38</v>
      </c>
      <c r="V1916" t="s">
        <v>137</v>
      </c>
      <c r="W1916" t="s">
        <v>38</v>
      </c>
      <c r="X1916" t="s">
        <v>38</v>
      </c>
      <c r="Y1916" t="s">
        <v>38</v>
      </c>
      <c r="Z1916" t="s">
        <v>42</v>
      </c>
      <c r="AA1916" t="s">
        <v>1485</v>
      </c>
      <c r="AB1916" t="s">
        <v>38</v>
      </c>
      <c r="AC1916" t="s">
        <v>45</v>
      </c>
      <c r="AD1916" t="s">
        <v>48</v>
      </c>
      <c r="AG1916" t="str">
        <f>IF(AD1916="United States", IFERROR(INDEX(Sheet2!$C:$C, MATCH(AE1916&amp;AF1916, Sheet2!$E:$E, 0)) &amp; ", " &amp; INDEX(Sheet2!$D:$D, MATCH(AE1916&amp;AF1916, Sheet2!$E:$E, 0)), ""), "-")</f>
        <v/>
      </c>
    </row>
    <row r="1917" spans="1:33" x14ac:dyDescent="0.25">
      <c r="A1917" t="s">
        <v>2966</v>
      </c>
      <c r="B1917" t="s">
        <v>3488</v>
      </c>
      <c r="C1917" t="s">
        <v>2968</v>
      </c>
      <c r="D1917" t="s">
        <v>3489</v>
      </c>
      <c r="E1917" t="s">
        <v>2955</v>
      </c>
      <c r="F1917">
        <v>1765</v>
      </c>
      <c r="G1917">
        <v>1613</v>
      </c>
      <c r="H1917" t="s">
        <v>38</v>
      </c>
      <c r="I1917" t="s">
        <v>80</v>
      </c>
      <c r="J1917" t="s">
        <v>2969</v>
      </c>
      <c r="K1917" t="s">
        <v>38</v>
      </c>
      <c r="L1917" t="s">
        <v>38</v>
      </c>
      <c r="M1917" t="s">
        <v>38</v>
      </c>
      <c r="N1917" t="s">
        <v>38</v>
      </c>
      <c r="O1917" t="s">
        <v>57</v>
      </c>
      <c r="P1917" t="s">
        <v>42</v>
      </c>
      <c r="Q1917" t="s">
        <v>43</v>
      </c>
      <c r="R1917" t="s">
        <v>169</v>
      </c>
      <c r="S1917" t="s">
        <v>45</v>
      </c>
      <c r="T1917" t="s">
        <v>38</v>
      </c>
      <c r="U1917" t="s">
        <v>38</v>
      </c>
      <c r="V1917" t="s">
        <v>137</v>
      </c>
      <c r="W1917" t="s">
        <v>38</v>
      </c>
      <c r="X1917" t="s">
        <v>38</v>
      </c>
      <c r="Y1917" t="s">
        <v>38</v>
      </c>
      <c r="Z1917" t="s">
        <v>42</v>
      </c>
      <c r="AA1917" t="s">
        <v>169</v>
      </c>
      <c r="AB1917" t="s">
        <v>38</v>
      </c>
      <c r="AC1917" t="s">
        <v>45</v>
      </c>
      <c r="AD1917" t="s">
        <v>48</v>
      </c>
      <c r="AG1917" t="str">
        <f>IF(AD1917="United States", IFERROR(INDEX(Sheet2!$C:$C, MATCH(AE1917&amp;AF1917, Sheet2!$E:$E, 0)) &amp; ", " &amp; INDEX(Sheet2!$D:$D, MATCH(AE1917&amp;AF1917, Sheet2!$E:$E, 0)), ""), "-")</f>
        <v/>
      </c>
    </row>
    <row r="1918" spans="1:33" x14ac:dyDescent="0.25">
      <c r="A1918" t="s">
        <v>2966</v>
      </c>
      <c r="B1918" t="s">
        <v>3490</v>
      </c>
      <c r="C1918" t="s">
        <v>2968</v>
      </c>
      <c r="D1918" t="s">
        <v>834</v>
      </c>
      <c r="E1918" t="s">
        <v>338</v>
      </c>
      <c r="F1918">
        <v>1753</v>
      </c>
      <c r="G1918">
        <v>1612</v>
      </c>
      <c r="H1918" t="s">
        <v>38</v>
      </c>
      <c r="I1918" t="s">
        <v>80</v>
      </c>
      <c r="J1918" t="s">
        <v>2969</v>
      </c>
      <c r="K1918" t="s">
        <v>38</v>
      </c>
      <c r="L1918" t="s">
        <v>38</v>
      </c>
      <c r="M1918" t="s">
        <v>38</v>
      </c>
      <c r="N1918" t="s">
        <v>38</v>
      </c>
      <c r="O1918" t="s">
        <v>74</v>
      </c>
      <c r="P1918" t="s">
        <v>42</v>
      </c>
      <c r="Q1918" t="s">
        <v>43</v>
      </c>
      <c r="R1918" t="s">
        <v>3491</v>
      </c>
      <c r="S1918" t="s">
        <v>45</v>
      </c>
      <c r="T1918" t="s">
        <v>38</v>
      </c>
      <c r="U1918" t="s">
        <v>38</v>
      </c>
      <c r="V1918" t="s">
        <v>137</v>
      </c>
      <c r="W1918" t="s">
        <v>38</v>
      </c>
      <c r="X1918" t="s">
        <v>38</v>
      </c>
      <c r="Y1918" t="s">
        <v>38</v>
      </c>
      <c r="Z1918" t="s">
        <v>42</v>
      </c>
      <c r="AA1918" t="s">
        <v>143</v>
      </c>
      <c r="AB1918" t="s">
        <v>38</v>
      </c>
      <c r="AC1918" t="s">
        <v>45</v>
      </c>
      <c r="AD1918" t="s">
        <v>48</v>
      </c>
      <c r="AG1918" t="str">
        <f>IF(AD1918="United States", IFERROR(INDEX(Sheet2!$C:$C, MATCH(AE1918&amp;AF1918, Sheet2!$E:$E, 0)) &amp; ", " &amp; INDEX(Sheet2!$D:$D, MATCH(AE1918&amp;AF1918, Sheet2!$E:$E, 0)), ""), "-")</f>
        <v/>
      </c>
    </row>
    <row r="1919" spans="1:33" x14ac:dyDescent="0.25">
      <c r="A1919" t="s">
        <v>2966</v>
      </c>
      <c r="B1919" t="s">
        <v>3458</v>
      </c>
      <c r="C1919" t="s">
        <v>3125</v>
      </c>
      <c r="D1919" t="s">
        <v>114</v>
      </c>
      <c r="E1919" t="s">
        <v>1147</v>
      </c>
      <c r="F1919">
        <v>1762</v>
      </c>
      <c r="G1919">
        <v>1318</v>
      </c>
      <c r="H1919" t="s">
        <v>2975</v>
      </c>
      <c r="I1919" t="s">
        <v>80</v>
      </c>
      <c r="J1919" t="s">
        <v>3126</v>
      </c>
      <c r="K1919" t="s">
        <v>38</v>
      </c>
      <c r="L1919" t="s">
        <v>38</v>
      </c>
      <c r="M1919" t="s">
        <v>38</v>
      </c>
      <c r="N1919" t="s">
        <v>38</v>
      </c>
      <c r="O1919" t="s">
        <v>57</v>
      </c>
      <c r="P1919" t="s">
        <v>42</v>
      </c>
      <c r="Q1919" t="s">
        <v>43</v>
      </c>
      <c r="R1919" t="s">
        <v>2452</v>
      </c>
      <c r="S1919" t="s">
        <v>45</v>
      </c>
      <c r="T1919" t="s">
        <v>89</v>
      </c>
      <c r="U1919" t="s">
        <v>2453</v>
      </c>
      <c r="V1919" t="s">
        <v>137</v>
      </c>
      <c r="W1919" t="s">
        <v>92</v>
      </c>
      <c r="X1919" t="s">
        <v>38</v>
      </c>
      <c r="Y1919" t="s">
        <v>38</v>
      </c>
      <c r="Z1919" t="s">
        <v>42</v>
      </c>
      <c r="AA1919" t="s">
        <v>38</v>
      </c>
      <c r="AB1919" t="s">
        <v>38</v>
      </c>
      <c r="AC1919" t="s">
        <v>45</v>
      </c>
      <c r="AD1919" t="s">
        <v>48</v>
      </c>
      <c r="AG1919" t="str">
        <f>IF(AD1919="United States", IFERROR(INDEX(Sheet2!$C:$C, MATCH(AE1919&amp;AF1919, Sheet2!$E:$E, 0)) &amp; ", " &amp; INDEX(Sheet2!$D:$D, MATCH(AE1919&amp;AF1919, Sheet2!$E:$E, 0)), ""), "-")</f>
        <v/>
      </c>
    </row>
    <row r="1920" spans="1:33" x14ac:dyDescent="0.25">
      <c r="A1920" t="s">
        <v>2966</v>
      </c>
      <c r="B1920" t="s">
        <v>3459</v>
      </c>
      <c r="C1920" t="s">
        <v>3125</v>
      </c>
      <c r="D1920" t="s">
        <v>1230</v>
      </c>
      <c r="E1920" t="s">
        <v>3460</v>
      </c>
      <c r="F1920">
        <v>1718</v>
      </c>
      <c r="G1920">
        <v>1319</v>
      </c>
      <c r="H1920" t="s">
        <v>2977</v>
      </c>
      <c r="I1920" t="s">
        <v>80</v>
      </c>
      <c r="J1920" t="s">
        <v>3126</v>
      </c>
      <c r="K1920" t="s">
        <v>38</v>
      </c>
      <c r="L1920" t="s">
        <v>38</v>
      </c>
      <c r="M1920" t="s">
        <v>38</v>
      </c>
      <c r="N1920" t="s">
        <v>38</v>
      </c>
      <c r="O1920" t="s">
        <v>57</v>
      </c>
      <c r="P1920" t="s">
        <v>42</v>
      </c>
      <c r="Q1920" t="s">
        <v>43</v>
      </c>
      <c r="R1920" t="s">
        <v>2452</v>
      </c>
      <c r="S1920" t="s">
        <v>45</v>
      </c>
      <c r="T1920" t="s">
        <v>89</v>
      </c>
      <c r="U1920" t="s">
        <v>2453</v>
      </c>
      <c r="V1920" t="s">
        <v>137</v>
      </c>
      <c r="W1920" t="s">
        <v>92</v>
      </c>
      <c r="X1920" t="s">
        <v>38</v>
      </c>
      <c r="Y1920" t="s">
        <v>38</v>
      </c>
      <c r="Z1920" t="s">
        <v>42</v>
      </c>
      <c r="AA1920" t="s">
        <v>169</v>
      </c>
      <c r="AB1920" t="s">
        <v>38</v>
      </c>
      <c r="AC1920" t="s">
        <v>45</v>
      </c>
      <c r="AD1920" t="s">
        <v>48</v>
      </c>
      <c r="AG1920" t="str">
        <f>IF(AD1920="United States", IFERROR(INDEX(Sheet2!$C:$C, MATCH(AE1920&amp;AF1920, Sheet2!$E:$E, 0)) &amp; ", " &amp; INDEX(Sheet2!$D:$D, MATCH(AE1920&amp;AF1920, Sheet2!$E:$E, 0)), ""), "-")</f>
        <v/>
      </c>
    </row>
    <row r="1921" spans="1:33" x14ac:dyDescent="0.25">
      <c r="A1921" t="s">
        <v>2966</v>
      </c>
      <c r="B1921" t="s">
        <v>3492</v>
      </c>
      <c r="C1921" t="s">
        <v>2968</v>
      </c>
      <c r="D1921" t="s">
        <v>3493</v>
      </c>
      <c r="E1921" t="s">
        <v>3494</v>
      </c>
      <c r="F1921">
        <v>1764</v>
      </c>
      <c r="G1921">
        <v>1611</v>
      </c>
      <c r="H1921" t="s">
        <v>38</v>
      </c>
      <c r="I1921" t="s">
        <v>80</v>
      </c>
      <c r="J1921" t="s">
        <v>2969</v>
      </c>
      <c r="K1921" t="s">
        <v>38</v>
      </c>
      <c r="L1921" t="s">
        <v>38</v>
      </c>
      <c r="M1921" t="s">
        <v>38</v>
      </c>
      <c r="N1921" t="s">
        <v>38</v>
      </c>
      <c r="O1921" t="s">
        <v>57</v>
      </c>
      <c r="P1921" t="s">
        <v>42</v>
      </c>
      <c r="Q1921" t="s">
        <v>43</v>
      </c>
      <c r="R1921" t="s">
        <v>38</v>
      </c>
      <c r="S1921" t="s">
        <v>38</v>
      </c>
      <c r="T1921" t="s">
        <v>38</v>
      </c>
      <c r="U1921" t="s">
        <v>38</v>
      </c>
      <c r="V1921" t="s">
        <v>137</v>
      </c>
      <c r="W1921" t="s">
        <v>38</v>
      </c>
      <c r="X1921" t="s">
        <v>38</v>
      </c>
      <c r="Y1921" t="s">
        <v>38</v>
      </c>
      <c r="Z1921" t="s">
        <v>42</v>
      </c>
      <c r="AA1921" t="s">
        <v>3495</v>
      </c>
      <c r="AB1921" t="s">
        <v>3496</v>
      </c>
      <c r="AC1921" t="s">
        <v>2580</v>
      </c>
      <c r="AD1921" t="s">
        <v>48</v>
      </c>
      <c r="AG1921" t="str">
        <f>IF(AD1921="United States", IFERROR(INDEX(Sheet2!$C:$C, MATCH(AE1921&amp;AF1921, Sheet2!$E:$E, 0)) &amp; ", " &amp; INDEX(Sheet2!$D:$D, MATCH(AE1921&amp;AF1921, Sheet2!$E:$E, 0)), ""), "-")</f>
        <v/>
      </c>
    </row>
    <row r="1922" spans="1:33" x14ac:dyDescent="0.25">
      <c r="A1922" t="s">
        <v>2966</v>
      </c>
      <c r="B1922" t="s">
        <v>3497</v>
      </c>
      <c r="C1922" t="s">
        <v>2968</v>
      </c>
      <c r="D1922" t="s">
        <v>1573</v>
      </c>
      <c r="E1922" t="s">
        <v>3180</v>
      </c>
      <c r="F1922">
        <v>1753</v>
      </c>
      <c r="G1922">
        <v>1610</v>
      </c>
      <c r="H1922" t="s">
        <v>38</v>
      </c>
      <c r="I1922" t="s">
        <v>80</v>
      </c>
      <c r="J1922" t="s">
        <v>2969</v>
      </c>
      <c r="K1922" t="s">
        <v>38</v>
      </c>
      <c r="L1922" t="s">
        <v>38</v>
      </c>
      <c r="M1922" t="s">
        <v>38</v>
      </c>
      <c r="N1922" t="s">
        <v>38</v>
      </c>
      <c r="O1922" t="s">
        <v>74</v>
      </c>
      <c r="P1922" t="s">
        <v>42</v>
      </c>
      <c r="Q1922" t="s">
        <v>43</v>
      </c>
      <c r="R1922" t="s">
        <v>241</v>
      </c>
      <c r="S1922" t="s">
        <v>45</v>
      </c>
      <c r="T1922" t="s">
        <v>38</v>
      </c>
      <c r="U1922" t="s">
        <v>38</v>
      </c>
      <c r="V1922" t="s">
        <v>137</v>
      </c>
      <c r="W1922" t="s">
        <v>38</v>
      </c>
      <c r="X1922" t="s">
        <v>38</v>
      </c>
      <c r="Y1922" t="s">
        <v>38</v>
      </c>
      <c r="Z1922" t="s">
        <v>42</v>
      </c>
      <c r="AA1922" t="s">
        <v>241</v>
      </c>
      <c r="AB1922" t="s">
        <v>38</v>
      </c>
      <c r="AC1922" t="s">
        <v>45</v>
      </c>
      <c r="AD1922" t="s">
        <v>48</v>
      </c>
      <c r="AG1922" t="str">
        <f>IF(AD1922="United States", IFERROR(INDEX(Sheet2!$C:$C, MATCH(AE1922&amp;AF1922, Sheet2!$E:$E, 0)) &amp; ", " &amp; INDEX(Sheet2!$D:$D, MATCH(AE1922&amp;AF1922, Sheet2!$E:$E, 0)), ""), "-")</f>
        <v/>
      </c>
    </row>
    <row r="1923" spans="1:33" x14ac:dyDescent="0.25">
      <c r="A1923" t="s">
        <v>2966</v>
      </c>
      <c r="B1923" t="s">
        <v>3498</v>
      </c>
      <c r="C1923" t="s">
        <v>2968</v>
      </c>
      <c r="D1923" t="s">
        <v>1116</v>
      </c>
      <c r="E1923" t="s">
        <v>3180</v>
      </c>
      <c r="F1923">
        <v>1753</v>
      </c>
      <c r="G1923">
        <v>1609</v>
      </c>
      <c r="H1923" t="s">
        <v>2977</v>
      </c>
      <c r="I1923" t="s">
        <v>80</v>
      </c>
      <c r="J1923" t="s">
        <v>2969</v>
      </c>
      <c r="K1923" t="s">
        <v>38</v>
      </c>
      <c r="L1923" t="s">
        <v>38</v>
      </c>
      <c r="M1923" t="s">
        <v>38</v>
      </c>
      <c r="N1923" t="s">
        <v>38</v>
      </c>
      <c r="O1923" t="s">
        <v>41</v>
      </c>
      <c r="P1923" t="s">
        <v>42</v>
      </c>
      <c r="Q1923" t="s">
        <v>43</v>
      </c>
      <c r="R1923" t="s">
        <v>2452</v>
      </c>
      <c r="S1923" t="s">
        <v>45</v>
      </c>
      <c r="T1923" t="s">
        <v>89</v>
      </c>
      <c r="U1923" t="s">
        <v>2453</v>
      </c>
      <c r="V1923" t="s">
        <v>137</v>
      </c>
      <c r="W1923" t="s">
        <v>92</v>
      </c>
      <c r="X1923" t="s">
        <v>38</v>
      </c>
      <c r="Y1923" t="s">
        <v>38</v>
      </c>
      <c r="Z1923" t="s">
        <v>42</v>
      </c>
      <c r="AA1923" t="s">
        <v>1135</v>
      </c>
      <c r="AB1923" t="s">
        <v>38</v>
      </c>
      <c r="AC1923" t="s">
        <v>45</v>
      </c>
      <c r="AD1923" t="s">
        <v>48</v>
      </c>
      <c r="AG1923" t="str">
        <f>IF(AD1923="United States", IFERROR(INDEX(Sheet2!$C:$C, MATCH(AE1923&amp;AF1923, Sheet2!$E:$E, 0)) &amp; ", " &amp; INDEX(Sheet2!$D:$D, MATCH(AE1923&amp;AF1923, Sheet2!$E:$E, 0)), ""), "-")</f>
        <v/>
      </c>
    </row>
    <row r="1924" spans="1:33" x14ac:dyDescent="0.25">
      <c r="A1924" t="s">
        <v>2966</v>
      </c>
      <c r="B1924" t="s">
        <v>3499</v>
      </c>
      <c r="C1924" t="s">
        <v>2968</v>
      </c>
      <c r="D1924" t="s">
        <v>352</v>
      </c>
      <c r="E1924" t="s">
        <v>3500</v>
      </c>
      <c r="F1924">
        <v>1764</v>
      </c>
      <c r="G1924">
        <v>1608</v>
      </c>
      <c r="H1924" t="s">
        <v>38</v>
      </c>
      <c r="I1924" t="s">
        <v>80</v>
      </c>
      <c r="J1924" t="s">
        <v>2969</v>
      </c>
      <c r="K1924" t="s">
        <v>38</v>
      </c>
      <c r="L1924" t="s">
        <v>38</v>
      </c>
      <c r="M1924" t="s">
        <v>38</v>
      </c>
      <c r="N1924" t="s">
        <v>38</v>
      </c>
      <c r="O1924" t="s">
        <v>57</v>
      </c>
      <c r="P1924" t="s">
        <v>42</v>
      </c>
      <c r="Q1924" t="s">
        <v>43</v>
      </c>
      <c r="R1924" t="s">
        <v>3501</v>
      </c>
      <c r="S1924" t="s">
        <v>45</v>
      </c>
      <c r="T1924" t="s">
        <v>38</v>
      </c>
      <c r="U1924" t="s">
        <v>38</v>
      </c>
      <c r="V1924" t="s">
        <v>137</v>
      </c>
      <c r="W1924" t="s">
        <v>38</v>
      </c>
      <c r="X1924" t="s">
        <v>38</v>
      </c>
      <c r="Y1924" t="s">
        <v>38</v>
      </c>
      <c r="Z1924" t="s">
        <v>42</v>
      </c>
      <c r="AA1924" t="s">
        <v>1244</v>
      </c>
      <c r="AB1924" t="s">
        <v>38</v>
      </c>
      <c r="AC1924" t="s">
        <v>45</v>
      </c>
      <c r="AD1924" t="s">
        <v>48</v>
      </c>
      <c r="AG1924" t="str">
        <f>IF(AD1924="United States", IFERROR(INDEX(Sheet2!$C:$C, MATCH(AE1924&amp;AF1924, Sheet2!$E:$E, 0)) &amp; ", " &amp; INDEX(Sheet2!$D:$D, MATCH(AE1924&amp;AF1924, Sheet2!$E:$E, 0)), ""), "-")</f>
        <v/>
      </c>
    </row>
    <row r="1925" spans="1:33" x14ac:dyDescent="0.25">
      <c r="A1925" t="s">
        <v>2966</v>
      </c>
      <c r="B1925" t="s">
        <v>3502</v>
      </c>
      <c r="C1925" t="s">
        <v>2968</v>
      </c>
      <c r="D1925" t="s">
        <v>2792</v>
      </c>
      <c r="E1925" t="s">
        <v>3503</v>
      </c>
      <c r="F1925">
        <v>1769</v>
      </c>
      <c r="G1925">
        <v>1607</v>
      </c>
      <c r="H1925" t="s">
        <v>38</v>
      </c>
      <c r="I1925" t="s">
        <v>80</v>
      </c>
      <c r="J1925" t="s">
        <v>2969</v>
      </c>
      <c r="K1925" t="s">
        <v>38</v>
      </c>
      <c r="L1925" t="s">
        <v>38</v>
      </c>
      <c r="M1925" t="s">
        <v>38</v>
      </c>
      <c r="N1925" t="s">
        <v>38</v>
      </c>
      <c r="O1925" t="s">
        <v>74</v>
      </c>
      <c r="P1925" t="s">
        <v>42</v>
      </c>
      <c r="Q1925" t="s">
        <v>43</v>
      </c>
      <c r="R1925" t="s">
        <v>38</v>
      </c>
      <c r="S1925" t="s">
        <v>38</v>
      </c>
      <c r="T1925" t="s">
        <v>38</v>
      </c>
      <c r="U1925" t="s">
        <v>38</v>
      </c>
      <c r="V1925" t="s">
        <v>137</v>
      </c>
      <c r="W1925" t="s">
        <v>38</v>
      </c>
      <c r="X1925" t="s">
        <v>38</v>
      </c>
      <c r="Y1925" t="s">
        <v>38</v>
      </c>
      <c r="Z1925" t="s">
        <v>42</v>
      </c>
      <c r="AA1925" t="s">
        <v>38</v>
      </c>
      <c r="AB1925" t="s">
        <v>38</v>
      </c>
      <c r="AC1925" t="s">
        <v>38</v>
      </c>
      <c r="AD1925" t="s">
        <v>48</v>
      </c>
      <c r="AG1925" t="str">
        <f>IF(AD1925="United States", IFERROR(INDEX(Sheet2!$C:$C, MATCH(AE1925&amp;AF1925, Sheet2!$E:$E, 0)) &amp; ", " &amp; INDEX(Sheet2!$D:$D, MATCH(AE1925&amp;AF1925, Sheet2!$E:$E, 0)), ""), "-")</f>
        <v/>
      </c>
    </row>
    <row r="1926" spans="1:33" x14ac:dyDescent="0.25">
      <c r="A1926" t="s">
        <v>2966</v>
      </c>
      <c r="B1926" t="s">
        <v>3504</v>
      </c>
      <c r="C1926" t="s">
        <v>2968</v>
      </c>
      <c r="D1926" t="s">
        <v>834</v>
      </c>
      <c r="E1926" t="s">
        <v>1638</v>
      </c>
      <c r="F1926">
        <v>1731</v>
      </c>
      <c r="G1926">
        <v>1606</v>
      </c>
      <c r="H1926" t="s">
        <v>38</v>
      </c>
      <c r="I1926" t="s">
        <v>80</v>
      </c>
      <c r="J1926" t="s">
        <v>2969</v>
      </c>
      <c r="K1926" t="s">
        <v>38</v>
      </c>
      <c r="L1926" t="s">
        <v>38</v>
      </c>
      <c r="M1926" t="s">
        <v>38</v>
      </c>
      <c r="N1926" t="s">
        <v>38</v>
      </c>
      <c r="O1926" t="s">
        <v>41</v>
      </c>
      <c r="P1926" t="s">
        <v>42</v>
      </c>
      <c r="Q1926" t="s">
        <v>43</v>
      </c>
      <c r="R1926" t="s">
        <v>38</v>
      </c>
      <c r="S1926" t="s">
        <v>38</v>
      </c>
      <c r="T1926" t="s">
        <v>38</v>
      </c>
      <c r="U1926" t="s">
        <v>38</v>
      </c>
      <c r="V1926" t="s">
        <v>137</v>
      </c>
      <c r="W1926" t="s">
        <v>38</v>
      </c>
      <c r="X1926" t="s">
        <v>38</v>
      </c>
      <c r="Y1926" t="s">
        <v>38</v>
      </c>
      <c r="Z1926" t="s">
        <v>42</v>
      </c>
      <c r="AA1926" t="s">
        <v>70</v>
      </c>
      <c r="AB1926" t="s">
        <v>38</v>
      </c>
      <c r="AC1926" t="s">
        <v>233</v>
      </c>
      <c r="AD1926" t="s">
        <v>48</v>
      </c>
      <c r="AG1926" t="str">
        <f>IF(AD1926="United States", IFERROR(INDEX(Sheet2!$C:$C, MATCH(AE1926&amp;AF1926, Sheet2!$E:$E, 0)) &amp; ", " &amp; INDEX(Sheet2!$D:$D, MATCH(AE1926&amp;AF1926, Sheet2!$E:$E, 0)), ""), "-")</f>
        <v/>
      </c>
    </row>
    <row r="1927" spans="1:33" x14ac:dyDescent="0.25">
      <c r="A1927" t="s">
        <v>2966</v>
      </c>
      <c r="B1927" t="s">
        <v>3505</v>
      </c>
      <c r="C1927" t="s">
        <v>2968</v>
      </c>
      <c r="D1927" t="s">
        <v>113</v>
      </c>
      <c r="E1927" t="s">
        <v>1552</v>
      </c>
      <c r="F1927">
        <v>1764</v>
      </c>
      <c r="G1927">
        <v>1605</v>
      </c>
      <c r="H1927" t="s">
        <v>2975</v>
      </c>
      <c r="I1927" t="s">
        <v>80</v>
      </c>
      <c r="J1927" t="s">
        <v>2969</v>
      </c>
      <c r="K1927" t="s">
        <v>38</v>
      </c>
      <c r="L1927" t="s">
        <v>38</v>
      </c>
      <c r="M1927" t="s">
        <v>38</v>
      </c>
      <c r="N1927" t="s">
        <v>38</v>
      </c>
      <c r="O1927" t="s">
        <v>41</v>
      </c>
      <c r="P1927" t="s">
        <v>42</v>
      </c>
      <c r="Q1927" t="s">
        <v>43</v>
      </c>
      <c r="R1927" t="s">
        <v>2452</v>
      </c>
      <c r="S1927" t="s">
        <v>45</v>
      </c>
      <c r="T1927" t="s">
        <v>89</v>
      </c>
      <c r="U1927" t="s">
        <v>2453</v>
      </c>
      <c r="V1927" t="s">
        <v>137</v>
      </c>
      <c r="W1927" t="s">
        <v>92</v>
      </c>
      <c r="X1927" t="s">
        <v>38</v>
      </c>
      <c r="Y1927" t="s">
        <v>38</v>
      </c>
      <c r="Z1927" t="s">
        <v>42</v>
      </c>
      <c r="AA1927" t="s">
        <v>169</v>
      </c>
      <c r="AB1927" t="s">
        <v>38</v>
      </c>
      <c r="AC1927" t="s">
        <v>45</v>
      </c>
      <c r="AD1927" t="s">
        <v>48</v>
      </c>
      <c r="AG1927" t="str">
        <f>IF(AD1927="United States", IFERROR(INDEX(Sheet2!$C:$C, MATCH(AE1927&amp;AF1927, Sheet2!$E:$E, 0)) &amp; ", " &amp; INDEX(Sheet2!$D:$D, MATCH(AE1927&amp;AF1927, Sheet2!$E:$E, 0)), ""), "-")</f>
        <v/>
      </c>
    </row>
    <row r="1928" spans="1:33" x14ac:dyDescent="0.25">
      <c r="A1928" t="s">
        <v>2966</v>
      </c>
      <c r="B1928" t="s">
        <v>3506</v>
      </c>
      <c r="C1928" t="s">
        <v>2968</v>
      </c>
      <c r="D1928" t="s">
        <v>113</v>
      </c>
      <c r="E1928" t="s">
        <v>3507</v>
      </c>
      <c r="F1928">
        <v>1761</v>
      </c>
      <c r="G1928">
        <v>1604</v>
      </c>
      <c r="H1928" t="s">
        <v>2975</v>
      </c>
      <c r="I1928" t="s">
        <v>80</v>
      </c>
      <c r="J1928" t="s">
        <v>2969</v>
      </c>
      <c r="K1928" t="s">
        <v>38</v>
      </c>
      <c r="L1928" t="s">
        <v>38</v>
      </c>
      <c r="M1928" t="s">
        <v>38</v>
      </c>
      <c r="N1928" t="s">
        <v>38</v>
      </c>
      <c r="O1928" t="s">
        <v>41</v>
      </c>
      <c r="P1928" t="s">
        <v>42</v>
      </c>
      <c r="Q1928" t="s">
        <v>43</v>
      </c>
      <c r="R1928" t="s">
        <v>2452</v>
      </c>
      <c r="S1928" t="s">
        <v>45</v>
      </c>
      <c r="T1928" t="s">
        <v>89</v>
      </c>
      <c r="U1928" t="s">
        <v>2453</v>
      </c>
      <c r="V1928" t="s">
        <v>137</v>
      </c>
      <c r="W1928" t="s">
        <v>92</v>
      </c>
      <c r="X1928" t="s">
        <v>38</v>
      </c>
      <c r="Y1928" t="s">
        <v>38</v>
      </c>
      <c r="Z1928" t="s">
        <v>42</v>
      </c>
      <c r="AA1928" t="s">
        <v>169</v>
      </c>
      <c r="AB1928" t="s">
        <v>38</v>
      </c>
      <c r="AC1928" t="s">
        <v>45</v>
      </c>
      <c r="AD1928" t="s">
        <v>48</v>
      </c>
      <c r="AG1928" t="str">
        <f>IF(AD1928="United States", IFERROR(INDEX(Sheet2!$C:$C, MATCH(AE1928&amp;AF1928, Sheet2!$E:$E, 0)) &amp; ", " &amp; INDEX(Sheet2!$D:$D, MATCH(AE1928&amp;AF1928, Sheet2!$E:$E, 0)), ""), "-")</f>
        <v/>
      </c>
    </row>
    <row r="1929" spans="1:33" x14ac:dyDescent="0.25">
      <c r="A1929" t="s">
        <v>2966</v>
      </c>
      <c r="B1929" t="s">
        <v>3508</v>
      </c>
      <c r="C1929" t="s">
        <v>2968</v>
      </c>
      <c r="D1929" t="s">
        <v>226</v>
      </c>
      <c r="E1929" t="s">
        <v>1838</v>
      </c>
      <c r="F1929">
        <v>1744</v>
      </c>
      <c r="G1929">
        <v>1603</v>
      </c>
      <c r="H1929" t="s">
        <v>2977</v>
      </c>
      <c r="I1929" t="s">
        <v>80</v>
      </c>
      <c r="J1929" t="s">
        <v>2969</v>
      </c>
      <c r="K1929" t="s">
        <v>38</v>
      </c>
      <c r="L1929" t="s">
        <v>38</v>
      </c>
      <c r="M1929" t="s">
        <v>38</v>
      </c>
      <c r="N1929" t="s">
        <v>38</v>
      </c>
      <c r="O1929" t="s">
        <v>41</v>
      </c>
      <c r="P1929" t="s">
        <v>42</v>
      </c>
      <c r="Q1929" t="s">
        <v>43</v>
      </c>
      <c r="R1929" t="s">
        <v>2452</v>
      </c>
      <c r="S1929" t="s">
        <v>45</v>
      </c>
      <c r="T1929" t="s">
        <v>89</v>
      </c>
      <c r="U1929" t="s">
        <v>2453</v>
      </c>
      <c r="V1929" t="s">
        <v>137</v>
      </c>
      <c r="W1929" t="s">
        <v>92</v>
      </c>
      <c r="X1929" t="s">
        <v>38</v>
      </c>
      <c r="Y1929" t="s">
        <v>38</v>
      </c>
      <c r="Z1929" t="s">
        <v>42</v>
      </c>
      <c r="AA1929" t="s">
        <v>1269</v>
      </c>
      <c r="AB1929" t="s">
        <v>38</v>
      </c>
      <c r="AC1929" t="s">
        <v>45</v>
      </c>
      <c r="AD1929" t="s">
        <v>48</v>
      </c>
      <c r="AG1929" t="str">
        <f>IF(AD1929="United States", IFERROR(INDEX(Sheet2!$C:$C, MATCH(AE1929&amp;AF1929, Sheet2!$E:$E, 0)) &amp; ", " &amp; INDEX(Sheet2!$D:$D, MATCH(AE1929&amp;AF1929, Sheet2!$E:$E, 0)), ""), "-")</f>
        <v/>
      </c>
    </row>
    <row r="1930" spans="1:33" x14ac:dyDescent="0.25">
      <c r="A1930" t="s">
        <v>2966</v>
      </c>
      <c r="B1930" t="s">
        <v>3509</v>
      </c>
      <c r="C1930" t="s">
        <v>2968</v>
      </c>
      <c r="D1930" t="s">
        <v>569</v>
      </c>
      <c r="E1930" t="s">
        <v>3510</v>
      </c>
      <c r="F1930">
        <v>1757</v>
      </c>
      <c r="G1930">
        <v>1602</v>
      </c>
      <c r="H1930" t="s">
        <v>38</v>
      </c>
      <c r="I1930" t="s">
        <v>80</v>
      </c>
      <c r="J1930" t="s">
        <v>2969</v>
      </c>
      <c r="K1930" t="s">
        <v>38</v>
      </c>
      <c r="L1930" t="s">
        <v>38</v>
      </c>
      <c r="M1930" t="s">
        <v>38</v>
      </c>
      <c r="N1930" t="s">
        <v>38</v>
      </c>
      <c r="O1930" t="s">
        <v>41</v>
      </c>
      <c r="P1930" t="s">
        <v>42</v>
      </c>
      <c r="Q1930" t="s">
        <v>43</v>
      </c>
      <c r="R1930" t="s">
        <v>38</v>
      </c>
      <c r="S1930" t="s">
        <v>38</v>
      </c>
      <c r="T1930" t="s">
        <v>38</v>
      </c>
      <c r="U1930" t="s">
        <v>38</v>
      </c>
      <c r="V1930" t="s">
        <v>137</v>
      </c>
      <c r="W1930" t="s">
        <v>38</v>
      </c>
      <c r="X1930" t="s">
        <v>38</v>
      </c>
      <c r="Y1930" t="s">
        <v>38</v>
      </c>
      <c r="Z1930" t="s">
        <v>42</v>
      </c>
      <c r="AA1930" t="s">
        <v>3511</v>
      </c>
      <c r="AB1930" t="s">
        <v>38</v>
      </c>
      <c r="AC1930" t="s">
        <v>3512</v>
      </c>
      <c r="AD1930" t="s">
        <v>48</v>
      </c>
      <c r="AG1930" t="str">
        <f>IF(AD1930="United States", IFERROR(INDEX(Sheet2!$C:$C, MATCH(AE1930&amp;AF1930, Sheet2!$E:$E, 0)) &amp; ", " &amp; INDEX(Sheet2!$D:$D, MATCH(AE1930&amp;AF1930, Sheet2!$E:$E, 0)), ""), "-")</f>
        <v/>
      </c>
    </row>
    <row r="1931" spans="1:33" x14ac:dyDescent="0.25">
      <c r="A1931" t="s">
        <v>2966</v>
      </c>
      <c r="B1931" t="s">
        <v>3513</v>
      </c>
      <c r="C1931" t="s">
        <v>2968</v>
      </c>
      <c r="D1931" t="s">
        <v>210</v>
      </c>
      <c r="E1931" t="s">
        <v>552</v>
      </c>
      <c r="F1931">
        <v>1735</v>
      </c>
      <c r="G1931">
        <v>1625</v>
      </c>
      <c r="H1931" t="s">
        <v>2977</v>
      </c>
      <c r="I1931" t="s">
        <v>80</v>
      </c>
      <c r="J1931" t="s">
        <v>2969</v>
      </c>
      <c r="K1931" t="s">
        <v>38</v>
      </c>
      <c r="L1931" t="s">
        <v>38</v>
      </c>
      <c r="M1931" t="s">
        <v>38</v>
      </c>
      <c r="N1931" t="s">
        <v>38</v>
      </c>
      <c r="O1931" t="s">
        <v>41</v>
      </c>
      <c r="P1931" t="s">
        <v>42</v>
      </c>
      <c r="Q1931" t="s">
        <v>43</v>
      </c>
      <c r="R1931" t="s">
        <v>2452</v>
      </c>
      <c r="S1931" t="s">
        <v>45</v>
      </c>
      <c r="T1931" t="s">
        <v>89</v>
      </c>
      <c r="U1931" t="s">
        <v>2453</v>
      </c>
      <c r="V1931" t="s">
        <v>137</v>
      </c>
      <c r="W1931" t="s">
        <v>92</v>
      </c>
      <c r="X1931" t="s">
        <v>38</v>
      </c>
      <c r="Y1931" t="s">
        <v>38</v>
      </c>
      <c r="Z1931" t="s">
        <v>42</v>
      </c>
      <c r="AA1931" t="s">
        <v>2166</v>
      </c>
      <c r="AB1931" t="s">
        <v>38</v>
      </c>
      <c r="AC1931" t="s">
        <v>45</v>
      </c>
      <c r="AD1931" t="s">
        <v>48</v>
      </c>
      <c r="AG1931" t="str">
        <f>IF(AD1931="United States", IFERROR(INDEX(Sheet2!$C:$C, MATCH(AE1931&amp;AF1931, Sheet2!$E:$E, 0)) &amp; ", " &amp; INDEX(Sheet2!$D:$D, MATCH(AE1931&amp;AF1931, Sheet2!$E:$E, 0)), ""), "-")</f>
        <v/>
      </c>
    </row>
    <row r="1932" spans="1:33" x14ac:dyDescent="0.25">
      <c r="A1932" t="s">
        <v>2966</v>
      </c>
      <c r="B1932" t="s">
        <v>3455</v>
      </c>
      <c r="C1932" t="s">
        <v>3125</v>
      </c>
      <c r="D1932" t="s">
        <v>1151</v>
      </c>
      <c r="E1932" t="s">
        <v>2178</v>
      </c>
      <c r="F1932">
        <v>1773</v>
      </c>
      <c r="G1932">
        <v>1315</v>
      </c>
      <c r="H1932" t="s">
        <v>38</v>
      </c>
      <c r="I1932" t="s">
        <v>80</v>
      </c>
      <c r="J1932" t="s">
        <v>3126</v>
      </c>
      <c r="K1932" t="s">
        <v>38</v>
      </c>
      <c r="L1932" t="s">
        <v>38</v>
      </c>
      <c r="M1932" t="s">
        <v>38</v>
      </c>
      <c r="N1932" t="s">
        <v>38</v>
      </c>
      <c r="O1932" t="s">
        <v>54</v>
      </c>
      <c r="P1932" t="s">
        <v>42</v>
      </c>
      <c r="Q1932" t="s">
        <v>43</v>
      </c>
      <c r="R1932" t="s">
        <v>3454</v>
      </c>
      <c r="S1932" t="s">
        <v>45</v>
      </c>
      <c r="T1932" t="s">
        <v>38</v>
      </c>
      <c r="U1932" t="s">
        <v>38</v>
      </c>
      <c r="V1932" t="s">
        <v>137</v>
      </c>
      <c r="W1932" t="s">
        <v>38</v>
      </c>
      <c r="X1932" t="s">
        <v>38</v>
      </c>
      <c r="Y1932" t="s">
        <v>38</v>
      </c>
      <c r="Z1932" t="s">
        <v>42</v>
      </c>
      <c r="AA1932" t="s">
        <v>1135</v>
      </c>
      <c r="AB1932" t="s">
        <v>38</v>
      </c>
      <c r="AC1932" t="s">
        <v>45</v>
      </c>
      <c r="AD1932" t="s">
        <v>48</v>
      </c>
      <c r="AG1932" t="str">
        <f>IF(AD1932="United States", IFERROR(INDEX(Sheet2!$C:$C, MATCH(AE1932&amp;AF1932, Sheet2!$E:$E, 0)) &amp; ", " &amp; INDEX(Sheet2!$D:$D, MATCH(AE1932&amp;AF1932, Sheet2!$E:$E, 0)), ""), "-")</f>
        <v/>
      </c>
    </row>
    <row r="1933" spans="1:33" x14ac:dyDescent="0.25">
      <c r="A1933" t="s">
        <v>2966</v>
      </c>
      <c r="B1933" t="s">
        <v>3453</v>
      </c>
      <c r="C1933" t="s">
        <v>3125</v>
      </c>
      <c r="D1933" t="s">
        <v>834</v>
      </c>
      <c r="E1933" t="s">
        <v>2178</v>
      </c>
      <c r="F1933">
        <v>1777</v>
      </c>
      <c r="G1933">
        <v>1314</v>
      </c>
      <c r="H1933" t="s">
        <v>38</v>
      </c>
      <c r="I1933" t="s">
        <v>80</v>
      </c>
      <c r="J1933" t="s">
        <v>3126</v>
      </c>
      <c r="K1933" t="s">
        <v>38</v>
      </c>
      <c r="L1933" t="s">
        <v>38</v>
      </c>
      <c r="M1933" t="s">
        <v>140</v>
      </c>
      <c r="N1933" t="s">
        <v>2178</v>
      </c>
      <c r="O1933" t="s">
        <v>54</v>
      </c>
      <c r="P1933" t="s">
        <v>42</v>
      </c>
      <c r="Q1933" t="s">
        <v>43</v>
      </c>
      <c r="R1933" t="s">
        <v>3454</v>
      </c>
      <c r="S1933" t="s">
        <v>45</v>
      </c>
      <c r="T1933" t="s">
        <v>38</v>
      </c>
      <c r="U1933" t="s">
        <v>38</v>
      </c>
      <c r="V1933" t="s">
        <v>137</v>
      </c>
      <c r="W1933" t="s">
        <v>38</v>
      </c>
      <c r="X1933" t="s">
        <v>38</v>
      </c>
      <c r="Y1933" t="s">
        <v>38</v>
      </c>
      <c r="Z1933" t="s">
        <v>42</v>
      </c>
      <c r="AA1933" t="s">
        <v>1135</v>
      </c>
      <c r="AB1933" t="s">
        <v>38</v>
      </c>
      <c r="AC1933" t="s">
        <v>45</v>
      </c>
      <c r="AD1933" t="s">
        <v>48</v>
      </c>
      <c r="AG1933" t="str">
        <f>IF(AD1933="United States", IFERROR(INDEX(Sheet2!$C:$C, MATCH(AE1933&amp;AF1933, Sheet2!$E:$E, 0)) &amp; ", " &amp; INDEX(Sheet2!$D:$D, MATCH(AE1933&amp;AF1933, Sheet2!$E:$E, 0)), ""), "-")</f>
        <v/>
      </c>
    </row>
    <row r="1934" spans="1:33" x14ac:dyDescent="0.25">
      <c r="A1934" t="s">
        <v>2966</v>
      </c>
      <c r="B1934" t="s">
        <v>3514</v>
      </c>
      <c r="C1934" t="s">
        <v>2968</v>
      </c>
      <c r="D1934" t="s">
        <v>463</v>
      </c>
      <c r="E1934" t="s">
        <v>3515</v>
      </c>
      <c r="F1934">
        <v>1733</v>
      </c>
      <c r="G1934">
        <v>1626</v>
      </c>
      <c r="H1934" t="s">
        <v>38</v>
      </c>
      <c r="I1934" t="s">
        <v>80</v>
      </c>
      <c r="J1934" t="s">
        <v>2969</v>
      </c>
      <c r="K1934" t="s">
        <v>38</v>
      </c>
      <c r="L1934" t="s">
        <v>38</v>
      </c>
      <c r="M1934" t="s">
        <v>38</v>
      </c>
      <c r="N1934" t="s">
        <v>38</v>
      </c>
      <c r="O1934" t="s">
        <v>41</v>
      </c>
      <c r="P1934" t="s">
        <v>42</v>
      </c>
      <c r="Q1934" t="s">
        <v>43</v>
      </c>
      <c r="R1934" t="s">
        <v>3516</v>
      </c>
      <c r="S1934" t="s">
        <v>45</v>
      </c>
      <c r="T1934" t="s">
        <v>38</v>
      </c>
      <c r="U1934" t="s">
        <v>38</v>
      </c>
      <c r="V1934" t="s">
        <v>137</v>
      </c>
      <c r="W1934" t="s">
        <v>38</v>
      </c>
      <c r="X1934" t="s">
        <v>38</v>
      </c>
      <c r="Y1934" t="s">
        <v>38</v>
      </c>
      <c r="Z1934" t="s">
        <v>42</v>
      </c>
      <c r="AA1934" t="s">
        <v>38</v>
      </c>
      <c r="AB1934" t="s">
        <v>38</v>
      </c>
      <c r="AC1934" t="s">
        <v>45</v>
      </c>
      <c r="AD1934" t="s">
        <v>48</v>
      </c>
      <c r="AG1934" t="str">
        <f>IF(AD1934="United States", IFERROR(INDEX(Sheet2!$C:$C, MATCH(AE1934&amp;AF1934, Sheet2!$E:$E, 0)) &amp; ", " &amp; INDEX(Sheet2!$D:$D, MATCH(AE1934&amp;AF1934, Sheet2!$E:$E, 0)), ""), "-")</f>
        <v/>
      </c>
    </row>
    <row r="1935" spans="1:33" x14ac:dyDescent="0.25">
      <c r="A1935" t="s">
        <v>2966</v>
      </c>
      <c r="B1935" t="s">
        <v>3517</v>
      </c>
      <c r="C1935" t="s">
        <v>2968</v>
      </c>
      <c r="D1935" t="s">
        <v>200</v>
      </c>
      <c r="E1935" t="s">
        <v>2379</v>
      </c>
      <c r="F1935">
        <v>1738</v>
      </c>
      <c r="G1935">
        <v>1654</v>
      </c>
      <c r="H1935" t="s">
        <v>2975</v>
      </c>
      <c r="I1935" t="s">
        <v>80</v>
      </c>
      <c r="J1935" t="s">
        <v>2969</v>
      </c>
      <c r="K1935" t="s">
        <v>38</v>
      </c>
      <c r="L1935" t="s">
        <v>38</v>
      </c>
      <c r="M1935" t="s">
        <v>38</v>
      </c>
      <c r="N1935" t="s">
        <v>38</v>
      </c>
      <c r="O1935" t="s">
        <v>41</v>
      </c>
      <c r="P1935" t="s">
        <v>42</v>
      </c>
      <c r="Q1935" t="s">
        <v>43</v>
      </c>
      <c r="R1935" t="s">
        <v>2452</v>
      </c>
      <c r="S1935" t="s">
        <v>38</v>
      </c>
      <c r="T1935" t="s">
        <v>89</v>
      </c>
      <c r="U1935" t="s">
        <v>2453</v>
      </c>
      <c r="V1935" t="s">
        <v>137</v>
      </c>
      <c r="W1935" t="s">
        <v>92</v>
      </c>
      <c r="X1935" t="s">
        <v>38</v>
      </c>
      <c r="Y1935" t="s">
        <v>38</v>
      </c>
      <c r="Z1935" t="s">
        <v>42</v>
      </c>
      <c r="AA1935" t="s">
        <v>38</v>
      </c>
      <c r="AB1935" t="s">
        <v>38</v>
      </c>
      <c r="AC1935" t="s">
        <v>2166</v>
      </c>
      <c r="AD1935" t="s">
        <v>48</v>
      </c>
      <c r="AG1935" t="str">
        <f>IF(AD1935="United States", IFERROR(INDEX(Sheet2!$C:$C, MATCH(AE1935&amp;AF1935, Sheet2!$E:$E, 0)) &amp; ", " &amp; INDEX(Sheet2!$D:$D, MATCH(AE1935&amp;AF1935, Sheet2!$E:$E, 0)), ""), "-")</f>
        <v/>
      </c>
    </row>
    <row r="1936" spans="1:33" x14ac:dyDescent="0.25">
      <c r="A1936" t="s">
        <v>2966</v>
      </c>
      <c r="B1936" t="s">
        <v>3518</v>
      </c>
      <c r="C1936" t="s">
        <v>2968</v>
      </c>
      <c r="D1936" t="s">
        <v>256</v>
      </c>
      <c r="E1936" t="s">
        <v>2178</v>
      </c>
      <c r="F1936">
        <v>1759</v>
      </c>
      <c r="G1936">
        <v>1653</v>
      </c>
      <c r="H1936" t="s">
        <v>2975</v>
      </c>
      <c r="I1936" t="s">
        <v>80</v>
      </c>
      <c r="J1936" t="s">
        <v>2969</v>
      </c>
      <c r="K1936" t="s">
        <v>38</v>
      </c>
      <c r="L1936" t="s">
        <v>38</v>
      </c>
      <c r="M1936" t="s">
        <v>245</v>
      </c>
      <c r="N1936" t="s">
        <v>2192</v>
      </c>
      <c r="O1936" t="s">
        <v>74</v>
      </c>
      <c r="P1936" t="s">
        <v>42</v>
      </c>
      <c r="Q1936" t="s">
        <v>43</v>
      </c>
      <c r="R1936" t="s">
        <v>2452</v>
      </c>
      <c r="S1936" t="s">
        <v>45</v>
      </c>
      <c r="T1936" t="s">
        <v>89</v>
      </c>
      <c r="U1936" t="s">
        <v>2453</v>
      </c>
      <c r="V1936" t="s">
        <v>137</v>
      </c>
      <c r="W1936" t="s">
        <v>92</v>
      </c>
      <c r="X1936" t="s">
        <v>38</v>
      </c>
      <c r="Y1936" t="s">
        <v>38</v>
      </c>
      <c r="Z1936" t="s">
        <v>42</v>
      </c>
      <c r="AA1936" t="s">
        <v>241</v>
      </c>
      <c r="AB1936" t="s">
        <v>38</v>
      </c>
      <c r="AC1936" t="s">
        <v>45</v>
      </c>
      <c r="AD1936" t="s">
        <v>48</v>
      </c>
      <c r="AG1936" t="str">
        <f>IF(AD1936="United States", IFERROR(INDEX(Sheet2!$C:$C, MATCH(AE1936&amp;AF1936, Sheet2!$E:$E, 0)) &amp; ", " &amp; INDEX(Sheet2!$D:$D, MATCH(AE1936&amp;AF1936, Sheet2!$E:$E, 0)), ""), "-")</f>
        <v/>
      </c>
    </row>
    <row r="1937" spans="1:33" x14ac:dyDescent="0.25">
      <c r="A1937" t="s">
        <v>2966</v>
      </c>
      <c r="B1937" t="s">
        <v>3519</v>
      </c>
      <c r="C1937" t="s">
        <v>2968</v>
      </c>
      <c r="D1937" t="s">
        <v>245</v>
      </c>
      <c r="E1937" t="s">
        <v>2192</v>
      </c>
      <c r="F1937">
        <v>1733</v>
      </c>
      <c r="G1937">
        <v>1652</v>
      </c>
      <c r="H1937" t="s">
        <v>38</v>
      </c>
      <c r="I1937" t="s">
        <v>80</v>
      </c>
      <c r="J1937" t="s">
        <v>2969</v>
      </c>
      <c r="K1937" t="s">
        <v>38</v>
      </c>
      <c r="L1937" t="s">
        <v>38</v>
      </c>
      <c r="M1937" t="s">
        <v>38</v>
      </c>
      <c r="N1937" t="s">
        <v>38</v>
      </c>
      <c r="O1937" t="s">
        <v>57</v>
      </c>
      <c r="P1937" t="s">
        <v>42</v>
      </c>
      <c r="Q1937" t="s">
        <v>43</v>
      </c>
      <c r="R1937" t="s">
        <v>3520</v>
      </c>
      <c r="S1937" t="s">
        <v>153</v>
      </c>
      <c r="T1937" t="s">
        <v>38</v>
      </c>
      <c r="U1937" t="s">
        <v>38</v>
      </c>
      <c r="V1937" t="s">
        <v>137</v>
      </c>
      <c r="W1937" t="s">
        <v>38</v>
      </c>
      <c r="X1937" t="s">
        <v>38</v>
      </c>
      <c r="Y1937" t="s">
        <v>38</v>
      </c>
      <c r="Z1937" t="s">
        <v>42</v>
      </c>
      <c r="AA1937" t="s">
        <v>155</v>
      </c>
      <c r="AB1937" t="s">
        <v>38</v>
      </c>
      <c r="AC1937" t="s">
        <v>153</v>
      </c>
      <c r="AD1937" t="s">
        <v>48</v>
      </c>
      <c r="AG1937" t="str">
        <f>IF(AD1937="United States", IFERROR(INDEX(Sheet2!$C:$C, MATCH(AE1937&amp;AF1937, Sheet2!$E:$E, 0)) &amp; ", " &amp; INDEX(Sheet2!$D:$D, MATCH(AE1937&amp;AF1937, Sheet2!$E:$E, 0)), ""), "-")</f>
        <v/>
      </c>
    </row>
    <row r="1938" spans="1:33" x14ac:dyDescent="0.25">
      <c r="A1938" t="s">
        <v>2966</v>
      </c>
      <c r="B1938" t="s">
        <v>3521</v>
      </c>
      <c r="C1938" t="s">
        <v>2968</v>
      </c>
      <c r="D1938" t="s">
        <v>72</v>
      </c>
      <c r="E1938" t="s">
        <v>3522</v>
      </c>
      <c r="F1938">
        <v>1758</v>
      </c>
      <c r="G1938">
        <v>1651</v>
      </c>
      <c r="H1938" t="s">
        <v>2975</v>
      </c>
      <c r="I1938" t="s">
        <v>80</v>
      </c>
      <c r="J1938" t="s">
        <v>2969</v>
      </c>
      <c r="K1938" t="s">
        <v>38</v>
      </c>
      <c r="L1938" t="s">
        <v>38</v>
      </c>
      <c r="M1938" t="s">
        <v>38</v>
      </c>
      <c r="N1938" t="s">
        <v>38</v>
      </c>
      <c r="O1938" t="s">
        <v>57</v>
      </c>
      <c r="P1938" t="s">
        <v>42</v>
      </c>
      <c r="Q1938" t="s">
        <v>43</v>
      </c>
      <c r="R1938" t="s">
        <v>2452</v>
      </c>
      <c r="S1938" t="s">
        <v>45</v>
      </c>
      <c r="T1938" t="s">
        <v>89</v>
      </c>
      <c r="U1938" t="s">
        <v>2453</v>
      </c>
      <c r="V1938" t="s">
        <v>137</v>
      </c>
      <c r="W1938" t="s">
        <v>92</v>
      </c>
      <c r="X1938" t="s">
        <v>38</v>
      </c>
      <c r="Y1938" t="s">
        <v>38</v>
      </c>
      <c r="Z1938" t="s">
        <v>42</v>
      </c>
      <c r="AA1938" t="s">
        <v>38</v>
      </c>
      <c r="AB1938" t="s">
        <v>38</v>
      </c>
      <c r="AC1938" t="s">
        <v>45</v>
      </c>
      <c r="AD1938" t="s">
        <v>48</v>
      </c>
      <c r="AG1938" t="str">
        <f>IF(AD1938="United States", IFERROR(INDEX(Sheet2!$C:$C, MATCH(AE1938&amp;AF1938, Sheet2!$E:$E, 0)) &amp; ", " &amp; INDEX(Sheet2!$D:$D, MATCH(AE1938&amp;AF1938, Sheet2!$E:$E, 0)), ""), "-")</f>
        <v/>
      </c>
    </row>
    <row r="1939" spans="1:33" x14ac:dyDescent="0.25">
      <c r="A1939" t="s">
        <v>2966</v>
      </c>
      <c r="B1939" t="s">
        <v>3523</v>
      </c>
      <c r="C1939" t="s">
        <v>2968</v>
      </c>
      <c r="D1939" t="s">
        <v>535</v>
      </c>
      <c r="E1939" t="s">
        <v>3524</v>
      </c>
      <c r="F1939">
        <v>1747</v>
      </c>
      <c r="G1939">
        <v>1650</v>
      </c>
      <c r="H1939" t="s">
        <v>38</v>
      </c>
      <c r="I1939" t="s">
        <v>80</v>
      </c>
      <c r="J1939" t="s">
        <v>2969</v>
      </c>
      <c r="K1939" t="s">
        <v>38</v>
      </c>
      <c r="L1939" t="s">
        <v>38</v>
      </c>
      <c r="M1939" t="s">
        <v>38</v>
      </c>
      <c r="N1939" t="s">
        <v>38</v>
      </c>
      <c r="O1939" t="s">
        <v>74</v>
      </c>
      <c r="P1939" t="s">
        <v>42</v>
      </c>
      <c r="Q1939" t="s">
        <v>43</v>
      </c>
      <c r="R1939" t="s">
        <v>169</v>
      </c>
      <c r="S1939" t="s">
        <v>45</v>
      </c>
      <c r="T1939" t="s">
        <v>38</v>
      </c>
      <c r="U1939" t="s">
        <v>38</v>
      </c>
      <c r="V1939" t="s">
        <v>137</v>
      </c>
      <c r="W1939" t="s">
        <v>38</v>
      </c>
      <c r="X1939" t="s">
        <v>38</v>
      </c>
      <c r="Y1939" t="s">
        <v>38</v>
      </c>
      <c r="Z1939" t="s">
        <v>42</v>
      </c>
      <c r="AA1939" t="s">
        <v>169</v>
      </c>
      <c r="AB1939" t="s">
        <v>38</v>
      </c>
      <c r="AC1939" t="s">
        <v>45</v>
      </c>
      <c r="AD1939" t="s">
        <v>48</v>
      </c>
      <c r="AG1939" t="str">
        <f>IF(AD1939="United States", IFERROR(INDEX(Sheet2!$C:$C, MATCH(AE1939&amp;AF1939, Sheet2!$E:$E, 0)) &amp; ", " &amp; INDEX(Sheet2!$D:$D, MATCH(AE1939&amp;AF1939, Sheet2!$E:$E, 0)), ""), "-")</f>
        <v/>
      </c>
    </row>
    <row r="1940" spans="1:33" x14ac:dyDescent="0.25">
      <c r="A1940" t="s">
        <v>2966</v>
      </c>
      <c r="B1940" t="s">
        <v>3525</v>
      </c>
      <c r="C1940" t="s">
        <v>2968</v>
      </c>
      <c r="D1940" t="s">
        <v>3526</v>
      </c>
      <c r="E1940" t="s">
        <v>3527</v>
      </c>
      <c r="F1940">
        <v>1756</v>
      </c>
      <c r="G1940">
        <v>1649</v>
      </c>
      <c r="H1940" t="s">
        <v>38</v>
      </c>
      <c r="I1940" t="s">
        <v>80</v>
      </c>
      <c r="J1940" t="s">
        <v>2969</v>
      </c>
      <c r="K1940" t="s">
        <v>38</v>
      </c>
      <c r="L1940" t="s">
        <v>38</v>
      </c>
      <c r="M1940" t="s">
        <v>38</v>
      </c>
      <c r="N1940" t="s">
        <v>38</v>
      </c>
      <c r="O1940" t="s">
        <v>57</v>
      </c>
      <c r="P1940" t="s">
        <v>42</v>
      </c>
      <c r="Q1940" t="s">
        <v>43</v>
      </c>
      <c r="R1940" t="s">
        <v>3528</v>
      </c>
      <c r="S1940" t="s">
        <v>153</v>
      </c>
      <c r="T1940" t="s">
        <v>38</v>
      </c>
      <c r="U1940" t="s">
        <v>38</v>
      </c>
      <c r="V1940" t="s">
        <v>137</v>
      </c>
      <c r="W1940" t="s">
        <v>38</v>
      </c>
      <c r="X1940" t="s">
        <v>38</v>
      </c>
      <c r="Y1940" t="s">
        <v>38</v>
      </c>
      <c r="Z1940" t="s">
        <v>42</v>
      </c>
      <c r="AA1940" t="s">
        <v>155</v>
      </c>
      <c r="AB1940" t="s">
        <v>38</v>
      </c>
      <c r="AC1940" t="s">
        <v>153</v>
      </c>
      <c r="AD1940" t="s">
        <v>48</v>
      </c>
      <c r="AG1940" t="str">
        <f>IF(AD1940="United States", IFERROR(INDEX(Sheet2!$C:$C, MATCH(AE1940&amp;AF1940, Sheet2!$E:$E, 0)) &amp; ", " &amp; INDEX(Sheet2!$D:$D, MATCH(AE1940&amp;AF1940, Sheet2!$E:$E, 0)), ""), "-")</f>
        <v/>
      </c>
    </row>
    <row r="1941" spans="1:33" x14ac:dyDescent="0.25">
      <c r="A1941" t="s">
        <v>2966</v>
      </c>
      <c r="B1941" t="s">
        <v>3447</v>
      </c>
      <c r="C1941" t="s">
        <v>3125</v>
      </c>
      <c r="D1941" t="s">
        <v>676</v>
      </c>
      <c r="E1941" t="s">
        <v>3303</v>
      </c>
      <c r="F1941">
        <v>1743</v>
      </c>
      <c r="G1941">
        <v>1324</v>
      </c>
      <c r="H1941" t="s">
        <v>38</v>
      </c>
      <c r="I1941" t="s">
        <v>80</v>
      </c>
      <c r="J1941" t="s">
        <v>3126</v>
      </c>
      <c r="K1941" t="s">
        <v>38</v>
      </c>
      <c r="L1941" t="s">
        <v>38</v>
      </c>
      <c r="M1941" t="s">
        <v>38</v>
      </c>
      <c r="N1941" t="s">
        <v>38</v>
      </c>
      <c r="O1941" t="s">
        <v>57</v>
      </c>
      <c r="P1941" t="s">
        <v>42</v>
      </c>
      <c r="Q1941" t="s">
        <v>43</v>
      </c>
      <c r="R1941" t="s">
        <v>38</v>
      </c>
      <c r="S1941" t="s">
        <v>89</v>
      </c>
      <c r="T1941" t="s">
        <v>38</v>
      </c>
      <c r="U1941" t="s">
        <v>38</v>
      </c>
      <c r="V1941" t="s">
        <v>137</v>
      </c>
      <c r="W1941" t="s">
        <v>38</v>
      </c>
      <c r="X1941" t="s">
        <v>38</v>
      </c>
      <c r="Y1941" t="s">
        <v>38</v>
      </c>
      <c r="Z1941" t="s">
        <v>42</v>
      </c>
      <c r="AA1941" t="s">
        <v>38</v>
      </c>
      <c r="AB1941" t="s">
        <v>38</v>
      </c>
      <c r="AC1941" t="s">
        <v>38</v>
      </c>
      <c r="AD1941" t="s">
        <v>48</v>
      </c>
      <c r="AG1941" t="str">
        <f>IF(AD1941="United States", IFERROR(INDEX(Sheet2!$C:$C, MATCH(AE1941&amp;AF1941, Sheet2!$E:$E, 0)) &amp; ", " &amp; INDEX(Sheet2!$D:$D, MATCH(AE1941&amp;AF1941, Sheet2!$E:$E, 0)), ""), "-")</f>
        <v/>
      </c>
    </row>
    <row r="1942" spans="1:33" x14ac:dyDescent="0.25">
      <c r="A1942" t="s">
        <v>2966</v>
      </c>
      <c r="B1942" t="s">
        <v>3529</v>
      </c>
      <c r="C1942" t="s">
        <v>2968</v>
      </c>
      <c r="D1942" t="s">
        <v>359</v>
      </c>
      <c r="E1942" t="s">
        <v>2658</v>
      </c>
      <c r="F1942">
        <v>1733</v>
      </c>
      <c r="G1942">
        <v>1647</v>
      </c>
      <c r="H1942" t="s">
        <v>38</v>
      </c>
      <c r="I1942" t="s">
        <v>80</v>
      </c>
      <c r="J1942" t="s">
        <v>2969</v>
      </c>
      <c r="K1942" t="s">
        <v>38</v>
      </c>
      <c r="L1942" t="s">
        <v>38</v>
      </c>
      <c r="M1942" t="s">
        <v>38</v>
      </c>
      <c r="N1942" t="s">
        <v>38</v>
      </c>
      <c r="O1942" t="s">
        <v>57</v>
      </c>
      <c r="P1942" t="s">
        <v>42</v>
      </c>
      <c r="Q1942" t="s">
        <v>43</v>
      </c>
      <c r="R1942" t="s">
        <v>3530</v>
      </c>
      <c r="S1942" t="s">
        <v>45</v>
      </c>
      <c r="T1942" t="s">
        <v>38</v>
      </c>
      <c r="U1942" t="s">
        <v>38</v>
      </c>
      <c r="V1942" t="s">
        <v>137</v>
      </c>
      <c r="W1942" t="s">
        <v>38</v>
      </c>
      <c r="X1942" t="s">
        <v>38</v>
      </c>
      <c r="Y1942" t="s">
        <v>38</v>
      </c>
      <c r="Z1942" t="s">
        <v>42</v>
      </c>
      <c r="AA1942" t="s">
        <v>3531</v>
      </c>
      <c r="AB1942" t="s">
        <v>38</v>
      </c>
      <c r="AC1942" t="s">
        <v>45</v>
      </c>
      <c r="AD1942" t="s">
        <v>48</v>
      </c>
      <c r="AG1942" t="str">
        <f>IF(AD1942="United States", IFERROR(INDEX(Sheet2!$C:$C, MATCH(AE1942&amp;AF1942, Sheet2!$E:$E, 0)) &amp; ", " &amp; INDEX(Sheet2!$D:$D, MATCH(AE1942&amp;AF1942, Sheet2!$E:$E, 0)), ""), "-")</f>
        <v/>
      </c>
    </row>
    <row r="1943" spans="1:33" x14ac:dyDescent="0.25">
      <c r="A1943" t="s">
        <v>2966</v>
      </c>
      <c r="B1943" t="s">
        <v>3532</v>
      </c>
      <c r="C1943" t="s">
        <v>2968</v>
      </c>
      <c r="D1943" t="s">
        <v>1413</v>
      </c>
      <c r="E1943" t="s">
        <v>3481</v>
      </c>
      <c r="F1943">
        <v>1743</v>
      </c>
      <c r="G1943">
        <v>1646</v>
      </c>
      <c r="H1943" t="s">
        <v>38</v>
      </c>
      <c r="I1943" t="s">
        <v>80</v>
      </c>
      <c r="J1943" t="s">
        <v>2969</v>
      </c>
      <c r="K1943" t="s">
        <v>38</v>
      </c>
      <c r="L1943" t="s">
        <v>38</v>
      </c>
      <c r="M1943" t="s">
        <v>38</v>
      </c>
      <c r="N1943" t="s">
        <v>38</v>
      </c>
      <c r="O1943" t="s">
        <v>57</v>
      </c>
      <c r="P1943" t="s">
        <v>42</v>
      </c>
      <c r="Q1943" t="s">
        <v>43</v>
      </c>
      <c r="R1943" t="s">
        <v>3533</v>
      </c>
      <c r="S1943" t="s">
        <v>45</v>
      </c>
      <c r="T1943" t="s">
        <v>38</v>
      </c>
      <c r="U1943" t="s">
        <v>38</v>
      </c>
      <c r="V1943" t="s">
        <v>137</v>
      </c>
      <c r="W1943" t="s">
        <v>38</v>
      </c>
      <c r="X1943" t="s">
        <v>38</v>
      </c>
      <c r="Y1943" t="s">
        <v>38</v>
      </c>
      <c r="Z1943" t="s">
        <v>42</v>
      </c>
      <c r="AA1943" t="s">
        <v>38</v>
      </c>
      <c r="AB1943" t="s">
        <v>38</v>
      </c>
      <c r="AC1943" t="s">
        <v>45</v>
      </c>
      <c r="AD1943" t="s">
        <v>48</v>
      </c>
      <c r="AG1943" t="str">
        <f>IF(AD1943="United States", IFERROR(INDEX(Sheet2!$C:$C, MATCH(AE1943&amp;AF1943, Sheet2!$E:$E, 0)) &amp; ", " &amp; INDEX(Sheet2!$D:$D, MATCH(AE1943&amp;AF1943, Sheet2!$E:$E, 0)), ""), "-")</f>
        <v/>
      </c>
    </row>
    <row r="1944" spans="1:33" x14ac:dyDescent="0.25">
      <c r="A1944" t="s">
        <v>2966</v>
      </c>
      <c r="B1944" t="s">
        <v>3534</v>
      </c>
      <c r="C1944" t="s">
        <v>2968</v>
      </c>
      <c r="D1944" t="s">
        <v>1964</v>
      </c>
      <c r="E1944" t="s">
        <v>3535</v>
      </c>
      <c r="F1944">
        <v>1738</v>
      </c>
      <c r="G1944">
        <v>1645</v>
      </c>
      <c r="H1944" t="s">
        <v>38</v>
      </c>
      <c r="I1944" t="s">
        <v>80</v>
      </c>
      <c r="J1944" t="s">
        <v>2969</v>
      </c>
      <c r="K1944" t="s">
        <v>38</v>
      </c>
      <c r="L1944" t="s">
        <v>38</v>
      </c>
      <c r="M1944" t="s">
        <v>38</v>
      </c>
      <c r="N1944" t="s">
        <v>38</v>
      </c>
      <c r="O1944" t="s">
        <v>57</v>
      </c>
      <c r="P1944" t="s">
        <v>42</v>
      </c>
      <c r="Q1944" t="s">
        <v>43</v>
      </c>
      <c r="R1944" t="s">
        <v>3536</v>
      </c>
      <c r="S1944" t="s">
        <v>45</v>
      </c>
      <c r="T1944" t="s">
        <v>38</v>
      </c>
      <c r="U1944" t="s">
        <v>38</v>
      </c>
      <c r="V1944" t="s">
        <v>137</v>
      </c>
      <c r="W1944" t="s">
        <v>38</v>
      </c>
      <c r="X1944" t="s">
        <v>38</v>
      </c>
      <c r="Y1944" t="s">
        <v>38</v>
      </c>
      <c r="Z1944" t="s">
        <v>42</v>
      </c>
      <c r="AA1944" t="s">
        <v>241</v>
      </c>
      <c r="AB1944" t="s">
        <v>38</v>
      </c>
      <c r="AC1944" t="s">
        <v>45</v>
      </c>
      <c r="AD1944" t="s">
        <v>48</v>
      </c>
      <c r="AG1944" t="str">
        <f>IF(AD1944="United States", IFERROR(INDEX(Sheet2!$C:$C, MATCH(AE1944&amp;AF1944, Sheet2!$E:$E, 0)) &amp; ", " &amp; INDEX(Sheet2!$D:$D, MATCH(AE1944&amp;AF1944, Sheet2!$E:$E, 0)), ""), "-")</f>
        <v/>
      </c>
    </row>
    <row r="1945" spans="1:33" x14ac:dyDescent="0.25">
      <c r="A1945" t="s">
        <v>2966</v>
      </c>
      <c r="B1945" t="s">
        <v>3537</v>
      </c>
      <c r="C1945" t="s">
        <v>2968</v>
      </c>
      <c r="D1945" t="s">
        <v>222</v>
      </c>
      <c r="E1945" t="s">
        <v>3538</v>
      </c>
      <c r="F1945">
        <v>1753</v>
      </c>
      <c r="G1945">
        <v>1644</v>
      </c>
      <c r="H1945" t="s">
        <v>38</v>
      </c>
      <c r="I1945" t="s">
        <v>80</v>
      </c>
      <c r="J1945" t="s">
        <v>2969</v>
      </c>
      <c r="K1945" t="s">
        <v>38</v>
      </c>
      <c r="L1945" t="s">
        <v>38</v>
      </c>
      <c r="M1945" t="s">
        <v>38</v>
      </c>
      <c r="N1945" t="s">
        <v>38</v>
      </c>
      <c r="O1945" t="s">
        <v>57</v>
      </c>
      <c r="P1945" t="s">
        <v>42</v>
      </c>
      <c r="Q1945" t="s">
        <v>43</v>
      </c>
      <c r="R1945" t="s">
        <v>1343</v>
      </c>
      <c r="S1945" t="s">
        <v>45</v>
      </c>
      <c r="T1945" t="s">
        <v>38</v>
      </c>
      <c r="U1945" t="s">
        <v>38</v>
      </c>
      <c r="V1945" t="s">
        <v>137</v>
      </c>
      <c r="W1945" t="s">
        <v>38</v>
      </c>
      <c r="X1945" t="s">
        <v>38</v>
      </c>
      <c r="Y1945" t="s">
        <v>38</v>
      </c>
      <c r="Z1945" t="s">
        <v>42</v>
      </c>
      <c r="AA1945" t="s">
        <v>38</v>
      </c>
      <c r="AB1945" t="s">
        <v>38</v>
      </c>
      <c r="AC1945" t="s">
        <v>45</v>
      </c>
      <c r="AD1945" t="s">
        <v>48</v>
      </c>
      <c r="AG1945" t="str">
        <f>IF(AD1945="United States", IFERROR(INDEX(Sheet2!$C:$C, MATCH(AE1945&amp;AF1945, Sheet2!$E:$E, 0)) &amp; ", " &amp; INDEX(Sheet2!$D:$D, MATCH(AE1945&amp;AF1945, Sheet2!$E:$E, 0)), ""), "-")</f>
        <v/>
      </c>
    </row>
    <row r="1946" spans="1:33" x14ac:dyDescent="0.25">
      <c r="A1946" t="s">
        <v>2966</v>
      </c>
      <c r="B1946" t="s">
        <v>3539</v>
      </c>
      <c r="C1946" t="s">
        <v>2968</v>
      </c>
      <c r="D1946" t="s">
        <v>222</v>
      </c>
      <c r="E1946" t="s">
        <v>2379</v>
      </c>
      <c r="F1946">
        <v>1748</v>
      </c>
      <c r="G1946">
        <v>1643</v>
      </c>
      <c r="H1946" t="s">
        <v>38</v>
      </c>
      <c r="I1946" t="s">
        <v>80</v>
      </c>
      <c r="J1946" t="s">
        <v>2969</v>
      </c>
      <c r="K1946" t="s">
        <v>38</v>
      </c>
      <c r="L1946" t="s">
        <v>38</v>
      </c>
      <c r="M1946" t="s">
        <v>38</v>
      </c>
      <c r="N1946" t="s">
        <v>38</v>
      </c>
      <c r="O1946" t="s">
        <v>57</v>
      </c>
      <c r="P1946" t="s">
        <v>42</v>
      </c>
      <c r="Q1946" t="s">
        <v>43</v>
      </c>
      <c r="R1946" t="s">
        <v>38</v>
      </c>
      <c r="S1946" t="s">
        <v>89</v>
      </c>
      <c r="T1946" t="s">
        <v>38</v>
      </c>
      <c r="U1946" t="s">
        <v>38</v>
      </c>
      <c r="V1946" t="s">
        <v>137</v>
      </c>
      <c r="W1946" t="s">
        <v>38</v>
      </c>
      <c r="X1946" t="s">
        <v>38</v>
      </c>
      <c r="Y1946" t="s">
        <v>38</v>
      </c>
      <c r="Z1946" t="s">
        <v>42</v>
      </c>
      <c r="AA1946" t="s">
        <v>38</v>
      </c>
      <c r="AB1946" t="s">
        <v>38</v>
      </c>
      <c r="AC1946" t="s">
        <v>89</v>
      </c>
      <c r="AD1946" t="s">
        <v>48</v>
      </c>
      <c r="AG1946" t="str">
        <f>IF(AD1946="United States", IFERROR(INDEX(Sheet2!$C:$C, MATCH(AE1946&amp;AF1946, Sheet2!$E:$E, 0)) &amp; ", " &amp; INDEX(Sheet2!$D:$D, MATCH(AE1946&amp;AF1946, Sheet2!$E:$E, 0)), ""), "-")</f>
        <v/>
      </c>
    </row>
    <row r="1947" spans="1:33" x14ac:dyDescent="0.25">
      <c r="A1947" t="s">
        <v>2966</v>
      </c>
      <c r="B1947" t="s">
        <v>3540</v>
      </c>
      <c r="C1947" t="s">
        <v>2968</v>
      </c>
      <c r="D1947" t="s">
        <v>1164</v>
      </c>
      <c r="E1947" t="s">
        <v>624</v>
      </c>
      <c r="F1947">
        <v>1757</v>
      </c>
      <c r="G1947">
        <v>1642</v>
      </c>
      <c r="H1947" t="s">
        <v>38</v>
      </c>
      <c r="I1947" t="s">
        <v>80</v>
      </c>
      <c r="J1947" t="s">
        <v>2969</v>
      </c>
      <c r="K1947" t="s">
        <v>38</v>
      </c>
      <c r="L1947" t="s">
        <v>38</v>
      </c>
      <c r="M1947" t="s">
        <v>38</v>
      </c>
      <c r="N1947" t="s">
        <v>38</v>
      </c>
      <c r="O1947" t="s">
        <v>74</v>
      </c>
      <c r="P1947" t="s">
        <v>42</v>
      </c>
      <c r="Q1947" t="s">
        <v>43</v>
      </c>
      <c r="R1947" t="s">
        <v>1343</v>
      </c>
      <c r="S1947" t="s">
        <v>45</v>
      </c>
      <c r="T1947" t="s">
        <v>38</v>
      </c>
      <c r="U1947" t="s">
        <v>38</v>
      </c>
      <c r="V1947" t="s">
        <v>137</v>
      </c>
      <c r="W1947" t="s">
        <v>38</v>
      </c>
      <c r="X1947" t="s">
        <v>38</v>
      </c>
      <c r="Y1947" t="s">
        <v>38</v>
      </c>
      <c r="Z1947" t="s">
        <v>42</v>
      </c>
      <c r="AA1947" t="s">
        <v>1343</v>
      </c>
      <c r="AB1947" t="s">
        <v>38</v>
      </c>
      <c r="AC1947" t="s">
        <v>45</v>
      </c>
      <c r="AD1947" t="s">
        <v>48</v>
      </c>
      <c r="AG1947" t="str">
        <f>IF(AD1947="United States", IFERROR(INDEX(Sheet2!$C:$C, MATCH(AE1947&amp;AF1947, Sheet2!$E:$E, 0)) &amp; ", " &amp; INDEX(Sheet2!$D:$D, MATCH(AE1947&amp;AF1947, Sheet2!$E:$E, 0)), ""), "-")</f>
        <v/>
      </c>
    </row>
    <row r="1948" spans="1:33" x14ac:dyDescent="0.25">
      <c r="A1948" t="s">
        <v>2966</v>
      </c>
      <c r="B1948" t="s">
        <v>3541</v>
      </c>
      <c r="C1948" t="s">
        <v>2968</v>
      </c>
      <c r="D1948" t="s">
        <v>837</v>
      </c>
      <c r="E1948" t="s">
        <v>275</v>
      </c>
      <c r="F1948">
        <v>1765</v>
      </c>
      <c r="G1948">
        <v>1601</v>
      </c>
      <c r="H1948" t="s">
        <v>38</v>
      </c>
      <c r="I1948" t="s">
        <v>80</v>
      </c>
      <c r="J1948" t="s">
        <v>2969</v>
      </c>
      <c r="K1948" t="s">
        <v>38</v>
      </c>
      <c r="L1948" t="s">
        <v>38</v>
      </c>
      <c r="M1948" t="s">
        <v>38</v>
      </c>
      <c r="N1948" t="s">
        <v>38</v>
      </c>
      <c r="O1948" t="s">
        <v>41</v>
      </c>
      <c r="P1948" t="s">
        <v>42</v>
      </c>
      <c r="Q1948" t="s">
        <v>43</v>
      </c>
      <c r="R1948" t="s">
        <v>2997</v>
      </c>
      <c r="S1948" t="s">
        <v>45</v>
      </c>
      <c r="T1948" t="s">
        <v>38</v>
      </c>
      <c r="U1948" t="s">
        <v>38</v>
      </c>
      <c r="V1948" t="s">
        <v>137</v>
      </c>
      <c r="W1948" t="s">
        <v>38</v>
      </c>
      <c r="X1948" t="s">
        <v>38</v>
      </c>
      <c r="Y1948" t="s">
        <v>38</v>
      </c>
      <c r="Z1948" t="s">
        <v>42</v>
      </c>
      <c r="AA1948" t="s">
        <v>38</v>
      </c>
      <c r="AB1948" t="s">
        <v>38</v>
      </c>
      <c r="AC1948" t="s">
        <v>45</v>
      </c>
      <c r="AD1948" t="s">
        <v>48</v>
      </c>
      <c r="AG1948" t="str">
        <f>IF(AD1948="United States", IFERROR(INDEX(Sheet2!$C:$C, MATCH(AE1948&amp;AF1948, Sheet2!$E:$E, 0)) &amp; ", " &amp; INDEX(Sheet2!$D:$D, MATCH(AE1948&amp;AF1948, Sheet2!$E:$E, 0)), ""), "-")</f>
        <v/>
      </c>
    </row>
    <row r="1949" spans="1:33" x14ac:dyDescent="0.25">
      <c r="A1949" t="s">
        <v>2966</v>
      </c>
      <c r="B1949" t="s">
        <v>3542</v>
      </c>
      <c r="C1949" t="s">
        <v>2968</v>
      </c>
      <c r="D1949" t="s">
        <v>495</v>
      </c>
      <c r="E1949" t="s">
        <v>38</v>
      </c>
      <c r="F1949">
        <v>1743</v>
      </c>
      <c r="G1949">
        <v>1641</v>
      </c>
      <c r="H1949" t="s">
        <v>2975</v>
      </c>
      <c r="I1949" t="s">
        <v>80</v>
      </c>
      <c r="J1949" t="s">
        <v>2969</v>
      </c>
      <c r="K1949" t="s">
        <v>38</v>
      </c>
      <c r="L1949" t="s">
        <v>38</v>
      </c>
      <c r="M1949" t="s">
        <v>38</v>
      </c>
      <c r="N1949" t="s">
        <v>38</v>
      </c>
      <c r="O1949" t="s">
        <v>57</v>
      </c>
      <c r="P1949" t="s">
        <v>42</v>
      </c>
      <c r="Q1949" t="s">
        <v>43</v>
      </c>
      <c r="R1949" t="s">
        <v>2452</v>
      </c>
      <c r="S1949" t="s">
        <v>45</v>
      </c>
      <c r="T1949" t="s">
        <v>89</v>
      </c>
      <c r="U1949" t="s">
        <v>2453</v>
      </c>
      <c r="V1949" t="s">
        <v>137</v>
      </c>
      <c r="W1949" t="s">
        <v>92</v>
      </c>
      <c r="X1949" t="s">
        <v>38</v>
      </c>
      <c r="Y1949" t="s">
        <v>38</v>
      </c>
      <c r="Z1949" t="s">
        <v>42</v>
      </c>
      <c r="AA1949" t="s">
        <v>3543</v>
      </c>
      <c r="AB1949" t="s">
        <v>38</v>
      </c>
      <c r="AC1949" t="s">
        <v>45</v>
      </c>
      <c r="AD1949" t="s">
        <v>48</v>
      </c>
      <c r="AG1949" t="str">
        <f>IF(AD1949="United States", IFERROR(INDEX(Sheet2!$C:$C, MATCH(AE1949&amp;AF1949, Sheet2!$E:$E, 0)) &amp; ", " &amp; INDEX(Sheet2!$D:$D, MATCH(AE1949&amp;AF1949, Sheet2!$E:$E, 0)), ""), "-")</f>
        <v/>
      </c>
    </row>
    <row r="1950" spans="1:33" x14ac:dyDescent="0.25">
      <c r="A1950" t="s">
        <v>2966</v>
      </c>
      <c r="B1950" t="s">
        <v>3544</v>
      </c>
      <c r="C1950" t="s">
        <v>2968</v>
      </c>
      <c r="D1950" t="s">
        <v>3235</v>
      </c>
      <c r="E1950" t="s">
        <v>552</v>
      </c>
      <c r="F1950">
        <v>1738</v>
      </c>
      <c r="G1950">
        <v>1639</v>
      </c>
      <c r="H1950" t="s">
        <v>38</v>
      </c>
      <c r="I1950" t="s">
        <v>80</v>
      </c>
      <c r="J1950" t="s">
        <v>2969</v>
      </c>
      <c r="K1950" t="s">
        <v>38</v>
      </c>
      <c r="L1950" t="s">
        <v>38</v>
      </c>
      <c r="M1950" t="s">
        <v>38</v>
      </c>
      <c r="N1950" t="s">
        <v>38</v>
      </c>
      <c r="O1950" t="s">
        <v>57</v>
      </c>
      <c r="P1950" t="s">
        <v>42</v>
      </c>
      <c r="Q1950" t="s">
        <v>43</v>
      </c>
      <c r="R1950" t="s">
        <v>169</v>
      </c>
      <c r="S1950" t="s">
        <v>45</v>
      </c>
      <c r="T1950" t="s">
        <v>38</v>
      </c>
      <c r="U1950" t="s">
        <v>38</v>
      </c>
      <c r="V1950" t="s">
        <v>137</v>
      </c>
      <c r="W1950" t="s">
        <v>38</v>
      </c>
      <c r="X1950" t="s">
        <v>38</v>
      </c>
      <c r="Y1950" t="s">
        <v>38</v>
      </c>
      <c r="Z1950" t="s">
        <v>42</v>
      </c>
      <c r="AA1950" t="s">
        <v>169</v>
      </c>
      <c r="AB1950" t="s">
        <v>38</v>
      </c>
      <c r="AC1950" t="s">
        <v>45</v>
      </c>
      <c r="AD1950" t="s">
        <v>48</v>
      </c>
      <c r="AG1950" t="str">
        <f>IF(AD1950="United States", IFERROR(INDEX(Sheet2!$C:$C, MATCH(AE1950&amp;AF1950, Sheet2!$E:$E, 0)) &amp; ", " &amp; INDEX(Sheet2!$D:$D, MATCH(AE1950&amp;AF1950, Sheet2!$E:$E, 0)), ""), "-")</f>
        <v/>
      </c>
    </row>
    <row r="1951" spans="1:33" x14ac:dyDescent="0.25">
      <c r="A1951" t="s">
        <v>2966</v>
      </c>
      <c r="B1951" t="s">
        <v>3545</v>
      </c>
      <c r="C1951" t="s">
        <v>2968</v>
      </c>
      <c r="D1951" t="s">
        <v>177</v>
      </c>
      <c r="E1951" t="s">
        <v>492</v>
      </c>
      <c r="F1951">
        <v>1748</v>
      </c>
      <c r="G1951">
        <v>1638</v>
      </c>
      <c r="H1951" t="s">
        <v>38</v>
      </c>
      <c r="I1951" t="s">
        <v>80</v>
      </c>
      <c r="J1951" t="s">
        <v>2969</v>
      </c>
      <c r="K1951" t="s">
        <v>38</v>
      </c>
      <c r="L1951" t="s">
        <v>38</v>
      </c>
      <c r="M1951" t="s">
        <v>38</v>
      </c>
      <c r="N1951" t="s">
        <v>38</v>
      </c>
      <c r="O1951" t="s">
        <v>41</v>
      </c>
      <c r="P1951" t="s">
        <v>42</v>
      </c>
      <c r="Q1951" t="s">
        <v>43</v>
      </c>
      <c r="R1951" t="s">
        <v>38</v>
      </c>
      <c r="S1951" t="s">
        <v>38</v>
      </c>
      <c r="T1951" t="s">
        <v>38</v>
      </c>
      <c r="U1951" t="s">
        <v>38</v>
      </c>
      <c r="V1951" t="s">
        <v>137</v>
      </c>
      <c r="W1951" t="s">
        <v>38</v>
      </c>
      <c r="X1951" t="s">
        <v>38</v>
      </c>
      <c r="Y1951" t="s">
        <v>38</v>
      </c>
      <c r="Z1951" t="s">
        <v>42</v>
      </c>
      <c r="AA1951" t="s">
        <v>38</v>
      </c>
      <c r="AB1951" t="s">
        <v>38</v>
      </c>
      <c r="AC1951" t="s">
        <v>1343</v>
      </c>
      <c r="AD1951" t="s">
        <v>48</v>
      </c>
      <c r="AG1951" t="str">
        <f>IF(AD1951="United States", IFERROR(INDEX(Sheet2!$C:$C, MATCH(AE1951&amp;AF1951, Sheet2!$E:$E, 0)) &amp; ", " &amp; INDEX(Sheet2!$D:$D, MATCH(AE1951&amp;AF1951, Sheet2!$E:$E, 0)), ""), "-")</f>
        <v/>
      </c>
    </row>
    <row r="1952" spans="1:33" x14ac:dyDescent="0.25">
      <c r="A1952" t="s">
        <v>2966</v>
      </c>
      <c r="B1952" t="s">
        <v>3546</v>
      </c>
      <c r="C1952" t="s">
        <v>2968</v>
      </c>
      <c r="D1952" t="s">
        <v>463</v>
      </c>
      <c r="E1952" t="s">
        <v>3547</v>
      </c>
      <c r="F1952">
        <v>1755</v>
      </c>
      <c r="G1952">
        <v>1637</v>
      </c>
      <c r="H1952" t="s">
        <v>38</v>
      </c>
      <c r="I1952" t="s">
        <v>80</v>
      </c>
      <c r="J1952" t="s">
        <v>2969</v>
      </c>
      <c r="K1952" t="s">
        <v>38</v>
      </c>
      <c r="L1952" t="s">
        <v>38</v>
      </c>
      <c r="M1952" t="s">
        <v>38</v>
      </c>
      <c r="N1952" t="s">
        <v>38</v>
      </c>
      <c r="O1952" t="s">
        <v>41</v>
      </c>
      <c r="P1952" t="s">
        <v>42</v>
      </c>
      <c r="Q1952" t="s">
        <v>43</v>
      </c>
      <c r="R1952" t="s">
        <v>1322</v>
      </c>
      <c r="S1952" t="s">
        <v>45</v>
      </c>
      <c r="T1952" t="s">
        <v>38</v>
      </c>
      <c r="U1952" t="s">
        <v>38</v>
      </c>
      <c r="V1952" t="s">
        <v>137</v>
      </c>
      <c r="W1952" t="s">
        <v>38</v>
      </c>
      <c r="X1952" t="s">
        <v>38</v>
      </c>
      <c r="Y1952" t="s">
        <v>38</v>
      </c>
      <c r="Z1952" t="s">
        <v>42</v>
      </c>
      <c r="AA1952" t="s">
        <v>38</v>
      </c>
      <c r="AB1952" t="s">
        <v>38</v>
      </c>
      <c r="AC1952" t="s">
        <v>45</v>
      </c>
      <c r="AD1952" t="s">
        <v>48</v>
      </c>
      <c r="AG1952" t="str">
        <f>IF(AD1952="United States", IFERROR(INDEX(Sheet2!$C:$C, MATCH(AE1952&amp;AF1952, Sheet2!$E:$E, 0)) &amp; ", " &amp; INDEX(Sheet2!$D:$D, MATCH(AE1952&amp;AF1952, Sheet2!$E:$E, 0)), ""), "-")</f>
        <v/>
      </c>
    </row>
    <row r="1953" spans="1:33" x14ac:dyDescent="0.25">
      <c r="A1953" t="s">
        <v>2966</v>
      </c>
      <c r="B1953" t="s">
        <v>3548</v>
      </c>
      <c r="C1953" t="s">
        <v>2968</v>
      </c>
      <c r="D1953" t="s">
        <v>132</v>
      </c>
      <c r="E1953" t="s">
        <v>3549</v>
      </c>
      <c r="F1953">
        <v>1771</v>
      </c>
      <c r="G1953">
        <v>1636</v>
      </c>
      <c r="H1953" t="s">
        <v>2975</v>
      </c>
      <c r="I1953" t="s">
        <v>80</v>
      </c>
      <c r="J1953" t="s">
        <v>2969</v>
      </c>
      <c r="K1953" t="s">
        <v>38</v>
      </c>
      <c r="L1953" t="s">
        <v>38</v>
      </c>
      <c r="M1953" t="s">
        <v>38</v>
      </c>
      <c r="N1953" t="s">
        <v>38</v>
      </c>
      <c r="O1953" t="s">
        <v>54</v>
      </c>
      <c r="P1953" t="s">
        <v>42</v>
      </c>
      <c r="Q1953" t="s">
        <v>43</v>
      </c>
      <c r="R1953" t="s">
        <v>2452</v>
      </c>
      <c r="S1953" t="s">
        <v>45</v>
      </c>
      <c r="T1953" t="s">
        <v>89</v>
      </c>
      <c r="U1953" t="s">
        <v>2453</v>
      </c>
      <c r="V1953" t="s">
        <v>137</v>
      </c>
      <c r="W1953" t="s">
        <v>92</v>
      </c>
      <c r="X1953" t="s">
        <v>38</v>
      </c>
      <c r="Y1953" t="s">
        <v>38</v>
      </c>
      <c r="Z1953" t="s">
        <v>42</v>
      </c>
      <c r="AA1953" t="s">
        <v>143</v>
      </c>
      <c r="AB1953" t="s">
        <v>38</v>
      </c>
      <c r="AC1953" t="s">
        <v>45</v>
      </c>
      <c r="AD1953" t="s">
        <v>48</v>
      </c>
      <c r="AG1953" t="str">
        <f>IF(AD1953="United States", IFERROR(INDEX(Sheet2!$C:$C, MATCH(AE1953&amp;AF1953, Sheet2!$E:$E, 0)) &amp; ", " &amp; INDEX(Sheet2!$D:$D, MATCH(AE1953&amp;AF1953, Sheet2!$E:$E, 0)), ""), "-")</f>
        <v/>
      </c>
    </row>
    <row r="1954" spans="1:33" x14ac:dyDescent="0.25">
      <c r="A1954" t="s">
        <v>2966</v>
      </c>
      <c r="B1954" t="s">
        <v>3550</v>
      </c>
      <c r="C1954" t="s">
        <v>2968</v>
      </c>
      <c r="D1954" t="s">
        <v>3116</v>
      </c>
      <c r="E1954" t="s">
        <v>3551</v>
      </c>
      <c r="F1954">
        <v>1738</v>
      </c>
      <c r="G1954">
        <v>1635</v>
      </c>
      <c r="H1954" t="s">
        <v>38</v>
      </c>
      <c r="I1954" t="s">
        <v>80</v>
      </c>
      <c r="J1954" t="s">
        <v>2969</v>
      </c>
      <c r="K1954" t="s">
        <v>38</v>
      </c>
      <c r="L1954" t="s">
        <v>38</v>
      </c>
      <c r="M1954" t="s">
        <v>38</v>
      </c>
      <c r="N1954" t="s">
        <v>38</v>
      </c>
      <c r="O1954" t="s">
        <v>41</v>
      </c>
      <c r="P1954" t="s">
        <v>42</v>
      </c>
      <c r="Q1954" t="s">
        <v>43</v>
      </c>
      <c r="R1954" t="s">
        <v>38</v>
      </c>
      <c r="S1954" t="s">
        <v>38</v>
      </c>
      <c r="T1954" t="s">
        <v>38</v>
      </c>
      <c r="U1954" t="s">
        <v>38</v>
      </c>
      <c r="V1954" t="s">
        <v>137</v>
      </c>
      <c r="W1954" t="s">
        <v>38</v>
      </c>
      <c r="X1954" t="s">
        <v>38</v>
      </c>
      <c r="Y1954" t="s">
        <v>38</v>
      </c>
      <c r="Z1954" t="s">
        <v>42</v>
      </c>
      <c r="AA1954" t="s">
        <v>38</v>
      </c>
      <c r="AB1954" t="s">
        <v>38</v>
      </c>
      <c r="AC1954" t="s">
        <v>38</v>
      </c>
      <c r="AD1954" t="s">
        <v>48</v>
      </c>
      <c r="AG1954" t="str">
        <f>IF(AD1954="United States", IFERROR(INDEX(Sheet2!$C:$C, MATCH(AE1954&amp;AF1954, Sheet2!$E:$E, 0)) &amp; ", " &amp; INDEX(Sheet2!$D:$D, MATCH(AE1954&amp;AF1954, Sheet2!$E:$E, 0)), ""), "-")</f>
        <v/>
      </c>
    </row>
    <row r="1955" spans="1:33" x14ac:dyDescent="0.25">
      <c r="A1955" t="s">
        <v>2966</v>
      </c>
      <c r="B1955" t="s">
        <v>3552</v>
      </c>
      <c r="C1955" t="s">
        <v>2968</v>
      </c>
      <c r="D1955" t="s">
        <v>3553</v>
      </c>
      <c r="E1955" t="s">
        <v>818</v>
      </c>
      <c r="F1955">
        <v>1764</v>
      </c>
      <c r="G1955">
        <v>1634</v>
      </c>
      <c r="H1955" t="s">
        <v>38</v>
      </c>
      <c r="I1955" t="s">
        <v>80</v>
      </c>
      <c r="J1955" t="s">
        <v>2969</v>
      </c>
      <c r="K1955" t="s">
        <v>38</v>
      </c>
      <c r="L1955" t="s">
        <v>38</v>
      </c>
      <c r="M1955" t="s">
        <v>38</v>
      </c>
      <c r="N1955" t="s">
        <v>38</v>
      </c>
      <c r="O1955" t="s">
        <v>41</v>
      </c>
      <c r="P1955" t="s">
        <v>42</v>
      </c>
      <c r="Q1955" t="s">
        <v>43</v>
      </c>
      <c r="R1955" t="s">
        <v>38</v>
      </c>
      <c r="S1955" t="s">
        <v>38</v>
      </c>
      <c r="T1955" t="s">
        <v>38</v>
      </c>
      <c r="U1955" t="s">
        <v>38</v>
      </c>
      <c r="V1955" t="s">
        <v>137</v>
      </c>
      <c r="W1955" t="s">
        <v>38</v>
      </c>
      <c r="X1955" t="s">
        <v>38</v>
      </c>
      <c r="Y1955" t="s">
        <v>38</v>
      </c>
      <c r="Z1955" t="s">
        <v>42</v>
      </c>
      <c r="AA1955" t="s">
        <v>38</v>
      </c>
      <c r="AB1955" t="s">
        <v>38</v>
      </c>
      <c r="AC1955" t="s">
        <v>637</v>
      </c>
      <c r="AD1955" t="s">
        <v>48</v>
      </c>
      <c r="AG1955" t="str">
        <f>IF(AD1955="United States", IFERROR(INDEX(Sheet2!$C:$C, MATCH(AE1955&amp;AF1955, Sheet2!$E:$E, 0)) &amp; ", " &amp; INDEX(Sheet2!$D:$D, MATCH(AE1955&amp;AF1955, Sheet2!$E:$E, 0)), ""), "-")</f>
        <v/>
      </c>
    </row>
    <row r="1956" spans="1:33" x14ac:dyDescent="0.25">
      <c r="A1956" t="s">
        <v>2966</v>
      </c>
      <c r="B1956" t="s">
        <v>3554</v>
      </c>
      <c r="C1956" t="s">
        <v>2968</v>
      </c>
      <c r="D1956" t="s">
        <v>1638</v>
      </c>
      <c r="E1956" t="s">
        <v>3555</v>
      </c>
      <c r="F1956">
        <v>1743</v>
      </c>
      <c r="G1956">
        <v>1633</v>
      </c>
      <c r="H1956" t="s">
        <v>2986</v>
      </c>
      <c r="I1956" t="s">
        <v>80</v>
      </c>
      <c r="J1956" t="s">
        <v>2969</v>
      </c>
      <c r="K1956" t="s">
        <v>38</v>
      </c>
      <c r="L1956" t="s">
        <v>38</v>
      </c>
      <c r="M1956" t="s">
        <v>38</v>
      </c>
      <c r="N1956" t="s">
        <v>38</v>
      </c>
      <c r="O1956" t="s">
        <v>41</v>
      </c>
      <c r="P1956" t="s">
        <v>42</v>
      </c>
      <c r="Q1956" t="s">
        <v>43</v>
      </c>
      <c r="R1956" t="s">
        <v>2452</v>
      </c>
      <c r="S1956" t="s">
        <v>45</v>
      </c>
      <c r="T1956" t="s">
        <v>89</v>
      </c>
      <c r="U1956" t="s">
        <v>2453</v>
      </c>
      <c r="V1956" t="s">
        <v>137</v>
      </c>
      <c r="W1956" t="s">
        <v>92</v>
      </c>
      <c r="X1956" t="s">
        <v>38</v>
      </c>
      <c r="Y1956" t="s">
        <v>38</v>
      </c>
      <c r="Z1956" t="s">
        <v>42</v>
      </c>
      <c r="AA1956" t="s">
        <v>2166</v>
      </c>
      <c r="AB1956" t="s">
        <v>38</v>
      </c>
      <c r="AC1956" t="s">
        <v>45</v>
      </c>
      <c r="AD1956" t="s">
        <v>48</v>
      </c>
      <c r="AG1956" t="str">
        <f>IF(AD1956="United States", IFERROR(INDEX(Sheet2!$C:$C, MATCH(AE1956&amp;AF1956, Sheet2!$E:$E, 0)) &amp; ", " &amp; INDEX(Sheet2!$D:$D, MATCH(AE1956&amp;AF1956, Sheet2!$E:$E, 0)), ""), "-")</f>
        <v/>
      </c>
    </row>
    <row r="1957" spans="1:33" x14ac:dyDescent="0.25">
      <c r="A1957" t="s">
        <v>2966</v>
      </c>
      <c r="B1957" t="s">
        <v>3556</v>
      </c>
      <c r="C1957" t="s">
        <v>2968</v>
      </c>
      <c r="D1957" t="s">
        <v>210</v>
      </c>
      <c r="E1957" t="s">
        <v>3535</v>
      </c>
      <c r="F1957">
        <v>1748</v>
      </c>
      <c r="G1957">
        <v>1632</v>
      </c>
      <c r="H1957" t="s">
        <v>2977</v>
      </c>
      <c r="I1957" t="s">
        <v>80</v>
      </c>
      <c r="J1957" t="s">
        <v>2969</v>
      </c>
      <c r="K1957" t="s">
        <v>38</v>
      </c>
      <c r="L1957" t="s">
        <v>38</v>
      </c>
      <c r="M1957" t="s">
        <v>38</v>
      </c>
      <c r="N1957" t="s">
        <v>38</v>
      </c>
      <c r="O1957" t="s">
        <v>41</v>
      </c>
      <c r="P1957" t="s">
        <v>42</v>
      </c>
      <c r="Q1957" t="s">
        <v>43</v>
      </c>
      <c r="R1957" t="s">
        <v>2452</v>
      </c>
      <c r="S1957" t="s">
        <v>45</v>
      </c>
      <c r="T1957" t="s">
        <v>89</v>
      </c>
      <c r="U1957" t="s">
        <v>2453</v>
      </c>
      <c r="V1957" t="s">
        <v>137</v>
      </c>
      <c r="W1957" t="s">
        <v>92</v>
      </c>
      <c r="X1957" t="s">
        <v>38</v>
      </c>
      <c r="Y1957" t="s">
        <v>38</v>
      </c>
      <c r="Z1957" t="s">
        <v>42</v>
      </c>
      <c r="AA1957" t="s">
        <v>169</v>
      </c>
      <c r="AB1957" t="s">
        <v>38</v>
      </c>
      <c r="AC1957" t="s">
        <v>45</v>
      </c>
      <c r="AD1957" t="s">
        <v>48</v>
      </c>
      <c r="AG1957" t="str">
        <f>IF(AD1957="United States", IFERROR(INDEX(Sheet2!$C:$C, MATCH(AE1957&amp;AF1957, Sheet2!$E:$E, 0)) &amp; ", " &amp; INDEX(Sheet2!$D:$D, MATCH(AE1957&amp;AF1957, Sheet2!$E:$E, 0)), ""), "-")</f>
        <v/>
      </c>
    </row>
    <row r="1958" spans="1:33" x14ac:dyDescent="0.25">
      <c r="A1958" t="s">
        <v>2966</v>
      </c>
      <c r="B1958" t="s">
        <v>3557</v>
      </c>
      <c r="C1958" t="s">
        <v>2968</v>
      </c>
      <c r="D1958" t="s">
        <v>210</v>
      </c>
      <c r="E1958" t="s">
        <v>3294</v>
      </c>
      <c r="F1958">
        <v>1743</v>
      </c>
      <c r="G1958">
        <v>1631</v>
      </c>
      <c r="H1958" t="s">
        <v>2977</v>
      </c>
      <c r="I1958" t="s">
        <v>80</v>
      </c>
      <c r="J1958" t="s">
        <v>2969</v>
      </c>
      <c r="K1958" t="s">
        <v>38</v>
      </c>
      <c r="L1958" t="s">
        <v>38</v>
      </c>
      <c r="M1958" t="s">
        <v>38</v>
      </c>
      <c r="N1958" t="s">
        <v>38</v>
      </c>
      <c r="O1958" t="s">
        <v>41</v>
      </c>
      <c r="P1958" t="s">
        <v>42</v>
      </c>
      <c r="Q1958" t="s">
        <v>43</v>
      </c>
      <c r="R1958" t="s">
        <v>2452</v>
      </c>
      <c r="S1958" t="s">
        <v>45</v>
      </c>
      <c r="T1958" t="s">
        <v>89</v>
      </c>
      <c r="U1958" t="s">
        <v>2453</v>
      </c>
      <c r="V1958" t="s">
        <v>137</v>
      </c>
      <c r="W1958" t="s">
        <v>92</v>
      </c>
      <c r="X1958" t="s">
        <v>38</v>
      </c>
      <c r="Y1958" t="s">
        <v>38</v>
      </c>
      <c r="Z1958" t="s">
        <v>42</v>
      </c>
      <c r="AA1958" t="s">
        <v>2166</v>
      </c>
      <c r="AB1958" t="s">
        <v>38</v>
      </c>
      <c r="AC1958" t="s">
        <v>45</v>
      </c>
      <c r="AD1958" t="s">
        <v>48</v>
      </c>
      <c r="AG1958" t="str">
        <f>IF(AD1958="United States", IFERROR(INDEX(Sheet2!$C:$C, MATCH(AE1958&amp;AF1958, Sheet2!$E:$E, 0)) &amp; ", " &amp; INDEX(Sheet2!$D:$D, MATCH(AE1958&amp;AF1958, Sheet2!$E:$E, 0)), ""), "-")</f>
        <v/>
      </c>
    </row>
    <row r="1959" spans="1:33" x14ac:dyDescent="0.25">
      <c r="A1959" t="s">
        <v>2966</v>
      </c>
      <c r="B1959" t="s">
        <v>3558</v>
      </c>
      <c r="C1959" t="s">
        <v>2968</v>
      </c>
      <c r="D1959" t="s">
        <v>824</v>
      </c>
      <c r="E1959" t="s">
        <v>3559</v>
      </c>
      <c r="F1959">
        <v>1753</v>
      </c>
      <c r="G1959">
        <v>1630</v>
      </c>
      <c r="H1959" t="s">
        <v>2975</v>
      </c>
      <c r="I1959" t="s">
        <v>80</v>
      </c>
      <c r="J1959" t="s">
        <v>2969</v>
      </c>
      <c r="K1959" t="s">
        <v>38</v>
      </c>
      <c r="L1959" t="s">
        <v>38</v>
      </c>
      <c r="M1959" t="s">
        <v>38</v>
      </c>
      <c r="N1959" t="s">
        <v>38</v>
      </c>
      <c r="O1959" t="s">
        <v>41</v>
      </c>
      <c r="P1959" t="s">
        <v>42</v>
      </c>
      <c r="Q1959" t="s">
        <v>43</v>
      </c>
      <c r="R1959" t="s">
        <v>2452</v>
      </c>
      <c r="S1959" t="s">
        <v>45</v>
      </c>
      <c r="T1959" t="s">
        <v>89</v>
      </c>
      <c r="U1959" t="s">
        <v>2453</v>
      </c>
      <c r="V1959" t="s">
        <v>137</v>
      </c>
      <c r="W1959" t="s">
        <v>92</v>
      </c>
      <c r="X1959" t="s">
        <v>38</v>
      </c>
      <c r="Y1959" t="s">
        <v>38</v>
      </c>
      <c r="Z1959" t="s">
        <v>42</v>
      </c>
      <c r="AA1959" t="s">
        <v>2166</v>
      </c>
      <c r="AB1959" t="s">
        <v>38</v>
      </c>
      <c r="AC1959" t="s">
        <v>45</v>
      </c>
      <c r="AD1959" t="s">
        <v>48</v>
      </c>
      <c r="AG1959" t="str">
        <f>IF(AD1959="United States", IFERROR(INDEX(Sheet2!$C:$C, MATCH(AE1959&amp;AF1959, Sheet2!$E:$E, 0)) &amp; ", " &amp; INDEX(Sheet2!$D:$D, MATCH(AE1959&amp;AF1959, Sheet2!$E:$E, 0)), ""), "-")</f>
        <v/>
      </c>
    </row>
    <row r="1960" spans="1:33" x14ac:dyDescent="0.25">
      <c r="A1960" t="s">
        <v>2966</v>
      </c>
      <c r="B1960" t="s">
        <v>3560</v>
      </c>
      <c r="C1960" t="s">
        <v>2968</v>
      </c>
      <c r="D1960" t="s">
        <v>357</v>
      </c>
      <c r="E1960" t="s">
        <v>633</v>
      </c>
      <c r="F1960">
        <v>1766</v>
      </c>
      <c r="G1960">
        <v>1629</v>
      </c>
      <c r="H1960" t="s">
        <v>38</v>
      </c>
      <c r="I1960" t="s">
        <v>80</v>
      </c>
      <c r="J1960" t="s">
        <v>2969</v>
      </c>
      <c r="K1960" t="s">
        <v>38</v>
      </c>
      <c r="L1960" t="s">
        <v>38</v>
      </c>
      <c r="M1960" t="s">
        <v>38</v>
      </c>
      <c r="N1960" t="s">
        <v>38</v>
      </c>
      <c r="O1960" t="s">
        <v>54</v>
      </c>
      <c r="P1960" t="s">
        <v>42</v>
      </c>
      <c r="Q1960" t="s">
        <v>43</v>
      </c>
      <c r="R1960" t="s">
        <v>1919</v>
      </c>
      <c r="S1960" t="s">
        <v>153</v>
      </c>
      <c r="T1960" t="s">
        <v>38</v>
      </c>
      <c r="U1960" t="s">
        <v>38</v>
      </c>
      <c r="V1960" t="s">
        <v>137</v>
      </c>
      <c r="W1960" t="s">
        <v>38</v>
      </c>
      <c r="X1960" t="s">
        <v>38</v>
      </c>
      <c r="Y1960" t="s">
        <v>38</v>
      </c>
      <c r="Z1960" t="s">
        <v>42</v>
      </c>
      <c r="AA1960" t="s">
        <v>1919</v>
      </c>
      <c r="AB1960" t="s">
        <v>38</v>
      </c>
      <c r="AC1960" t="s">
        <v>153</v>
      </c>
      <c r="AD1960" t="s">
        <v>48</v>
      </c>
      <c r="AG1960" t="str">
        <f>IF(AD1960="United States", IFERROR(INDEX(Sheet2!$C:$C, MATCH(AE1960&amp;AF1960, Sheet2!$E:$E, 0)) &amp; ", " &amp; INDEX(Sheet2!$D:$D, MATCH(AE1960&amp;AF1960, Sheet2!$E:$E, 0)), ""), "-")</f>
        <v/>
      </c>
    </row>
    <row r="1961" spans="1:33" x14ac:dyDescent="0.25">
      <c r="A1961" t="s">
        <v>2966</v>
      </c>
      <c r="B1961" t="s">
        <v>3561</v>
      </c>
      <c r="C1961" t="s">
        <v>2968</v>
      </c>
      <c r="D1961" t="s">
        <v>938</v>
      </c>
      <c r="E1961" t="s">
        <v>226</v>
      </c>
      <c r="F1961">
        <v>1765</v>
      </c>
      <c r="G1961">
        <v>1628</v>
      </c>
      <c r="H1961" t="s">
        <v>38</v>
      </c>
      <c r="I1961" t="s">
        <v>80</v>
      </c>
      <c r="J1961" t="s">
        <v>2969</v>
      </c>
      <c r="K1961" t="s">
        <v>38</v>
      </c>
      <c r="L1961" t="s">
        <v>38</v>
      </c>
      <c r="M1961" t="s">
        <v>38</v>
      </c>
      <c r="N1961" t="s">
        <v>38</v>
      </c>
      <c r="O1961" t="s">
        <v>41</v>
      </c>
      <c r="P1961" t="s">
        <v>42</v>
      </c>
      <c r="Q1961" t="s">
        <v>43</v>
      </c>
      <c r="R1961" t="s">
        <v>3562</v>
      </c>
      <c r="S1961" t="s">
        <v>45</v>
      </c>
      <c r="T1961" t="s">
        <v>38</v>
      </c>
      <c r="U1961" t="s">
        <v>38</v>
      </c>
      <c r="V1961" t="s">
        <v>137</v>
      </c>
      <c r="W1961" t="s">
        <v>38</v>
      </c>
      <c r="X1961" t="s">
        <v>38</v>
      </c>
      <c r="Y1961" t="s">
        <v>38</v>
      </c>
      <c r="Z1961" t="s">
        <v>42</v>
      </c>
      <c r="AA1961" t="s">
        <v>38</v>
      </c>
      <c r="AB1961" t="s">
        <v>38</v>
      </c>
      <c r="AC1961" t="s">
        <v>45</v>
      </c>
      <c r="AD1961" t="s">
        <v>48</v>
      </c>
      <c r="AG1961" t="str">
        <f>IF(AD1961="United States", IFERROR(INDEX(Sheet2!$C:$C, MATCH(AE1961&amp;AF1961, Sheet2!$E:$E, 0)) &amp; ", " &amp; INDEX(Sheet2!$D:$D, MATCH(AE1961&amp;AF1961, Sheet2!$E:$E, 0)), ""), "-")</f>
        <v/>
      </c>
    </row>
    <row r="1962" spans="1:33" x14ac:dyDescent="0.25">
      <c r="A1962" t="s">
        <v>2966</v>
      </c>
      <c r="B1962" t="s">
        <v>3563</v>
      </c>
      <c r="C1962" t="s">
        <v>2968</v>
      </c>
      <c r="D1962" t="s">
        <v>361</v>
      </c>
      <c r="E1962" t="s">
        <v>3564</v>
      </c>
      <c r="F1962">
        <v>1756</v>
      </c>
      <c r="G1962">
        <v>1627</v>
      </c>
      <c r="H1962" t="s">
        <v>2977</v>
      </c>
      <c r="I1962" t="s">
        <v>80</v>
      </c>
      <c r="J1962" t="s">
        <v>2969</v>
      </c>
      <c r="K1962" t="s">
        <v>38</v>
      </c>
      <c r="L1962" t="s">
        <v>38</v>
      </c>
      <c r="M1962" t="s">
        <v>38</v>
      </c>
      <c r="N1962" t="s">
        <v>38</v>
      </c>
      <c r="O1962" t="s">
        <v>41</v>
      </c>
      <c r="P1962" t="s">
        <v>42</v>
      </c>
      <c r="Q1962" t="s">
        <v>43</v>
      </c>
      <c r="R1962" t="s">
        <v>2452</v>
      </c>
      <c r="S1962" t="s">
        <v>45</v>
      </c>
      <c r="T1962" t="s">
        <v>89</v>
      </c>
      <c r="U1962" t="s">
        <v>2453</v>
      </c>
      <c r="V1962" t="s">
        <v>137</v>
      </c>
      <c r="W1962" t="s">
        <v>92</v>
      </c>
      <c r="X1962" t="s">
        <v>38</v>
      </c>
      <c r="Y1962" t="s">
        <v>38</v>
      </c>
      <c r="Z1962" t="s">
        <v>42</v>
      </c>
      <c r="AA1962" t="s">
        <v>169</v>
      </c>
      <c r="AB1962" t="s">
        <v>38</v>
      </c>
      <c r="AC1962" t="s">
        <v>45</v>
      </c>
      <c r="AD1962" t="s">
        <v>48</v>
      </c>
      <c r="AG1962" t="str">
        <f>IF(AD1962="United States", IFERROR(INDEX(Sheet2!$C:$C, MATCH(AE1962&amp;AF1962, Sheet2!$E:$E, 0)) &amp; ", " &amp; INDEX(Sheet2!$D:$D, MATCH(AE1962&amp;AF1962, Sheet2!$E:$E, 0)), ""), "-")</f>
        <v/>
      </c>
    </row>
    <row r="1963" spans="1:33" x14ac:dyDescent="0.25">
      <c r="A1963" t="s">
        <v>2966</v>
      </c>
      <c r="B1963" t="s">
        <v>3565</v>
      </c>
      <c r="C1963" t="s">
        <v>2968</v>
      </c>
      <c r="D1963" t="s">
        <v>50</v>
      </c>
      <c r="E1963" t="s">
        <v>3547</v>
      </c>
      <c r="F1963">
        <v>1758</v>
      </c>
      <c r="G1963">
        <v>1640</v>
      </c>
      <c r="H1963" t="s">
        <v>38</v>
      </c>
      <c r="I1963" t="s">
        <v>80</v>
      </c>
      <c r="J1963" t="s">
        <v>2969</v>
      </c>
      <c r="K1963" t="s">
        <v>38</v>
      </c>
      <c r="L1963" t="s">
        <v>38</v>
      </c>
      <c r="M1963" t="s">
        <v>38</v>
      </c>
      <c r="N1963" t="s">
        <v>38</v>
      </c>
      <c r="O1963" t="s">
        <v>57</v>
      </c>
      <c r="P1963" t="s">
        <v>42</v>
      </c>
      <c r="Q1963" t="s">
        <v>43</v>
      </c>
      <c r="R1963" t="s">
        <v>1322</v>
      </c>
      <c r="S1963" t="s">
        <v>45</v>
      </c>
      <c r="T1963" t="s">
        <v>38</v>
      </c>
      <c r="U1963" t="s">
        <v>38</v>
      </c>
      <c r="V1963" t="s">
        <v>137</v>
      </c>
      <c r="W1963" t="s">
        <v>38</v>
      </c>
      <c r="X1963" t="s">
        <v>38</v>
      </c>
      <c r="Y1963" t="s">
        <v>38</v>
      </c>
      <c r="Z1963" t="s">
        <v>42</v>
      </c>
      <c r="AA1963" t="s">
        <v>38</v>
      </c>
      <c r="AB1963" t="s">
        <v>38</v>
      </c>
      <c r="AC1963" t="s">
        <v>45</v>
      </c>
      <c r="AD1963" t="s">
        <v>48</v>
      </c>
      <c r="AG1963" t="str">
        <f>IF(AD1963="United States", IFERROR(INDEX(Sheet2!$C:$C, MATCH(AE1963&amp;AF1963, Sheet2!$E:$E, 0)) &amp; ", " &amp; INDEX(Sheet2!$D:$D, MATCH(AE1963&amp;AF1963, Sheet2!$E:$E, 0)), ""), "-")</f>
        <v/>
      </c>
    </row>
    <row r="1964" spans="1:33" x14ac:dyDescent="0.25">
      <c r="A1964" t="s">
        <v>2966</v>
      </c>
      <c r="B1964" t="s">
        <v>3566</v>
      </c>
      <c r="C1964" t="s">
        <v>2968</v>
      </c>
      <c r="D1964" t="s">
        <v>1175</v>
      </c>
      <c r="E1964" t="s">
        <v>275</v>
      </c>
      <c r="F1964">
        <v>1761</v>
      </c>
      <c r="G1964">
        <v>1600</v>
      </c>
      <c r="H1964" t="s">
        <v>38</v>
      </c>
      <c r="I1964" t="s">
        <v>80</v>
      </c>
      <c r="J1964" t="s">
        <v>2969</v>
      </c>
      <c r="K1964" t="s">
        <v>38</v>
      </c>
      <c r="L1964" t="s">
        <v>38</v>
      </c>
      <c r="M1964" t="s">
        <v>38</v>
      </c>
      <c r="N1964" t="s">
        <v>38</v>
      </c>
      <c r="O1964" t="s">
        <v>41</v>
      </c>
      <c r="P1964" t="s">
        <v>42</v>
      </c>
      <c r="Q1964" t="s">
        <v>43</v>
      </c>
      <c r="R1964" t="s">
        <v>2997</v>
      </c>
      <c r="S1964" t="s">
        <v>45</v>
      </c>
      <c r="T1964" t="s">
        <v>38</v>
      </c>
      <c r="U1964" t="s">
        <v>38</v>
      </c>
      <c r="V1964" t="s">
        <v>137</v>
      </c>
      <c r="W1964" t="s">
        <v>38</v>
      </c>
      <c r="X1964" t="s">
        <v>38</v>
      </c>
      <c r="Y1964" t="s">
        <v>38</v>
      </c>
      <c r="Z1964" t="s">
        <v>42</v>
      </c>
      <c r="AA1964" t="s">
        <v>38</v>
      </c>
      <c r="AB1964" t="s">
        <v>38</v>
      </c>
      <c r="AC1964" t="s">
        <v>45</v>
      </c>
      <c r="AD1964" t="s">
        <v>48</v>
      </c>
      <c r="AG1964" t="str">
        <f>IF(AD1964="United States", IFERROR(INDEX(Sheet2!$C:$C, MATCH(AE1964&amp;AF1964, Sheet2!$E:$E, 0)) &amp; ", " &amp; INDEX(Sheet2!$D:$D, MATCH(AE1964&amp;AF1964, Sheet2!$E:$E, 0)), ""), "-")</f>
        <v/>
      </c>
    </row>
    <row r="1965" spans="1:33" x14ac:dyDescent="0.25">
      <c r="A1965" t="s">
        <v>2966</v>
      </c>
      <c r="B1965" t="s">
        <v>3567</v>
      </c>
      <c r="C1965" t="s">
        <v>2968</v>
      </c>
      <c r="D1965" t="s">
        <v>132</v>
      </c>
      <c r="E1965" t="s">
        <v>275</v>
      </c>
      <c r="F1965">
        <v>1733</v>
      </c>
      <c r="G1965">
        <v>1599</v>
      </c>
      <c r="H1965" t="s">
        <v>2975</v>
      </c>
      <c r="I1965" t="s">
        <v>80</v>
      </c>
      <c r="J1965" t="s">
        <v>2969</v>
      </c>
      <c r="K1965" t="s">
        <v>38</v>
      </c>
      <c r="L1965" t="s">
        <v>38</v>
      </c>
      <c r="M1965" t="s">
        <v>38</v>
      </c>
      <c r="N1965" t="s">
        <v>38</v>
      </c>
      <c r="O1965" t="s">
        <v>41</v>
      </c>
      <c r="P1965" t="s">
        <v>42</v>
      </c>
      <c r="Q1965" t="s">
        <v>43</v>
      </c>
      <c r="R1965" t="s">
        <v>2452</v>
      </c>
      <c r="S1965" t="s">
        <v>45</v>
      </c>
      <c r="T1965" t="s">
        <v>89</v>
      </c>
      <c r="U1965" t="s">
        <v>2453</v>
      </c>
      <c r="V1965" t="s">
        <v>137</v>
      </c>
      <c r="W1965" t="s">
        <v>92</v>
      </c>
      <c r="X1965" t="s">
        <v>38</v>
      </c>
      <c r="Y1965" t="s">
        <v>38</v>
      </c>
      <c r="Z1965" t="s">
        <v>42</v>
      </c>
      <c r="AA1965" t="s">
        <v>1135</v>
      </c>
      <c r="AB1965" t="s">
        <v>38</v>
      </c>
      <c r="AC1965" t="s">
        <v>45</v>
      </c>
      <c r="AD1965" t="s">
        <v>48</v>
      </c>
      <c r="AG1965" t="str">
        <f>IF(AD1965="United States", IFERROR(INDEX(Sheet2!$C:$C, MATCH(AE1965&amp;AF1965, Sheet2!$E:$E, 0)) &amp; ", " &amp; INDEX(Sheet2!$D:$D, MATCH(AE1965&amp;AF1965, Sheet2!$E:$E, 0)), ""), "-")</f>
        <v/>
      </c>
    </row>
    <row r="1966" spans="1:33" x14ac:dyDescent="0.25">
      <c r="A1966" t="s">
        <v>2966</v>
      </c>
      <c r="B1966" t="s">
        <v>3568</v>
      </c>
      <c r="C1966" t="s">
        <v>2968</v>
      </c>
      <c r="D1966" t="s">
        <v>3569</v>
      </c>
      <c r="E1966" t="s">
        <v>275</v>
      </c>
      <c r="F1966">
        <v>1773</v>
      </c>
      <c r="G1966">
        <v>1598</v>
      </c>
      <c r="H1966" t="s">
        <v>38</v>
      </c>
      <c r="I1966" t="s">
        <v>80</v>
      </c>
      <c r="J1966" t="s">
        <v>2969</v>
      </c>
      <c r="K1966" t="s">
        <v>38</v>
      </c>
      <c r="L1966" t="s">
        <v>38</v>
      </c>
      <c r="M1966" t="s">
        <v>38</v>
      </c>
      <c r="N1966" t="s">
        <v>38</v>
      </c>
      <c r="O1966" t="s">
        <v>74</v>
      </c>
      <c r="P1966" t="s">
        <v>42</v>
      </c>
      <c r="Q1966" t="s">
        <v>43</v>
      </c>
      <c r="R1966" t="s">
        <v>1135</v>
      </c>
      <c r="S1966" t="s">
        <v>45</v>
      </c>
      <c r="T1966" t="s">
        <v>38</v>
      </c>
      <c r="U1966" t="s">
        <v>38</v>
      </c>
      <c r="V1966" t="s">
        <v>137</v>
      </c>
      <c r="W1966" t="s">
        <v>38</v>
      </c>
      <c r="X1966" t="s">
        <v>38</v>
      </c>
      <c r="Y1966" t="s">
        <v>38</v>
      </c>
      <c r="Z1966" t="s">
        <v>42</v>
      </c>
      <c r="AA1966" t="s">
        <v>1135</v>
      </c>
      <c r="AB1966" t="s">
        <v>38</v>
      </c>
      <c r="AC1966" t="s">
        <v>45</v>
      </c>
      <c r="AD1966" t="s">
        <v>48</v>
      </c>
      <c r="AG1966" t="str">
        <f>IF(AD1966="United States", IFERROR(INDEX(Sheet2!$C:$C, MATCH(AE1966&amp;AF1966, Sheet2!$E:$E, 0)) &amp; ", " &amp; INDEX(Sheet2!$D:$D, MATCH(AE1966&amp;AF1966, Sheet2!$E:$E, 0)), ""), "-")</f>
        <v/>
      </c>
    </row>
    <row r="1967" spans="1:33" x14ac:dyDescent="0.25">
      <c r="A1967" t="s">
        <v>2966</v>
      </c>
      <c r="B1967" t="s">
        <v>3570</v>
      </c>
      <c r="C1967" t="s">
        <v>2968</v>
      </c>
      <c r="D1967" t="s">
        <v>1840</v>
      </c>
      <c r="E1967" t="s">
        <v>3332</v>
      </c>
      <c r="F1967">
        <v>1759</v>
      </c>
      <c r="G1967">
        <v>1564</v>
      </c>
      <c r="H1967" t="s">
        <v>38</v>
      </c>
      <c r="I1967" t="s">
        <v>80</v>
      </c>
      <c r="J1967" t="s">
        <v>2969</v>
      </c>
      <c r="K1967" t="s">
        <v>38</v>
      </c>
      <c r="L1967" t="s">
        <v>38</v>
      </c>
      <c r="M1967" t="s">
        <v>38</v>
      </c>
      <c r="N1967" t="s">
        <v>38</v>
      </c>
      <c r="O1967" t="s">
        <v>57</v>
      </c>
      <c r="P1967" t="s">
        <v>42</v>
      </c>
      <c r="Q1967" t="s">
        <v>43</v>
      </c>
      <c r="R1967" t="s">
        <v>169</v>
      </c>
      <c r="S1967" t="s">
        <v>45</v>
      </c>
      <c r="T1967" t="s">
        <v>38</v>
      </c>
      <c r="U1967" t="s">
        <v>38</v>
      </c>
      <c r="V1967" t="s">
        <v>137</v>
      </c>
      <c r="W1967" t="s">
        <v>38</v>
      </c>
      <c r="X1967" t="s">
        <v>38</v>
      </c>
      <c r="Y1967" t="s">
        <v>38</v>
      </c>
      <c r="Z1967" t="s">
        <v>42</v>
      </c>
      <c r="AA1967" t="s">
        <v>169</v>
      </c>
      <c r="AB1967" t="s">
        <v>38</v>
      </c>
      <c r="AC1967" t="s">
        <v>45</v>
      </c>
      <c r="AD1967" t="s">
        <v>48</v>
      </c>
      <c r="AG1967" t="str">
        <f>IF(AD1967="United States", IFERROR(INDEX(Sheet2!$C:$C, MATCH(AE1967&amp;AF1967, Sheet2!$E:$E, 0)) &amp; ", " &amp; INDEX(Sheet2!$D:$D, MATCH(AE1967&amp;AF1967, Sheet2!$E:$E, 0)), ""), "-")</f>
        <v/>
      </c>
    </row>
    <row r="1968" spans="1:33" x14ac:dyDescent="0.25">
      <c r="A1968" t="s">
        <v>2966</v>
      </c>
      <c r="B1968" t="s">
        <v>3571</v>
      </c>
      <c r="C1968" t="s">
        <v>2968</v>
      </c>
      <c r="D1968" t="s">
        <v>3362</v>
      </c>
      <c r="E1968" t="s">
        <v>3332</v>
      </c>
      <c r="F1968">
        <v>1754</v>
      </c>
      <c r="G1968">
        <v>1563</v>
      </c>
      <c r="H1968" t="s">
        <v>38</v>
      </c>
      <c r="I1968" t="s">
        <v>80</v>
      </c>
      <c r="J1968" t="s">
        <v>2969</v>
      </c>
      <c r="K1968" t="s">
        <v>38</v>
      </c>
      <c r="L1968" t="s">
        <v>38</v>
      </c>
      <c r="M1968" t="s">
        <v>38</v>
      </c>
      <c r="N1968" t="s">
        <v>38</v>
      </c>
      <c r="O1968" t="s">
        <v>41</v>
      </c>
      <c r="P1968" t="s">
        <v>42</v>
      </c>
      <c r="Q1968" t="s">
        <v>43</v>
      </c>
      <c r="R1968" t="s">
        <v>169</v>
      </c>
      <c r="S1968" t="s">
        <v>45</v>
      </c>
      <c r="T1968" t="s">
        <v>38</v>
      </c>
      <c r="U1968" t="s">
        <v>38</v>
      </c>
      <c r="V1968" t="s">
        <v>137</v>
      </c>
      <c r="W1968" t="s">
        <v>38</v>
      </c>
      <c r="X1968" t="s">
        <v>38</v>
      </c>
      <c r="Y1968" t="s">
        <v>38</v>
      </c>
      <c r="Z1968" t="s">
        <v>42</v>
      </c>
      <c r="AA1968" t="s">
        <v>169</v>
      </c>
      <c r="AB1968" t="s">
        <v>38</v>
      </c>
      <c r="AC1968" t="s">
        <v>45</v>
      </c>
      <c r="AD1968" t="s">
        <v>48</v>
      </c>
      <c r="AG1968" t="str">
        <f>IF(AD1968="United States", IFERROR(INDEX(Sheet2!$C:$C, MATCH(AE1968&amp;AF1968, Sheet2!$E:$E, 0)) &amp; ", " &amp; INDEX(Sheet2!$D:$D, MATCH(AE1968&amp;AF1968, Sheet2!$E:$E, 0)), ""), "-")</f>
        <v/>
      </c>
    </row>
    <row r="1969" spans="1:33" x14ac:dyDescent="0.25">
      <c r="A1969" t="s">
        <v>2966</v>
      </c>
      <c r="B1969" t="s">
        <v>3572</v>
      </c>
      <c r="C1969" t="s">
        <v>2968</v>
      </c>
      <c r="D1969" t="s">
        <v>352</v>
      </c>
      <c r="E1969" t="s">
        <v>728</v>
      </c>
      <c r="F1969">
        <v>1750</v>
      </c>
      <c r="G1969">
        <v>1562</v>
      </c>
      <c r="H1969" t="s">
        <v>38</v>
      </c>
      <c r="I1969" t="s">
        <v>80</v>
      </c>
      <c r="J1969" t="s">
        <v>2969</v>
      </c>
      <c r="K1969" t="s">
        <v>38</v>
      </c>
      <c r="L1969" t="s">
        <v>38</v>
      </c>
      <c r="M1969" t="s">
        <v>38</v>
      </c>
      <c r="N1969" t="s">
        <v>38</v>
      </c>
      <c r="O1969" t="s">
        <v>57</v>
      </c>
      <c r="P1969" t="s">
        <v>42</v>
      </c>
      <c r="Q1969" t="s">
        <v>43</v>
      </c>
      <c r="R1969" t="s">
        <v>3573</v>
      </c>
      <c r="S1969" t="s">
        <v>153</v>
      </c>
      <c r="T1969" t="s">
        <v>38</v>
      </c>
      <c r="U1969" t="s">
        <v>38</v>
      </c>
      <c r="V1969" t="s">
        <v>137</v>
      </c>
      <c r="W1969" t="s">
        <v>38</v>
      </c>
      <c r="X1969" t="s">
        <v>38</v>
      </c>
      <c r="Y1969" t="s">
        <v>38</v>
      </c>
      <c r="Z1969" t="s">
        <v>42</v>
      </c>
      <c r="AA1969" t="s">
        <v>3573</v>
      </c>
      <c r="AB1969" t="s">
        <v>38</v>
      </c>
      <c r="AC1969" t="s">
        <v>153</v>
      </c>
      <c r="AD1969" t="s">
        <v>48</v>
      </c>
      <c r="AG1969" t="str">
        <f>IF(AD1969="United States", IFERROR(INDEX(Sheet2!$C:$C, MATCH(AE1969&amp;AF1969, Sheet2!$E:$E, 0)) &amp; ", " &amp; INDEX(Sheet2!$D:$D, MATCH(AE1969&amp;AF1969, Sheet2!$E:$E, 0)), ""), "-")</f>
        <v/>
      </c>
    </row>
    <row r="1970" spans="1:33" x14ac:dyDescent="0.25">
      <c r="A1970" t="s">
        <v>2966</v>
      </c>
      <c r="B1970" t="s">
        <v>3574</v>
      </c>
      <c r="C1970" t="s">
        <v>2968</v>
      </c>
      <c r="D1970" t="s">
        <v>3575</v>
      </c>
      <c r="E1970" t="s">
        <v>1492</v>
      </c>
      <c r="F1970">
        <v>1763</v>
      </c>
      <c r="G1970">
        <v>1561</v>
      </c>
      <c r="H1970" t="s">
        <v>38</v>
      </c>
      <c r="I1970" t="s">
        <v>80</v>
      </c>
      <c r="J1970" t="s">
        <v>2969</v>
      </c>
      <c r="K1970" t="s">
        <v>38</v>
      </c>
      <c r="L1970" t="s">
        <v>38</v>
      </c>
      <c r="M1970" t="s">
        <v>38</v>
      </c>
      <c r="N1970" t="s">
        <v>38</v>
      </c>
      <c r="O1970" t="s">
        <v>57</v>
      </c>
      <c r="P1970" t="s">
        <v>42</v>
      </c>
      <c r="Q1970" t="s">
        <v>43</v>
      </c>
      <c r="R1970" t="s">
        <v>169</v>
      </c>
      <c r="S1970" t="s">
        <v>45</v>
      </c>
      <c r="T1970" t="s">
        <v>38</v>
      </c>
      <c r="U1970" t="s">
        <v>38</v>
      </c>
      <c r="V1970" t="s">
        <v>137</v>
      </c>
      <c r="W1970" t="s">
        <v>38</v>
      </c>
      <c r="X1970" t="s">
        <v>38</v>
      </c>
      <c r="Y1970" t="s">
        <v>38</v>
      </c>
      <c r="Z1970" t="s">
        <v>42</v>
      </c>
      <c r="AA1970" t="s">
        <v>169</v>
      </c>
      <c r="AB1970" t="s">
        <v>38</v>
      </c>
      <c r="AC1970" t="s">
        <v>45</v>
      </c>
      <c r="AD1970" t="s">
        <v>48</v>
      </c>
      <c r="AG1970" t="str">
        <f>IF(AD1970="United States", IFERROR(INDEX(Sheet2!$C:$C, MATCH(AE1970&amp;AF1970, Sheet2!$E:$E, 0)) &amp; ", " &amp; INDEX(Sheet2!$D:$D, MATCH(AE1970&amp;AF1970, Sheet2!$E:$E, 0)), ""), "-")</f>
        <v/>
      </c>
    </row>
    <row r="1971" spans="1:33" x14ac:dyDescent="0.25">
      <c r="A1971" t="s">
        <v>2966</v>
      </c>
      <c r="B1971" t="s">
        <v>3576</v>
      </c>
      <c r="C1971" t="s">
        <v>2968</v>
      </c>
      <c r="D1971" t="s">
        <v>1230</v>
      </c>
      <c r="E1971" t="s">
        <v>3500</v>
      </c>
      <c r="F1971">
        <v>1757</v>
      </c>
      <c r="G1971">
        <v>1560</v>
      </c>
      <c r="H1971" t="s">
        <v>2977</v>
      </c>
      <c r="I1971" t="s">
        <v>80</v>
      </c>
      <c r="J1971" t="s">
        <v>2969</v>
      </c>
      <c r="K1971" t="s">
        <v>38</v>
      </c>
      <c r="L1971" t="s">
        <v>38</v>
      </c>
      <c r="M1971" t="s">
        <v>38</v>
      </c>
      <c r="N1971" t="s">
        <v>38</v>
      </c>
      <c r="O1971" t="s">
        <v>57</v>
      </c>
      <c r="P1971" t="s">
        <v>42</v>
      </c>
      <c r="Q1971" t="s">
        <v>43</v>
      </c>
      <c r="R1971" t="s">
        <v>2452</v>
      </c>
      <c r="S1971" t="s">
        <v>1063</v>
      </c>
      <c r="T1971" t="s">
        <v>89</v>
      </c>
      <c r="U1971" t="s">
        <v>2453</v>
      </c>
      <c r="V1971" t="s">
        <v>137</v>
      </c>
      <c r="W1971" t="s">
        <v>92</v>
      </c>
      <c r="X1971" t="s">
        <v>38</v>
      </c>
      <c r="Y1971" t="s">
        <v>38</v>
      </c>
      <c r="Z1971" t="s">
        <v>42</v>
      </c>
      <c r="AA1971" t="s">
        <v>3511</v>
      </c>
      <c r="AB1971" t="s">
        <v>38</v>
      </c>
      <c r="AC1971" t="s">
        <v>1063</v>
      </c>
      <c r="AD1971" t="s">
        <v>48</v>
      </c>
      <c r="AG1971" t="str">
        <f>IF(AD1971="United States", IFERROR(INDEX(Sheet2!$C:$C, MATCH(AE1971&amp;AF1971, Sheet2!$E:$E, 0)) &amp; ", " &amp; INDEX(Sheet2!$D:$D, MATCH(AE1971&amp;AF1971, Sheet2!$E:$E, 0)), ""), "-")</f>
        <v/>
      </c>
    </row>
    <row r="1972" spans="1:33" x14ac:dyDescent="0.25">
      <c r="A1972" t="s">
        <v>2966</v>
      </c>
      <c r="B1972" t="s">
        <v>3577</v>
      </c>
      <c r="C1972" t="s">
        <v>2968</v>
      </c>
      <c r="D1972" t="s">
        <v>3578</v>
      </c>
      <c r="E1972" t="s">
        <v>3500</v>
      </c>
      <c r="F1972">
        <v>1750</v>
      </c>
      <c r="G1972">
        <v>1559</v>
      </c>
      <c r="H1972" t="s">
        <v>38</v>
      </c>
      <c r="I1972" t="s">
        <v>80</v>
      </c>
      <c r="J1972" t="s">
        <v>2969</v>
      </c>
      <c r="K1972" t="s">
        <v>38</v>
      </c>
      <c r="L1972" t="s">
        <v>38</v>
      </c>
      <c r="M1972" t="s">
        <v>38</v>
      </c>
      <c r="N1972" t="s">
        <v>38</v>
      </c>
      <c r="O1972" t="s">
        <v>41</v>
      </c>
      <c r="P1972" t="s">
        <v>42</v>
      </c>
      <c r="Q1972" t="s">
        <v>43</v>
      </c>
      <c r="R1972" t="s">
        <v>3579</v>
      </c>
      <c r="S1972" t="s">
        <v>1063</v>
      </c>
      <c r="T1972" t="s">
        <v>38</v>
      </c>
      <c r="U1972" t="s">
        <v>38</v>
      </c>
      <c r="V1972" t="s">
        <v>137</v>
      </c>
      <c r="W1972" t="s">
        <v>38</v>
      </c>
      <c r="X1972" t="s">
        <v>38</v>
      </c>
      <c r="Y1972" t="s">
        <v>38</v>
      </c>
      <c r="Z1972" t="s">
        <v>42</v>
      </c>
      <c r="AA1972" t="s">
        <v>3511</v>
      </c>
      <c r="AB1972" t="s">
        <v>38</v>
      </c>
      <c r="AC1972" t="s">
        <v>1063</v>
      </c>
      <c r="AD1972" t="s">
        <v>48</v>
      </c>
      <c r="AG1972" t="str">
        <f>IF(AD1972="United States", IFERROR(INDEX(Sheet2!$C:$C, MATCH(AE1972&amp;AF1972, Sheet2!$E:$E, 0)) &amp; ", " &amp; INDEX(Sheet2!$D:$D, MATCH(AE1972&amp;AF1972, Sheet2!$E:$E, 0)), ""), "-")</f>
        <v/>
      </c>
    </row>
    <row r="1973" spans="1:33" x14ac:dyDescent="0.25">
      <c r="A1973" t="s">
        <v>2966</v>
      </c>
      <c r="B1973" t="s">
        <v>3580</v>
      </c>
      <c r="C1973" t="s">
        <v>2968</v>
      </c>
      <c r="D1973" t="s">
        <v>3581</v>
      </c>
      <c r="E1973" t="s">
        <v>1264</v>
      </c>
      <c r="F1973">
        <v>1757</v>
      </c>
      <c r="G1973">
        <v>1558</v>
      </c>
      <c r="H1973" t="s">
        <v>38</v>
      </c>
      <c r="I1973" t="s">
        <v>80</v>
      </c>
      <c r="J1973" t="s">
        <v>2969</v>
      </c>
      <c r="K1973" t="s">
        <v>38</v>
      </c>
      <c r="L1973" t="s">
        <v>38</v>
      </c>
      <c r="M1973" t="s">
        <v>38</v>
      </c>
      <c r="N1973" t="s">
        <v>38</v>
      </c>
      <c r="O1973" t="s">
        <v>74</v>
      </c>
      <c r="P1973" t="s">
        <v>42</v>
      </c>
      <c r="Q1973" t="s">
        <v>43</v>
      </c>
      <c r="R1973" t="s">
        <v>3582</v>
      </c>
      <c r="S1973" t="s">
        <v>45</v>
      </c>
      <c r="T1973" t="s">
        <v>38</v>
      </c>
      <c r="U1973" t="s">
        <v>38</v>
      </c>
      <c r="V1973" t="s">
        <v>137</v>
      </c>
      <c r="W1973" t="s">
        <v>38</v>
      </c>
      <c r="X1973" t="s">
        <v>38</v>
      </c>
      <c r="Y1973" t="s">
        <v>38</v>
      </c>
      <c r="Z1973" t="s">
        <v>42</v>
      </c>
      <c r="AA1973" t="s">
        <v>241</v>
      </c>
      <c r="AB1973" t="s">
        <v>38</v>
      </c>
      <c r="AC1973" t="s">
        <v>45</v>
      </c>
      <c r="AD1973" t="s">
        <v>48</v>
      </c>
      <c r="AG1973" t="str">
        <f>IF(AD1973="United States", IFERROR(INDEX(Sheet2!$C:$C, MATCH(AE1973&amp;AF1973, Sheet2!$E:$E, 0)) &amp; ", " &amp; INDEX(Sheet2!$D:$D, MATCH(AE1973&amp;AF1973, Sheet2!$E:$E, 0)), ""), "-")</f>
        <v/>
      </c>
    </row>
    <row r="1974" spans="1:33" x14ac:dyDescent="0.25">
      <c r="A1974" t="s">
        <v>2966</v>
      </c>
      <c r="B1974" t="s">
        <v>3583</v>
      </c>
      <c r="C1974" t="s">
        <v>2968</v>
      </c>
      <c r="D1974" t="s">
        <v>1491</v>
      </c>
      <c r="E1974" t="s">
        <v>1936</v>
      </c>
      <c r="F1974">
        <v>1756</v>
      </c>
      <c r="G1974">
        <v>1556</v>
      </c>
      <c r="H1974" t="s">
        <v>38</v>
      </c>
      <c r="I1974" t="s">
        <v>80</v>
      </c>
      <c r="J1974" t="s">
        <v>2969</v>
      </c>
      <c r="K1974" t="s">
        <v>38</v>
      </c>
      <c r="L1974" t="s">
        <v>38</v>
      </c>
      <c r="M1974" t="s">
        <v>38</v>
      </c>
      <c r="N1974" t="s">
        <v>38</v>
      </c>
      <c r="O1974" t="s">
        <v>41</v>
      </c>
      <c r="P1974" t="s">
        <v>42</v>
      </c>
      <c r="Q1974" t="s">
        <v>43</v>
      </c>
      <c r="R1974" t="s">
        <v>38</v>
      </c>
      <c r="S1974" t="s">
        <v>38</v>
      </c>
      <c r="T1974" t="s">
        <v>38</v>
      </c>
      <c r="U1974" t="s">
        <v>38</v>
      </c>
      <c r="V1974" t="s">
        <v>137</v>
      </c>
      <c r="W1974" t="s">
        <v>38</v>
      </c>
      <c r="X1974" t="s">
        <v>38</v>
      </c>
      <c r="Y1974" t="s">
        <v>38</v>
      </c>
      <c r="Z1974" t="s">
        <v>42</v>
      </c>
      <c r="AA1974" t="s">
        <v>38</v>
      </c>
      <c r="AB1974" t="s">
        <v>38</v>
      </c>
      <c r="AC1974" t="s">
        <v>1813</v>
      </c>
      <c r="AD1974" t="s">
        <v>48</v>
      </c>
      <c r="AG1974" t="str">
        <f>IF(AD1974="United States", IFERROR(INDEX(Sheet2!$C:$C, MATCH(AE1974&amp;AF1974, Sheet2!$E:$E, 0)) &amp; ", " &amp; INDEX(Sheet2!$D:$D, MATCH(AE1974&amp;AF1974, Sheet2!$E:$E, 0)), ""), "-")</f>
        <v/>
      </c>
    </row>
    <row r="1975" spans="1:33" x14ac:dyDescent="0.25">
      <c r="A1975" t="s">
        <v>2966</v>
      </c>
      <c r="B1975" t="s">
        <v>3584</v>
      </c>
      <c r="C1975" t="s">
        <v>2968</v>
      </c>
      <c r="D1975" t="s">
        <v>352</v>
      </c>
      <c r="E1975" t="s">
        <v>1936</v>
      </c>
      <c r="F1975">
        <v>1760</v>
      </c>
      <c r="G1975">
        <v>1555</v>
      </c>
      <c r="H1975" t="s">
        <v>38</v>
      </c>
      <c r="I1975" t="s">
        <v>80</v>
      </c>
      <c r="J1975" t="s">
        <v>2969</v>
      </c>
      <c r="K1975" t="s">
        <v>38</v>
      </c>
      <c r="L1975" t="s">
        <v>38</v>
      </c>
      <c r="M1975" t="s">
        <v>162</v>
      </c>
      <c r="N1975" t="s">
        <v>275</v>
      </c>
      <c r="O1975" t="s">
        <v>74</v>
      </c>
      <c r="P1975" t="s">
        <v>42</v>
      </c>
      <c r="Q1975" t="s">
        <v>43</v>
      </c>
      <c r="R1975" t="s">
        <v>38</v>
      </c>
      <c r="S1975" t="s">
        <v>89</v>
      </c>
      <c r="T1975" t="s">
        <v>38</v>
      </c>
      <c r="U1975" t="s">
        <v>38</v>
      </c>
      <c r="V1975" t="s">
        <v>137</v>
      </c>
      <c r="W1975" t="s">
        <v>38</v>
      </c>
      <c r="X1975" t="s">
        <v>38</v>
      </c>
      <c r="Y1975" t="s">
        <v>38</v>
      </c>
      <c r="Z1975" t="s">
        <v>42</v>
      </c>
      <c r="AA1975" t="s">
        <v>38</v>
      </c>
      <c r="AB1975" t="s">
        <v>38</v>
      </c>
      <c r="AC1975" t="s">
        <v>89</v>
      </c>
      <c r="AD1975" t="s">
        <v>48</v>
      </c>
      <c r="AG1975" t="str">
        <f>IF(AD1975="United States", IFERROR(INDEX(Sheet2!$C:$C, MATCH(AE1975&amp;AF1975, Sheet2!$E:$E, 0)) &amp; ", " &amp; INDEX(Sheet2!$D:$D, MATCH(AE1975&amp;AF1975, Sheet2!$E:$E, 0)), ""), "-")</f>
        <v/>
      </c>
    </row>
    <row r="1976" spans="1:33" x14ac:dyDescent="0.25">
      <c r="A1976" t="s">
        <v>2966</v>
      </c>
      <c r="B1976" t="s">
        <v>3585</v>
      </c>
      <c r="C1976" t="s">
        <v>2968</v>
      </c>
      <c r="D1976" t="s">
        <v>2041</v>
      </c>
      <c r="E1976" t="s">
        <v>3586</v>
      </c>
      <c r="F1976">
        <v>1750</v>
      </c>
      <c r="G1976">
        <v>1554</v>
      </c>
      <c r="H1976" t="s">
        <v>38</v>
      </c>
      <c r="I1976" t="s">
        <v>80</v>
      </c>
      <c r="J1976" t="s">
        <v>2969</v>
      </c>
      <c r="K1976" t="s">
        <v>38</v>
      </c>
      <c r="L1976" t="s">
        <v>38</v>
      </c>
      <c r="M1976" t="s">
        <v>38</v>
      </c>
      <c r="N1976" t="s">
        <v>38</v>
      </c>
      <c r="O1976" t="s">
        <v>41</v>
      </c>
      <c r="P1976" t="s">
        <v>42</v>
      </c>
      <c r="Q1976" t="s">
        <v>43</v>
      </c>
      <c r="R1976" t="s">
        <v>3587</v>
      </c>
      <c r="S1976" t="s">
        <v>201</v>
      </c>
      <c r="T1976" t="s">
        <v>38</v>
      </c>
      <c r="U1976" t="s">
        <v>38</v>
      </c>
      <c r="V1976" t="s">
        <v>137</v>
      </c>
      <c r="W1976" t="s">
        <v>38</v>
      </c>
      <c r="X1976" t="s">
        <v>38</v>
      </c>
      <c r="Y1976" t="s">
        <v>38</v>
      </c>
      <c r="Z1976" t="s">
        <v>42</v>
      </c>
      <c r="AA1976" t="s">
        <v>3587</v>
      </c>
      <c r="AB1976" t="s">
        <v>38</v>
      </c>
      <c r="AC1976" t="s">
        <v>201</v>
      </c>
      <c r="AD1976" t="s">
        <v>48</v>
      </c>
      <c r="AG1976" t="str">
        <f>IF(AD1976="United States", IFERROR(INDEX(Sheet2!$C:$C, MATCH(AE1976&amp;AF1976, Sheet2!$E:$E, 0)) &amp; ", " &amp; INDEX(Sheet2!$D:$D, MATCH(AE1976&amp;AF1976, Sheet2!$E:$E, 0)), ""), "-")</f>
        <v/>
      </c>
    </row>
    <row r="1977" spans="1:33" x14ac:dyDescent="0.25">
      <c r="A1977" t="s">
        <v>2966</v>
      </c>
      <c r="B1977" t="s">
        <v>3588</v>
      </c>
      <c r="C1977" t="s">
        <v>2968</v>
      </c>
      <c r="D1977" t="s">
        <v>626</v>
      </c>
      <c r="E1977" t="s">
        <v>629</v>
      </c>
      <c r="F1977">
        <v>1764</v>
      </c>
      <c r="G1977">
        <v>1553</v>
      </c>
      <c r="H1977" t="s">
        <v>38</v>
      </c>
      <c r="I1977" t="s">
        <v>80</v>
      </c>
      <c r="J1977" t="s">
        <v>2969</v>
      </c>
      <c r="K1977" t="s">
        <v>38</v>
      </c>
      <c r="L1977" t="s">
        <v>38</v>
      </c>
      <c r="M1977" t="s">
        <v>38</v>
      </c>
      <c r="N1977" t="s">
        <v>38</v>
      </c>
      <c r="O1977" t="s">
        <v>41</v>
      </c>
      <c r="P1977" t="s">
        <v>42</v>
      </c>
      <c r="Q1977" t="s">
        <v>43</v>
      </c>
      <c r="R1977" t="s">
        <v>3589</v>
      </c>
      <c r="S1977" t="s">
        <v>45</v>
      </c>
      <c r="T1977" t="s">
        <v>38</v>
      </c>
      <c r="U1977" t="s">
        <v>38</v>
      </c>
      <c r="V1977" t="s">
        <v>137</v>
      </c>
      <c r="W1977" t="s">
        <v>38</v>
      </c>
      <c r="X1977" t="s">
        <v>38</v>
      </c>
      <c r="Y1977" t="s">
        <v>38</v>
      </c>
      <c r="Z1977" t="s">
        <v>42</v>
      </c>
      <c r="AA1977" t="s">
        <v>3589</v>
      </c>
      <c r="AB1977" t="s">
        <v>38</v>
      </c>
      <c r="AC1977" t="s">
        <v>45</v>
      </c>
      <c r="AD1977" t="s">
        <v>48</v>
      </c>
      <c r="AG1977" t="str">
        <f>IF(AD1977="United States", IFERROR(INDEX(Sheet2!$C:$C, MATCH(AE1977&amp;AF1977, Sheet2!$E:$E, 0)) &amp; ", " &amp; INDEX(Sheet2!$D:$D, MATCH(AE1977&amp;AF1977, Sheet2!$E:$E, 0)), ""), "-")</f>
        <v/>
      </c>
    </row>
    <row r="1978" spans="1:33" x14ac:dyDescent="0.25">
      <c r="A1978" t="s">
        <v>2966</v>
      </c>
      <c r="B1978" t="s">
        <v>3590</v>
      </c>
      <c r="C1978" t="s">
        <v>2968</v>
      </c>
      <c r="D1978" t="s">
        <v>195</v>
      </c>
      <c r="E1978" t="s">
        <v>3591</v>
      </c>
      <c r="F1978">
        <v>1764</v>
      </c>
      <c r="G1978">
        <v>1552</v>
      </c>
      <c r="H1978" t="s">
        <v>2975</v>
      </c>
      <c r="I1978" t="s">
        <v>80</v>
      </c>
      <c r="J1978" t="s">
        <v>2969</v>
      </c>
      <c r="K1978" t="s">
        <v>38</v>
      </c>
      <c r="L1978" t="s">
        <v>38</v>
      </c>
      <c r="M1978" t="s">
        <v>38</v>
      </c>
      <c r="N1978" t="s">
        <v>38</v>
      </c>
      <c r="O1978" t="s">
        <v>41</v>
      </c>
      <c r="P1978" t="s">
        <v>42</v>
      </c>
      <c r="Q1978" t="s">
        <v>43</v>
      </c>
      <c r="R1978" t="s">
        <v>2452</v>
      </c>
      <c r="S1978" t="s">
        <v>45</v>
      </c>
      <c r="T1978" t="s">
        <v>89</v>
      </c>
      <c r="U1978" t="s">
        <v>2453</v>
      </c>
      <c r="V1978" t="s">
        <v>137</v>
      </c>
      <c r="W1978" t="s">
        <v>92</v>
      </c>
      <c r="X1978" t="s">
        <v>38</v>
      </c>
      <c r="Y1978" t="s">
        <v>38</v>
      </c>
      <c r="Z1978" t="s">
        <v>42</v>
      </c>
      <c r="AA1978" t="s">
        <v>2154</v>
      </c>
      <c r="AB1978" t="s">
        <v>38</v>
      </c>
      <c r="AC1978" t="s">
        <v>45</v>
      </c>
      <c r="AD1978" t="s">
        <v>48</v>
      </c>
      <c r="AG1978" t="str">
        <f>IF(AD1978="United States", IFERROR(INDEX(Sheet2!$C:$C, MATCH(AE1978&amp;AF1978, Sheet2!$E:$E, 0)) &amp; ", " &amp; INDEX(Sheet2!$D:$D, MATCH(AE1978&amp;AF1978, Sheet2!$E:$E, 0)), ""), "-")</f>
        <v/>
      </c>
    </row>
    <row r="1979" spans="1:33" x14ac:dyDescent="0.25">
      <c r="A1979" t="s">
        <v>2966</v>
      </c>
      <c r="B1979" t="s">
        <v>3592</v>
      </c>
      <c r="C1979" t="s">
        <v>2968</v>
      </c>
      <c r="D1979" t="s">
        <v>200</v>
      </c>
      <c r="E1979" t="s">
        <v>3593</v>
      </c>
      <c r="F1979">
        <v>1751</v>
      </c>
      <c r="G1979">
        <v>1551</v>
      </c>
      <c r="H1979" t="s">
        <v>2975</v>
      </c>
      <c r="I1979" t="s">
        <v>80</v>
      </c>
      <c r="J1979" t="s">
        <v>2969</v>
      </c>
      <c r="K1979" t="s">
        <v>38</v>
      </c>
      <c r="L1979" t="s">
        <v>38</v>
      </c>
      <c r="M1979" t="s">
        <v>38</v>
      </c>
      <c r="N1979" t="s">
        <v>38</v>
      </c>
      <c r="O1979" t="s">
        <v>41</v>
      </c>
      <c r="P1979" t="s">
        <v>42</v>
      </c>
      <c r="Q1979" t="s">
        <v>43</v>
      </c>
      <c r="R1979" t="s">
        <v>2452</v>
      </c>
      <c r="S1979" t="s">
        <v>201</v>
      </c>
      <c r="T1979" t="s">
        <v>89</v>
      </c>
      <c r="U1979" t="s">
        <v>2453</v>
      </c>
      <c r="V1979" t="s">
        <v>137</v>
      </c>
      <c r="W1979" t="s">
        <v>92</v>
      </c>
      <c r="X1979" t="s">
        <v>38</v>
      </c>
      <c r="Y1979" t="s">
        <v>38</v>
      </c>
      <c r="Z1979" t="s">
        <v>42</v>
      </c>
      <c r="AA1979" t="s">
        <v>38</v>
      </c>
      <c r="AB1979" t="s">
        <v>38</v>
      </c>
      <c r="AC1979" t="s">
        <v>201</v>
      </c>
      <c r="AD1979" t="s">
        <v>48</v>
      </c>
      <c r="AG1979" t="str">
        <f>IF(AD1979="United States", IFERROR(INDEX(Sheet2!$C:$C, MATCH(AE1979&amp;AF1979, Sheet2!$E:$E, 0)) &amp; ", " &amp; INDEX(Sheet2!$D:$D, MATCH(AE1979&amp;AF1979, Sheet2!$E:$E, 0)), ""), "-")</f>
        <v/>
      </c>
    </row>
    <row r="1980" spans="1:33" x14ac:dyDescent="0.25">
      <c r="A1980" t="s">
        <v>2966</v>
      </c>
      <c r="B1980" t="s">
        <v>3594</v>
      </c>
      <c r="C1980" t="s">
        <v>2968</v>
      </c>
      <c r="D1980" t="s">
        <v>226</v>
      </c>
      <c r="E1980" t="s">
        <v>2955</v>
      </c>
      <c r="F1980">
        <v>1728</v>
      </c>
      <c r="G1980">
        <v>1565</v>
      </c>
      <c r="H1980" t="s">
        <v>2977</v>
      </c>
      <c r="I1980" t="s">
        <v>80</v>
      </c>
      <c r="J1980" t="s">
        <v>2969</v>
      </c>
      <c r="K1980" t="s">
        <v>38</v>
      </c>
      <c r="L1980" t="s">
        <v>38</v>
      </c>
      <c r="M1980" t="s">
        <v>38</v>
      </c>
      <c r="N1980" t="s">
        <v>38</v>
      </c>
      <c r="O1980" t="s">
        <v>41</v>
      </c>
      <c r="P1980" t="s">
        <v>42</v>
      </c>
      <c r="Q1980" t="s">
        <v>43</v>
      </c>
      <c r="R1980" t="s">
        <v>2452</v>
      </c>
      <c r="S1980" t="s">
        <v>45</v>
      </c>
      <c r="T1980" t="s">
        <v>89</v>
      </c>
      <c r="U1980" t="s">
        <v>2453</v>
      </c>
      <c r="V1980" t="s">
        <v>137</v>
      </c>
      <c r="W1980" t="s">
        <v>92</v>
      </c>
      <c r="X1980" t="s">
        <v>38</v>
      </c>
      <c r="Y1980" t="s">
        <v>38</v>
      </c>
      <c r="Z1980" t="s">
        <v>42</v>
      </c>
      <c r="AA1980" t="s">
        <v>169</v>
      </c>
      <c r="AB1980" t="s">
        <v>38</v>
      </c>
      <c r="AC1980" t="s">
        <v>45</v>
      </c>
      <c r="AD1980" t="s">
        <v>48</v>
      </c>
      <c r="AG1980" t="str">
        <f>IF(AD1980="United States", IFERROR(INDEX(Sheet2!$C:$C, MATCH(AE1980&amp;AF1980, Sheet2!$E:$E, 0)) &amp; ", " &amp; INDEX(Sheet2!$D:$D, MATCH(AE1980&amp;AF1980, Sheet2!$E:$E, 0)), ""), "-")</f>
        <v/>
      </c>
    </row>
    <row r="1981" spans="1:33" x14ac:dyDescent="0.25">
      <c r="A1981" t="s">
        <v>2966</v>
      </c>
      <c r="B1981" t="s">
        <v>3311</v>
      </c>
      <c r="C1981" t="s">
        <v>3125</v>
      </c>
      <c r="D1981" t="s">
        <v>1422</v>
      </c>
      <c r="E1981" t="s">
        <v>3312</v>
      </c>
      <c r="F1981">
        <v>1751</v>
      </c>
      <c r="G1981">
        <v>1336</v>
      </c>
      <c r="H1981" t="s">
        <v>38</v>
      </c>
      <c r="I1981" t="s">
        <v>80</v>
      </c>
      <c r="J1981" t="s">
        <v>3126</v>
      </c>
      <c r="K1981" t="s">
        <v>38</v>
      </c>
      <c r="L1981" t="s">
        <v>38</v>
      </c>
      <c r="M1981" t="s">
        <v>38</v>
      </c>
      <c r="N1981" t="s">
        <v>38</v>
      </c>
      <c r="O1981" t="s">
        <v>41</v>
      </c>
      <c r="P1981" t="s">
        <v>42</v>
      </c>
      <c r="Q1981" t="s">
        <v>43</v>
      </c>
      <c r="R1981" t="s">
        <v>38</v>
      </c>
      <c r="S1981" t="s">
        <v>38</v>
      </c>
      <c r="T1981" t="s">
        <v>38</v>
      </c>
      <c r="U1981" t="s">
        <v>38</v>
      </c>
      <c r="V1981" t="s">
        <v>137</v>
      </c>
      <c r="W1981" t="s">
        <v>38</v>
      </c>
      <c r="X1981" t="s">
        <v>38</v>
      </c>
      <c r="Y1981" t="s">
        <v>38</v>
      </c>
      <c r="Z1981" t="s">
        <v>42</v>
      </c>
      <c r="AA1981" t="s">
        <v>38</v>
      </c>
      <c r="AB1981" t="s">
        <v>38</v>
      </c>
      <c r="AC1981" t="s">
        <v>593</v>
      </c>
      <c r="AD1981" t="s">
        <v>48</v>
      </c>
      <c r="AG1981" t="str">
        <f>IF(AD1981="United States", IFERROR(INDEX(Sheet2!$C:$C, MATCH(AE1981&amp;AF1981, Sheet2!$E:$E, 0)) &amp; ", " &amp; INDEX(Sheet2!$D:$D, MATCH(AE1981&amp;AF1981, Sheet2!$E:$E, 0)), ""), "-")</f>
        <v/>
      </c>
    </row>
    <row r="1982" spans="1:33" x14ac:dyDescent="0.25">
      <c r="A1982" t="s">
        <v>2966</v>
      </c>
      <c r="B1982" t="s">
        <v>3461</v>
      </c>
      <c r="C1982" t="s">
        <v>3125</v>
      </c>
      <c r="D1982" t="s">
        <v>807</v>
      </c>
      <c r="E1982" t="s">
        <v>728</v>
      </c>
      <c r="F1982">
        <v>1741</v>
      </c>
      <c r="G1982">
        <v>1320</v>
      </c>
      <c r="H1982" t="s">
        <v>38</v>
      </c>
      <c r="I1982" t="s">
        <v>80</v>
      </c>
      <c r="J1982" t="s">
        <v>3126</v>
      </c>
      <c r="K1982" t="s">
        <v>38</v>
      </c>
      <c r="L1982" t="s">
        <v>38</v>
      </c>
      <c r="M1982" t="s">
        <v>38</v>
      </c>
      <c r="N1982" t="s">
        <v>38</v>
      </c>
      <c r="O1982" t="s">
        <v>41</v>
      </c>
      <c r="P1982" t="s">
        <v>42</v>
      </c>
      <c r="Q1982" t="s">
        <v>43</v>
      </c>
      <c r="R1982" t="s">
        <v>3462</v>
      </c>
      <c r="S1982" t="s">
        <v>45</v>
      </c>
      <c r="T1982" t="s">
        <v>38</v>
      </c>
      <c r="U1982" t="s">
        <v>38</v>
      </c>
      <c r="V1982" t="s">
        <v>137</v>
      </c>
      <c r="W1982" t="s">
        <v>38</v>
      </c>
      <c r="X1982" t="s">
        <v>38</v>
      </c>
      <c r="Y1982" t="s">
        <v>38</v>
      </c>
      <c r="Z1982" t="s">
        <v>42</v>
      </c>
      <c r="AA1982" t="s">
        <v>3463</v>
      </c>
      <c r="AB1982" t="s">
        <v>38</v>
      </c>
      <c r="AC1982" t="s">
        <v>45</v>
      </c>
      <c r="AD1982" t="s">
        <v>48</v>
      </c>
      <c r="AG1982" t="str">
        <f>IF(AD1982="United States", IFERROR(INDEX(Sheet2!$C:$C, MATCH(AE1982&amp;AF1982, Sheet2!$E:$E, 0)) &amp; ", " &amp; INDEX(Sheet2!$D:$D, MATCH(AE1982&amp;AF1982, Sheet2!$E:$E, 0)), ""), "-")</f>
        <v/>
      </c>
    </row>
    <row r="1983" spans="1:33" x14ac:dyDescent="0.25">
      <c r="A1983" t="s">
        <v>2966</v>
      </c>
      <c r="B1983" t="s">
        <v>3309</v>
      </c>
      <c r="C1983" t="s">
        <v>3125</v>
      </c>
      <c r="D1983" t="s">
        <v>140</v>
      </c>
      <c r="E1983" t="s">
        <v>492</v>
      </c>
      <c r="F1983">
        <v>1780</v>
      </c>
      <c r="G1983">
        <v>1334</v>
      </c>
      <c r="H1983" t="s">
        <v>2975</v>
      </c>
      <c r="I1983" t="s">
        <v>80</v>
      </c>
      <c r="J1983" t="s">
        <v>3126</v>
      </c>
      <c r="K1983" t="s">
        <v>38</v>
      </c>
      <c r="L1983" t="s">
        <v>38</v>
      </c>
      <c r="M1983" t="s">
        <v>38</v>
      </c>
      <c r="N1983" t="s">
        <v>38</v>
      </c>
      <c r="O1983" t="s">
        <v>54</v>
      </c>
      <c r="P1983" t="s">
        <v>42</v>
      </c>
      <c r="Q1983" t="s">
        <v>43</v>
      </c>
      <c r="R1983" t="s">
        <v>2452</v>
      </c>
      <c r="S1983" t="s">
        <v>38</v>
      </c>
      <c r="T1983" t="s">
        <v>89</v>
      </c>
      <c r="U1983" t="s">
        <v>2453</v>
      </c>
      <c r="V1983" t="s">
        <v>137</v>
      </c>
      <c r="W1983" t="s">
        <v>92</v>
      </c>
      <c r="X1983" t="s">
        <v>38</v>
      </c>
      <c r="Y1983" t="s">
        <v>38</v>
      </c>
      <c r="Z1983" t="s">
        <v>42</v>
      </c>
      <c r="AA1983" t="s">
        <v>38</v>
      </c>
      <c r="AB1983" t="s">
        <v>38</v>
      </c>
      <c r="AC1983" t="s">
        <v>38</v>
      </c>
      <c r="AD1983" t="s">
        <v>48</v>
      </c>
      <c r="AG1983" t="str">
        <f>IF(AD1983="United States", IFERROR(INDEX(Sheet2!$C:$C, MATCH(AE1983&amp;AF1983, Sheet2!$E:$E, 0)) &amp; ", " &amp; INDEX(Sheet2!$D:$D, MATCH(AE1983&amp;AF1983, Sheet2!$E:$E, 0)), ""), "-")</f>
        <v/>
      </c>
    </row>
    <row r="1984" spans="1:33" x14ac:dyDescent="0.25">
      <c r="A1984" t="s">
        <v>2966</v>
      </c>
      <c r="B1984" t="s">
        <v>3307</v>
      </c>
      <c r="C1984" t="s">
        <v>3125</v>
      </c>
      <c r="D1984" t="s">
        <v>222</v>
      </c>
      <c r="E1984" t="s">
        <v>3308</v>
      </c>
      <c r="F1984">
        <v>1757</v>
      </c>
      <c r="G1984">
        <v>1333</v>
      </c>
      <c r="H1984" t="s">
        <v>38</v>
      </c>
      <c r="I1984" t="s">
        <v>80</v>
      </c>
      <c r="J1984" t="s">
        <v>3126</v>
      </c>
      <c r="K1984" t="s">
        <v>38</v>
      </c>
      <c r="L1984" t="s">
        <v>38</v>
      </c>
      <c r="M1984" t="s">
        <v>38</v>
      </c>
      <c r="N1984" t="s">
        <v>38</v>
      </c>
      <c r="O1984" t="s">
        <v>57</v>
      </c>
      <c r="P1984" t="s">
        <v>42</v>
      </c>
      <c r="Q1984" t="s">
        <v>43</v>
      </c>
      <c r="R1984" t="s">
        <v>38</v>
      </c>
      <c r="S1984" t="s">
        <v>89</v>
      </c>
      <c r="T1984" t="s">
        <v>38</v>
      </c>
      <c r="U1984" t="s">
        <v>38</v>
      </c>
      <c r="V1984" t="s">
        <v>137</v>
      </c>
      <c r="W1984" t="s">
        <v>38</v>
      </c>
      <c r="X1984" t="s">
        <v>38</v>
      </c>
      <c r="Y1984" t="s">
        <v>38</v>
      </c>
      <c r="Z1984" t="s">
        <v>42</v>
      </c>
      <c r="AA1984" t="s">
        <v>38</v>
      </c>
      <c r="AB1984" t="s">
        <v>38</v>
      </c>
      <c r="AC1984" t="s">
        <v>89</v>
      </c>
      <c r="AD1984" t="s">
        <v>48</v>
      </c>
      <c r="AG1984" t="str">
        <f>IF(AD1984="United States", IFERROR(INDEX(Sheet2!$C:$C, MATCH(AE1984&amp;AF1984, Sheet2!$E:$E, 0)) &amp; ", " &amp; INDEX(Sheet2!$D:$D, MATCH(AE1984&amp;AF1984, Sheet2!$E:$E, 0)), ""), "-")</f>
        <v/>
      </c>
    </row>
    <row r="1985" spans="1:33" x14ac:dyDescent="0.25">
      <c r="A1985" t="s">
        <v>2966</v>
      </c>
      <c r="B1985" t="s">
        <v>3464</v>
      </c>
      <c r="C1985" t="s">
        <v>3125</v>
      </c>
      <c r="D1985" t="s">
        <v>945</v>
      </c>
      <c r="E1985" t="s">
        <v>368</v>
      </c>
      <c r="F1985">
        <v>1760</v>
      </c>
      <c r="G1985">
        <v>1321</v>
      </c>
      <c r="H1985" t="s">
        <v>38</v>
      </c>
      <c r="I1985" t="s">
        <v>80</v>
      </c>
      <c r="J1985" t="s">
        <v>3126</v>
      </c>
      <c r="K1985" t="s">
        <v>38</v>
      </c>
      <c r="L1985" t="s">
        <v>38</v>
      </c>
      <c r="M1985" t="s">
        <v>38</v>
      </c>
      <c r="N1985" t="s">
        <v>38</v>
      </c>
      <c r="O1985" t="s">
        <v>41</v>
      </c>
      <c r="P1985" t="s">
        <v>42</v>
      </c>
      <c r="Q1985" t="s">
        <v>43</v>
      </c>
      <c r="R1985" t="s">
        <v>3465</v>
      </c>
      <c r="S1985" t="s">
        <v>45</v>
      </c>
      <c r="T1985" t="s">
        <v>38</v>
      </c>
      <c r="U1985" t="s">
        <v>38</v>
      </c>
      <c r="V1985" t="s">
        <v>137</v>
      </c>
      <c r="W1985" t="s">
        <v>38</v>
      </c>
      <c r="X1985" t="s">
        <v>38</v>
      </c>
      <c r="Y1985" t="s">
        <v>38</v>
      </c>
      <c r="Z1985" t="s">
        <v>42</v>
      </c>
      <c r="AA1985" t="s">
        <v>241</v>
      </c>
      <c r="AB1985" t="s">
        <v>38</v>
      </c>
      <c r="AC1985" t="s">
        <v>45</v>
      </c>
      <c r="AD1985" t="s">
        <v>48</v>
      </c>
      <c r="AG1985" t="str">
        <f>IF(AD1985="United States", IFERROR(INDEX(Sheet2!$C:$C, MATCH(AE1985&amp;AF1985, Sheet2!$E:$E, 0)) &amp; ", " &amp; INDEX(Sheet2!$D:$D, MATCH(AE1985&amp;AF1985, Sheet2!$E:$E, 0)), ""), "-")</f>
        <v/>
      </c>
    </row>
    <row r="1986" spans="1:33" x14ac:dyDescent="0.25">
      <c r="A1986" t="s">
        <v>2966</v>
      </c>
      <c r="B1986" t="s">
        <v>3306</v>
      </c>
      <c r="C1986" t="s">
        <v>3125</v>
      </c>
      <c r="D1986" t="s">
        <v>991</v>
      </c>
      <c r="E1986" t="s">
        <v>492</v>
      </c>
      <c r="F1986">
        <v>1753</v>
      </c>
      <c r="G1986">
        <v>1332</v>
      </c>
      <c r="H1986" t="s">
        <v>38</v>
      </c>
      <c r="I1986" t="s">
        <v>80</v>
      </c>
      <c r="J1986" t="s">
        <v>3126</v>
      </c>
      <c r="K1986" t="s">
        <v>38</v>
      </c>
      <c r="L1986" t="s">
        <v>38</v>
      </c>
      <c r="M1986" t="s">
        <v>38</v>
      </c>
      <c r="N1986" t="s">
        <v>38</v>
      </c>
      <c r="O1986" t="s">
        <v>41</v>
      </c>
      <c r="P1986" t="s">
        <v>42</v>
      </c>
      <c r="Q1986" t="s">
        <v>43</v>
      </c>
      <c r="R1986" t="s">
        <v>38</v>
      </c>
      <c r="S1986" t="s">
        <v>89</v>
      </c>
      <c r="T1986" t="s">
        <v>38</v>
      </c>
      <c r="U1986" t="s">
        <v>38</v>
      </c>
      <c r="V1986" t="s">
        <v>137</v>
      </c>
      <c r="W1986" t="s">
        <v>38</v>
      </c>
      <c r="X1986" t="s">
        <v>38</v>
      </c>
      <c r="Y1986" t="s">
        <v>38</v>
      </c>
      <c r="Z1986" t="s">
        <v>42</v>
      </c>
      <c r="AA1986" t="s">
        <v>1303</v>
      </c>
      <c r="AB1986" t="s">
        <v>38</v>
      </c>
      <c r="AC1986" t="s">
        <v>89</v>
      </c>
      <c r="AD1986" t="s">
        <v>48</v>
      </c>
      <c r="AG1986" t="str">
        <f>IF(AD1986="United States", IFERROR(INDEX(Sheet2!$C:$C, MATCH(AE1986&amp;AF1986, Sheet2!$E:$E, 0)) &amp; ", " &amp; INDEX(Sheet2!$D:$D, MATCH(AE1986&amp;AF1986, Sheet2!$E:$E, 0)), ""), "-")</f>
        <v/>
      </c>
    </row>
    <row r="1987" spans="1:33" x14ac:dyDescent="0.25">
      <c r="A1987" t="s">
        <v>2966</v>
      </c>
      <c r="B1987" t="s">
        <v>3466</v>
      </c>
      <c r="C1987" t="s">
        <v>3125</v>
      </c>
      <c r="D1987" t="s">
        <v>1964</v>
      </c>
      <c r="E1987" t="s">
        <v>368</v>
      </c>
      <c r="F1987">
        <v>1763</v>
      </c>
      <c r="G1987">
        <v>1322</v>
      </c>
      <c r="H1987" t="s">
        <v>38</v>
      </c>
      <c r="I1987" t="s">
        <v>80</v>
      </c>
      <c r="J1987" t="s">
        <v>3126</v>
      </c>
      <c r="K1987" t="s">
        <v>38</v>
      </c>
      <c r="L1987" t="s">
        <v>38</v>
      </c>
      <c r="M1987" t="s">
        <v>38</v>
      </c>
      <c r="N1987" t="s">
        <v>38</v>
      </c>
      <c r="O1987" t="s">
        <v>57</v>
      </c>
      <c r="P1987" t="s">
        <v>42</v>
      </c>
      <c r="Q1987" t="s">
        <v>43</v>
      </c>
      <c r="R1987" t="s">
        <v>3467</v>
      </c>
      <c r="S1987" t="s">
        <v>153</v>
      </c>
      <c r="T1987" t="s">
        <v>38</v>
      </c>
      <c r="U1987" t="s">
        <v>38</v>
      </c>
      <c r="V1987" t="s">
        <v>137</v>
      </c>
      <c r="W1987" t="s">
        <v>38</v>
      </c>
      <c r="X1987" t="s">
        <v>38</v>
      </c>
      <c r="Y1987" t="s">
        <v>38</v>
      </c>
      <c r="Z1987" t="s">
        <v>42</v>
      </c>
      <c r="AA1987" t="s">
        <v>155</v>
      </c>
      <c r="AB1987" t="s">
        <v>38</v>
      </c>
      <c r="AC1987" t="s">
        <v>153</v>
      </c>
      <c r="AD1987" t="s">
        <v>48</v>
      </c>
      <c r="AG1987" t="str">
        <f>IF(AD1987="United States", IFERROR(INDEX(Sheet2!$C:$C, MATCH(AE1987&amp;AF1987, Sheet2!$E:$E, 0)) &amp; ", " &amp; INDEX(Sheet2!$D:$D, MATCH(AE1987&amp;AF1987, Sheet2!$E:$E, 0)), ""), "-")</f>
        <v/>
      </c>
    </row>
    <row r="1988" spans="1:33" x14ac:dyDescent="0.25">
      <c r="A1988" t="s">
        <v>2966</v>
      </c>
      <c r="B1988" t="s">
        <v>3448</v>
      </c>
      <c r="C1988" t="s">
        <v>3125</v>
      </c>
      <c r="D1988" t="s">
        <v>1110</v>
      </c>
      <c r="E1988" t="s">
        <v>3303</v>
      </c>
      <c r="F1988">
        <v>1752</v>
      </c>
      <c r="G1988">
        <v>1323</v>
      </c>
      <c r="H1988" t="s">
        <v>38</v>
      </c>
      <c r="I1988" t="s">
        <v>80</v>
      </c>
      <c r="J1988" t="s">
        <v>3126</v>
      </c>
      <c r="K1988" t="s">
        <v>38</v>
      </c>
      <c r="L1988" t="s">
        <v>38</v>
      </c>
      <c r="M1988" t="s">
        <v>38</v>
      </c>
      <c r="N1988" t="s">
        <v>38</v>
      </c>
      <c r="O1988" t="s">
        <v>41</v>
      </c>
      <c r="P1988" t="s">
        <v>42</v>
      </c>
      <c r="Q1988" t="s">
        <v>43</v>
      </c>
      <c r="R1988" t="s">
        <v>38</v>
      </c>
      <c r="S1988" t="s">
        <v>38</v>
      </c>
      <c r="T1988" t="s">
        <v>38</v>
      </c>
      <c r="U1988" t="s">
        <v>38</v>
      </c>
      <c r="V1988" t="s">
        <v>137</v>
      </c>
      <c r="W1988" t="s">
        <v>38</v>
      </c>
      <c r="X1988" t="s">
        <v>38</v>
      </c>
      <c r="Y1988" t="s">
        <v>38</v>
      </c>
      <c r="Z1988" t="s">
        <v>42</v>
      </c>
      <c r="AA1988" t="s">
        <v>38</v>
      </c>
      <c r="AB1988" t="s">
        <v>38</v>
      </c>
      <c r="AC1988" t="s">
        <v>1200</v>
      </c>
      <c r="AD1988" t="s">
        <v>48</v>
      </c>
      <c r="AG1988" t="str">
        <f>IF(AD1988="United States", IFERROR(INDEX(Sheet2!$C:$C, MATCH(AE1988&amp;AF1988, Sheet2!$E:$E, 0)) &amp; ", " &amp; INDEX(Sheet2!$D:$D, MATCH(AE1988&amp;AF1988, Sheet2!$E:$E, 0)), ""), "-")</f>
        <v/>
      </c>
    </row>
    <row r="1989" spans="1:33" x14ac:dyDescent="0.25">
      <c r="A1989" t="s">
        <v>2966</v>
      </c>
      <c r="B1989" t="s">
        <v>3305</v>
      </c>
      <c r="C1989" t="s">
        <v>3125</v>
      </c>
      <c r="D1989" t="s">
        <v>162</v>
      </c>
      <c r="E1989" t="s">
        <v>37</v>
      </c>
      <c r="F1989">
        <v>1781</v>
      </c>
      <c r="G1989">
        <v>1331</v>
      </c>
      <c r="H1989" t="s">
        <v>38</v>
      </c>
      <c r="I1989" t="s">
        <v>80</v>
      </c>
      <c r="J1989" t="s">
        <v>3126</v>
      </c>
      <c r="K1989" t="s">
        <v>38</v>
      </c>
      <c r="L1989" t="s">
        <v>38</v>
      </c>
      <c r="M1989" t="s">
        <v>140</v>
      </c>
      <c r="N1989" t="s">
        <v>37</v>
      </c>
      <c r="O1989" t="s">
        <v>54</v>
      </c>
      <c r="P1989" t="s">
        <v>42</v>
      </c>
      <c r="Q1989" t="s">
        <v>43</v>
      </c>
      <c r="R1989" t="s">
        <v>38</v>
      </c>
      <c r="S1989" t="s">
        <v>38</v>
      </c>
      <c r="T1989" t="s">
        <v>38</v>
      </c>
      <c r="U1989" t="s">
        <v>38</v>
      </c>
      <c r="V1989" t="s">
        <v>137</v>
      </c>
      <c r="W1989" t="s">
        <v>38</v>
      </c>
      <c r="X1989" t="s">
        <v>38</v>
      </c>
      <c r="Y1989" t="s">
        <v>38</v>
      </c>
      <c r="Z1989" t="s">
        <v>42</v>
      </c>
      <c r="AA1989" t="s">
        <v>38</v>
      </c>
      <c r="AB1989" t="s">
        <v>38</v>
      </c>
      <c r="AC1989" t="s">
        <v>38</v>
      </c>
      <c r="AD1989" t="s">
        <v>48</v>
      </c>
      <c r="AG1989" t="str">
        <f>IF(AD1989="United States", IFERROR(INDEX(Sheet2!$C:$C, MATCH(AE1989&amp;AF1989, Sheet2!$E:$E, 0)) &amp; ", " &amp; INDEX(Sheet2!$D:$D, MATCH(AE1989&amp;AF1989, Sheet2!$E:$E, 0)), ""), "-")</f>
        <v/>
      </c>
    </row>
    <row r="1990" spans="1:33" x14ac:dyDescent="0.25">
      <c r="A1990" t="s">
        <v>2966</v>
      </c>
      <c r="B1990" t="s">
        <v>3304</v>
      </c>
      <c r="C1990" t="s">
        <v>3125</v>
      </c>
      <c r="D1990" t="s">
        <v>200</v>
      </c>
      <c r="E1990" t="s">
        <v>37</v>
      </c>
      <c r="F1990">
        <v>1779</v>
      </c>
      <c r="G1990">
        <v>1330</v>
      </c>
      <c r="H1990" t="s">
        <v>2975</v>
      </c>
      <c r="I1990" t="s">
        <v>80</v>
      </c>
      <c r="J1990" t="s">
        <v>3126</v>
      </c>
      <c r="K1990" t="s">
        <v>38</v>
      </c>
      <c r="L1990" t="s">
        <v>38</v>
      </c>
      <c r="M1990" t="s">
        <v>140</v>
      </c>
      <c r="N1990" t="s">
        <v>37</v>
      </c>
      <c r="O1990" t="s">
        <v>54</v>
      </c>
      <c r="P1990" t="s">
        <v>42</v>
      </c>
      <c r="Q1990" t="s">
        <v>43</v>
      </c>
      <c r="R1990" t="s">
        <v>2452</v>
      </c>
      <c r="S1990" t="s">
        <v>38</v>
      </c>
      <c r="T1990" t="s">
        <v>89</v>
      </c>
      <c r="U1990" t="s">
        <v>2453</v>
      </c>
      <c r="V1990" t="s">
        <v>137</v>
      </c>
      <c r="W1990" t="s">
        <v>92</v>
      </c>
      <c r="X1990" t="s">
        <v>38</v>
      </c>
      <c r="Y1990" t="s">
        <v>38</v>
      </c>
      <c r="Z1990" t="s">
        <v>42</v>
      </c>
      <c r="AA1990" t="s">
        <v>38</v>
      </c>
      <c r="AB1990" t="s">
        <v>38</v>
      </c>
      <c r="AC1990" t="s">
        <v>38</v>
      </c>
      <c r="AD1990" t="s">
        <v>48</v>
      </c>
      <c r="AG1990" t="str">
        <f>IF(AD1990="United States", IFERROR(INDEX(Sheet2!$C:$C, MATCH(AE1990&amp;AF1990, Sheet2!$E:$E, 0)) &amp; ", " &amp; INDEX(Sheet2!$D:$D, MATCH(AE1990&amp;AF1990, Sheet2!$E:$E, 0)), ""), "-")</f>
        <v/>
      </c>
    </row>
    <row r="1991" spans="1:33" x14ac:dyDescent="0.25">
      <c r="A1991" t="s">
        <v>2966</v>
      </c>
      <c r="B1991" t="s">
        <v>3302</v>
      </c>
      <c r="C1991" t="s">
        <v>3125</v>
      </c>
      <c r="D1991" t="s">
        <v>140</v>
      </c>
      <c r="E1991" t="s">
        <v>37</v>
      </c>
      <c r="F1991">
        <v>1751</v>
      </c>
      <c r="G1991">
        <v>1329</v>
      </c>
      <c r="H1991" t="s">
        <v>2975</v>
      </c>
      <c r="I1991" t="s">
        <v>80</v>
      </c>
      <c r="J1991" t="s">
        <v>3126</v>
      </c>
      <c r="K1991" t="s">
        <v>38</v>
      </c>
      <c r="L1991" t="s">
        <v>38</v>
      </c>
      <c r="M1991" t="s">
        <v>676</v>
      </c>
      <c r="N1991" t="s">
        <v>3303</v>
      </c>
      <c r="O1991" t="s">
        <v>57</v>
      </c>
      <c r="P1991" t="s">
        <v>42</v>
      </c>
      <c r="Q1991" t="s">
        <v>43</v>
      </c>
      <c r="R1991" t="s">
        <v>2452</v>
      </c>
      <c r="S1991" t="s">
        <v>38</v>
      </c>
      <c r="T1991" t="s">
        <v>89</v>
      </c>
      <c r="U1991" t="s">
        <v>2453</v>
      </c>
      <c r="V1991" t="s">
        <v>137</v>
      </c>
      <c r="W1991" t="s">
        <v>92</v>
      </c>
      <c r="X1991" t="s">
        <v>38</v>
      </c>
      <c r="Y1991" t="s">
        <v>38</v>
      </c>
      <c r="Z1991" t="s">
        <v>42</v>
      </c>
      <c r="AA1991" t="s">
        <v>38</v>
      </c>
      <c r="AB1991" t="s">
        <v>38</v>
      </c>
      <c r="AC1991" t="s">
        <v>38</v>
      </c>
      <c r="AD1991" t="s">
        <v>48</v>
      </c>
      <c r="AG1991" t="str">
        <f>IF(AD1991="United States", IFERROR(INDEX(Sheet2!$C:$C, MATCH(AE1991&amp;AF1991, Sheet2!$E:$E, 0)) &amp; ", " &amp; INDEX(Sheet2!$D:$D, MATCH(AE1991&amp;AF1991, Sheet2!$E:$E, 0)), ""), "-")</f>
        <v/>
      </c>
    </row>
    <row r="1992" spans="1:33" x14ac:dyDescent="0.25">
      <c r="A1992" t="s">
        <v>2966</v>
      </c>
      <c r="B1992" t="s">
        <v>3301</v>
      </c>
      <c r="C1992" t="s">
        <v>3125</v>
      </c>
      <c r="D1992" t="s">
        <v>200</v>
      </c>
      <c r="E1992" t="s">
        <v>37</v>
      </c>
      <c r="F1992">
        <v>1753</v>
      </c>
      <c r="G1992">
        <v>1328</v>
      </c>
      <c r="H1992" t="s">
        <v>2975</v>
      </c>
      <c r="I1992" t="s">
        <v>80</v>
      </c>
      <c r="J1992" t="s">
        <v>3126</v>
      </c>
      <c r="K1992" t="s">
        <v>38</v>
      </c>
      <c r="L1992" t="s">
        <v>38</v>
      </c>
      <c r="M1992" t="s">
        <v>38</v>
      </c>
      <c r="N1992" t="s">
        <v>38</v>
      </c>
      <c r="O1992" t="s">
        <v>41</v>
      </c>
      <c r="P1992" t="s">
        <v>42</v>
      </c>
      <c r="Q1992" t="s">
        <v>43</v>
      </c>
      <c r="R1992" t="s">
        <v>2452</v>
      </c>
      <c r="S1992" t="s">
        <v>38</v>
      </c>
      <c r="T1992" t="s">
        <v>89</v>
      </c>
      <c r="U1992" t="s">
        <v>2453</v>
      </c>
      <c r="V1992" t="s">
        <v>137</v>
      </c>
      <c r="W1992" t="s">
        <v>92</v>
      </c>
      <c r="X1992" t="s">
        <v>38</v>
      </c>
      <c r="Y1992" t="s">
        <v>38</v>
      </c>
      <c r="Z1992" t="s">
        <v>42</v>
      </c>
      <c r="AA1992" t="s">
        <v>38</v>
      </c>
      <c r="AB1992" t="s">
        <v>38</v>
      </c>
      <c r="AC1992" t="s">
        <v>593</v>
      </c>
      <c r="AD1992" t="s">
        <v>48</v>
      </c>
      <c r="AG1992" t="str">
        <f>IF(AD1992="United States", IFERROR(INDEX(Sheet2!$C:$C, MATCH(AE1992&amp;AF1992, Sheet2!$E:$E, 0)) &amp; ", " &amp; INDEX(Sheet2!$D:$D, MATCH(AE1992&amp;AF1992, Sheet2!$E:$E, 0)), ""), "-")</f>
        <v/>
      </c>
    </row>
    <row r="1993" spans="1:33" x14ac:dyDescent="0.25">
      <c r="A1993" t="s">
        <v>2966</v>
      </c>
      <c r="B1993" t="s">
        <v>3299</v>
      </c>
      <c r="C1993" t="s">
        <v>3125</v>
      </c>
      <c r="D1993" t="s">
        <v>245</v>
      </c>
      <c r="E1993" t="s">
        <v>633</v>
      </c>
      <c r="F1993">
        <v>1770</v>
      </c>
      <c r="G1993">
        <v>1327</v>
      </c>
      <c r="H1993" t="s">
        <v>38</v>
      </c>
      <c r="I1993" t="s">
        <v>80</v>
      </c>
      <c r="J1993" t="s">
        <v>3126</v>
      </c>
      <c r="K1993" t="s">
        <v>38</v>
      </c>
      <c r="L1993" t="s">
        <v>38</v>
      </c>
      <c r="M1993" t="s">
        <v>38</v>
      </c>
      <c r="N1993" t="s">
        <v>38</v>
      </c>
      <c r="O1993" t="s">
        <v>74</v>
      </c>
      <c r="P1993" t="s">
        <v>42</v>
      </c>
      <c r="Q1993" t="s">
        <v>43</v>
      </c>
      <c r="R1993" t="s">
        <v>3300</v>
      </c>
      <c r="S1993" t="s">
        <v>45</v>
      </c>
      <c r="T1993" t="s">
        <v>38</v>
      </c>
      <c r="U1993" t="s">
        <v>38</v>
      </c>
      <c r="V1993" t="s">
        <v>137</v>
      </c>
      <c r="W1993" t="s">
        <v>38</v>
      </c>
      <c r="X1993" t="s">
        <v>38</v>
      </c>
      <c r="Y1993" t="s">
        <v>38</v>
      </c>
      <c r="Z1993" t="s">
        <v>42</v>
      </c>
      <c r="AA1993" t="s">
        <v>169</v>
      </c>
      <c r="AB1993" t="s">
        <v>38</v>
      </c>
      <c r="AC1993" t="s">
        <v>45</v>
      </c>
      <c r="AD1993" t="s">
        <v>48</v>
      </c>
      <c r="AG1993" t="str">
        <f>IF(AD1993="United States", IFERROR(INDEX(Sheet2!$C:$C, MATCH(AE1993&amp;AF1993, Sheet2!$E:$E, 0)) &amp; ", " &amp; INDEX(Sheet2!$D:$D, MATCH(AE1993&amp;AF1993, Sheet2!$E:$E, 0)), ""), "-")</f>
        <v/>
      </c>
    </row>
    <row r="1994" spans="1:33" x14ac:dyDescent="0.25">
      <c r="A1994" t="s">
        <v>2966</v>
      </c>
      <c r="B1994" t="s">
        <v>3441</v>
      </c>
      <c r="C1994" t="s">
        <v>3125</v>
      </c>
      <c r="D1994" t="s">
        <v>1122</v>
      </c>
      <c r="E1994" t="s">
        <v>3442</v>
      </c>
      <c r="F1994">
        <v>1733</v>
      </c>
      <c r="G1994">
        <v>1326</v>
      </c>
      <c r="H1994" t="s">
        <v>38</v>
      </c>
      <c r="I1994" t="s">
        <v>80</v>
      </c>
      <c r="J1994" t="s">
        <v>3126</v>
      </c>
      <c r="K1994" t="s">
        <v>38</v>
      </c>
      <c r="L1994" t="s">
        <v>38</v>
      </c>
      <c r="M1994" t="s">
        <v>38</v>
      </c>
      <c r="N1994" t="s">
        <v>38</v>
      </c>
      <c r="O1994" t="s">
        <v>41</v>
      </c>
      <c r="P1994" t="s">
        <v>42</v>
      </c>
      <c r="Q1994" t="s">
        <v>43</v>
      </c>
      <c r="R1994" t="s">
        <v>3443</v>
      </c>
      <c r="S1994" t="s">
        <v>201</v>
      </c>
      <c r="T1994" t="s">
        <v>38</v>
      </c>
      <c r="U1994" t="s">
        <v>38</v>
      </c>
      <c r="V1994" t="s">
        <v>137</v>
      </c>
      <c r="W1994" t="s">
        <v>38</v>
      </c>
      <c r="X1994" t="s">
        <v>38</v>
      </c>
      <c r="Y1994" t="s">
        <v>38</v>
      </c>
      <c r="Z1994" t="s">
        <v>42</v>
      </c>
      <c r="AA1994" t="s">
        <v>38</v>
      </c>
      <c r="AB1994" t="s">
        <v>38</v>
      </c>
      <c r="AC1994" t="s">
        <v>201</v>
      </c>
      <c r="AD1994" t="s">
        <v>48</v>
      </c>
      <c r="AG1994" t="str">
        <f>IF(AD1994="United States", IFERROR(INDEX(Sheet2!$C:$C, MATCH(AE1994&amp;AF1994, Sheet2!$E:$E, 0)) &amp; ", " &amp; INDEX(Sheet2!$D:$D, MATCH(AE1994&amp;AF1994, Sheet2!$E:$E, 0)), ""), "-")</f>
        <v/>
      </c>
    </row>
    <row r="1995" spans="1:33" x14ac:dyDescent="0.25">
      <c r="A1995" t="s">
        <v>2966</v>
      </c>
      <c r="B1995" t="s">
        <v>3595</v>
      </c>
      <c r="C1995" t="s">
        <v>3125</v>
      </c>
      <c r="D1995" t="s">
        <v>982</v>
      </c>
      <c r="E1995" t="s">
        <v>3596</v>
      </c>
      <c r="F1995">
        <v>1765</v>
      </c>
      <c r="G1995">
        <v>1335</v>
      </c>
      <c r="H1995" t="s">
        <v>38</v>
      </c>
      <c r="I1995" t="s">
        <v>80</v>
      </c>
      <c r="J1995" t="s">
        <v>3126</v>
      </c>
      <c r="K1995" t="s">
        <v>38</v>
      </c>
      <c r="L1995" t="s">
        <v>38</v>
      </c>
      <c r="M1995" t="s">
        <v>38</v>
      </c>
      <c r="N1995" t="s">
        <v>38</v>
      </c>
      <c r="O1995" t="s">
        <v>54</v>
      </c>
      <c r="P1995" t="s">
        <v>42</v>
      </c>
      <c r="Q1995" t="s">
        <v>43</v>
      </c>
      <c r="R1995" t="s">
        <v>38</v>
      </c>
      <c r="S1995" t="s">
        <v>38</v>
      </c>
      <c r="T1995" t="s">
        <v>38</v>
      </c>
      <c r="U1995" t="s">
        <v>38</v>
      </c>
      <c r="V1995" t="s">
        <v>137</v>
      </c>
      <c r="W1995" t="s">
        <v>38</v>
      </c>
      <c r="X1995" t="s">
        <v>38</v>
      </c>
      <c r="Y1995" t="s">
        <v>38</v>
      </c>
      <c r="Z1995" t="s">
        <v>42</v>
      </c>
      <c r="AA1995" t="s">
        <v>38</v>
      </c>
      <c r="AB1995" t="s">
        <v>38</v>
      </c>
      <c r="AC1995" t="s">
        <v>38</v>
      </c>
      <c r="AD1995" t="s">
        <v>48</v>
      </c>
      <c r="AG1995" t="str">
        <f>IF(AD1995="United States", IFERROR(INDEX(Sheet2!$C:$C, MATCH(AE1995&amp;AF1995, Sheet2!$E:$E, 0)) &amp; ", " &amp; INDEX(Sheet2!$D:$D, MATCH(AE1995&amp;AF1995, Sheet2!$E:$E, 0)), ""), "-")</f>
        <v/>
      </c>
    </row>
    <row r="1996" spans="1:33" x14ac:dyDescent="0.25">
      <c r="A1996" t="s">
        <v>2966</v>
      </c>
      <c r="B1996" t="s">
        <v>3597</v>
      </c>
      <c r="C1996" t="s">
        <v>2968</v>
      </c>
      <c r="D1996" t="s">
        <v>357</v>
      </c>
      <c r="E1996" t="s">
        <v>1084</v>
      </c>
      <c r="F1996">
        <v>1757</v>
      </c>
      <c r="G1996">
        <v>1655</v>
      </c>
      <c r="H1996" t="s">
        <v>38</v>
      </c>
      <c r="I1996" t="s">
        <v>80</v>
      </c>
      <c r="J1996" t="s">
        <v>2969</v>
      </c>
      <c r="K1996" t="s">
        <v>38</v>
      </c>
      <c r="L1996" t="s">
        <v>38</v>
      </c>
      <c r="M1996" t="s">
        <v>38</v>
      </c>
      <c r="N1996" t="s">
        <v>38</v>
      </c>
      <c r="O1996" t="s">
        <v>41</v>
      </c>
      <c r="P1996" t="s">
        <v>42</v>
      </c>
      <c r="Q1996" t="s">
        <v>43</v>
      </c>
      <c r="R1996" t="s">
        <v>3598</v>
      </c>
      <c r="S1996" t="s">
        <v>286</v>
      </c>
      <c r="T1996" t="s">
        <v>38</v>
      </c>
      <c r="U1996" t="s">
        <v>38</v>
      </c>
      <c r="V1996" t="s">
        <v>137</v>
      </c>
      <c r="W1996" t="s">
        <v>38</v>
      </c>
      <c r="X1996" t="s">
        <v>38</v>
      </c>
      <c r="Y1996" t="s">
        <v>38</v>
      </c>
      <c r="Z1996" t="s">
        <v>42</v>
      </c>
      <c r="AA1996" t="s">
        <v>38</v>
      </c>
      <c r="AB1996" t="s">
        <v>38</v>
      </c>
      <c r="AC1996" t="s">
        <v>286</v>
      </c>
      <c r="AD1996" t="s">
        <v>48</v>
      </c>
      <c r="AG1996" t="str">
        <f>IF(AD1996="United States", IFERROR(INDEX(Sheet2!$C:$C, MATCH(AE1996&amp;AF1996, Sheet2!$E:$E, 0)) &amp; ", " &amp; INDEX(Sheet2!$D:$D, MATCH(AE1996&amp;AF1996, Sheet2!$E:$E, 0)), ""), "-")</f>
        <v/>
      </c>
    </row>
    <row r="1997" spans="1:33" x14ac:dyDescent="0.25">
      <c r="A1997" t="s">
        <v>2966</v>
      </c>
      <c r="B1997" t="s">
        <v>3599</v>
      </c>
      <c r="C1997" t="s">
        <v>2968</v>
      </c>
      <c r="D1997" t="s">
        <v>1164</v>
      </c>
      <c r="E1997" t="s">
        <v>3600</v>
      </c>
      <c r="F1997">
        <v>1738</v>
      </c>
      <c r="G1997">
        <v>1566</v>
      </c>
      <c r="H1997" t="s">
        <v>38</v>
      </c>
      <c r="I1997" t="s">
        <v>80</v>
      </c>
      <c r="J1997" t="s">
        <v>2969</v>
      </c>
      <c r="K1997" t="s">
        <v>38</v>
      </c>
      <c r="L1997" t="s">
        <v>38</v>
      </c>
      <c r="M1997" t="s">
        <v>38</v>
      </c>
      <c r="N1997" t="s">
        <v>38</v>
      </c>
      <c r="O1997" t="s">
        <v>57</v>
      </c>
      <c r="P1997" t="s">
        <v>42</v>
      </c>
      <c r="Q1997" t="s">
        <v>43</v>
      </c>
      <c r="R1997" t="s">
        <v>169</v>
      </c>
      <c r="S1997" t="s">
        <v>45</v>
      </c>
      <c r="T1997" t="s">
        <v>38</v>
      </c>
      <c r="U1997" t="s">
        <v>38</v>
      </c>
      <c r="V1997" t="s">
        <v>137</v>
      </c>
      <c r="W1997" t="s">
        <v>38</v>
      </c>
      <c r="X1997" t="s">
        <v>38</v>
      </c>
      <c r="Y1997" t="s">
        <v>38</v>
      </c>
      <c r="Z1997" t="s">
        <v>42</v>
      </c>
      <c r="AA1997" t="s">
        <v>169</v>
      </c>
      <c r="AB1997" t="s">
        <v>38</v>
      </c>
      <c r="AC1997" t="s">
        <v>45</v>
      </c>
      <c r="AD1997" t="s">
        <v>48</v>
      </c>
      <c r="AG1997" t="str">
        <f>IF(AD1997="United States", IFERROR(INDEX(Sheet2!$C:$C, MATCH(AE1997&amp;AF1997, Sheet2!$E:$E, 0)) &amp; ", " &amp; INDEX(Sheet2!$D:$D, MATCH(AE1997&amp;AF1997, Sheet2!$E:$E, 0)), ""), "-")</f>
        <v/>
      </c>
    </row>
    <row r="1998" spans="1:33" x14ac:dyDescent="0.25">
      <c r="A1998" t="s">
        <v>2966</v>
      </c>
      <c r="B1998" t="s">
        <v>3601</v>
      </c>
      <c r="C1998" t="s">
        <v>2968</v>
      </c>
      <c r="D1998" t="s">
        <v>837</v>
      </c>
      <c r="E1998" t="s">
        <v>2298</v>
      </c>
      <c r="F1998">
        <v>1755</v>
      </c>
      <c r="G1998">
        <v>1569</v>
      </c>
      <c r="H1998" t="s">
        <v>38</v>
      </c>
      <c r="I1998" t="s">
        <v>80</v>
      </c>
      <c r="J1998" t="s">
        <v>2969</v>
      </c>
      <c r="K1998" t="s">
        <v>38</v>
      </c>
      <c r="L1998" t="s">
        <v>38</v>
      </c>
      <c r="M1998" t="s">
        <v>38</v>
      </c>
      <c r="N1998" t="s">
        <v>38</v>
      </c>
      <c r="O1998" t="s">
        <v>41</v>
      </c>
      <c r="P1998" t="s">
        <v>42</v>
      </c>
      <c r="Q1998" t="s">
        <v>43</v>
      </c>
      <c r="R1998" t="s">
        <v>1135</v>
      </c>
      <c r="S1998" t="s">
        <v>45</v>
      </c>
      <c r="T1998" t="s">
        <v>38</v>
      </c>
      <c r="U1998" t="s">
        <v>38</v>
      </c>
      <c r="V1998" t="s">
        <v>137</v>
      </c>
      <c r="W1998" t="s">
        <v>38</v>
      </c>
      <c r="X1998" t="s">
        <v>38</v>
      </c>
      <c r="Y1998" t="s">
        <v>38</v>
      </c>
      <c r="Z1998" t="s">
        <v>42</v>
      </c>
      <c r="AA1998" t="s">
        <v>1135</v>
      </c>
      <c r="AB1998" t="s">
        <v>38</v>
      </c>
      <c r="AC1998" t="s">
        <v>45</v>
      </c>
      <c r="AD1998" t="s">
        <v>48</v>
      </c>
      <c r="AG1998" t="str">
        <f>IF(AD1998="United States", IFERROR(INDEX(Sheet2!$C:$C, MATCH(AE1998&amp;AF1998, Sheet2!$E:$E, 0)) &amp; ", " &amp; INDEX(Sheet2!$D:$D, MATCH(AE1998&amp;AF1998, Sheet2!$E:$E, 0)), ""), "-")</f>
        <v/>
      </c>
    </row>
    <row r="1999" spans="1:33" x14ac:dyDescent="0.25">
      <c r="A1999" t="s">
        <v>2966</v>
      </c>
      <c r="B1999" t="s">
        <v>3602</v>
      </c>
      <c r="C1999" t="s">
        <v>2968</v>
      </c>
      <c r="D1999" t="s">
        <v>495</v>
      </c>
      <c r="E1999" t="s">
        <v>275</v>
      </c>
      <c r="F1999">
        <v>1771</v>
      </c>
      <c r="G1999">
        <v>1597</v>
      </c>
      <c r="H1999" t="s">
        <v>2975</v>
      </c>
      <c r="I1999" t="s">
        <v>80</v>
      </c>
      <c r="J1999" t="s">
        <v>2969</v>
      </c>
      <c r="K1999" t="s">
        <v>38</v>
      </c>
      <c r="L1999" t="s">
        <v>38</v>
      </c>
      <c r="M1999" t="s">
        <v>38</v>
      </c>
      <c r="N1999" t="s">
        <v>38</v>
      </c>
      <c r="O1999" t="s">
        <v>74</v>
      </c>
      <c r="P1999" t="s">
        <v>42</v>
      </c>
      <c r="Q1999" t="s">
        <v>43</v>
      </c>
      <c r="R1999" t="s">
        <v>2452</v>
      </c>
      <c r="S1999" t="s">
        <v>45</v>
      </c>
      <c r="T1999" t="s">
        <v>89</v>
      </c>
      <c r="U1999" t="s">
        <v>2453</v>
      </c>
      <c r="V1999" t="s">
        <v>137</v>
      </c>
      <c r="W1999" t="s">
        <v>92</v>
      </c>
      <c r="X1999" t="s">
        <v>38</v>
      </c>
      <c r="Y1999" t="s">
        <v>38</v>
      </c>
      <c r="Z1999" t="s">
        <v>42</v>
      </c>
      <c r="AA1999" t="s">
        <v>1135</v>
      </c>
      <c r="AB1999" t="s">
        <v>38</v>
      </c>
      <c r="AC1999" t="s">
        <v>45</v>
      </c>
      <c r="AD1999" t="s">
        <v>48</v>
      </c>
      <c r="AG1999" t="str">
        <f>IF(AD1999="United States", IFERROR(INDEX(Sheet2!$C:$C, MATCH(AE1999&amp;AF1999, Sheet2!$E:$E, 0)) &amp; ", " &amp; INDEX(Sheet2!$D:$D, MATCH(AE1999&amp;AF1999, Sheet2!$E:$E, 0)), ""), "-")</f>
        <v/>
      </c>
    </row>
    <row r="2000" spans="1:33" x14ac:dyDescent="0.25">
      <c r="A2000" t="s">
        <v>2966</v>
      </c>
      <c r="B2000" t="s">
        <v>3603</v>
      </c>
      <c r="C2000" t="s">
        <v>2968</v>
      </c>
      <c r="D2000" t="s">
        <v>1238</v>
      </c>
      <c r="E2000" t="s">
        <v>275</v>
      </c>
      <c r="F2000">
        <v>1743</v>
      </c>
      <c r="G2000">
        <v>1596</v>
      </c>
      <c r="H2000" t="s">
        <v>38</v>
      </c>
      <c r="I2000" t="s">
        <v>80</v>
      </c>
      <c r="J2000" t="s">
        <v>2969</v>
      </c>
      <c r="K2000" t="s">
        <v>38</v>
      </c>
      <c r="L2000" t="s">
        <v>38</v>
      </c>
      <c r="M2000" t="s">
        <v>38</v>
      </c>
      <c r="N2000" t="s">
        <v>38</v>
      </c>
      <c r="O2000" t="s">
        <v>74</v>
      </c>
      <c r="P2000" t="s">
        <v>42</v>
      </c>
      <c r="Q2000" t="s">
        <v>43</v>
      </c>
      <c r="R2000" t="s">
        <v>1135</v>
      </c>
      <c r="S2000" t="s">
        <v>45</v>
      </c>
      <c r="T2000" t="s">
        <v>38</v>
      </c>
      <c r="U2000" t="s">
        <v>38</v>
      </c>
      <c r="V2000" t="s">
        <v>137</v>
      </c>
      <c r="W2000" t="s">
        <v>38</v>
      </c>
      <c r="X2000" t="s">
        <v>38</v>
      </c>
      <c r="Y2000" t="s">
        <v>38</v>
      </c>
      <c r="Z2000" t="s">
        <v>42</v>
      </c>
      <c r="AA2000" t="s">
        <v>1135</v>
      </c>
      <c r="AB2000" t="s">
        <v>38</v>
      </c>
      <c r="AC2000" t="s">
        <v>45</v>
      </c>
      <c r="AD2000" t="s">
        <v>48</v>
      </c>
      <c r="AG2000" t="str">
        <f>IF(AD2000="United States", IFERROR(INDEX(Sheet2!$C:$C, MATCH(AE2000&amp;AF2000, Sheet2!$E:$E, 0)) &amp; ", " &amp; INDEX(Sheet2!$D:$D, MATCH(AE2000&amp;AF2000, Sheet2!$E:$E, 0)), ""), "-")</f>
        <v/>
      </c>
    </row>
    <row r="2001" spans="1:33" x14ac:dyDescent="0.25">
      <c r="A2001" t="s">
        <v>2966</v>
      </c>
      <c r="B2001" t="s">
        <v>3604</v>
      </c>
      <c r="C2001" t="s">
        <v>2968</v>
      </c>
      <c r="D2001" t="s">
        <v>132</v>
      </c>
      <c r="E2001" t="s">
        <v>3205</v>
      </c>
      <c r="F2001">
        <v>1753</v>
      </c>
      <c r="G2001">
        <v>1595</v>
      </c>
      <c r="H2001" t="s">
        <v>2975</v>
      </c>
      <c r="I2001" t="s">
        <v>80</v>
      </c>
      <c r="J2001" t="s">
        <v>2969</v>
      </c>
      <c r="K2001" t="s">
        <v>38</v>
      </c>
      <c r="L2001" t="s">
        <v>38</v>
      </c>
      <c r="M2001" t="s">
        <v>38</v>
      </c>
      <c r="N2001" t="s">
        <v>38</v>
      </c>
      <c r="O2001" t="s">
        <v>41</v>
      </c>
      <c r="P2001" t="s">
        <v>42</v>
      </c>
      <c r="Q2001" t="s">
        <v>43</v>
      </c>
      <c r="R2001" t="s">
        <v>2452</v>
      </c>
      <c r="S2001" t="s">
        <v>45</v>
      </c>
      <c r="T2001" t="s">
        <v>89</v>
      </c>
      <c r="U2001" t="s">
        <v>2453</v>
      </c>
      <c r="V2001" t="s">
        <v>137</v>
      </c>
      <c r="W2001" t="s">
        <v>92</v>
      </c>
      <c r="X2001" t="s">
        <v>38</v>
      </c>
      <c r="Y2001" t="s">
        <v>38</v>
      </c>
      <c r="Z2001" t="s">
        <v>42</v>
      </c>
      <c r="AA2001" t="s">
        <v>1135</v>
      </c>
      <c r="AB2001" t="s">
        <v>38</v>
      </c>
      <c r="AC2001" t="s">
        <v>45</v>
      </c>
      <c r="AD2001" t="s">
        <v>48</v>
      </c>
      <c r="AG2001" t="str">
        <f>IF(AD2001="United States", IFERROR(INDEX(Sheet2!$C:$C, MATCH(AE2001&amp;AF2001, Sheet2!$E:$E, 0)) &amp; ", " &amp; INDEX(Sheet2!$D:$D, MATCH(AE2001&amp;AF2001, Sheet2!$E:$E, 0)), ""), "-")</f>
        <v/>
      </c>
    </row>
    <row r="2002" spans="1:33" x14ac:dyDescent="0.25">
      <c r="A2002" t="s">
        <v>2966</v>
      </c>
      <c r="B2002" t="s">
        <v>3605</v>
      </c>
      <c r="C2002" t="s">
        <v>2968</v>
      </c>
      <c r="D2002" t="s">
        <v>535</v>
      </c>
      <c r="E2002" t="s">
        <v>3606</v>
      </c>
      <c r="F2002">
        <v>1759</v>
      </c>
      <c r="G2002">
        <v>1594</v>
      </c>
      <c r="H2002" t="s">
        <v>38</v>
      </c>
      <c r="I2002" t="s">
        <v>80</v>
      </c>
      <c r="J2002" t="s">
        <v>2969</v>
      </c>
      <c r="K2002" t="s">
        <v>38</v>
      </c>
      <c r="L2002" t="s">
        <v>38</v>
      </c>
      <c r="M2002" t="s">
        <v>38</v>
      </c>
      <c r="N2002" t="s">
        <v>38</v>
      </c>
      <c r="O2002" t="s">
        <v>57</v>
      </c>
      <c r="P2002" t="s">
        <v>42</v>
      </c>
      <c r="Q2002" t="s">
        <v>43</v>
      </c>
      <c r="R2002" t="s">
        <v>38</v>
      </c>
      <c r="S2002" t="s">
        <v>38</v>
      </c>
      <c r="T2002" t="s">
        <v>38</v>
      </c>
      <c r="U2002" t="s">
        <v>38</v>
      </c>
      <c r="V2002" t="s">
        <v>137</v>
      </c>
      <c r="W2002" t="s">
        <v>38</v>
      </c>
      <c r="X2002" t="s">
        <v>38</v>
      </c>
      <c r="Y2002" t="s">
        <v>38</v>
      </c>
      <c r="Z2002" t="s">
        <v>42</v>
      </c>
      <c r="AA2002" t="s">
        <v>3607</v>
      </c>
      <c r="AB2002" t="s">
        <v>38</v>
      </c>
      <c r="AC2002" t="s">
        <v>67</v>
      </c>
      <c r="AD2002" t="s">
        <v>48</v>
      </c>
      <c r="AG2002" t="str">
        <f>IF(AD2002="United States", IFERROR(INDEX(Sheet2!$C:$C, MATCH(AE2002&amp;AF2002, Sheet2!$E:$E, 0)) &amp; ", " &amp; INDEX(Sheet2!$D:$D, MATCH(AE2002&amp;AF2002, Sheet2!$E:$E, 0)), ""), "-")</f>
        <v/>
      </c>
    </row>
    <row r="2003" spans="1:33" x14ac:dyDescent="0.25">
      <c r="A2003" t="s">
        <v>2966</v>
      </c>
      <c r="B2003" t="s">
        <v>3608</v>
      </c>
      <c r="C2003" t="s">
        <v>2968</v>
      </c>
      <c r="D2003" t="s">
        <v>2347</v>
      </c>
      <c r="E2003" t="s">
        <v>3606</v>
      </c>
      <c r="F2003">
        <v>1748</v>
      </c>
      <c r="G2003">
        <v>1593</v>
      </c>
      <c r="H2003" t="s">
        <v>38</v>
      </c>
      <c r="I2003" t="s">
        <v>80</v>
      </c>
      <c r="J2003" t="s">
        <v>2969</v>
      </c>
      <c r="K2003" t="s">
        <v>38</v>
      </c>
      <c r="L2003" t="s">
        <v>38</v>
      </c>
      <c r="M2003" t="s">
        <v>38</v>
      </c>
      <c r="N2003" t="s">
        <v>38</v>
      </c>
      <c r="O2003" t="s">
        <v>41</v>
      </c>
      <c r="P2003" t="s">
        <v>42</v>
      </c>
      <c r="Q2003" t="s">
        <v>43</v>
      </c>
      <c r="R2003" t="s">
        <v>1135</v>
      </c>
      <c r="S2003" t="s">
        <v>45</v>
      </c>
      <c r="T2003" t="s">
        <v>38</v>
      </c>
      <c r="U2003" t="s">
        <v>38</v>
      </c>
      <c r="V2003" t="s">
        <v>137</v>
      </c>
      <c r="W2003" t="s">
        <v>38</v>
      </c>
      <c r="X2003" t="s">
        <v>38</v>
      </c>
      <c r="Y2003" t="s">
        <v>38</v>
      </c>
      <c r="Z2003" t="s">
        <v>42</v>
      </c>
      <c r="AA2003" t="s">
        <v>1135</v>
      </c>
      <c r="AB2003" t="s">
        <v>38</v>
      </c>
      <c r="AC2003" t="s">
        <v>45</v>
      </c>
      <c r="AD2003" t="s">
        <v>48</v>
      </c>
      <c r="AG2003" t="str">
        <f>IF(AD2003="United States", IFERROR(INDEX(Sheet2!$C:$C, MATCH(AE2003&amp;AF2003, Sheet2!$E:$E, 0)) &amp; ", " &amp; INDEX(Sheet2!$D:$D, MATCH(AE2003&amp;AF2003, Sheet2!$E:$E, 0)), ""), "-")</f>
        <v/>
      </c>
    </row>
    <row r="2004" spans="1:33" x14ac:dyDescent="0.25">
      <c r="A2004" t="s">
        <v>2966</v>
      </c>
      <c r="B2004" t="s">
        <v>3609</v>
      </c>
      <c r="C2004" t="s">
        <v>2968</v>
      </c>
      <c r="D2004" t="s">
        <v>357</v>
      </c>
      <c r="E2004" t="s">
        <v>3610</v>
      </c>
      <c r="F2004">
        <v>1763</v>
      </c>
      <c r="G2004">
        <v>1592</v>
      </c>
      <c r="H2004" t="s">
        <v>38</v>
      </c>
      <c r="I2004" t="s">
        <v>80</v>
      </c>
      <c r="J2004" t="s">
        <v>2969</v>
      </c>
      <c r="K2004" t="s">
        <v>38</v>
      </c>
      <c r="L2004" t="s">
        <v>38</v>
      </c>
      <c r="M2004" t="s">
        <v>38</v>
      </c>
      <c r="N2004" t="s">
        <v>38</v>
      </c>
      <c r="O2004" t="s">
        <v>41</v>
      </c>
      <c r="P2004" t="s">
        <v>42</v>
      </c>
      <c r="Q2004" t="s">
        <v>43</v>
      </c>
      <c r="R2004" t="s">
        <v>3611</v>
      </c>
      <c r="S2004" t="s">
        <v>45</v>
      </c>
      <c r="T2004" t="s">
        <v>38</v>
      </c>
      <c r="U2004" t="s">
        <v>38</v>
      </c>
      <c r="V2004" t="s">
        <v>137</v>
      </c>
      <c r="W2004" t="s">
        <v>38</v>
      </c>
      <c r="X2004" t="s">
        <v>38</v>
      </c>
      <c r="Y2004" t="s">
        <v>38</v>
      </c>
      <c r="Z2004" t="s">
        <v>42</v>
      </c>
      <c r="AA2004" t="s">
        <v>3612</v>
      </c>
      <c r="AB2004" t="s">
        <v>38</v>
      </c>
      <c r="AC2004" t="s">
        <v>45</v>
      </c>
      <c r="AD2004" t="s">
        <v>48</v>
      </c>
      <c r="AG2004" t="str">
        <f>IF(AD2004="United States", IFERROR(INDEX(Sheet2!$C:$C, MATCH(AE2004&amp;AF2004, Sheet2!$E:$E, 0)) &amp; ", " &amp; INDEX(Sheet2!$D:$D, MATCH(AE2004&amp;AF2004, Sheet2!$E:$E, 0)), ""), "-")</f>
        <v/>
      </c>
    </row>
    <row r="2005" spans="1:33" x14ac:dyDescent="0.25">
      <c r="A2005" t="s">
        <v>2966</v>
      </c>
      <c r="B2005" t="s">
        <v>3613</v>
      </c>
      <c r="C2005" t="s">
        <v>2968</v>
      </c>
      <c r="D2005" t="s">
        <v>835</v>
      </c>
      <c r="E2005" t="s">
        <v>3287</v>
      </c>
      <c r="F2005">
        <v>1738</v>
      </c>
      <c r="G2005">
        <v>1591</v>
      </c>
      <c r="H2005" t="s">
        <v>38</v>
      </c>
      <c r="I2005" t="s">
        <v>80</v>
      </c>
      <c r="J2005" t="s">
        <v>2969</v>
      </c>
      <c r="K2005" t="s">
        <v>38</v>
      </c>
      <c r="L2005" t="s">
        <v>38</v>
      </c>
      <c r="M2005" t="s">
        <v>38</v>
      </c>
      <c r="N2005" t="s">
        <v>38</v>
      </c>
      <c r="O2005" t="s">
        <v>57</v>
      </c>
      <c r="P2005" t="s">
        <v>42</v>
      </c>
      <c r="Q2005" t="s">
        <v>43</v>
      </c>
      <c r="R2005" t="s">
        <v>1135</v>
      </c>
      <c r="S2005" t="s">
        <v>45</v>
      </c>
      <c r="T2005" t="s">
        <v>38</v>
      </c>
      <c r="U2005" t="s">
        <v>38</v>
      </c>
      <c r="V2005" t="s">
        <v>137</v>
      </c>
      <c r="W2005" t="s">
        <v>38</v>
      </c>
      <c r="X2005" t="s">
        <v>38</v>
      </c>
      <c r="Y2005" t="s">
        <v>38</v>
      </c>
      <c r="Z2005" t="s">
        <v>42</v>
      </c>
      <c r="AA2005" t="s">
        <v>1135</v>
      </c>
      <c r="AB2005" t="s">
        <v>38</v>
      </c>
      <c r="AC2005" t="s">
        <v>45</v>
      </c>
      <c r="AD2005" t="s">
        <v>48</v>
      </c>
      <c r="AG2005" t="str">
        <f>IF(AD2005="United States", IFERROR(INDEX(Sheet2!$C:$C, MATCH(AE2005&amp;AF2005, Sheet2!$E:$E, 0)) &amp; ", " &amp; INDEX(Sheet2!$D:$D, MATCH(AE2005&amp;AF2005, Sheet2!$E:$E, 0)), ""), "-")</f>
        <v/>
      </c>
    </row>
    <row r="2006" spans="1:33" x14ac:dyDescent="0.25">
      <c r="A2006" t="s">
        <v>2966</v>
      </c>
      <c r="B2006" t="s">
        <v>3614</v>
      </c>
      <c r="C2006" t="s">
        <v>2968</v>
      </c>
      <c r="D2006" t="s">
        <v>226</v>
      </c>
      <c r="E2006" t="s">
        <v>3287</v>
      </c>
      <c r="F2006">
        <v>1733</v>
      </c>
      <c r="G2006">
        <v>1590</v>
      </c>
      <c r="H2006" t="s">
        <v>2977</v>
      </c>
      <c r="I2006" t="s">
        <v>80</v>
      </c>
      <c r="J2006" t="s">
        <v>2969</v>
      </c>
      <c r="K2006" t="s">
        <v>38</v>
      </c>
      <c r="L2006" t="s">
        <v>38</v>
      </c>
      <c r="M2006" t="s">
        <v>38</v>
      </c>
      <c r="N2006" t="s">
        <v>38</v>
      </c>
      <c r="O2006" t="s">
        <v>41</v>
      </c>
      <c r="P2006" t="s">
        <v>42</v>
      </c>
      <c r="Q2006" t="s">
        <v>43</v>
      </c>
      <c r="R2006" t="s">
        <v>2452</v>
      </c>
      <c r="S2006" t="s">
        <v>45</v>
      </c>
      <c r="T2006" t="s">
        <v>89</v>
      </c>
      <c r="U2006" t="s">
        <v>2453</v>
      </c>
      <c r="V2006" t="s">
        <v>137</v>
      </c>
      <c r="W2006" t="s">
        <v>92</v>
      </c>
      <c r="X2006" t="s">
        <v>38</v>
      </c>
      <c r="Y2006" t="s">
        <v>38</v>
      </c>
      <c r="Z2006" t="s">
        <v>42</v>
      </c>
      <c r="AA2006" t="s">
        <v>3615</v>
      </c>
      <c r="AB2006" t="s">
        <v>38</v>
      </c>
      <c r="AC2006" t="s">
        <v>45</v>
      </c>
      <c r="AD2006" t="s">
        <v>48</v>
      </c>
      <c r="AG2006" t="str">
        <f>IF(AD2006="United States", IFERROR(INDEX(Sheet2!$C:$C, MATCH(AE2006&amp;AF2006, Sheet2!$E:$E, 0)) &amp; ", " &amp; INDEX(Sheet2!$D:$D, MATCH(AE2006&amp;AF2006, Sheet2!$E:$E, 0)), ""), "-")</f>
        <v/>
      </c>
    </row>
    <row r="2007" spans="1:33" x14ac:dyDescent="0.25">
      <c r="A2007" t="s">
        <v>2966</v>
      </c>
      <c r="B2007" t="s">
        <v>3616</v>
      </c>
      <c r="C2007" t="s">
        <v>2968</v>
      </c>
      <c r="D2007" t="s">
        <v>210</v>
      </c>
      <c r="E2007" t="s">
        <v>2429</v>
      </c>
      <c r="F2007">
        <v>1753</v>
      </c>
      <c r="G2007">
        <v>1589</v>
      </c>
      <c r="H2007" t="s">
        <v>2977</v>
      </c>
      <c r="I2007" t="s">
        <v>80</v>
      </c>
      <c r="J2007" t="s">
        <v>2969</v>
      </c>
      <c r="K2007" t="s">
        <v>38</v>
      </c>
      <c r="L2007" t="s">
        <v>38</v>
      </c>
      <c r="M2007" t="s">
        <v>38</v>
      </c>
      <c r="N2007" t="s">
        <v>38</v>
      </c>
      <c r="O2007" t="s">
        <v>41</v>
      </c>
      <c r="P2007" t="s">
        <v>42</v>
      </c>
      <c r="Q2007" t="s">
        <v>43</v>
      </c>
      <c r="R2007" t="s">
        <v>2452</v>
      </c>
      <c r="S2007" t="s">
        <v>45</v>
      </c>
      <c r="T2007" t="s">
        <v>89</v>
      </c>
      <c r="U2007" t="s">
        <v>2453</v>
      </c>
      <c r="V2007" t="s">
        <v>137</v>
      </c>
      <c r="W2007" t="s">
        <v>92</v>
      </c>
      <c r="X2007" t="s">
        <v>38</v>
      </c>
      <c r="Y2007" t="s">
        <v>38</v>
      </c>
      <c r="Z2007" t="s">
        <v>42</v>
      </c>
      <c r="AA2007" t="s">
        <v>1135</v>
      </c>
      <c r="AB2007" t="s">
        <v>38</v>
      </c>
      <c r="AC2007" t="s">
        <v>45</v>
      </c>
      <c r="AD2007" t="s">
        <v>48</v>
      </c>
      <c r="AG2007" t="str">
        <f>IF(AD2007="United States", IFERROR(INDEX(Sheet2!$C:$C, MATCH(AE2007&amp;AF2007, Sheet2!$E:$E, 0)) &amp; ", " &amp; INDEX(Sheet2!$D:$D, MATCH(AE2007&amp;AF2007, Sheet2!$E:$E, 0)), ""), "-")</f>
        <v/>
      </c>
    </row>
    <row r="2008" spans="1:33" x14ac:dyDescent="0.25">
      <c r="A2008" t="s">
        <v>2966</v>
      </c>
      <c r="B2008" t="s">
        <v>3617</v>
      </c>
      <c r="C2008" t="s">
        <v>2968</v>
      </c>
      <c r="D2008" t="s">
        <v>210</v>
      </c>
      <c r="E2008" t="s">
        <v>1604</v>
      </c>
      <c r="F2008">
        <v>1762</v>
      </c>
      <c r="G2008">
        <v>1588</v>
      </c>
      <c r="H2008" t="s">
        <v>2977</v>
      </c>
      <c r="I2008" t="s">
        <v>80</v>
      </c>
      <c r="J2008" t="s">
        <v>2969</v>
      </c>
      <c r="K2008" t="s">
        <v>38</v>
      </c>
      <c r="L2008" t="s">
        <v>38</v>
      </c>
      <c r="M2008" t="s">
        <v>38</v>
      </c>
      <c r="N2008" t="s">
        <v>38</v>
      </c>
      <c r="O2008" t="s">
        <v>41</v>
      </c>
      <c r="P2008" t="s">
        <v>42</v>
      </c>
      <c r="Q2008" t="s">
        <v>43</v>
      </c>
      <c r="R2008" t="s">
        <v>2452</v>
      </c>
      <c r="S2008" t="s">
        <v>417</v>
      </c>
      <c r="T2008" t="s">
        <v>89</v>
      </c>
      <c r="U2008" t="s">
        <v>2453</v>
      </c>
      <c r="V2008" t="s">
        <v>137</v>
      </c>
      <c r="W2008" t="s">
        <v>92</v>
      </c>
      <c r="X2008" t="s">
        <v>38</v>
      </c>
      <c r="Y2008" t="s">
        <v>38</v>
      </c>
      <c r="Z2008" t="s">
        <v>42</v>
      </c>
      <c r="AA2008" t="s">
        <v>38</v>
      </c>
      <c r="AB2008" t="s">
        <v>38</v>
      </c>
      <c r="AC2008" t="s">
        <v>417</v>
      </c>
      <c r="AD2008" t="s">
        <v>48</v>
      </c>
      <c r="AG2008" t="str">
        <f>IF(AD2008="United States", IFERROR(INDEX(Sheet2!$C:$C, MATCH(AE2008&amp;AF2008, Sheet2!$E:$E, 0)) &amp; ", " &amp; INDEX(Sheet2!$D:$D, MATCH(AE2008&amp;AF2008, Sheet2!$E:$E, 0)), ""), "-")</f>
        <v/>
      </c>
    </row>
    <row r="2009" spans="1:33" x14ac:dyDescent="0.25">
      <c r="A2009" t="s">
        <v>2966</v>
      </c>
      <c r="B2009" t="s">
        <v>3618</v>
      </c>
      <c r="C2009" t="s">
        <v>2968</v>
      </c>
      <c r="D2009" t="s">
        <v>3144</v>
      </c>
      <c r="E2009" t="s">
        <v>37</v>
      </c>
      <c r="F2009">
        <v>1757</v>
      </c>
      <c r="G2009">
        <v>1587</v>
      </c>
      <c r="H2009" t="s">
        <v>38</v>
      </c>
      <c r="I2009" t="s">
        <v>80</v>
      </c>
      <c r="J2009" t="s">
        <v>2969</v>
      </c>
      <c r="K2009" t="s">
        <v>38</v>
      </c>
      <c r="L2009" t="s">
        <v>38</v>
      </c>
      <c r="M2009" t="s">
        <v>38</v>
      </c>
      <c r="N2009" t="s">
        <v>38</v>
      </c>
      <c r="O2009" t="s">
        <v>41</v>
      </c>
      <c r="P2009" t="s">
        <v>42</v>
      </c>
      <c r="Q2009" t="s">
        <v>43</v>
      </c>
      <c r="R2009" t="s">
        <v>3511</v>
      </c>
      <c r="S2009" t="s">
        <v>1063</v>
      </c>
      <c r="T2009" t="s">
        <v>38</v>
      </c>
      <c r="U2009" t="s">
        <v>38</v>
      </c>
      <c r="V2009" t="s">
        <v>137</v>
      </c>
      <c r="W2009" t="s">
        <v>38</v>
      </c>
      <c r="X2009" t="s">
        <v>38</v>
      </c>
      <c r="Y2009" t="s">
        <v>38</v>
      </c>
      <c r="Z2009" t="s">
        <v>42</v>
      </c>
      <c r="AA2009" t="s">
        <v>3511</v>
      </c>
      <c r="AB2009" t="s">
        <v>38</v>
      </c>
      <c r="AC2009" t="s">
        <v>1063</v>
      </c>
      <c r="AD2009" t="s">
        <v>48</v>
      </c>
      <c r="AG2009" t="str">
        <f>IF(AD2009="United States", IFERROR(INDEX(Sheet2!$C:$C, MATCH(AE2009&amp;AF2009, Sheet2!$E:$E, 0)) &amp; ", " &amp; INDEX(Sheet2!$D:$D, MATCH(AE2009&amp;AF2009, Sheet2!$E:$E, 0)), ""), "-")</f>
        <v/>
      </c>
    </row>
    <row r="2010" spans="1:33" x14ac:dyDescent="0.25">
      <c r="A2010" t="s">
        <v>2966</v>
      </c>
      <c r="B2010" t="s">
        <v>3619</v>
      </c>
      <c r="C2010" t="s">
        <v>2968</v>
      </c>
      <c r="D2010" t="s">
        <v>210</v>
      </c>
      <c r="E2010" t="s">
        <v>37</v>
      </c>
      <c r="F2010">
        <v>1759</v>
      </c>
      <c r="G2010">
        <v>1586</v>
      </c>
      <c r="H2010" t="s">
        <v>2977</v>
      </c>
      <c r="I2010" t="s">
        <v>80</v>
      </c>
      <c r="J2010" t="s">
        <v>2969</v>
      </c>
      <c r="K2010" t="s">
        <v>38</v>
      </c>
      <c r="L2010" t="s">
        <v>38</v>
      </c>
      <c r="M2010" t="s">
        <v>38</v>
      </c>
      <c r="N2010" t="s">
        <v>38</v>
      </c>
      <c r="O2010" t="s">
        <v>41</v>
      </c>
      <c r="P2010" t="s">
        <v>42</v>
      </c>
      <c r="Q2010" t="s">
        <v>43</v>
      </c>
      <c r="R2010" t="s">
        <v>2452</v>
      </c>
      <c r="S2010" t="s">
        <v>1063</v>
      </c>
      <c r="T2010" t="s">
        <v>89</v>
      </c>
      <c r="U2010" t="s">
        <v>2453</v>
      </c>
      <c r="V2010" t="s">
        <v>137</v>
      </c>
      <c r="W2010" t="s">
        <v>92</v>
      </c>
      <c r="X2010" t="s">
        <v>38</v>
      </c>
      <c r="Y2010" t="s">
        <v>38</v>
      </c>
      <c r="Z2010" t="s">
        <v>42</v>
      </c>
      <c r="AA2010" t="s">
        <v>3511</v>
      </c>
      <c r="AB2010" t="s">
        <v>38</v>
      </c>
      <c r="AC2010" t="s">
        <v>1063</v>
      </c>
      <c r="AD2010" t="s">
        <v>48</v>
      </c>
      <c r="AG2010" t="str">
        <f>IF(AD2010="United States", IFERROR(INDEX(Sheet2!$C:$C, MATCH(AE2010&amp;AF2010, Sheet2!$E:$E, 0)) &amp; ", " &amp; INDEX(Sheet2!$D:$D, MATCH(AE2010&amp;AF2010, Sheet2!$E:$E, 0)), ""), "-")</f>
        <v/>
      </c>
    </row>
    <row r="2011" spans="1:33" x14ac:dyDescent="0.25">
      <c r="A2011" t="s">
        <v>2966</v>
      </c>
      <c r="B2011" t="s">
        <v>3620</v>
      </c>
      <c r="C2011" t="s">
        <v>2968</v>
      </c>
      <c r="D2011" t="s">
        <v>210</v>
      </c>
      <c r="E2011" t="s">
        <v>191</v>
      </c>
      <c r="F2011">
        <v>1760</v>
      </c>
      <c r="G2011">
        <v>1585</v>
      </c>
      <c r="H2011" t="s">
        <v>2977</v>
      </c>
      <c r="I2011" t="s">
        <v>80</v>
      </c>
      <c r="J2011" t="s">
        <v>2969</v>
      </c>
      <c r="K2011" t="s">
        <v>38</v>
      </c>
      <c r="L2011" t="s">
        <v>38</v>
      </c>
      <c r="M2011" t="s">
        <v>38</v>
      </c>
      <c r="N2011" t="s">
        <v>38</v>
      </c>
      <c r="O2011" t="s">
        <v>41</v>
      </c>
      <c r="P2011" t="s">
        <v>42</v>
      </c>
      <c r="Q2011" t="s">
        <v>43</v>
      </c>
      <c r="R2011" t="s">
        <v>2452</v>
      </c>
      <c r="S2011" t="s">
        <v>45</v>
      </c>
      <c r="T2011" t="s">
        <v>89</v>
      </c>
      <c r="U2011" t="s">
        <v>2453</v>
      </c>
      <c r="V2011" t="s">
        <v>137</v>
      </c>
      <c r="W2011" t="s">
        <v>92</v>
      </c>
      <c r="X2011" t="s">
        <v>38</v>
      </c>
      <c r="Y2011" t="s">
        <v>38</v>
      </c>
      <c r="Z2011" t="s">
        <v>42</v>
      </c>
      <c r="AA2011" t="s">
        <v>1124</v>
      </c>
      <c r="AB2011" t="s">
        <v>38</v>
      </c>
      <c r="AC2011" t="s">
        <v>45</v>
      </c>
      <c r="AD2011" t="s">
        <v>48</v>
      </c>
      <c r="AG2011" t="str">
        <f>IF(AD2011="United States", IFERROR(INDEX(Sheet2!$C:$C, MATCH(AE2011&amp;AF2011, Sheet2!$E:$E, 0)) &amp; ", " &amp; INDEX(Sheet2!$D:$D, MATCH(AE2011&amp;AF2011, Sheet2!$E:$E, 0)), ""), "-")</f>
        <v/>
      </c>
    </row>
    <row r="2012" spans="1:33" x14ac:dyDescent="0.25">
      <c r="A2012" t="s">
        <v>2966</v>
      </c>
      <c r="B2012" t="s">
        <v>3621</v>
      </c>
      <c r="C2012" t="s">
        <v>2968</v>
      </c>
      <c r="D2012" t="s">
        <v>256</v>
      </c>
      <c r="E2012" t="s">
        <v>3500</v>
      </c>
      <c r="F2012">
        <v>1767</v>
      </c>
      <c r="G2012">
        <v>1568</v>
      </c>
      <c r="H2012" t="s">
        <v>2975</v>
      </c>
      <c r="I2012" t="s">
        <v>80</v>
      </c>
      <c r="J2012" t="s">
        <v>2969</v>
      </c>
      <c r="K2012" t="s">
        <v>38</v>
      </c>
      <c r="L2012" t="s">
        <v>38</v>
      </c>
      <c r="M2012" t="s">
        <v>38</v>
      </c>
      <c r="N2012" t="s">
        <v>38</v>
      </c>
      <c r="O2012" t="s">
        <v>74</v>
      </c>
      <c r="P2012" t="s">
        <v>42</v>
      </c>
      <c r="Q2012" t="s">
        <v>43</v>
      </c>
      <c r="R2012" t="s">
        <v>2452</v>
      </c>
      <c r="S2012" t="s">
        <v>1063</v>
      </c>
      <c r="T2012" t="s">
        <v>89</v>
      </c>
      <c r="U2012" t="s">
        <v>2453</v>
      </c>
      <c r="V2012" t="s">
        <v>137</v>
      </c>
      <c r="W2012" t="s">
        <v>92</v>
      </c>
      <c r="X2012" t="s">
        <v>38</v>
      </c>
      <c r="Y2012" t="s">
        <v>38</v>
      </c>
      <c r="Z2012" t="s">
        <v>42</v>
      </c>
      <c r="AA2012" t="s">
        <v>3511</v>
      </c>
      <c r="AB2012" t="s">
        <v>38</v>
      </c>
      <c r="AC2012" t="s">
        <v>1063</v>
      </c>
      <c r="AD2012" t="s">
        <v>48</v>
      </c>
      <c r="AG2012" t="str">
        <f>IF(AD2012="United States", IFERROR(INDEX(Sheet2!$C:$C, MATCH(AE2012&amp;AF2012, Sheet2!$E:$E, 0)) &amp; ", " &amp; INDEX(Sheet2!$D:$D, MATCH(AE2012&amp;AF2012, Sheet2!$E:$E, 0)), ""), "-")</f>
        <v/>
      </c>
    </row>
    <row r="2013" spans="1:33" x14ac:dyDescent="0.25">
      <c r="A2013" t="s">
        <v>2966</v>
      </c>
      <c r="B2013" t="s">
        <v>3622</v>
      </c>
      <c r="C2013" t="s">
        <v>2968</v>
      </c>
      <c r="D2013" t="s">
        <v>615</v>
      </c>
      <c r="E2013" t="s">
        <v>1624</v>
      </c>
      <c r="F2013">
        <v>1759</v>
      </c>
      <c r="G2013">
        <v>1584</v>
      </c>
      <c r="H2013" t="s">
        <v>2975</v>
      </c>
      <c r="I2013" t="s">
        <v>80</v>
      </c>
      <c r="J2013" t="s">
        <v>2969</v>
      </c>
      <c r="K2013" t="s">
        <v>38</v>
      </c>
      <c r="L2013" t="s">
        <v>38</v>
      </c>
      <c r="M2013" t="s">
        <v>38</v>
      </c>
      <c r="N2013" t="s">
        <v>38</v>
      </c>
      <c r="O2013" t="s">
        <v>41</v>
      </c>
      <c r="P2013" t="s">
        <v>42</v>
      </c>
      <c r="Q2013" t="s">
        <v>43</v>
      </c>
      <c r="R2013" t="s">
        <v>2452</v>
      </c>
      <c r="S2013" t="s">
        <v>45</v>
      </c>
      <c r="T2013" t="s">
        <v>89</v>
      </c>
      <c r="U2013" t="s">
        <v>2453</v>
      </c>
      <c r="V2013" t="s">
        <v>137</v>
      </c>
      <c r="W2013" t="s">
        <v>92</v>
      </c>
      <c r="X2013" t="s">
        <v>38</v>
      </c>
      <c r="Y2013" t="s">
        <v>38</v>
      </c>
      <c r="Z2013" t="s">
        <v>42</v>
      </c>
      <c r="AA2013" t="s">
        <v>1135</v>
      </c>
      <c r="AB2013" t="s">
        <v>38</v>
      </c>
      <c r="AC2013" t="s">
        <v>45</v>
      </c>
      <c r="AD2013" t="s">
        <v>48</v>
      </c>
      <c r="AG2013" t="str">
        <f>IF(AD2013="United States", IFERROR(INDEX(Sheet2!$C:$C, MATCH(AE2013&amp;AF2013, Sheet2!$E:$E, 0)) &amp; ", " &amp; INDEX(Sheet2!$D:$D, MATCH(AE2013&amp;AF2013, Sheet2!$E:$E, 0)), ""), "-")</f>
        <v/>
      </c>
    </row>
    <row r="2014" spans="1:33" x14ac:dyDescent="0.25">
      <c r="A2014" t="s">
        <v>2966</v>
      </c>
      <c r="B2014" t="s">
        <v>3623</v>
      </c>
      <c r="C2014" t="s">
        <v>2968</v>
      </c>
      <c r="D2014" t="s">
        <v>463</v>
      </c>
      <c r="E2014" t="s">
        <v>3624</v>
      </c>
      <c r="F2014">
        <v>1759</v>
      </c>
      <c r="G2014">
        <v>1582</v>
      </c>
      <c r="H2014" t="s">
        <v>38</v>
      </c>
      <c r="I2014" t="s">
        <v>80</v>
      </c>
      <c r="J2014" t="s">
        <v>2969</v>
      </c>
      <c r="K2014" t="s">
        <v>38</v>
      </c>
      <c r="L2014" t="s">
        <v>38</v>
      </c>
      <c r="M2014" t="s">
        <v>38</v>
      </c>
      <c r="N2014" t="s">
        <v>38</v>
      </c>
      <c r="O2014" t="s">
        <v>41</v>
      </c>
      <c r="P2014" t="s">
        <v>42</v>
      </c>
      <c r="Q2014" t="s">
        <v>43</v>
      </c>
      <c r="R2014" t="s">
        <v>1137</v>
      </c>
      <c r="S2014" t="s">
        <v>45</v>
      </c>
      <c r="T2014" t="s">
        <v>38</v>
      </c>
      <c r="U2014" t="s">
        <v>38</v>
      </c>
      <c r="V2014" t="s">
        <v>137</v>
      </c>
      <c r="W2014" t="s">
        <v>38</v>
      </c>
      <c r="X2014" t="s">
        <v>38</v>
      </c>
      <c r="Y2014" t="s">
        <v>38</v>
      </c>
      <c r="Z2014" t="s">
        <v>42</v>
      </c>
      <c r="AA2014" t="s">
        <v>1137</v>
      </c>
      <c r="AB2014" t="s">
        <v>38</v>
      </c>
      <c r="AC2014" t="s">
        <v>45</v>
      </c>
      <c r="AD2014" t="s">
        <v>48</v>
      </c>
      <c r="AG2014" t="str">
        <f>IF(AD2014="United States", IFERROR(INDEX(Sheet2!$C:$C, MATCH(AE2014&amp;AF2014, Sheet2!$E:$E, 0)) &amp; ", " &amp; INDEX(Sheet2!$D:$D, MATCH(AE2014&amp;AF2014, Sheet2!$E:$E, 0)), ""), "-")</f>
        <v/>
      </c>
    </row>
    <row r="2015" spans="1:33" x14ac:dyDescent="0.25">
      <c r="A2015" t="s">
        <v>2966</v>
      </c>
      <c r="B2015" t="s">
        <v>3625</v>
      </c>
      <c r="C2015" t="s">
        <v>2968</v>
      </c>
      <c r="D2015" t="s">
        <v>226</v>
      </c>
      <c r="E2015" t="s">
        <v>3626</v>
      </c>
      <c r="F2015">
        <v>1768</v>
      </c>
      <c r="G2015">
        <v>1581</v>
      </c>
      <c r="H2015" t="s">
        <v>2977</v>
      </c>
      <c r="I2015" t="s">
        <v>80</v>
      </c>
      <c r="J2015" t="s">
        <v>2969</v>
      </c>
      <c r="K2015" t="s">
        <v>38</v>
      </c>
      <c r="L2015" t="s">
        <v>38</v>
      </c>
      <c r="M2015" t="s">
        <v>885</v>
      </c>
      <c r="N2015" t="s">
        <v>2298</v>
      </c>
      <c r="O2015" t="s">
        <v>54</v>
      </c>
      <c r="P2015" t="s">
        <v>42</v>
      </c>
      <c r="Q2015" t="s">
        <v>43</v>
      </c>
      <c r="R2015" t="s">
        <v>2452</v>
      </c>
      <c r="S2015" t="s">
        <v>45</v>
      </c>
      <c r="T2015" t="s">
        <v>89</v>
      </c>
      <c r="U2015" t="s">
        <v>2453</v>
      </c>
      <c r="V2015" t="s">
        <v>137</v>
      </c>
      <c r="W2015" t="s">
        <v>92</v>
      </c>
      <c r="X2015" t="s">
        <v>38</v>
      </c>
      <c r="Y2015" t="s">
        <v>38</v>
      </c>
      <c r="Z2015" t="s">
        <v>42</v>
      </c>
      <c r="AA2015" t="s">
        <v>38</v>
      </c>
      <c r="AB2015" t="s">
        <v>38</v>
      </c>
      <c r="AC2015" t="s">
        <v>45</v>
      </c>
      <c r="AD2015" t="s">
        <v>48</v>
      </c>
      <c r="AG2015" t="str">
        <f>IF(AD2015="United States", IFERROR(INDEX(Sheet2!$C:$C, MATCH(AE2015&amp;AF2015, Sheet2!$E:$E, 0)) &amp; ", " &amp; INDEX(Sheet2!$D:$D, MATCH(AE2015&amp;AF2015, Sheet2!$E:$E, 0)), ""), "-")</f>
        <v/>
      </c>
    </row>
    <row r="2016" spans="1:33" x14ac:dyDescent="0.25">
      <c r="A2016" t="s">
        <v>2966</v>
      </c>
      <c r="B2016" t="s">
        <v>3627</v>
      </c>
      <c r="C2016" t="s">
        <v>2968</v>
      </c>
      <c r="D2016" t="s">
        <v>676</v>
      </c>
      <c r="E2016" t="s">
        <v>38</v>
      </c>
      <c r="F2016">
        <v>1718</v>
      </c>
      <c r="G2016">
        <v>1580</v>
      </c>
      <c r="H2016" t="s">
        <v>38</v>
      </c>
      <c r="I2016" t="s">
        <v>80</v>
      </c>
      <c r="J2016" t="s">
        <v>2969</v>
      </c>
      <c r="K2016" t="s">
        <v>38</v>
      </c>
      <c r="L2016" t="s">
        <v>38</v>
      </c>
      <c r="M2016" t="s">
        <v>38</v>
      </c>
      <c r="N2016" t="s">
        <v>38</v>
      </c>
      <c r="O2016" t="s">
        <v>41</v>
      </c>
      <c r="P2016" t="s">
        <v>42</v>
      </c>
      <c r="Q2016" t="s">
        <v>43</v>
      </c>
      <c r="R2016" t="s">
        <v>3628</v>
      </c>
      <c r="S2016" t="s">
        <v>45</v>
      </c>
      <c r="T2016" t="s">
        <v>38</v>
      </c>
      <c r="U2016" t="s">
        <v>38</v>
      </c>
      <c r="V2016" t="s">
        <v>137</v>
      </c>
      <c r="W2016" t="s">
        <v>38</v>
      </c>
      <c r="X2016" t="s">
        <v>38</v>
      </c>
      <c r="Y2016" t="s">
        <v>38</v>
      </c>
      <c r="Z2016" t="s">
        <v>42</v>
      </c>
      <c r="AA2016" t="s">
        <v>38</v>
      </c>
      <c r="AB2016" t="s">
        <v>38</v>
      </c>
      <c r="AC2016" t="s">
        <v>45</v>
      </c>
      <c r="AD2016" t="s">
        <v>48</v>
      </c>
      <c r="AG2016" t="str">
        <f>IF(AD2016="United States", IFERROR(INDEX(Sheet2!$C:$C, MATCH(AE2016&amp;AF2016, Sheet2!$E:$E, 0)) &amp; ", " &amp; INDEX(Sheet2!$D:$D, MATCH(AE2016&amp;AF2016, Sheet2!$E:$E, 0)), ""), "-")</f>
        <v/>
      </c>
    </row>
    <row r="2017" spans="1:33" x14ac:dyDescent="0.25">
      <c r="A2017" t="s">
        <v>2966</v>
      </c>
      <c r="B2017" t="s">
        <v>3629</v>
      </c>
      <c r="C2017" t="s">
        <v>2968</v>
      </c>
      <c r="D2017" t="s">
        <v>226</v>
      </c>
      <c r="E2017" t="s">
        <v>1552</v>
      </c>
      <c r="F2017">
        <v>1720</v>
      </c>
      <c r="G2017">
        <v>1579</v>
      </c>
      <c r="H2017" t="s">
        <v>2977</v>
      </c>
      <c r="I2017" t="s">
        <v>80</v>
      </c>
      <c r="J2017" t="s">
        <v>2969</v>
      </c>
      <c r="K2017" t="s">
        <v>38</v>
      </c>
      <c r="L2017" t="s">
        <v>38</v>
      </c>
      <c r="M2017" t="s">
        <v>38</v>
      </c>
      <c r="N2017" t="s">
        <v>38</v>
      </c>
      <c r="O2017" t="s">
        <v>41</v>
      </c>
      <c r="P2017" t="s">
        <v>42</v>
      </c>
      <c r="Q2017" t="s">
        <v>43</v>
      </c>
      <c r="R2017" t="s">
        <v>2452</v>
      </c>
      <c r="S2017" t="s">
        <v>45</v>
      </c>
      <c r="T2017" t="s">
        <v>89</v>
      </c>
      <c r="U2017" t="s">
        <v>2453</v>
      </c>
      <c r="V2017" t="s">
        <v>137</v>
      </c>
      <c r="W2017" t="s">
        <v>92</v>
      </c>
      <c r="X2017" t="s">
        <v>38</v>
      </c>
      <c r="Y2017" t="s">
        <v>38</v>
      </c>
      <c r="Z2017" t="s">
        <v>42</v>
      </c>
      <c r="AA2017" t="s">
        <v>169</v>
      </c>
      <c r="AB2017" t="s">
        <v>38</v>
      </c>
      <c r="AC2017" t="s">
        <v>45</v>
      </c>
      <c r="AD2017" t="s">
        <v>48</v>
      </c>
      <c r="AG2017" t="str">
        <f>IF(AD2017="United States", IFERROR(INDEX(Sheet2!$C:$C, MATCH(AE2017&amp;AF2017, Sheet2!$E:$E, 0)) &amp; ", " &amp; INDEX(Sheet2!$D:$D, MATCH(AE2017&amp;AF2017, Sheet2!$E:$E, 0)), ""), "-")</f>
        <v/>
      </c>
    </row>
    <row r="2018" spans="1:33" x14ac:dyDescent="0.25">
      <c r="A2018" t="s">
        <v>2966</v>
      </c>
      <c r="B2018" t="s">
        <v>3630</v>
      </c>
      <c r="C2018" t="s">
        <v>2968</v>
      </c>
      <c r="D2018" t="s">
        <v>1140</v>
      </c>
      <c r="E2018" t="s">
        <v>3631</v>
      </c>
      <c r="F2018">
        <v>1761</v>
      </c>
      <c r="G2018">
        <v>1578</v>
      </c>
      <c r="H2018" t="s">
        <v>38</v>
      </c>
      <c r="I2018" t="s">
        <v>80</v>
      </c>
      <c r="J2018" t="s">
        <v>2969</v>
      </c>
      <c r="K2018" t="s">
        <v>38</v>
      </c>
      <c r="L2018" t="s">
        <v>38</v>
      </c>
      <c r="M2018" t="s">
        <v>38</v>
      </c>
      <c r="N2018" t="s">
        <v>38</v>
      </c>
      <c r="O2018" t="s">
        <v>74</v>
      </c>
      <c r="P2018" t="s">
        <v>42</v>
      </c>
      <c r="Q2018" t="s">
        <v>43</v>
      </c>
      <c r="R2018" t="s">
        <v>3632</v>
      </c>
      <c r="S2018" t="s">
        <v>45</v>
      </c>
      <c r="T2018" t="s">
        <v>38</v>
      </c>
      <c r="U2018" t="s">
        <v>38</v>
      </c>
      <c r="V2018" t="s">
        <v>137</v>
      </c>
      <c r="W2018" t="s">
        <v>38</v>
      </c>
      <c r="X2018" t="s">
        <v>38</v>
      </c>
      <c r="Y2018" t="s">
        <v>38</v>
      </c>
      <c r="Z2018" t="s">
        <v>42</v>
      </c>
      <c r="AA2018" t="s">
        <v>241</v>
      </c>
      <c r="AB2018" t="s">
        <v>38</v>
      </c>
      <c r="AC2018" t="s">
        <v>45</v>
      </c>
      <c r="AD2018" t="s">
        <v>48</v>
      </c>
      <c r="AG2018" t="str">
        <f>IF(AD2018="United States", IFERROR(INDEX(Sheet2!$C:$C, MATCH(AE2018&amp;AF2018, Sheet2!$E:$E, 0)) &amp; ", " &amp; INDEX(Sheet2!$D:$D, MATCH(AE2018&amp;AF2018, Sheet2!$E:$E, 0)), ""), "-")</f>
        <v/>
      </c>
    </row>
    <row r="2019" spans="1:33" x14ac:dyDescent="0.25">
      <c r="A2019" t="s">
        <v>2966</v>
      </c>
      <c r="B2019" t="s">
        <v>3633</v>
      </c>
      <c r="C2019" t="s">
        <v>2968</v>
      </c>
      <c r="D2019" t="s">
        <v>824</v>
      </c>
      <c r="E2019" t="s">
        <v>3631</v>
      </c>
      <c r="F2019">
        <v>1756</v>
      </c>
      <c r="G2019">
        <v>1577</v>
      </c>
      <c r="H2019" t="s">
        <v>2975</v>
      </c>
      <c r="I2019" t="s">
        <v>80</v>
      </c>
      <c r="J2019" t="s">
        <v>2969</v>
      </c>
      <c r="K2019" t="s">
        <v>38</v>
      </c>
      <c r="L2019" t="s">
        <v>38</v>
      </c>
      <c r="M2019" t="s">
        <v>38</v>
      </c>
      <c r="N2019" t="s">
        <v>38</v>
      </c>
      <c r="O2019" t="s">
        <v>41</v>
      </c>
      <c r="P2019" t="s">
        <v>42</v>
      </c>
      <c r="Q2019" t="s">
        <v>43</v>
      </c>
      <c r="R2019" t="s">
        <v>2452</v>
      </c>
      <c r="S2019" t="s">
        <v>1063</v>
      </c>
      <c r="T2019" t="s">
        <v>89</v>
      </c>
      <c r="U2019" t="s">
        <v>2453</v>
      </c>
      <c r="V2019" t="s">
        <v>137</v>
      </c>
      <c r="W2019" t="s">
        <v>92</v>
      </c>
      <c r="X2019" t="s">
        <v>38</v>
      </c>
      <c r="Y2019" t="s">
        <v>38</v>
      </c>
      <c r="Z2019" t="s">
        <v>42</v>
      </c>
      <c r="AA2019" t="s">
        <v>38</v>
      </c>
      <c r="AB2019" t="s">
        <v>38</v>
      </c>
      <c r="AC2019" t="s">
        <v>1063</v>
      </c>
      <c r="AD2019" t="s">
        <v>48</v>
      </c>
      <c r="AG2019" t="str">
        <f>IF(AD2019="United States", IFERROR(INDEX(Sheet2!$C:$C, MATCH(AE2019&amp;AF2019, Sheet2!$E:$E, 0)) &amp; ", " &amp; INDEX(Sheet2!$D:$D, MATCH(AE2019&amp;AF2019, Sheet2!$E:$E, 0)), ""), "-")</f>
        <v/>
      </c>
    </row>
    <row r="2020" spans="1:33" x14ac:dyDescent="0.25">
      <c r="A2020" t="s">
        <v>2966</v>
      </c>
      <c r="B2020" t="s">
        <v>3634</v>
      </c>
      <c r="C2020" t="s">
        <v>2968</v>
      </c>
      <c r="D2020" t="s">
        <v>505</v>
      </c>
      <c r="E2020" t="s">
        <v>1941</v>
      </c>
      <c r="F2020">
        <v>1760</v>
      </c>
      <c r="G2020">
        <v>1576</v>
      </c>
      <c r="H2020" t="s">
        <v>38</v>
      </c>
      <c r="I2020" t="s">
        <v>80</v>
      </c>
      <c r="J2020" t="s">
        <v>2969</v>
      </c>
      <c r="K2020" t="s">
        <v>38</v>
      </c>
      <c r="L2020" t="s">
        <v>38</v>
      </c>
      <c r="M2020" t="s">
        <v>38</v>
      </c>
      <c r="N2020" t="s">
        <v>38</v>
      </c>
      <c r="O2020" t="s">
        <v>74</v>
      </c>
      <c r="P2020" t="s">
        <v>42</v>
      </c>
      <c r="Q2020" t="s">
        <v>43</v>
      </c>
      <c r="R2020" t="s">
        <v>169</v>
      </c>
      <c r="S2020" t="s">
        <v>45</v>
      </c>
      <c r="T2020" t="s">
        <v>38</v>
      </c>
      <c r="U2020" t="s">
        <v>38</v>
      </c>
      <c r="V2020" t="s">
        <v>137</v>
      </c>
      <c r="W2020" t="s">
        <v>38</v>
      </c>
      <c r="X2020" t="s">
        <v>38</v>
      </c>
      <c r="Y2020" t="s">
        <v>38</v>
      </c>
      <c r="Z2020" t="s">
        <v>42</v>
      </c>
      <c r="AA2020" t="s">
        <v>169</v>
      </c>
      <c r="AB2020" t="s">
        <v>38</v>
      </c>
      <c r="AC2020" t="s">
        <v>45</v>
      </c>
      <c r="AD2020" t="s">
        <v>48</v>
      </c>
      <c r="AG2020" t="str">
        <f>IF(AD2020="United States", IFERROR(INDEX(Sheet2!$C:$C, MATCH(AE2020&amp;AF2020, Sheet2!$E:$E, 0)) &amp; ", " &amp; INDEX(Sheet2!$D:$D, MATCH(AE2020&amp;AF2020, Sheet2!$E:$E, 0)), ""), "-")</f>
        <v/>
      </c>
    </row>
    <row r="2021" spans="1:33" x14ac:dyDescent="0.25">
      <c r="A2021" t="s">
        <v>2966</v>
      </c>
      <c r="B2021" t="s">
        <v>3635</v>
      </c>
      <c r="C2021" t="s">
        <v>2968</v>
      </c>
      <c r="D2021" t="s">
        <v>3581</v>
      </c>
      <c r="E2021" t="s">
        <v>1130</v>
      </c>
      <c r="F2021">
        <v>1757</v>
      </c>
      <c r="G2021">
        <v>1575</v>
      </c>
      <c r="H2021" t="s">
        <v>38</v>
      </c>
      <c r="I2021" t="s">
        <v>80</v>
      </c>
      <c r="J2021" t="s">
        <v>2969</v>
      </c>
      <c r="K2021" t="s">
        <v>38</v>
      </c>
      <c r="L2021" t="s">
        <v>38</v>
      </c>
      <c r="M2021" t="s">
        <v>38</v>
      </c>
      <c r="N2021" t="s">
        <v>38</v>
      </c>
      <c r="O2021" t="s">
        <v>74</v>
      </c>
      <c r="P2021" t="s">
        <v>42</v>
      </c>
      <c r="Q2021" t="s">
        <v>43</v>
      </c>
      <c r="R2021" t="s">
        <v>3636</v>
      </c>
      <c r="S2021" t="s">
        <v>45</v>
      </c>
      <c r="T2021" t="s">
        <v>38</v>
      </c>
      <c r="U2021" t="s">
        <v>38</v>
      </c>
      <c r="V2021" t="s">
        <v>137</v>
      </c>
      <c r="W2021" t="s">
        <v>38</v>
      </c>
      <c r="X2021" t="s">
        <v>38</v>
      </c>
      <c r="Y2021" t="s">
        <v>38</v>
      </c>
      <c r="Z2021" t="s">
        <v>42</v>
      </c>
      <c r="AA2021" t="s">
        <v>38</v>
      </c>
      <c r="AB2021" t="s">
        <v>38</v>
      </c>
      <c r="AC2021" t="s">
        <v>45</v>
      </c>
      <c r="AD2021" t="s">
        <v>48</v>
      </c>
      <c r="AG2021" t="str">
        <f>IF(AD2021="United States", IFERROR(INDEX(Sheet2!$C:$C, MATCH(AE2021&amp;AF2021, Sheet2!$E:$E, 0)) &amp; ", " &amp; INDEX(Sheet2!$D:$D, MATCH(AE2021&amp;AF2021, Sheet2!$E:$E, 0)), ""), "-")</f>
        <v/>
      </c>
    </row>
    <row r="2022" spans="1:33" x14ac:dyDescent="0.25">
      <c r="A2022" t="s">
        <v>2966</v>
      </c>
      <c r="B2022" t="s">
        <v>3637</v>
      </c>
      <c r="C2022" t="s">
        <v>2968</v>
      </c>
      <c r="D2022" t="s">
        <v>36</v>
      </c>
      <c r="E2022" t="s">
        <v>1130</v>
      </c>
      <c r="F2022">
        <v>1751</v>
      </c>
      <c r="G2022">
        <v>1574</v>
      </c>
      <c r="H2022" t="s">
        <v>2975</v>
      </c>
      <c r="I2022" t="s">
        <v>80</v>
      </c>
      <c r="J2022" t="s">
        <v>2969</v>
      </c>
      <c r="K2022" t="s">
        <v>38</v>
      </c>
      <c r="L2022" t="s">
        <v>38</v>
      </c>
      <c r="M2022" t="s">
        <v>38</v>
      </c>
      <c r="N2022" t="s">
        <v>38</v>
      </c>
      <c r="O2022" t="s">
        <v>41</v>
      </c>
      <c r="P2022" t="s">
        <v>42</v>
      </c>
      <c r="Q2022" t="s">
        <v>43</v>
      </c>
      <c r="R2022" t="s">
        <v>2452</v>
      </c>
      <c r="S2022" t="s">
        <v>45</v>
      </c>
      <c r="T2022" t="s">
        <v>89</v>
      </c>
      <c r="U2022" t="s">
        <v>2453</v>
      </c>
      <c r="V2022" t="s">
        <v>137</v>
      </c>
      <c r="W2022" t="s">
        <v>92</v>
      </c>
      <c r="X2022" t="s">
        <v>38</v>
      </c>
      <c r="Y2022" t="s">
        <v>38</v>
      </c>
      <c r="Z2022" t="s">
        <v>42</v>
      </c>
      <c r="AA2022" t="s">
        <v>38</v>
      </c>
      <c r="AB2022" t="s">
        <v>38</v>
      </c>
      <c r="AC2022" t="s">
        <v>45</v>
      </c>
      <c r="AD2022" t="s">
        <v>48</v>
      </c>
      <c r="AG2022" t="str">
        <f>IF(AD2022="United States", IFERROR(INDEX(Sheet2!$C:$C, MATCH(AE2022&amp;AF2022, Sheet2!$E:$E, 0)) &amp; ", " &amp; INDEX(Sheet2!$D:$D, MATCH(AE2022&amp;AF2022, Sheet2!$E:$E, 0)), ""), "-")</f>
        <v/>
      </c>
    </row>
    <row r="2023" spans="1:33" x14ac:dyDescent="0.25">
      <c r="A2023" t="s">
        <v>2966</v>
      </c>
      <c r="B2023" t="s">
        <v>3638</v>
      </c>
      <c r="C2023" t="s">
        <v>2968</v>
      </c>
      <c r="D2023" t="s">
        <v>132</v>
      </c>
      <c r="E2023" t="s">
        <v>728</v>
      </c>
      <c r="F2023">
        <v>1741</v>
      </c>
      <c r="G2023">
        <v>1573</v>
      </c>
      <c r="H2023" t="s">
        <v>2975</v>
      </c>
      <c r="I2023" t="s">
        <v>80</v>
      </c>
      <c r="J2023" t="s">
        <v>2969</v>
      </c>
      <c r="K2023" t="s">
        <v>38</v>
      </c>
      <c r="L2023" t="s">
        <v>38</v>
      </c>
      <c r="M2023" t="s">
        <v>38</v>
      </c>
      <c r="N2023" t="s">
        <v>38</v>
      </c>
      <c r="O2023" t="s">
        <v>41</v>
      </c>
      <c r="P2023" t="s">
        <v>42</v>
      </c>
      <c r="Q2023" t="s">
        <v>43</v>
      </c>
      <c r="R2023" t="s">
        <v>2452</v>
      </c>
      <c r="S2023" t="s">
        <v>38</v>
      </c>
      <c r="T2023" t="s">
        <v>89</v>
      </c>
      <c r="U2023" t="s">
        <v>2453</v>
      </c>
      <c r="V2023" t="s">
        <v>137</v>
      </c>
      <c r="W2023" t="s">
        <v>92</v>
      </c>
      <c r="X2023" t="s">
        <v>38</v>
      </c>
      <c r="Y2023" t="s">
        <v>38</v>
      </c>
      <c r="Z2023" t="s">
        <v>42</v>
      </c>
      <c r="AA2023" t="s">
        <v>38</v>
      </c>
      <c r="AB2023" t="s">
        <v>38</v>
      </c>
      <c r="AC2023" t="s">
        <v>3639</v>
      </c>
      <c r="AD2023" t="s">
        <v>48</v>
      </c>
      <c r="AG2023" t="str">
        <f>IF(AD2023="United States", IFERROR(INDEX(Sheet2!$C:$C, MATCH(AE2023&amp;AF2023, Sheet2!$E:$E, 0)) &amp; ", " &amp; INDEX(Sheet2!$D:$D, MATCH(AE2023&amp;AF2023, Sheet2!$E:$E, 0)), ""), "-")</f>
        <v/>
      </c>
    </row>
    <row r="2024" spans="1:33" x14ac:dyDescent="0.25">
      <c r="A2024" t="s">
        <v>2966</v>
      </c>
      <c r="B2024" t="s">
        <v>3640</v>
      </c>
      <c r="C2024" t="s">
        <v>2968</v>
      </c>
      <c r="D2024" t="s">
        <v>1164</v>
      </c>
      <c r="E2024" t="s">
        <v>1141</v>
      </c>
      <c r="F2024">
        <v>1748</v>
      </c>
      <c r="G2024">
        <v>1572</v>
      </c>
      <c r="H2024" t="s">
        <v>38</v>
      </c>
      <c r="I2024" t="s">
        <v>80</v>
      </c>
      <c r="J2024" t="s">
        <v>2969</v>
      </c>
      <c r="K2024" t="s">
        <v>38</v>
      </c>
      <c r="L2024" t="s">
        <v>38</v>
      </c>
      <c r="M2024" t="s">
        <v>38</v>
      </c>
      <c r="N2024" t="s">
        <v>38</v>
      </c>
      <c r="O2024" t="s">
        <v>74</v>
      </c>
      <c r="P2024" t="s">
        <v>42</v>
      </c>
      <c r="Q2024" t="s">
        <v>43</v>
      </c>
      <c r="R2024" t="s">
        <v>38</v>
      </c>
      <c r="S2024" t="s">
        <v>38</v>
      </c>
      <c r="T2024" t="s">
        <v>38</v>
      </c>
      <c r="U2024" t="s">
        <v>38</v>
      </c>
      <c r="V2024" t="s">
        <v>137</v>
      </c>
      <c r="W2024" t="s">
        <v>38</v>
      </c>
      <c r="X2024" t="s">
        <v>38</v>
      </c>
      <c r="Y2024" t="s">
        <v>38</v>
      </c>
      <c r="Z2024" t="s">
        <v>42</v>
      </c>
      <c r="AA2024" t="s">
        <v>38</v>
      </c>
      <c r="AB2024" t="s">
        <v>38</v>
      </c>
      <c r="AC2024" t="s">
        <v>593</v>
      </c>
      <c r="AD2024" t="s">
        <v>48</v>
      </c>
      <c r="AG2024" t="str">
        <f>IF(AD2024="United States", IFERROR(INDEX(Sheet2!$C:$C, MATCH(AE2024&amp;AF2024, Sheet2!$E:$E, 0)) &amp; ", " &amp; INDEX(Sheet2!$D:$D, MATCH(AE2024&amp;AF2024, Sheet2!$E:$E, 0)), ""), "-")</f>
        <v/>
      </c>
    </row>
    <row r="2025" spans="1:33" x14ac:dyDescent="0.25">
      <c r="A2025" t="s">
        <v>2966</v>
      </c>
      <c r="B2025" t="s">
        <v>3641</v>
      </c>
      <c r="C2025" t="s">
        <v>2968</v>
      </c>
      <c r="D2025" t="s">
        <v>621</v>
      </c>
      <c r="E2025" t="s">
        <v>1141</v>
      </c>
      <c r="F2025">
        <v>1748</v>
      </c>
      <c r="G2025">
        <v>1571</v>
      </c>
      <c r="H2025" t="s">
        <v>2977</v>
      </c>
      <c r="I2025" t="s">
        <v>80</v>
      </c>
      <c r="J2025" t="s">
        <v>2969</v>
      </c>
      <c r="K2025" t="s">
        <v>38</v>
      </c>
      <c r="L2025" t="s">
        <v>38</v>
      </c>
      <c r="M2025" t="s">
        <v>38</v>
      </c>
      <c r="N2025" t="s">
        <v>38</v>
      </c>
      <c r="O2025" t="s">
        <v>41</v>
      </c>
      <c r="P2025" t="s">
        <v>42</v>
      </c>
      <c r="Q2025" t="s">
        <v>43</v>
      </c>
      <c r="R2025" t="s">
        <v>2452</v>
      </c>
      <c r="S2025" t="s">
        <v>45</v>
      </c>
      <c r="T2025" t="s">
        <v>89</v>
      </c>
      <c r="U2025" t="s">
        <v>2453</v>
      </c>
      <c r="V2025" t="s">
        <v>137</v>
      </c>
      <c r="W2025" t="s">
        <v>92</v>
      </c>
      <c r="X2025" t="s">
        <v>38</v>
      </c>
      <c r="Y2025" t="s">
        <v>38</v>
      </c>
      <c r="Z2025" t="s">
        <v>42</v>
      </c>
      <c r="AA2025" t="s">
        <v>1135</v>
      </c>
      <c r="AB2025" t="s">
        <v>38</v>
      </c>
      <c r="AC2025" t="s">
        <v>45</v>
      </c>
      <c r="AD2025" t="s">
        <v>48</v>
      </c>
      <c r="AG2025" t="str">
        <f>IF(AD2025="United States", IFERROR(INDEX(Sheet2!$C:$C, MATCH(AE2025&amp;AF2025, Sheet2!$E:$E, 0)) &amp; ", " &amp; INDEX(Sheet2!$D:$D, MATCH(AE2025&amp;AF2025, Sheet2!$E:$E, 0)), ""), "-")</f>
        <v/>
      </c>
    </row>
    <row r="2026" spans="1:33" x14ac:dyDescent="0.25">
      <c r="A2026" t="s">
        <v>2966</v>
      </c>
      <c r="B2026" t="s">
        <v>3642</v>
      </c>
      <c r="C2026" t="s">
        <v>2968</v>
      </c>
      <c r="D2026" t="s">
        <v>885</v>
      </c>
      <c r="E2026" t="s">
        <v>2298</v>
      </c>
      <c r="F2026">
        <v>1738</v>
      </c>
      <c r="G2026">
        <v>1570</v>
      </c>
      <c r="H2026" t="s">
        <v>38</v>
      </c>
      <c r="I2026" t="s">
        <v>80</v>
      </c>
      <c r="J2026" t="s">
        <v>2969</v>
      </c>
      <c r="K2026" t="s">
        <v>38</v>
      </c>
      <c r="L2026" t="s">
        <v>38</v>
      </c>
      <c r="M2026" t="s">
        <v>38</v>
      </c>
      <c r="N2026" t="s">
        <v>38</v>
      </c>
      <c r="O2026" t="s">
        <v>57</v>
      </c>
      <c r="P2026" t="s">
        <v>42</v>
      </c>
      <c r="Q2026" t="s">
        <v>43</v>
      </c>
      <c r="R2026" t="s">
        <v>1135</v>
      </c>
      <c r="S2026" t="s">
        <v>45</v>
      </c>
      <c r="T2026" t="s">
        <v>38</v>
      </c>
      <c r="U2026" t="s">
        <v>38</v>
      </c>
      <c r="V2026" t="s">
        <v>137</v>
      </c>
      <c r="W2026" t="s">
        <v>38</v>
      </c>
      <c r="X2026" t="s">
        <v>38</v>
      </c>
      <c r="Y2026" t="s">
        <v>38</v>
      </c>
      <c r="Z2026" t="s">
        <v>42</v>
      </c>
      <c r="AA2026" t="s">
        <v>1135</v>
      </c>
      <c r="AB2026" t="s">
        <v>38</v>
      </c>
      <c r="AC2026" t="s">
        <v>45</v>
      </c>
      <c r="AD2026" t="s">
        <v>48</v>
      </c>
      <c r="AG2026" t="str">
        <f>IF(AD2026="United States", IFERROR(INDEX(Sheet2!$C:$C, MATCH(AE2026&amp;AF2026, Sheet2!$E:$E, 0)) &amp; ", " &amp; INDEX(Sheet2!$D:$D, MATCH(AE2026&amp;AF2026, Sheet2!$E:$E, 0)), ""), "-")</f>
        <v/>
      </c>
    </row>
    <row r="2027" spans="1:33" x14ac:dyDescent="0.25">
      <c r="A2027" t="s">
        <v>2966</v>
      </c>
      <c r="B2027" t="s">
        <v>3643</v>
      </c>
      <c r="C2027" t="s">
        <v>2968</v>
      </c>
      <c r="D2027" t="s">
        <v>3644</v>
      </c>
      <c r="E2027" t="s">
        <v>3624</v>
      </c>
      <c r="F2027">
        <v>1761</v>
      </c>
      <c r="G2027">
        <v>1583</v>
      </c>
      <c r="H2027" t="s">
        <v>38</v>
      </c>
      <c r="I2027" t="s">
        <v>80</v>
      </c>
      <c r="J2027" t="s">
        <v>2969</v>
      </c>
      <c r="K2027" t="s">
        <v>38</v>
      </c>
      <c r="L2027" t="s">
        <v>38</v>
      </c>
      <c r="M2027" t="s">
        <v>38</v>
      </c>
      <c r="N2027" t="s">
        <v>38</v>
      </c>
      <c r="O2027" t="s">
        <v>57</v>
      </c>
      <c r="P2027" t="s">
        <v>42</v>
      </c>
      <c r="Q2027" t="s">
        <v>43</v>
      </c>
      <c r="R2027" t="s">
        <v>3645</v>
      </c>
      <c r="S2027" t="s">
        <v>45</v>
      </c>
      <c r="T2027" t="s">
        <v>38</v>
      </c>
      <c r="U2027" t="s">
        <v>38</v>
      </c>
      <c r="V2027" t="s">
        <v>137</v>
      </c>
      <c r="W2027" t="s">
        <v>38</v>
      </c>
      <c r="X2027" t="s">
        <v>38</v>
      </c>
      <c r="Y2027" t="s">
        <v>38</v>
      </c>
      <c r="Z2027" t="s">
        <v>42</v>
      </c>
      <c r="AA2027" t="s">
        <v>38</v>
      </c>
      <c r="AB2027" t="s">
        <v>38</v>
      </c>
      <c r="AC2027" t="s">
        <v>45</v>
      </c>
      <c r="AD2027" t="s">
        <v>48</v>
      </c>
      <c r="AG2027" t="str">
        <f>IF(AD2027="United States", IFERROR(INDEX(Sheet2!$C:$C, MATCH(AE2027&amp;AF2027, Sheet2!$E:$E, 0)) &amp; ", " &amp; INDEX(Sheet2!$D:$D, MATCH(AE2027&amp;AF2027, Sheet2!$E:$E, 0)), ""), "-")</f>
        <v/>
      </c>
    </row>
    <row r="2028" spans="1:33" x14ac:dyDescent="0.25">
      <c r="A2028" t="s">
        <v>2966</v>
      </c>
      <c r="B2028" t="s">
        <v>3646</v>
      </c>
      <c r="C2028" t="s">
        <v>2968</v>
      </c>
      <c r="D2028" t="s">
        <v>226</v>
      </c>
      <c r="E2028" t="s">
        <v>3039</v>
      </c>
      <c r="F2028">
        <v>1743</v>
      </c>
      <c r="G2028">
        <v>1656</v>
      </c>
      <c r="H2028" t="s">
        <v>2977</v>
      </c>
      <c r="I2028" t="s">
        <v>80</v>
      </c>
      <c r="J2028" t="s">
        <v>2969</v>
      </c>
      <c r="K2028" t="s">
        <v>38</v>
      </c>
      <c r="L2028" t="s">
        <v>38</v>
      </c>
      <c r="M2028" t="s">
        <v>38</v>
      </c>
      <c r="N2028" t="s">
        <v>38</v>
      </c>
      <c r="O2028" t="s">
        <v>41</v>
      </c>
      <c r="P2028" t="s">
        <v>42</v>
      </c>
      <c r="Q2028" t="s">
        <v>43</v>
      </c>
      <c r="R2028" t="s">
        <v>2452</v>
      </c>
      <c r="S2028" t="s">
        <v>153</v>
      </c>
      <c r="T2028" t="s">
        <v>89</v>
      </c>
      <c r="U2028" t="s">
        <v>2453</v>
      </c>
      <c r="V2028" t="s">
        <v>137</v>
      </c>
      <c r="W2028" t="s">
        <v>92</v>
      </c>
      <c r="X2028" t="s">
        <v>38</v>
      </c>
      <c r="Y2028" t="s">
        <v>38</v>
      </c>
      <c r="Z2028" t="s">
        <v>42</v>
      </c>
      <c r="AA2028" t="s">
        <v>155</v>
      </c>
      <c r="AB2028" t="s">
        <v>38</v>
      </c>
      <c r="AC2028" t="s">
        <v>153</v>
      </c>
      <c r="AD2028" t="s">
        <v>48</v>
      </c>
      <c r="AG2028" t="str">
        <f>IF(AD2028="United States", IFERROR(INDEX(Sheet2!$C:$C, MATCH(AE2028&amp;AF2028, Sheet2!$E:$E, 0)) &amp; ", " &amp; INDEX(Sheet2!$D:$D, MATCH(AE2028&amp;AF2028, Sheet2!$E:$E, 0)), ""), "-")</f>
        <v/>
      </c>
    </row>
    <row r="2029" spans="1:33" x14ac:dyDescent="0.25">
      <c r="A2029" t="s">
        <v>2966</v>
      </c>
      <c r="B2029" t="s">
        <v>3647</v>
      </c>
      <c r="C2029" t="s">
        <v>2968</v>
      </c>
      <c r="D2029" t="s">
        <v>72</v>
      </c>
      <c r="E2029" t="s">
        <v>191</v>
      </c>
      <c r="F2029">
        <v>1771</v>
      </c>
      <c r="G2029">
        <v>1648</v>
      </c>
      <c r="H2029" t="s">
        <v>2975</v>
      </c>
      <c r="I2029" t="s">
        <v>80</v>
      </c>
      <c r="J2029" t="s">
        <v>2969</v>
      </c>
      <c r="K2029" t="s">
        <v>38</v>
      </c>
      <c r="L2029" t="s">
        <v>38</v>
      </c>
      <c r="M2029" t="s">
        <v>38</v>
      </c>
      <c r="N2029" t="s">
        <v>38</v>
      </c>
      <c r="O2029" t="s">
        <v>74</v>
      </c>
      <c r="P2029" t="s">
        <v>42</v>
      </c>
      <c r="Q2029" t="s">
        <v>43</v>
      </c>
      <c r="R2029" t="s">
        <v>2452</v>
      </c>
      <c r="S2029" t="s">
        <v>45</v>
      </c>
      <c r="T2029" t="s">
        <v>89</v>
      </c>
      <c r="U2029" t="s">
        <v>2453</v>
      </c>
      <c r="V2029" t="s">
        <v>137</v>
      </c>
      <c r="W2029" t="s">
        <v>92</v>
      </c>
      <c r="X2029" t="s">
        <v>38</v>
      </c>
      <c r="Y2029" t="s">
        <v>38</v>
      </c>
      <c r="Z2029" t="s">
        <v>42</v>
      </c>
      <c r="AA2029" t="s">
        <v>878</v>
      </c>
      <c r="AB2029" t="s">
        <v>38</v>
      </c>
      <c r="AC2029" t="s">
        <v>45</v>
      </c>
      <c r="AD2029" t="s">
        <v>48</v>
      </c>
      <c r="AG2029" t="str">
        <f>IF(AD2029="United States", IFERROR(INDEX(Sheet2!$C:$C, MATCH(AE2029&amp;AF2029, Sheet2!$E:$E, 0)) &amp; ", " &amp; INDEX(Sheet2!$D:$D, MATCH(AE2029&amp;AF2029, Sheet2!$E:$E, 0)), ""), "-")</f>
        <v/>
      </c>
    </row>
    <row r="2030" spans="1:33" x14ac:dyDescent="0.25">
      <c r="A2030" t="s">
        <v>2966</v>
      </c>
      <c r="B2030" t="s">
        <v>3444</v>
      </c>
      <c r="C2030" t="s">
        <v>3125</v>
      </c>
      <c r="D2030" t="s">
        <v>3445</v>
      </c>
      <c r="E2030" t="s">
        <v>3446</v>
      </c>
      <c r="F2030">
        <v>1763</v>
      </c>
      <c r="G2030">
        <v>1325</v>
      </c>
      <c r="H2030" t="s">
        <v>38</v>
      </c>
      <c r="I2030" t="s">
        <v>80</v>
      </c>
      <c r="J2030" t="s">
        <v>3126</v>
      </c>
      <c r="K2030" t="s">
        <v>38</v>
      </c>
      <c r="L2030" t="s">
        <v>38</v>
      </c>
      <c r="M2030" t="s">
        <v>676</v>
      </c>
      <c r="N2030" t="s">
        <v>3303</v>
      </c>
      <c r="O2030" t="s">
        <v>74</v>
      </c>
      <c r="P2030" t="s">
        <v>42</v>
      </c>
      <c r="Q2030" t="s">
        <v>43</v>
      </c>
      <c r="R2030" t="s">
        <v>38</v>
      </c>
      <c r="S2030" t="s">
        <v>38</v>
      </c>
      <c r="T2030" t="s">
        <v>38</v>
      </c>
      <c r="U2030" t="s">
        <v>38</v>
      </c>
      <c r="V2030" t="s">
        <v>137</v>
      </c>
      <c r="W2030" t="s">
        <v>38</v>
      </c>
      <c r="X2030" t="s">
        <v>38</v>
      </c>
      <c r="Y2030" t="s">
        <v>38</v>
      </c>
      <c r="Z2030" t="s">
        <v>42</v>
      </c>
      <c r="AA2030" t="s">
        <v>38</v>
      </c>
      <c r="AB2030" t="s">
        <v>38</v>
      </c>
      <c r="AC2030" t="s">
        <v>38</v>
      </c>
      <c r="AD2030" t="s">
        <v>48</v>
      </c>
      <c r="AG2030" t="str">
        <f>IF(AD2030="United States", IFERROR(INDEX(Sheet2!$C:$C, MATCH(AE2030&amp;AF2030, Sheet2!$E:$E, 0)) &amp; ", " &amp; INDEX(Sheet2!$D:$D, MATCH(AE2030&amp;AF2030, Sheet2!$E:$E, 0)), ""), "-")</f>
        <v/>
      </c>
    </row>
    <row r="2031" spans="1:33" x14ac:dyDescent="0.25">
      <c r="A2031" t="s">
        <v>3648</v>
      </c>
      <c r="D2031" t="s">
        <v>495</v>
      </c>
      <c r="E2031" t="s">
        <v>275</v>
      </c>
      <c r="F2031">
        <v>1771</v>
      </c>
      <c r="G2031">
        <v>1455</v>
      </c>
      <c r="H2031">
        <v>54</v>
      </c>
      <c r="J2031" t="s">
        <v>3119</v>
      </c>
      <c r="O2031" t="s">
        <v>74</v>
      </c>
      <c r="R2031" t="s">
        <v>2452</v>
      </c>
      <c r="T2031" t="s">
        <v>89</v>
      </c>
      <c r="U2031" t="s">
        <v>2453</v>
      </c>
      <c r="V2031" t="s">
        <v>137</v>
      </c>
      <c r="W2031" t="s">
        <v>92</v>
      </c>
      <c r="Y2031" t="s">
        <v>38</v>
      </c>
      <c r="AA2031" t="s">
        <v>38</v>
      </c>
      <c r="AB2031" t="s">
        <v>38</v>
      </c>
      <c r="AC2031" t="s">
        <v>38</v>
      </c>
      <c r="AD2031" t="s">
        <v>48</v>
      </c>
      <c r="AG2031" t="str">
        <f>IF(AD2031="United States", IFERROR(INDEX(Sheet2!$C:$C, MATCH(AE2031&amp;AF2031, Sheet2!$E:$E, 0)) &amp; ", " &amp; INDEX(Sheet2!$D:$D, MATCH(AE2031&amp;AF2031, Sheet2!$E:$E, 0)), ""), "-")</f>
        <v/>
      </c>
    </row>
    <row r="2032" spans="1:33" x14ac:dyDescent="0.25">
      <c r="A2032" t="s">
        <v>3648</v>
      </c>
      <c r="D2032" t="s">
        <v>3649</v>
      </c>
      <c r="E2032" t="s">
        <v>275</v>
      </c>
      <c r="F2032">
        <v>1773</v>
      </c>
      <c r="G2032">
        <v>1456</v>
      </c>
      <c r="H2032">
        <v>54</v>
      </c>
      <c r="J2032" t="s">
        <v>3119</v>
      </c>
      <c r="O2032" t="s">
        <v>74</v>
      </c>
      <c r="R2032" t="s">
        <v>2452</v>
      </c>
      <c r="T2032" t="s">
        <v>89</v>
      </c>
      <c r="U2032" t="s">
        <v>2453</v>
      </c>
      <c r="V2032" t="s">
        <v>137</v>
      </c>
      <c r="W2032" t="s">
        <v>92</v>
      </c>
      <c r="Y2032" t="s">
        <v>38</v>
      </c>
      <c r="AA2032" t="s">
        <v>38</v>
      </c>
      <c r="AB2032" t="s">
        <v>38</v>
      </c>
      <c r="AC2032" t="s">
        <v>38</v>
      </c>
      <c r="AD2032" t="s">
        <v>48</v>
      </c>
      <c r="AG2032" t="str">
        <f>IF(AD2032="United States", IFERROR(INDEX(Sheet2!$C:$C, MATCH(AE2032&amp;AF2032, Sheet2!$E:$E, 0)) &amp; ", " &amp; INDEX(Sheet2!$D:$D, MATCH(AE2032&amp;AF2032, Sheet2!$E:$E, 0)), ""), "-")</f>
        <v/>
      </c>
    </row>
    <row r="2033" spans="1:33" x14ac:dyDescent="0.25">
      <c r="A2033" t="s">
        <v>3648</v>
      </c>
      <c r="D2033" t="s">
        <v>132</v>
      </c>
      <c r="E2033" t="s">
        <v>275</v>
      </c>
      <c r="F2033">
        <v>1733</v>
      </c>
      <c r="G2033">
        <v>1457</v>
      </c>
      <c r="H2033">
        <v>54</v>
      </c>
      <c r="J2033" t="s">
        <v>3119</v>
      </c>
      <c r="O2033" t="s">
        <v>41</v>
      </c>
      <c r="R2033" t="s">
        <v>2452</v>
      </c>
      <c r="T2033" t="s">
        <v>89</v>
      </c>
      <c r="U2033" t="s">
        <v>2453</v>
      </c>
      <c r="V2033" t="s">
        <v>137</v>
      </c>
      <c r="W2033" t="s">
        <v>92</v>
      </c>
      <c r="Y2033" t="s">
        <v>38</v>
      </c>
      <c r="AA2033" t="s">
        <v>38</v>
      </c>
      <c r="AB2033" t="s">
        <v>38</v>
      </c>
      <c r="AC2033" t="s">
        <v>38</v>
      </c>
      <c r="AD2033" t="s">
        <v>48</v>
      </c>
      <c r="AG2033" t="str">
        <f>IF(AD2033="United States", IFERROR(INDEX(Sheet2!$C:$C, MATCH(AE2033&amp;AF2033, Sheet2!$E:$E, 0)) &amp; ", " &amp; INDEX(Sheet2!$D:$D, MATCH(AE2033&amp;AF2033, Sheet2!$E:$E, 0)), ""), "-")</f>
        <v/>
      </c>
    </row>
    <row r="2034" spans="1:33" x14ac:dyDescent="0.25">
      <c r="A2034" t="s">
        <v>3648</v>
      </c>
      <c r="D2034" t="s">
        <v>3650</v>
      </c>
      <c r="E2034" t="s">
        <v>275</v>
      </c>
      <c r="F2034">
        <v>1761</v>
      </c>
      <c r="G2034">
        <v>1458</v>
      </c>
      <c r="H2034">
        <v>54</v>
      </c>
      <c r="J2034" t="s">
        <v>3119</v>
      </c>
      <c r="O2034" t="s">
        <v>41</v>
      </c>
      <c r="R2034" t="s">
        <v>2452</v>
      </c>
      <c r="T2034" t="s">
        <v>89</v>
      </c>
      <c r="U2034" t="s">
        <v>2453</v>
      </c>
      <c r="V2034" t="s">
        <v>137</v>
      </c>
      <c r="W2034" t="s">
        <v>92</v>
      </c>
      <c r="Y2034" t="s">
        <v>38</v>
      </c>
      <c r="AA2034" t="s">
        <v>38</v>
      </c>
      <c r="AB2034" t="s">
        <v>38</v>
      </c>
      <c r="AC2034" t="s">
        <v>38</v>
      </c>
      <c r="AD2034" t="s">
        <v>48</v>
      </c>
      <c r="AG2034" t="str">
        <f>IF(AD2034="United States", IFERROR(INDEX(Sheet2!$C:$C, MATCH(AE2034&amp;AF2034, Sheet2!$E:$E, 0)) &amp; ", " &amp; INDEX(Sheet2!$D:$D, MATCH(AE2034&amp;AF2034, Sheet2!$E:$E, 0)), ""), "-")</f>
        <v/>
      </c>
    </row>
    <row r="2035" spans="1:33" x14ac:dyDescent="0.25">
      <c r="A2035" t="s">
        <v>3648</v>
      </c>
      <c r="D2035" t="s">
        <v>837</v>
      </c>
      <c r="E2035" t="s">
        <v>275</v>
      </c>
      <c r="F2035">
        <v>1765</v>
      </c>
      <c r="G2035">
        <v>1459</v>
      </c>
      <c r="H2035">
        <v>54</v>
      </c>
      <c r="J2035" t="s">
        <v>3119</v>
      </c>
      <c r="O2035" t="s">
        <v>41</v>
      </c>
      <c r="R2035" t="s">
        <v>2452</v>
      </c>
      <c r="T2035" t="s">
        <v>89</v>
      </c>
      <c r="U2035" t="s">
        <v>2453</v>
      </c>
      <c r="V2035" t="s">
        <v>137</v>
      </c>
      <c r="W2035" t="s">
        <v>92</v>
      </c>
      <c r="Y2035" t="s">
        <v>38</v>
      </c>
      <c r="AA2035" t="s">
        <v>38</v>
      </c>
      <c r="AB2035" t="s">
        <v>38</v>
      </c>
      <c r="AC2035" t="s">
        <v>38</v>
      </c>
      <c r="AD2035" t="s">
        <v>48</v>
      </c>
      <c r="AG2035" t="str">
        <f>IF(AD2035="United States", IFERROR(INDEX(Sheet2!$C:$C, MATCH(AE2035&amp;AF2035, Sheet2!$E:$E, 0)) &amp; ", " &amp; INDEX(Sheet2!$D:$D, MATCH(AE2035&amp;AF2035, Sheet2!$E:$E, 0)), ""), "-")</f>
        <v/>
      </c>
    </row>
    <row r="2036" spans="1:33" x14ac:dyDescent="0.25">
      <c r="A2036" t="s">
        <v>3648</v>
      </c>
      <c r="D2036" t="s">
        <v>569</v>
      </c>
      <c r="E2036" t="s">
        <v>3651</v>
      </c>
      <c r="F2036">
        <v>1757</v>
      </c>
      <c r="G2036">
        <v>1460</v>
      </c>
      <c r="H2036">
        <v>54</v>
      </c>
      <c r="J2036" t="s">
        <v>3119</v>
      </c>
      <c r="O2036" t="s">
        <v>41</v>
      </c>
      <c r="R2036" t="s">
        <v>2452</v>
      </c>
      <c r="T2036" t="s">
        <v>89</v>
      </c>
      <c r="U2036" t="s">
        <v>2453</v>
      </c>
      <c r="V2036" t="s">
        <v>137</v>
      </c>
      <c r="W2036" t="s">
        <v>92</v>
      </c>
      <c r="Y2036" t="s">
        <v>38</v>
      </c>
      <c r="AA2036" t="s">
        <v>38</v>
      </c>
      <c r="AB2036" t="s">
        <v>38</v>
      </c>
      <c r="AC2036" t="s">
        <v>38</v>
      </c>
      <c r="AD2036" t="s">
        <v>48</v>
      </c>
      <c r="AG2036" t="str">
        <f>IF(AD2036="United States", IFERROR(INDEX(Sheet2!$C:$C, MATCH(AE2036&amp;AF2036, Sheet2!$E:$E, 0)) &amp; ", " &amp; INDEX(Sheet2!$D:$D, MATCH(AE2036&amp;AF2036, Sheet2!$E:$E, 0)), ""), "-")</f>
        <v/>
      </c>
    </row>
    <row r="2037" spans="1:33" x14ac:dyDescent="0.25">
      <c r="A2037" t="s">
        <v>3648</v>
      </c>
      <c r="D2037" t="s">
        <v>226</v>
      </c>
      <c r="E2037" t="s">
        <v>3652</v>
      </c>
      <c r="F2037">
        <v>1744</v>
      </c>
      <c r="G2037">
        <v>1461</v>
      </c>
      <c r="H2037">
        <v>54</v>
      </c>
      <c r="J2037" t="s">
        <v>3119</v>
      </c>
      <c r="O2037" t="s">
        <v>41</v>
      </c>
      <c r="R2037" t="s">
        <v>2452</v>
      </c>
      <c r="T2037" t="s">
        <v>89</v>
      </c>
      <c r="U2037" t="s">
        <v>2453</v>
      </c>
      <c r="V2037" t="s">
        <v>137</v>
      </c>
      <c r="W2037" t="s">
        <v>92</v>
      </c>
      <c r="Y2037" t="s">
        <v>38</v>
      </c>
      <c r="AA2037" t="s">
        <v>38</v>
      </c>
      <c r="AB2037" t="s">
        <v>38</v>
      </c>
      <c r="AC2037" t="s">
        <v>38</v>
      </c>
      <c r="AD2037" t="s">
        <v>48</v>
      </c>
      <c r="AG2037" t="str">
        <f>IF(AD2037="United States", IFERROR(INDEX(Sheet2!$C:$C, MATCH(AE2037&amp;AF2037, Sheet2!$E:$E, 0)) &amp; ", " &amp; INDEX(Sheet2!$D:$D, MATCH(AE2037&amp;AF2037, Sheet2!$E:$E, 0)), ""), "-")</f>
        <v/>
      </c>
    </row>
    <row r="2038" spans="1:33" x14ac:dyDescent="0.25">
      <c r="A2038" t="s">
        <v>3648</v>
      </c>
      <c r="D2038" t="s">
        <v>113</v>
      </c>
      <c r="E2038" t="s">
        <v>3591</v>
      </c>
      <c r="F2038">
        <v>1761</v>
      </c>
      <c r="G2038">
        <v>1462</v>
      </c>
      <c r="H2038">
        <v>54</v>
      </c>
      <c r="J2038" t="s">
        <v>3119</v>
      </c>
      <c r="O2038" t="s">
        <v>41</v>
      </c>
      <c r="R2038" t="s">
        <v>2452</v>
      </c>
      <c r="T2038" t="s">
        <v>89</v>
      </c>
      <c r="U2038" t="s">
        <v>2453</v>
      </c>
      <c r="V2038" t="s">
        <v>137</v>
      </c>
      <c r="W2038" t="s">
        <v>92</v>
      </c>
      <c r="Y2038" t="s">
        <v>38</v>
      </c>
      <c r="AA2038" t="s">
        <v>38</v>
      </c>
      <c r="AB2038" t="s">
        <v>38</v>
      </c>
      <c r="AC2038" t="s">
        <v>38</v>
      </c>
      <c r="AD2038" t="s">
        <v>48</v>
      </c>
      <c r="AG2038" t="str">
        <f>IF(AD2038="United States", IFERROR(INDEX(Sheet2!$C:$C, MATCH(AE2038&amp;AF2038, Sheet2!$E:$E, 0)) &amp; ", " &amp; INDEX(Sheet2!$D:$D, MATCH(AE2038&amp;AF2038, Sheet2!$E:$E, 0)), ""), "-")</f>
        <v/>
      </c>
    </row>
    <row r="2039" spans="1:33" x14ac:dyDescent="0.25">
      <c r="A2039" t="s">
        <v>3648</v>
      </c>
      <c r="D2039" t="s">
        <v>113</v>
      </c>
      <c r="E2039" t="s">
        <v>1552</v>
      </c>
      <c r="F2039">
        <v>1764</v>
      </c>
      <c r="G2039">
        <v>1463</v>
      </c>
      <c r="H2039">
        <v>54</v>
      </c>
      <c r="J2039" t="s">
        <v>3119</v>
      </c>
      <c r="O2039" t="s">
        <v>41</v>
      </c>
      <c r="R2039" t="s">
        <v>2452</v>
      </c>
      <c r="T2039" t="s">
        <v>89</v>
      </c>
      <c r="U2039" t="s">
        <v>2453</v>
      </c>
      <c r="V2039" t="s">
        <v>137</v>
      </c>
      <c r="W2039" t="s">
        <v>92</v>
      </c>
      <c r="Y2039" t="s">
        <v>38</v>
      </c>
      <c r="AA2039" t="s">
        <v>38</v>
      </c>
      <c r="AB2039" t="s">
        <v>38</v>
      </c>
      <c r="AC2039" t="s">
        <v>38</v>
      </c>
      <c r="AD2039" t="s">
        <v>48</v>
      </c>
      <c r="AG2039" t="str">
        <f>IF(AD2039="United States", IFERROR(INDEX(Sheet2!$C:$C, MATCH(AE2039&amp;AF2039, Sheet2!$E:$E, 0)) &amp; ", " &amp; INDEX(Sheet2!$D:$D, MATCH(AE2039&amp;AF2039, Sheet2!$E:$E, 0)), ""), "-")</f>
        <v/>
      </c>
    </row>
    <row r="2040" spans="1:33" x14ac:dyDescent="0.25">
      <c r="A2040" t="s">
        <v>3648</v>
      </c>
      <c r="D2040" t="s">
        <v>181</v>
      </c>
      <c r="E2040" t="s">
        <v>275</v>
      </c>
      <c r="F2040">
        <v>1779</v>
      </c>
      <c r="G2040">
        <v>1454</v>
      </c>
      <c r="H2040">
        <v>53</v>
      </c>
      <c r="J2040" t="s">
        <v>3119</v>
      </c>
      <c r="O2040" t="s">
        <v>183</v>
      </c>
      <c r="R2040" t="s">
        <v>2452</v>
      </c>
      <c r="T2040" t="s">
        <v>89</v>
      </c>
      <c r="U2040" t="s">
        <v>2453</v>
      </c>
      <c r="V2040" t="s">
        <v>137</v>
      </c>
      <c r="W2040" t="s">
        <v>92</v>
      </c>
      <c r="Y2040" t="s">
        <v>38</v>
      </c>
      <c r="AA2040" t="s">
        <v>38</v>
      </c>
      <c r="AB2040" t="s">
        <v>38</v>
      </c>
      <c r="AC2040" t="s">
        <v>38</v>
      </c>
      <c r="AD2040" t="s">
        <v>48</v>
      </c>
      <c r="AG2040" t="str">
        <f>IF(AD2040="United States", IFERROR(INDEX(Sheet2!$C:$C, MATCH(AE2040&amp;AF2040, Sheet2!$E:$E, 0)) &amp; ", " &amp; INDEX(Sheet2!$D:$D, MATCH(AE2040&amp;AF2040, Sheet2!$E:$E, 0)), ""), "-")</f>
        <v/>
      </c>
    </row>
    <row r="2041" spans="1:33" x14ac:dyDescent="0.25">
      <c r="A2041" t="s">
        <v>3648</v>
      </c>
      <c r="D2041" t="s">
        <v>3653</v>
      </c>
      <c r="E2041" t="s">
        <v>3654</v>
      </c>
      <c r="F2041">
        <v>1768</v>
      </c>
      <c r="G2041">
        <v>1438</v>
      </c>
      <c r="H2041">
        <v>53</v>
      </c>
      <c r="J2041" t="s">
        <v>3119</v>
      </c>
      <c r="O2041" t="s">
        <v>54</v>
      </c>
      <c r="R2041" t="s">
        <v>2452</v>
      </c>
      <c r="T2041" t="s">
        <v>89</v>
      </c>
      <c r="U2041" t="s">
        <v>2453</v>
      </c>
      <c r="V2041" t="s">
        <v>137</v>
      </c>
      <c r="W2041" t="s">
        <v>92</v>
      </c>
      <c r="Y2041" t="s">
        <v>38</v>
      </c>
      <c r="AA2041" t="s">
        <v>38</v>
      </c>
      <c r="AB2041" t="s">
        <v>38</v>
      </c>
      <c r="AC2041" t="s">
        <v>38</v>
      </c>
      <c r="AD2041" t="s">
        <v>48</v>
      </c>
      <c r="AG2041" t="str">
        <f>IF(AD2041="United States", IFERROR(INDEX(Sheet2!$C:$C, MATCH(AE2041&amp;AF2041, Sheet2!$E:$E, 0)) &amp; ", " &amp; INDEX(Sheet2!$D:$D, MATCH(AE2041&amp;AF2041, Sheet2!$E:$E, 0)), ""), "-")</f>
        <v/>
      </c>
    </row>
    <row r="2042" spans="1:33" x14ac:dyDescent="0.25">
      <c r="A2042" t="s">
        <v>3648</v>
      </c>
      <c r="D2042" t="s">
        <v>226</v>
      </c>
      <c r="E2042" t="s">
        <v>1552</v>
      </c>
      <c r="F2042">
        <v>1720</v>
      </c>
      <c r="G2042">
        <v>1436</v>
      </c>
      <c r="H2042">
        <v>53</v>
      </c>
      <c r="J2042" t="s">
        <v>3119</v>
      </c>
      <c r="O2042" t="s">
        <v>41</v>
      </c>
      <c r="R2042" t="s">
        <v>2452</v>
      </c>
      <c r="T2042" t="s">
        <v>89</v>
      </c>
      <c r="U2042" t="s">
        <v>2453</v>
      </c>
      <c r="V2042" t="s">
        <v>137</v>
      </c>
      <c r="W2042" t="s">
        <v>92</v>
      </c>
      <c r="Y2042" t="s">
        <v>38</v>
      </c>
      <c r="AA2042" t="s">
        <v>38</v>
      </c>
      <c r="AB2042" t="s">
        <v>38</v>
      </c>
      <c r="AC2042" t="s">
        <v>38</v>
      </c>
      <c r="AD2042" t="s">
        <v>48</v>
      </c>
      <c r="AG2042" t="str">
        <f>IF(AD2042="United States", IFERROR(INDEX(Sheet2!$C:$C, MATCH(AE2042&amp;AF2042, Sheet2!$E:$E, 0)) &amp; ", " &amp; INDEX(Sheet2!$D:$D, MATCH(AE2042&amp;AF2042, Sheet2!$E:$E, 0)), ""), "-")</f>
        <v/>
      </c>
    </row>
    <row r="2043" spans="1:33" x14ac:dyDescent="0.25">
      <c r="A2043" t="s">
        <v>3648</v>
      </c>
      <c r="D2043" t="s">
        <v>98</v>
      </c>
      <c r="E2043" t="s">
        <v>3342</v>
      </c>
      <c r="F2043">
        <v>1760</v>
      </c>
      <c r="G2043">
        <v>1061</v>
      </c>
      <c r="H2043">
        <v>45</v>
      </c>
      <c r="J2043" t="s">
        <v>3119</v>
      </c>
      <c r="O2043" t="s">
        <v>57</v>
      </c>
      <c r="R2043" t="s">
        <v>2452</v>
      </c>
      <c r="T2043" t="s">
        <v>89</v>
      </c>
      <c r="U2043" t="s">
        <v>2453</v>
      </c>
      <c r="V2043" t="s">
        <v>137</v>
      </c>
      <c r="W2043" t="s">
        <v>92</v>
      </c>
      <c r="Y2043" t="s">
        <v>38</v>
      </c>
      <c r="AA2043" t="s">
        <v>38</v>
      </c>
      <c r="AB2043" t="s">
        <v>38</v>
      </c>
      <c r="AC2043" t="s">
        <v>38</v>
      </c>
      <c r="AD2043" t="s">
        <v>48</v>
      </c>
      <c r="AG2043" t="str">
        <f>IF(AD2043="United States", IFERROR(INDEX(Sheet2!$C:$C, MATCH(AE2043&amp;AF2043, Sheet2!$E:$E, 0)) &amp; ", " &amp; INDEX(Sheet2!$D:$D, MATCH(AE2043&amp;AF2043, Sheet2!$E:$E, 0)), ""), "-")</f>
        <v/>
      </c>
    </row>
    <row r="2044" spans="1:33" x14ac:dyDescent="0.25">
      <c r="A2044" t="s">
        <v>3648</v>
      </c>
      <c r="D2044" t="s">
        <v>245</v>
      </c>
      <c r="E2044" t="s">
        <v>3294</v>
      </c>
      <c r="F2044">
        <v>1763</v>
      </c>
      <c r="G2044">
        <v>1060</v>
      </c>
      <c r="H2044">
        <v>45</v>
      </c>
      <c r="J2044" t="s">
        <v>3119</v>
      </c>
      <c r="O2044" t="s">
        <v>57</v>
      </c>
      <c r="R2044" t="s">
        <v>2452</v>
      </c>
      <c r="T2044" t="s">
        <v>89</v>
      </c>
      <c r="U2044" t="s">
        <v>2453</v>
      </c>
      <c r="V2044" t="s">
        <v>137</v>
      </c>
      <c r="W2044" t="s">
        <v>92</v>
      </c>
      <c r="Y2044" t="s">
        <v>38</v>
      </c>
      <c r="AA2044" t="s">
        <v>38</v>
      </c>
      <c r="AB2044" t="s">
        <v>38</v>
      </c>
      <c r="AC2044" t="s">
        <v>38</v>
      </c>
      <c r="AD2044" t="s">
        <v>48</v>
      </c>
      <c r="AG2044" t="str">
        <f>IF(AD2044="United States", IFERROR(INDEX(Sheet2!$C:$C, MATCH(AE2044&amp;AF2044, Sheet2!$E:$E, 0)) &amp; ", " &amp; INDEX(Sheet2!$D:$D, MATCH(AE2044&amp;AF2044, Sheet2!$E:$E, 0)), ""), "-")</f>
        <v/>
      </c>
    </row>
    <row r="2045" spans="1:33" x14ac:dyDescent="0.25">
      <c r="A2045" t="s">
        <v>3648</v>
      </c>
      <c r="D2045" t="s">
        <v>834</v>
      </c>
      <c r="E2045" t="s">
        <v>3287</v>
      </c>
      <c r="F2045">
        <v>1779</v>
      </c>
      <c r="G2045">
        <v>1059</v>
      </c>
      <c r="H2045">
        <v>45</v>
      </c>
      <c r="J2045" t="s">
        <v>3119</v>
      </c>
      <c r="O2045" t="s">
        <v>74</v>
      </c>
      <c r="R2045" t="s">
        <v>2452</v>
      </c>
      <c r="T2045" t="s">
        <v>89</v>
      </c>
      <c r="U2045" t="s">
        <v>2453</v>
      </c>
      <c r="V2045" t="s">
        <v>137</v>
      </c>
      <c r="W2045" t="s">
        <v>92</v>
      </c>
      <c r="Y2045" t="s">
        <v>38</v>
      </c>
      <c r="AA2045" t="s">
        <v>38</v>
      </c>
      <c r="AB2045" t="s">
        <v>38</v>
      </c>
      <c r="AC2045" t="s">
        <v>38</v>
      </c>
      <c r="AD2045" t="s">
        <v>48</v>
      </c>
      <c r="AG2045" t="str">
        <f>IF(AD2045="United States", IFERROR(INDEX(Sheet2!$C:$C, MATCH(AE2045&amp;AF2045, Sheet2!$E:$E, 0)) &amp; ", " &amp; INDEX(Sheet2!$D:$D, MATCH(AE2045&amp;AF2045, Sheet2!$E:$E, 0)), ""), "-")</f>
        <v/>
      </c>
    </row>
    <row r="2046" spans="1:33" x14ac:dyDescent="0.25">
      <c r="A2046" t="s">
        <v>3648</v>
      </c>
      <c r="D2046" t="s">
        <v>2124</v>
      </c>
      <c r="E2046" t="s">
        <v>970</v>
      </c>
      <c r="F2046" t="s">
        <v>38</v>
      </c>
      <c r="G2046">
        <v>1058</v>
      </c>
      <c r="H2046">
        <v>45</v>
      </c>
      <c r="J2046" t="s">
        <v>3119</v>
      </c>
      <c r="O2046" t="s">
        <v>74</v>
      </c>
      <c r="R2046" t="s">
        <v>2452</v>
      </c>
      <c r="T2046" t="s">
        <v>89</v>
      </c>
      <c r="U2046" t="s">
        <v>2453</v>
      </c>
      <c r="V2046" t="s">
        <v>137</v>
      </c>
      <c r="W2046" t="s">
        <v>92</v>
      </c>
      <c r="Y2046" t="s">
        <v>38</v>
      </c>
      <c r="AA2046" t="s">
        <v>38</v>
      </c>
      <c r="AB2046" t="s">
        <v>38</v>
      </c>
      <c r="AC2046" t="s">
        <v>38</v>
      </c>
      <c r="AD2046" t="s">
        <v>48</v>
      </c>
      <c r="AG2046" t="str">
        <f>IF(AD2046="United States", IFERROR(INDEX(Sheet2!$C:$C, MATCH(AE2046&amp;AF2046, Sheet2!$E:$E, 0)) &amp; ", " &amp; INDEX(Sheet2!$D:$D, MATCH(AE2046&amp;AF2046, Sheet2!$E:$E, 0)), ""), "-")</f>
        <v/>
      </c>
    </row>
    <row r="2047" spans="1:33" x14ac:dyDescent="0.25">
      <c r="A2047" t="s">
        <v>3648</v>
      </c>
      <c r="D2047" t="s">
        <v>285</v>
      </c>
      <c r="E2047" t="s">
        <v>3287</v>
      </c>
      <c r="F2047">
        <v>1757</v>
      </c>
      <c r="G2047">
        <v>1057</v>
      </c>
      <c r="H2047">
        <v>45</v>
      </c>
      <c r="J2047" t="s">
        <v>3119</v>
      </c>
      <c r="O2047" t="s">
        <v>57</v>
      </c>
      <c r="R2047" t="s">
        <v>2452</v>
      </c>
      <c r="T2047" t="s">
        <v>89</v>
      </c>
      <c r="U2047" t="s">
        <v>2453</v>
      </c>
      <c r="V2047" t="s">
        <v>137</v>
      </c>
      <c r="W2047" t="s">
        <v>92</v>
      </c>
      <c r="Y2047" t="s">
        <v>38</v>
      </c>
      <c r="AA2047" t="s">
        <v>38</v>
      </c>
      <c r="AB2047" t="s">
        <v>38</v>
      </c>
      <c r="AC2047" t="s">
        <v>38</v>
      </c>
      <c r="AD2047" t="s">
        <v>48</v>
      </c>
      <c r="AG2047" t="str">
        <f>IF(AD2047="United States", IFERROR(INDEX(Sheet2!$C:$C, MATCH(AE2047&amp;AF2047, Sheet2!$E:$E, 0)) &amp; ", " &amp; INDEX(Sheet2!$D:$D, MATCH(AE2047&amp;AF2047, Sheet2!$E:$E, 0)), ""), "-")</f>
        <v/>
      </c>
    </row>
    <row r="2048" spans="1:33" x14ac:dyDescent="0.25">
      <c r="A2048" t="s">
        <v>3648</v>
      </c>
      <c r="D2048" t="s">
        <v>181</v>
      </c>
      <c r="E2048" t="s">
        <v>3631</v>
      </c>
      <c r="F2048">
        <v>1782</v>
      </c>
      <c r="G2048">
        <v>1435</v>
      </c>
      <c r="H2048">
        <v>53</v>
      </c>
      <c r="J2048" t="s">
        <v>3119</v>
      </c>
      <c r="O2048" t="s">
        <v>54</v>
      </c>
      <c r="R2048" t="s">
        <v>2452</v>
      </c>
      <c r="T2048" t="s">
        <v>89</v>
      </c>
      <c r="U2048" t="s">
        <v>2453</v>
      </c>
      <c r="V2048" t="s">
        <v>137</v>
      </c>
      <c r="W2048" t="s">
        <v>92</v>
      </c>
      <c r="Y2048" t="s">
        <v>38</v>
      </c>
      <c r="AA2048" t="s">
        <v>38</v>
      </c>
      <c r="AB2048" t="s">
        <v>38</v>
      </c>
      <c r="AC2048" t="s">
        <v>38</v>
      </c>
      <c r="AD2048" t="s">
        <v>48</v>
      </c>
      <c r="AG2048" t="str">
        <f>IF(AD2048="United States", IFERROR(INDEX(Sheet2!$C:$C, MATCH(AE2048&amp;AF2048, Sheet2!$E:$E, 0)) &amp; ", " &amp; INDEX(Sheet2!$D:$D, MATCH(AE2048&amp;AF2048, Sheet2!$E:$E, 0)), ""), "-")</f>
        <v/>
      </c>
    </row>
    <row r="2049" spans="1:33" x14ac:dyDescent="0.25">
      <c r="A2049" t="s">
        <v>3648</v>
      </c>
      <c r="D2049" t="s">
        <v>1140</v>
      </c>
      <c r="E2049" t="s">
        <v>3631</v>
      </c>
      <c r="F2049">
        <v>1761</v>
      </c>
      <c r="G2049">
        <v>1434</v>
      </c>
      <c r="H2049">
        <v>53</v>
      </c>
      <c r="J2049" t="s">
        <v>3119</v>
      </c>
      <c r="O2049" t="s">
        <v>57</v>
      </c>
      <c r="R2049" t="s">
        <v>2452</v>
      </c>
      <c r="T2049" t="s">
        <v>89</v>
      </c>
      <c r="U2049" t="s">
        <v>2453</v>
      </c>
      <c r="V2049" t="s">
        <v>137</v>
      </c>
      <c r="W2049" t="s">
        <v>92</v>
      </c>
      <c r="Y2049" t="s">
        <v>38</v>
      </c>
      <c r="AA2049" t="s">
        <v>38</v>
      </c>
      <c r="AB2049" t="s">
        <v>38</v>
      </c>
      <c r="AC2049" t="s">
        <v>38</v>
      </c>
      <c r="AD2049" t="s">
        <v>48</v>
      </c>
      <c r="AG2049" t="str">
        <f>IF(AD2049="United States", IFERROR(INDEX(Sheet2!$C:$C, MATCH(AE2049&amp;AF2049, Sheet2!$E:$E, 0)) &amp; ", " &amp; INDEX(Sheet2!$D:$D, MATCH(AE2049&amp;AF2049, Sheet2!$E:$E, 0)), ""), "-")</f>
        <v/>
      </c>
    </row>
    <row r="2050" spans="1:33" x14ac:dyDescent="0.25">
      <c r="A2050" t="s">
        <v>3648</v>
      </c>
      <c r="D2050" t="s">
        <v>824</v>
      </c>
      <c r="E2050" t="s">
        <v>3631</v>
      </c>
      <c r="F2050">
        <v>1756</v>
      </c>
      <c r="G2050">
        <v>1433</v>
      </c>
      <c r="H2050">
        <v>53</v>
      </c>
      <c r="J2050" t="s">
        <v>3119</v>
      </c>
      <c r="O2050" t="s">
        <v>41</v>
      </c>
      <c r="R2050" t="s">
        <v>2452</v>
      </c>
      <c r="T2050" t="s">
        <v>89</v>
      </c>
      <c r="U2050" t="s">
        <v>2453</v>
      </c>
      <c r="V2050" t="s">
        <v>137</v>
      </c>
      <c r="W2050" t="s">
        <v>92</v>
      </c>
      <c r="Y2050" t="s">
        <v>38</v>
      </c>
      <c r="AA2050" t="s">
        <v>38</v>
      </c>
      <c r="AB2050" t="s">
        <v>38</v>
      </c>
      <c r="AC2050" t="s">
        <v>38</v>
      </c>
      <c r="AD2050" t="s">
        <v>48</v>
      </c>
      <c r="AG2050" t="str">
        <f>IF(AD2050="United States", IFERROR(INDEX(Sheet2!$C:$C, MATCH(AE2050&amp;AF2050, Sheet2!$E:$E, 0)) &amp; ", " &amp; INDEX(Sheet2!$D:$D, MATCH(AE2050&amp;AF2050, Sheet2!$E:$E, 0)), ""), "-")</f>
        <v/>
      </c>
    </row>
    <row r="2051" spans="1:33" x14ac:dyDescent="0.25">
      <c r="A2051" t="s">
        <v>3648</v>
      </c>
      <c r="D2051" t="s">
        <v>676</v>
      </c>
      <c r="E2051" t="s">
        <v>38</v>
      </c>
      <c r="F2051">
        <v>1718</v>
      </c>
      <c r="G2051">
        <v>1437</v>
      </c>
      <c r="H2051">
        <v>53</v>
      </c>
      <c r="J2051" t="s">
        <v>3119</v>
      </c>
      <c r="O2051" t="s">
        <v>57</v>
      </c>
      <c r="R2051" t="s">
        <v>2452</v>
      </c>
      <c r="T2051" t="s">
        <v>89</v>
      </c>
      <c r="U2051" t="s">
        <v>2453</v>
      </c>
      <c r="V2051" t="s">
        <v>137</v>
      </c>
      <c r="W2051" t="s">
        <v>92</v>
      </c>
      <c r="Y2051" t="s">
        <v>38</v>
      </c>
      <c r="AA2051" t="s">
        <v>38</v>
      </c>
      <c r="AB2051" t="s">
        <v>38</v>
      </c>
      <c r="AC2051" t="s">
        <v>38</v>
      </c>
      <c r="AD2051" t="s">
        <v>48</v>
      </c>
      <c r="AG2051" t="str">
        <f>IF(AD2051="United States", IFERROR(INDEX(Sheet2!$C:$C, MATCH(AE2051&amp;AF2051, Sheet2!$E:$E, 0)) &amp; ", " &amp; INDEX(Sheet2!$D:$D, MATCH(AE2051&amp;AF2051, Sheet2!$E:$E, 0)), ""), "-")</f>
        <v/>
      </c>
    </row>
    <row r="2052" spans="1:33" x14ac:dyDescent="0.25">
      <c r="A2052" t="s">
        <v>3648</v>
      </c>
      <c r="D2052" t="s">
        <v>181</v>
      </c>
      <c r="E2052" t="s">
        <v>1941</v>
      </c>
      <c r="F2052" t="s">
        <v>38</v>
      </c>
      <c r="G2052">
        <v>1432</v>
      </c>
      <c r="H2052">
        <v>53</v>
      </c>
      <c r="J2052" t="s">
        <v>3119</v>
      </c>
      <c r="O2052" t="s">
        <v>54</v>
      </c>
      <c r="R2052" t="s">
        <v>2452</v>
      </c>
      <c r="T2052" t="s">
        <v>89</v>
      </c>
      <c r="U2052" t="s">
        <v>2453</v>
      </c>
      <c r="V2052" t="s">
        <v>137</v>
      </c>
      <c r="W2052" t="s">
        <v>92</v>
      </c>
      <c r="Y2052" t="s">
        <v>38</v>
      </c>
      <c r="AA2052" t="s">
        <v>38</v>
      </c>
      <c r="AB2052" t="s">
        <v>38</v>
      </c>
      <c r="AC2052" t="s">
        <v>38</v>
      </c>
      <c r="AD2052" t="s">
        <v>48</v>
      </c>
      <c r="AG2052" t="str">
        <f>IF(AD2052="United States", IFERROR(INDEX(Sheet2!$C:$C, MATCH(AE2052&amp;AF2052, Sheet2!$E:$E, 0)) &amp; ", " &amp; INDEX(Sheet2!$D:$D, MATCH(AE2052&amp;AF2052, Sheet2!$E:$E, 0)), ""), "-")</f>
        <v/>
      </c>
    </row>
    <row r="2053" spans="1:33" x14ac:dyDescent="0.25">
      <c r="A2053" t="s">
        <v>3648</v>
      </c>
      <c r="D2053" t="s">
        <v>1238</v>
      </c>
      <c r="E2053" t="s">
        <v>275</v>
      </c>
      <c r="F2053">
        <v>1743</v>
      </c>
      <c r="G2053">
        <v>1453</v>
      </c>
      <c r="H2053">
        <v>53</v>
      </c>
      <c r="J2053" t="s">
        <v>3119</v>
      </c>
      <c r="O2053" t="s">
        <v>57</v>
      </c>
      <c r="R2053" t="s">
        <v>2452</v>
      </c>
      <c r="T2053" t="s">
        <v>89</v>
      </c>
      <c r="U2053" t="s">
        <v>2453</v>
      </c>
      <c r="V2053" t="s">
        <v>137</v>
      </c>
      <c r="W2053" t="s">
        <v>92</v>
      </c>
      <c r="Y2053" t="s">
        <v>38</v>
      </c>
      <c r="AA2053" t="s">
        <v>38</v>
      </c>
      <c r="AB2053" t="s">
        <v>38</v>
      </c>
      <c r="AC2053" t="s">
        <v>38</v>
      </c>
      <c r="AD2053" t="s">
        <v>48</v>
      </c>
      <c r="AG2053" t="str">
        <f>IF(AD2053="United States", IFERROR(INDEX(Sheet2!$C:$C, MATCH(AE2053&amp;AF2053, Sheet2!$E:$E, 0)) &amp; ", " &amp; INDEX(Sheet2!$D:$D, MATCH(AE2053&amp;AF2053, Sheet2!$E:$E, 0)), ""), "-")</f>
        <v/>
      </c>
    </row>
    <row r="2054" spans="1:33" x14ac:dyDescent="0.25">
      <c r="A2054" t="s">
        <v>3648</v>
      </c>
      <c r="D2054" t="s">
        <v>463</v>
      </c>
      <c r="E2054" t="s">
        <v>3651</v>
      </c>
      <c r="F2054">
        <v>1759</v>
      </c>
      <c r="G2054">
        <v>1439</v>
      </c>
      <c r="H2054">
        <v>53</v>
      </c>
      <c r="J2054" t="s">
        <v>3119</v>
      </c>
      <c r="O2054" t="s">
        <v>41</v>
      </c>
      <c r="R2054" t="s">
        <v>2452</v>
      </c>
      <c r="T2054" t="s">
        <v>89</v>
      </c>
      <c r="U2054" t="s">
        <v>2453</v>
      </c>
      <c r="V2054" t="s">
        <v>137</v>
      </c>
      <c r="W2054" t="s">
        <v>92</v>
      </c>
      <c r="Y2054" t="s">
        <v>38</v>
      </c>
      <c r="AA2054" t="s">
        <v>38</v>
      </c>
      <c r="AB2054" t="s">
        <v>38</v>
      </c>
      <c r="AC2054" t="s">
        <v>38</v>
      </c>
      <c r="AD2054" t="s">
        <v>48</v>
      </c>
      <c r="AG2054" t="str">
        <f>IF(AD2054="United States", IFERROR(INDEX(Sheet2!$C:$C, MATCH(AE2054&amp;AF2054, Sheet2!$E:$E, 0)) &amp; ", " &amp; INDEX(Sheet2!$D:$D, MATCH(AE2054&amp;AF2054, Sheet2!$E:$E, 0)), ""), "-")</f>
        <v/>
      </c>
    </row>
    <row r="2055" spans="1:33" x14ac:dyDescent="0.25">
      <c r="A2055" t="s">
        <v>3648</v>
      </c>
      <c r="D2055" t="s">
        <v>535</v>
      </c>
      <c r="E2055" t="s">
        <v>3655</v>
      </c>
      <c r="F2055">
        <v>1759</v>
      </c>
      <c r="G2055">
        <v>1451</v>
      </c>
      <c r="H2055">
        <v>53</v>
      </c>
      <c r="J2055" t="s">
        <v>3119</v>
      </c>
      <c r="O2055" t="s">
        <v>57</v>
      </c>
      <c r="R2055" t="s">
        <v>2452</v>
      </c>
      <c r="T2055" t="s">
        <v>89</v>
      </c>
      <c r="U2055" t="s">
        <v>2453</v>
      </c>
      <c r="V2055" t="s">
        <v>137</v>
      </c>
      <c r="W2055" t="s">
        <v>92</v>
      </c>
      <c r="Y2055" t="s">
        <v>38</v>
      </c>
      <c r="AA2055" t="s">
        <v>38</v>
      </c>
      <c r="AB2055" t="s">
        <v>38</v>
      </c>
      <c r="AC2055" t="s">
        <v>38</v>
      </c>
      <c r="AD2055" t="s">
        <v>48</v>
      </c>
      <c r="AG2055" t="str">
        <f>IF(AD2055="United States", IFERROR(INDEX(Sheet2!$C:$C, MATCH(AE2055&amp;AF2055, Sheet2!$E:$E, 0)) &amp; ", " &amp; INDEX(Sheet2!$D:$D, MATCH(AE2055&amp;AF2055, Sheet2!$E:$E, 0)), ""), "-")</f>
        <v/>
      </c>
    </row>
    <row r="2056" spans="1:33" x14ac:dyDescent="0.25">
      <c r="A2056" t="s">
        <v>3648</v>
      </c>
      <c r="D2056" t="s">
        <v>1110</v>
      </c>
      <c r="E2056" t="s">
        <v>3303</v>
      </c>
      <c r="F2056">
        <v>1752</v>
      </c>
      <c r="G2056">
        <v>1132</v>
      </c>
      <c r="H2056">
        <v>46</v>
      </c>
      <c r="J2056" t="s">
        <v>3119</v>
      </c>
      <c r="O2056" t="s">
        <v>41</v>
      </c>
      <c r="R2056" t="s">
        <v>2452</v>
      </c>
      <c r="T2056" t="s">
        <v>89</v>
      </c>
      <c r="U2056" t="s">
        <v>2453</v>
      </c>
      <c r="V2056" t="s">
        <v>137</v>
      </c>
      <c r="W2056" t="s">
        <v>92</v>
      </c>
      <c r="Y2056" t="s">
        <v>38</v>
      </c>
      <c r="AA2056" t="s">
        <v>38</v>
      </c>
      <c r="AB2056" t="s">
        <v>38</v>
      </c>
      <c r="AC2056" t="s">
        <v>38</v>
      </c>
      <c r="AD2056" t="s">
        <v>48</v>
      </c>
      <c r="AG2056" t="str">
        <f>IF(AD2056="United States", IFERROR(INDEX(Sheet2!$C:$C, MATCH(AE2056&amp;AF2056, Sheet2!$E:$E, 0)) &amp; ", " &amp; INDEX(Sheet2!$D:$D, MATCH(AE2056&amp;AF2056, Sheet2!$E:$E, 0)), ""), "-")</f>
        <v/>
      </c>
    </row>
    <row r="2057" spans="1:33" x14ac:dyDescent="0.25">
      <c r="A2057" t="s">
        <v>3648</v>
      </c>
      <c r="D2057" t="s">
        <v>676</v>
      </c>
      <c r="E2057" t="s">
        <v>3303</v>
      </c>
      <c r="F2057">
        <v>1743</v>
      </c>
      <c r="G2057">
        <v>1133</v>
      </c>
      <c r="H2057">
        <v>46</v>
      </c>
      <c r="J2057" t="s">
        <v>3119</v>
      </c>
      <c r="O2057" t="s">
        <v>57</v>
      </c>
      <c r="R2057" t="s">
        <v>2452</v>
      </c>
      <c r="T2057" t="s">
        <v>89</v>
      </c>
      <c r="U2057" t="s">
        <v>2453</v>
      </c>
      <c r="V2057" t="s">
        <v>137</v>
      </c>
      <c r="W2057" t="s">
        <v>92</v>
      </c>
      <c r="Y2057" t="s">
        <v>38</v>
      </c>
      <c r="AA2057" t="s">
        <v>38</v>
      </c>
      <c r="AB2057" t="s">
        <v>38</v>
      </c>
      <c r="AC2057" t="s">
        <v>38</v>
      </c>
      <c r="AD2057" t="s">
        <v>48</v>
      </c>
      <c r="AG2057" t="str">
        <f>IF(AD2057="United States", IFERROR(INDEX(Sheet2!$C:$C, MATCH(AE2057&amp;AF2057, Sheet2!$E:$E, 0)) &amp; ", " &amp; INDEX(Sheet2!$D:$D, MATCH(AE2057&amp;AF2057, Sheet2!$E:$E, 0)), ""), "-")</f>
        <v/>
      </c>
    </row>
    <row r="2058" spans="1:33" x14ac:dyDescent="0.25">
      <c r="A2058" t="s">
        <v>3648</v>
      </c>
      <c r="D2058" t="s">
        <v>3445</v>
      </c>
      <c r="E2058" t="s">
        <v>3656</v>
      </c>
      <c r="F2058">
        <v>1763</v>
      </c>
      <c r="G2058">
        <v>1134</v>
      </c>
      <c r="H2058">
        <v>46</v>
      </c>
      <c r="J2058" t="s">
        <v>3119</v>
      </c>
      <c r="O2058" t="s">
        <v>57</v>
      </c>
      <c r="R2058" t="s">
        <v>2452</v>
      </c>
      <c r="T2058" t="s">
        <v>89</v>
      </c>
      <c r="U2058" t="s">
        <v>2453</v>
      </c>
      <c r="V2058" t="s">
        <v>137</v>
      </c>
      <c r="W2058" t="s">
        <v>92</v>
      </c>
      <c r="Y2058" t="s">
        <v>38</v>
      </c>
      <c r="AA2058" t="s">
        <v>38</v>
      </c>
      <c r="AB2058" t="s">
        <v>38</v>
      </c>
      <c r="AC2058" t="s">
        <v>38</v>
      </c>
      <c r="AD2058" t="s">
        <v>48</v>
      </c>
      <c r="AG2058" t="str">
        <f>IF(AD2058="United States", IFERROR(INDEX(Sheet2!$C:$C, MATCH(AE2058&amp;AF2058, Sheet2!$E:$E, 0)) &amp; ", " &amp; INDEX(Sheet2!$D:$D, MATCH(AE2058&amp;AF2058, Sheet2!$E:$E, 0)), ""), "-")</f>
        <v/>
      </c>
    </row>
    <row r="2059" spans="1:33" x14ac:dyDescent="0.25">
      <c r="A2059" t="s">
        <v>3648</v>
      </c>
      <c r="D2059" t="s">
        <v>1122</v>
      </c>
      <c r="E2059" t="s">
        <v>3657</v>
      </c>
      <c r="F2059">
        <v>1733</v>
      </c>
      <c r="G2059">
        <v>1135</v>
      </c>
      <c r="H2059">
        <v>46</v>
      </c>
      <c r="J2059" t="s">
        <v>3119</v>
      </c>
      <c r="O2059" t="s">
        <v>41</v>
      </c>
      <c r="R2059" t="s">
        <v>2452</v>
      </c>
      <c r="T2059" t="s">
        <v>89</v>
      </c>
      <c r="U2059" t="s">
        <v>2453</v>
      </c>
      <c r="V2059" t="s">
        <v>137</v>
      </c>
      <c r="W2059" t="s">
        <v>92</v>
      </c>
      <c r="Y2059" t="s">
        <v>38</v>
      </c>
      <c r="AA2059" t="s">
        <v>38</v>
      </c>
      <c r="AB2059" t="s">
        <v>38</v>
      </c>
      <c r="AC2059" t="s">
        <v>38</v>
      </c>
      <c r="AD2059" t="s">
        <v>48</v>
      </c>
      <c r="AG2059" t="str">
        <f>IF(AD2059="United States", IFERROR(INDEX(Sheet2!$C:$C, MATCH(AE2059&amp;AF2059, Sheet2!$E:$E, 0)) &amp; ", " &amp; INDEX(Sheet2!$D:$D, MATCH(AE2059&amp;AF2059, Sheet2!$E:$E, 0)), ""), "-")</f>
        <v/>
      </c>
    </row>
    <row r="2060" spans="1:33" x14ac:dyDescent="0.25">
      <c r="A2060" t="s">
        <v>3648</v>
      </c>
      <c r="D2060" t="s">
        <v>245</v>
      </c>
      <c r="E2060" t="s">
        <v>633</v>
      </c>
      <c r="F2060">
        <v>1770</v>
      </c>
      <c r="G2060">
        <v>1136</v>
      </c>
      <c r="H2060">
        <v>46</v>
      </c>
      <c r="J2060" t="s">
        <v>3119</v>
      </c>
      <c r="O2060" t="s">
        <v>74</v>
      </c>
      <c r="R2060" t="s">
        <v>2452</v>
      </c>
      <c r="T2060" t="s">
        <v>89</v>
      </c>
      <c r="U2060" t="s">
        <v>2453</v>
      </c>
      <c r="V2060" t="s">
        <v>137</v>
      </c>
      <c r="W2060" t="s">
        <v>92</v>
      </c>
      <c r="Y2060" t="s">
        <v>38</v>
      </c>
      <c r="AA2060" t="s">
        <v>38</v>
      </c>
      <c r="AB2060" t="s">
        <v>38</v>
      </c>
      <c r="AC2060" t="s">
        <v>38</v>
      </c>
      <c r="AD2060" t="s">
        <v>48</v>
      </c>
      <c r="AG2060" t="str">
        <f>IF(AD2060="United States", IFERROR(INDEX(Sheet2!$C:$C, MATCH(AE2060&amp;AF2060, Sheet2!$E:$E, 0)) &amp; ", " &amp; INDEX(Sheet2!$D:$D, MATCH(AE2060&amp;AF2060, Sheet2!$E:$E, 0)), ""), "-")</f>
        <v/>
      </c>
    </row>
    <row r="2061" spans="1:33" x14ac:dyDescent="0.25">
      <c r="A2061" t="s">
        <v>3648</v>
      </c>
      <c r="D2061" t="s">
        <v>200</v>
      </c>
      <c r="E2061" t="s">
        <v>37</v>
      </c>
      <c r="F2061">
        <v>1753</v>
      </c>
      <c r="G2061">
        <v>1137</v>
      </c>
      <c r="H2061">
        <v>46</v>
      </c>
      <c r="J2061" t="s">
        <v>3119</v>
      </c>
      <c r="O2061" t="s">
        <v>41</v>
      </c>
      <c r="R2061" t="s">
        <v>2452</v>
      </c>
      <c r="T2061" t="s">
        <v>89</v>
      </c>
      <c r="U2061" t="s">
        <v>2453</v>
      </c>
      <c r="V2061" t="s">
        <v>137</v>
      </c>
      <c r="W2061" t="s">
        <v>92</v>
      </c>
      <c r="Y2061" t="s">
        <v>38</v>
      </c>
      <c r="AA2061" t="s">
        <v>38</v>
      </c>
      <c r="AB2061" t="s">
        <v>38</v>
      </c>
      <c r="AC2061" t="s">
        <v>38</v>
      </c>
      <c r="AD2061" t="s">
        <v>48</v>
      </c>
      <c r="AG2061" t="str">
        <f>IF(AD2061="United States", IFERROR(INDEX(Sheet2!$C:$C, MATCH(AE2061&amp;AF2061, Sheet2!$E:$E, 0)) &amp; ", " &amp; INDEX(Sheet2!$D:$D, MATCH(AE2061&amp;AF2061, Sheet2!$E:$E, 0)), ""), "-")</f>
        <v/>
      </c>
    </row>
    <row r="2062" spans="1:33" x14ac:dyDescent="0.25">
      <c r="A2062" t="s">
        <v>3648</v>
      </c>
      <c r="D2062" t="s">
        <v>140</v>
      </c>
      <c r="E2062" t="s">
        <v>37</v>
      </c>
      <c r="F2062">
        <v>1751</v>
      </c>
      <c r="G2062">
        <v>1138</v>
      </c>
      <c r="H2062">
        <v>46</v>
      </c>
      <c r="J2062" t="s">
        <v>3119</v>
      </c>
      <c r="O2062" t="s">
        <v>57</v>
      </c>
      <c r="R2062" t="s">
        <v>2452</v>
      </c>
      <c r="T2062" t="s">
        <v>89</v>
      </c>
      <c r="U2062" t="s">
        <v>2453</v>
      </c>
      <c r="V2062" t="s">
        <v>137</v>
      </c>
      <c r="W2062" t="s">
        <v>92</v>
      </c>
      <c r="Y2062" t="s">
        <v>38</v>
      </c>
      <c r="AA2062" t="s">
        <v>38</v>
      </c>
      <c r="AB2062" t="s">
        <v>38</v>
      </c>
      <c r="AC2062" t="s">
        <v>38</v>
      </c>
      <c r="AD2062" t="s">
        <v>48</v>
      </c>
      <c r="AG2062" t="str">
        <f>IF(AD2062="United States", IFERROR(INDEX(Sheet2!$C:$C, MATCH(AE2062&amp;AF2062, Sheet2!$E:$E, 0)) &amp; ", " &amp; INDEX(Sheet2!$D:$D, MATCH(AE2062&amp;AF2062, Sheet2!$E:$E, 0)), ""), "-")</f>
        <v/>
      </c>
    </row>
    <row r="2063" spans="1:33" x14ac:dyDescent="0.25">
      <c r="A2063" t="s">
        <v>3648</v>
      </c>
      <c r="D2063" t="s">
        <v>200</v>
      </c>
      <c r="E2063" t="s">
        <v>37</v>
      </c>
      <c r="F2063">
        <v>1779</v>
      </c>
      <c r="G2063">
        <v>1139</v>
      </c>
      <c r="H2063">
        <v>46</v>
      </c>
      <c r="J2063" t="s">
        <v>3119</v>
      </c>
      <c r="O2063" t="s">
        <v>41</v>
      </c>
      <c r="R2063" t="s">
        <v>2452</v>
      </c>
      <c r="T2063" t="s">
        <v>89</v>
      </c>
      <c r="U2063" t="s">
        <v>2453</v>
      </c>
      <c r="V2063" t="s">
        <v>137</v>
      </c>
      <c r="W2063" t="s">
        <v>92</v>
      </c>
      <c r="Y2063" t="s">
        <v>38</v>
      </c>
      <c r="AA2063" t="s">
        <v>38</v>
      </c>
      <c r="AB2063" t="s">
        <v>38</v>
      </c>
      <c r="AC2063" t="s">
        <v>38</v>
      </c>
      <c r="AD2063" t="s">
        <v>48</v>
      </c>
      <c r="AG2063" t="str">
        <f>IF(AD2063="United States", IFERROR(INDEX(Sheet2!$C:$C, MATCH(AE2063&amp;AF2063, Sheet2!$E:$E, 0)) &amp; ", " &amp; INDEX(Sheet2!$D:$D, MATCH(AE2063&amp;AF2063, Sheet2!$E:$E, 0)), ""), "-")</f>
        <v/>
      </c>
    </row>
    <row r="2064" spans="1:33" x14ac:dyDescent="0.25">
      <c r="A2064" t="s">
        <v>3648</v>
      </c>
      <c r="D2064" t="s">
        <v>132</v>
      </c>
      <c r="E2064" t="s">
        <v>3205</v>
      </c>
      <c r="F2064">
        <v>1753</v>
      </c>
      <c r="G2064">
        <v>1452</v>
      </c>
      <c r="H2064">
        <v>53</v>
      </c>
      <c r="J2064" t="s">
        <v>3119</v>
      </c>
      <c r="O2064" t="s">
        <v>41</v>
      </c>
      <c r="R2064" t="s">
        <v>2452</v>
      </c>
      <c r="T2064" t="s">
        <v>89</v>
      </c>
      <c r="U2064" t="s">
        <v>2453</v>
      </c>
      <c r="V2064" t="s">
        <v>137</v>
      </c>
      <c r="W2064" t="s">
        <v>92</v>
      </c>
      <c r="Y2064" t="s">
        <v>38</v>
      </c>
      <c r="AA2064" t="s">
        <v>38</v>
      </c>
      <c r="AB2064" t="s">
        <v>38</v>
      </c>
      <c r="AC2064" t="s">
        <v>38</v>
      </c>
      <c r="AD2064" t="s">
        <v>48</v>
      </c>
      <c r="AG2064" t="str">
        <f>IF(AD2064="United States", IFERROR(INDEX(Sheet2!$C:$C, MATCH(AE2064&amp;AF2064, Sheet2!$E:$E, 0)) &amp; ", " &amp; INDEX(Sheet2!$D:$D, MATCH(AE2064&amp;AF2064, Sheet2!$E:$E, 0)), ""), "-")</f>
        <v/>
      </c>
    </row>
    <row r="2065" spans="1:33" x14ac:dyDescent="0.25">
      <c r="A2065" t="s">
        <v>3648</v>
      </c>
      <c r="D2065" t="s">
        <v>162</v>
      </c>
      <c r="E2065" t="s">
        <v>37</v>
      </c>
      <c r="F2065">
        <v>1781</v>
      </c>
      <c r="G2065">
        <v>1140</v>
      </c>
      <c r="H2065">
        <v>46</v>
      </c>
      <c r="J2065" t="s">
        <v>3119</v>
      </c>
      <c r="O2065" t="s">
        <v>74</v>
      </c>
      <c r="R2065" t="s">
        <v>2452</v>
      </c>
      <c r="T2065" t="s">
        <v>89</v>
      </c>
      <c r="U2065" t="s">
        <v>2453</v>
      </c>
      <c r="V2065" t="s">
        <v>137</v>
      </c>
      <c r="W2065" t="s">
        <v>92</v>
      </c>
      <c r="Y2065" t="s">
        <v>38</v>
      </c>
      <c r="AA2065" t="s">
        <v>38</v>
      </c>
      <c r="AB2065" t="s">
        <v>38</v>
      </c>
      <c r="AC2065" t="s">
        <v>38</v>
      </c>
      <c r="AD2065" t="s">
        <v>48</v>
      </c>
      <c r="AG2065" t="str">
        <f>IF(AD2065="United States", IFERROR(INDEX(Sheet2!$C:$C, MATCH(AE2065&amp;AF2065, Sheet2!$E:$E, 0)) &amp; ", " &amp; INDEX(Sheet2!$D:$D, MATCH(AE2065&amp;AF2065, Sheet2!$E:$E, 0)), ""), "-")</f>
        <v/>
      </c>
    </row>
    <row r="2066" spans="1:33" x14ac:dyDescent="0.25">
      <c r="A2066" t="s">
        <v>3648</v>
      </c>
      <c r="D2066" t="s">
        <v>222</v>
      </c>
      <c r="E2066" t="s">
        <v>492</v>
      </c>
      <c r="F2066">
        <v>1757</v>
      </c>
      <c r="G2066">
        <v>1142</v>
      </c>
      <c r="H2066">
        <v>46</v>
      </c>
      <c r="J2066" t="s">
        <v>3119</v>
      </c>
      <c r="O2066" t="s">
        <v>57</v>
      </c>
      <c r="R2066" t="s">
        <v>2452</v>
      </c>
      <c r="T2066" t="s">
        <v>89</v>
      </c>
      <c r="U2066" t="s">
        <v>2453</v>
      </c>
      <c r="V2066" t="s">
        <v>137</v>
      </c>
      <c r="W2066" t="s">
        <v>92</v>
      </c>
      <c r="Y2066" t="s">
        <v>38</v>
      </c>
      <c r="AA2066" t="s">
        <v>38</v>
      </c>
      <c r="AB2066" t="s">
        <v>38</v>
      </c>
      <c r="AC2066" t="s">
        <v>38</v>
      </c>
      <c r="AD2066" t="s">
        <v>48</v>
      </c>
      <c r="AG2066" t="str">
        <f>IF(AD2066="United States", IFERROR(INDEX(Sheet2!$C:$C, MATCH(AE2066&amp;AF2066, Sheet2!$E:$E, 0)) &amp; ", " &amp; INDEX(Sheet2!$D:$D, MATCH(AE2066&amp;AF2066, Sheet2!$E:$E, 0)), ""), "-")</f>
        <v/>
      </c>
    </row>
    <row r="2067" spans="1:33" x14ac:dyDescent="0.25">
      <c r="A2067" t="s">
        <v>3648</v>
      </c>
      <c r="D2067" t="s">
        <v>140</v>
      </c>
      <c r="E2067" t="s">
        <v>492</v>
      </c>
      <c r="F2067">
        <v>1780</v>
      </c>
      <c r="G2067">
        <v>1143</v>
      </c>
      <c r="H2067">
        <v>46</v>
      </c>
      <c r="J2067" t="s">
        <v>3119</v>
      </c>
      <c r="O2067" t="s">
        <v>74</v>
      </c>
      <c r="R2067" t="s">
        <v>2452</v>
      </c>
      <c r="T2067" t="s">
        <v>89</v>
      </c>
      <c r="U2067" t="s">
        <v>2453</v>
      </c>
      <c r="V2067" t="s">
        <v>137</v>
      </c>
      <c r="W2067" t="s">
        <v>92</v>
      </c>
      <c r="Y2067" t="s">
        <v>38</v>
      </c>
      <c r="AA2067" t="s">
        <v>38</v>
      </c>
      <c r="AB2067" t="s">
        <v>38</v>
      </c>
      <c r="AC2067" t="s">
        <v>38</v>
      </c>
      <c r="AD2067" t="s">
        <v>48</v>
      </c>
      <c r="AG2067" t="str">
        <f>IF(AD2067="United States", IFERROR(INDEX(Sheet2!$C:$C, MATCH(AE2067&amp;AF2067, Sheet2!$E:$E, 0)) &amp; ", " &amp; INDEX(Sheet2!$D:$D, MATCH(AE2067&amp;AF2067, Sheet2!$E:$E, 0)), ""), "-")</f>
        <v/>
      </c>
    </row>
    <row r="2068" spans="1:33" x14ac:dyDescent="0.25">
      <c r="A2068" t="s">
        <v>3648</v>
      </c>
      <c r="D2068" t="s">
        <v>982</v>
      </c>
      <c r="E2068" t="s">
        <v>492</v>
      </c>
      <c r="F2068" t="s">
        <v>38</v>
      </c>
      <c r="G2068">
        <v>1144</v>
      </c>
      <c r="H2068">
        <v>46</v>
      </c>
      <c r="J2068" t="s">
        <v>3119</v>
      </c>
      <c r="O2068" t="s">
        <v>54</v>
      </c>
      <c r="R2068" t="s">
        <v>2452</v>
      </c>
      <c r="T2068" t="s">
        <v>89</v>
      </c>
      <c r="U2068" t="s">
        <v>2453</v>
      </c>
      <c r="V2068" t="s">
        <v>137</v>
      </c>
      <c r="W2068" t="s">
        <v>92</v>
      </c>
      <c r="Y2068" t="s">
        <v>38</v>
      </c>
      <c r="AA2068" t="s">
        <v>38</v>
      </c>
      <c r="AB2068" t="s">
        <v>38</v>
      </c>
      <c r="AC2068" t="s">
        <v>38</v>
      </c>
      <c r="AD2068" t="s">
        <v>48</v>
      </c>
      <c r="AG2068" t="str">
        <f>IF(AD2068="United States", IFERROR(INDEX(Sheet2!$C:$C, MATCH(AE2068&amp;AF2068, Sheet2!$E:$E, 0)) &amp; ", " &amp; INDEX(Sheet2!$D:$D, MATCH(AE2068&amp;AF2068, Sheet2!$E:$E, 0)), ""), "-")</f>
        <v/>
      </c>
    </row>
    <row r="2069" spans="1:33" x14ac:dyDescent="0.25">
      <c r="A2069" t="s">
        <v>3648</v>
      </c>
      <c r="D2069" t="s">
        <v>1422</v>
      </c>
      <c r="E2069" t="s">
        <v>3312</v>
      </c>
      <c r="F2069">
        <v>1751</v>
      </c>
      <c r="G2069">
        <v>1145</v>
      </c>
      <c r="H2069">
        <v>46</v>
      </c>
      <c r="J2069" t="s">
        <v>3119</v>
      </c>
      <c r="O2069" t="s">
        <v>41</v>
      </c>
      <c r="R2069" t="s">
        <v>2452</v>
      </c>
      <c r="T2069" t="s">
        <v>89</v>
      </c>
      <c r="U2069" t="s">
        <v>2453</v>
      </c>
      <c r="V2069" t="s">
        <v>137</v>
      </c>
      <c r="W2069" t="s">
        <v>92</v>
      </c>
      <c r="Y2069" t="s">
        <v>38</v>
      </c>
      <c r="AA2069" t="s">
        <v>38</v>
      </c>
      <c r="AB2069" t="s">
        <v>38</v>
      </c>
      <c r="AC2069" t="s">
        <v>38</v>
      </c>
      <c r="AD2069" t="s">
        <v>48</v>
      </c>
      <c r="AG2069" t="str">
        <f>IF(AD2069="United States", IFERROR(INDEX(Sheet2!$C:$C, MATCH(AE2069&amp;AF2069, Sheet2!$E:$E, 0)) &amp; ", " &amp; INDEX(Sheet2!$D:$D, MATCH(AE2069&amp;AF2069, Sheet2!$E:$E, 0)), ""), "-")</f>
        <v/>
      </c>
    </row>
    <row r="2070" spans="1:33" x14ac:dyDescent="0.25">
      <c r="A2070" t="s">
        <v>3648</v>
      </c>
      <c r="D2070" t="s">
        <v>200</v>
      </c>
      <c r="E2070" t="s">
        <v>3593</v>
      </c>
      <c r="F2070">
        <v>1751</v>
      </c>
      <c r="G2070">
        <v>1399</v>
      </c>
      <c r="H2070">
        <v>53</v>
      </c>
      <c r="J2070" t="s">
        <v>3119</v>
      </c>
      <c r="O2070" t="s">
        <v>41</v>
      </c>
      <c r="R2070" t="s">
        <v>2452</v>
      </c>
      <c r="T2070" t="s">
        <v>89</v>
      </c>
      <c r="U2070" t="s">
        <v>2453</v>
      </c>
      <c r="V2070" t="s">
        <v>137</v>
      </c>
      <c r="W2070" t="s">
        <v>92</v>
      </c>
      <c r="Y2070" t="s">
        <v>38</v>
      </c>
      <c r="AA2070" t="s">
        <v>38</v>
      </c>
      <c r="AB2070" t="s">
        <v>38</v>
      </c>
      <c r="AC2070" t="s">
        <v>38</v>
      </c>
      <c r="AD2070" t="s">
        <v>48</v>
      </c>
      <c r="AG2070" t="str">
        <f>IF(AD2070="United States", IFERROR(INDEX(Sheet2!$C:$C, MATCH(AE2070&amp;AF2070, Sheet2!$E:$E, 0)) &amp; ", " &amp; INDEX(Sheet2!$D:$D, MATCH(AE2070&amp;AF2070, Sheet2!$E:$E, 0)), ""), "-")</f>
        <v/>
      </c>
    </row>
    <row r="2071" spans="1:33" x14ac:dyDescent="0.25">
      <c r="A2071" t="s">
        <v>3648</v>
      </c>
      <c r="D2071" t="s">
        <v>210</v>
      </c>
      <c r="E2071" t="s">
        <v>37</v>
      </c>
      <c r="F2071">
        <v>1759</v>
      </c>
      <c r="G2071">
        <v>1443</v>
      </c>
      <c r="H2071">
        <v>53</v>
      </c>
      <c r="J2071" t="s">
        <v>3119</v>
      </c>
      <c r="O2071" t="s">
        <v>41</v>
      </c>
      <c r="R2071" t="s">
        <v>2452</v>
      </c>
      <c r="T2071" t="s">
        <v>89</v>
      </c>
      <c r="U2071" t="s">
        <v>2453</v>
      </c>
      <c r="V2071" t="s">
        <v>137</v>
      </c>
      <c r="W2071" t="s">
        <v>92</v>
      </c>
      <c r="Y2071" t="s">
        <v>38</v>
      </c>
      <c r="AA2071" t="s">
        <v>38</v>
      </c>
      <c r="AB2071" t="s">
        <v>38</v>
      </c>
      <c r="AC2071" t="s">
        <v>38</v>
      </c>
      <c r="AD2071" t="s">
        <v>48</v>
      </c>
      <c r="AG2071" t="str">
        <f>IF(AD2071="United States", IFERROR(INDEX(Sheet2!$C:$C, MATCH(AE2071&amp;AF2071, Sheet2!$E:$E, 0)) &amp; ", " &amp; INDEX(Sheet2!$D:$D, MATCH(AE2071&amp;AF2071, Sheet2!$E:$E, 0)), ""), "-")</f>
        <v/>
      </c>
    </row>
    <row r="2072" spans="1:33" x14ac:dyDescent="0.25">
      <c r="A2072" t="s">
        <v>3648</v>
      </c>
      <c r="D2072" t="s">
        <v>210</v>
      </c>
      <c r="E2072" t="s">
        <v>191</v>
      </c>
      <c r="F2072">
        <v>1760</v>
      </c>
      <c r="G2072">
        <v>1442</v>
      </c>
      <c r="H2072">
        <v>53</v>
      </c>
      <c r="J2072" t="s">
        <v>3119</v>
      </c>
      <c r="O2072" t="s">
        <v>41</v>
      </c>
      <c r="R2072" t="s">
        <v>2452</v>
      </c>
      <c r="T2072" t="s">
        <v>89</v>
      </c>
      <c r="U2072" t="s">
        <v>2453</v>
      </c>
      <c r="V2072" t="s">
        <v>137</v>
      </c>
      <c r="W2072" t="s">
        <v>92</v>
      </c>
      <c r="Y2072" t="s">
        <v>38</v>
      </c>
      <c r="AA2072" t="s">
        <v>38</v>
      </c>
      <c r="AB2072" t="s">
        <v>38</v>
      </c>
      <c r="AC2072" t="s">
        <v>38</v>
      </c>
      <c r="AD2072" t="s">
        <v>48</v>
      </c>
      <c r="AG2072" t="str">
        <f>IF(AD2072="United States", IFERROR(INDEX(Sheet2!$C:$C, MATCH(AE2072&amp;AF2072, Sheet2!$E:$E, 0)) &amp; ", " &amp; INDEX(Sheet2!$D:$D, MATCH(AE2072&amp;AF2072, Sheet2!$E:$E, 0)), ""), "-")</f>
        <v/>
      </c>
    </row>
    <row r="2073" spans="1:33" x14ac:dyDescent="0.25">
      <c r="A2073" t="s">
        <v>3648</v>
      </c>
      <c r="D2073" t="s">
        <v>615</v>
      </c>
      <c r="E2073" t="s">
        <v>3658</v>
      </c>
      <c r="F2073">
        <v>1759</v>
      </c>
      <c r="G2073">
        <v>1441</v>
      </c>
      <c r="H2073">
        <v>53</v>
      </c>
      <c r="J2073" t="s">
        <v>3119</v>
      </c>
      <c r="O2073" t="s">
        <v>41</v>
      </c>
      <c r="R2073" t="s">
        <v>2452</v>
      </c>
      <c r="T2073" t="s">
        <v>89</v>
      </c>
      <c r="U2073" t="s">
        <v>2453</v>
      </c>
      <c r="V2073" t="s">
        <v>137</v>
      </c>
      <c r="W2073" t="s">
        <v>92</v>
      </c>
      <c r="Y2073" t="s">
        <v>38</v>
      </c>
      <c r="AA2073" t="s">
        <v>38</v>
      </c>
      <c r="AB2073" t="s">
        <v>38</v>
      </c>
      <c r="AC2073" t="s">
        <v>38</v>
      </c>
      <c r="AD2073" t="s">
        <v>48</v>
      </c>
      <c r="AG2073" t="str">
        <f>IF(AD2073="United States", IFERROR(INDEX(Sheet2!$C:$C, MATCH(AE2073&amp;AF2073, Sheet2!$E:$E, 0)) &amp; ", " &amp; INDEX(Sheet2!$D:$D, MATCH(AE2073&amp;AF2073, Sheet2!$E:$E, 0)), ""), "-")</f>
        <v/>
      </c>
    </row>
    <row r="2074" spans="1:33" x14ac:dyDescent="0.25">
      <c r="A2074" t="s">
        <v>3648</v>
      </c>
      <c r="D2074" t="s">
        <v>3644</v>
      </c>
      <c r="E2074" t="s">
        <v>3651</v>
      </c>
      <c r="F2074">
        <v>1761</v>
      </c>
      <c r="G2074">
        <v>1440</v>
      </c>
      <c r="H2074">
        <v>53</v>
      </c>
      <c r="J2074" t="s">
        <v>3119</v>
      </c>
      <c r="O2074" t="s">
        <v>57</v>
      </c>
      <c r="R2074" t="s">
        <v>2452</v>
      </c>
      <c r="T2074" t="s">
        <v>89</v>
      </c>
      <c r="U2074" t="s">
        <v>2453</v>
      </c>
      <c r="V2074" t="s">
        <v>137</v>
      </c>
      <c r="W2074" t="s">
        <v>92</v>
      </c>
      <c r="Y2074" t="s">
        <v>38</v>
      </c>
      <c r="AA2074" t="s">
        <v>38</v>
      </c>
      <c r="AB2074" t="s">
        <v>38</v>
      </c>
      <c r="AC2074" t="s">
        <v>38</v>
      </c>
      <c r="AD2074" t="s">
        <v>48</v>
      </c>
      <c r="AG2074" t="str">
        <f>IF(AD2074="United States", IFERROR(INDEX(Sheet2!$C:$C, MATCH(AE2074&amp;AF2074, Sheet2!$E:$E, 0)) &amp; ", " &amp; INDEX(Sheet2!$D:$D, MATCH(AE2074&amp;AF2074, Sheet2!$E:$E, 0)), ""), "-")</f>
        <v/>
      </c>
    </row>
    <row r="2075" spans="1:33" x14ac:dyDescent="0.25">
      <c r="A2075" t="s">
        <v>3648</v>
      </c>
      <c r="D2075" t="s">
        <v>991</v>
      </c>
      <c r="E2075" t="s">
        <v>492</v>
      </c>
      <c r="F2075">
        <v>1753</v>
      </c>
      <c r="G2075">
        <v>1141</v>
      </c>
      <c r="H2075">
        <v>46</v>
      </c>
      <c r="J2075" t="s">
        <v>3119</v>
      </c>
      <c r="O2075" t="s">
        <v>41</v>
      </c>
      <c r="R2075" t="s">
        <v>2452</v>
      </c>
      <c r="T2075" t="s">
        <v>89</v>
      </c>
      <c r="U2075" t="s">
        <v>2453</v>
      </c>
      <c r="V2075" t="s">
        <v>137</v>
      </c>
      <c r="W2075" t="s">
        <v>92</v>
      </c>
      <c r="Y2075" t="s">
        <v>38</v>
      </c>
      <c r="AA2075" t="s">
        <v>38</v>
      </c>
      <c r="AB2075" t="s">
        <v>38</v>
      </c>
      <c r="AC2075" t="s">
        <v>38</v>
      </c>
      <c r="AD2075" t="s">
        <v>48</v>
      </c>
      <c r="AG2075" t="str">
        <f>IF(AD2075="United States", IFERROR(INDEX(Sheet2!$C:$C, MATCH(AE2075&amp;AF2075, Sheet2!$E:$E, 0)) &amp; ", " &amp; INDEX(Sheet2!$D:$D, MATCH(AE2075&amp;AF2075, Sheet2!$E:$E, 0)), ""), "-")</f>
        <v/>
      </c>
    </row>
    <row r="2076" spans="1:33" x14ac:dyDescent="0.25">
      <c r="A2076" t="s">
        <v>3648</v>
      </c>
      <c r="D2076" t="s">
        <v>505</v>
      </c>
      <c r="E2076" t="s">
        <v>1941</v>
      </c>
      <c r="F2076">
        <v>1760</v>
      </c>
      <c r="G2076">
        <v>1431</v>
      </c>
      <c r="H2076">
        <v>53</v>
      </c>
      <c r="J2076" t="s">
        <v>3119</v>
      </c>
      <c r="O2076" t="s">
        <v>57</v>
      </c>
      <c r="R2076" t="s">
        <v>2452</v>
      </c>
      <c r="T2076" t="s">
        <v>89</v>
      </c>
      <c r="U2076" t="s">
        <v>2453</v>
      </c>
      <c r="V2076" t="s">
        <v>137</v>
      </c>
      <c r="W2076" t="s">
        <v>92</v>
      </c>
      <c r="Y2076" t="s">
        <v>38</v>
      </c>
      <c r="AA2076" t="s">
        <v>38</v>
      </c>
      <c r="AB2076" t="s">
        <v>38</v>
      </c>
      <c r="AC2076" t="s">
        <v>38</v>
      </c>
      <c r="AD2076" t="s">
        <v>48</v>
      </c>
      <c r="AG2076" t="str">
        <f>IF(AD2076="United States", IFERROR(INDEX(Sheet2!$C:$C, MATCH(AE2076&amp;AF2076, Sheet2!$E:$E, 0)) &amp; ", " &amp; INDEX(Sheet2!$D:$D, MATCH(AE2076&amp;AF2076, Sheet2!$E:$E, 0)), ""), "-")</f>
        <v/>
      </c>
    </row>
    <row r="2077" spans="1:33" x14ac:dyDescent="0.25">
      <c r="A2077" t="s">
        <v>3648</v>
      </c>
      <c r="D2077" t="s">
        <v>181</v>
      </c>
      <c r="E2077" t="s">
        <v>1130</v>
      </c>
      <c r="F2077">
        <v>1780</v>
      </c>
      <c r="G2077">
        <v>1430</v>
      </c>
      <c r="H2077">
        <v>53</v>
      </c>
      <c r="J2077" t="s">
        <v>3119</v>
      </c>
      <c r="O2077" t="s">
        <v>54</v>
      </c>
      <c r="R2077" t="s">
        <v>2452</v>
      </c>
      <c r="T2077" t="s">
        <v>89</v>
      </c>
      <c r="U2077" t="s">
        <v>2453</v>
      </c>
      <c r="V2077" t="s">
        <v>137</v>
      </c>
      <c r="W2077" t="s">
        <v>92</v>
      </c>
      <c r="Y2077" t="s">
        <v>38</v>
      </c>
      <c r="AA2077" t="s">
        <v>38</v>
      </c>
      <c r="AB2077" t="s">
        <v>38</v>
      </c>
      <c r="AC2077" t="s">
        <v>38</v>
      </c>
      <c r="AD2077" t="s">
        <v>48</v>
      </c>
      <c r="AG2077" t="str">
        <f>IF(AD2077="United States", IFERROR(INDEX(Sheet2!$C:$C, MATCH(AE2077&amp;AF2077, Sheet2!$E:$E, 0)) &amp; ", " &amp; INDEX(Sheet2!$D:$D, MATCH(AE2077&amp;AF2077, Sheet2!$E:$E, 0)), ""), "-")</f>
        <v/>
      </c>
    </row>
    <row r="2078" spans="1:33" x14ac:dyDescent="0.25">
      <c r="A2078" t="s">
        <v>3648</v>
      </c>
      <c r="D2078" t="s">
        <v>3659</v>
      </c>
      <c r="E2078" t="s">
        <v>1130</v>
      </c>
      <c r="F2078">
        <v>1757</v>
      </c>
      <c r="G2078">
        <v>1429</v>
      </c>
      <c r="H2078">
        <v>53</v>
      </c>
      <c r="J2078" t="s">
        <v>3119</v>
      </c>
      <c r="O2078" t="s">
        <v>57</v>
      </c>
      <c r="R2078" t="s">
        <v>2452</v>
      </c>
      <c r="T2078" t="s">
        <v>89</v>
      </c>
      <c r="U2078" t="s">
        <v>2453</v>
      </c>
      <c r="V2078" t="s">
        <v>137</v>
      </c>
      <c r="W2078" t="s">
        <v>92</v>
      </c>
      <c r="Y2078" t="s">
        <v>38</v>
      </c>
      <c r="AA2078" t="s">
        <v>38</v>
      </c>
      <c r="AB2078" t="s">
        <v>38</v>
      </c>
      <c r="AC2078" t="s">
        <v>38</v>
      </c>
      <c r="AD2078" t="s">
        <v>48</v>
      </c>
      <c r="AG2078" t="str">
        <f>IF(AD2078="United States", IFERROR(INDEX(Sheet2!$C:$C, MATCH(AE2078&amp;AF2078, Sheet2!$E:$E, 0)) &amp; ", " &amp; INDEX(Sheet2!$D:$D, MATCH(AE2078&amp;AF2078, Sheet2!$E:$E, 0)), ""), "-")</f>
        <v/>
      </c>
    </row>
    <row r="2079" spans="1:33" x14ac:dyDescent="0.25">
      <c r="A2079" t="s">
        <v>3648</v>
      </c>
      <c r="D2079" t="s">
        <v>3660</v>
      </c>
      <c r="E2079" t="s">
        <v>859</v>
      </c>
      <c r="F2079">
        <v>1765</v>
      </c>
      <c r="G2079">
        <v>1474</v>
      </c>
      <c r="H2079">
        <v>54</v>
      </c>
      <c r="J2079" t="s">
        <v>3119</v>
      </c>
      <c r="O2079" t="s">
        <v>57</v>
      </c>
      <c r="R2079" t="s">
        <v>2452</v>
      </c>
      <c r="T2079" t="s">
        <v>89</v>
      </c>
      <c r="U2079" t="s">
        <v>2453</v>
      </c>
      <c r="V2079" t="s">
        <v>137</v>
      </c>
      <c r="W2079" t="s">
        <v>92</v>
      </c>
      <c r="Y2079" t="s">
        <v>38</v>
      </c>
      <c r="AA2079" t="s">
        <v>38</v>
      </c>
      <c r="AB2079" t="s">
        <v>38</v>
      </c>
      <c r="AC2079" t="s">
        <v>38</v>
      </c>
      <c r="AD2079" t="s">
        <v>48</v>
      </c>
      <c r="AG2079" t="str">
        <f>IF(AD2079="United States", IFERROR(INDEX(Sheet2!$C:$C, MATCH(AE2079&amp;AF2079, Sheet2!$E:$E, 0)) &amp; ", " &amp; INDEX(Sheet2!$D:$D, MATCH(AE2079&amp;AF2079, Sheet2!$E:$E, 0)), ""), "-")</f>
        <v/>
      </c>
    </row>
    <row r="2080" spans="1:33" x14ac:dyDescent="0.25">
      <c r="A2080" t="s">
        <v>3648</v>
      </c>
      <c r="D2080" t="s">
        <v>222</v>
      </c>
      <c r="E2080" t="s">
        <v>1688</v>
      </c>
      <c r="F2080">
        <v>1764</v>
      </c>
      <c r="G2080">
        <v>1475</v>
      </c>
      <c r="H2080">
        <v>54</v>
      </c>
      <c r="J2080" t="s">
        <v>3119</v>
      </c>
      <c r="O2080" t="s">
        <v>57</v>
      </c>
      <c r="R2080" t="s">
        <v>2452</v>
      </c>
      <c r="T2080" t="s">
        <v>89</v>
      </c>
      <c r="U2080" t="s">
        <v>2453</v>
      </c>
      <c r="V2080" t="s">
        <v>137</v>
      </c>
      <c r="W2080" t="s">
        <v>92</v>
      </c>
      <c r="Y2080" t="s">
        <v>38</v>
      </c>
      <c r="AA2080" t="s">
        <v>38</v>
      </c>
      <c r="AB2080" t="s">
        <v>38</v>
      </c>
      <c r="AC2080" t="s">
        <v>38</v>
      </c>
      <c r="AD2080" t="s">
        <v>48</v>
      </c>
      <c r="AG2080" t="str">
        <f>IF(AD2080="United States", IFERROR(INDEX(Sheet2!$C:$C, MATCH(AE2080&amp;AF2080, Sheet2!$E:$E, 0)) &amp; ", " &amp; INDEX(Sheet2!$D:$D, MATCH(AE2080&amp;AF2080, Sheet2!$E:$E, 0)), ""), "-")</f>
        <v/>
      </c>
    </row>
    <row r="2081" spans="1:33" x14ac:dyDescent="0.25">
      <c r="A2081" t="s">
        <v>3648</v>
      </c>
      <c r="D2081" t="s">
        <v>3486</v>
      </c>
      <c r="E2081" t="s">
        <v>338</v>
      </c>
      <c r="F2081">
        <v>1738</v>
      </c>
      <c r="G2081">
        <v>1476</v>
      </c>
      <c r="H2081">
        <v>54</v>
      </c>
      <c r="J2081" t="s">
        <v>3119</v>
      </c>
      <c r="O2081" t="s">
        <v>41</v>
      </c>
      <c r="R2081" t="s">
        <v>2452</v>
      </c>
      <c r="T2081" t="s">
        <v>89</v>
      </c>
      <c r="U2081" t="s">
        <v>2453</v>
      </c>
      <c r="V2081" t="s">
        <v>137</v>
      </c>
      <c r="W2081" t="s">
        <v>92</v>
      </c>
      <c r="Y2081" t="s">
        <v>38</v>
      </c>
      <c r="AA2081" t="s">
        <v>38</v>
      </c>
      <c r="AB2081" t="s">
        <v>38</v>
      </c>
      <c r="AC2081" t="s">
        <v>38</v>
      </c>
      <c r="AD2081" t="s">
        <v>48</v>
      </c>
      <c r="AG2081" t="str">
        <f>IF(AD2081="United States", IFERROR(INDEX(Sheet2!$C:$C, MATCH(AE2081&amp;AF2081, Sheet2!$E:$E, 0)) &amp; ", " &amp; INDEX(Sheet2!$D:$D, MATCH(AE2081&amp;AF2081, Sheet2!$E:$E, 0)), ""), "-")</f>
        <v/>
      </c>
    </row>
    <row r="2082" spans="1:33" x14ac:dyDescent="0.25">
      <c r="A2082" t="s">
        <v>3648</v>
      </c>
      <c r="D2082" t="s">
        <v>2865</v>
      </c>
      <c r="E2082" t="s">
        <v>1318</v>
      </c>
      <c r="F2082">
        <v>1754</v>
      </c>
      <c r="G2082">
        <v>1477</v>
      </c>
      <c r="H2082">
        <v>54</v>
      </c>
      <c r="J2082" t="s">
        <v>3119</v>
      </c>
      <c r="O2082" t="s">
        <v>41</v>
      </c>
      <c r="R2082" t="s">
        <v>2452</v>
      </c>
      <c r="T2082" t="s">
        <v>89</v>
      </c>
      <c r="U2082" t="s">
        <v>2453</v>
      </c>
      <c r="V2082" t="s">
        <v>137</v>
      </c>
      <c r="W2082" t="s">
        <v>92</v>
      </c>
      <c r="Y2082" t="s">
        <v>38</v>
      </c>
      <c r="AA2082" t="s">
        <v>38</v>
      </c>
      <c r="AB2082" t="s">
        <v>38</v>
      </c>
      <c r="AC2082" t="s">
        <v>38</v>
      </c>
      <c r="AD2082" t="s">
        <v>48</v>
      </c>
      <c r="AG2082" t="str">
        <f>IF(AD2082="United States", IFERROR(INDEX(Sheet2!$C:$C, MATCH(AE2082&amp;AF2082, Sheet2!$E:$E, 0)) &amp; ", " &amp; INDEX(Sheet2!$D:$D, MATCH(AE2082&amp;AF2082, Sheet2!$E:$E, 0)), ""), "-")</f>
        <v/>
      </c>
    </row>
    <row r="2083" spans="1:33" x14ac:dyDescent="0.25">
      <c r="A2083" t="s">
        <v>3648</v>
      </c>
      <c r="D2083" t="s">
        <v>132</v>
      </c>
      <c r="E2083" t="s">
        <v>624</v>
      </c>
      <c r="F2083">
        <v>1755</v>
      </c>
      <c r="G2083">
        <v>1478</v>
      </c>
      <c r="H2083">
        <v>54</v>
      </c>
      <c r="J2083" t="s">
        <v>3119</v>
      </c>
      <c r="O2083" t="s">
        <v>41</v>
      </c>
      <c r="R2083" t="s">
        <v>2452</v>
      </c>
      <c r="T2083" t="s">
        <v>89</v>
      </c>
      <c r="U2083" t="s">
        <v>2453</v>
      </c>
      <c r="V2083" t="s">
        <v>137</v>
      </c>
      <c r="W2083" t="s">
        <v>92</v>
      </c>
      <c r="Y2083" t="s">
        <v>38</v>
      </c>
      <c r="AA2083" t="s">
        <v>38</v>
      </c>
      <c r="AB2083" t="s">
        <v>38</v>
      </c>
      <c r="AC2083" t="s">
        <v>38</v>
      </c>
      <c r="AD2083" t="s">
        <v>48</v>
      </c>
      <c r="AG2083" t="str">
        <f>IF(AD2083="United States", IFERROR(INDEX(Sheet2!$C:$C, MATCH(AE2083&amp;AF2083, Sheet2!$E:$E, 0)) &amp; ", " &amp; INDEX(Sheet2!$D:$D, MATCH(AE2083&amp;AF2083, Sheet2!$E:$E, 0)), ""), "-")</f>
        <v/>
      </c>
    </row>
    <row r="2084" spans="1:33" x14ac:dyDescent="0.25">
      <c r="A2084" t="s">
        <v>3648</v>
      </c>
      <c r="D2084" t="s">
        <v>101</v>
      </c>
      <c r="E2084" t="s">
        <v>3481</v>
      </c>
      <c r="F2084">
        <v>1729</v>
      </c>
      <c r="G2084">
        <v>1479</v>
      </c>
      <c r="H2084">
        <v>54</v>
      </c>
      <c r="J2084" t="s">
        <v>3119</v>
      </c>
      <c r="O2084" t="s">
        <v>41</v>
      </c>
      <c r="R2084" t="s">
        <v>2452</v>
      </c>
      <c r="T2084" t="s">
        <v>89</v>
      </c>
      <c r="U2084" t="s">
        <v>2453</v>
      </c>
      <c r="V2084" t="s">
        <v>137</v>
      </c>
      <c r="W2084" t="s">
        <v>92</v>
      </c>
      <c r="Y2084" t="s">
        <v>38</v>
      </c>
      <c r="AA2084" t="s">
        <v>38</v>
      </c>
      <c r="AB2084" t="s">
        <v>38</v>
      </c>
      <c r="AC2084" t="s">
        <v>38</v>
      </c>
      <c r="AD2084" t="s">
        <v>48</v>
      </c>
      <c r="AG2084" t="str">
        <f>IF(AD2084="United States", IFERROR(INDEX(Sheet2!$C:$C, MATCH(AE2084&amp;AF2084, Sheet2!$E:$E, 0)) &amp; ", " &amp; INDEX(Sheet2!$D:$D, MATCH(AE2084&amp;AF2084, Sheet2!$E:$E, 0)), ""), "-")</f>
        <v/>
      </c>
    </row>
    <row r="2085" spans="1:33" x14ac:dyDescent="0.25">
      <c r="A2085" t="s">
        <v>3648</v>
      </c>
      <c r="D2085" t="s">
        <v>352</v>
      </c>
      <c r="E2085" t="s">
        <v>728</v>
      </c>
      <c r="F2085">
        <v>1750</v>
      </c>
      <c r="G2085">
        <v>1415</v>
      </c>
      <c r="H2085">
        <v>53</v>
      </c>
      <c r="J2085" t="s">
        <v>3119</v>
      </c>
      <c r="O2085" t="s">
        <v>57</v>
      </c>
      <c r="R2085" t="s">
        <v>2452</v>
      </c>
      <c r="T2085" t="s">
        <v>89</v>
      </c>
      <c r="U2085" t="s">
        <v>2453</v>
      </c>
      <c r="V2085" t="s">
        <v>137</v>
      </c>
      <c r="W2085" t="s">
        <v>92</v>
      </c>
      <c r="Y2085" t="s">
        <v>38</v>
      </c>
      <c r="AA2085" t="s">
        <v>38</v>
      </c>
      <c r="AB2085" t="s">
        <v>38</v>
      </c>
      <c r="AC2085" t="s">
        <v>38</v>
      </c>
      <c r="AD2085" t="s">
        <v>48</v>
      </c>
      <c r="AG2085" t="str">
        <f>IF(AD2085="United States", IFERROR(INDEX(Sheet2!$C:$C, MATCH(AE2085&amp;AF2085, Sheet2!$E:$E, 0)) &amp; ", " &amp; INDEX(Sheet2!$D:$D, MATCH(AE2085&amp;AF2085, Sheet2!$E:$E, 0)), ""), "-")</f>
        <v/>
      </c>
    </row>
    <row r="2086" spans="1:33" x14ac:dyDescent="0.25">
      <c r="A2086" t="s">
        <v>3648</v>
      </c>
      <c r="D2086" t="s">
        <v>181</v>
      </c>
      <c r="E2086" t="s">
        <v>1492</v>
      </c>
      <c r="F2086">
        <v>1778</v>
      </c>
      <c r="G2086">
        <v>1414</v>
      </c>
      <c r="H2086">
        <v>53</v>
      </c>
      <c r="J2086" t="s">
        <v>3119</v>
      </c>
      <c r="O2086" t="s">
        <v>74</v>
      </c>
      <c r="R2086" t="s">
        <v>2452</v>
      </c>
      <c r="T2086" t="s">
        <v>89</v>
      </c>
      <c r="U2086" t="s">
        <v>2453</v>
      </c>
      <c r="V2086" t="s">
        <v>137</v>
      </c>
      <c r="W2086" t="s">
        <v>92</v>
      </c>
      <c r="Y2086" t="s">
        <v>38</v>
      </c>
      <c r="AA2086" t="s">
        <v>38</v>
      </c>
      <c r="AB2086" t="s">
        <v>38</v>
      </c>
      <c r="AC2086" t="s">
        <v>38</v>
      </c>
      <c r="AD2086" t="s">
        <v>48</v>
      </c>
      <c r="AG2086" t="str">
        <f>IF(AD2086="United States", IFERROR(INDEX(Sheet2!$C:$C, MATCH(AE2086&amp;AF2086, Sheet2!$E:$E, 0)) &amp; ", " &amp; INDEX(Sheet2!$D:$D, MATCH(AE2086&amp;AF2086, Sheet2!$E:$E, 0)), ""), "-")</f>
        <v/>
      </c>
    </row>
    <row r="2087" spans="1:33" x14ac:dyDescent="0.25">
      <c r="A2087" t="s">
        <v>3648</v>
      </c>
      <c r="D2087" t="s">
        <v>3575</v>
      </c>
      <c r="E2087" t="s">
        <v>1492</v>
      </c>
      <c r="F2087">
        <v>1763</v>
      </c>
      <c r="G2087">
        <v>1413</v>
      </c>
      <c r="H2087">
        <v>53</v>
      </c>
      <c r="J2087" t="s">
        <v>3119</v>
      </c>
      <c r="O2087" t="s">
        <v>57</v>
      </c>
      <c r="R2087" t="s">
        <v>2452</v>
      </c>
      <c r="T2087" t="s">
        <v>89</v>
      </c>
      <c r="U2087" t="s">
        <v>2453</v>
      </c>
      <c r="V2087" t="s">
        <v>137</v>
      </c>
      <c r="W2087" t="s">
        <v>92</v>
      </c>
      <c r="Y2087" t="s">
        <v>38</v>
      </c>
      <c r="AA2087" t="s">
        <v>38</v>
      </c>
      <c r="AB2087" t="s">
        <v>38</v>
      </c>
      <c r="AC2087" t="s">
        <v>38</v>
      </c>
      <c r="AD2087" t="s">
        <v>48</v>
      </c>
      <c r="AG2087" t="str">
        <f>IF(AD2087="United States", IFERROR(INDEX(Sheet2!$C:$C, MATCH(AE2087&amp;AF2087, Sheet2!$E:$E, 0)) &amp; ", " &amp; INDEX(Sheet2!$D:$D, MATCH(AE2087&amp;AF2087, Sheet2!$E:$E, 0)), ""), "-")</f>
        <v/>
      </c>
    </row>
    <row r="2088" spans="1:33" x14ac:dyDescent="0.25">
      <c r="A2088" t="s">
        <v>3648</v>
      </c>
      <c r="D2088" t="s">
        <v>3362</v>
      </c>
      <c r="E2088" t="s">
        <v>3332</v>
      </c>
      <c r="F2088">
        <v>1754</v>
      </c>
      <c r="G2088">
        <v>1416</v>
      </c>
      <c r="H2088">
        <v>53</v>
      </c>
      <c r="J2088" t="s">
        <v>3119</v>
      </c>
      <c r="O2088" t="s">
        <v>41</v>
      </c>
      <c r="R2088" t="s">
        <v>2452</v>
      </c>
      <c r="T2088" t="s">
        <v>89</v>
      </c>
      <c r="U2088" t="s">
        <v>2453</v>
      </c>
      <c r="V2088" t="s">
        <v>137</v>
      </c>
      <c r="W2088" t="s">
        <v>92</v>
      </c>
      <c r="Y2088" t="s">
        <v>38</v>
      </c>
      <c r="AA2088" t="s">
        <v>38</v>
      </c>
      <c r="AB2088" t="s">
        <v>38</v>
      </c>
      <c r="AC2088" t="s">
        <v>38</v>
      </c>
      <c r="AD2088" t="s">
        <v>48</v>
      </c>
      <c r="AG2088" t="str">
        <f>IF(AD2088="United States", IFERROR(INDEX(Sheet2!$C:$C, MATCH(AE2088&amp;AF2088, Sheet2!$E:$E, 0)) &amp; ", " &amp; INDEX(Sheet2!$D:$D, MATCH(AE2088&amp;AF2088, Sheet2!$E:$E, 0)), ""), "-")</f>
        <v/>
      </c>
    </row>
    <row r="2089" spans="1:33" x14ac:dyDescent="0.25">
      <c r="A2089" t="s">
        <v>3648</v>
      </c>
      <c r="D2089" t="s">
        <v>181</v>
      </c>
      <c r="E2089" t="s">
        <v>3500</v>
      </c>
      <c r="F2089">
        <v>1775</v>
      </c>
      <c r="G2089">
        <v>1412</v>
      </c>
      <c r="H2089">
        <v>53</v>
      </c>
      <c r="J2089" t="s">
        <v>3119</v>
      </c>
      <c r="O2089" t="s">
        <v>74</v>
      </c>
      <c r="R2089" t="s">
        <v>2452</v>
      </c>
      <c r="T2089" t="s">
        <v>89</v>
      </c>
      <c r="U2089" t="s">
        <v>2453</v>
      </c>
      <c r="V2089" t="s">
        <v>137</v>
      </c>
      <c r="W2089" t="s">
        <v>92</v>
      </c>
      <c r="Y2089" t="s">
        <v>38</v>
      </c>
      <c r="AA2089" t="s">
        <v>38</v>
      </c>
      <c r="AB2089" t="s">
        <v>38</v>
      </c>
      <c r="AC2089" t="s">
        <v>38</v>
      </c>
      <c r="AD2089" t="s">
        <v>48</v>
      </c>
      <c r="AG2089" t="str">
        <f>IF(AD2089="United States", IFERROR(INDEX(Sheet2!$C:$C, MATCH(AE2089&amp;AF2089, Sheet2!$E:$E, 0)) &amp; ", " &amp; INDEX(Sheet2!$D:$D, MATCH(AE2089&amp;AF2089, Sheet2!$E:$E, 0)), ""), "-")</f>
        <v/>
      </c>
    </row>
    <row r="2090" spans="1:33" x14ac:dyDescent="0.25">
      <c r="A2090" t="s">
        <v>3648</v>
      </c>
      <c r="D2090" t="s">
        <v>3661</v>
      </c>
      <c r="E2090" t="s">
        <v>3500</v>
      </c>
      <c r="F2090">
        <v>1750</v>
      </c>
      <c r="G2090">
        <v>1410</v>
      </c>
      <c r="H2090">
        <v>53</v>
      </c>
      <c r="J2090" t="s">
        <v>3119</v>
      </c>
      <c r="O2090" t="s">
        <v>41</v>
      </c>
      <c r="R2090" t="s">
        <v>2452</v>
      </c>
      <c r="T2090" t="s">
        <v>89</v>
      </c>
      <c r="U2090" t="s">
        <v>2453</v>
      </c>
      <c r="V2090" t="s">
        <v>137</v>
      </c>
      <c r="W2090" t="s">
        <v>92</v>
      </c>
      <c r="Y2090" t="s">
        <v>38</v>
      </c>
      <c r="AA2090" t="s">
        <v>38</v>
      </c>
      <c r="AB2090" t="s">
        <v>38</v>
      </c>
      <c r="AC2090" t="s">
        <v>38</v>
      </c>
      <c r="AD2090" t="s">
        <v>48</v>
      </c>
      <c r="AG2090" t="str">
        <f>IF(AD2090="United States", IFERROR(INDEX(Sheet2!$C:$C, MATCH(AE2090&amp;AF2090, Sheet2!$E:$E, 0)) &amp; ", " &amp; INDEX(Sheet2!$D:$D, MATCH(AE2090&amp;AF2090, Sheet2!$E:$E, 0)), ""), "-")</f>
        <v/>
      </c>
    </row>
    <row r="2091" spans="1:33" x14ac:dyDescent="0.25">
      <c r="A2091" t="s">
        <v>3648</v>
      </c>
      <c r="D2091" t="s">
        <v>181</v>
      </c>
      <c r="E2091" t="s">
        <v>1264</v>
      </c>
      <c r="F2091" t="s">
        <v>38</v>
      </c>
      <c r="G2091">
        <v>1409</v>
      </c>
      <c r="H2091">
        <v>53</v>
      </c>
      <c r="J2091" t="s">
        <v>3119</v>
      </c>
      <c r="O2091" t="s">
        <v>183</v>
      </c>
      <c r="R2091" t="s">
        <v>2452</v>
      </c>
      <c r="T2091" t="s">
        <v>89</v>
      </c>
      <c r="U2091" t="s">
        <v>2453</v>
      </c>
      <c r="V2091" t="s">
        <v>137</v>
      </c>
      <c r="W2091" t="s">
        <v>92</v>
      </c>
      <c r="Y2091" t="s">
        <v>38</v>
      </c>
      <c r="AA2091" t="s">
        <v>38</v>
      </c>
      <c r="AB2091" t="s">
        <v>38</v>
      </c>
      <c r="AC2091" t="s">
        <v>38</v>
      </c>
      <c r="AD2091" t="s">
        <v>48</v>
      </c>
      <c r="AG2091" t="str">
        <f>IF(AD2091="United States", IFERROR(INDEX(Sheet2!$C:$C, MATCH(AE2091&amp;AF2091, Sheet2!$E:$E, 0)) &amp; ", " &amp; INDEX(Sheet2!$D:$D, MATCH(AE2091&amp;AF2091, Sheet2!$E:$E, 0)), ""), "-")</f>
        <v/>
      </c>
    </row>
    <row r="2092" spans="1:33" x14ac:dyDescent="0.25">
      <c r="A2092" t="s">
        <v>3648</v>
      </c>
      <c r="D2092" t="s">
        <v>3659</v>
      </c>
      <c r="E2092" t="s">
        <v>1264</v>
      </c>
      <c r="F2092">
        <v>1759</v>
      </c>
      <c r="G2092">
        <v>1408</v>
      </c>
      <c r="H2092">
        <v>53</v>
      </c>
      <c r="J2092" t="s">
        <v>3119</v>
      </c>
      <c r="O2092" t="s">
        <v>57</v>
      </c>
      <c r="R2092" t="s">
        <v>2452</v>
      </c>
      <c r="T2092" t="s">
        <v>89</v>
      </c>
      <c r="U2092" t="s">
        <v>2453</v>
      </c>
      <c r="V2092" t="s">
        <v>137</v>
      </c>
      <c r="W2092" t="s">
        <v>92</v>
      </c>
      <c r="Y2092" t="s">
        <v>38</v>
      </c>
      <c r="AA2092" t="s">
        <v>38</v>
      </c>
      <c r="AB2092" t="s">
        <v>38</v>
      </c>
      <c r="AC2092" t="s">
        <v>38</v>
      </c>
      <c r="AD2092" t="s">
        <v>48</v>
      </c>
      <c r="AG2092" t="str">
        <f>IF(AD2092="United States", IFERROR(INDEX(Sheet2!$C:$C, MATCH(AE2092&amp;AF2092, Sheet2!$E:$E, 0)) &amp; ", " &amp; INDEX(Sheet2!$D:$D, MATCH(AE2092&amp;AF2092, Sheet2!$E:$E, 0)), ""), "-")</f>
        <v/>
      </c>
    </row>
    <row r="2093" spans="1:33" x14ac:dyDescent="0.25">
      <c r="A2093" t="s">
        <v>3648</v>
      </c>
      <c r="D2093" t="s">
        <v>101</v>
      </c>
      <c r="E2093" t="s">
        <v>1264</v>
      </c>
      <c r="F2093">
        <v>1757</v>
      </c>
      <c r="G2093">
        <v>1407</v>
      </c>
      <c r="H2093">
        <v>53</v>
      </c>
      <c r="J2093" t="s">
        <v>3119</v>
      </c>
      <c r="O2093" t="s">
        <v>41</v>
      </c>
      <c r="R2093" t="s">
        <v>2452</v>
      </c>
      <c r="T2093" t="s">
        <v>89</v>
      </c>
      <c r="U2093" t="s">
        <v>2453</v>
      </c>
      <c r="V2093" t="s">
        <v>137</v>
      </c>
      <c r="W2093" t="s">
        <v>92</v>
      </c>
      <c r="Y2093" t="s">
        <v>38</v>
      </c>
      <c r="AA2093" t="s">
        <v>38</v>
      </c>
      <c r="AB2093" t="s">
        <v>38</v>
      </c>
      <c r="AC2093" t="s">
        <v>38</v>
      </c>
      <c r="AD2093" t="s">
        <v>48</v>
      </c>
      <c r="AG2093" t="str">
        <f>IF(AD2093="United States", IFERROR(INDEX(Sheet2!$C:$C, MATCH(AE2093&amp;AF2093, Sheet2!$E:$E, 0)) &amp; ", " &amp; INDEX(Sheet2!$D:$D, MATCH(AE2093&amp;AF2093, Sheet2!$E:$E, 0)), ""), "-")</f>
        <v/>
      </c>
    </row>
    <row r="2094" spans="1:33" x14ac:dyDescent="0.25">
      <c r="A2094" t="s">
        <v>3648</v>
      </c>
      <c r="D2094" t="s">
        <v>1491</v>
      </c>
      <c r="E2094" t="s">
        <v>1936</v>
      </c>
      <c r="F2094">
        <v>1756</v>
      </c>
      <c r="G2094">
        <v>1406</v>
      </c>
      <c r="H2094">
        <v>53</v>
      </c>
      <c r="J2094" t="s">
        <v>3119</v>
      </c>
      <c r="O2094" t="s">
        <v>41</v>
      </c>
      <c r="R2094" t="s">
        <v>2452</v>
      </c>
      <c r="T2094" t="s">
        <v>89</v>
      </c>
      <c r="U2094" t="s">
        <v>2453</v>
      </c>
      <c r="V2094" t="s">
        <v>137</v>
      </c>
      <c r="W2094" t="s">
        <v>92</v>
      </c>
      <c r="Y2094" t="s">
        <v>38</v>
      </c>
      <c r="AA2094" t="s">
        <v>38</v>
      </c>
      <c r="AB2094" t="s">
        <v>38</v>
      </c>
      <c r="AC2094" t="s">
        <v>38</v>
      </c>
      <c r="AD2094" t="s">
        <v>48</v>
      </c>
      <c r="AG2094" t="str">
        <f>IF(AD2094="United States", IFERROR(INDEX(Sheet2!$C:$C, MATCH(AE2094&amp;AF2094, Sheet2!$E:$E, 0)) &amp; ", " &amp; INDEX(Sheet2!$D:$D, MATCH(AE2094&amp;AF2094, Sheet2!$E:$E, 0)), ""), "-")</f>
        <v/>
      </c>
    </row>
    <row r="2095" spans="1:33" x14ac:dyDescent="0.25">
      <c r="A2095" t="s">
        <v>3648</v>
      </c>
      <c r="D2095" t="s">
        <v>181</v>
      </c>
      <c r="E2095" t="s">
        <v>1936</v>
      </c>
      <c r="F2095" t="s">
        <v>38</v>
      </c>
      <c r="G2095">
        <v>1405</v>
      </c>
      <c r="H2095">
        <v>53</v>
      </c>
      <c r="J2095" t="s">
        <v>3119</v>
      </c>
      <c r="O2095" t="s">
        <v>183</v>
      </c>
      <c r="R2095" t="s">
        <v>2452</v>
      </c>
      <c r="T2095" t="s">
        <v>89</v>
      </c>
      <c r="U2095" t="s">
        <v>2453</v>
      </c>
      <c r="V2095" t="s">
        <v>137</v>
      </c>
      <c r="W2095" t="s">
        <v>92</v>
      </c>
      <c r="Y2095" t="s">
        <v>38</v>
      </c>
      <c r="AA2095" t="s">
        <v>38</v>
      </c>
      <c r="AB2095" t="s">
        <v>38</v>
      </c>
      <c r="AC2095" t="s">
        <v>38</v>
      </c>
      <c r="AD2095" t="s">
        <v>48</v>
      </c>
      <c r="AG2095" t="str">
        <f>IF(AD2095="United States", IFERROR(INDEX(Sheet2!$C:$C, MATCH(AE2095&amp;AF2095, Sheet2!$E:$E, 0)) &amp; ", " &amp; INDEX(Sheet2!$D:$D, MATCH(AE2095&amp;AF2095, Sheet2!$E:$E, 0)), ""), "-")</f>
        <v/>
      </c>
    </row>
    <row r="2096" spans="1:33" x14ac:dyDescent="0.25">
      <c r="A2096" t="s">
        <v>3648</v>
      </c>
      <c r="D2096" t="s">
        <v>181</v>
      </c>
      <c r="E2096" t="s">
        <v>1936</v>
      </c>
      <c r="F2096" t="s">
        <v>38</v>
      </c>
      <c r="G2096">
        <v>1404</v>
      </c>
      <c r="H2096">
        <v>53</v>
      </c>
      <c r="J2096" t="s">
        <v>3119</v>
      </c>
      <c r="O2096" t="s">
        <v>183</v>
      </c>
      <c r="R2096" t="s">
        <v>2452</v>
      </c>
      <c r="T2096" t="s">
        <v>89</v>
      </c>
      <c r="U2096" t="s">
        <v>2453</v>
      </c>
      <c r="V2096" t="s">
        <v>137</v>
      </c>
      <c r="W2096" t="s">
        <v>92</v>
      </c>
      <c r="Y2096" t="s">
        <v>38</v>
      </c>
      <c r="AA2096" t="s">
        <v>38</v>
      </c>
      <c r="AB2096" t="s">
        <v>38</v>
      </c>
      <c r="AC2096" t="s">
        <v>38</v>
      </c>
      <c r="AD2096" t="s">
        <v>48</v>
      </c>
      <c r="AG2096" t="str">
        <f>IF(AD2096="United States", IFERROR(INDEX(Sheet2!$C:$C, MATCH(AE2096&amp;AF2096, Sheet2!$E:$E, 0)) &amp; ", " &amp; INDEX(Sheet2!$D:$D, MATCH(AE2096&amp;AF2096, Sheet2!$E:$E, 0)), ""), "-")</f>
        <v/>
      </c>
    </row>
    <row r="2097" spans="1:33" x14ac:dyDescent="0.25">
      <c r="A2097" t="s">
        <v>3648</v>
      </c>
      <c r="D2097" t="s">
        <v>352</v>
      </c>
      <c r="E2097" t="s">
        <v>1936</v>
      </c>
      <c r="F2097">
        <v>1760</v>
      </c>
      <c r="G2097">
        <v>1403</v>
      </c>
      <c r="H2097">
        <v>53</v>
      </c>
      <c r="J2097" t="s">
        <v>3119</v>
      </c>
      <c r="O2097" t="s">
        <v>57</v>
      </c>
      <c r="R2097" t="s">
        <v>2452</v>
      </c>
      <c r="T2097" t="s">
        <v>89</v>
      </c>
      <c r="U2097" t="s">
        <v>2453</v>
      </c>
      <c r="V2097" t="s">
        <v>137</v>
      </c>
      <c r="W2097" t="s">
        <v>92</v>
      </c>
      <c r="Y2097" t="s">
        <v>38</v>
      </c>
      <c r="AA2097" t="s">
        <v>38</v>
      </c>
      <c r="AB2097" t="s">
        <v>38</v>
      </c>
      <c r="AC2097" t="s">
        <v>38</v>
      </c>
      <c r="AD2097" t="s">
        <v>48</v>
      </c>
      <c r="AG2097" t="str">
        <f>IF(AD2097="United States", IFERROR(INDEX(Sheet2!$C:$C, MATCH(AE2097&amp;AF2097, Sheet2!$E:$E, 0)) &amp; ", " &amp; INDEX(Sheet2!$D:$D, MATCH(AE2097&amp;AF2097, Sheet2!$E:$E, 0)), ""), "-")</f>
        <v/>
      </c>
    </row>
    <row r="2098" spans="1:33" x14ac:dyDescent="0.25">
      <c r="A2098" t="s">
        <v>3648</v>
      </c>
      <c r="D2098" t="s">
        <v>3662</v>
      </c>
      <c r="E2098" t="s">
        <v>3586</v>
      </c>
      <c r="F2098">
        <v>1750</v>
      </c>
      <c r="G2098">
        <v>1402</v>
      </c>
      <c r="H2098">
        <v>53</v>
      </c>
      <c r="J2098" t="s">
        <v>3119</v>
      </c>
      <c r="O2098" t="s">
        <v>41</v>
      </c>
      <c r="R2098" t="s">
        <v>2452</v>
      </c>
      <c r="T2098" t="s">
        <v>89</v>
      </c>
      <c r="U2098" t="s">
        <v>2453</v>
      </c>
      <c r="V2098" t="s">
        <v>137</v>
      </c>
      <c r="W2098" t="s">
        <v>92</v>
      </c>
      <c r="Y2098" t="s">
        <v>38</v>
      </c>
      <c r="AA2098" t="s">
        <v>38</v>
      </c>
      <c r="AB2098" t="s">
        <v>38</v>
      </c>
      <c r="AC2098" t="s">
        <v>38</v>
      </c>
      <c r="AD2098" t="s">
        <v>48</v>
      </c>
      <c r="AG2098" t="str">
        <f>IF(AD2098="United States", IFERROR(INDEX(Sheet2!$C:$C, MATCH(AE2098&amp;AF2098, Sheet2!$E:$E, 0)) &amp; ", " &amp; INDEX(Sheet2!$D:$D, MATCH(AE2098&amp;AF2098, Sheet2!$E:$E, 0)), ""), "-")</f>
        <v/>
      </c>
    </row>
    <row r="2099" spans="1:33" x14ac:dyDescent="0.25">
      <c r="A2099" t="s">
        <v>3648</v>
      </c>
      <c r="D2099" t="s">
        <v>1230</v>
      </c>
      <c r="E2099" t="s">
        <v>3500</v>
      </c>
      <c r="F2099">
        <v>1757</v>
      </c>
      <c r="G2099">
        <v>1411</v>
      </c>
      <c r="H2099">
        <v>53</v>
      </c>
      <c r="J2099" t="s">
        <v>3119</v>
      </c>
      <c r="O2099" t="s">
        <v>57</v>
      </c>
      <c r="R2099" t="s">
        <v>2452</v>
      </c>
      <c r="T2099" t="s">
        <v>89</v>
      </c>
      <c r="U2099" t="s">
        <v>2453</v>
      </c>
      <c r="V2099" t="s">
        <v>137</v>
      </c>
      <c r="W2099" t="s">
        <v>92</v>
      </c>
      <c r="Y2099" t="s">
        <v>38</v>
      </c>
      <c r="AA2099" t="s">
        <v>38</v>
      </c>
      <c r="AB2099" t="s">
        <v>38</v>
      </c>
      <c r="AC2099" t="s">
        <v>38</v>
      </c>
      <c r="AD2099" t="s">
        <v>48</v>
      </c>
      <c r="AG2099" t="str">
        <f>IF(AD2099="United States", IFERROR(INDEX(Sheet2!$C:$C, MATCH(AE2099&amp;AF2099, Sheet2!$E:$E, 0)) &amp; ", " &amp; INDEX(Sheet2!$D:$D, MATCH(AE2099&amp;AF2099, Sheet2!$E:$E, 0)), ""), "-")</f>
        <v/>
      </c>
    </row>
    <row r="2100" spans="1:33" x14ac:dyDescent="0.25">
      <c r="A2100" t="s">
        <v>3648</v>
      </c>
      <c r="D2100" t="s">
        <v>1840</v>
      </c>
      <c r="E2100" t="s">
        <v>3332</v>
      </c>
      <c r="F2100">
        <v>1759</v>
      </c>
      <c r="G2100">
        <v>1417</v>
      </c>
      <c r="H2100">
        <v>53</v>
      </c>
      <c r="J2100" t="s">
        <v>3119</v>
      </c>
      <c r="O2100" t="s">
        <v>57</v>
      </c>
      <c r="R2100" t="s">
        <v>2452</v>
      </c>
      <c r="T2100" t="s">
        <v>89</v>
      </c>
      <c r="U2100" t="s">
        <v>2453</v>
      </c>
      <c r="V2100" t="s">
        <v>137</v>
      </c>
      <c r="W2100" t="s">
        <v>92</v>
      </c>
      <c r="Y2100" t="s">
        <v>38</v>
      </c>
      <c r="AA2100" t="s">
        <v>38</v>
      </c>
      <c r="AB2100" t="s">
        <v>38</v>
      </c>
      <c r="AC2100" t="s">
        <v>38</v>
      </c>
      <c r="AD2100" t="s">
        <v>48</v>
      </c>
      <c r="AG2100" t="str">
        <f>IF(AD2100="United States", IFERROR(INDEX(Sheet2!$C:$C, MATCH(AE2100&amp;AF2100, Sheet2!$E:$E, 0)) &amp; ", " &amp; INDEX(Sheet2!$D:$D, MATCH(AE2100&amp;AF2100, Sheet2!$E:$E, 0)), ""), "-")</f>
        <v/>
      </c>
    </row>
    <row r="2101" spans="1:33" x14ac:dyDescent="0.25">
      <c r="A2101" t="s">
        <v>3648</v>
      </c>
      <c r="D2101" t="s">
        <v>226</v>
      </c>
      <c r="E2101" t="s">
        <v>3663</v>
      </c>
      <c r="F2101">
        <v>1728</v>
      </c>
      <c r="G2101">
        <v>1418</v>
      </c>
      <c r="H2101">
        <v>53</v>
      </c>
      <c r="J2101" t="s">
        <v>3119</v>
      </c>
      <c r="O2101" t="s">
        <v>41</v>
      </c>
      <c r="R2101" t="s">
        <v>2452</v>
      </c>
      <c r="T2101" t="s">
        <v>89</v>
      </c>
      <c r="U2101" t="s">
        <v>2453</v>
      </c>
      <c r="V2101" t="s">
        <v>137</v>
      </c>
      <c r="W2101" t="s">
        <v>92</v>
      </c>
      <c r="Y2101" t="s">
        <v>38</v>
      </c>
      <c r="AA2101" t="s">
        <v>38</v>
      </c>
      <c r="AB2101" t="s">
        <v>38</v>
      </c>
      <c r="AC2101" t="s">
        <v>38</v>
      </c>
      <c r="AD2101" t="s">
        <v>48</v>
      </c>
      <c r="AG2101" t="str">
        <f>IF(AD2101="United States", IFERROR(INDEX(Sheet2!$C:$C, MATCH(AE2101&amp;AF2101, Sheet2!$E:$E, 0)) &amp; ", " &amp; INDEX(Sheet2!$D:$D, MATCH(AE2101&amp;AF2101, Sheet2!$E:$E, 0)), ""), "-")</f>
        <v/>
      </c>
    </row>
    <row r="2102" spans="1:33" x14ac:dyDescent="0.25">
      <c r="A2102" t="s">
        <v>3648</v>
      </c>
      <c r="D2102" t="s">
        <v>1164</v>
      </c>
      <c r="E2102" t="s">
        <v>859</v>
      </c>
      <c r="F2102">
        <v>1738</v>
      </c>
      <c r="G2102">
        <v>1419</v>
      </c>
      <c r="H2102">
        <v>53</v>
      </c>
      <c r="J2102" t="s">
        <v>3119</v>
      </c>
      <c r="O2102" t="s">
        <v>57</v>
      </c>
      <c r="R2102" t="s">
        <v>2452</v>
      </c>
      <c r="T2102" t="s">
        <v>89</v>
      </c>
      <c r="U2102" t="s">
        <v>2453</v>
      </c>
      <c r="V2102" t="s">
        <v>137</v>
      </c>
      <c r="W2102" t="s">
        <v>92</v>
      </c>
      <c r="Y2102" t="s">
        <v>38</v>
      </c>
      <c r="AA2102" t="s">
        <v>38</v>
      </c>
      <c r="AB2102" t="s">
        <v>38</v>
      </c>
      <c r="AC2102" t="s">
        <v>38</v>
      </c>
      <c r="AD2102" t="s">
        <v>48</v>
      </c>
      <c r="AG2102" t="str">
        <f>IF(AD2102="United States", IFERROR(INDEX(Sheet2!$C:$C, MATCH(AE2102&amp;AF2102, Sheet2!$E:$E, 0)) &amp; ", " &amp; INDEX(Sheet2!$D:$D, MATCH(AE2102&amp;AF2102, Sheet2!$E:$E, 0)), ""), "-")</f>
        <v/>
      </c>
    </row>
    <row r="2103" spans="1:33" x14ac:dyDescent="0.25">
      <c r="A2103" t="s">
        <v>3648</v>
      </c>
      <c r="D2103" t="s">
        <v>36</v>
      </c>
      <c r="E2103" t="s">
        <v>1130</v>
      </c>
      <c r="F2103">
        <v>1751</v>
      </c>
      <c r="G2103">
        <v>1428</v>
      </c>
      <c r="H2103">
        <v>53</v>
      </c>
      <c r="J2103" t="s">
        <v>3119</v>
      </c>
      <c r="O2103" t="s">
        <v>41</v>
      </c>
      <c r="R2103" t="s">
        <v>2452</v>
      </c>
      <c r="T2103" t="s">
        <v>89</v>
      </c>
      <c r="U2103" t="s">
        <v>2453</v>
      </c>
      <c r="V2103" t="s">
        <v>137</v>
      </c>
      <c r="W2103" t="s">
        <v>92</v>
      </c>
      <c r="Y2103" t="s">
        <v>38</v>
      </c>
      <c r="AA2103" t="s">
        <v>38</v>
      </c>
      <c r="AB2103" t="s">
        <v>38</v>
      </c>
      <c r="AC2103" t="s">
        <v>38</v>
      </c>
      <c r="AD2103" t="s">
        <v>48</v>
      </c>
      <c r="AG2103" t="str">
        <f>IF(AD2103="United States", IFERROR(INDEX(Sheet2!$C:$C, MATCH(AE2103&amp;AF2103, Sheet2!$E:$E, 0)) &amp; ", " &amp; INDEX(Sheet2!$D:$D, MATCH(AE2103&amp;AF2103, Sheet2!$E:$E, 0)), ""), "-")</f>
        <v/>
      </c>
    </row>
    <row r="2104" spans="1:33" x14ac:dyDescent="0.25">
      <c r="A2104" t="s">
        <v>3648</v>
      </c>
      <c r="D2104" t="s">
        <v>132</v>
      </c>
      <c r="E2104" t="s">
        <v>728</v>
      </c>
      <c r="F2104">
        <v>1741</v>
      </c>
      <c r="G2104">
        <v>1427</v>
      </c>
      <c r="H2104">
        <v>53</v>
      </c>
      <c r="J2104" t="s">
        <v>3119</v>
      </c>
      <c r="O2104" t="s">
        <v>41</v>
      </c>
      <c r="R2104" t="s">
        <v>2452</v>
      </c>
      <c r="T2104" t="s">
        <v>89</v>
      </c>
      <c r="U2104" t="s">
        <v>2453</v>
      </c>
      <c r="V2104" t="s">
        <v>137</v>
      </c>
      <c r="W2104" t="s">
        <v>92</v>
      </c>
      <c r="Y2104" t="s">
        <v>38</v>
      </c>
      <c r="AA2104" t="s">
        <v>38</v>
      </c>
      <c r="AB2104" t="s">
        <v>38</v>
      </c>
      <c r="AC2104" t="s">
        <v>38</v>
      </c>
      <c r="AD2104" t="s">
        <v>48</v>
      </c>
      <c r="AG2104" t="str">
        <f>IF(AD2104="United States", IFERROR(INDEX(Sheet2!$C:$C, MATCH(AE2104&amp;AF2104, Sheet2!$E:$E, 0)) &amp; ", " &amp; INDEX(Sheet2!$D:$D, MATCH(AE2104&amp;AF2104, Sheet2!$E:$E, 0)), ""), "-")</f>
        <v/>
      </c>
    </row>
    <row r="2105" spans="1:33" x14ac:dyDescent="0.25">
      <c r="A2105" t="s">
        <v>3648</v>
      </c>
      <c r="D2105" t="s">
        <v>181</v>
      </c>
      <c r="E2105" t="s">
        <v>1141</v>
      </c>
      <c r="F2105">
        <v>1778</v>
      </c>
      <c r="G2105">
        <v>1426</v>
      </c>
      <c r="H2105">
        <v>53</v>
      </c>
      <c r="J2105" t="s">
        <v>3119</v>
      </c>
      <c r="O2105" t="s">
        <v>54</v>
      </c>
      <c r="R2105" t="s">
        <v>2452</v>
      </c>
      <c r="T2105" t="s">
        <v>89</v>
      </c>
      <c r="U2105" t="s">
        <v>2453</v>
      </c>
      <c r="V2105" t="s">
        <v>137</v>
      </c>
      <c r="W2105" t="s">
        <v>92</v>
      </c>
      <c r="Y2105" t="s">
        <v>38</v>
      </c>
      <c r="AA2105" t="s">
        <v>38</v>
      </c>
      <c r="AB2105" t="s">
        <v>38</v>
      </c>
      <c r="AC2105" t="s">
        <v>38</v>
      </c>
      <c r="AD2105" t="s">
        <v>48</v>
      </c>
      <c r="AG2105" t="str">
        <f>IF(AD2105="United States", IFERROR(INDEX(Sheet2!$C:$C, MATCH(AE2105&amp;AF2105, Sheet2!$E:$E, 0)) &amp; ", " &amp; INDEX(Sheet2!$D:$D, MATCH(AE2105&amp;AF2105, Sheet2!$E:$E, 0)), ""), "-")</f>
        <v/>
      </c>
    </row>
    <row r="2106" spans="1:33" x14ac:dyDescent="0.25">
      <c r="A2106" t="s">
        <v>3648</v>
      </c>
      <c r="D2106" t="s">
        <v>3664</v>
      </c>
      <c r="E2106" t="s">
        <v>1638</v>
      </c>
      <c r="F2106">
        <v>1731</v>
      </c>
      <c r="G2106">
        <v>1464</v>
      </c>
      <c r="H2106">
        <v>54</v>
      </c>
      <c r="J2106" t="s">
        <v>3119</v>
      </c>
      <c r="O2106" t="s">
        <v>57</v>
      </c>
      <c r="R2106" t="s">
        <v>2452</v>
      </c>
      <c r="T2106" t="s">
        <v>89</v>
      </c>
      <c r="U2106" t="s">
        <v>2453</v>
      </c>
      <c r="V2106" t="s">
        <v>137</v>
      </c>
      <c r="W2106" t="s">
        <v>92</v>
      </c>
      <c r="Y2106" t="s">
        <v>38</v>
      </c>
      <c r="AA2106" t="s">
        <v>38</v>
      </c>
      <c r="AB2106" t="s">
        <v>38</v>
      </c>
      <c r="AC2106" t="s">
        <v>38</v>
      </c>
      <c r="AD2106" t="s">
        <v>48</v>
      </c>
      <c r="AG2106" t="str">
        <f>IF(AD2106="United States", IFERROR(INDEX(Sheet2!$C:$C, MATCH(AE2106&amp;AF2106, Sheet2!$E:$E, 0)) &amp; ", " &amp; INDEX(Sheet2!$D:$D, MATCH(AE2106&amp;AF2106, Sheet2!$E:$E, 0)), ""), "-")</f>
        <v/>
      </c>
    </row>
    <row r="2107" spans="1:33" x14ac:dyDescent="0.25">
      <c r="A2107" t="s">
        <v>3648</v>
      </c>
      <c r="D2107" t="s">
        <v>1164</v>
      </c>
      <c r="E2107" t="s">
        <v>1141</v>
      </c>
      <c r="F2107">
        <v>1748</v>
      </c>
      <c r="G2107">
        <v>1425</v>
      </c>
      <c r="H2107">
        <v>53</v>
      </c>
      <c r="J2107" t="s">
        <v>3119</v>
      </c>
      <c r="O2107" t="s">
        <v>57</v>
      </c>
      <c r="R2107" t="s">
        <v>2452</v>
      </c>
      <c r="T2107" t="s">
        <v>89</v>
      </c>
      <c r="U2107" t="s">
        <v>2453</v>
      </c>
      <c r="V2107" t="s">
        <v>137</v>
      </c>
      <c r="W2107" t="s">
        <v>92</v>
      </c>
      <c r="Y2107" t="s">
        <v>38</v>
      </c>
      <c r="AA2107" t="s">
        <v>38</v>
      </c>
      <c r="AB2107" t="s">
        <v>38</v>
      </c>
      <c r="AC2107" t="s">
        <v>38</v>
      </c>
      <c r="AD2107" t="s">
        <v>48</v>
      </c>
      <c r="AG2107" t="str">
        <f>IF(AD2107="United States", IFERROR(INDEX(Sheet2!$C:$C, MATCH(AE2107&amp;AF2107, Sheet2!$E:$E, 0)) &amp; ", " &amp; INDEX(Sheet2!$D:$D, MATCH(AE2107&amp;AF2107, Sheet2!$E:$E, 0)), ""), "-")</f>
        <v/>
      </c>
    </row>
    <row r="2108" spans="1:33" x14ac:dyDescent="0.25">
      <c r="A2108" t="s">
        <v>3648</v>
      </c>
      <c r="D2108" t="s">
        <v>621</v>
      </c>
      <c r="E2108" t="s">
        <v>1141</v>
      </c>
      <c r="F2108">
        <v>1748</v>
      </c>
      <c r="G2108">
        <v>1424</v>
      </c>
      <c r="H2108">
        <v>53</v>
      </c>
      <c r="J2108" t="s">
        <v>3119</v>
      </c>
      <c r="O2108" t="s">
        <v>41</v>
      </c>
      <c r="R2108" t="s">
        <v>2452</v>
      </c>
      <c r="T2108" t="s">
        <v>89</v>
      </c>
      <c r="U2108" t="s">
        <v>2453</v>
      </c>
      <c r="V2108" t="s">
        <v>137</v>
      </c>
      <c r="W2108" t="s">
        <v>92</v>
      </c>
      <c r="Y2108" t="s">
        <v>38</v>
      </c>
      <c r="AA2108" t="s">
        <v>38</v>
      </c>
      <c r="AB2108" t="s">
        <v>38</v>
      </c>
      <c r="AC2108" t="s">
        <v>38</v>
      </c>
      <c r="AD2108" t="s">
        <v>48</v>
      </c>
      <c r="AG2108" t="str">
        <f>IF(AD2108="United States", IFERROR(INDEX(Sheet2!$C:$C, MATCH(AE2108&amp;AF2108, Sheet2!$E:$E, 0)) &amp; ", " &amp; INDEX(Sheet2!$D:$D, MATCH(AE2108&amp;AF2108, Sheet2!$E:$E, 0)), ""), "-")</f>
        <v/>
      </c>
    </row>
    <row r="2109" spans="1:33" x14ac:dyDescent="0.25">
      <c r="A2109" t="s">
        <v>3648</v>
      </c>
      <c r="D2109" t="s">
        <v>885</v>
      </c>
      <c r="E2109" t="s">
        <v>2298</v>
      </c>
      <c r="F2109">
        <v>1738</v>
      </c>
      <c r="G2109">
        <v>1423</v>
      </c>
      <c r="H2109">
        <v>53</v>
      </c>
      <c r="J2109" t="s">
        <v>3119</v>
      </c>
      <c r="O2109" t="s">
        <v>57</v>
      </c>
      <c r="R2109" t="s">
        <v>2452</v>
      </c>
      <c r="T2109" t="s">
        <v>89</v>
      </c>
      <c r="U2109" t="s">
        <v>2453</v>
      </c>
      <c r="V2109" t="s">
        <v>137</v>
      </c>
      <c r="W2109" t="s">
        <v>92</v>
      </c>
      <c r="Y2109" t="s">
        <v>38</v>
      </c>
      <c r="AA2109" t="s">
        <v>38</v>
      </c>
      <c r="AB2109" t="s">
        <v>38</v>
      </c>
      <c r="AC2109" t="s">
        <v>38</v>
      </c>
      <c r="AD2109" t="s">
        <v>48</v>
      </c>
      <c r="AG2109" t="str">
        <f>IF(AD2109="United States", IFERROR(INDEX(Sheet2!$C:$C, MATCH(AE2109&amp;AF2109, Sheet2!$E:$E, 0)) &amp; ", " &amp; INDEX(Sheet2!$D:$D, MATCH(AE2109&amp;AF2109, Sheet2!$E:$E, 0)), ""), "-")</f>
        <v/>
      </c>
    </row>
    <row r="2110" spans="1:33" x14ac:dyDescent="0.25">
      <c r="A2110" t="s">
        <v>3648</v>
      </c>
      <c r="D2110" t="s">
        <v>626</v>
      </c>
      <c r="E2110" t="s">
        <v>629</v>
      </c>
      <c r="F2110">
        <v>1764</v>
      </c>
      <c r="G2110">
        <v>1401</v>
      </c>
      <c r="H2110">
        <v>53</v>
      </c>
      <c r="J2110" t="s">
        <v>3119</v>
      </c>
      <c r="O2110" t="s">
        <v>41</v>
      </c>
      <c r="R2110" t="s">
        <v>2452</v>
      </c>
      <c r="T2110" t="s">
        <v>89</v>
      </c>
      <c r="U2110" t="s">
        <v>2453</v>
      </c>
      <c r="V2110" t="s">
        <v>137</v>
      </c>
      <c r="W2110" t="s">
        <v>92</v>
      </c>
      <c r="Y2110" t="s">
        <v>38</v>
      </c>
      <c r="AA2110" t="s">
        <v>38</v>
      </c>
      <c r="AB2110" t="s">
        <v>38</v>
      </c>
      <c r="AC2110" t="s">
        <v>38</v>
      </c>
      <c r="AD2110" t="s">
        <v>48</v>
      </c>
      <c r="AG2110" t="str">
        <f>IF(AD2110="United States", IFERROR(INDEX(Sheet2!$C:$C, MATCH(AE2110&amp;AF2110, Sheet2!$E:$E, 0)) &amp; ", " &amp; INDEX(Sheet2!$D:$D, MATCH(AE2110&amp;AF2110, Sheet2!$E:$E, 0)), ""), "-")</f>
        <v/>
      </c>
    </row>
    <row r="2111" spans="1:33" x14ac:dyDescent="0.25">
      <c r="A2111" t="s">
        <v>3648</v>
      </c>
      <c r="D2111" t="s">
        <v>837</v>
      </c>
      <c r="E2111" t="s">
        <v>2298</v>
      </c>
      <c r="F2111">
        <v>1755</v>
      </c>
      <c r="G2111">
        <v>1422</v>
      </c>
      <c r="H2111">
        <v>53</v>
      </c>
      <c r="J2111" t="s">
        <v>3119</v>
      </c>
      <c r="O2111" t="s">
        <v>41</v>
      </c>
      <c r="R2111" t="s">
        <v>2452</v>
      </c>
      <c r="T2111" t="s">
        <v>89</v>
      </c>
      <c r="U2111" t="s">
        <v>2453</v>
      </c>
      <c r="V2111" t="s">
        <v>137</v>
      </c>
      <c r="W2111" t="s">
        <v>92</v>
      </c>
      <c r="Y2111" t="s">
        <v>38</v>
      </c>
      <c r="AA2111" t="s">
        <v>38</v>
      </c>
      <c r="AB2111" t="s">
        <v>38</v>
      </c>
      <c r="AC2111" t="s">
        <v>38</v>
      </c>
      <c r="AD2111" t="s">
        <v>48</v>
      </c>
      <c r="AG2111" t="str">
        <f>IF(AD2111="United States", IFERROR(INDEX(Sheet2!$C:$C, MATCH(AE2111&amp;AF2111, Sheet2!$E:$E, 0)) &amp; ", " &amp; INDEX(Sheet2!$D:$D, MATCH(AE2111&amp;AF2111, Sheet2!$E:$E, 0)), ""), "-")</f>
        <v/>
      </c>
    </row>
    <row r="2112" spans="1:33" x14ac:dyDescent="0.25">
      <c r="A2112" t="s">
        <v>3648</v>
      </c>
      <c r="D2112" t="s">
        <v>256</v>
      </c>
      <c r="E2112" t="s">
        <v>3500</v>
      </c>
      <c r="F2112">
        <v>1767</v>
      </c>
      <c r="G2112">
        <v>1421</v>
      </c>
      <c r="H2112">
        <v>53</v>
      </c>
      <c r="J2112" t="s">
        <v>3119</v>
      </c>
      <c r="O2112" t="s">
        <v>57</v>
      </c>
      <c r="R2112" t="s">
        <v>2452</v>
      </c>
      <c r="T2112" t="s">
        <v>89</v>
      </c>
      <c r="U2112" t="s">
        <v>2453</v>
      </c>
      <c r="V2112" t="s">
        <v>137</v>
      </c>
      <c r="W2112" t="s">
        <v>92</v>
      </c>
      <c r="Y2112" t="s">
        <v>38</v>
      </c>
      <c r="AA2112" t="s">
        <v>38</v>
      </c>
      <c r="AB2112" t="s">
        <v>38</v>
      </c>
      <c r="AC2112" t="s">
        <v>38</v>
      </c>
      <c r="AD2112" t="s">
        <v>48</v>
      </c>
      <c r="AG2112" t="str">
        <f>IF(AD2112="United States", IFERROR(INDEX(Sheet2!$C:$C, MATCH(AE2112&amp;AF2112, Sheet2!$E:$E, 0)) &amp; ", " &amp; INDEX(Sheet2!$D:$D, MATCH(AE2112&amp;AF2112, Sheet2!$E:$E, 0)), ""), "-")</f>
        <v/>
      </c>
    </row>
    <row r="2113" spans="1:33" x14ac:dyDescent="0.25">
      <c r="A2113" t="s">
        <v>3648</v>
      </c>
      <c r="D2113" t="s">
        <v>3665</v>
      </c>
      <c r="E2113" t="s">
        <v>3503</v>
      </c>
      <c r="F2113">
        <v>1769</v>
      </c>
      <c r="G2113">
        <v>1465</v>
      </c>
      <c r="H2113">
        <v>54</v>
      </c>
      <c r="J2113" t="s">
        <v>3119</v>
      </c>
      <c r="O2113" t="s">
        <v>74</v>
      </c>
      <c r="R2113" t="s">
        <v>2452</v>
      </c>
      <c r="T2113" t="s">
        <v>89</v>
      </c>
      <c r="U2113" t="s">
        <v>2453</v>
      </c>
      <c r="V2113" t="s">
        <v>137</v>
      </c>
      <c r="W2113" t="s">
        <v>92</v>
      </c>
      <c r="Y2113" t="s">
        <v>38</v>
      </c>
      <c r="AA2113" t="s">
        <v>38</v>
      </c>
      <c r="AB2113" t="s">
        <v>38</v>
      </c>
      <c r="AC2113" t="s">
        <v>38</v>
      </c>
      <c r="AD2113" t="s">
        <v>48</v>
      </c>
      <c r="AG2113" t="str">
        <f>IF(AD2113="United States", IFERROR(INDEX(Sheet2!$C:$C, MATCH(AE2113&amp;AF2113, Sheet2!$E:$E, 0)) &amp; ", " &amp; INDEX(Sheet2!$D:$D, MATCH(AE2113&amp;AF2113, Sheet2!$E:$E, 0)), ""), "-")</f>
        <v/>
      </c>
    </row>
    <row r="2114" spans="1:33" x14ac:dyDescent="0.25">
      <c r="A2114" t="s">
        <v>3648</v>
      </c>
      <c r="D2114" t="s">
        <v>352</v>
      </c>
      <c r="E2114" t="s">
        <v>3500</v>
      </c>
      <c r="F2114">
        <v>1764</v>
      </c>
      <c r="G2114">
        <v>1466</v>
      </c>
      <c r="H2114">
        <v>54</v>
      </c>
      <c r="J2114" t="s">
        <v>3119</v>
      </c>
      <c r="O2114" t="s">
        <v>57</v>
      </c>
      <c r="R2114" t="s">
        <v>2452</v>
      </c>
      <c r="T2114" t="s">
        <v>89</v>
      </c>
      <c r="U2114" t="s">
        <v>2453</v>
      </c>
      <c r="V2114" t="s">
        <v>137</v>
      </c>
      <c r="W2114" t="s">
        <v>92</v>
      </c>
      <c r="Y2114" t="s">
        <v>38</v>
      </c>
      <c r="AA2114" t="s">
        <v>38</v>
      </c>
      <c r="AB2114" t="s">
        <v>38</v>
      </c>
      <c r="AC2114" t="s">
        <v>38</v>
      </c>
      <c r="AD2114" t="s">
        <v>48</v>
      </c>
      <c r="AG2114" t="str">
        <f>IF(AD2114="United States", IFERROR(INDEX(Sheet2!$C:$C, MATCH(AE2114&amp;AF2114, Sheet2!$E:$E, 0)) &amp; ", " &amp; INDEX(Sheet2!$D:$D, MATCH(AE2114&amp;AF2114, Sheet2!$E:$E, 0)), ""), "-")</f>
        <v/>
      </c>
    </row>
    <row r="2115" spans="1:33" x14ac:dyDescent="0.25">
      <c r="A2115" t="s">
        <v>3648</v>
      </c>
      <c r="D2115" t="s">
        <v>1116</v>
      </c>
      <c r="E2115" t="s">
        <v>3180</v>
      </c>
      <c r="F2115">
        <v>1753</v>
      </c>
      <c r="G2115">
        <v>1467</v>
      </c>
      <c r="H2115">
        <v>54</v>
      </c>
      <c r="J2115" t="s">
        <v>3119</v>
      </c>
      <c r="O2115" t="s">
        <v>41</v>
      </c>
      <c r="R2115" t="s">
        <v>2452</v>
      </c>
      <c r="T2115" t="s">
        <v>89</v>
      </c>
      <c r="U2115" t="s">
        <v>2453</v>
      </c>
      <c r="V2115" t="s">
        <v>137</v>
      </c>
      <c r="W2115" t="s">
        <v>92</v>
      </c>
      <c r="Y2115" t="s">
        <v>38</v>
      </c>
      <c r="AA2115" t="s">
        <v>38</v>
      </c>
      <c r="AB2115" t="s">
        <v>38</v>
      </c>
      <c r="AC2115" t="s">
        <v>38</v>
      </c>
      <c r="AD2115" t="s">
        <v>48</v>
      </c>
      <c r="AG2115" t="str">
        <f>IF(AD2115="United States", IFERROR(INDEX(Sheet2!$C:$C, MATCH(AE2115&amp;AF2115, Sheet2!$E:$E, 0)) &amp; ", " &amp; INDEX(Sheet2!$D:$D, MATCH(AE2115&amp;AF2115, Sheet2!$E:$E, 0)), ""), "-")</f>
        <v/>
      </c>
    </row>
    <row r="2116" spans="1:33" x14ac:dyDescent="0.25">
      <c r="A2116" t="s">
        <v>3648</v>
      </c>
      <c r="D2116" t="s">
        <v>1573</v>
      </c>
      <c r="E2116" t="s">
        <v>3180</v>
      </c>
      <c r="F2116">
        <v>1753</v>
      </c>
      <c r="G2116">
        <v>1468</v>
      </c>
      <c r="H2116">
        <v>54</v>
      </c>
      <c r="J2116" t="s">
        <v>3119</v>
      </c>
      <c r="O2116" t="s">
        <v>57</v>
      </c>
      <c r="R2116" t="s">
        <v>2452</v>
      </c>
      <c r="T2116" t="s">
        <v>89</v>
      </c>
      <c r="U2116" t="s">
        <v>2453</v>
      </c>
      <c r="V2116" t="s">
        <v>137</v>
      </c>
      <c r="W2116" t="s">
        <v>92</v>
      </c>
      <c r="Y2116" t="s">
        <v>38</v>
      </c>
      <c r="AA2116" t="s">
        <v>38</v>
      </c>
      <c r="AB2116" t="s">
        <v>38</v>
      </c>
      <c r="AC2116" t="s">
        <v>38</v>
      </c>
      <c r="AD2116" t="s">
        <v>48</v>
      </c>
      <c r="AG2116" t="str">
        <f>IF(AD2116="United States", IFERROR(INDEX(Sheet2!$C:$C, MATCH(AE2116&amp;AF2116, Sheet2!$E:$E, 0)) &amp; ", " &amp; INDEX(Sheet2!$D:$D, MATCH(AE2116&amp;AF2116, Sheet2!$E:$E, 0)), ""), "-")</f>
        <v/>
      </c>
    </row>
    <row r="2117" spans="1:33" x14ac:dyDescent="0.25">
      <c r="A2117" t="s">
        <v>3648</v>
      </c>
      <c r="D2117" t="s">
        <v>181</v>
      </c>
      <c r="E2117" t="s">
        <v>3180</v>
      </c>
      <c r="F2117">
        <v>1773</v>
      </c>
      <c r="G2117">
        <v>1469</v>
      </c>
      <c r="H2117">
        <v>54</v>
      </c>
      <c r="J2117" t="s">
        <v>3119</v>
      </c>
      <c r="O2117" t="s">
        <v>74</v>
      </c>
      <c r="R2117" t="s">
        <v>2452</v>
      </c>
      <c r="T2117" t="s">
        <v>89</v>
      </c>
      <c r="U2117" t="s">
        <v>2453</v>
      </c>
      <c r="V2117" t="s">
        <v>137</v>
      </c>
      <c r="W2117" t="s">
        <v>92</v>
      </c>
      <c r="Y2117" t="s">
        <v>38</v>
      </c>
      <c r="AA2117" t="s">
        <v>38</v>
      </c>
      <c r="AB2117" t="s">
        <v>38</v>
      </c>
      <c r="AC2117" t="s">
        <v>38</v>
      </c>
      <c r="AD2117" t="s">
        <v>48</v>
      </c>
      <c r="AG2117" t="str">
        <f>IF(AD2117="United States", IFERROR(INDEX(Sheet2!$C:$C, MATCH(AE2117&amp;AF2117, Sheet2!$E:$E, 0)) &amp; ", " &amp; INDEX(Sheet2!$D:$D, MATCH(AE2117&amp;AF2117, Sheet2!$E:$E, 0)), ""), "-")</f>
        <v/>
      </c>
    </row>
    <row r="2118" spans="1:33" x14ac:dyDescent="0.25">
      <c r="A2118" t="s">
        <v>3648</v>
      </c>
      <c r="D2118" t="s">
        <v>3493</v>
      </c>
      <c r="E2118" t="s">
        <v>3494</v>
      </c>
      <c r="F2118">
        <v>1764</v>
      </c>
      <c r="G2118">
        <v>1470</v>
      </c>
      <c r="H2118">
        <v>54</v>
      </c>
      <c r="J2118" t="s">
        <v>3119</v>
      </c>
      <c r="O2118" t="s">
        <v>57</v>
      </c>
      <c r="R2118" t="s">
        <v>2452</v>
      </c>
      <c r="T2118" t="s">
        <v>89</v>
      </c>
      <c r="U2118" t="s">
        <v>2453</v>
      </c>
      <c r="V2118" t="s">
        <v>137</v>
      </c>
      <c r="W2118" t="s">
        <v>92</v>
      </c>
      <c r="Y2118" t="s">
        <v>38</v>
      </c>
      <c r="AA2118" t="s">
        <v>38</v>
      </c>
      <c r="AB2118" t="s">
        <v>38</v>
      </c>
      <c r="AC2118" t="s">
        <v>38</v>
      </c>
      <c r="AD2118" t="s">
        <v>48</v>
      </c>
      <c r="AG2118" t="str">
        <f>IF(AD2118="United States", IFERROR(INDEX(Sheet2!$C:$C, MATCH(AE2118&amp;AF2118, Sheet2!$E:$E, 0)) &amp; ", " &amp; INDEX(Sheet2!$D:$D, MATCH(AE2118&amp;AF2118, Sheet2!$E:$E, 0)), ""), "-")</f>
        <v/>
      </c>
    </row>
    <row r="2119" spans="1:33" x14ac:dyDescent="0.25">
      <c r="A2119" t="s">
        <v>3648</v>
      </c>
      <c r="D2119" t="s">
        <v>834</v>
      </c>
      <c r="E2119" t="s">
        <v>338</v>
      </c>
      <c r="F2119">
        <v>1753</v>
      </c>
      <c r="G2119">
        <v>1471</v>
      </c>
      <c r="H2119">
        <v>54</v>
      </c>
      <c r="J2119" t="s">
        <v>3119</v>
      </c>
      <c r="O2119" t="s">
        <v>57</v>
      </c>
      <c r="R2119" t="s">
        <v>2452</v>
      </c>
      <c r="T2119" t="s">
        <v>89</v>
      </c>
      <c r="U2119" t="s">
        <v>2453</v>
      </c>
      <c r="V2119" t="s">
        <v>137</v>
      </c>
      <c r="W2119" t="s">
        <v>92</v>
      </c>
      <c r="Y2119" t="s">
        <v>38</v>
      </c>
      <c r="AA2119" t="s">
        <v>38</v>
      </c>
      <c r="AB2119" t="s">
        <v>38</v>
      </c>
      <c r="AC2119" t="s">
        <v>38</v>
      </c>
      <c r="AD2119" t="s">
        <v>48</v>
      </c>
      <c r="AG2119" t="str">
        <f>IF(AD2119="United States", IFERROR(INDEX(Sheet2!$C:$C, MATCH(AE2119&amp;AF2119, Sheet2!$E:$E, 0)) &amp; ", " &amp; INDEX(Sheet2!$D:$D, MATCH(AE2119&amp;AF2119, Sheet2!$E:$E, 0)), ""), "-")</f>
        <v/>
      </c>
    </row>
    <row r="2120" spans="1:33" x14ac:dyDescent="0.25">
      <c r="A2120" t="s">
        <v>3648</v>
      </c>
      <c r="D2120" t="s">
        <v>181</v>
      </c>
      <c r="E2120" t="s">
        <v>338</v>
      </c>
      <c r="F2120">
        <v>1774</v>
      </c>
      <c r="G2120">
        <v>1472</v>
      </c>
      <c r="H2120">
        <v>54</v>
      </c>
      <c r="J2120" t="s">
        <v>3119</v>
      </c>
      <c r="O2120" t="s">
        <v>183</v>
      </c>
      <c r="R2120" t="s">
        <v>2452</v>
      </c>
      <c r="T2120" t="s">
        <v>89</v>
      </c>
      <c r="U2120" t="s">
        <v>2453</v>
      </c>
      <c r="V2120" t="s">
        <v>137</v>
      </c>
      <c r="W2120" t="s">
        <v>92</v>
      </c>
      <c r="Y2120" t="s">
        <v>38</v>
      </c>
      <c r="AA2120" t="s">
        <v>38</v>
      </c>
      <c r="AB2120" t="s">
        <v>38</v>
      </c>
      <c r="AC2120" t="s">
        <v>38</v>
      </c>
      <c r="AD2120" t="s">
        <v>48</v>
      </c>
      <c r="AG2120" t="str">
        <f>IF(AD2120="United States", IFERROR(INDEX(Sheet2!$C:$C, MATCH(AE2120&amp;AF2120, Sheet2!$E:$E, 0)) &amp; ", " &amp; INDEX(Sheet2!$D:$D, MATCH(AE2120&amp;AF2120, Sheet2!$E:$E, 0)), ""), "-")</f>
        <v/>
      </c>
    </row>
    <row r="2121" spans="1:33" x14ac:dyDescent="0.25">
      <c r="A2121" t="s">
        <v>3648</v>
      </c>
      <c r="D2121" t="s">
        <v>181</v>
      </c>
      <c r="E2121" t="s">
        <v>338</v>
      </c>
      <c r="F2121">
        <v>1777</v>
      </c>
      <c r="G2121">
        <v>1473</v>
      </c>
      <c r="H2121">
        <v>54</v>
      </c>
      <c r="J2121" t="s">
        <v>3119</v>
      </c>
      <c r="O2121" t="s">
        <v>183</v>
      </c>
      <c r="R2121" t="s">
        <v>2452</v>
      </c>
      <c r="T2121" t="s">
        <v>89</v>
      </c>
      <c r="U2121" t="s">
        <v>2453</v>
      </c>
      <c r="V2121" t="s">
        <v>137</v>
      </c>
      <c r="W2121" t="s">
        <v>92</v>
      </c>
      <c r="Y2121" t="s">
        <v>38</v>
      </c>
      <c r="AA2121" t="s">
        <v>38</v>
      </c>
      <c r="AB2121" t="s">
        <v>38</v>
      </c>
      <c r="AC2121" t="s">
        <v>38</v>
      </c>
      <c r="AD2121" t="s">
        <v>48</v>
      </c>
      <c r="AG2121" t="str">
        <f>IF(AD2121="United States", IFERROR(INDEX(Sheet2!$C:$C, MATCH(AE2121&amp;AF2121, Sheet2!$E:$E, 0)) &amp; ", " &amp; INDEX(Sheet2!$D:$D, MATCH(AE2121&amp;AF2121, Sheet2!$E:$E, 0)), ""), "-")</f>
        <v/>
      </c>
    </row>
    <row r="2122" spans="1:33" x14ac:dyDescent="0.25">
      <c r="A2122" t="s">
        <v>3648</v>
      </c>
      <c r="D2122" t="s">
        <v>193</v>
      </c>
      <c r="E2122" t="s">
        <v>268</v>
      </c>
      <c r="F2122">
        <v>1782</v>
      </c>
      <c r="G2122">
        <v>1056</v>
      </c>
      <c r="H2122">
        <v>44</v>
      </c>
      <c r="J2122" t="s">
        <v>3119</v>
      </c>
      <c r="O2122" t="s">
        <v>54</v>
      </c>
      <c r="R2122" t="s">
        <v>2452</v>
      </c>
      <c r="T2122" t="s">
        <v>89</v>
      </c>
      <c r="U2122" t="s">
        <v>2453</v>
      </c>
      <c r="V2122" t="s">
        <v>137</v>
      </c>
      <c r="W2122" t="s">
        <v>92</v>
      </c>
      <c r="Y2122" t="s">
        <v>38</v>
      </c>
      <c r="AA2122" t="s">
        <v>38</v>
      </c>
      <c r="AB2122" t="s">
        <v>38</v>
      </c>
      <c r="AC2122" t="s">
        <v>38</v>
      </c>
      <c r="AD2122" t="s">
        <v>48</v>
      </c>
      <c r="AG2122" t="str">
        <f>IF(AD2122="United States", IFERROR(INDEX(Sheet2!$C:$C, MATCH(AE2122&amp;AF2122, Sheet2!$E:$E, 0)) &amp; ", " &amp; INDEX(Sheet2!$D:$D, MATCH(AE2122&amp;AF2122, Sheet2!$E:$E, 0)), ""), "-")</f>
        <v/>
      </c>
    </row>
    <row r="2123" spans="1:33" x14ac:dyDescent="0.25">
      <c r="A2123" t="s">
        <v>3648</v>
      </c>
      <c r="D2123" t="s">
        <v>2174</v>
      </c>
      <c r="E2123" t="s">
        <v>38</v>
      </c>
      <c r="F2123">
        <v>1773</v>
      </c>
      <c r="G2123">
        <v>1420</v>
      </c>
      <c r="H2123">
        <v>53</v>
      </c>
      <c r="J2123" t="s">
        <v>3119</v>
      </c>
      <c r="O2123" t="s">
        <v>74</v>
      </c>
      <c r="R2123" t="s">
        <v>2452</v>
      </c>
      <c r="T2123" t="s">
        <v>89</v>
      </c>
      <c r="U2123" t="s">
        <v>2453</v>
      </c>
      <c r="V2123" t="s">
        <v>137</v>
      </c>
      <c r="W2123" t="s">
        <v>92</v>
      </c>
      <c r="Y2123" t="s">
        <v>38</v>
      </c>
      <c r="AA2123" t="s">
        <v>38</v>
      </c>
      <c r="AB2123" t="s">
        <v>38</v>
      </c>
      <c r="AC2123" t="s">
        <v>38</v>
      </c>
      <c r="AD2123" t="s">
        <v>48</v>
      </c>
      <c r="AG2123" t="str">
        <f>IF(AD2123="United States", IFERROR(INDEX(Sheet2!$C:$C, MATCH(AE2123&amp;AF2123, Sheet2!$E:$E, 0)) &amp; ", " &amp; INDEX(Sheet2!$D:$D, MATCH(AE2123&amp;AF2123, Sheet2!$E:$E, 0)), ""), "-")</f>
        <v/>
      </c>
    </row>
    <row r="2124" spans="1:33" x14ac:dyDescent="0.25">
      <c r="A2124" t="s">
        <v>3648</v>
      </c>
      <c r="D2124" t="s">
        <v>3666</v>
      </c>
      <c r="E2124" t="s">
        <v>3655</v>
      </c>
      <c r="F2124">
        <v>1748</v>
      </c>
      <c r="G2124">
        <v>1450</v>
      </c>
      <c r="H2124">
        <v>53</v>
      </c>
      <c r="J2124" t="s">
        <v>3119</v>
      </c>
      <c r="O2124" t="s">
        <v>41</v>
      </c>
      <c r="R2124" t="s">
        <v>2452</v>
      </c>
      <c r="T2124" t="s">
        <v>89</v>
      </c>
      <c r="U2124" t="s">
        <v>2453</v>
      </c>
      <c r="V2124" t="s">
        <v>137</v>
      </c>
      <c r="W2124" t="s">
        <v>92</v>
      </c>
      <c r="Y2124" t="s">
        <v>38</v>
      </c>
      <c r="AA2124" t="s">
        <v>38</v>
      </c>
      <c r="AB2124" t="s">
        <v>38</v>
      </c>
      <c r="AC2124" t="s">
        <v>38</v>
      </c>
      <c r="AD2124" t="s">
        <v>48</v>
      </c>
      <c r="AG2124" t="str">
        <f>IF(AD2124="United States", IFERROR(INDEX(Sheet2!$C:$C, MATCH(AE2124&amp;AF2124, Sheet2!$E:$E, 0)) &amp; ", " &amp; INDEX(Sheet2!$D:$D, MATCH(AE2124&amp;AF2124, Sheet2!$E:$E, 0)), ""), "-")</f>
        <v/>
      </c>
    </row>
    <row r="2125" spans="1:33" x14ac:dyDescent="0.25">
      <c r="A2125" t="s">
        <v>3648</v>
      </c>
      <c r="D2125" t="s">
        <v>357</v>
      </c>
      <c r="E2125" t="s">
        <v>3667</v>
      </c>
      <c r="F2125">
        <v>1763</v>
      </c>
      <c r="G2125">
        <v>1449</v>
      </c>
      <c r="H2125">
        <v>53</v>
      </c>
      <c r="J2125" t="s">
        <v>3119</v>
      </c>
      <c r="O2125" t="s">
        <v>41</v>
      </c>
      <c r="R2125" t="s">
        <v>2452</v>
      </c>
      <c r="T2125" t="s">
        <v>89</v>
      </c>
      <c r="U2125" t="s">
        <v>2453</v>
      </c>
      <c r="V2125" t="s">
        <v>137</v>
      </c>
      <c r="W2125" t="s">
        <v>92</v>
      </c>
      <c r="Y2125" t="s">
        <v>38</v>
      </c>
      <c r="AA2125" t="s">
        <v>38</v>
      </c>
      <c r="AB2125" t="s">
        <v>38</v>
      </c>
      <c r="AC2125" t="s">
        <v>38</v>
      </c>
      <c r="AD2125" t="s">
        <v>48</v>
      </c>
      <c r="AG2125" t="str">
        <f>IF(AD2125="United States", IFERROR(INDEX(Sheet2!$C:$C, MATCH(AE2125&amp;AF2125, Sheet2!$E:$E, 0)) &amp; ", " &amp; INDEX(Sheet2!$D:$D, MATCH(AE2125&amp;AF2125, Sheet2!$E:$E, 0)), ""), "-")</f>
        <v/>
      </c>
    </row>
    <row r="2126" spans="1:33" x14ac:dyDescent="0.25">
      <c r="A2126" t="s">
        <v>3648</v>
      </c>
      <c r="D2126" t="s">
        <v>181</v>
      </c>
      <c r="E2126" t="s">
        <v>3209</v>
      </c>
      <c r="F2126" t="s">
        <v>38</v>
      </c>
      <c r="G2126">
        <v>1675</v>
      </c>
      <c r="H2126">
        <v>57</v>
      </c>
      <c r="J2126" t="s">
        <v>3119</v>
      </c>
      <c r="O2126" t="s">
        <v>183</v>
      </c>
      <c r="R2126" t="s">
        <v>2452</v>
      </c>
      <c r="T2126" t="s">
        <v>89</v>
      </c>
      <c r="U2126" t="s">
        <v>2453</v>
      </c>
      <c r="V2126" t="s">
        <v>137</v>
      </c>
      <c r="W2126" t="s">
        <v>92</v>
      </c>
      <c r="Y2126" t="s">
        <v>38</v>
      </c>
      <c r="AA2126" t="s">
        <v>38</v>
      </c>
      <c r="AB2126" t="s">
        <v>38</v>
      </c>
      <c r="AC2126" t="s">
        <v>38</v>
      </c>
      <c r="AD2126" t="s">
        <v>48</v>
      </c>
      <c r="AG2126" t="str">
        <f>IF(AD2126="United States", IFERROR(INDEX(Sheet2!$C:$C, MATCH(AE2126&amp;AF2126, Sheet2!$E:$E, 0)) &amp; ", " &amp; INDEX(Sheet2!$D:$D, MATCH(AE2126&amp;AF2126, Sheet2!$E:$E, 0)), ""), "-")</f>
        <v/>
      </c>
    </row>
    <row r="2127" spans="1:33" x14ac:dyDescent="0.25">
      <c r="A2127" t="s">
        <v>3648</v>
      </c>
      <c r="D2127" t="s">
        <v>226</v>
      </c>
      <c r="E2127" t="s">
        <v>3287</v>
      </c>
      <c r="F2127">
        <v>1733</v>
      </c>
      <c r="G2127">
        <v>1447</v>
      </c>
      <c r="H2127">
        <v>53</v>
      </c>
      <c r="J2127" t="s">
        <v>3119</v>
      </c>
      <c r="O2127" t="s">
        <v>41</v>
      </c>
      <c r="R2127" t="s">
        <v>2452</v>
      </c>
      <c r="T2127" t="s">
        <v>89</v>
      </c>
      <c r="U2127" t="s">
        <v>2453</v>
      </c>
      <c r="V2127" t="s">
        <v>137</v>
      </c>
      <c r="W2127" t="s">
        <v>92</v>
      </c>
      <c r="Y2127" t="s">
        <v>38</v>
      </c>
      <c r="AA2127" t="s">
        <v>38</v>
      </c>
      <c r="AB2127" t="s">
        <v>38</v>
      </c>
      <c r="AC2127" t="s">
        <v>38</v>
      </c>
      <c r="AD2127" t="s">
        <v>48</v>
      </c>
      <c r="AG2127" t="str">
        <f>IF(AD2127="United States", IFERROR(INDEX(Sheet2!$C:$C, MATCH(AE2127&amp;AF2127, Sheet2!$E:$E, 0)) &amp; ", " &amp; INDEX(Sheet2!$D:$D, MATCH(AE2127&amp;AF2127, Sheet2!$E:$E, 0)), ""), "-")</f>
        <v/>
      </c>
    </row>
    <row r="2128" spans="1:33" x14ac:dyDescent="0.25">
      <c r="A2128" t="s">
        <v>3648</v>
      </c>
      <c r="D2128" t="s">
        <v>352</v>
      </c>
      <c r="E2128" t="s">
        <v>2028</v>
      </c>
      <c r="F2128">
        <v>1738</v>
      </c>
      <c r="G2128">
        <v>1067</v>
      </c>
      <c r="H2128">
        <v>45</v>
      </c>
      <c r="J2128" t="s">
        <v>3119</v>
      </c>
      <c r="O2128" t="s">
        <v>57</v>
      </c>
      <c r="R2128" t="s">
        <v>2452</v>
      </c>
      <c r="T2128" t="s">
        <v>89</v>
      </c>
      <c r="U2128" t="s">
        <v>2453</v>
      </c>
      <c r="V2128" t="s">
        <v>137</v>
      </c>
      <c r="W2128" t="s">
        <v>92</v>
      </c>
      <c r="Y2128" t="s">
        <v>38</v>
      </c>
      <c r="AA2128" t="s">
        <v>38</v>
      </c>
      <c r="AB2128" t="s">
        <v>38</v>
      </c>
      <c r="AC2128" t="s">
        <v>38</v>
      </c>
      <c r="AD2128" t="s">
        <v>48</v>
      </c>
      <c r="AG2128" t="str">
        <f>IF(AD2128="United States", IFERROR(INDEX(Sheet2!$C:$C, MATCH(AE2128&amp;AF2128, Sheet2!$E:$E, 0)) &amp; ", " &amp; INDEX(Sheet2!$D:$D, MATCH(AE2128&amp;AF2128, Sheet2!$E:$E, 0)), ""), "-")</f>
        <v/>
      </c>
    </row>
    <row r="2129" spans="1:33" x14ac:dyDescent="0.25">
      <c r="A2129" t="s">
        <v>3648</v>
      </c>
      <c r="D2129" t="s">
        <v>3668</v>
      </c>
      <c r="E2129" t="s">
        <v>2028</v>
      </c>
      <c r="F2129">
        <v>1774</v>
      </c>
      <c r="G2129">
        <v>1068</v>
      </c>
      <c r="H2129">
        <v>45</v>
      </c>
      <c r="J2129" t="s">
        <v>3119</v>
      </c>
      <c r="O2129" t="s">
        <v>74</v>
      </c>
      <c r="R2129" t="s">
        <v>2452</v>
      </c>
      <c r="T2129" t="s">
        <v>89</v>
      </c>
      <c r="U2129" t="s">
        <v>2453</v>
      </c>
      <c r="V2129" t="s">
        <v>137</v>
      </c>
      <c r="W2129" t="s">
        <v>92</v>
      </c>
      <c r="Y2129" t="s">
        <v>38</v>
      </c>
      <c r="AA2129" t="s">
        <v>38</v>
      </c>
      <c r="AB2129" t="s">
        <v>38</v>
      </c>
      <c r="AC2129" t="s">
        <v>38</v>
      </c>
      <c r="AD2129" t="s">
        <v>48</v>
      </c>
      <c r="AG2129" t="str">
        <f>IF(AD2129="United States", IFERROR(INDEX(Sheet2!$C:$C, MATCH(AE2129&amp;AF2129, Sheet2!$E:$E, 0)) &amp; ", " &amp; INDEX(Sheet2!$D:$D, MATCH(AE2129&amp;AF2129, Sheet2!$E:$E, 0)), ""), "-")</f>
        <v/>
      </c>
    </row>
    <row r="2130" spans="1:33" x14ac:dyDescent="0.25">
      <c r="A2130" t="s">
        <v>3648</v>
      </c>
      <c r="D2130" t="s">
        <v>2121</v>
      </c>
      <c r="E2130" t="s">
        <v>3669</v>
      </c>
      <c r="F2130">
        <v>1743</v>
      </c>
      <c r="G2130">
        <v>1069</v>
      </c>
      <c r="H2130">
        <v>45</v>
      </c>
      <c r="J2130" t="s">
        <v>3119</v>
      </c>
      <c r="O2130" t="s">
        <v>41</v>
      </c>
      <c r="R2130" t="s">
        <v>2452</v>
      </c>
      <c r="T2130" t="s">
        <v>89</v>
      </c>
      <c r="U2130" t="s">
        <v>2453</v>
      </c>
      <c r="V2130" t="s">
        <v>137</v>
      </c>
      <c r="W2130" t="s">
        <v>92</v>
      </c>
      <c r="Y2130" t="s">
        <v>38</v>
      </c>
      <c r="AA2130" t="s">
        <v>38</v>
      </c>
      <c r="AB2130" t="s">
        <v>38</v>
      </c>
      <c r="AC2130" t="s">
        <v>38</v>
      </c>
      <c r="AD2130" t="s">
        <v>48</v>
      </c>
      <c r="AG2130" t="str">
        <f>IF(AD2130="United States", IFERROR(INDEX(Sheet2!$C:$C, MATCH(AE2130&amp;AF2130, Sheet2!$E:$E, 0)) &amp; ", " &amp; INDEX(Sheet2!$D:$D, MATCH(AE2130&amp;AF2130, Sheet2!$E:$E, 0)), ""), "-")</f>
        <v/>
      </c>
    </row>
    <row r="2131" spans="1:33" x14ac:dyDescent="0.25">
      <c r="A2131" t="s">
        <v>3648</v>
      </c>
      <c r="D2131" t="s">
        <v>190</v>
      </c>
      <c r="E2131" t="s">
        <v>3669</v>
      </c>
      <c r="F2131">
        <v>1753</v>
      </c>
      <c r="G2131">
        <v>1070</v>
      </c>
      <c r="H2131">
        <v>45</v>
      </c>
      <c r="J2131" t="s">
        <v>3119</v>
      </c>
      <c r="O2131" t="s">
        <v>57</v>
      </c>
      <c r="R2131" t="s">
        <v>2452</v>
      </c>
      <c r="T2131" t="s">
        <v>89</v>
      </c>
      <c r="U2131" t="s">
        <v>2453</v>
      </c>
      <c r="V2131" t="s">
        <v>137</v>
      </c>
      <c r="W2131" t="s">
        <v>92</v>
      </c>
      <c r="Y2131" t="s">
        <v>38</v>
      </c>
      <c r="AA2131" t="s">
        <v>38</v>
      </c>
      <c r="AB2131" t="s">
        <v>38</v>
      </c>
      <c r="AC2131" t="s">
        <v>38</v>
      </c>
      <c r="AD2131" t="s">
        <v>48</v>
      </c>
      <c r="AG2131" t="str">
        <f>IF(AD2131="United States", IFERROR(INDEX(Sheet2!$C:$C, MATCH(AE2131&amp;AF2131, Sheet2!$E:$E, 0)) &amp; ", " &amp; INDEX(Sheet2!$D:$D, MATCH(AE2131&amp;AF2131, Sheet2!$E:$E, 0)), ""), "-")</f>
        <v/>
      </c>
    </row>
    <row r="2132" spans="1:33" x14ac:dyDescent="0.25">
      <c r="A2132" t="s">
        <v>3648</v>
      </c>
      <c r="D2132" t="s">
        <v>1413</v>
      </c>
      <c r="E2132" t="s">
        <v>3669</v>
      </c>
      <c r="F2132" t="s">
        <v>38</v>
      </c>
      <c r="G2132">
        <v>1071</v>
      </c>
      <c r="H2132">
        <v>45</v>
      </c>
      <c r="J2132" t="s">
        <v>3119</v>
      </c>
      <c r="O2132" t="s">
        <v>74</v>
      </c>
      <c r="R2132" t="s">
        <v>2452</v>
      </c>
      <c r="T2132" t="s">
        <v>89</v>
      </c>
      <c r="U2132" t="s">
        <v>2453</v>
      </c>
      <c r="V2132" t="s">
        <v>137</v>
      </c>
      <c r="W2132" t="s">
        <v>92</v>
      </c>
      <c r="Y2132" t="s">
        <v>38</v>
      </c>
      <c r="AA2132" t="s">
        <v>38</v>
      </c>
      <c r="AB2132" t="s">
        <v>38</v>
      </c>
      <c r="AC2132" t="s">
        <v>38</v>
      </c>
      <c r="AD2132" t="s">
        <v>48</v>
      </c>
      <c r="AG2132" t="str">
        <f>IF(AD2132="United States", IFERROR(INDEX(Sheet2!$C:$C, MATCH(AE2132&amp;AF2132, Sheet2!$E:$E, 0)) &amp; ", " &amp; INDEX(Sheet2!$D:$D, MATCH(AE2132&amp;AF2132, Sheet2!$E:$E, 0)), ""), "-")</f>
        <v/>
      </c>
    </row>
    <row r="2133" spans="1:33" x14ac:dyDescent="0.25">
      <c r="A2133" t="s">
        <v>3648</v>
      </c>
      <c r="D2133" t="s">
        <v>513</v>
      </c>
      <c r="E2133" t="s">
        <v>3669</v>
      </c>
      <c r="F2133">
        <v>1774</v>
      </c>
      <c r="G2133">
        <v>1072</v>
      </c>
      <c r="H2133">
        <v>45</v>
      </c>
      <c r="J2133" t="s">
        <v>3119</v>
      </c>
      <c r="O2133" t="s">
        <v>54</v>
      </c>
      <c r="R2133" t="s">
        <v>2452</v>
      </c>
      <c r="T2133" t="s">
        <v>89</v>
      </c>
      <c r="U2133" t="s">
        <v>2453</v>
      </c>
      <c r="V2133" t="s">
        <v>137</v>
      </c>
      <c r="W2133" t="s">
        <v>92</v>
      </c>
      <c r="Y2133" t="s">
        <v>38</v>
      </c>
      <c r="AA2133" t="s">
        <v>38</v>
      </c>
      <c r="AB2133" t="s">
        <v>38</v>
      </c>
      <c r="AC2133" t="s">
        <v>38</v>
      </c>
      <c r="AD2133" t="s">
        <v>48</v>
      </c>
      <c r="AG2133" t="str">
        <f>IF(AD2133="United States", IFERROR(INDEX(Sheet2!$C:$C, MATCH(AE2133&amp;AF2133, Sheet2!$E:$E, 0)) &amp; ", " &amp; INDEX(Sheet2!$D:$D, MATCH(AE2133&amp;AF2133, Sheet2!$E:$E, 0)), ""), "-")</f>
        <v/>
      </c>
    </row>
    <row r="2134" spans="1:33" x14ac:dyDescent="0.25">
      <c r="A2134" t="s">
        <v>3648</v>
      </c>
      <c r="D2134" t="s">
        <v>1230</v>
      </c>
      <c r="E2134" t="s">
        <v>101</v>
      </c>
      <c r="F2134">
        <v>1757</v>
      </c>
      <c r="G2134">
        <v>1073</v>
      </c>
      <c r="H2134">
        <v>45</v>
      </c>
      <c r="J2134" t="s">
        <v>3119</v>
      </c>
      <c r="O2134" t="s">
        <v>57</v>
      </c>
      <c r="R2134" t="s">
        <v>2452</v>
      </c>
      <c r="T2134" t="s">
        <v>89</v>
      </c>
      <c r="U2134" t="s">
        <v>2453</v>
      </c>
      <c r="V2134" t="s">
        <v>137</v>
      </c>
      <c r="W2134" t="s">
        <v>92</v>
      </c>
      <c r="Y2134" t="s">
        <v>38</v>
      </c>
      <c r="AA2134" t="s">
        <v>38</v>
      </c>
      <c r="AB2134" t="s">
        <v>38</v>
      </c>
      <c r="AC2134" t="s">
        <v>38</v>
      </c>
      <c r="AD2134" t="s">
        <v>48</v>
      </c>
      <c r="AG2134" t="str">
        <f>IF(AD2134="United States", IFERROR(INDEX(Sheet2!$C:$C, MATCH(AE2134&amp;AF2134, Sheet2!$E:$E, 0)) &amp; ", " &amp; INDEX(Sheet2!$D:$D, MATCH(AE2134&amp;AF2134, Sheet2!$E:$E, 0)), ""), "-")</f>
        <v/>
      </c>
    </row>
    <row r="2135" spans="1:33" x14ac:dyDescent="0.25">
      <c r="A2135" t="s">
        <v>3648</v>
      </c>
      <c r="D2135" t="s">
        <v>927</v>
      </c>
      <c r="E2135" t="s">
        <v>101</v>
      </c>
      <c r="F2135" t="s">
        <v>38</v>
      </c>
      <c r="G2135">
        <v>1074</v>
      </c>
      <c r="H2135">
        <v>45</v>
      </c>
      <c r="J2135" t="s">
        <v>3119</v>
      </c>
      <c r="O2135" t="s">
        <v>54</v>
      </c>
      <c r="R2135" t="s">
        <v>2452</v>
      </c>
      <c r="T2135" t="s">
        <v>89</v>
      </c>
      <c r="U2135" t="s">
        <v>2453</v>
      </c>
      <c r="V2135" t="s">
        <v>137</v>
      </c>
      <c r="W2135" t="s">
        <v>92</v>
      </c>
      <c r="Y2135" t="s">
        <v>38</v>
      </c>
      <c r="AA2135" t="s">
        <v>38</v>
      </c>
      <c r="AB2135" t="s">
        <v>38</v>
      </c>
      <c r="AC2135" t="s">
        <v>38</v>
      </c>
      <c r="AD2135" t="s">
        <v>48</v>
      </c>
      <c r="AG2135" t="str">
        <f>IF(AD2135="United States", IFERROR(INDEX(Sheet2!$C:$C, MATCH(AE2135&amp;AF2135, Sheet2!$E:$E, 0)) &amp; ", " &amp; INDEX(Sheet2!$D:$D, MATCH(AE2135&amp;AF2135, Sheet2!$E:$E, 0)), ""), "-")</f>
        <v/>
      </c>
    </row>
    <row r="2136" spans="1:33" x14ac:dyDescent="0.25">
      <c r="A2136" t="s">
        <v>3648</v>
      </c>
      <c r="D2136" t="s">
        <v>3144</v>
      </c>
      <c r="E2136" t="s">
        <v>37</v>
      </c>
      <c r="F2136">
        <v>1757</v>
      </c>
      <c r="G2136">
        <v>1444</v>
      </c>
      <c r="H2136">
        <v>53</v>
      </c>
      <c r="J2136" t="s">
        <v>3119</v>
      </c>
      <c r="O2136" t="s">
        <v>57</v>
      </c>
      <c r="R2136" t="s">
        <v>2452</v>
      </c>
      <c r="T2136" t="s">
        <v>89</v>
      </c>
      <c r="U2136" t="s">
        <v>2453</v>
      </c>
      <c r="V2136" t="s">
        <v>137</v>
      </c>
      <c r="W2136" t="s">
        <v>92</v>
      </c>
      <c r="Y2136" t="s">
        <v>38</v>
      </c>
      <c r="AA2136" t="s">
        <v>38</v>
      </c>
      <c r="AB2136" t="s">
        <v>38</v>
      </c>
      <c r="AC2136" t="s">
        <v>38</v>
      </c>
      <c r="AD2136" t="s">
        <v>48</v>
      </c>
      <c r="AG2136" t="str">
        <f>IF(AD2136="United States", IFERROR(INDEX(Sheet2!$C:$C, MATCH(AE2136&amp;AF2136, Sheet2!$E:$E, 0)) &amp; ", " &amp; INDEX(Sheet2!$D:$D, MATCH(AE2136&amp;AF2136, Sheet2!$E:$E, 0)), ""), "-")</f>
        <v/>
      </c>
    </row>
    <row r="2137" spans="1:33" x14ac:dyDescent="0.25">
      <c r="A2137" t="s">
        <v>3648</v>
      </c>
      <c r="D2137" t="s">
        <v>52</v>
      </c>
      <c r="E2137" t="s">
        <v>1084</v>
      </c>
      <c r="F2137">
        <v>1777</v>
      </c>
      <c r="G2137">
        <v>1066</v>
      </c>
      <c r="H2137">
        <v>45</v>
      </c>
      <c r="J2137" t="s">
        <v>3119</v>
      </c>
      <c r="O2137" t="s">
        <v>74</v>
      </c>
      <c r="R2137" t="s">
        <v>2452</v>
      </c>
      <c r="T2137" t="s">
        <v>89</v>
      </c>
      <c r="U2137" t="s">
        <v>2453</v>
      </c>
      <c r="V2137" t="s">
        <v>137</v>
      </c>
      <c r="W2137" t="s">
        <v>92</v>
      </c>
      <c r="Y2137" t="s">
        <v>38</v>
      </c>
      <c r="AA2137" t="s">
        <v>38</v>
      </c>
      <c r="AB2137" t="s">
        <v>38</v>
      </c>
      <c r="AC2137" t="s">
        <v>38</v>
      </c>
      <c r="AD2137" t="s">
        <v>48</v>
      </c>
      <c r="AG2137" t="str">
        <f>IF(AD2137="United States", IFERROR(INDEX(Sheet2!$C:$C, MATCH(AE2137&amp;AF2137, Sheet2!$E:$E, 0)) &amp; ", " &amp; INDEX(Sheet2!$D:$D, MATCH(AE2137&amp;AF2137, Sheet2!$E:$E, 0)), ""), "-")</f>
        <v/>
      </c>
    </row>
    <row r="2138" spans="1:33" x14ac:dyDescent="0.25">
      <c r="A2138" t="s">
        <v>3648</v>
      </c>
      <c r="D2138" t="s">
        <v>235</v>
      </c>
      <c r="E2138" t="s">
        <v>1854</v>
      </c>
      <c r="F2138">
        <v>1759</v>
      </c>
      <c r="G2138">
        <v>1075</v>
      </c>
      <c r="H2138">
        <v>45</v>
      </c>
      <c r="J2138" t="s">
        <v>3119</v>
      </c>
      <c r="O2138" t="s">
        <v>57</v>
      </c>
      <c r="R2138" t="s">
        <v>2452</v>
      </c>
      <c r="T2138" t="s">
        <v>89</v>
      </c>
      <c r="U2138" t="s">
        <v>2453</v>
      </c>
      <c r="V2138" t="s">
        <v>137</v>
      </c>
      <c r="W2138" t="s">
        <v>92</v>
      </c>
      <c r="Y2138" t="s">
        <v>38</v>
      </c>
      <c r="AA2138" t="s">
        <v>38</v>
      </c>
      <c r="AB2138" t="s">
        <v>38</v>
      </c>
      <c r="AC2138" t="s">
        <v>38</v>
      </c>
      <c r="AD2138" t="s">
        <v>48</v>
      </c>
      <c r="AG2138" t="str">
        <f>IF(AD2138="United States", IFERROR(INDEX(Sheet2!$C:$C, MATCH(AE2138&amp;AF2138, Sheet2!$E:$E, 0)) &amp; ", " &amp; INDEX(Sheet2!$D:$D, MATCH(AE2138&amp;AF2138, Sheet2!$E:$E, 0)), ""), "-")</f>
        <v/>
      </c>
    </row>
    <row r="2139" spans="1:33" x14ac:dyDescent="0.25">
      <c r="A2139" t="s">
        <v>3648</v>
      </c>
      <c r="D2139" t="s">
        <v>835</v>
      </c>
      <c r="E2139" t="s">
        <v>1854</v>
      </c>
      <c r="F2139">
        <v>1774</v>
      </c>
      <c r="G2139">
        <v>1077</v>
      </c>
      <c r="H2139">
        <v>45</v>
      </c>
      <c r="J2139" t="s">
        <v>3119</v>
      </c>
      <c r="O2139" t="s">
        <v>74</v>
      </c>
      <c r="R2139" t="s">
        <v>2452</v>
      </c>
      <c r="T2139" t="s">
        <v>89</v>
      </c>
      <c r="U2139" t="s">
        <v>2453</v>
      </c>
      <c r="V2139" t="s">
        <v>137</v>
      </c>
      <c r="W2139" t="s">
        <v>92</v>
      </c>
      <c r="Y2139" t="s">
        <v>38</v>
      </c>
      <c r="AA2139" t="s">
        <v>38</v>
      </c>
      <c r="AB2139" t="s">
        <v>38</v>
      </c>
      <c r="AC2139" t="s">
        <v>38</v>
      </c>
      <c r="AD2139" t="s">
        <v>48</v>
      </c>
      <c r="AG2139" t="str">
        <f>IF(AD2139="United States", IFERROR(INDEX(Sheet2!$C:$C, MATCH(AE2139&amp;AF2139, Sheet2!$E:$E, 0)) &amp; ", " &amp; INDEX(Sheet2!$D:$D, MATCH(AE2139&amp;AF2139, Sheet2!$E:$E, 0)), ""), "-")</f>
        <v/>
      </c>
    </row>
    <row r="2140" spans="1:33" x14ac:dyDescent="0.25">
      <c r="A2140" t="s">
        <v>3648</v>
      </c>
      <c r="D2140" t="s">
        <v>114</v>
      </c>
      <c r="E2140" t="s">
        <v>3186</v>
      </c>
      <c r="F2140">
        <v>1740</v>
      </c>
      <c r="G2140">
        <v>1078</v>
      </c>
      <c r="H2140">
        <v>45</v>
      </c>
      <c r="J2140" t="s">
        <v>3119</v>
      </c>
      <c r="O2140" t="s">
        <v>57</v>
      </c>
      <c r="R2140" t="s">
        <v>2452</v>
      </c>
      <c r="T2140" t="s">
        <v>89</v>
      </c>
      <c r="U2140" t="s">
        <v>2453</v>
      </c>
      <c r="V2140" t="s">
        <v>137</v>
      </c>
      <c r="W2140" t="s">
        <v>92</v>
      </c>
      <c r="Y2140" t="s">
        <v>38</v>
      </c>
      <c r="AA2140" t="s">
        <v>38</v>
      </c>
      <c r="AB2140" t="s">
        <v>38</v>
      </c>
      <c r="AC2140" t="s">
        <v>38</v>
      </c>
      <c r="AD2140" t="s">
        <v>48</v>
      </c>
      <c r="AG2140" t="str">
        <f>IF(AD2140="United States", IFERROR(INDEX(Sheet2!$C:$C, MATCH(AE2140&amp;AF2140, Sheet2!$E:$E, 0)) &amp; ", " &amp; INDEX(Sheet2!$D:$D, MATCH(AE2140&amp;AF2140, Sheet2!$E:$E, 0)), ""), "-")</f>
        <v/>
      </c>
    </row>
    <row r="2141" spans="1:33" x14ac:dyDescent="0.25">
      <c r="A2141" t="s">
        <v>3648</v>
      </c>
      <c r="D2141" t="s">
        <v>3419</v>
      </c>
      <c r="E2141" t="s">
        <v>3420</v>
      </c>
      <c r="F2141">
        <v>1768</v>
      </c>
      <c r="G2141">
        <v>1079</v>
      </c>
      <c r="H2141">
        <v>45</v>
      </c>
      <c r="J2141" t="s">
        <v>3119</v>
      </c>
      <c r="O2141" t="s">
        <v>74</v>
      </c>
      <c r="R2141" t="s">
        <v>2452</v>
      </c>
      <c r="T2141" t="s">
        <v>89</v>
      </c>
      <c r="U2141" t="s">
        <v>2453</v>
      </c>
      <c r="V2141" t="s">
        <v>137</v>
      </c>
      <c r="W2141" t="s">
        <v>92</v>
      </c>
      <c r="Y2141" t="s">
        <v>38</v>
      </c>
      <c r="AA2141" t="s">
        <v>38</v>
      </c>
      <c r="AB2141" t="s">
        <v>38</v>
      </c>
      <c r="AC2141" t="s">
        <v>38</v>
      </c>
      <c r="AD2141" t="s">
        <v>48</v>
      </c>
      <c r="AG2141" t="str">
        <f>IF(AD2141="United States", IFERROR(INDEX(Sheet2!$C:$C, MATCH(AE2141&amp;AF2141, Sheet2!$E:$E, 0)) &amp; ", " &amp; INDEX(Sheet2!$D:$D, MATCH(AE2141&amp;AF2141, Sheet2!$E:$E, 0)), ""), "-")</f>
        <v/>
      </c>
    </row>
    <row r="2142" spans="1:33" x14ac:dyDescent="0.25">
      <c r="A2142" t="s">
        <v>3648</v>
      </c>
      <c r="D2142" t="s">
        <v>72</v>
      </c>
      <c r="E2142" t="s">
        <v>3420</v>
      </c>
      <c r="F2142">
        <v>1773</v>
      </c>
      <c r="G2142">
        <v>1080</v>
      </c>
      <c r="H2142">
        <v>45</v>
      </c>
      <c r="J2142" t="s">
        <v>3119</v>
      </c>
      <c r="O2142" t="s">
        <v>74</v>
      </c>
      <c r="R2142" t="s">
        <v>2452</v>
      </c>
      <c r="T2142" t="s">
        <v>89</v>
      </c>
      <c r="U2142" t="s">
        <v>2453</v>
      </c>
      <c r="V2142" t="s">
        <v>137</v>
      </c>
      <c r="W2142" t="s">
        <v>92</v>
      </c>
      <c r="Y2142" t="s">
        <v>38</v>
      </c>
      <c r="AA2142" t="s">
        <v>38</v>
      </c>
      <c r="AB2142" t="s">
        <v>38</v>
      </c>
      <c r="AC2142" t="s">
        <v>38</v>
      </c>
      <c r="AD2142" t="s">
        <v>48</v>
      </c>
      <c r="AG2142" t="str">
        <f>IF(AD2142="United States", IFERROR(INDEX(Sheet2!$C:$C, MATCH(AE2142&amp;AF2142, Sheet2!$E:$E, 0)) &amp; ", " &amp; INDEX(Sheet2!$D:$D, MATCH(AE2142&amp;AF2142, Sheet2!$E:$E, 0)), ""), "-")</f>
        <v/>
      </c>
    </row>
    <row r="2143" spans="1:33" x14ac:dyDescent="0.25">
      <c r="A2143" t="s">
        <v>3648</v>
      </c>
      <c r="D2143" t="s">
        <v>1840</v>
      </c>
      <c r="E2143" t="s">
        <v>848</v>
      </c>
      <c r="F2143">
        <v>1765</v>
      </c>
      <c r="G2143">
        <v>1081</v>
      </c>
      <c r="H2143">
        <v>45</v>
      </c>
      <c r="J2143" t="s">
        <v>3119</v>
      </c>
      <c r="O2143" t="s">
        <v>57</v>
      </c>
      <c r="R2143" t="s">
        <v>2452</v>
      </c>
      <c r="T2143" t="s">
        <v>89</v>
      </c>
      <c r="U2143" t="s">
        <v>2453</v>
      </c>
      <c r="V2143" t="s">
        <v>137</v>
      </c>
      <c r="W2143" t="s">
        <v>92</v>
      </c>
      <c r="Y2143" t="s">
        <v>38</v>
      </c>
      <c r="AA2143" t="s">
        <v>38</v>
      </c>
      <c r="AB2143" t="s">
        <v>38</v>
      </c>
      <c r="AC2143" t="s">
        <v>38</v>
      </c>
      <c r="AD2143" t="s">
        <v>48</v>
      </c>
      <c r="AG2143" t="str">
        <f>IF(AD2143="United States", IFERROR(INDEX(Sheet2!$C:$C, MATCH(AE2143&amp;AF2143, Sheet2!$E:$E, 0)) &amp; ", " &amp; INDEX(Sheet2!$D:$D, MATCH(AE2143&amp;AF2143, Sheet2!$E:$E, 0)), ""), "-")</f>
        <v/>
      </c>
    </row>
    <row r="2144" spans="1:33" x14ac:dyDescent="0.25">
      <c r="A2144" t="s">
        <v>3648</v>
      </c>
      <c r="D2144" t="s">
        <v>114</v>
      </c>
      <c r="E2144" t="s">
        <v>268</v>
      </c>
      <c r="F2144">
        <v>1743</v>
      </c>
      <c r="G2144">
        <v>1082</v>
      </c>
      <c r="H2144">
        <v>45</v>
      </c>
      <c r="J2144" t="s">
        <v>3119</v>
      </c>
      <c r="O2144" t="s">
        <v>57</v>
      </c>
      <c r="R2144" t="s">
        <v>2452</v>
      </c>
      <c r="T2144" t="s">
        <v>89</v>
      </c>
      <c r="U2144" t="s">
        <v>2453</v>
      </c>
      <c r="V2144" t="s">
        <v>137</v>
      </c>
      <c r="W2144" t="s">
        <v>92</v>
      </c>
      <c r="Y2144" t="s">
        <v>38</v>
      </c>
      <c r="AA2144" t="s">
        <v>38</v>
      </c>
      <c r="AB2144" t="s">
        <v>38</v>
      </c>
      <c r="AC2144" t="s">
        <v>38</v>
      </c>
      <c r="AD2144" t="s">
        <v>48</v>
      </c>
      <c r="AG2144" t="str">
        <f>IF(AD2144="United States", IFERROR(INDEX(Sheet2!$C:$C, MATCH(AE2144&amp;AF2144, Sheet2!$E:$E, 0)) &amp; ", " &amp; INDEX(Sheet2!$D:$D, MATCH(AE2144&amp;AF2144, Sheet2!$E:$E, 0)), ""), "-")</f>
        <v/>
      </c>
    </row>
    <row r="2145" spans="1:33" x14ac:dyDescent="0.25">
      <c r="A2145" t="s">
        <v>3648</v>
      </c>
      <c r="D2145" t="s">
        <v>2717</v>
      </c>
      <c r="E2145" t="s">
        <v>3191</v>
      </c>
      <c r="F2145">
        <v>1749</v>
      </c>
      <c r="G2145">
        <v>1083</v>
      </c>
      <c r="H2145">
        <v>45</v>
      </c>
      <c r="J2145" t="s">
        <v>3119</v>
      </c>
      <c r="O2145" t="s">
        <v>57</v>
      </c>
      <c r="R2145" t="s">
        <v>2452</v>
      </c>
      <c r="T2145" t="s">
        <v>89</v>
      </c>
      <c r="U2145" t="s">
        <v>2453</v>
      </c>
      <c r="V2145" t="s">
        <v>137</v>
      </c>
      <c r="W2145" t="s">
        <v>92</v>
      </c>
      <c r="Y2145" t="s">
        <v>38</v>
      </c>
      <c r="AA2145" t="s">
        <v>38</v>
      </c>
      <c r="AB2145" t="s">
        <v>38</v>
      </c>
      <c r="AC2145" t="s">
        <v>38</v>
      </c>
      <c r="AD2145" t="s">
        <v>48</v>
      </c>
      <c r="AG2145" t="str">
        <f>IF(AD2145="United States", IFERROR(INDEX(Sheet2!$C:$C, MATCH(AE2145&amp;AF2145, Sheet2!$E:$E, 0)) &amp; ", " &amp; INDEX(Sheet2!$D:$D, MATCH(AE2145&amp;AF2145, Sheet2!$E:$E, 0)), ""), "-")</f>
        <v/>
      </c>
    </row>
    <row r="2146" spans="1:33" x14ac:dyDescent="0.25">
      <c r="A2146" t="s">
        <v>3648</v>
      </c>
      <c r="D2146" t="s">
        <v>434</v>
      </c>
      <c r="E2146" t="s">
        <v>3191</v>
      </c>
      <c r="F2146">
        <v>1771</v>
      </c>
      <c r="G2146">
        <v>1084</v>
      </c>
      <c r="H2146">
        <v>45</v>
      </c>
      <c r="J2146" t="s">
        <v>3119</v>
      </c>
      <c r="O2146" t="s">
        <v>54</v>
      </c>
      <c r="R2146" t="s">
        <v>2452</v>
      </c>
      <c r="T2146" t="s">
        <v>89</v>
      </c>
      <c r="U2146" t="s">
        <v>2453</v>
      </c>
      <c r="V2146" t="s">
        <v>137</v>
      </c>
      <c r="W2146" t="s">
        <v>92</v>
      </c>
      <c r="Y2146" t="s">
        <v>38</v>
      </c>
      <c r="AA2146" t="s">
        <v>38</v>
      </c>
      <c r="AB2146" t="s">
        <v>38</v>
      </c>
      <c r="AC2146" t="s">
        <v>38</v>
      </c>
      <c r="AD2146" t="s">
        <v>48</v>
      </c>
      <c r="AG2146" t="str">
        <f>IF(AD2146="United States", IFERROR(INDEX(Sheet2!$C:$C, MATCH(AE2146&amp;AF2146, Sheet2!$E:$E, 0)) &amp; ", " &amp; INDEX(Sheet2!$D:$D, MATCH(AE2146&amp;AF2146, Sheet2!$E:$E, 0)), ""), "-")</f>
        <v/>
      </c>
    </row>
    <row r="2147" spans="1:33" x14ac:dyDescent="0.25">
      <c r="A2147" t="s">
        <v>3648</v>
      </c>
      <c r="D2147" t="s">
        <v>114</v>
      </c>
      <c r="E2147" t="s">
        <v>3191</v>
      </c>
      <c r="F2147" t="s">
        <v>38</v>
      </c>
      <c r="G2147">
        <v>1085</v>
      </c>
      <c r="H2147">
        <v>45</v>
      </c>
      <c r="J2147" t="s">
        <v>3119</v>
      </c>
      <c r="O2147" t="s">
        <v>74</v>
      </c>
      <c r="R2147" t="s">
        <v>2452</v>
      </c>
      <c r="T2147" t="s">
        <v>89</v>
      </c>
      <c r="U2147" t="s">
        <v>2453</v>
      </c>
      <c r="V2147" t="s">
        <v>137</v>
      </c>
      <c r="W2147" t="s">
        <v>92</v>
      </c>
      <c r="Y2147" t="s">
        <v>38</v>
      </c>
      <c r="AA2147" t="s">
        <v>38</v>
      </c>
      <c r="AB2147" t="s">
        <v>38</v>
      </c>
      <c r="AC2147" t="s">
        <v>38</v>
      </c>
      <c r="AD2147" t="s">
        <v>48</v>
      </c>
      <c r="AG2147" t="str">
        <f>IF(AD2147="United States", IFERROR(INDEX(Sheet2!$C:$C, MATCH(AE2147&amp;AF2147, Sheet2!$E:$E, 0)) &amp; ", " &amp; INDEX(Sheet2!$D:$D, MATCH(AE2147&amp;AF2147, Sheet2!$E:$E, 0)), ""), "-")</f>
        <v/>
      </c>
    </row>
    <row r="2148" spans="1:33" x14ac:dyDescent="0.25">
      <c r="A2148" t="s">
        <v>3648</v>
      </c>
      <c r="D2148" t="s">
        <v>2146</v>
      </c>
      <c r="E2148" t="s">
        <v>1854</v>
      </c>
      <c r="F2148">
        <v>1769</v>
      </c>
      <c r="G2148">
        <v>1076</v>
      </c>
      <c r="H2148">
        <v>45</v>
      </c>
      <c r="J2148" t="s">
        <v>3119</v>
      </c>
      <c r="O2148" t="s">
        <v>74</v>
      </c>
      <c r="R2148" t="s">
        <v>2452</v>
      </c>
      <c r="T2148" t="s">
        <v>89</v>
      </c>
      <c r="U2148" t="s">
        <v>2453</v>
      </c>
      <c r="V2148" t="s">
        <v>137</v>
      </c>
      <c r="W2148" t="s">
        <v>92</v>
      </c>
      <c r="Y2148" t="s">
        <v>38</v>
      </c>
      <c r="AA2148" t="s">
        <v>38</v>
      </c>
      <c r="AB2148" t="s">
        <v>38</v>
      </c>
      <c r="AC2148" t="s">
        <v>38</v>
      </c>
      <c r="AD2148" t="s">
        <v>48</v>
      </c>
      <c r="AG2148" t="str">
        <f>IF(AD2148="United States", IFERROR(INDEX(Sheet2!$C:$C, MATCH(AE2148&amp;AF2148, Sheet2!$E:$E, 0)) &amp; ", " &amp; INDEX(Sheet2!$D:$D, MATCH(AE2148&amp;AF2148, Sheet2!$E:$E, 0)), ""), "-")</f>
        <v/>
      </c>
    </row>
    <row r="2149" spans="1:33" x14ac:dyDescent="0.25">
      <c r="A2149" t="s">
        <v>3648</v>
      </c>
      <c r="D2149" t="s">
        <v>1336</v>
      </c>
      <c r="E2149" t="s">
        <v>1130</v>
      </c>
      <c r="F2149">
        <v>1769</v>
      </c>
      <c r="G2149">
        <v>1654</v>
      </c>
      <c r="H2149">
        <v>57</v>
      </c>
      <c r="J2149" t="s">
        <v>3119</v>
      </c>
      <c r="O2149" t="s">
        <v>54</v>
      </c>
      <c r="R2149" t="s">
        <v>2452</v>
      </c>
      <c r="T2149" t="s">
        <v>89</v>
      </c>
      <c r="U2149" t="s">
        <v>2453</v>
      </c>
      <c r="V2149" t="s">
        <v>137</v>
      </c>
      <c r="W2149" t="s">
        <v>92</v>
      </c>
      <c r="Y2149" t="s">
        <v>38</v>
      </c>
      <c r="AA2149" t="s">
        <v>38</v>
      </c>
      <c r="AB2149" t="s">
        <v>38</v>
      </c>
      <c r="AC2149" t="s">
        <v>38</v>
      </c>
      <c r="AD2149" t="s">
        <v>48</v>
      </c>
      <c r="AG2149" t="str">
        <f>IF(AD2149="United States", IFERROR(INDEX(Sheet2!$C:$C, MATCH(AE2149&amp;AF2149, Sheet2!$E:$E, 0)) &amp; ", " &amp; INDEX(Sheet2!$D:$D, MATCH(AE2149&amp;AF2149, Sheet2!$E:$E, 0)), ""), "-")</f>
        <v/>
      </c>
    </row>
    <row r="2150" spans="1:33" x14ac:dyDescent="0.25">
      <c r="A2150" t="s">
        <v>3648</v>
      </c>
      <c r="D2150" t="s">
        <v>245</v>
      </c>
      <c r="E2150" t="s">
        <v>3087</v>
      </c>
      <c r="F2150">
        <v>1751</v>
      </c>
      <c r="G2150">
        <v>1655</v>
      </c>
      <c r="H2150">
        <v>57</v>
      </c>
      <c r="J2150" t="s">
        <v>3119</v>
      </c>
      <c r="O2150" t="s">
        <v>57</v>
      </c>
      <c r="R2150" t="s">
        <v>2452</v>
      </c>
      <c r="T2150" t="s">
        <v>89</v>
      </c>
      <c r="U2150" t="s">
        <v>2453</v>
      </c>
      <c r="V2150" t="s">
        <v>137</v>
      </c>
      <c r="W2150" t="s">
        <v>92</v>
      </c>
      <c r="Y2150" t="s">
        <v>38</v>
      </c>
      <c r="AA2150" t="s">
        <v>38</v>
      </c>
      <c r="AB2150" t="s">
        <v>38</v>
      </c>
      <c r="AC2150" t="s">
        <v>38</v>
      </c>
      <c r="AD2150" t="s">
        <v>48</v>
      </c>
      <c r="AG2150" t="str">
        <f>IF(AD2150="United States", IFERROR(INDEX(Sheet2!$C:$C, MATCH(AE2150&amp;AF2150, Sheet2!$E:$E, 0)) &amp; ", " &amp; INDEX(Sheet2!$D:$D, MATCH(AE2150&amp;AF2150, Sheet2!$E:$E, 0)), ""), "-")</f>
        <v/>
      </c>
    </row>
    <row r="2151" spans="1:33" x14ac:dyDescent="0.25">
      <c r="A2151" t="s">
        <v>3648</v>
      </c>
      <c r="D2151" t="s">
        <v>181</v>
      </c>
      <c r="E2151" t="s">
        <v>3087</v>
      </c>
      <c r="F2151" t="s">
        <v>38</v>
      </c>
      <c r="G2151">
        <v>1656</v>
      </c>
      <c r="H2151">
        <v>57</v>
      </c>
      <c r="J2151" t="s">
        <v>3119</v>
      </c>
      <c r="O2151" t="s">
        <v>54</v>
      </c>
      <c r="R2151" t="s">
        <v>2452</v>
      </c>
      <c r="T2151" t="s">
        <v>89</v>
      </c>
      <c r="U2151" t="s">
        <v>2453</v>
      </c>
      <c r="V2151" t="s">
        <v>137</v>
      </c>
      <c r="W2151" t="s">
        <v>92</v>
      </c>
      <c r="Y2151" t="s">
        <v>38</v>
      </c>
      <c r="AA2151" t="s">
        <v>38</v>
      </c>
      <c r="AB2151" t="s">
        <v>38</v>
      </c>
      <c r="AC2151" t="s">
        <v>38</v>
      </c>
      <c r="AD2151" t="s">
        <v>48</v>
      </c>
      <c r="AG2151" t="str">
        <f>IF(AD2151="United States", IFERROR(INDEX(Sheet2!$C:$C, MATCH(AE2151&amp;AF2151, Sheet2!$E:$E, 0)) &amp; ", " &amp; INDEX(Sheet2!$D:$D, MATCH(AE2151&amp;AF2151, Sheet2!$E:$E, 0)), ""), "-")</f>
        <v/>
      </c>
    </row>
    <row r="2152" spans="1:33" x14ac:dyDescent="0.25">
      <c r="A2152" t="s">
        <v>3648</v>
      </c>
      <c r="D2152" t="s">
        <v>181</v>
      </c>
      <c r="E2152" t="s">
        <v>3209</v>
      </c>
      <c r="F2152">
        <v>1775</v>
      </c>
      <c r="G2152">
        <v>1674</v>
      </c>
      <c r="H2152">
        <v>57</v>
      </c>
      <c r="J2152" t="s">
        <v>3119</v>
      </c>
      <c r="O2152" t="s">
        <v>183</v>
      </c>
      <c r="R2152" t="s">
        <v>2452</v>
      </c>
      <c r="T2152" t="s">
        <v>89</v>
      </c>
      <c r="U2152" t="s">
        <v>2453</v>
      </c>
      <c r="V2152" t="s">
        <v>137</v>
      </c>
      <c r="W2152" t="s">
        <v>92</v>
      </c>
      <c r="Y2152" t="s">
        <v>38</v>
      </c>
      <c r="AA2152" t="s">
        <v>38</v>
      </c>
      <c r="AB2152" t="s">
        <v>38</v>
      </c>
      <c r="AC2152" t="s">
        <v>38</v>
      </c>
      <c r="AD2152" t="s">
        <v>48</v>
      </c>
      <c r="AG2152" t="str">
        <f>IF(AD2152="United States", IFERROR(INDEX(Sheet2!$C:$C, MATCH(AE2152&amp;AF2152, Sheet2!$E:$E, 0)) &amp; ", " &amp; INDEX(Sheet2!$D:$D, MATCH(AE2152&amp;AF2152, Sheet2!$E:$E, 0)), ""), "-")</f>
        <v/>
      </c>
    </row>
    <row r="2153" spans="1:33" x14ac:dyDescent="0.25">
      <c r="A2153" t="s">
        <v>3648</v>
      </c>
      <c r="D2153" t="s">
        <v>615</v>
      </c>
      <c r="E2153" t="s">
        <v>1084</v>
      </c>
      <c r="F2153">
        <v>1757</v>
      </c>
      <c r="G2153">
        <v>1064</v>
      </c>
      <c r="H2153">
        <v>45</v>
      </c>
      <c r="J2153" t="s">
        <v>3119</v>
      </c>
      <c r="O2153" t="s">
        <v>41</v>
      </c>
      <c r="R2153" t="s">
        <v>2452</v>
      </c>
      <c r="T2153" t="s">
        <v>89</v>
      </c>
      <c r="U2153" t="s">
        <v>2453</v>
      </c>
      <c r="V2153" t="s">
        <v>137</v>
      </c>
      <c r="W2153" t="s">
        <v>92</v>
      </c>
      <c r="Y2153" t="s">
        <v>38</v>
      </c>
      <c r="AA2153" t="s">
        <v>38</v>
      </c>
      <c r="AB2153" t="s">
        <v>38</v>
      </c>
      <c r="AC2153" t="s">
        <v>38</v>
      </c>
      <c r="AD2153" t="s">
        <v>48</v>
      </c>
      <c r="AG2153" t="str">
        <f>IF(AD2153="United States", IFERROR(INDEX(Sheet2!$C:$C, MATCH(AE2153&amp;AF2153, Sheet2!$E:$E, 0)) &amp; ", " &amp; INDEX(Sheet2!$D:$D, MATCH(AE2153&amp;AF2153, Sheet2!$E:$E, 0)), ""), "-")</f>
        <v/>
      </c>
    </row>
    <row r="2154" spans="1:33" x14ac:dyDescent="0.25">
      <c r="A2154" t="s">
        <v>3648</v>
      </c>
      <c r="D2154" t="s">
        <v>114</v>
      </c>
      <c r="E2154" t="s">
        <v>38</v>
      </c>
      <c r="F2154" t="s">
        <v>38</v>
      </c>
      <c r="G2154">
        <v>1063</v>
      </c>
      <c r="H2154">
        <v>45</v>
      </c>
      <c r="J2154" t="s">
        <v>3119</v>
      </c>
      <c r="O2154" t="s">
        <v>74</v>
      </c>
      <c r="R2154" t="s">
        <v>2452</v>
      </c>
      <c r="T2154" t="s">
        <v>89</v>
      </c>
      <c r="U2154" t="s">
        <v>2453</v>
      </c>
      <c r="V2154" t="s">
        <v>137</v>
      </c>
      <c r="W2154" t="s">
        <v>92</v>
      </c>
      <c r="Y2154" t="s">
        <v>38</v>
      </c>
      <c r="AA2154" t="s">
        <v>38</v>
      </c>
      <c r="AB2154" t="s">
        <v>38</v>
      </c>
      <c r="AC2154" t="s">
        <v>38</v>
      </c>
      <c r="AD2154" t="s">
        <v>48</v>
      </c>
      <c r="AG2154" t="str">
        <f>IF(AD2154="United States", IFERROR(INDEX(Sheet2!$C:$C, MATCH(AE2154&amp;AF2154, Sheet2!$E:$E, 0)) &amp; ", " &amp; INDEX(Sheet2!$D:$D, MATCH(AE2154&amp;AF2154, Sheet2!$E:$E, 0)), ""), "-")</f>
        <v/>
      </c>
    </row>
    <row r="2155" spans="1:33" x14ac:dyDescent="0.25">
      <c r="A2155" t="s">
        <v>3648</v>
      </c>
      <c r="D2155" t="s">
        <v>3670</v>
      </c>
      <c r="E2155" t="s">
        <v>368</v>
      </c>
      <c r="F2155">
        <v>1764</v>
      </c>
      <c r="G2155">
        <v>1062</v>
      </c>
      <c r="H2155">
        <v>45</v>
      </c>
      <c r="J2155" t="s">
        <v>3119</v>
      </c>
      <c r="O2155" t="s">
        <v>57</v>
      </c>
      <c r="R2155" t="s">
        <v>2452</v>
      </c>
      <c r="T2155" t="s">
        <v>89</v>
      </c>
      <c r="U2155" t="s">
        <v>2453</v>
      </c>
      <c r="V2155" t="s">
        <v>137</v>
      </c>
      <c r="W2155" t="s">
        <v>92</v>
      </c>
      <c r="Y2155" t="s">
        <v>38</v>
      </c>
      <c r="AA2155" t="s">
        <v>38</v>
      </c>
      <c r="AB2155" t="s">
        <v>38</v>
      </c>
      <c r="AC2155" t="s">
        <v>38</v>
      </c>
      <c r="AD2155" t="s">
        <v>48</v>
      </c>
      <c r="AG2155" t="str">
        <f>IF(AD2155="United States", IFERROR(INDEX(Sheet2!$C:$C, MATCH(AE2155&amp;AF2155, Sheet2!$E:$E, 0)) &amp; ", " &amp; INDEX(Sheet2!$D:$D, MATCH(AE2155&amp;AF2155, Sheet2!$E:$E, 0)), ""), "-")</f>
        <v/>
      </c>
    </row>
    <row r="2156" spans="1:33" x14ac:dyDescent="0.25">
      <c r="A2156" t="s">
        <v>3648</v>
      </c>
      <c r="D2156" t="s">
        <v>1230</v>
      </c>
      <c r="E2156" t="s">
        <v>3209</v>
      </c>
      <c r="F2156">
        <v>1760</v>
      </c>
      <c r="G2156">
        <v>1673</v>
      </c>
      <c r="H2156">
        <v>57</v>
      </c>
      <c r="J2156" t="s">
        <v>3119</v>
      </c>
      <c r="O2156" t="s">
        <v>57</v>
      </c>
      <c r="R2156" t="s">
        <v>2452</v>
      </c>
      <c r="T2156" t="s">
        <v>89</v>
      </c>
      <c r="U2156" t="s">
        <v>2453</v>
      </c>
      <c r="V2156" t="s">
        <v>137</v>
      </c>
      <c r="W2156" t="s">
        <v>92</v>
      </c>
      <c r="Y2156" t="s">
        <v>38</v>
      </c>
      <c r="AA2156" t="s">
        <v>38</v>
      </c>
      <c r="AB2156" t="s">
        <v>38</v>
      </c>
      <c r="AC2156" t="s">
        <v>38</v>
      </c>
      <c r="AD2156" t="s">
        <v>48</v>
      </c>
      <c r="AG2156" t="str">
        <f>IF(AD2156="United States", IFERROR(INDEX(Sheet2!$C:$C, MATCH(AE2156&amp;AF2156, Sheet2!$E:$E, 0)) &amp; ", " &amp; INDEX(Sheet2!$D:$D, MATCH(AE2156&amp;AF2156, Sheet2!$E:$E, 0)), ""), "-")</f>
        <v/>
      </c>
    </row>
    <row r="2157" spans="1:33" x14ac:dyDescent="0.25">
      <c r="A2157" t="s">
        <v>3648</v>
      </c>
      <c r="D2157" t="s">
        <v>132</v>
      </c>
      <c r="E2157" t="s">
        <v>3211</v>
      </c>
      <c r="F2157">
        <v>1756</v>
      </c>
      <c r="G2157">
        <v>1672</v>
      </c>
      <c r="H2157">
        <v>57</v>
      </c>
      <c r="J2157" t="s">
        <v>3119</v>
      </c>
      <c r="O2157" t="s">
        <v>41</v>
      </c>
      <c r="R2157" t="s">
        <v>2452</v>
      </c>
      <c r="T2157" t="s">
        <v>89</v>
      </c>
      <c r="U2157" t="s">
        <v>2453</v>
      </c>
      <c r="V2157" t="s">
        <v>137</v>
      </c>
      <c r="W2157" t="s">
        <v>92</v>
      </c>
      <c r="Y2157" t="s">
        <v>38</v>
      </c>
      <c r="AA2157" t="s">
        <v>38</v>
      </c>
      <c r="AB2157" t="s">
        <v>38</v>
      </c>
      <c r="AC2157" t="s">
        <v>38</v>
      </c>
      <c r="AD2157" t="s">
        <v>48</v>
      </c>
      <c r="AG2157" t="str">
        <f>IF(AD2157="United States", IFERROR(INDEX(Sheet2!$C:$C, MATCH(AE2157&amp;AF2157, Sheet2!$E:$E, 0)) &amp; ", " &amp; INDEX(Sheet2!$D:$D, MATCH(AE2157&amp;AF2157, Sheet2!$E:$E, 0)), ""), "-")</f>
        <v/>
      </c>
    </row>
    <row r="2158" spans="1:33" x14ac:dyDescent="0.25">
      <c r="A2158" t="s">
        <v>3648</v>
      </c>
      <c r="D2158" t="s">
        <v>388</v>
      </c>
      <c r="E2158" t="s">
        <v>191</v>
      </c>
      <c r="F2158">
        <v>1771</v>
      </c>
      <c r="G2158">
        <v>1671</v>
      </c>
      <c r="H2158">
        <v>57</v>
      </c>
      <c r="J2158" t="s">
        <v>3119</v>
      </c>
      <c r="O2158" t="s">
        <v>54</v>
      </c>
      <c r="R2158" t="s">
        <v>2452</v>
      </c>
      <c r="T2158" t="s">
        <v>89</v>
      </c>
      <c r="U2158" t="s">
        <v>2453</v>
      </c>
      <c r="V2158" t="s">
        <v>137</v>
      </c>
      <c r="W2158" t="s">
        <v>92</v>
      </c>
      <c r="Y2158" t="s">
        <v>38</v>
      </c>
      <c r="AA2158" t="s">
        <v>38</v>
      </c>
      <c r="AB2158" t="s">
        <v>38</v>
      </c>
      <c r="AC2158" t="s">
        <v>38</v>
      </c>
      <c r="AD2158" t="s">
        <v>48</v>
      </c>
      <c r="AG2158" t="str">
        <f>IF(AD2158="United States", IFERROR(INDEX(Sheet2!$C:$C, MATCH(AE2158&amp;AF2158, Sheet2!$E:$E, 0)) &amp; ", " &amp; INDEX(Sheet2!$D:$D, MATCH(AE2158&amp;AF2158, Sheet2!$E:$E, 0)), ""), "-")</f>
        <v/>
      </c>
    </row>
    <row r="2159" spans="1:33" x14ac:dyDescent="0.25">
      <c r="A2159" t="s">
        <v>3648</v>
      </c>
      <c r="D2159" t="s">
        <v>72</v>
      </c>
      <c r="E2159" t="s">
        <v>191</v>
      </c>
      <c r="F2159">
        <v>1743</v>
      </c>
      <c r="G2159">
        <v>1670</v>
      </c>
      <c r="H2159">
        <v>57</v>
      </c>
      <c r="J2159" t="s">
        <v>3119</v>
      </c>
      <c r="O2159" t="s">
        <v>57</v>
      </c>
      <c r="R2159" t="s">
        <v>2452</v>
      </c>
      <c r="T2159" t="s">
        <v>89</v>
      </c>
      <c r="U2159" t="s">
        <v>2453</v>
      </c>
      <c r="V2159" t="s">
        <v>137</v>
      </c>
      <c r="W2159" t="s">
        <v>92</v>
      </c>
      <c r="Y2159" t="s">
        <v>38</v>
      </c>
      <c r="AA2159" t="s">
        <v>38</v>
      </c>
      <c r="AB2159" t="s">
        <v>38</v>
      </c>
      <c r="AC2159" t="s">
        <v>38</v>
      </c>
      <c r="AD2159" t="s">
        <v>48</v>
      </c>
      <c r="AG2159" t="str">
        <f>IF(AD2159="United States", IFERROR(INDEX(Sheet2!$C:$C, MATCH(AE2159&amp;AF2159, Sheet2!$E:$E, 0)) &amp; ", " &amp; INDEX(Sheet2!$D:$D, MATCH(AE2159&amp;AF2159, Sheet2!$E:$E, 0)), ""), "-")</f>
        <v/>
      </c>
    </row>
    <row r="2160" spans="1:33" x14ac:dyDescent="0.25">
      <c r="A2160" t="s">
        <v>3648</v>
      </c>
      <c r="D2160" t="s">
        <v>1003</v>
      </c>
      <c r="E2160" t="s">
        <v>2217</v>
      </c>
      <c r="F2160">
        <v>1762</v>
      </c>
      <c r="G2160">
        <v>1669</v>
      </c>
      <c r="H2160">
        <v>57</v>
      </c>
      <c r="J2160" t="s">
        <v>3119</v>
      </c>
      <c r="O2160" t="s">
        <v>57</v>
      </c>
      <c r="R2160" t="s">
        <v>2452</v>
      </c>
      <c r="T2160" t="s">
        <v>89</v>
      </c>
      <c r="U2160" t="s">
        <v>2453</v>
      </c>
      <c r="V2160" t="s">
        <v>137</v>
      </c>
      <c r="W2160" t="s">
        <v>92</v>
      </c>
      <c r="Y2160" t="s">
        <v>38</v>
      </c>
      <c r="AA2160" t="s">
        <v>38</v>
      </c>
      <c r="AB2160" t="s">
        <v>38</v>
      </c>
      <c r="AC2160" t="s">
        <v>38</v>
      </c>
      <c r="AD2160" t="s">
        <v>48</v>
      </c>
      <c r="AG2160" t="str">
        <f>IF(AD2160="United States", IFERROR(INDEX(Sheet2!$C:$C, MATCH(AE2160&amp;AF2160, Sheet2!$E:$E, 0)) &amp; ", " &amp; INDEX(Sheet2!$D:$D, MATCH(AE2160&amp;AF2160, Sheet2!$E:$E, 0)), ""), "-")</f>
        <v/>
      </c>
    </row>
    <row r="2161" spans="1:33" x14ac:dyDescent="0.25">
      <c r="A2161" t="s">
        <v>3648</v>
      </c>
      <c r="D2161" t="s">
        <v>181</v>
      </c>
      <c r="E2161" t="s">
        <v>1337</v>
      </c>
      <c r="F2161">
        <v>1778</v>
      </c>
      <c r="G2161">
        <v>1668</v>
      </c>
      <c r="H2161">
        <v>57</v>
      </c>
      <c r="J2161" t="s">
        <v>3119</v>
      </c>
      <c r="O2161" t="s">
        <v>183</v>
      </c>
      <c r="R2161" t="s">
        <v>2452</v>
      </c>
      <c r="T2161" t="s">
        <v>89</v>
      </c>
      <c r="U2161" t="s">
        <v>2453</v>
      </c>
      <c r="V2161" t="s">
        <v>137</v>
      </c>
      <c r="W2161" t="s">
        <v>92</v>
      </c>
      <c r="Y2161" t="s">
        <v>38</v>
      </c>
      <c r="AA2161" t="s">
        <v>38</v>
      </c>
      <c r="AB2161" t="s">
        <v>38</v>
      </c>
      <c r="AC2161" t="s">
        <v>38</v>
      </c>
      <c r="AD2161" t="s">
        <v>48</v>
      </c>
      <c r="AG2161" t="str">
        <f>IF(AD2161="United States", IFERROR(INDEX(Sheet2!$C:$C, MATCH(AE2161&amp;AF2161, Sheet2!$E:$E, 0)) &amp; ", " &amp; INDEX(Sheet2!$D:$D, MATCH(AE2161&amp;AF2161, Sheet2!$E:$E, 0)), ""), "-")</f>
        <v/>
      </c>
    </row>
    <row r="2162" spans="1:33" x14ac:dyDescent="0.25">
      <c r="A2162" t="s">
        <v>3648</v>
      </c>
      <c r="D2162" t="s">
        <v>1230</v>
      </c>
      <c r="E2162" t="s">
        <v>1337</v>
      </c>
      <c r="F2162">
        <v>1713</v>
      </c>
      <c r="G2162">
        <v>1667</v>
      </c>
      <c r="H2162">
        <v>57</v>
      </c>
      <c r="J2162" t="s">
        <v>3119</v>
      </c>
      <c r="O2162" t="s">
        <v>57</v>
      </c>
      <c r="R2162" t="s">
        <v>2452</v>
      </c>
      <c r="T2162" t="s">
        <v>89</v>
      </c>
      <c r="U2162" t="s">
        <v>2453</v>
      </c>
      <c r="V2162" t="s">
        <v>137</v>
      </c>
      <c r="W2162" t="s">
        <v>92</v>
      </c>
      <c r="Y2162" t="s">
        <v>38</v>
      </c>
      <c r="AA2162" t="s">
        <v>38</v>
      </c>
      <c r="AB2162" t="s">
        <v>38</v>
      </c>
      <c r="AC2162" t="s">
        <v>38</v>
      </c>
      <c r="AD2162" t="s">
        <v>48</v>
      </c>
      <c r="AG2162" t="str">
        <f>IF(AD2162="United States", IFERROR(INDEX(Sheet2!$C:$C, MATCH(AE2162&amp;AF2162, Sheet2!$E:$E, 0)) &amp; ", " &amp; INDEX(Sheet2!$D:$D, MATCH(AE2162&amp;AF2162, Sheet2!$E:$E, 0)), ""), "-")</f>
        <v/>
      </c>
    </row>
    <row r="2163" spans="1:33" x14ac:dyDescent="0.25">
      <c r="A2163" t="s">
        <v>3648</v>
      </c>
      <c r="D2163" t="s">
        <v>615</v>
      </c>
      <c r="E2163" t="s">
        <v>2518</v>
      </c>
      <c r="F2163">
        <v>1751</v>
      </c>
      <c r="G2163">
        <v>1666</v>
      </c>
      <c r="H2163">
        <v>57</v>
      </c>
      <c r="J2163" t="s">
        <v>3119</v>
      </c>
      <c r="O2163" t="s">
        <v>41</v>
      </c>
      <c r="R2163" t="s">
        <v>2452</v>
      </c>
      <c r="T2163" t="s">
        <v>89</v>
      </c>
      <c r="U2163" t="s">
        <v>2453</v>
      </c>
      <c r="V2163" t="s">
        <v>137</v>
      </c>
      <c r="W2163" t="s">
        <v>92</v>
      </c>
      <c r="Y2163" t="s">
        <v>38</v>
      </c>
      <c r="AA2163" t="s">
        <v>38</v>
      </c>
      <c r="AB2163" t="s">
        <v>38</v>
      </c>
      <c r="AC2163" t="s">
        <v>38</v>
      </c>
      <c r="AD2163" t="s">
        <v>48</v>
      </c>
      <c r="AG2163" t="str">
        <f>IF(AD2163="United States", IFERROR(INDEX(Sheet2!$C:$C, MATCH(AE2163&amp;AF2163, Sheet2!$E:$E, 0)) &amp; ", " &amp; INDEX(Sheet2!$D:$D, MATCH(AE2163&amp;AF2163, Sheet2!$E:$E, 0)), ""), "-")</f>
        <v/>
      </c>
    </row>
    <row r="2164" spans="1:33" x14ac:dyDescent="0.25">
      <c r="A2164" t="s">
        <v>3648</v>
      </c>
      <c r="D2164" t="s">
        <v>181</v>
      </c>
      <c r="E2164" t="s">
        <v>3180</v>
      </c>
      <c r="F2164">
        <v>1781</v>
      </c>
      <c r="G2164">
        <v>1665</v>
      </c>
      <c r="H2164">
        <v>57</v>
      </c>
      <c r="J2164" t="s">
        <v>3119</v>
      </c>
      <c r="O2164" t="s">
        <v>183</v>
      </c>
      <c r="R2164" t="s">
        <v>2452</v>
      </c>
      <c r="T2164" t="s">
        <v>89</v>
      </c>
      <c r="U2164" t="s">
        <v>2453</v>
      </c>
      <c r="V2164" t="s">
        <v>137</v>
      </c>
      <c r="W2164" t="s">
        <v>92</v>
      </c>
      <c r="Y2164" t="s">
        <v>38</v>
      </c>
      <c r="AA2164" t="s">
        <v>38</v>
      </c>
      <c r="AB2164" t="s">
        <v>38</v>
      </c>
      <c r="AC2164" t="s">
        <v>38</v>
      </c>
      <c r="AD2164" t="s">
        <v>48</v>
      </c>
      <c r="AG2164" t="str">
        <f>IF(AD2164="United States", IFERROR(INDEX(Sheet2!$C:$C, MATCH(AE2164&amp;AF2164, Sheet2!$E:$E, 0)) &amp; ", " &amp; INDEX(Sheet2!$D:$D, MATCH(AE2164&amp;AF2164, Sheet2!$E:$E, 0)), ""), "-")</f>
        <v/>
      </c>
    </row>
    <row r="2165" spans="1:33" x14ac:dyDescent="0.25">
      <c r="A2165" t="s">
        <v>3648</v>
      </c>
      <c r="D2165" t="s">
        <v>181</v>
      </c>
      <c r="E2165" t="s">
        <v>3180</v>
      </c>
      <c r="F2165">
        <v>1779</v>
      </c>
      <c r="G2165">
        <v>1664</v>
      </c>
      <c r="H2165">
        <v>57</v>
      </c>
      <c r="J2165" t="s">
        <v>3119</v>
      </c>
      <c r="O2165" t="s">
        <v>183</v>
      </c>
      <c r="R2165" t="s">
        <v>2452</v>
      </c>
      <c r="T2165" t="s">
        <v>89</v>
      </c>
      <c r="U2165" t="s">
        <v>2453</v>
      </c>
      <c r="V2165" t="s">
        <v>137</v>
      </c>
      <c r="W2165" t="s">
        <v>92</v>
      </c>
      <c r="Y2165" t="s">
        <v>38</v>
      </c>
      <c r="AA2165" t="s">
        <v>38</v>
      </c>
      <c r="AB2165" t="s">
        <v>38</v>
      </c>
      <c r="AC2165" t="s">
        <v>38</v>
      </c>
      <c r="AD2165" t="s">
        <v>48</v>
      </c>
      <c r="AG2165" t="str">
        <f>IF(AD2165="United States", IFERROR(INDEX(Sheet2!$C:$C, MATCH(AE2165&amp;AF2165, Sheet2!$E:$E, 0)) &amp; ", " &amp; INDEX(Sheet2!$D:$D, MATCH(AE2165&amp;AF2165, Sheet2!$E:$E, 0)), ""), "-")</f>
        <v/>
      </c>
    </row>
    <row r="2166" spans="1:33" x14ac:dyDescent="0.25">
      <c r="A2166" t="s">
        <v>3648</v>
      </c>
      <c r="D2166" t="s">
        <v>3219</v>
      </c>
      <c r="E2166" t="s">
        <v>3180</v>
      </c>
      <c r="F2166">
        <v>1759</v>
      </c>
      <c r="G2166">
        <v>1663</v>
      </c>
      <c r="H2166">
        <v>57</v>
      </c>
      <c r="J2166" t="s">
        <v>3119</v>
      </c>
      <c r="O2166" t="s">
        <v>57</v>
      </c>
      <c r="R2166" t="s">
        <v>2452</v>
      </c>
      <c r="T2166" t="s">
        <v>89</v>
      </c>
      <c r="U2166" t="s">
        <v>2453</v>
      </c>
      <c r="V2166" t="s">
        <v>137</v>
      </c>
      <c r="W2166" t="s">
        <v>92</v>
      </c>
      <c r="Y2166" t="s">
        <v>38</v>
      </c>
      <c r="AA2166" t="s">
        <v>38</v>
      </c>
      <c r="AB2166" t="s">
        <v>38</v>
      </c>
      <c r="AC2166" t="s">
        <v>38</v>
      </c>
      <c r="AD2166" t="s">
        <v>48</v>
      </c>
      <c r="AG2166" t="str">
        <f>IF(AD2166="United States", IFERROR(INDEX(Sheet2!$C:$C, MATCH(AE2166&amp;AF2166, Sheet2!$E:$E, 0)) &amp; ", " &amp; INDEX(Sheet2!$D:$D, MATCH(AE2166&amp;AF2166, Sheet2!$E:$E, 0)), ""), "-")</f>
        <v/>
      </c>
    </row>
    <row r="2167" spans="1:33" x14ac:dyDescent="0.25">
      <c r="A2167" t="s">
        <v>3648</v>
      </c>
      <c r="D2167" t="s">
        <v>181</v>
      </c>
      <c r="E2167" t="s">
        <v>1524</v>
      </c>
      <c r="F2167" t="s">
        <v>38</v>
      </c>
      <c r="G2167">
        <v>1662</v>
      </c>
      <c r="H2167">
        <v>57</v>
      </c>
      <c r="J2167" t="s">
        <v>3119</v>
      </c>
      <c r="O2167" t="s">
        <v>74</v>
      </c>
      <c r="R2167" t="s">
        <v>2452</v>
      </c>
      <c r="T2167" t="s">
        <v>89</v>
      </c>
      <c r="U2167" t="s">
        <v>2453</v>
      </c>
      <c r="V2167" t="s">
        <v>137</v>
      </c>
      <c r="W2167" t="s">
        <v>92</v>
      </c>
      <c r="Y2167" t="s">
        <v>38</v>
      </c>
      <c r="AA2167" t="s">
        <v>38</v>
      </c>
      <c r="AB2167" t="s">
        <v>38</v>
      </c>
      <c r="AC2167" t="s">
        <v>38</v>
      </c>
      <c r="AD2167" t="s">
        <v>48</v>
      </c>
      <c r="AG2167" t="str">
        <f>IF(AD2167="United States", IFERROR(INDEX(Sheet2!$C:$C, MATCH(AE2167&amp;AF2167, Sheet2!$E:$E, 0)) &amp; ", " &amp; INDEX(Sheet2!$D:$D, MATCH(AE2167&amp;AF2167, Sheet2!$E:$E, 0)), ""), "-")</f>
        <v/>
      </c>
    </row>
    <row r="2168" spans="1:33" x14ac:dyDescent="0.25">
      <c r="A2168" t="s">
        <v>3648</v>
      </c>
      <c r="D2168" t="s">
        <v>3671</v>
      </c>
      <c r="E2168" t="s">
        <v>1524</v>
      </c>
      <c r="F2168">
        <v>1761</v>
      </c>
      <c r="G2168">
        <v>1661</v>
      </c>
      <c r="H2168">
        <v>57</v>
      </c>
      <c r="J2168" t="s">
        <v>3119</v>
      </c>
      <c r="O2168" t="s">
        <v>57</v>
      </c>
      <c r="R2168" t="s">
        <v>2452</v>
      </c>
      <c r="T2168" t="s">
        <v>89</v>
      </c>
      <c r="U2168" t="s">
        <v>2453</v>
      </c>
      <c r="V2168" t="s">
        <v>137</v>
      </c>
      <c r="W2168" t="s">
        <v>92</v>
      </c>
      <c r="Y2168" t="s">
        <v>38</v>
      </c>
      <c r="AA2168" t="s">
        <v>38</v>
      </c>
      <c r="AB2168" t="s">
        <v>38</v>
      </c>
      <c r="AC2168" t="s">
        <v>38</v>
      </c>
      <c r="AD2168" t="s">
        <v>48</v>
      </c>
      <c r="AG2168" t="str">
        <f>IF(AD2168="United States", IFERROR(INDEX(Sheet2!$C:$C, MATCH(AE2168&amp;AF2168, Sheet2!$E:$E, 0)) &amp; ", " &amp; INDEX(Sheet2!$D:$D, MATCH(AE2168&amp;AF2168, Sheet2!$E:$E, 0)), ""), "-")</f>
        <v/>
      </c>
    </row>
    <row r="2169" spans="1:33" x14ac:dyDescent="0.25">
      <c r="A2169" t="s">
        <v>3648</v>
      </c>
      <c r="D2169" t="s">
        <v>132</v>
      </c>
      <c r="E2169" t="s">
        <v>1116</v>
      </c>
      <c r="F2169">
        <v>1766</v>
      </c>
      <c r="G2169">
        <v>1660</v>
      </c>
      <c r="H2169">
        <v>57</v>
      </c>
      <c r="J2169" t="s">
        <v>3119</v>
      </c>
      <c r="O2169" t="s">
        <v>41</v>
      </c>
      <c r="R2169" t="s">
        <v>2452</v>
      </c>
      <c r="T2169" t="s">
        <v>89</v>
      </c>
      <c r="U2169" t="s">
        <v>2453</v>
      </c>
      <c r="V2169" t="s">
        <v>137</v>
      </c>
      <c r="W2169" t="s">
        <v>92</v>
      </c>
      <c r="Y2169" t="s">
        <v>38</v>
      </c>
      <c r="AA2169" t="s">
        <v>38</v>
      </c>
      <c r="AB2169" t="s">
        <v>38</v>
      </c>
      <c r="AC2169" t="s">
        <v>38</v>
      </c>
      <c r="AD2169" t="s">
        <v>48</v>
      </c>
      <c r="AG2169" t="str">
        <f>IF(AD2169="United States", IFERROR(INDEX(Sheet2!$C:$C, MATCH(AE2169&amp;AF2169, Sheet2!$E:$E, 0)) &amp; ", " &amp; INDEX(Sheet2!$D:$D, MATCH(AE2169&amp;AF2169, Sheet2!$E:$E, 0)), ""), "-")</f>
        <v/>
      </c>
    </row>
    <row r="2170" spans="1:33" x14ac:dyDescent="0.25">
      <c r="A2170" t="s">
        <v>3648</v>
      </c>
      <c r="D2170" t="s">
        <v>3672</v>
      </c>
      <c r="E2170" t="s">
        <v>3224</v>
      </c>
      <c r="F2170">
        <v>1751</v>
      </c>
      <c r="G2170">
        <v>1659</v>
      </c>
      <c r="H2170">
        <v>57</v>
      </c>
      <c r="J2170" t="s">
        <v>3119</v>
      </c>
      <c r="O2170" t="s">
        <v>41</v>
      </c>
      <c r="R2170" t="s">
        <v>2452</v>
      </c>
      <c r="T2170" t="s">
        <v>89</v>
      </c>
      <c r="U2170" t="s">
        <v>2453</v>
      </c>
      <c r="V2170" t="s">
        <v>137</v>
      </c>
      <c r="W2170" t="s">
        <v>92</v>
      </c>
      <c r="Y2170" t="s">
        <v>38</v>
      </c>
      <c r="AA2170" t="s">
        <v>38</v>
      </c>
      <c r="AB2170" t="s">
        <v>38</v>
      </c>
      <c r="AC2170" t="s">
        <v>38</v>
      </c>
      <c r="AD2170" t="s">
        <v>48</v>
      </c>
      <c r="AG2170" t="str">
        <f>IF(AD2170="United States", IFERROR(INDEX(Sheet2!$C:$C, MATCH(AE2170&amp;AF2170, Sheet2!$E:$E, 0)) &amp; ", " &amp; INDEX(Sheet2!$D:$D, MATCH(AE2170&amp;AF2170, Sheet2!$E:$E, 0)), ""), "-")</f>
        <v/>
      </c>
    </row>
    <row r="2171" spans="1:33" x14ac:dyDescent="0.25">
      <c r="A2171" t="s">
        <v>3648</v>
      </c>
      <c r="D2171" t="s">
        <v>3673</v>
      </c>
      <c r="E2171" t="s">
        <v>3228</v>
      </c>
      <c r="F2171">
        <v>1756</v>
      </c>
      <c r="G2171">
        <v>1658</v>
      </c>
      <c r="H2171">
        <v>57</v>
      </c>
      <c r="J2171" t="s">
        <v>3119</v>
      </c>
      <c r="O2171" t="s">
        <v>41</v>
      </c>
      <c r="R2171" t="s">
        <v>2452</v>
      </c>
      <c r="T2171" t="s">
        <v>89</v>
      </c>
      <c r="U2171" t="s">
        <v>2453</v>
      </c>
      <c r="V2171" t="s">
        <v>137</v>
      </c>
      <c r="W2171" t="s">
        <v>92</v>
      </c>
      <c r="Y2171" t="s">
        <v>38</v>
      </c>
      <c r="AA2171" t="s">
        <v>38</v>
      </c>
      <c r="AB2171" t="s">
        <v>38</v>
      </c>
      <c r="AC2171" t="s">
        <v>38</v>
      </c>
      <c r="AD2171" t="s">
        <v>48</v>
      </c>
      <c r="AG2171" t="str">
        <f>IF(AD2171="United States", IFERROR(INDEX(Sheet2!$C:$C, MATCH(AE2171&amp;AF2171, Sheet2!$E:$E, 0)) &amp; ", " &amp; INDEX(Sheet2!$D:$D, MATCH(AE2171&amp;AF2171, Sheet2!$E:$E, 0)), ""), "-")</f>
        <v/>
      </c>
    </row>
    <row r="2172" spans="1:33" x14ac:dyDescent="0.25">
      <c r="A2172" t="s">
        <v>3648</v>
      </c>
      <c r="D2172" t="s">
        <v>193</v>
      </c>
      <c r="E2172" t="s">
        <v>3087</v>
      </c>
      <c r="F2172">
        <v>1773</v>
      </c>
      <c r="G2172">
        <v>1657</v>
      </c>
      <c r="H2172">
        <v>57</v>
      </c>
      <c r="J2172" t="s">
        <v>3119</v>
      </c>
      <c r="O2172" t="s">
        <v>54</v>
      </c>
      <c r="R2172" t="s">
        <v>2452</v>
      </c>
      <c r="T2172" t="s">
        <v>89</v>
      </c>
      <c r="U2172" t="s">
        <v>2453</v>
      </c>
      <c r="V2172" t="s">
        <v>137</v>
      </c>
      <c r="W2172" t="s">
        <v>92</v>
      </c>
      <c r="Y2172" t="s">
        <v>38</v>
      </c>
      <c r="AA2172" t="s">
        <v>38</v>
      </c>
      <c r="AB2172" t="s">
        <v>38</v>
      </c>
      <c r="AC2172" t="s">
        <v>38</v>
      </c>
      <c r="AD2172" t="s">
        <v>48</v>
      </c>
      <c r="AG2172" t="str">
        <f>IF(AD2172="United States", IFERROR(INDEX(Sheet2!$C:$C, MATCH(AE2172&amp;AF2172, Sheet2!$E:$E, 0)) &amp; ", " &amp; INDEX(Sheet2!$D:$D, MATCH(AE2172&amp;AF2172, Sheet2!$E:$E, 0)), ""), "-")</f>
        <v/>
      </c>
    </row>
    <row r="2173" spans="1:33" x14ac:dyDescent="0.25">
      <c r="A2173" t="s">
        <v>3648</v>
      </c>
      <c r="D2173" t="s">
        <v>3431</v>
      </c>
      <c r="E2173" t="s">
        <v>1159</v>
      </c>
      <c r="F2173">
        <v>1770</v>
      </c>
      <c r="G2173">
        <v>1086</v>
      </c>
      <c r="H2173">
        <v>45</v>
      </c>
      <c r="J2173" t="s">
        <v>3119</v>
      </c>
      <c r="O2173" t="s">
        <v>74</v>
      </c>
      <c r="R2173" t="s">
        <v>2452</v>
      </c>
      <c r="T2173" t="s">
        <v>89</v>
      </c>
      <c r="U2173" t="s">
        <v>2453</v>
      </c>
      <c r="V2173" t="s">
        <v>137</v>
      </c>
      <c r="W2173" t="s">
        <v>92</v>
      </c>
      <c r="Y2173" t="s">
        <v>38</v>
      </c>
      <c r="AA2173" t="s">
        <v>38</v>
      </c>
      <c r="AB2173" t="s">
        <v>38</v>
      </c>
      <c r="AC2173" t="s">
        <v>38</v>
      </c>
      <c r="AD2173" t="s">
        <v>48</v>
      </c>
      <c r="AG2173" t="str">
        <f>IF(AD2173="United States", IFERROR(INDEX(Sheet2!$C:$C, MATCH(AE2173&amp;AF2173, Sheet2!$E:$E, 0)) &amp; ", " &amp; INDEX(Sheet2!$D:$D, MATCH(AE2173&amp;AF2173, Sheet2!$E:$E, 0)), ""), "-")</f>
        <v/>
      </c>
    </row>
    <row r="2174" spans="1:33" x14ac:dyDescent="0.25">
      <c r="A2174" t="s">
        <v>3648</v>
      </c>
      <c r="D2174" t="s">
        <v>3397</v>
      </c>
      <c r="E2174" t="s">
        <v>1084</v>
      </c>
      <c r="F2174">
        <v>1752</v>
      </c>
      <c r="G2174">
        <v>1065</v>
      </c>
      <c r="H2174">
        <v>45</v>
      </c>
      <c r="J2174" t="s">
        <v>3119</v>
      </c>
      <c r="O2174" t="s">
        <v>57</v>
      </c>
      <c r="R2174" t="s">
        <v>2452</v>
      </c>
      <c r="T2174" t="s">
        <v>89</v>
      </c>
      <c r="U2174" t="s">
        <v>2453</v>
      </c>
      <c r="V2174" t="s">
        <v>137</v>
      </c>
      <c r="W2174" t="s">
        <v>92</v>
      </c>
      <c r="Y2174" t="s">
        <v>38</v>
      </c>
      <c r="AA2174" t="s">
        <v>38</v>
      </c>
      <c r="AB2174" t="s">
        <v>38</v>
      </c>
      <c r="AC2174" t="s">
        <v>38</v>
      </c>
      <c r="AD2174" t="s">
        <v>48</v>
      </c>
      <c r="AG2174" t="str">
        <f>IF(AD2174="United States", IFERROR(INDEX(Sheet2!$C:$C, MATCH(AE2174&amp;AF2174, Sheet2!$E:$E, 0)) &amp; ", " &amp; INDEX(Sheet2!$D:$D, MATCH(AE2174&amp;AF2174, Sheet2!$E:$E, 0)), ""), "-")</f>
        <v/>
      </c>
    </row>
    <row r="2175" spans="1:33" x14ac:dyDescent="0.25">
      <c r="A2175" t="s">
        <v>3648</v>
      </c>
      <c r="D2175" t="s">
        <v>3659</v>
      </c>
      <c r="E2175" t="s">
        <v>3434</v>
      </c>
      <c r="F2175">
        <v>1753</v>
      </c>
      <c r="G2175">
        <v>1087</v>
      </c>
      <c r="H2175">
        <v>45</v>
      </c>
      <c r="J2175" t="s">
        <v>3119</v>
      </c>
      <c r="O2175" t="s">
        <v>57</v>
      </c>
      <c r="R2175" t="s">
        <v>2452</v>
      </c>
      <c r="T2175" t="s">
        <v>89</v>
      </c>
      <c r="U2175" t="s">
        <v>2453</v>
      </c>
      <c r="V2175" t="s">
        <v>137</v>
      </c>
      <c r="W2175" t="s">
        <v>92</v>
      </c>
      <c r="Y2175" t="s">
        <v>38</v>
      </c>
      <c r="AA2175" t="s">
        <v>38</v>
      </c>
      <c r="AB2175" t="s">
        <v>38</v>
      </c>
      <c r="AC2175" t="s">
        <v>38</v>
      </c>
      <c r="AD2175" t="s">
        <v>48</v>
      </c>
      <c r="AG2175" t="str">
        <f>IF(AD2175="United States", IFERROR(INDEX(Sheet2!$C:$C, MATCH(AE2175&amp;AF2175, Sheet2!$E:$E, 0)) &amp; ", " &amp; INDEX(Sheet2!$D:$D, MATCH(AE2175&amp;AF2175, Sheet2!$E:$E, 0)), ""), "-")</f>
        <v/>
      </c>
    </row>
    <row r="2176" spans="1:33" x14ac:dyDescent="0.25">
      <c r="A2176" t="s">
        <v>3648</v>
      </c>
      <c r="D2176" t="s">
        <v>3438</v>
      </c>
      <c r="E2176" t="s">
        <v>191</v>
      </c>
      <c r="F2176">
        <v>1755</v>
      </c>
      <c r="G2176">
        <v>1089</v>
      </c>
      <c r="H2176">
        <v>45</v>
      </c>
      <c r="J2176" t="s">
        <v>3119</v>
      </c>
      <c r="O2176" t="s">
        <v>57</v>
      </c>
      <c r="R2176" t="s">
        <v>2452</v>
      </c>
      <c r="T2176" t="s">
        <v>89</v>
      </c>
      <c r="U2176" t="s">
        <v>2453</v>
      </c>
      <c r="V2176" t="s">
        <v>137</v>
      </c>
      <c r="W2176" t="s">
        <v>92</v>
      </c>
      <c r="Y2176" t="s">
        <v>38</v>
      </c>
      <c r="AA2176" t="s">
        <v>38</v>
      </c>
      <c r="AB2176" t="s">
        <v>38</v>
      </c>
      <c r="AC2176" t="s">
        <v>38</v>
      </c>
      <c r="AD2176" t="s">
        <v>48</v>
      </c>
      <c r="AG2176" t="str">
        <f>IF(AD2176="United States", IFERROR(INDEX(Sheet2!$C:$C, MATCH(AE2176&amp;AF2176, Sheet2!$E:$E, 0)) &amp; ", " &amp; INDEX(Sheet2!$D:$D, MATCH(AE2176&amp;AF2176, Sheet2!$E:$E, 0)), ""), "-")</f>
        <v/>
      </c>
    </row>
    <row r="2177" spans="1:33" x14ac:dyDescent="0.25">
      <c r="A2177" t="s">
        <v>3648</v>
      </c>
      <c r="D2177" t="s">
        <v>50</v>
      </c>
      <c r="E2177" t="s">
        <v>1250</v>
      </c>
      <c r="F2177">
        <v>1723</v>
      </c>
      <c r="G2177">
        <v>1114</v>
      </c>
      <c r="H2177">
        <v>46</v>
      </c>
      <c r="J2177" t="s">
        <v>3119</v>
      </c>
      <c r="O2177" t="s">
        <v>57</v>
      </c>
      <c r="R2177" t="s">
        <v>2452</v>
      </c>
      <c r="T2177" t="s">
        <v>89</v>
      </c>
      <c r="U2177" t="s">
        <v>2453</v>
      </c>
      <c r="V2177" t="s">
        <v>137</v>
      </c>
      <c r="W2177" t="s">
        <v>92</v>
      </c>
      <c r="Y2177" t="s">
        <v>38</v>
      </c>
      <c r="AA2177" t="s">
        <v>38</v>
      </c>
      <c r="AB2177" t="s">
        <v>38</v>
      </c>
      <c r="AC2177" t="s">
        <v>38</v>
      </c>
      <c r="AD2177" t="s">
        <v>48</v>
      </c>
      <c r="AG2177" t="str">
        <f>IF(AD2177="United States", IFERROR(INDEX(Sheet2!$C:$C, MATCH(AE2177&amp;AF2177, Sheet2!$E:$E, 0)) &amp; ", " &amp; INDEX(Sheet2!$D:$D, MATCH(AE2177&amp;AF2177, Sheet2!$E:$E, 0)), ""), "-")</f>
        <v/>
      </c>
    </row>
    <row r="2178" spans="1:33" x14ac:dyDescent="0.25">
      <c r="A2178" t="s">
        <v>3648</v>
      </c>
      <c r="D2178" t="s">
        <v>113</v>
      </c>
      <c r="E2178" t="s">
        <v>3380</v>
      </c>
      <c r="F2178">
        <v>1773</v>
      </c>
      <c r="G2178">
        <v>1115</v>
      </c>
      <c r="H2178">
        <v>46</v>
      </c>
      <c r="J2178" t="s">
        <v>3119</v>
      </c>
      <c r="O2178" t="s">
        <v>54</v>
      </c>
      <c r="R2178" t="s">
        <v>2452</v>
      </c>
      <c r="T2178" t="s">
        <v>89</v>
      </c>
      <c r="U2178" t="s">
        <v>2453</v>
      </c>
      <c r="V2178" t="s">
        <v>137</v>
      </c>
      <c r="W2178" t="s">
        <v>92</v>
      </c>
      <c r="Y2178" t="s">
        <v>38</v>
      </c>
      <c r="AA2178" t="s">
        <v>38</v>
      </c>
      <c r="AB2178" t="s">
        <v>38</v>
      </c>
      <c r="AC2178" t="s">
        <v>38</v>
      </c>
      <c r="AD2178" t="s">
        <v>48</v>
      </c>
      <c r="AG2178" t="str">
        <f>IF(AD2178="United States", IFERROR(INDEX(Sheet2!$C:$C, MATCH(AE2178&amp;AF2178, Sheet2!$E:$E, 0)) &amp; ", " &amp; INDEX(Sheet2!$D:$D, MATCH(AE2178&amp;AF2178, Sheet2!$E:$E, 0)), ""), "-")</f>
        <v/>
      </c>
    </row>
    <row r="2179" spans="1:33" x14ac:dyDescent="0.25">
      <c r="A2179" t="s">
        <v>3648</v>
      </c>
      <c r="D2179" t="s">
        <v>1230</v>
      </c>
      <c r="E2179" t="s">
        <v>3382</v>
      </c>
      <c r="F2179">
        <v>1763</v>
      </c>
      <c r="G2179">
        <v>1116</v>
      </c>
      <c r="H2179">
        <v>46</v>
      </c>
      <c r="J2179" t="s">
        <v>3119</v>
      </c>
      <c r="O2179" t="s">
        <v>57</v>
      </c>
      <c r="R2179" t="s">
        <v>2452</v>
      </c>
      <c r="T2179" t="s">
        <v>89</v>
      </c>
      <c r="U2179" t="s">
        <v>2453</v>
      </c>
      <c r="V2179" t="s">
        <v>137</v>
      </c>
      <c r="W2179" t="s">
        <v>92</v>
      </c>
      <c r="Y2179" t="s">
        <v>38</v>
      </c>
      <c r="AA2179" t="s">
        <v>38</v>
      </c>
      <c r="AB2179" t="s">
        <v>38</v>
      </c>
      <c r="AC2179" t="s">
        <v>38</v>
      </c>
      <c r="AD2179" t="s">
        <v>48</v>
      </c>
      <c r="AG2179" t="str">
        <f>IF(AD2179="United States", IFERROR(INDEX(Sheet2!$C:$C, MATCH(AE2179&amp;AF2179, Sheet2!$E:$E, 0)) &amp; ", " &amp; INDEX(Sheet2!$D:$D, MATCH(AE2179&amp;AF2179, Sheet2!$E:$E, 0)), ""), "-")</f>
        <v/>
      </c>
    </row>
    <row r="2180" spans="1:33" x14ac:dyDescent="0.25">
      <c r="A2180" t="s">
        <v>3648</v>
      </c>
      <c r="D2180" t="s">
        <v>2174</v>
      </c>
      <c r="E2180" t="s">
        <v>3382</v>
      </c>
      <c r="F2180" t="s">
        <v>38</v>
      </c>
      <c r="G2180">
        <v>1117</v>
      </c>
      <c r="H2180">
        <v>46</v>
      </c>
      <c r="J2180" t="s">
        <v>3119</v>
      </c>
      <c r="O2180" t="s">
        <v>74</v>
      </c>
      <c r="R2180" t="s">
        <v>2452</v>
      </c>
      <c r="T2180" t="s">
        <v>89</v>
      </c>
      <c r="U2180" t="s">
        <v>2453</v>
      </c>
      <c r="V2180" t="s">
        <v>137</v>
      </c>
      <c r="W2180" t="s">
        <v>92</v>
      </c>
      <c r="Y2180" t="s">
        <v>38</v>
      </c>
      <c r="AA2180" t="s">
        <v>38</v>
      </c>
      <c r="AB2180" t="s">
        <v>38</v>
      </c>
      <c r="AC2180" t="s">
        <v>38</v>
      </c>
      <c r="AD2180" t="s">
        <v>48</v>
      </c>
      <c r="AG2180" t="str">
        <f>IF(AD2180="United States", IFERROR(INDEX(Sheet2!$C:$C, MATCH(AE2180&amp;AF2180, Sheet2!$E:$E, 0)) &amp; ", " &amp; INDEX(Sheet2!$D:$D, MATCH(AE2180&amp;AF2180, Sheet2!$E:$E, 0)), ""), "-")</f>
        <v/>
      </c>
    </row>
    <row r="2181" spans="1:33" x14ac:dyDescent="0.25">
      <c r="A2181" t="s">
        <v>3648</v>
      </c>
      <c r="D2181" t="s">
        <v>3235</v>
      </c>
      <c r="E2181" t="s">
        <v>633</v>
      </c>
      <c r="F2181">
        <v>1753</v>
      </c>
      <c r="G2181">
        <v>1118</v>
      </c>
      <c r="H2181">
        <v>46</v>
      </c>
      <c r="J2181" t="s">
        <v>3119</v>
      </c>
      <c r="O2181" t="s">
        <v>57</v>
      </c>
      <c r="R2181" t="s">
        <v>2452</v>
      </c>
      <c r="T2181" t="s">
        <v>89</v>
      </c>
      <c r="U2181" t="s">
        <v>2453</v>
      </c>
      <c r="V2181" t="s">
        <v>137</v>
      </c>
      <c r="W2181" t="s">
        <v>92</v>
      </c>
      <c r="Y2181" t="s">
        <v>38</v>
      </c>
      <c r="AA2181" t="s">
        <v>38</v>
      </c>
      <c r="AB2181" t="s">
        <v>38</v>
      </c>
      <c r="AC2181" t="s">
        <v>38</v>
      </c>
      <c r="AD2181" t="s">
        <v>48</v>
      </c>
      <c r="AG2181" t="str">
        <f>IF(AD2181="United States", IFERROR(INDEX(Sheet2!$C:$C, MATCH(AE2181&amp;AF2181, Sheet2!$E:$E, 0)) &amp; ", " &amp; INDEX(Sheet2!$D:$D, MATCH(AE2181&amp;AF2181, Sheet2!$E:$E, 0)), ""), "-")</f>
        <v/>
      </c>
    </row>
    <row r="2182" spans="1:33" x14ac:dyDescent="0.25">
      <c r="A2182" t="s">
        <v>3648</v>
      </c>
      <c r="D2182" t="s">
        <v>36</v>
      </c>
      <c r="E2182" t="s">
        <v>1143</v>
      </c>
      <c r="F2182">
        <v>1771</v>
      </c>
      <c r="G2182">
        <v>1119</v>
      </c>
      <c r="H2182">
        <v>46</v>
      </c>
      <c r="J2182" t="s">
        <v>3119</v>
      </c>
      <c r="O2182" t="s">
        <v>54</v>
      </c>
      <c r="R2182" t="s">
        <v>2452</v>
      </c>
      <c r="T2182" t="s">
        <v>89</v>
      </c>
      <c r="U2182" t="s">
        <v>2453</v>
      </c>
      <c r="V2182" t="s">
        <v>137</v>
      </c>
      <c r="W2182" t="s">
        <v>92</v>
      </c>
      <c r="Y2182" t="s">
        <v>38</v>
      </c>
      <c r="AA2182" t="s">
        <v>38</v>
      </c>
      <c r="AB2182" t="s">
        <v>38</v>
      </c>
      <c r="AC2182" t="s">
        <v>38</v>
      </c>
      <c r="AD2182" t="s">
        <v>48</v>
      </c>
      <c r="AG2182" t="str">
        <f>IF(AD2182="United States", IFERROR(INDEX(Sheet2!$C:$C, MATCH(AE2182&amp;AF2182, Sheet2!$E:$E, 0)) &amp; ", " &amp; INDEX(Sheet2!$D:$D, MATCH(AE2182&amp;AF2182, Sheet2!$E:$E, 0)), ""), "-")</f>
        <v/>
      </c>
    </row>
    <row r="2183" spans="1:33" x14ac:dyDescent="0.25">
      <c r="A2183" t="s">
        <v>3648</v>
      </c>
      <c r="D2183" t="s">
        <v>222</v>
      </c>
      <c r="E2183" t="s">
        <v>633</v>
      </c>
      <c r="F2183">
        <v>1780</v>
      </c>
      <c r="G2183">
        <v>1120</v>
      </c>
      <c r="H2183">
        <v>46</v>
      </c>
      <c r="J2183" t="s">
        <v>3119</v>
      </c>
      <c r="O2183" t="s">
        <v>74</v>
      </c>
      <c r="R2183" t="s">
        <v>2452</v>
      </c>
      <c r="T2183" t="s">
        <v>89</v>
      </c>
      <c r="U2183" t="s">
        <v>2453</v>
      </c>
      <c r="V2183" t="s">
        <v>137</v>
      </c>
      <c r="W2183" t="s">
        <v>92</v>
      </c>
      <c r="Y2183" t="s">
        <v>38</v>
      </c>
      <c r="AA2183" t="s">
        <v>38</v>
      </c>
      <c r="AB2183" t="s">
        <v>38</v>
      </c>
      <c r="AC2183" t="s">
        <v>38</v>
      </c>
      <c r="AD2183" t="s">
        <v>48</v>
      </c>
      <c r="AG2183" t="str">
        <f>IF(AD2183="United States", IFERROR(INDEX(Sheet2!$C:$C, MATCH(AE2183&amp;AF2183, Sheet2!$E:$E, 0)) &amp; ", " &amp; INDEX(Sheet2!$D:$D, MATCH(AE2183&amp;AF2183, Sheet2!$E:$E, 0)), ""), "-")</f>
        <v/>
      </c>
    </row>
    <row r="2184" spans="1:33" x14ac:dyDescent="0.25">
      <c r="A2184" t="s">
        <v>3648</v>
      </c>
      <c r="D2184" t="s">
        <v>359</v>
      </c>
      <c r="E2184" t="s">
        <v>1684</v>
      </c>
      <c r="F2184">
        <v>1759</v>
      </c>
      <c r="G2184">
        <v>1121</v>
      </c>
      <c r="H2184">
        <v>46</v>
      </c>
      <c r="J2184" t="s">
        <v>3119</v>
      </c>
      <c r="O2184" t="s">
        <v>57</v>
      </c>
      <c r="R2184" t="s">
        <v>2452</v>
      </c>
      <c r="T2184" t="s">
        <v>89</v>
      </c>
      <c r="U2184" t="s">
        <v>2453</v>
      </c>
      <c r="V2184" t="s">
        <v>137</v>
      </c>
      <c r="W2184" t="s">
        <v>92</v>
      </c>
      <c r="Y2184" t="s">
        <v>38</v>
      </c>
      <c r="AA2184" t="s">
        <v>38</v>
      </c>
      <c r="AB2184" t="s">
        <v>38</v>
      </c>
      <c r="AC2184" t="s">
        <v>38</v>
      </c>
      <c r="AD2184" t="s">
        <v>48</v>
      </c>
      <c r="AG2184" t="str">
        <f>IF(AD2184="United States", IFERROR(INDEX(Sheet2!$C:$C, MATCH(AE2184&amp;AF2184, Sheet2!$E:$E, 0)) &amp; ", " &amp; INDEX(Sheet2!$D:$D, MATCH(AE2184&amp;AF2184, Sheet2!$E:$E, 0)), ""), "-")</f>
        <v/>
      </c>
    </row>
    <row r="2185" spans="1:33" x14ac:dyDescent="0.25">
      <c r="A2185" t="s">
        <v>3648</v>
      </c>
      <c r="D2185" t="s">
        <v>140</v>
      </c>
      <c r="E2185" t="s">
        <v>2178</v>
      </c>
      <c r="F2185">
        <v>1757</v>
      </c>
      <c r="G2185">
        <v>1122</v>
      </c>
      <c r="H2185">
        <v>46</v>
      </c>
      <c r="J2185" t="s">
        <v>3119</v>
      </c>
      <c r="O2185" t="s">
        <v>57</v>
      </c>
      <c r="R2185" t="s">
        <v>2452</v>
      </c>
      <c r="T2185" t="s">
        <v>89</v>
      </c>
      <c r="U2185" t="s">
        <v>2453</v>
      </c>
      <c r="V2185" t="s">
        <v>137</v>
      </c>
      <c r="W2185" t="s">
        <v>92</v>
      </c>
      <c r="Y2185" t="s">
        <v>38</v>
      </c>
      <c r="AA2185" t="s">
        <v>38</v>
      </c>
      <c r="AB2185" t="s">
        <v>38</v>
      </c>
      <c r="AC2185" t="s">
        <v>38</v>
      </c>
      <c r="AD2185" t="s">
        <v>48</v>
      </c>
      <c r="AG2185" t="str">
        <f>IF(AD2185="United States", IFERROR(INDEX(Sheet2!$C:$C, MATCH(AE2185&amp;AF2185, Sheet2!$E:$E, 0)) &amp; ", " &amp; INDEX(Sheet2!$D:$D, MATCH(AE2185&amp;AF2185, Sheet2!$E:$E, 0)), ""), "-")</f>
        <v/>
      </c>
    </row>
    <row r="2186" spans="1:33" x14ac:dyDescent="0.25">
      <c r="A2186" t="s">
        <v>3648</v>
      </c>
      <c r="D2186" t="s">
        <v>132</v>
      </c>
      <c r="E2186" t="s">
        <v>1250</v>
      </c>
      <c r="F2186">
        <v>1720</v>
      </c>
      <c r="G2186">
        <v>1113</v>
      </c>
      <c r="H2186">
        <v>46</v>
      </c>
      <c r="J2186" t="s">
        <v>3119</v>
      </c>
      <c r="O2186" t="s">
        <v>41</v>
      </c>
      <c r="R2186" t="s">
        <v>2452</v>
      </c>
      <c r="T2186" t="s">
        <v>89</v>
      </c>
      <c r="U2186" t="s">
        <v>2453</v>
      </c>
      <c r="V2186" t="s">
        <v>137</v>
      </c>
      <c r="W2186" t="s">
        <v>92</v>
      </c>
      <c r="Y2186" t="s">
        <v>38</v>
      </c>
      <c r="AA2186" t="s">
        <v>38</v>
      </c>
      <c r="AB2186" t="s">
        <v>38</v>
      </c>
      <c r="AC2186" t="s">
        <v>38</v>
      </c>
      <c r="AD2186" t="s">
        <v>48</v>
      </c>
      <c r="AG2186" t="str">
        <f>IF(AD2186="United States", IFERROR(INDEX(Sheet2!$C:$C, MATCH(AE2186&amp;AF2186, Sheet2!$E:$E, 0)) &amp; ", " &amp; INDEX(Sheet2!$D:$D, MATCH(AE2186&amp;AF2186, Sheet2!$E:$E, 0)), ""), "-")</f>
        <v/>
      </c>
    </row>
    <row r="2187" spans="1:33" x14ac:dyDescent="0.25">
      <c r="A2187" t="s">
        <v>3648</v>
      </c>
      <c r="D2187" t="s">
        <v>834</v>
      </c>
      <c r="E2187" t="s">
        <v>2178</v>
      </c>
      <c r="F2187">
        <v>1777</v>
      </c>
      <c r="G2187">
        <v>1123</v>
      </c>
      <c r="H2187">
        <v>46</v>
      </c>
      <c r="J2187" t="s">
        <v>3119</v>
      </c>
      <c r="O2187" t="s">
        <v>74</v>
      </c>
      <c r="R2187" t="s">
        <v>2452</v>
      </c>
      <c r="T2187" t="s">
        <v>89</v>
      </c>
      <c r="U2187" t="s">
        <v>2453</v>
      </c>
      <c r="V2187" t="s">
        <v>137</v>
      </c>
      <c r="W2187" t="s">
        <v>92</v>
      </c>
      <c r="Y2187" t="s">
        <v>38</v>
      </c>
      <c r="AA2187" t="s">
        <v>38</v>
      </c>
      <c r="AB2187" t="s">
        <v>38</v>
      </c>
      <c r="AC2187" t="s">
        <v>38</v>
      </c>
      <c r="AD2187" t="s">
        <v>48</v>
      </c>
      <c r="AG2187" t="str">
        <f>IF(AD2187="United States", IFERROR(INDEX(Sheet2!$C:$C, MATCH(AE2187&amp;AF2187, Sheet2!$E:$E, 0)) &amp; ", " &amp; INDEX(Sheet2!$D:$D, MATCH(AE2187&amp;AF2187, Sheet2!$E:$E, 0)), ""), "-")</f>
        <v/>
      </c>
    </row>
    <row r="2188" spans="1:33" x14ac:dyDescent="0.25">
      <c r="A2188" t="s">
        <v>3648</v>
      </c>
      <c r="D2188" t="s">
        <v>200</v>
      </c>
      <c r="E2188" t="s">
        <v>2178</v>
      </c>
      <c r="F2188">
        <v>1755</v>
      </c>
      <c r="G2188">
        <v>1125</v>
      </c>
      <c r="H2188">
        <v>46</v>
      </c>
      <c r="J2188" t="s">
        <v>3119</v>
      </c>
      <c r="O2188" t="s">
        <v>41</v>
      </c>
      <c r="R2188" t="s">
        <v>2452</v>
      </c>
      <c r="T2188" t="s">
        <v>89</v>
      </c>
      <c r="U2188" t="s">
        <v>2453</v>
      </c>
      <c r="V2188" t="s">
        <v>137</v>
      </c>
      <c r="W2188" t="s">
        <v>92</v>
      </c>
      <c r="Y2188" t="s">
        <v>38</v>
      </c>
      <c r="AA2188" t="s">
        <v>38</v>
      </c>
      <c r="AB2188" t="s">
        <v>38</v>
      </c>
      <c r="AC2188" t="s">
        <v>38</v>
      </c>
      <c r="AD2188" t="s">
        <v>48</v>
      </c>
      <c r="AG2188" t="str">
        <f>IF(AD2188="United States", IFERROR(INDEX(Sheet2!$C:$C, MATCH(AE2188&amp;AF2188, Sheet2!$E:$E, 0)) &amp; ", " &amp; INDEX(Sheet2!$D:$D, MATCH(AE2188&amp;AF2188, Sheet2!$E:$E, 0)), ""), "-")</f>
        <v/>
      </c>
    </row>
    <row r="2189" spans="1:33" x14ac:dyDescent="0.25">
      <c r="A2189" t="s">
        <v>3648</v>
      </c>
      <c r="D2189" t="s">
        <v>495</v>
      </c>
      <c r="E2189" t="s">
        <v>1377</v>
      </c>
      <c r="F2189">
        <v>1758</v>
      </c>
      <c r="G2189">
        <v>1126</v>
      </c>
      <c r="H2189">
        <v>46</v>
      </c>
      <c r="J2189" t="s">
        <v>3119</v>
      </c>
      <c r="O2189" t="s">
        <v>57</v>
      </c>
      <c r="R2189" t="s">
        <v>2452</v>
      </c>
      <c r="T2189" t="s">
        <v>89</v>
      </c>
      <c r="U2189" t="s">
        <v>2453</v>
      </c>
      <c r="V2189" t="s">
        <v>137</v>
      </c>
      <c r="W2189" t="s">
        <v>92</v>
      </c>
      <c r="Y2189" t="s">
        <v>38</v>
      </c>
      <c r="AA2189" t="s">
        <v>38</v>
      </c>
      <c r="AB2189" t="s">
        <v>38</v>
      </c>
      <c r="AC2189" t="s">
        <v>38</v>
      </c>
      <c r="AD2189" t="s">
        <v>48</v>
      </c>
      <c r="AG2189" t="str">
        <f>IF(AD2189="United States", IFERROR(INDEX(Sheet2!$C:$C, MATCH(AE2189&amp;AF2189, Sheet2!$E:$E, 0)) &amp; ", " &amp; INDEX(Sheet2!$D:$D, MATCH(AE2189&amp;AF2189, Sheet2!$E:$E, 0)), ""), "-")</f>
        <v/>
      </c>
    </row>
    <row r="2190" spans="1:33" x14ac:dyDescent="0.25">
      <c r="A2190" t="s">
        <v>3648</v>
      </c>
      <c r="D2190" t="s">
        <v>114</v>
      </c>
      <c r="E2190" t="s">
        <v>1147</v>
      </c>
      <c r="F2190">
        <v>1762</v>
      </c>
      <c r="G2190">
        <v>1127</v>
      </c>
      <c r="H2190">
        <v>46</v>
      </c>
      <c r="J2190" t="s">
        <v>3119</v>
      </c>
      <c r="O2190" t="s">
        <v>57</v>
      </c>
      <c r="R2190" t="s">
        <v>2452</v>
      </c>
      <c r="T2190" t="s">
        <v>89</v>
      </c>
      <c r="U2190" t="s">
        <v>2453</v>
      </c>
      <c r="V2190" t="s">
        <v>137</v>
      </c>
      <c r="W2190" t="s">
        <v>92</v>
      </c>
      <c r="Y2190" t="s">
        <v>38</v>
      </c>
      <c r="AA2190" t="s">
        <v>38</v>
      </c>
      <c r="AB2190" t="s">
        <v>38</v>
      </c>
      <c r="AC2190" t="s">
        <v>38</v>
      </c>
      <c r="AD2190" t="s">
        <v>48</v>
      </c>
      <c r="AG2190" t="str">
        <f>IF(AD2190="United States", IFERROR(INDEX(Sheet2!$C:$C, MATCH(AE2190&amp;AF2190, Sheet2!$E:$E, 0)) &amp; ", " &amp; INDEX(Sheet2!$D:$D, MATCH(AE2190&amp;AF2190, Sheet2!$E:$E, 0)), ""), "-")</f>
        <v/>
      </c>
    </row>
    <row r="2191" spans="1:33" x14ac:dyDescent="0.25">
      <c r="A2191" t="s">
        <v>3648</v>
      </c>
      <c r="D2191" t="s">
        <v>1230</v>
      </c>
      <c r="E2191" t="s">
        <v>3460</v>
      </c>
      <c r="F2191">
        <v>1718</v>
      </c>
      <c r="G2191">
        <v>1128</v>
      </c>
      <c r="H2191">
        <v>46</v>
      </c>
      <c r="J2191" t="s">
        <v>3119</v>
      </c>
      <c r="O2191" t="s">
        <v>57</v>
      </c>
      <c r="R2191" t="s">
        <v>2452</v>
      </c>
      <c r="T2191" t="s">
        <v>89</v>
      </c>
      <c r="U2191" t="s">
        <v>2453</v>
      </c>
      <c r="V2191" t="s">
        <v>137</v>
      </c>
      <c r="W2191" t="s">
        <v>92</v>
      </c>
      <c r="Y2191" t="s">
        <v>38</v>
      </c>
      <c r="AA2191" t="s">
        <v>38</v>
      </c>
      <c r="AB2191" t="s">
        <v>38</v>
      </c>
      <c r="AC2191" t="s">
        <v>38</v>
      </c>
      <c r="AD2191" t="s">
        <v>48</v>
      </c>
      <c r="AG2191" t="str">
        <f>IF(AD2191="United States", IFERROR(INDEX(Sheet2!$C:$C, MATCH(AE2191&amp;AF2191, Sheet2!$E:$E, 0)) &amp; ", " &amp; INDEX(Sheet2!$D:$D, MATCH(AE2191&amp;AF2191, Sheet2!$E:$E, 0)), ""), "-")</f>
        <v/>
      </c>
    </row>
    <row r="2192" spans="1:33" x14ac:dyDescent="0.25">
      <c r="A2192" t="s">
        <v>3648</v>
      </c>
      <c r="D2192" t="s">
        <v>807</v>
      </c>
      <c r="E2192" t="s">
        <v>728</v>
      </c>
      <c r="F2192">
        <v>1741</v>
      </c>
      <c r="G2192">
        <v>1129</v>
      </c>
      <c r="H2192">
        <v>46</v>
      </c>
      <c r="J2192" t="s">
        <v>3119</v>
      </c>
      <c r="O2192" t="s">
        <v>41</v>
      </c>
      <c r="R2192" t="s">
        <v>2452</v>
      </c>
      <c r="T2192" t="s">
        <v>89</v>
      </c>
      <c r="U2192" t="s">
        <v>2453</v>
      </c>
      <c r="V2192" t="s">
        <v>137</v>
      </c>
      <c r="W2192" t="s">
        <v>92</v>
      </c>
      <c r="Y2192" t="s">
        <v>38</v>
      </c>
      <c r="AA2192" t="s">
        <v>38</v>
      </c>
      <c r="AB2192" t="s">
        <v>38</v>
      </c>
      <c r="AC2192" t="s">
        <v>38</v>
      </c>
      <c r="AD2192" t="s">
        <v>48</v>
      </c>
      <c r="AG2192" t="str">
        <f>IF(AD2192="United States", IFERROR(INDEX(Sheet2!$C:$C, MATCH(AE2192&amp;AF2192, Sheet2!$E:$E, 0)) &amp; ", " &amp; INDEX(Sheet2!$D:$D, MATCH(AE2192&amp;AF2192, Sheet2!$E:$E, 0)), ""), "-")</f>
        <v/>
      </c>
    </row>
    <row r="2193" spans="1:33" x14ac:dyDescent="0.25">
      <c r="A2193" t="s">
        <v>3648</v>
      </c>
      <c r="D2193" t="s">
        <v>945</v>
      </c>
      <c r="E2193" t="s">
        <v>368</v>
      </c>
      <c r="F2193">
        <v>1760</v>
      </c>
      <c r="G2193">
        <v>1130</v>
      </c>
      <c r="H2193">
        <v>46</v>
      </c>
      <c r="J2193" t="s">
        <v>3119</v>
      </c>
      <c r="O2193" t="s">
        <v>41</v>
      </c>
      <c r="R2193" t="s">
        <v>2452</v>
      </c>
      <c r="T2193" t="s">
        <v>89</v>
      </c>
      <c r="U2193" t="s">
        <v>2453</v>
      </c>
      <c r="V2193" t="s">
        <v>137</v>
      </c>
      <c r="W2193" t="s">
        <v>92</v>
      </c>
      <c r="Y2193" t="s">
        <v>38</v>
      </c>
      <c r="AA2193" t="s">
        <v>38</v>
      </c>
      <c r="AB2193" t="s">
        <v>38</v>
      </c>
      <c r="AC2193" t="s">
        <v>38</v>
      </c>
      <c r="AD2193" t="s">
        <v>48</v>
      </c>
      <c r="AG2193" t="str">
        <f>IF(AD2193="United States", IFERROR(INDEX(Sheet2!$C:$C, MATCH(AE2193&amp;AF2193, Sheet2!$E:$E, 0)) &amp; ", " &amp; INDEX(Sheet2!$D:$D, MATCH(AE2193&amp;AF2193, Sheet2!$E:$E, 0)), ""), "-")</f>
        <v/>
      </c>
    </row>
    <row r="2194" spans="1:33" x14ac:dyDescent="0.25">
      <c r="A2194" t="s">
        <v>3648</v>
      </c>
      <c r="D2194" t="s">
        <v>1964</v>
      </c>
      <c r="E2194" t="s">
        <v>368</v>
      </c>
      <c r="F2194">
        <v>1763</v>
      </c>
      <c r="G2194">
        <v>1131</v>
      </c>
      <c r="H2194">
        <v>46</v>
      </c>
      <c r="J2194" t="s">
        <v>3119</v>
      </c>
      <c r="O2194" t="s">
        <v>57</v>
      </c>
      <c r="R2194" t="s">
        <v>2452</v>
      </c>
      <c r="T2194" t="s">
        <v>89</v>
      </c>
      <c r="U2194" t="s">
        <v>2453</v>
      </c>
      <c r="V2194" t="s">
        <v>137</v>
      </c>
      <c r="W2194" t="s">
        <v>92</v>
      </c>
      <c r="Y2194" t="s">
        <v>38</v>
      </c>
      <c r="AA2194" t="s">
        <v>38</v>
      </c>
      <c r="AB2194" t="s">
        <v>38</v>
      </c>
      <c r="AC2194" t="s">
        <v>38</v>
      </c>
      <c r="AD2194" t="s">
        <v>48</v>
      </c>
      <c r="AG2194" t="str">
        <f>IF(AD2194="United States", IFERROR(INDEX(Sheet2!$C:$C, MATCH(AE2194&amp;AF2194, Sheet2!$E:$E, 0)) &amp; ", " &amp; INDEX(Sheet2!$D:$D, MATCH(AE2194&amp;AF2194, Sheet2!$E:$E, 0)), ""), "-")</f>
        <v/>
      </c>
    </row>
    <row r="2195" spans="1:33" x14ac:dyDescent="0.25">
      <c r="A2195" t="s">
        <v>3648</v>
      </c>
      <c r="D2195" t="s">
        <v>210</v>
      </c>
      <c r="E2195" t="s">
        <v>1604</v>
      </c>
      <c r="F2195">
        <v>1762</v>
      </c>
      <c r="G2195">
        <v>1445</v>
      </c>
      <c r="H2195">
        <v>53</v>
      </c>
      <c r="J2195" t="s">
        <v>3119</v>
      </c>
      <c r="O2195" t="s">
        <v>41</v>
      </c>
      <c r="R2195" t="s">
        <v>2452</v>
      </c>
      <c r="T2195" t="s">
        <v>89</v>
      </c>
      <c r="U2195" t="s">
        <v>2453</v>
      </c>
      <c r="V2195" t="s">
        <v>137</v>
      </c>
      <c r="W2195" t="s">
        <v>92</v>
      </c>
      <c r="Y2195" t="s">
        <v>38</v>
      </c>
      <c r="AA2195" t="s">
        <v>38</v>
      </c>
      <c r="AB2195" t="s">
        <v>38</v>
      </c>
      <c r="AC2195" t="s">
        <v>38</v>
      </c>
      <c r="AD2195" t="s">
        <v>48</v>
      </c>
      <c r="AG2195" t="str">
        <f>IF(AD2195="United States", IFERROR(INDEX(Sheet2!$C:$C, MATCH(AE2195&amp;AF2195, Sheet2!$E:$E, 0)) &amp; ", " &amp; INDEX(Sheet2!$D:$D, MATCH(AE2195&amp;AF2195, Sheet2!$E:$E, 0)), ""), "-")</f>
        <v/>
      </c>
    </row>
    <row r="2196" spans="1:33" x14ac:dyDescent="0.25">
      <c r="A2196" t="s">
        <v>3648</v>
      </c>
      <c r="D2196" t="s">
        <v>210</v>
      </c>
      <c r="E2196" t="s">
        <v>2429</v>
      </c>
      <c r="F2196">
        <v>1753</v>
      </c>
      <c r="G2196">
        <v>1446</v>
      </c>
      <c r="H2196">
        <v>53</v>
      </c>
      <c r="J2196" t="s">
        <v>3119</v>
      </c>
      <c r="O2196" t="s">
        <v>41</v>
      </c>
      <c r="R2196" t="s">
        <v>2452</v>
      </c>
      <c r="T2196" t="s">
        <v>89</v>
      </c>
      <c r="U2196" t="s">
        <v>2453</v>
      </c>
      <c r="V2196" t="s">
        <v>137</v>
      </c>
      <c r="W2196" t="s">
        <v>92</v>
      </c>
      <c r="Y2196" t="s">
        <v>38</v>
      </c>
      <c r="AA2196" t="s">
        <v>38</v>
      </c>
      <c r="AB2196" t="s">
        <v>38</v>
      </c>
      <c r="AC2196" t="s">
        <v>38</v>
      </c>
      <c r="AD2196" t="s">
        <v>48</v>
      </c>
      <c r="AG2196" t="str">
        <f>IF(AD2196="United States", IFERROR(INDEX(Sheet2!$C:$C, MATCH(AE2196&amp;AF2196, Sheet2!$E:$E, 0)) &amp; ", " &amp; INDEX(Sheet2!$D:$D, MATCH(AE2196&amp;AF2196, Sheet2!$E:$E, 0)), ""), "-")</f>
        <v/>
      </c>
    </row>
    <row r="2197" spans="1:33" x14ac:dyDescent="0.25">
      <c r="A2197" t="s">
        <v>3648</v>
      </c>
      <c r="D2197" t="s">
        <v>1151</v>
      </c>
      <c r="E2197" t="s">
        <v>2178</v>
      </c>
      <c r="F2197">
        <v>1773</v>
      </c>
      <c r="G2197">
        <v>1124</v>
      </c>
      <c r="H2197">
        <v>46</v>
      </c>
      <c r="J2197" t="s">
        <v>3119</v>
      </c>
      <c r="O2197" t="s">
        <v>54</v>
      </c>
      <c r="R2197" t="s">
        <v>2452</v>
      </c>
      <c r="T2197" t="s">
        <v>89</v>
      </c>
      <c r="U2197" t="s">
        <v>2453</v>
      </c>
      <c r="V2197" t="s">
        <v>137</v>
      </c>
      <c r="W2197" t="s">
        <v>92</v>
      </c>
      <c r="Y2197" t="s">
        <v>38</v>
      </c>
      <c r="AA2197" t="s">
        <v>38</v>
      </c>
      <c r="AB2197" t="s">
        <v>38</v>
      </c>
      <c r="AC2197" t="s">
        <v>38</v>
      </c>
      <c r="AD2197" t="s">
        <v>48</v>
      </c>
      <c r="AG2197" t="str">
        <f>IF(AD2197="United States", IFERROR(INDEX(Sheet2!$C:$C, MATCH(AE2197&amp;AF2197, Sheet2!$E:$E, 0)) &amp; ", " &amp; INDEX(Sheet2!$D:$D, MATCH(AE2197&amp;AF2197, Sheet2!$E:$E, 0)), ""), "-")</f>
        <v/>
      </c>
    </row>
    <row r="2198" spans="1:33" x14ac:dyDescent="0.25">
      <c r="A2198" t="s">
        <v>3648</v>
      </c>
      <c r="D2198" t="s">
        <v>132</v>
      </c>
      <c r="E2198" t="s">
        <v>2465</v>
      </c>
      <c r="F2198">
        <v>1770</v>
      </c>
      <c r="G2198">
        <v>1112</v>
      </c>
      <c r="H2198">
        <v>46</v>
      </c>
      <c r="J2198" t="s">
        <v>3119</v>
      </c>
      <c r="O2198" t="s">
        <v>54</v>
      </c>
      <c r="R2198" t="s">
        <v>2452</v>
      </c>
      <c r="T2198" t="s">
        <v>89</v>
      </c>
      <c r="U2198" t="s">
        <v>2453</v>
      </c>
      <c r="V2198" t="s">
        <v>137</v>
      </c>
      <c r="W2198" t="s">
        <v>92</v>
      </c>
      <c r="Y2198" t="s">
        <v>38</v>
      </c>
      <c r="AA2198" t="s">
        <v>38</v>
      </c>
      <c r="AB2198" t="s">
        <v>38</v>
      </c>
      <c r="AC2198" t="s">
        <v>38</v>
      </c>
      <c r="AD2198" t="s">
        <v>48</v>
      </c>
      <c r="AG2198" t="str">
        <f>IF(AD2198="United States", IFERROR(INDEX(Sheet2!$C:$C, MATCH(AE2198&amp;AF2198, Sheet2!$E:$E, 0)) &amp; ", " &amp; INDEX(Sheet2!$D:$D, MATCH(AE2198&amp;AF2198, Sheet2!$E:$E, 0)), ""), "-")</f>
        <v/>
      </c>
    </row>
    <row r="2199" spans="1:33" x14ac:dyDescent="0.25">
      <c r="A2199" t="s">
        <v>3648</v>
      </c>
      <c r="D2199" t="s">
        <v>1238</v>
      </c>
      <c r="E2199" t="s">
        <v>2465</v>
      </c>
      <c r="F2199">
        <v>1746</v>
      </c>
      <c r="G2199">
        <v>1111</v>
      </c>
      <c r="H2199">
        <v>46</v>
      </c>
      <c r="J2199" t="s">
        <v>3119</v>
      </c>
      <c r="O2199" t="s">
        <v>57</v>
      </c>
      <c r="R2199" t="s">
        <v>2452</v>
      </c>
      <c r="T2199" t="s">
        <v>89</v>
      </c>
      <c r="U2199" t="s">
        <v>2453</v>
      </c>
      <c r="V2199" t="s">
        <v>137</v>
      </c>
      <c r="W2199" t="s">
        <v>92</v>
      </c>
      <c r="Y2199" t="s">
        <v>38</v>
      </c>
      <c r="AA2199" t="s">
        <v>38</v>
      </c>
      <c r="AB2199" t="s">
        <v>38</v>
      </c>
      <c r="AC2199" t="s">
        <v>38</v>
      </c>
      <c r="AD2199" t="s">
        <v>48</v>
      </c>
      <c r="AG2199" t="str">
        <f>IF(AD2199="United States", IFERROR(INDEX(Sheet2!$C:$C, MATCH(AE2199&amp;AF2199, Sheet2!$E:$E, 0)) &amp; ", " &amp; INDEX(Sheet2!$D:$D, MATCH(AE2199&amp;AF2199, Sheet2!$E:$E, 0)), ""), "-")</f>
        <v/>
      </c>
    </row>
    <row r="2200" spans="1:33" x14ac:dyDescent="0.25">
      <c r="A2200" t="s">
        <v>3648</v>
      </c>
      <c r="D2200" t="s">
        <v>113</v>
      </c>
      <c r="E2200" t="s">
        <v>2465</v>
      </c>
      <c r="F2200">
        <v>1747</v>
      </c>
      <c r="G2200">
        <v>1110</v>
      </c>
      <c r="H2200">
        <v>46</v>
      </c>
      <c r="J2200" t="s">
        <v>3119</v>
      </c>
      <c r="O2200" t="s">
        <v>41</v>
      </c>
      <c r="R2200" t="s">
        <v>2452</v>
      </c>
      <c r="T2200" t="s">
        <v>89</v>
      </c>
      <c r="U2200" t="s">
        <v>2453</v>
      </c>
      <c r="V2200" t="s">
        <v>137</v>
      </c>
      <c r="W2200" t="s">
        <v>92</v>
      </c>
      <c r="Y2200" t="s">
        <v>38</v>
      </c>
      <c r="AA2200" t="s">
        <v>38</v>
      </c>
      <c r="AB2200" t="s">
        <v>38</v>
      </c>
      <c r="AC2200" t="s">
        <v>38</v>
      </c>
      <c r="AD2200" t="s">
        <v>48</v>
      </c>
      <c r="AG2200" t="str">
        <f>IF(AD2200="United States", IFERROR(INDEX(Sheet2!$C:$C, MATCH(AE2200&amp;AF2200, Sheet2!$E:$E, 0)) &amp; ", " &amp; INDEX(Sheet2!$D:$D, MATCH(AE2200&amp;AF2200, Sheet2!$E:$E, 0)), ""), "-")</f>
        <v/>
      </c>
    </row>
    <row r="2201" spans="1:33" x14ac:dyDescent="0.25">
      <c r="A2201" t="s">
        <v>3648</v>
      </c>
      <c r="D2201" t="s">
        <v>226</v>
      </c>
      <c r="E2201" t="s">
        <v>191</v>
      </c>
      <c r="F2201">
        <v>1753</v>
      </c>
      <c r="G2201">
        <v>1090</v>
      </c>
      <c r="H2201">
        <v>45</v>
      </c>
      <c r="J2201" t="s">
        <v>3119</v>
      </c>
      <c r="O2201" t="s">
        <v>41</v>
      </c>
      <c r="R2201" t="s">
        <v>2452</v>
      </c>
      <c r="T2201" t="s">
        <v>89</v>
      </c>
      <c r="U2201" t="s">
        <v>2453</v>
      </c>
      <c r="V2201" t="s">
        <v>137</v>
      </c>
      <c r="W2201" t="s">
        <v>92</v>
      </c>
      <c r="Y2201" t="s">
        <v>38</v>
      </c>
      <c r="AA2201" t="s">
        <v>38</v>
      </c>
      <c r="AB2201" t="s">
        <v>38</v>
      </c>
      <c r="AC2201" t="s">
        <v>38</v>
      </c>
      <c r="AD2201" t="s">
        <v>48</v>
      </c>
      <c r="AG2201" t="str">
        <f>IF(AD2201="United States", IFERROR(INDEX(Sheet2!$C:$C, MATCH(AE2201&amp;AF2201, Sheet2!$E:$E, 0)) &amp; ", " &amp; INDEX(Sheet2!$D:$D, MATCH(AE2201&amp;AF2201, Sheet2!$E:$E, 0)), ""), "-")</f>
        <v/>
      </c>
    </row>
    <row r="2202" spans="1:33" x14ac:dyDescent="0.25">
      <c r="A2202" t="s">
        <v>3648</v>
      </c>
      <c r="D2202" t="s">
        <v>140</v>
      </c>
      <c r="E2202" t="s">
        <v>652</v>
      </c>
      <c r="F2202">
        <v>1756</v>
      </c>
      <c r="G2202">
        <v>1091</v>
      </c>
      <c r="H2202">
        <v>45</v>
      </c>
      <c r="J2202" t="s">
        <v>3119</v>
      </c>
      <c r="O2202" t="s">
        <v>57</v>
      </c>
      <c r="R2202" t="s">
        <v>2452</v>
      </c>
      <c r="T2202" t="s">
        <v>89</v>
      </c>
      <c r="U2202" t="s">
        <v>2453</v>
      </c>
      <c r="V2202" t="s">
        <v>137</v>
      </c>
      <c r="W2202" t="s">
        <v>92</v>
      </c>
      <c r="Y2202" t="s">
        <v>38</v>
      </c>
      <c r="AA2202" t="s">
        <v>38</v>
      </c>
      <c r="AB2202" t="s">
        <v>38</v>
      </c>
      <c r="AC2202" t="s">
        <v>38</v>
      </c>
      <c r="AD2202" t="s">
        <v>48</v>
      </c>
      <c r="AG2202" t="str">
        <f>IF(AD2202="United States", IFERROR(INDEX(Sheet2!$C:$C, MATCH(AE2202&amp;AF2202, Sheet2!$E:$E, 0)) &amp; ", " &amp; INDEX(Sheet2!$D:$D, MATCH(AE2202&amp;AF2202, Sheet2!$E:$E, 0)), ""), "-")</f>
        <v/>
      </c>
    </row>
    <row r="2203" spans="1:33" x14ac:dyDescent="0.25">
      <c r="A2203" t="s">
        <v>3648</v>
      </c>
      <c r="D2203" t="s">
        <v>3674</v>
      </c>
      <c r="E2203" t="s">
        <v>1091</v>
      </c>
      <c r="F2203">
        <v>1748</v>
      </c>
      <c r="G2203">
        <v>1092</v>
      </c>
      <c r="H2203">
        <v>45</v>
      </c>
      <c r="J2203" t="s">
        <v>3119</v>
      </c>
      <c r="O2203" t="s">
        <v>57</v>
      </c>
      <c r="R2203" t="s">
        <v>2452</v>
      </c>
      <c r="T2203" t="s">
        <v>89</v>
      </c>
      <c r="U2203" t="s">
        <v>2453</v>
      </c>
      <c r="V2203" t="s">
        <v>137</v>
      </c>
      <c r="W2203" t="s">
        <v>92</v>
      </c>
      <c r="Y2203" t="s">
        <v>38</v>
      </c>
      <c r="AA2203" t="s">
        <v>38</v>
      </c>
      <c r="AB2203" t="s">
        <v>38</v>
      </c>
      <c r="AC2203" t="s">
        <v>38</v>
      </c>
      <c r="AD2203" t="s">
        <v>48</v>
      </c>
      <c r="AG2203" t="str">
        <f>IF(AD2203="United States", IFERROR(INDEX(Sheet2!$C:$C, MATCH(AE2203&amp;AF2203, Sheet2!$E:$E, 0)) &amp; ", " &amp; INDEX(Sheet2!$D:$D, MATCH(AE2203&amp;AF2203, Sheet2!$E:$E, 0)), ""), "-")</f>
        <v/>
      </c>
    </row>
    <row r="2204" spans="1:33" x14ac:dyDescent="0.25">
      <c r="A2204" t="s">
        <v>3648</v>
      </c>
      <c r="D2204" t="s">
        <v>1813</v>
      </c>
      <c r="E2204" t="s">
        <v>1091</v>
      </c>
      <c r="F2204">
        <v>1760</v>
      </c>
      <c r="G2204">
        <v>1093</v>
      </c>
      <c r="H2204">
        <v>45</v>
      </c>
      <c r="J2204" t="s">
        <v>3119</v>
      </c>
      <c r="O2204" t="s">
        <v>41</v>
      </c>
      <c r="R2204" t="s">
        <v>2452</v>
      </c>
      <c r="T2204" t="s">
        <v>89</v>
      </c>
      <c r="U2204" t="s">
        <v>2453</v>
      </c>
      <c r="V2204" t="s">
        <v>137</v>
      </c>
      <c r="W2204" t="s">
        <v>92</v>
      </c>
      <c r="Y2204" t="s">
        <v>38</v>
      </c>
      <c r="AA2204" t="s">
        <v>38</v>
      </c>
      <c r="AB2204" t="s">
        <v>38</v>
      </c>
      <c r="AC2204" t="s">
        <v>38</v>
      </c>
      <c r="AD2204" t="s">
        <v>48</v>
      </c>
      <c r="AG2204" t="str">
        <f>IF(AD2204="United States", IFERROR(INDEX(Sheet2!$C:$C, MATCH(AE2204&amp;AF2204, Sheet2!$E:$E, 0)) &amp; ", " &amp; INDEX(Sheet2!$D:$D, MATCH(AE2204&amp;AF2204, Sheet2!$E:$E, 0)), ""), "-")</f>
        <v/>
      </c>
    </row>
    <row r="2205" spans="1:33" x14ac:dyDescent="0.25">
      <c r="A2205" t="s">
        <v>3648</v>
      </c>
      <c r="D2205" t="s">
        <v>52</v>
      </c>
      <c r="E2205" t="s">
        <v>1337</v>
      </c>
      <c r="F2205">
        <v>1755</v>
      </c>
      <c r="G2205">
        <v>1094</v>
      </c>
      <c r="H2205">
        <v>45</v>
      </c>
      <c r="J2205" t="s">
        <v>3119</v>
      </c>
      <c r="O2205" t="s">
        <v>57</v>
      </c>
      <c r="R2205" t="s">
        <v>2452</v>
      </c>
      <c r="T2205" t="s">
        <v>89</v>
      </c>
      <c r="U2205" t="s">
        <v>2453</v>
      </c>
      <c r="V2205" t="s">
        <v>137</v>
      </c>
      <c r="W2205" t="s">
        <v>92</v>
      </c>
      <c r="Y2205" t="s">
        <v>38</v>
      </c>
      <c r="AA2205" t="s">
        <v>38</v>
      </c>
      <c r="AB2205" t="s">
        <v>38</v>
      </c>
      <c r="AC2205" t="s">
        <v>38</v>
      </c>
      <c r="AD2205" t="s">
        <v>48</v>
      </c>
      <c r="AG2205" t="str">
        <f>IF(AD2205="United States", IFERROR(INDEX(Sheet2!$C:$C, MATCH(AE2205&amp;AF2205, Sheet2!$E:$E, 0)) &amp; ", " &amp; INDEX(Sheet2!$D:$D, MATCH(AE2205&amp;AF2205, Sheet2!$E:$E, 0)), ""), "-")</f>
        <v/>
      </c>
    </row>
    <row r="2206" spans="1:33" x14ac:dyDescent="0.25">
      <c r="A2206" t="s">
        <v>3648</v>
      </c>
      <c r="D2206" t="s">
        <v>235</v>
      </c>
      <c r="E2206" t="s">
        <v>1337</v>
      </c>
      <c r="F2206">
        <v>1781</v>
      </c>
      <c r="G2206">
        <v>1095</v>
      </c>
      <c r="H2206">
        <v>45</v>
      </c>
      <c r="J2206" t="s">
        <v>3119</v>
      </c>
      <c r="O2206" t="s">
        <v>74</v>
      </c>
      <c r="R2206" t="s">
        <v>2452</v>
      </c>
      <c r="T2206" t="s">
        <v>89</v>
      </c>
      <c r="U2206" t="s">
        <v>2453</v>
      </c>
      <c r="V2206" t="s">
        <v>137</v>
      </c>
      <c r="W2206" t="s">
        <v>92</v>
      </c>
      <c r="Y2206" t="s">
        <v>38</v>
      </c>
      <c r="AA2206" t="s">
        <v>38</v>
      </c>
      <c r="AB2206" t="s">
        <v>38</v>
      </c>
      <c r="AC2206" t="s">
        <v>38</v>
      </c>
      <c r="AD2206" t="s">
        <v>48</v>
      </c>
      <c r="AG2206" t="str">
        <f>IF(AD2206="United States", IFERROR(INDEX(Sheet2!$C:$C, MATCH(AE2206&amp;AF2206, Sheet2!$E:$E, 0)) &amp; ", " &amp; INDEX(Sheet2!$D:$D, MATCH(AE2206&amp;AF2206, Sheet2!$E:$E, 0)), ""), "-")</f>
        <v/>
      </c>
    </row>
    <row r="2207" spans="1:33" x14ac:dyDescent="0.25">
      <c r="A2207" t="s">
        <v>3648</v>
      </c>
      <c r="D2207" t="s">
        <v>650</v>
      </c>
      <c r="E2207" t="s">
        <v>1337</v>
      </c>
      <c r="F2207" t="s">
        <v>38</v>
      </c>
      <c r="G2207">
        <v>1096</v>
      </c>
      <c r="H2207">
        <v>45</v>
      </c>
      <c r="J2207" t="s">
        <v>3119</v>
      </c>
      <c r="O2207" t="s">
        <v>74</v>
      </c>
      <c r="R2207" t="s">
        <v>2452</v>
      </c>
      <c r="T2207" t="s">
        <v>89</v>
      </c>
      <c r="U2207" t="s">
        <v>2453</v>
      </c>
      <c r="V2207" t="s">
        <v>137</v>
      </c>
      <c r="W2207" t="s">
        <v>92</v>
      </c>
      <c r="Y2207" t="s">
        <v>38</v>
      </c>
      <c r="AA2207" t="s">
        <v>38</v>
      </c>
      <c r="AB2207" t="s">
        <v>38</v>
      </c>
      <c r="AC2207" t="s">
        <v>38</v>
      </c>
      <c r="AD2207" t="s">
        <v>48</v>
      </c>
      <c r="AG2207" t="str">
        <f>IF(AD2207="United States", IFERROR(INDEX(Sheet2!$C:$C, MATCH(AE2207&amp;AF2207, Sheet2!$E:$E, 0)) &amp; ", " &amp; INDEX(Sheet2!$D:$D, MATCH(AE2207&amp;AF2207, Sheet2!$E:$E, 0)), ""), "-")</f>
        <v/>
      </c>
    </row>
    <row r="2208" spans="1:33" x14ac:dyDescent="0.25">
      <c r="A2208" t="s">
        <v>3648</v>
      </c>
      <c r="D2208" t="s">
        <v>195</v>
      </c>
      <c r="E2208" t="s">
        <v>1854</v>
      </c>
      <c r="F2208">
        <v>1750</v>
      </c>
      <c r="G2208">
        <v>1097</v>
      </c>
      <c r="H2208">
        <v>45</v>
      </c>
      <c r="J2208" t="s">
        <v>3119</v>
      </c>
      <c r="O2208" t="s">
        <v>41</v>
      </c>
      <c r="R2208" t="s">
        <v>2452</v>
      </c>
      <c r="T2208" t="s">
        <v>89</v>
      </c>
      <c r="U2208" t="s">
        <v>2453</v>
      </c>
      <c r="V2208" t="s">
        <v>137</v>
      </c>
      <c r="W2208" t="s">
        <v>92</v>
      </c>
      <c r="Y2208" t="s">
        <v>38</v>
      </c>
      <c r="AA2208" t="s">
        <v>38</v>
      </c>
      <c r="AB2208" t="s">
        <v>38</v>
      </c>
      <c r="AC2208" t="s">
        <v>38</v>
      </c>
      <c r="AD2208" t="s">
        <v>48</v>
      </c>
      <c r="AG2208" t="str">
        <f>IF(AD2208="United States", IFERROR(INDEX(Sheet2!$C:$C, MATCH(AE2208&amp;AF2208, Sheet2!$E:$E, 0)) &amp; ", " &amp; INDEX(Sheet2!$D:$D, MATCH(AE2208&amp;AF2208, Sheet2!$E:$E, 0)), ""), "-")</f>
        <v/>
      </c>
    </row>
    <row r="2209" spans="1:33" x14ac:dyDescent="0.25">
      <c r="A2209" t="s">
        <v>3648</v>
      </c>
      <c r="D2209" t="s">
        <v>101</v>
      </c>
      <c r="E2209" t="s">
        <v>2943</v>
      </c>
      <c r="F2209">
        <v>1760</v>
      </c>
      <c r="G2209">
        <v>1560</v>
      </c>
      <c r="H2209">
        <v>55</v>
      </c>
      <c r="J2209" t="s">
        <v>3119</v>
      </c>
      <c r="O2209" t="s">
        <v>41</v>
      </c>
      <c r="R2209" t="s">
        <v>2452</v>
      </c>
      <c r="T2209" t="s">
        <v>89</v>
      </c>
      <c r="U2209" t="s">
        <v>2453</v>
      </c>
      <c r="V2209" t="s">
        <v>137</v>
      </c>
      <c r="W2209" t="s">
        <v>92</v>
      </c>
      <c r="Y2209" t="s">
        <v>38</v>
      </c>
      <c r="AA2209" t="s">
        <v>38</v>
      </c>
      <c r="AB2209" t="s">
        <v>38</v>
      </c>
      <c r="AC2209" t="s">
        <v>38</v>
      </c>
      <c r="AD2209" t="s">
        <v>48</v>
      </c>
      <c r="AG2209" t="str">
        <f>IF(AD2209="United States", IFERROR(INDEX(Sheet2!$C:$C, MATCH(AE2209&amp;AF2209, Sheet2!$E:$E, 0)) &amp; ", " &amp; INDEX(Sheet2!$D:$D, MATCH(AE2209&amp;AF2209, Sheet2!$E:$E, 0)), ""), "-")</f>
        <v/>
      </c>
    </row>
    <row r="2210" spans="1:33" x14ac:dyDescent="0.25">
      <c r="A2210" t="s">
        <v>3648</v>
      </c>
      <c r="D2210" t="s">
        <v>3675</v>
      </c>
      <c r="E2210" t="s">
        <v>246</v>
      </c>
      <c r="F2210">
        <v>1753</v>
      </c>
      <c r="G2210">
        <v>1098</v>
      </c>
      <c r="H2210">
        <v>45</v>
      </c>
      <c r="J2210" t="s">
        <v>3119</v>
      </c>
      <c r="O2210" t="s">
        <v>57</v>
      </c>
      <c r="R2210" t="s">
        <v>2452</v>
      </c>
      <c r="T2210" t="s">
        <v>89</v>
      </c>
      <c r="U2210" t="s">
        <v>2453</v>
      </c>
      <c r="V2210" t="s">
        <v>137</v>
      </c>
      <c r="W2210" t="s">
        <v>92</v>
      </c>
      <c r="Y2210" t="s">
        <v>38</v>
      </c>
      <c r="AA2210" t="s">
        <v>38</v>
      </c>
      <c r="AB2210" t="s">
        <v>38</v>
      </c>
      <c r="AC2210" t="s">
        <v>38</v>
      </c>
      <c r="AD2210" t="s">
        <v>48</v>
      </c>
      <c r="AG2210" t="str">
        <f>IF(AD2210="United States", IFERROR(INDEX(Sheet2!$C:$C, MATCH(AE2210&amp;AF2210, Sheet2!$E:$E, 0)) &amp; ", " &amp; INDEX(Sheet2!$D:$D, MATCH(AE2210&amp;AF2210, Sheet2!$E:$E, 0)), ""), "-")</f>
        <v/>
      </c>
    </row>
    <row r="2211" spans="1:33" x14ac:dyDescent="0.25">
      <c r="A2211" t="s">
        <v>3648</v>
      </c>
      <c r="D2211" t="s">
        <v>106</v>
      </c>
      <c r="E2211" t="s">
        <v>246</v>
      </c>
      <c r="F2211">
        <v>1770</v>
      </c>
      <c r="G2211">
        <v>1099</v>
      </c>
      <c r="H2211">
        <v>45</v>
      </c>
      <c r="J2211" t="s">
        <v>3119</v>
      </c>
      <c r="O2211" t="s">
        <v>54</v>
      </c>
      <c r="R2211" t="s">
        <v>2452</v>
      </c>
      <c r="T2211" t="s">
        <v>89</v>
      </c>
      <c r="U2211" t="s">
        <v>2453</v>
      </c>
      <c r="V2211" t="s">
        <v>137</v>
      </c>
      <c r="W2211" t="s">
        <v>92</v>
      </c>
      <c r="Y2211" t="s">
        <v>38</v>
      </c>
      <c r="AA2211" t="s">
        <v>38</v>
      </c>
      <c r="AB2211" t="s">
        <v>38</v>
      </c>
      <c r="AC2211" t="s">
        <v>38</v>
      </c>
      <c r="AD2211" t="s">
        <v>48</v>
      </c>
      <c r="AG2211" t="str">
        <f>IF(AD2211="United States", IFERROR(INDEX(Sheet2!$C:$C, MATCH(AE2211&amp;AF2211, Sheet2!$E:$E, 0)) &amp; ", " &amp; INDEX(Sheet2!$D:$D, MATCH(AE2211&amp;AF2211, Sheet2!$E:$E, 0)), ""), "-")</f>
        <v/>
      </c>
    </row>
    <row r="2212" spans="1:33" x14ac:dyDescent="0.25">
      <c r="A2212" t="s">
        <v>3648</v>
      </c>
      <c r="D2212" t="s">
        <v>835</v>
      </c>
      <c r="E2212" t="s">
        <v>246</v>
      </c>
      <c r="F2212">
        <v>1776</v>
      </c>
      <c r="G2212">
        <v>1100</v>
      </c>
      <c r="H2212">
        <v>45</v>
      </c>
      <c r="J2212" t="s">
        <v>3119</v>
      </c>
      <c r="O2212" t="s">
        <v>57</v>
      </c>
      <c r="R2212" t="s">
        <v>2452</v>
      </c>
      <c r="T2212" t="s">
        <v>89</v>
      </c>
      <c r="U2212" t="s">
        <v>2453</v>
      </c>
      <c r="V2212" t="s">
        <v>137</v>
      </c>
      <c r="W2212" t="s">
        <v>92</v>
      </c>
      <c r="Y2212" t="s">
        <v>38</v>
      </c>
      <c r="AA2212" t="s">
        <v>38</v>
      </c>
      <c r="AB2212" t="s">
        <v>38</v>
      </c>
      <c r="AC2212" t="s">
        <v>38</v>
      </c>
      <c r="AD2212" t="s">
        <v>48</v>
      </c>
      <c r="AG2212" t="str">
        <f>IF(AD2212="United States", IFERROR(INDEX(Sheet2!$C:$C, MATCH(AE2212&amp;AF2212, Sheet2!$E:$E, 0)) &amp; ", " &amp; INDEX(Sheet2!$D:$D, MATCH(AE2212&amp;AF2212, Sheet2!$E:$E, 0)), ""), "-")</f>
        <v/>
      </c>
    </row>
    <row r="2213" spans="1:33" x14ac:dyDescent="0.25">
      <c r="A2213" t="s">
        <v>3648</v>
      </c>
      <c r="D2213" t="s">
        <v>3676</v>
      </c>
      <c r="E2213" t="s">
        <v>991</v>
      </c>
      <c r="F2213">
        <v>1759</v>
      </c>
      <c r="G2213">
        <v>1101</v>
      </c>
      <c r="H2213">
        <v>45</v>
      </c>
      <c r="J2213" t="s">
        <v>3119</v>
      </c>
      <c r="O2213" t="s">
        <v>41</v>
      </c>
      <c r="R2213" t="s">
        <v>2452</v>
      </c>
      <c r="T2213" t="s">
        <v>89</v>
      </c>
      <c r="U2213" t="s">
        <v>2453</v>
      </c>
      <c r="V2213" t="s">
        <v>137</v>
      </c>
      <c r="W2213" t="s">
        <v>92</v>
      </c>
      <c r="Y2213" t="s">
        <v>38</v>
      </c>
      <c r="AA2213" t="s">
        <v>38</v>
      </c>
      <c r="AB2213" t="s">
        <v>38</v>
      </c>
      <c r="AC2213" t="s">
        <v>38</v>
      </c>
      <c r="AD2213" t="s">
        <v>48</v>
      </c>
      <c r="AG2213" t="str">
        <f>IF(AD2213="United States", IFERROR(INDEX(Sheet2!$C:$C, MATCH(AE2213&amp;AF2213, Sheet2!$E:$E, 0)) &amp; ", " &amp; INDEX(Sheet2!$D:$D, MATCH(AE2213&amp;AF2213, Sheet2!$E:$E, 0)), ""), "-")</f>
        <v/>
      </c>
    </row>
    <row r="2214" spans="1:33" x14ac:dyDescent="0.25">
      <c r="A2214" t="s">
        <v>3648</v>
      </c>
      <c r="D2214" t="s">
        <v>140</v>
      </c>
      <c r="E2214" t="s">
        <v>991</v>
      </c>
      <c r="F2214">
        <v>1759</v>
      </c>
      <c r="G2214">
        <v>1102</v>
      </c>
      <c r="H2214">
        <v>45</v>
      </c>
      <c r="J2214" t="s">
        <v>3119</v>
      </c>
      <c r="O2214" t="s">
        <v>57</v>
      </c>
      <c r="R2214" t="s">
        <v>2452</v>
      </c>
      <c r="T2214" t="s">
        <v>89</v>
      </c>
      <c r="U2214" t="s">
        <v>2453</v>
      </c>
      <c r="V2214" t="s">
        <v>137</v>
      </c>
      <c r="W2214" t="s">
        <v>92</v>
      </c>
      <c r="Y2214" t="s">
        <v>38</v>
      </c>
      <c r="AA2214" t="s">
        <v>38</v>
      </c>
      <c r="AB2214" t="s">
        <v>38</v>
      </c>
      <c r="AC2214" t="s">
        <v>38</v>
      </c>
      <c r="AD2214" t="s">
        <v>48</v>
      </c>
      <c r="AG2214" t="str">
        <f>IF(AD2214="United States", IFERROR(INDEX(Sheet2!$C:$C, MATCH(AE2214&amp;AF2214, Sheet2!$E:$E, 0)) &amp; ", " &amp; INDEX(Sheet2!$D:$D, MATCH(AE2214&amp;AF2214, Sheet2!$E:$E, 0)), ""), "-")</f>
        <v/>
      </c>
    </row>
    <row r="2215" spans="1:33" x14ac:dyDescent="0.25">
      <c r="A2215" t="s">
        <v>3648</v>
      </c>
      <c r="D2215" t="s">
        <v>50</v>
      </c>
      <c r="E2215" t="s">
        <v>991</v>
      </c>
      <c r="F2215" t="s">
        <v>38</v>
      </c>
      <c r="G2215">
        <v>1103</v>
      </c>
      <c r="H2215">
        <v>46</v>
      </c>
      <c r="J2215" t="s">
        <v>3119</v>
      </c>
      <c r="O2215" t="s">
        <v>74</v>
      </c>
      <c r="R2215" t="s">
        <v>2452</v>
      </c>
      <c r="T2215" t="s">
        <v>89</v>
      </c>
      <c r="U2215" t="s">
        <v>2453</v>
      </c>
      <c r="V2215" t="s">
        <v>137</v>
      </c>
      <c r="W2215" t="s">
        <v>92</v>
      </c>
      <c r="Y2215" t="s">
        <v>38</v>
      </c>
      <c r="AA2215" t="s">
        <v>38</v>
      </c>
      <c r="AB2215" t="s">
        <v>38</v>
      </c>
      <c r="AC2215" t="s">
        <v>38</v>
      </c>
      <c r="AD2215" t="s">
        <v>48</v>
      </c>
      <c r="AG2215" t="str">
        <f>IF(AD2215="United States", IFERROR(INDEX(Sheet2!$C:$C, MATCH(AE2215&amp;AF2215, Sheet2!$E:$E, 0)) &amp; ", " &amp; INDEX(Sheet2!$D:$D, MATCH(AE2215&amp;AF2215, Sheet2!$E:$E, 0)), ""), "-")</f>
        <v/>
      </c>
    </row>
    <row r="2216" spans="1:33" x14ac:dyDescent="0.25">
      <c r="A2216" t="s">
        <v>3648</v>
      </c>
      <c r="D2216" t="s">
        <v>62</v>
      </c>
      <c r="E2216" t="s">
        <v>3360</v>
      </c>
      <c r="F2216">
        <v>1761</v>
      </c>
      <c r="G2216">
        <v>1104</v>
      </c>
      <c r="H2216">
        <v>46</v>
      </c>
      <c r="J2216" t="s">
        <v>3119</v>
      </c>
      <c r="O2216" t="s">
        <v>41</v>
      </c>
      <c r="R2216" t="s">
        <v>2452</v>
      </c>
      <c r="T2216" t="s">
        <v>89</v>
      </c>
      <c r="U2216" t="s">
        <v>2453</v>
      </c>
      <c r="V2216" t="s">
        <v>137</v>
      </c>
      <c r="W2216" t="s">
        <v>92</v>
      </c>
      <c r="Y2216" t="s">
        <v>38</v>
      </c>
      <c r="AA2216" t="s">
        <v>38</v>
      </c>
      <c r="AB2216" t="s">
        <v>38</v>
      </c>
      <c r="AC2216" t="s">
        <v>38</v>
      </c>
      <c r="AD2216" t="s">
        <v>48</v>
      </c>
      <c r="AG2216" t="str">
        <f>IF(AD2216="United States", IFERROR(INDEX(Sheet2!$C:$C, MATCH(AE2216&amp;AF2216, Sheet2!$E:$E, 0)) &amp; ", " &amp; INDEX(Sheet2!$D:$D, MATCH(AE2216&amp;AF2216, Sheet2!$E:$E, 0)), ""), "-")</f>
        <v/>
      </c>
    </row>
    <row r="2217" spans="1:33" x14ac:dyDescent="0.25">
      <c r="A2217" t="s">
        <v>3648</v>
      </c>
      <c r="D2217" t="s">
        <v>50</v>
      </c>
      <c r="E2217" t="s">
        <v>3362</v>
      </c>
      <c r="F2217">
        <v>1763</v>
      </c>
      <c r="G2217">
        <v>1105</v>
      </c>
      <c r="H2217">
        <v>46</v>
      </c>
      <c r="J2217" t="s">
        <v>3119</v>
      </c>
      <c r="O2217" t="s">
        <v>57</v>
      </c>
      <c r="R2217" t="s">
        <v>2452</v>
      </c>
      <c r="T2217" t="s">
        <v>89</v>
      </c>
      <c r="U2217" t="s">
        <v>2453</v>
      </c>
      <c r="V2217" t="s">
        <v>137</v>
      </c>
      <c r="W2217" t="s">
        <v>92</v>
      </c>
      <c r="Y2217" t="s">
        <v>38</v>
      </c>
      <c r="AA2217" t="s">
        <v>38</v>
      </c>
      <c r="AB2217" t="s">
        <v>38</v>
      </c>
      <c r="AC2217" t="s">
        <v>38</v>
      </c>
      <c r="AD2217" t="s">
        <v>48</v>
      </c>
      <c r="AG2217" t="str">
        <f>IF(AD2217="United States", IFERROR(INDEX(Sheet2!$C:$C, MATCH(AE2217&amp;AF2217, Sheet2!$E:$E, 0)) &amp; ", " &amp; INDEX(Sheet2!$D:$D, MATCH(AE2217&amp;AF2217, Sheet2!$E:$E, 0)), ""), "-")</f>
        <v/>
      </c>
    </row>
    <row r="2218" spans="1:33" x14ac:dyDescent="0.25">
      <c r="A2218" t="s">
        <v>3648</v>
      </c>
      <c r="D2218" t="s">
        <v>210</v>
      </c>
      <c r="E2218" t="s">
        <v>3362</v>
      </c>
      <c r="F2218" t="s">
        <v>38</v>
      </c>
      <c r="G2218">
        <v>1106</v>
      </c>
      <c r="H2218">
        <v>46</v>
      </c>
      <c r="J2218" t="s">
        <v>3119</v>
      </c>
      <c r="O2218" t="s">
        <v>54</v>
      </c>
      <c r="R2218" t="s">
        <v>2452</v>
      </c>
      <c r="T2218" t="s">
        <v>89</v>
      </c>
      <c r="U2218" t="s">
        <v>2453</v>
      </c>
      <c r="V2218" t="s">
        <v>137</v>
      </c>
      <c r="W2218" t="s">
        <v>92</v>
      </c>
      <c r="Y2218" t="s">
        <v>38</v>
      </c>
      <c r="AA2218" t="s">
        <v>38</v>
      </c>
      <c r="AB2218" t="s">
        <v>38</v>
      </c>
      <c r="AC2218" t="s">
        <v>38</v>
      </c>
      <c r="AD2218" t="s">
        <v>48</v>
      </c>
      <c r="AG2218" t="str">
        <f>IF(AD2218="United States", IFERROR(INDEX(Sheet2!$C:$C, MATCH(AE2218&amp;AF2218, Sheet2!$E:$E, 0)) &amp; ", " &amp; INDEX(Sheet2!$D:$D, MATCH(AE2218&amp;AF2218, Sheet2!$E:$E, 0)), ""), "-")</f>
        <v/>
      </c>
    </row>
    <row r="2219" spans="1:33" x14ac:dyDescent="0.25">
      <c r="A2219" t="s">
        <v>3648</v>
      </c>
      <c r="D2219" t="s">
        <v>3367</v>
      </c>
      <c r="E2219" t="s">
        <v>3368</v>
      </c>
      <c r="F2219">
        <v>1761</v>
      </c>
      <c r="G2219">
        <v>1107</v>
      </c>
      <c r="H2219">
        <v>46</v>
      </c>
      <c r="J2219" t="s">
        <v>3119</v>
      </c>
      <c r="O2219" t="s">
        <v>41</v>
      </c>
      <c r="R2219" t="s">
        <v>2452</v>
      </c>
      <c r="T2219" t="s">
        <v>89</v>
      </c>
      <c r="U2219" t="s">
        <v>2453</v>
      </c>
      <c r="V2219" t="s">
        <v>137</v>
      </c>
      <c r="W2219" t="s">
        <v>92</v>
      </c>
      <c r="Y2219" t="s">
        <v>38</v>
      </c>
      <c r="AA2219" t="s">
        <v>38</v>
      </c>
      <c r="AB2219" t="s">
        <v>38</v>
      </c>
      <c r="AC2219" t="s">
        <v>38</v>
      </c>
      <c r="AD2219" t="s">
        <v>48</v>
      </c>
      <c r="AG2219" t="str">
        <f>IF(AD2219="United States", IFERROR(INDEX(Sheet2!$C:$C, MATCH(AE2219&amp;AF2219, Sheet2!$E:$E, 0)) &amp; ", " &amp; INDEX(Sheet2!$D:$D, MATCH(AE2219&amp;AF2219, Sheet2!$E:$E, 0)), ""), "-")</f>
        <v/>
      </c>
    </row>
    <row r="2220" spans="1:33" x14ac:dyDescent="0.25">
      <c r="A2220" t="s">
        <v>3648</v>
      </c>
      <c r="D2220" t="s">
        <v>193</v>
      </c>
      <c r="E2220" t="s">
        <v>3371</v>
      </c>
      <c r="F2220">
        <v>1743</v>
      </c>
      <c r="G2220">
        <v>1108</v>
      </c>
      <c r="H2220">
        <v>46</v>
      </c>
      <c r="J2220" t="s">
        <v>3119</v>
      </c>
      <c r="O2220" t="s">
        <v>41</v>
      </c>
      <c r="R2220" t="s">
        <v>2452</v>
      </c>
      <c r="T2220" t="s">
        <v>89</v>
      </c>
      <c r="U2220" t="s">
        <v>2453</v>
      </c>
      <c r="V2220" t="s">
        <v>137</v>
      </c>
      <c r="W2220" t="s">
        <v>92</v>
      </c>
      <c r="Y2220" t="s">
        <v>38</v>
      </c>
      <c r="AA2220" t="s">
        <v>38</v>
      </c>
      <c r="AB2220" t="s">
        <v>38</v>
      </c>
      <c r="AC2220" t="s">
        <v>38</v>
      </c>
      <c r="AD2220" t="s">
        <v>48</v>
      </c>
      <c r="AG2220" t="str">
        <f>IF(AD2220="United States", IFERROR(INDEX(Sheet2!$C:$C, MATCH(AE2220&amp;AF2220, Sheet2!$E:$E, 0)) &amp; ", " &amp; INDEX(Sheet2!$D:$D, MATCH(AE2220&amp;AF2220, Sheet2!$E:$E, 0)), ""), "-")</f>
        <v/>
      </c>
    </row>
    <row r="2221" spans="1:33" x14ac:dyDescent="0.25">
      <c r="A2221" t="s">
        <v>3648</v>
      </c>
      <c r="D2221" t="s">
        <v>50</v>
      </c>
      <c r="E2221" t="s">
        <v>3371</v>
      </c>
      <c r="F2221">
        <v>1748</v>
      </c>
      <c r="G2221">
        <v>1109</v>
      </c>
      <c r="H2221">
        <v>46</v>
      </c>
      <c r="J2221" t="s">
        <v>3119</v>
      </c>
      <c r="O2221" t="s">
        <v>57</v>
      </c>
      <c r="R2221" t="s">
        <v>2452</v>
      </c>
      <c r="T2221" t="s">
        <v>89</v>
      </c>
      <c r="U2221" t="s">
        <v>2453</v>
      </c>
      <c r="V2221" t="s">
        <v>137</v>
      </c>
      <c r="W2221" t="s">
        <v>92</v>
      </c>
      <c r="Y2221" t="s">
        <v>38</v>
      </c>
      <c r="AA2221" t="s">
        <v>38</v>
      </c>
      <c r="AB2221" t="s">
        <v>38</v>
      </c>
      <c r="AC2221" t="s">
        <v>38</v>
      </c>
      <c r="AD2221" t="s">
        <v>48</v>
      </c>
      <c r="AG2221" t="str">
        <f>IF(AD2221="United States", IFERROR(INDEX(Sheet2!$C:$C, MATCH(AE2221&amp;AF2221, Sheet2!$E:$E, 0)) &amp; ", " &amp; INDEX(Sheet2!$D:$D, MATCH(AE2221&amp;AF2221, Sheet2!$E:$E, 0)), ""), "-")</f>
        <v/>
      </c>
    </row>
    <row r="2222" spans="1:33" x14ac:dyDescent="0.25">
      <c r="A2222" t="s">
        <v>3648</v>
      </c>
      <c r="D2222" t="s">
        <v>36</v>
      </c>
      <c r="E2222" t="s">
        <v>3434</v>
      </c>
      <c r="F2222">
        <v>1738</v>
      </c>
      <c r="G2222">
        <v>1088</v>
      </c>
      <c r="H2222">
        <v>45</v>
      </c>
      <c r="J2222" t="s">
        <v>3119</v>
      </c>
      <c r="O2222" t="s">
        <v>41</v>
      </c>
      <c r="R2222" t="s">
        <v>2452</v>
      </c>
      <c r="T2222" t="s">
        <v>89</v>
      </c>
      <c r="U2222" t="s">
        <v>2453</v>
      </c>
      <c r="V2222" t="s">
        <v>137</v>
      </c>
      <c r="W2222" t="s">
        <v>92</v>
      </c>
      <c r="Y2222" t="s">
        <v>38</v>
      </c>
      <c r="AA2222" t="s">
        <v>38</v>
      </c>
      <c r="AB2222" t="s">
        <v>38</v>
      </c>
      <c r="AC2222" t="s">
        <v>38</v>
      </c>
      <c r="AD2222" t="s">
        <v>48</v>
      </c>
      <c r="AG2222" t="str">
        <f>IF(AD2222="United States", IFERROR(INDEX(Sheet2!$C:$C, MATCH(AE2222&amp;AF2222, Sheet2!$E:$E, 0)) &amp; ", " &amp; INDEX(Sheet2!$D:$D, MATCH(AE2222&amp;AF2222, Sheet2!$E:$E, 0)), ""), "-")</f>
        <v/>
      </c>
    </row>
    <row r="2223" spans="1:33" x14ac:dyDescent="0.25">
      <c r="A2223" t="s">
        <v>3648</v>
      </c>
      <c r="D2223" t="s">
        <v>3677</v>
      </c>
      <c r="E2223" t="s">
        <v>3287</v>
      </c>
      <c r="F2223">
        <v>1738</v>
      </c>
      <c r="G2223">
        <v>1448</v>
      </c>
      <c r="H2223">
        <v>53</v>
      </c>
      <c r="J2223" t="s">
        <v>3119</v>
      </c>
      <c r="O2223" t="s">
        <v>57</v>
      </c>
      <c r="R2223" t="s">
        <v>2452</v>
      </c>
      <c r="T2223" t="s">
        <v>89</v>
      </c>
      <c r="U2223" t="s">
        <v>2453</v>
      </c>
      <c r="V2223" t="s">
        <v>137</v>
      </c>
      <c r="W2223" t="s">
        <v>92</v>
      </c>
      <c r="Y2223" t="s">
        <v>38</v>
      </c>
      <c r="AA2223" t="s">
        <v>38</v>
      </c>
      <c r="AB2223" t="s">
        <v>38</v>
      </c>
      <c r="AC2223" t="s">
        <v>38</v>
      </c>
      <c r="AD2223" t="s">
        <v>48</v>
      </c>
      <c r="AG2223" t="str">
        <f>IF(AD2223="United States", IFERROR(INDEX(Sheet2!$C:$C, MATCH(AE2223&amp;AF2223, Sheet2!$E:$E, 0)) &amp; ", " &amp; INDEX(Sheet2!$D:$D, MATCH(AE2223&amp;AF2223, Sheet2!$E:$E, 0)), ""), "-")</f>
        <v/>
      </c>
    </row>
    <row r="2224" spans="1:33" x14ac:dyDescent="0.25">
      <c r="A2224" t="s">
        <v>3648</v>
      </c>
      <c r="D2224" t="s">
        <v>1116</v>
      </c>
      <c r="E2224" t="s">
        <v>1941</v>
      </c>
      <c r="F2224">
        <v>1758</v>
      </c>
      <c r="G2224">
        <v>1559</v>
      </c>
      <c r="H2224">
        <v>55</v>
      </c>
      <c r="J2224" t="s">
        <v>3119</v>
      </c>
      <c r="O2224" t="s">
        <v>41</v>
      </c>
      <c r="R2224" t="s">
        <v>2452</v>
      </c>
      <c r="T2224" t="s">
        <v>89</v>
      </c>
      <c r="U2224" t="s">
        <v>2453</v>
      </c>
      <c r="V2224" t="s">
        <v>137</v>
      </c>
      <c r="W2224" t="s">
        <v>92</v>
      </c>
      <c r="Y2224" t="s">
        <v>38</v>
      </c>
      <c r="AA2224" t="s">
        <v>38</v>
      </c>
      <c r="AB2224" t="s">
        <v>38</v>
      </c>
      <c r="AC2224" t="s">
        <v>38</v>
      </c>
      <c r="AD2224" t="s">
        <v>48</v>
      </c>
      <c r="AG2224" t="str">
        <f>IF(AD2224="United States", IFERROR(INDEX(Sheet2!$C:$C, MATCH(AE2224&amp;AF2224, Sheet2!$E:$E, 0)) &amp; ", " &amp; INDEX(Sheet2!$D:$D, MATCH(AE2224&amp;AF2224, Sheet2!$E:$E, 0)), ""), "-")</f>
        <v/>
      </c>
    </row>
    <row r="2225" spans="1:33" x14ac:dyDescent="0.25">
      <c r="A2225" t="s">
        <v>3648</v>
      </c>
      <c r="D2225" t="s">
        <v>226</v>
      </c>
      <c r="E2225" t="s">
        <v>2794</v>
      </c>
      <c r="F2225">
        <v>1755</v>
      </c>
      <c r="G2225">
        <v>1481</v>
      </c>
      <c r="H2225">
        <v>54</v>
      </c>
      <c r="J2225" t="s">
        <v>3119</v>
      </c>
      <c r="O2225" t="s">
        <v>41</v>
      </c>
      <c r="R2225" t="s">
        <v>2452</v>
      </c>
      <c r="T2225" t="s">
        <v>89</v>
      </c>
      <c r="U2225" t="s">
        <v>2453</v>
      </c>
      <c r="V2225" t="s">
        <v>137</v>
      </c>
      <c r="W2225" t="s">
        <v>92</v>
      </c>
      <c r="Y2225" t="s">
        <v>38</v>
      </c>
      <c r="AA2225" t="s">
        <v>38</v>
      </c>
      <c r="AB2225" t="s">
        <v>38</v>
      </c>
      <c r="AC2225" t="s">
        <v>38</v>
      </c>
      <c r="AD2225" t="s">
        <v>48</v>
      </c>
      <c r="AG2225" t="str">
        <f>IF(AD2225="United States", IFERROR(INDEX(Sheet2!$C:$C, MATCH(AE2225&amp;AF2225, Sheet2!$E:$E, 0)) &amp; ", " &amp; INDEX(Sheet2!$D:$D, MATCH(AE2225&amp;AF2225, Sheet2!$E:$E, 0)), ""), "-")</f>
        <v/>
      </c>
    </row>
    <row r="2226" spans="1:33" x14ac:dyDescent="0.25">
      <c r="A2226" t="s">
        <v>3648</v>
      </c>
      <c r="D2226" t="s">
        <v>3137</v>
      </c>
      <c r="E2226" t="s">
        <v>3678</v>
      </c>
      <c r="F2226">
        <v>1760</v>
      </c>
      <c r="G2226">
        <v>1480</v>
      </c>
      <c r="H2226">
        <v>54</v>
      </c>
      <c r="J2226" t="s">
        <v>3119</v>
      </c>
      <c r="O2226" t="s">
        <v>41</v>
      </c>
      <c r="R2226" t="s">
        <v>2452</v>
      </c>
      <c r="T2226" t="s">
        <v>89</v>
      </c>
      <c r="U2226" t="s">
        <v>2453</v>
      </c>
      <c r="V2226" t="s">
        <v>137</v>
      </c>
      <c r="W2226" t="s">
        <v>92</v>
      </c>
      <c r="Y2226" t="s">
        <v>38</v>
      </c>
      <c r="AA2226" t="s">
        <v>38</v>
      </c>
      <c r="AB2226" t="s">
        <v>38</v>
      </c>
      <c r="AC2226" t="s">
        <v>38</v>
      </c>
      <c r="AD2226" t="s">
        <v>48</v>
      </c>
      <c r="AG2226" t="str">
        <f>IF(AD2226="United States", IFERROR(INDEX(Sheet2!$C:$C, MATCH(AE2226&amp;AF2226, Sheet2!$E:$E, 0)) &amp; ", " &amp; INDEX(Sheet2!$D:$D, MATCH(AE2226&amp;AF2226, Sheet2!$E:$E, 0)), ""), "-")</f>
        <v/>
      </c>
    </row>
    <row r="2227" spans="1:33" x14ac:dyDescent="0.25">
      <c r="A2227" t="s">
        <v>3648</v>
      </c>
      <c r="D2227" t="s">
        <v>50</v>
      </c>
      <c r="E2227" t="s">
        <v>3547</v>
      </c>
      <c r="F2227">
        <v>1758</v>
      </c>
      <c r="G2227">
        <v>1502</v>
      </c>
      <c r="H2227">
        <v>54</v>
      </c>
      <c r="J2227" t="s">
        <v>3119</v>
      </c>
      <c r="O2227" t="s">
        <v>57</v>
      </c>
      <c r="R2227" t="s">
        <v>2452</v>
      </c>
      <c r="T2227" t="s">
        <v>89</v>
      </c>
      <c r="U2227" t="s">
        <v>2453</v>
      </c>
      <c r="V2227" t="s">
        <v>137</v>
      </c>
      <c r="W2227" t="s">
        <v>92</v>
      </c>
      <c r="Y2227" t="s">
        <v>38</v>
      </c>
      <c r="AA2227" t="s">
        <v>38</v>
      </c>
      <c r="AB2227" t="s">
        <v>38</v>
      </c>
      <c r="AC2227" t="s">
        <v>38</v>
      </c>
      <c r="AD2227" t="s">
        <v>48</v>
      </c>
      <c r="AG2227" t="str">
        <f>IF(AD2227="United States", IFERROR(INDEX(Sheet2!$C:$C, MATCH(AE2227&amp;AF2227, Sheet2!$E:$E, 0)) &amp; ", " &amp; INDEX(Sheet2!$D:$D, MATCH(AE2227&amp;AF2227, Sheet2!$E:$E, 0)), ""), "-")</f>
        <v/>
      </c>
    </row>
    <row r="2228" spans="1:33" x14ac:dyDescent="0.25">
      <c r="A2228" t="s">
        <v>3648</v>
      </c>
      <c r="D2228" t="s">
        <v>495</v>
      </c>
      <c r="E2228" t="s">
        <v>38</v>
      </c>
      <c r="F2228">
        <v>1743</v>
      </c>
      <c r="G2228">
        <v>1503</v>
      </c>
      <c r="H2228">
        <v>54</v>
      </c>
      <c r="J2228" t="s">
        <v>3119</v>
      </c>
      <c r="O2228" t="s">
        <v>57</v>
      </c>
      <c r="R2228" t="s">
        <v>2452</v>
      </c>
      <c r="T2228" t="s">
        <v>89</v>
      </c>
      <c r="U2228" t="s">
        <v>2453</v>
      </c>
      <c r="V2228" t="s">
        <v>137</v>
      </c>
      <c r="W2228" t="s">
        <v>92</v>
      </c>
      <c r="Y2228" t="s">
        <v>38</v>
      </c>
      <c r="AA2228" t="s">
        <v>38</v>
      </c>
      <c r="AB2228" t="s">
        <v>38</v>
      </c>
      <c r="AC2228" t="s">
        <v>38</v>
      </c>
      <c r="AD2228" t="s">
        <v>48</v>
      </c>
      <c r="AG2228" t="str">
        <f>IF(AD2228="United States", IFERROR(INDEX(Sheet2!$C:$C, MATCH(AE2228&amp;AF2228, Sheet2!$E:$E, 0)) &amp; ", " &amp; INDEX(Sheet2!$D:$D, MATCH(AE2228&amp;AF2228, Sheet2!$E:$E, 0)), ""), "-")</f>
        <v/>
      </c>
    </row>
    <row r="2229" spans="1:33" x14ac:dyDescent="0.25">
      <c r="A2229" t="s">
        <v>3648</v>
      </c>
      <c r="D2229" t="s">
        <v>1164</v>
      </c>
      <c r="E2229" t="s">
        <v>624</v>
      </c>
      <c r="F2229">
        <v>1757</v>
      </c>
      <c r="G2229">
        <v>1504</v>
      </c>
      <c r="H2229">
        <v>54</v>
      </c>
      <c r="J2229" t="s">
        <v>3119</v>
      </c>
      <c r="O2229" t="s">
        <v>57</v>
      </c>
      <c r="R2229" t="s">
        <v>2452</v>
      </c>
      <c r="T2229" t="s">
        <v>89</v>
      </c>
      <c r="U2229" t="s">
        <v>2453</v>
      </c>
      <c r="V2229" t="s">
        <v>137</v>
      </c>
      <c r="W2229" t="s">
        <v>92</v>
      </c>
      <c r="Y2229" t="s">
        <v>38</v>
      </c>
      <c r="AA2229" t="s">
        <v>38</v>
      </c>
      <c r="AB2229" t="s">
        <v>38</v>
      </c>
      <c r="AC2229" t="s">
        <v>38</v>
      </c>
      <c r="AD2229" t="s">
        <v>48</v>
      </c>
      <c r="AG2229" t="str">
        <f>IF(AD2229="United States", IFERROR(INDEX(Sheet2!$C:$C, MATCH(AE2229&amp;AF2229, Sheet2!$E:$E, 0)) &amp; ", " &amp; INDEX(Sheet2!$D:$D, MATCH(AE2229&amp;AF2229, Sheet2!$E:$E, 0)), ""), "-")</f>
        <v/>
      </c>
    </row>
    <row r="2230" spans="1:33" x14ac:dyDescent="0.25">
      <c r="A2230" t="s">
        <v>3648</v>
      </c>
      <c r="D2230" t="s">
        <v>181</v>
      </c>
      <c r="E2230" t="s">
        <v>624</v>
      </c>
      <c r="F2230" t="s">
        <v>38</v>
      </c>
      <c r="G2230">
        <v>1505</v>
      </c>
      <c r="H2230">
        <v>54</v>
      </c>
      <c r="J2230" t="s">
        <v>3119</v>
      </c>
      <c r="O2230" t="s">
        <v>183</v>
      </c>
      <c r="R2230" t="s">
        <v>2452</v>
      </c>
      <c r="T2230" t="s">
        <v>89</v>
      </c>
      <c r="U2230" t="s">
        <v>2453</v>
      </c>
      <c r="V2230" t="s">
        <v>137</v>
      </c>
      <c r="W2230" t="s">
        <v>92</v>
      </c>
      <c r="Y2230" t="s">
        <v>38</v>
      </c>
      <c r="AA2230" t="s">
        <v>38</v>
      </c>
      <c r="AB2230" t="s">
        <v>38</v>
      </c>
      <c r="AC2230" t="s">
        <v>38</v>
      </c>
      <c r="AD2230" t="s">
        <v>48</v>
      </c>
      <c r="AG2230" t="str">
        <f>IF(AD2230="United States", IFERROR(INDEX(Sheet2!$C:$C, MATCH(AE2230&amp;AF2230, Sheet2!$E:$E, 0)) &amp; ", " &amp; INDEX(Sheet2!$D:$D, MATCH(AE2230&amp;AF2230, Sheet2!$E:$E, 0)), ""), "-")</f>
        <v/>
      </c>
    </row>
    <row r="2231" spans="1:33" x14ac:dyDescent="0.25">
      <c r="A2231" t="s">
        <v>3648</v>
      </c>
      <c r="D2231" t="s">
        <v>222</v>
      </c>
      <c r="E2231" t="s">
        <v>2379</v>
      </c>
      <c r="F2231">
        <v>1748</v>
      </c>
      <c r="G2231">
        <v>1506</v>
      </c>
      <c r="H2231">
        <v>54</v>
      </c>
      <c r="J2231" t="s">
        <v>3119</v>
      </c>
      <c r="O2231" t="s">
        <v>57</v>
      </c>
      <c r="R2231" t="s">
        <v>2452</v>
      </c>
      <c r="T2231" t="s">
        <v>89</v>
      </c>
      <c r="U2231" t="s">
        <v>2453</v>
      </c>
      <c r="V2231" t="s">
        <v>137</v>
      </c>
      <c r="W2231" t="s">
        <v>92</v>
      </c>
      <c r="Y2231" t="s">
        <v>38</v>
      </c>
      <c r="AA2231" t="s">
        <v>38</v>
      </c>
      <c r="AB2231" t="s">
        <v>38</v>
      </c>
      <c r="AC2231" t="s">
        <v>38</v>
      </c>
      <c r="AD2231" t="s">
        <v>48</v>
      </c>
      <c r="AG2231" t="str">
        <f>IF(AD2231="United States", IFERROR(INDEX(Sheet2!$C:$C, MATCH(AE2231&amp;AF2231, Sheet2!$E:$E, 0)) &amp; ", " &amp; INDEX(Sheet2!$D:$D, MATCH(AE2231&amp;AF2231, Sheet2!$E:$E, 0)), ""), "-")</f>
        <v/>
      </c>
    </row>
    <row r="2232" spans="1:33" x14ac:dyDescent="0.25">
      <c r="A2232" t="s">
        <v>3648</v>
      </c>
      <c r="D2232" t="s">
        <v>222</v>
      </c>
      <c r="E2232" t="s">
        <v>3538</v>
      </c>
      <c r="F2232">
        <v>1753</v>
      </c>
      <c r="G2232">
        <v>1507</v>
      </c>
      <c r="H2232">
        <v>54</v>
      </c>
      <c r="J2232" t="s">
        <v>3119</v>
      </c>
      <c r="O2232" t="s">
        <v>57</v>
      </c>
      <c r="R2232" t="s">
        <v>2452</v>
      </c>
      <c r="T2232" t="s">
        <v>89</v>
      </c>
      <c r="U2232" t="s">
        <v>2453</v>
      </c>
      <c r="V2232" t="s">
        <v>137</v>
      </c>
      <c r="W2232" t="s">
        <v>92</v>
      </c>
      <c r="Y2232" t="s">
        <v>38</v>
      </c>
      <c r="AA2232" t="s">
        <v>38</v>
      </c>
      <c r="AB2232" t="s">
        <v>38</v>
      </c>
      <c r="AC2232" t="s">
        <v>38</v>
      </c>
      <c r="AD2232" t="s">
        <v>48</v>
      </c>
      <c r="AG2232" t="str">
        <f>IF(AD2232="United States", IFERROR(INDEX(Sheet2!$C:$C, MATCH(AE2232&amp;AF2232, Sheet2!$E:$E, 0)) &amp; ", " &amp; INDEX(Sheet2!$D:$D, MATCH(AE2232&amp;AF2232, Sheet2!$E:$E, 0)), ""), "-")</f>
        <v/>
      </c>
    </row>
    <row r="2233" spans="1:33" x14ac:dyDescent="0.25">
      <c r="A2233" t="s">
        <v>3648</v>
      </c>
      <c r="D2233" t="s">
        <v>3679</v>
      </c>
      <c r="E2233" t="s">
        <v>3535</v>
      </c>
      <c r="F2233">
        <v>1738</v>
      </c>
      <c r="G2233">
        <v>1508</v>
      </c>
      <c r="H2233">
        <v>54</v>
      </c>
      <c r="J2233" t="s">
        <v>3119</v>
      </c>
      <c r="O2233" t="s">
        <v>57</v>
      </c>
      <c r="R2233" t="s">
        <v>2452</v>
      </c>
      <c r="T2233" t="s">
        <v>89</v>
      </c>
      <c r="U2233" t="s">
        <v>2453</v>
      </c>
      <c r="V2233" t="s">
        <v>137</v>
      </c>
      <c r="W2233" t="s">
        <v>92</v>
      </c>
      <c r="Y2233" t="s">
        <v>38</v>
      </c>
      <c r="AA2233" t="s">
        <v>38</v>
      </c>
      <c r="AB2233" t="s">
        <v>38</v>
      </c>
      <c r="AC2233" t="s">
        <v>38</v>
      </c>
      <c r="AD2233" t="s">
        <v>48</v>
      </c>
      <c r="AG2233" t="str">
        <f>IF(AD2233="United States", IFERROR(INDEX(Sheet2!$C:$C, MATCH(AE2233&amp;AF2233, Sheet2!$E:$E, 0)) &amp; ", " &amp; INDEX(Sheet2!$D:$D, MATCH(AE2233&amp;AF2233, Sheet2!$E:$E, 0)), ""), "-")</f>
        <v/>
      </c>
    </row>
    <row r="2234" spans="1:33" x14ac:dyDescent="0.25">
      <c r="A2234" t="s">
        <v>3648</v>
      </c>
      <c r="D2234" t="s">
        <v>3680</v>
      </c>
      <c r="E2234" t="s">
        <v>3681</v>
      </c>
      <c r="F2234">
        <v>1743</v>
      </c>
      <c r="G2234">
        <v>1509</v>
      </c>
      <c r="H2234">
        <v>54</v>
      </c>
      <c r="J2234" t="s">
        <v>3119</v>
      </c>
      <c r="O2234" t="s">
        <v>57</v>
      </c>
      <c r="R2234" t="s">
        <v>2452</v>
      </c>
      <c r="T2234" t="s">
        <v>89</v>
      </c>
      <c r="U2234" t="s">
        <v>2453</v>
      </c>
      <c r="V2234" t="s">
        <v>137</v>
      </c>
      <c r="W2234" t="s">
        <v>92</v>
      </c>
      <c r="Y2234" t="s">
        <v>38</v>
      </c>
      <c r="AA2234" t="s">
        <v>38</v>
      </c>
      <c r="AB2234" t="s">
        <v>38</v>
      </c>
      <c r="AC2234" t="s">
        <v>38</v>
      </c>
      <c r="AD2234" t="s">
        <v>48</v>
      </c>
      <c r="AG2234" t="str">
        <f>IF(AD2234="United States", IFERROR(INDEX(Sheet2!$C:$C, MATCH(AE2234&amp;AF2234, Sheet2!$E:$E, 0)) &amp; ", " &amp; INDEX(Sheet2!$D:$D, MATCH(AE2234&amp;AF2234, Sheet2!$E:$E, 0)), ""), "-")</f>
        <v/>
      </c>
    </row>
    <row r="2235" spans="1:33" x14ac:dyDescent="0.25">
      <c r="A2235" t="s">
        <v>3648</v>
      </c>
      <c r="D2235" t="s">
        <v>359</v>
      </c>
      <c r="E2235" t="s">
        <v>2658</v>
      </c>
      <c r="F2235">
        <v>1733</v>
      </c>
      <c r="G2235">
        <v>1510</v>
      </c>
      <c r="H2235">
        <v>55</v>
      </c>
      <c r="J2235" t="s">
        <v>3119</v>
      </c>
      <c r="O2235" t="s">
        <v>57</v>
      </c>
      <c r="R2235" t="s">
        <v>2452</v>
      </c>
      <c r="T2235" t="s">
        <v>89</v>
      </c>
      <c r="U2235" t="s">
        <v>2453</v>
      </c>
      <c r="V2235" t="s">
        <v>137</v>
      </c>
      <c r="W2235" t="s">
        <v>92</v>
      </c>
      <c r="Y2235" t="s">
        <v>38</v>
      </c>
      <c r="AA2235" t="s">
        <v>38</v>
      </c>
      <c r="AB2235" t="s">
        <v>38</v>
      </c>
      <c r="AC2235" t="s">
        <v>38</v>
      </c>
      <c r="AD2235" t="s">
        <v>48</v>
      </c>
      <c r="AG2235" t="str">
        <f>IF(AD2235="United States", IFERROR(INDEX(Sheet2!$C:$C, MATCH(AE2235&amp;AF2235, Sheet2!$E:$E, 0)) &amp; ", " &amp; INDEX(Sheet2!$D:$D, MATCH(AE2235&amp;AF2235, Sheet2!$E:$E, 0)), ""), "-")</f>
        <v/>
      </c>
    </row>
    <row r="2236" spans="1:33" x14ac:dyDescent="0.25">
      <c r="A2236" t="s">
        <v>3648</v>
      </c>
      <c r="D2236" t="s">
        <v>72</v>
      </c>
      <c r="E2236" t="s">
        <v>191</v>
      </c>
      <c r="F2236">
        <v>1771</v>
      </c>
      <c r="G2236">
        <v>1511</v>
      </c>
      <c r="H2236">
        <v>55</v>
      </c>
      <c r="J2236" t="s">
        <v>3119</v>
      </c>
      <c r="O2236" t="s">
        <v>74</v>
      </c>
      <c r="R2236" t="s">
        <v>2452</v>
      </c>
      <c r="T2236" t="s">
        <v>89</v>
      </c>
      <c r="U2236" t="s">
        <v>2453</v>
      </c>
      <c r="V2236" t="s">
        <v>137</v>
      </c>
      <c r="W2236" t="s">
        <v>92</v>
      </c>
      <c r="Y2236" t="s">
        <v>38</v>
      </c>
      <c r="AA2236" t="s">
        <v>38</v>
      </c>
      <c r="AB2236" t="s">
        <v>38</v>
      </c>
      <c r="AC2236" t="s">
        <v>38</v>
      </c>
      <c r="AD2236" t="s">
        <v>48</v>
      </c>
      <c r="AG2236" t="str">
        <f>IF(AD2236="United States", IFERROR(INDEX(Sheet2!$C:$C, MATCH(AE2236&amp;AF2236, Sheet2!$E:$E, 0)) &amp; ", " &amp; INDEX(Sheet2!$D:$D, MATCH(AE2236&amp;AF2236, Sheet2!$E:$E, 0)), ""), "-")</f>
        <v/>
      </c>
    </row>
    <row r="2237" spans="1:33" x14ac:dyDescent="0.25">
      <c r="A2237" t="s">
        <v>3648</v>
      </c>
      <c r="D2237" t="s">
        <v>72</v>
      </c>
      <c r="E2237" t="s">
        <v>191</v>
      </c>
      <c r="F2237">
        <v>1750</v>
      </c>
      <c r="G2237">
        <v>1512</v>
      </c>
      <c r="H2237">
        <v>55</v>
      </c>
      <c r="J2237" t="s">
        <v>3119</v>
      </c>
      <c r="O2237" t="s">
        <v>57</v>
      </c>
      <c r="R2237" t="s">
        <v>2452</v>
      </c>
      <c r="T2237" t="s">
        <v>89</v>
      </c>
      <c r="U2237" t="s">
        <v>2453</v>
      </c>
      <c r="V2237" t="s">
        <v>137</v>
      </c>
      <c r="W2237" t="s">
        <v>92</v>
      </c>
      <c r="Y2237" t="s">
        <v>38</v>
      </c>
      <c r="AA2237" t="s">
        <v>38</v>
      </c>
      <c r="AB2237" t="s">
        <v>38</v>
      </c>
      <c r="AC2237" t="s">
        <v>38</v>
      </c>
      <c r="AD2237" t="s">
        <v>48</v>
      </c>
      <c r="AG2237" t="str">
        <f>IF(AD2237="United States", IFERROR(INDEX(Sheet2!$C:$C, MATCH(AE2237&amp;AF2237, Sheet2!$E:$E, 0)) &amp; ", " &amp; INDEX(Sheet2!$D:$D, MATCH(AE2237&amp;AF2237, Sheet2!$E:$E, 0)), ""), "-")</f>
        <v/>
      </c>
    </row>
    <row r="2238" spans="1:33" x14ac:dyDescent="0.25">
      <c r="A2238" t="s">
        <v>3648</v>
      </c>
      <c r="D2238" t="s">
        <v>3682</v>
      </c>
      <c r="E2238" t="s">
        <v>3527</v>
      </c>
      <c r="F2238">
        <v>1756</v>
      </c>
      <c r="G2238">
        <v>1513</v>
      </c>
      <c r="H2238">
        <v>55</v>
      </c>
      <c r="J2238" t="s">
        <v>3119</v>
      </c>
      <c r="O2238" t="s">
        <v>57</v>
      </c>
      <c r="R2238" t="s">
        <v>2452</v>
      </c>
      <c r="T2238" t="s">
        <v>89</v>
      </c>
      <c r="U2238" t="s">
        <v>2453</v>
      </c>
      <c r="V2238" t="s">
        <v>137</v>
      </c>
      <c r="W2238" t="s">
        <v>92</v>
      </c>
      <c r="Y2238" t="s">
        <v>38</v>
      </c>
      <c r="AA2238" t="s">
        <v>38</v>
      </c>
      <c r="AB2238" t="s">
        <v>38</v>
      </c>
      <c r="AC2238" t="s">
        <v>38</v>
      </c>
      <c r="AD2238" t="s">
        <v>48</v>
      </c>
      <c r="AG2238" t="str">
        <f>IF(AD2238="United States", IFERROR(INDEX(Sheet2!$C:$C, MATCH(AE2238&amp;AF2238, Sheet2!$E:$E, 0)) &amp; ", " &amp; INDEX(Sheet2!$D:$D, MATCH(AE2238&amp;AF2238, Sheet2!$E:$E, 0)), ""), "-")</f>
        <v/>
      </c>
    </row>
    <row r="2239" spans="1:33" x14ac:dyDescent="0.25">
      <c r="A2239" t="s">
        <v>3648</v>
      </c>
      <c r="D2239" t="s">
        <v>181</v>
      </c>
      <c r="E2239" t="s">
        <v>552</v>
      </c>
      <c r="F2239">
        <v>1776</v>
      </c>
      <c r="G2239">
        <v>1501</v>
      </c>
      <c r="H2239">
        <v>54</v>
      </c>
      <c r="J2239" t="s">
        <v>3119</v>
      </c>
      <c r="O2239" t="s">
        <v>54</v>
      </c>
      <c r="R2239" t="s">
        <v>2452</v>
      </c>
      <c r="T2239" t="s">
        <v>89</v>
      </c>
      <c r="U2239" t="s">
        <v>2453</v>
      </c>
      <c r="V2239" t="s">
        <v>137</v>
      </c>
      <c r="W2239" t="s">
        <v>92</v>
      </c>
      <c r="Y2239" t="s">
        <v>38</v>
      </c>
      <c r="AA2239" t="s">
        <v>38</v>
      </c>
      <c r="AB2239" t="s">
        <v>38</v>
      </c>
      <c r="AC2239" t="s">
        <v>38</v>
      </c>
      <c r="AD2239" t="s">
        <v>48</v>
      </c>
      <c r="AG2239" t="str">
        <f>IF(AD2239="United States", IFERROR(INDEX(Sheet2!$C:$C, MATCH(AE2239&amp;AF2239, Sheet2!$E:$E, 0)) &amp; ", " &amp; INDEX(Sheet2!$D:$D, MATCH(AE2239&amp;AF2239, Sheet2!$E:$E, 0)), ""), "-")</f>
        <v/>
      </c>
    </row>
    <row r="2240" spans="1:33" x14ac:dyDescent="0.25">
      <c r="A2240" t="s">
        <v>3648</v>
      </c>
      <c r="D2240" t="s">
        <v>535</v>
      </c>
      <c r="E2240" t="s">
        <v>3524</v>
      </c>
      <c r="F2240">
        <v>1747</v>
      </c>
      <c r="G2240">
        <v>1514</v>
      </c>
      <c r="H2240">
        <v>55</v>
      </c>
      <c r="J2240" t="s">
        <v>3119</v>
      </c>
      <c r="O2240" t="s">
        <v>57</v>
      </c>
      <c r="R2240" t="s">
        <v>2452</v>
      </c>
      <c r="T2240" t="s">
        <v>89</v>
      </c>
      <c r="U2240" t="s">
        <v>2453</v>
      </c>
      <c r="V2240" t="s">
        <v>137</v>
      </c>
      <c r="W2240" t="s">
        <v>92</v>
      </c>
      <c r="Y2240" t="s">
        <v>38</v>
      </c>
      <c r="AA2240" t="s">
        <v>38</v>
      </c>
      <c r="AB2240" t="s">
        <v>38</v>
      </c>
      <c r="AC2240" t="s">
        <v>38</v>
      </c>
      <c r="AD2240" t="s">
        <v>48</v>
      </c>
      <c r="AG2240" t="str">
        <f>IF(AD2240="United States", IFERROR(INDEX(Sheet2!$C:$C, MATCH(AE2240&amp;AF2240, Sheet2!$E:$E, 0)) &amp; ", " &amp; INDEX(Sheet2!$D:$D, MATCH(AE2240&amp;AF2240, Sheet2!$E:$E, 0)), ""), "-")</f>
        <v/>
      </c>
    </row>
    <row r="2241" spans="1:33" x14ac:dyDescent="0.25">
      <c r="A2241" t="s">
        <v>3648</v>
      </c>
      <c r="D2241" t="s">
        <v>181</v>
      </c>
      <c r="E2241" t="s">
        <v>3524</v>
      </c>
      <c r="F2241">
        <v>1775</v>
      </c>
      <c r="G2241">
        <v>1516</v>
      </c>
      <c r="H2241">
        <v>55</v>
      </c>
      <c r="J2241" t="s">
        <v>3119</v>
      </c>
      <c r="O2241" t="s">
        <v>74</v>
      </c>
      <c r="R2241" t="s">
        <v>2452</v>
      </c>
      <c r="T2241" t="s">
        <v>89</v>
      </c>
      <c r="U2241" t="s">
        <v>2453</v>
      </c>
      <c r="V2241" t="s">
        <v>137</v>
      </c>
      <c r="W2241" t="s">
        <v>92</v>
      </c>
      <c r="Y2241" t="s">
        <v>38</v>
      </c>
      <c r="AA2241" t="s">
        <v>38</v>
      </c>
      <c r="AB2241" t="s">
        <v>38</v>
      </c>
      <c r="AC2241" t="s">
        <v>38</v>
      </c>
      <c r="AD2241" t="s">
        <v>48</v>
      </c>
      <c r="AG2241" t="str">
        <f>IF(AD2241="United States", IFERROR(INDEX(Sheet2!$C:$C, MATCH(AE2241&amp;AF2241, Sheet2!$E:$E, 0)) &amp; ", " &amp; INDEX(Sheet2!$D:$D, MATCH(AE2241&amp;AF2241, Sheet2!$E:$E, 0)), ""), "-")</f>
        <v/>
      </c>
    </row>
    <row r="2242" spans="1:33" x14ac:dyDescent="0.25">
      <c r="A2242" t="s">
        <v>3648</v>
      </c>
      <c r="D2242" t="s">
        <v>72</v>
      </c>
      <c r="E2242" t="s">
        <v>3522</v>
      </c>
      <c r="F2242">
        <v>1758</v>
      </c>
      <c r="G2242">
        <v>1517</v>
      </c>
      <c r="H2242">
        <v>55</v>
      </c>
      <c r="J2242" t="s">
        <v>3119</v>
      </c>
      <c r="O2242" t="s">
        <v>57</v>
      </c>
      <c r="R2242" t="s">
        <v>2452</v>
      </c>
      <c r="T2242" t="s">
        <v>89</v>
      </c>
      <c r="U2242" t="s">
        <v>2453</v>
      </c>
      <c r="V2242" t="s">
        <v>137</v>
      </c>
      <c r="W2242" t="s">
        <v>92</v>
      </c>
      <c r="Y2242" t="s">
        <v>38</v>
      </c>
      <c r="AA2242" t="s">
        <v>38</v>
      </c>
      <c r="AB2242" t="s">
        <v>38</v>
      </c>
      <c r="AC2242" t="s">
        <v>38</v>
      </c>
      <c r="AD2242" t="s">
        <v>48</v>
      </c>
      <c r="AG2242" t="str">
        <f>IF(AD2242="United States", IFERROR(INDEX(Sheet2!$C:$C, MATCH(AE2242&amp;AF2242, Sheet2!$E:$E, 0)) &amp; ", " &amp; INDEX(Sheet2!$D:$D, MATCH(AE2242&amp;AF2242, Sheet2!$E:$E, 0)), ""), "-")</f>
        <v/>
      </c>
    </row>
    <row r="2243" spans="1:33" x14ac:dyDescent="0.25">
      <c r="A2243" t="s">
        <v>3648</v>
      </c>
      <c r="D2243" t="s">
        <v>181</v>
      </c>
      <c r="E2243" t="s">
        <v>3522</v>
      </c>
      <c r="F2243">
        <v>1779</v>
      </c>
      <c r="G2243">
        <v>1518</v>
      </c>
      <c r="H2243">
        <v>55</v>
      </c>
      <c r="J2243" t="s">
        <v>3119</v>
      </c>
      <c r="O2243" t="s">
        <v>54</v>
      </c>
      <c r="R2243" t="s">
        <v>2452</v>
      </c>
      <c r="T2243" t="s">
        <v>89</v>
      </c>
      <c r="U2243" t="s">
        <v>2453</v>
      </c>
      <c r="V2243" t="s">
        <v>137</v>
      </c>
      <c r="W2243" t="s">
        <v>92</v>
      </c>
      <c r="Y2243" t="s">
        <v>38</v>
      </c>
      <c r="AA2243" t="s">
        <v>38</v>
      </c>
      <c r="AB2243" t="s">
        <v>38</v>
      </c>
      <c r="AC2243" t="s">
        <v>38</v>
      </c>
      <c r="AD2243" t="s">
        <v>48</v>
      </c>
      <c r="AG2243" t="str">
        <f>IF(AD2243="United States", IFERROR(INDEX(Sheet2!$C:$C, MATCH(AE2243&amp;AF2243, Sheet2!$E:$E, 0)) &amp; ", " &amp; INDEX(Sheet2!$D:$D, MATCH(AE2243&amp;AF2243, Sheet2!$E:$E, 0)), ""), "-")</f>
        <v/>
      </c>
    </row>
    <row r="2244" spans="1:33" x14ac:dyDescent="0.25">
      <c r="A2244" t="s">
        <v>3648</v>
      </c>
      <c r="D2244" t="s">
        <v>181</v>
      </c>
      <c r="E2244" t="s">
        <v>3522</v>
      </c>
      <c r="F2244">
        <v>1781</v>
      </c>
      <c r="G2244">
        <v>1519</v>
      </c>
      <c r="H2244">
        <v>55</v>
      </c>
      <c r="J2244" t="s">
        <v>3119</v>
      </c>
      <c r="O2244" t="s">
        <v>54</v>
      </c>
      <c r="R2244" t="s">
        <v>2452</v>
      </c>
      <c r="T2244" t="s">
        <v>89</v>
      </c>
      <c r="U2244" t="s">
        <v>2453</v>
      </c>
      <c r="V2244" t="s">
        <v>137</v>
      </c>
      <c r="W2244" t="s">
        <v>92</v>
      </c>
      <c r="Y2244" t="s">
        <v>38</v>
      </c>
      <c r="AA2244" t="s">
        <v>38</v>
      </c>
      <c r="AB2244" t="s">
        <v>38</v>
      </c>
      <c r="AC2244" t="s">
        <v>38</v>
      </c>
      <c r="AD2244" t="s">
        <v>48</v>
      </c>
      <c r="AG2244" t="str">
        <f>IF(AD2244="United States", IFERROR(INDEX(Sheet2!$C:$C, MATCH(AE2244&amp;AF2244, Sheet2!$E:$E, 0)) &amp; ", " &amp; INDEX(Sheet2!$D:$D, MATCH(AE2244&amp;AF2244, Sheet2!$E:$E, 0)), ""), "-")</f>
        <v/>
      </c>
    </row>
    <row r="2245" spans="1:33" x14ac:dyDescent="0.25">
      <c r="A2245" t="s">
        <v>3648</v>
      </c>
      <c r="D2245" t="s">
        <v>245</v>
      </c>
      <c r="E2245" t="s">
        <v>2192</v>
      </c>
      <c r="F2245">
        <v>1733</v>
      </c>
      <c r="G2245">
        <v>1520</v>
      </c>
      <c r="H2245">
        <v>55</v>
      </c>
      <c r="J2245" t="s">
        <v>3119</v>
      </c>
      <c r="O2245" t="s">
        <v>57</v>
      </c>
      <c r="R2245" t="s">
        <v>2452</v>
      </c>
      <c r="T2245" t="s">
        <v>89</v>
      </c>
      <c r="U2245" t="s">
        <v>2453</v>
      </c>
      <c r="V2245" t="s">
        <v>137</v>
      </c>
      <c r="W2245" t="s">
        <v>92</v>
      </c>
      <c r="Y2245" t="s">
        <v>38</v>
      </c>
      <c r="AA2245" t="s">
        <v>38</v>
      </c>
      <c r="AB2245" t="s">
        <v>38</v>
      </c>
      <c r="AC2245" t="s">
        <v>38</v>
      </c>
      <c r="AD2245" t="s">
        <v>48</v>
      </c>
      <c r="AG2245" t="str">
        <f>IF(AD2245="United States", IFERROR(INDEX(Sheet2!$C:$C, MATCH(AE2245&amp;AF2245, Sheet2!$E:$E, 0)) &amp; ", " &amp; INDEX(Sheet2!$D:$D, MATCH(AE2245&amp;AF2245, Sheet2!$E:$E, 0)), ""), "-")</f>
        <v/>
      </c>
    </row>
    <row r="2246" spans="1:33" x14ac:dyDescent="0.25">
      <c r="A2246" t="s">
        <v>3648</v>
      </c>
      <c r="D2246" t="s">
        <v>256</v>
      </c>
      <c r="E2246" t="s">
        <v>2178</v>
      </c>
      <c r="F2246">
        <v>1759</v>
      </c>
      <c r="G2246">
        <v>1521</v>
      </c>
      <c r="H2246">
        <v>55</v>
      </c>
      <c r="J2246" t="s">
        <v>3119</v>
      </c>
      <c r="O2246" t="s">
        <v>57</v>
      </c>
      <c r="R2246" t="s">
        <v>2452</v>
      </c>
      <c r="T2246" t="s">
        <v>89</v>
      </c>
      <c r="U2246" t="s">
        <v>2453</v>
      </c>
      <c r="V2246" t="s">
        <v>137</v>
      </c>
      <c r="W2246" t="s">
        <v>92</v>
      </c>
      <c r="Y2246" t="s">
        <v>38</v>
      </c>
      <c r="AA2246" t="s">
        <v>38</v>
      </c>
      <c r="AB2246" t="s">
        <v>38</v>
      </c>
      <c r="AC2246" t="s">
        <v>38</v>
      </c>
      <c r="AD2246" t="s">
        <v>48</v>
      </c>
      <c r="AG2246" t="str">
        <f>IF(AD2246="United States", IFERROR(INDEX(Sheet2!$C:$C, MATCH(AE2246&amp;AF2246, Sheet2!$E:$E, 0)) &amp; ", " &amp; INDEX(Sheet2!$D:$D, MATCH(AE2246&amp;AF2246, Sheet2!$E:$E, 0)), ""), "-")</f>
        <v/>
      </c>
    </row>
    <row r="2247" spans="1:33" x14ac:dyDescent="0.25">
      <c r="A2247" t="s">
        <v>3648</v>
      </c>
      <c r="D2247" t="s">
        <v>181</v>
      </c>
      <c r="E2247" t="s">
        <v>2178</v>
      </c>
      <c r="F2247" t="s">
        <v>38</v>
      </c>
      <c r="G2247">
        <v>1522</v>
      </c>
      <c r="H2247">
        <v>55</v>
      </c>
      <c r="J2247" t="s">
        <v>3119</v>
      </c>
      <c r="O2247" t="s">
        <v>74</v>
      </c>
      <c r="R2247" t="s">
        <v>2452</v>
      </c>
      <c r="T2247" t="s">
        <v>89</v>
      </c>
      <c r="U2247" t="s">
        <v>2453</v>
      </c>
      <c r="V2247" t="s">
        <v>137</v>
      </c>
      <c r="W2247" t="s">
        <v>92</v>
      </c>
      <c r="Y2247" t="s">
        <v>38</v>
      </c>
      <c r="AA2247" t="s">
        <v>38</v>
      </c>
      <c r="AB2247" t="s">
        <v>38</v>
      </c>
      <c r="AC2247" t="s">
        <v>38</v>
      </c>
      <c r="AD2247" t="s">
        <v>48</v>
      </c>
      <c r="AG2247" t="str">
        <f>IF(AD2247="United States", IFERROR(INDEX(Sheet2!$C:$C, MATCH(AE2247&amp;AF2247, Sheet2!$E:$E, 0)) &amp; ", " &amp; INDEX(Sheet2!$D:$D, MATCH(AE2247&amp;AF2247, Sheet2!$E:$E, 0)), ""), "-")</f>
        <v/>
      </c>
    </row>
    <row r="2248" spans="1:33" x14ac:dyDescent="0.25">
      <c r="A2248" t="s">
        <v>3648</v>
      </c>
      <c r="D2248" t="s">
        <v>200</v>
      </c>
      <c r="E2248" t="s">
        <v>2379</v>
      </c>
      <c r="F2248">
        <v>1738</v>
      </c>
      <c r="G2248">
        <v>1523</v>
      </c>
      <c r="H2248">
        <v>55</v>
      </c>
      <c r="J2248" t="s">
        <v>3119</v>
      </c>
      <c r="O2248" t="s">
        <v>41</v>
      </c>
      <c r="R2248" t="s">
        <v>2452</v>
      </c>
      <c r="T2248" t="s">
        <v>89</v>
      </c>
      <c r="U2248" t="s">
        <v>2453</v>
      </c>
      <c r="V2248" t="s">
        <v>137</v>
      </c>
      <c r="W2248" t="s">
        <v>92</v>
      </c>
      <c r="Y2248" t="s">
        <v>38</v>
      </c>
      <c r="AA2248" t="s">
        <v>38</v>
      </c>
      <c r="AB2248" t="s">
        <v>38</v>
      </c>
      <c r="AC2248" t="s">
        <v>38</v>
      </c>
      <c r="AD2248" t="s">
        <v>48</v>
      </c>
      <c r="AG2248" t="str">
        <f>IF(AD2248="United States", IFERROR(INDEX(Sheet2!$C:$C, MATCH(AE2248&amp;AF2248, Sheet2!$E:$E, 0)) &amp; ", " &amp; INDEX(Sheet2!$D:$D, MATCH(AE2248&amp;AF2248, Sheet2!$E:$E, 0)), ""), "-")</f>
        <v/>
      </c>
    </row>
    <row r="2249" spans="1:33" x14ac:dyDescent="0.25">
      <c r="A2249" t="s">
        <v>3648</v>
      </c>
      <c r="D2249" t="s">
        <v>357</v>
      </c>
      <c r="E2249" t="s">
        <v>1084</v>
      </c>
      <c r="F2249">
        <v>1757</v>
      </c>
      <c r="G2249">
        <v>1524</v>
      </c>
      <c r="H2249">
        <v>55</v>
      </c>
      <c r="J2249" t="s">
        <v>3119</v>
      </c>
      <c r="O2249" t="s">
        <v>41</v>
      </c>
      <c r="R2249" t="s">
        <v>2452</v>
      </c>
      <c r="T2249" t="s">
        <v>89</v>
      </c>
      <c r="U2249" t="s">
        <v>2453</v>
      </c>
      <c r="V2249" t="s">
        <v>137</v>
      </c>
      <c r="W2249" t="s">
        <v>92</v>
      </c>
      <c r="Y2249" t="s">
        <v>38</v>
      </c>
      <c r="AA2249" t="s">
        <v>38</v>
      </c>
      <c r="AB2249" t="s">
        <v>38</v>
      </c>
      <c r="AC2249" t="s">
        <v>38</v>
      </c>
      <c r="AD2249" t="s">
        <v>48</v>
      </c>
      <c r="AG2249" t="str">
        <f>IF(AD2249="United States", IFERROR(INDEX(Sheet2!$C:$C, MATCH(AE2249&amp;AF2249, Sheet2!$E:$E, 0)) &amp; ", " &amp; INDEX(Sheet2!$D:$D, MATCH(AE2249&amp;AF2249, Sheet2!$E:$E, 0)), ""), "-")</f>
        <v/>
      </c>
    </row>
    <row r="2250" spans="1:33" x14ac:dyDescent="0.25">
      <c r="A2250" t="s">
        <v>3648</v>
      </c>
      <c r="D2250" t="s">
        <v>226</v>
      </c>
      <c r="E2250" t="s">
        <v>3039</v>
      </c>
      <c r="F2250">
        <v>1743</v>
      </c>
      <c r="G2250">
        <v>1525</v>
      </c>
      <c r="H2250">
        <v>55</v>
      </c>
      <c r="J2250" t="s">
        <v>3119</v>
      </c>
      <c r="O2250" t="s">
        <v>41</v>
      </c>
      <c r="R2250" t="s">
        <v>2452</v>
      </c>
      <c r="T2250" t="s">
        <v>89</v>
      </c>
      <c r="U2250" t="s">
        <v>2453</v>
      </c>
      <c r="V2250" t="s">
        <v>137</v>
      </c>
      <c r="W2250" t="s">
        <v>92</v>
      </c>
      <c r="Y2250" t="s">
        <v>38</v>
      </c>
      <c r="AA2250" t="s">
        <v>38</v>
      </c>
      <c r="AB2250" t="s">
        <v>38</v>
      </c>
      <c r="AC2250" t="s">
        <v>38</v>
      </c>
      <c r="AD2250" t="s">
        <v>48</v>
      </c>
      <c r="AG2250" t="str">
        <f>IF(AD2250="United States", IFERROR(INDEX(Sheet2!$C:$C, MATCH(AE2250&amp;AF2250, Sheet2!$E:$E, 0)) &amp; ", " &amp; INDEX(Sheet2!$D:$D, MATCH(AE2250&amp;AF2250, Sheet2!$E:$E, 0)), ""), "-")</f>
        <v/>
      </c>
    </row>
    <row r="2251" spans="1:33" x14ac:dyDescent="0.25">
      <c r="A2251" t="s">
        <v>3648</v>
      </c>
      <c r="D2251" t="s">
        <v>132</v>
      </c>
      <c r="E2251" t="s">
        <v>3239</v>
      </c>
      <c r="F2251">
        <v>1735</v>
      </c>
      <c r="G2251">
        <v>1526</v>
      </c>
      <c r="H2251">
        <v>55</v>
      </c>
      <c r="J2251" t="s">
        <v>3119</v>
      </c>
      <c r="O2251" t="s">
        <v>41</v>
      </c>
      <c r="R2251" t="s">
        <v>2452</v>
      </c>
      <c r="T2251" t="s">
        <v>89</v>
      </c>
      <c r="U2251" t="s">
        <v>2453</v>
      </c>
      <c r="V2251" t="s">
        <v>137</v>
      </c>
      <c r="W2251" t="s">
        <v>92</v>
      </c>
      <c r="Y2251" t="s">
        <v>38</v>
      </c>
      <c r="AA2251" t="s">
        <v>38</v>
      </c>
      <c r="AB2251" t="s">
        <v>38</v>
      </c>
      <c r="AC2251" t="s">
        <v>38</v>
      </c>
      <c r="AD2251" t="s">
        <v>48</v>
      </c>
      <c r="AG2251" t="str">
        <f>IF(AD2251="United States", IFERROR(INDEX(Sheet2!$C:$C, MATCH(AE2251&amp;AF2251, Sheet2!$E:$E, 0)) &amp; ", " &amp; INDEX(Sheet2!$D:$D, MATCH(AE2251&amp;AF2251, Sheet2!$E:$E, 0)), ""), "-")</f>
        <v/>
      </c>
    </row>
    <row r="2252" spans="1:33" x14ac:dyDescent="0.25">
      <c r="A2252" t="s">
        <v>3648</v>
      </c>
      <c r="D2252" t="s">
        <v>473</v>
      </c>
      <c r="E2252" t="s">
        <v>368</v>
      </c>
      <c r="F2252">
        <v>1752</v>
      </c>
      <c r="G2252">
        <v>1527</v>
      </c>
      <c r="H2252">
        <v>55</v>
      </c>
      <c r="J2252" t="s">
        <v>3119</v>
      </c>
      <c r="O2252" t="s">
        <v>41</v>
      </c>
      <c r="R2252" t="s">
        <v>2452</v>
      </c>
      <c r="T2252" t="s">
        <v>89</v>
      </c>
      <c r="U2252" t="s">
        <v>2453</v>
      </c>
      <c r="V2252" t="s">
        <v>137</v>
      </c>
      <c r="W2252" t="s">
        <v>92</v>
      </c>
      <c r="Y2252" t="s">
        <v>38</v>
      </c>
      <c r="AA2252" t="s">
        <v>38</v>
      </c>
      <c r="AB2252" t="s">
        <v>38</v>
      </c>
      <c r="AC2252" t="s">
        <v>38</v>
      </c>
      <c r="AD2252" t="s">
        <v>48</v>
      </c>
      <c r="AG2252" t="str">
        <f>IF(AD2252="United States", IFERROR(INDEX(Sheet2!$C:$C, MATCH(AE2252&amp;AF2252, Sheet2!$E:$E, 0)) &amp; ", " &amp; INDEX(Sheet2!$D:$D, MATCH(AE2252&amp;AF2252, Sheet2!$E:$E, 0)), ""), "-")</f>
        <v/>
      </c>
    </row>
    <row r="2253" spans="1:33" x14ac:dyDescent="0.25">
      <c r="A2253" t="s">
        <v>3648</v>
      </c>
      <c r="D2253" t="s">
        <v>3235</v>
      </c>
      <c r="E2253" t="s">
        <v>1084</v>
      </c>
      <c r="F2253">
        <v>1753</v>
      </c>
      <c r="G2253">
        <v>1528</v>
      </c>
      <c r="H2253">
        <v>55</v>
      </c>
      <c r="J2253" t="s">
        <v>3119</v>
      </c>
      <c r="O2253" t="s">
        <v>57</v>
      </c>
      <c r="R2253" t="s">
        <v>2452</v>
      </c>
      <c r="T2253" t="s">
        <v>89</v>
      </c>
      <c r="U2253" t="s">
        <v>2453</v>
      </c>
      <c r="V2253" t="s">
        <v>137</v>
      </c>
      <c r="W2253" t="s">
        <v>92</v>
      </c>
      <c r="Y2253" t="s">
        <v>38</v>
      </c>
      <c r="AA2253" t="s">
        <v>38</v>
      </c>
      <c r="AB2253" t="s">
        <v>38</v>
      </c>
      <c r="AC2253" t="s">
        <v>38</v>
      </c>
      <c r="AD2253" t="s">
        <v>48</v>
      </c>
      <c r="AG2253" t="str">
        <f>IF(AD2253="United States", IFERROR(INDEX(Sheet2!$C:$C, MATCH(AE2253&amp;AF2253, Sheet2!$E:$E, 0)) &amp; ", " &amp; INDEX(Sheet2!$D:$D, MATCH(AE2253&amp;AF2253, Sheet2!$E:$E, 0)), ""), "-")</f>
        <v/>
      </c>
    </row>
    <row r="2254" spans="1:33" x14ac:dyDescent="0.25">
      <c r="A2254" t="s">
        <v>3648</v>
      </c>
      <c r="D2254" t="s">
        <v>181</v>
      </c>
      <c r="E2254" t="s">
        <v>3524</v>
      </c>
      <c r="F2254">
        <v>1771</v>
      </c>
      <c r="G2254">
        <v>1515</v>
      </c>
      <c r="H2254">
        <v>55</v>
      </c>
      <c r="J2254" t="s">
        <v>3119</v>
      </c>
      <c r="O2254" t="s">
        <v>74</v>
      </c>
      <c r="R2254" t="s">
        <v>2452</v>
      </c>
      <c r="T2254" t="s">
        <v>89</v>
      </c>
      <c r="U2254" t="s">
        <v>2453</v>
      </c>
      <c r="V2254" t="s">
        <v>137</v>
      </c>
      <c r="W2254" t="s">
        <v>92</v>
      </c>
      <c r="Y2254" t="s">
        <v>38</v>
      </c>
      <c r="AA2254" t="s">
        <v>38</v>
      </c>
      <c r="AB2254" t="s">
        <v>38</v>
      </c>
      <c r="AC2254" t="s">
        <v>38</v>
      </c>
      <c r="AD2254" t="s">
        <v>48</v>
      </c>
      <c r="AG2254" t="str">
        <f>IF(AD2254="United States", IFERROR(INDEX(Sheet2!$C:$C, MATCH(AE2254&amp;AF2254, Sheet2!$E:$E, 0)) &amp; ", " &amp; INDEX(Sheet2!$D:$D, MATCH(AE2254&amp;AF2254, Sheet2!$E:$E, 0)), ""), "-")</f>
        <v/>
      </c>
    </row>
    <row r="2255" spans="1:33" x14ac:dyDescent="0.25">
      <c r="A2255" t="s">
        <v>3648</v>
      </c>
      <c r="D2255" t="s">
        <v>3683</v>
      </c>
      <c r="E2255" t="s">
        <v>552</v>
      </c>
      <c r="F2255">
        <v>1738</v>
      </c>
      <c r="G2255">
        <v>1500</v>
      </c>
      <c r="H2255">
        <v>54</v>
      </c>
      <c r="J2255" t="s">
        <v>3119</v>
      </c>
      <c r="O2255" t="s">
        <v>57</v>
      </c>
      <c r="R2255" t="s">
        <v>2452</v>
      </c>
      <c r="T2255" t="s">
        <v>89</v>
      </c>
      <c r="U2255" t="s">
        <v>2453</v>
      </c>
      <c r="V2255" t="s">
        <v>137</v>
      </c>
      <c r="W2255" t="s">
        <v>92</v>
      </c>
      <c r="Y2255" t="s">
        <v>38</v>
      </c>
      <c r="AA2255" t="s">
        <v>38</v>
      </c>
      <c r="AB2255" t="s">
        <v>38</v>
      </c>
      <c r="AC2255" t="s">
        <v>38</v>
      </c>
      <c r="AD2255" t="s">
        <v>48</v>
      </c>
      <c r="AG2255" t="str">
        <f>IF(AD2255="United States", IFERROR(INDEX(Sheet2!$C:$C, MATCH(AE2255&amp;AF2255, Sheet2!$E:$E, 0)) &amp; ", " &amp; INDEX(Sheet2!$D:$D, MATCH(AE2255&amp;AF2255, Sheet2!$E:$E, 0)), ""), "-")</f>
        <v/>
      </c>
    </row>
    <row r="2256" spans="1:33" x14ac:dyDescent="0.25">
      <c r="A2256" t="s">
        <v>3648</v>
      </c>
      <c r="D2256" t="s">
        <v>177</v>
      </c>
      <c r="E2256" t="s">
        <v>492</v>
      </c>
      <c r="F2256">
        <v>1748</v>
      </c>
      <c r="G2256">
        <v>1499</v>
      </c>
      <c r="H2256">
        <v>54</v>
      </c>
      <c r="J2256" t="s">
        <v>3119</v>
      </c>
      <c r="O2256" t="s">
        <v>41</v>
      </c>
      <c r="R2256" t="s">
        <v>2452</v>
      </c>
      <c r="T2256" t="s">
        <v>89</v>
      </c>
      <c r="U2256" t="s">
        <v>2453</v>
      </c>
      <c r="V2256" t="s">
        <v>137</v>
      </c>
      <c r="W2256" t="s">
        <v>92</v>
      </c>
      <c r="Y2256" t="s">
        <v>38</v>
      </c>
      <c r="AA2256" t="s">
        <v>38</v>
      </c>
      <c r="AB2256" t="s">
        <v>38</v>
      </c>
      <c r="AC2256" t="s">
        <v>38</v>
      </c>
      <c r="AD2256" t="s">
        <v>48</v>
      </c>
      <c r="AG2256" t="str">
        <f>IF(AD2256="United States", IFERROR(INDEX(Sheet2!$C:$C, MATCH(AE2256&amp;AF2256, Sheet2!$E:$E, 0)) &amp; ", " &amp; INDEX(Sheet2!$D:$D, MATCH(AE2256&amp;AF2256, Sheet2!$E:$E, 0)), ""), "-")</f>
        <v/>
      </c>
    </row>
    <row r="2257" spans="1:33" x14ac:dyDescent="0.25">
      <c r="A2257" t="s">
        <v>3648</v>
      </c>
      <c r="D2257" t="s">
        <v>463</v>
      </c>
      <c r="E2257" t="s">
        <v>3547</v>
      </c>
      <c r="F2257">
        <v>1755</v>
      </c>
      <c r="G2257">
        <v>1498</v>
      </c>
      <c r="H2257">
        <v>54</v>
      </c>
      <c r="J2257" t="s">
        <v>3119</v>
      </c>
      <c r="O2257" t="s">
        <v>41</v>
      </c>
      <c r="R2257" t="s">
        <v>2452</v>
      </c>
      <c r="T2257" t="s">
        <v>89</v>
      </c>
      <c r="U2257" t="s">
        <v>2453</v>
      </c>
      <c r="V2257" t="s">
        <v>137</v>
      </c>
      <c r="W2257" t="s">
        <v>92</v>
      </c>
      <c r="Y2257" t="s">
        <v>38</v>
      </c>
      <c r="AA2257" t="s">
        <v>38</v>
      </c>
      <c r="AB2257" t="s">
        <v>38</v>
      </c>
      <c r="AC2257" t="s">
        <v>38</v>
      </c>
      <c r="AD2257" t="s">
        <v>48</v>
      </c>
      <c r="AG2257" t="str">
        <f>IF(AD2257="United States", IFERROR(INDEX(Sheet2!$C:$C, MATCH(AE2257&amp;AF2257, Sheet2!$E:$E, 0)) &amp; ", " &amp; INDEX(Sheet2!$D:$D, MATCH(AE2257&amp;AF2257, Sheet2!$E:$E, 0)), ""), "-")</f>
        <v/>
      </c>
    </row>
    <row r="2258" spans="1:33" x14ac:dyDescent="0.25">
      <c r="A2258" t="s">
        <v>3648</v>
      </c>
      <c r="D2258" t="s">
        <v>334</v>
      </c>
      <c r="E2258" t="s">
        <v>2926</v>
      </c>
      <c r="F2258">
        <v>1746</v>
      </c>
      <c r="G2258">
        <v>1631</v>
      </c>
      <c r="H2258">
        <v>56</v>
      </c>
      <c r="J2258" t="s">
        <v>3119</v>
      </c>
      <c r="O2258" t="s">
        <v>41</v>
      </c>
      <c r="R2258" t="s">
        <v>2452</v>
      </c>
      <c r="T2258" t="s">
        <v>89</v>
      </c>
      <c r="U2258" t="s">
        <v>2453</v>
      </c>
      <c r="V2258" t="s">
        <v>137</v>
      </c>
      <c r="W2258" t="s">
        <v>92</v>
      </c>
      <c r="Y2258" t="s">
        <v>38</v>
      </c>
      <c r="AA2258" t="s">
        <v>38</v>
      </c>
      <c r="AB2258" t="s">
        <v>38</v>
      </c>
      <c r="AC2258" t="s">
        <v>38</v>
      </c>
      <c r="AD2258" t="s">
        <v>48</v>
      </c>
      <c r="AG2258" t="str">
        <f>IF(AD2258="United States", IFERROR(INDEX(Sheet2!$C:$C, MATCH(AE2258&amp;AF2258, Sheet2!$E:$E, 0)) &amp; ", " &amp; INDEX(Sheet2!$D:$D, MATCH(AE2258&amp;AF2258, Sheet2!$E:$E, 0)), ""), "-")</f>
        <v/>
      </c>
    </row>
    <row r="2259" spans="1:33" x14ac:dyDescent="0.25">
      <c r="A2259" t="s">
        <v>3648</v>
      </c>
      <c r="D2259" t="s">
        <v>334</v>
      </c>
      <c r="E2259" t="s">
        <v>1831</v>
      </c>
      <c r="F2259">
        <v>1767</v>
      </c>
      <c r="G2259">
        <v>1630</v>
      </c>
      <c r="H2259">
        <v>56</v>
      </c>
      <c r="J2259" t="s">
        <v>3119</v>
      </c>
      <c r="O2259" t="s">
        <v>41</v>
      </c>
      <c r="R2259" t="s">
        <v>2452</v>
      </c>
      <c r="T2259" t="s">
        <v>89</v>
      </c>
      <c r="U2259" t="s">
        <v>2453</v>
      </c>
      <c r="V2259" t="s">
        <v>137</v>
      </c>
      <c r="W2259" t="s">
        <v>92</v>
      </c>
      <c r="Y2259" t="s">
        <v>38</v>
      </c>
      <c r="AA2259" t="s">
        <v>38</v>
      </c>
      <c r="AB2259" t="s">
        <v>38</v>
      </c>
      <c r="AC2259" t="s">
        <v>38</v>
      </c>
      <c r="AD2259" t="s">
        <v>48</v>
      </c>
      <c r="AG2259" t="str">
        <f>IF(AD2259="United States", IFERROR(INDEX(Sheet2!$C:$C, MATCH(AE2259&amp;AF2259, Sheet2!$E:$E, 0)) &amp; ", " &amp; INDEX(Sheet2!$D:$D, MATCH(AE2259&amp;AF2259, Sheet2!$E:$E, 0)), ""), "-")</f>
        <v/>
      </c>
    </row>
    <row r="2260" spans="1:33" x14ac:dyDescent="0.25">
      <c r="A2260" t="s">
        <v>3648</v>
      </c>
      <c r="D2260" t="s">
        <v>1695</v>
      </c>
      <c r="E2260" t="s">
        <v>2192</v>
      </c>
      <c r="F2260">
        <v>1763</v>
      </c>
      <c r="G2260">
        <v>1629</v>
      </c>
      <c r="H2260">
        <v>56</v>
      </c>
      <c r="J2260" t="s">
        <v>3119</v>
      </c>
      <c r="O2260" t="s">
        <v>41</v>
      </c>
      <c r="R2260" t="s">
        <v>2452</v>
      </c>
      <c r="T2260" t="s">
        <v>89</v>
      </c>
      <c r="U2260" t="s">
        <v>2453</v>
      </c>
      <c r="V2260" t="s">
        <v>137</v>
      </c>
      <c r="W2260" t="s">
        <v>92</v>
      </c>
      <c r="Y2260" t="s">
        <v>38</v>
      </c>
      <c r="AA2260" t="s">
        <v>38</v>
      </c>
      <c r="AB2260" t="s">
        <v>38</v>
      </c>
      <c r="AC2260" t="s">
        <v>38</v>
      </c>
      <c r="AD2260" t="s">
        <v>48</v>
      </c>
      <c r="AG2260" t="str">
        <f>IF(AD2260="United States", IFERROR(INDEX(Sheet2!$C:$C, MATCH(AE2260&amp;AF2260, Sheet2!$E:$E, 0)) &amp; ", " &amp; INDEX(Sheet2!$D:$D, MATCH(AE2260&amp;AF2260, Sheet2!$E:$E, 0)), ""), "-")</f>
        <v/>
      </c>
    </row>
    <row r="2261" spans="1:33" x14ac:dyDescent="0.25">
      <c r="A2261" t="s">
        <v>3648</v>
      </c>
      <c r="D2261" t="s">
        <v>639</v>
      </c>
      <c r="E2261" t="s">
        <v>268</v>
      </c>
      <c r="F2261">
        <v>1747</v>
      </c>
      <c r="G2261">
        <v>1628</v>
      </c>
      <c r="H2261">
        <v>56</v>
      </c>
      <c r="J2261" t="s">
        <v>3119</v>
      </c>
      <c r="O2261" t="s">
        <v>41</v>
      </c>
      <c r="R2261" t="s">
        <v>2452</v>
      </c>
      <c r="T2261" t="s">
        <v>89</v>
      </c>
      <c r="U2261" t="s">
        <v>2453</v>
      </c>
      <c r="V2261" t="s">
        <v>137</v>
      </c>
      <c r="W2261" t="s">
        <v>92</v>
      </c>
      <c r="Y2261" t="s">
        <v>38</v>
      </c>
      <c r="AA2261" t="s">
        <v>38</v>
      </c>
      <c r="AB2261" t="s">
        <v>38</v>
      </c>
      <c r="AC2261" t="s">
        <v>38</v>
      </c>
      <c r="AD2261" t="s">
        <v>48</v>
      </c>
      <c r="AG2261" t="str">
        <f>IF(AD2261="United States", IFERROR(INDEX(Sheet2!$C:$C, MATCH(AE2261&amp;AF2261, Sheet2!$E:$E, 0)) &amp; ", " &amp; INDEX(Sheet2!$D:$D, MATCH(AE2261&amp;AF2261, Sheet2!$E:$E, 0)), ""), "-")</f>
        <v/>
      </c>
    </row>
    <row r="2262" spans="1:33" x14ac:dyDescent="0.25">
      <c r="A2262" t="s">
        <v>3648</v>
      </c>
      <c r="D2262" t="s">
        <v>3001</v>
      </c>
      <c r="E2262" t="s">
        <v>1310</v>
      </c>
      <c r="F2262">
        <v>1758</v>
      </c>
      <c r="G2262">
        <v>1620</v>
      </c>
      <c r="H2262">
        <v>56</v>
      </c>
      <c r="J2262" t="s">
        <v>3119</v>
      </c>
      <c r="O2262" t="s">
        <v>57</v>
      </c>
      <c r="R2262" t="s">
        <v>2452</v>
      </c>
      <c r="T2262" t="s">
        <v>89</v>
      </c>
      <c r="U2262" t="s">
        <v>2453</v>
      </c>
      <c r="V2262" t="s">
        <v>137</v>
      </c>
      <c r="W2262" t="s">
        <v>92</v>
      </c>
      <c r="Y2262" t="s">
        <v>38</v>
      </c>
      <c r="AA2262" t="s">
        <v>38</v>
      </c>
      <c r="AB2262" t="s">
        <v>38</v>
      </c>
      <c r="AC2262" t="s">
        <v>38</v>
      </c>
      <c r="AD2262" t="s">
        <v>48</v>
      </c>
      <c r="AG2262" t="str">
        <f>IF(AD2262="United States", IFERROR(INDEX(Sheet2!$C:$C, MATCH(AE2262&amp;AF2262, Sheet2!$E:$E, 0)) &amp; ", " &amp; INDEX(Sheet2!$D:$D, MATCH(AE2262&amp;AF2262, Sheet2!$E:$E, 0)), ""), "-")</f>
        <v/>
      </c>
    </row>
    <row r="2263" spans="1:33" x14ac:dyDescent="0.25">
      <c r="A2263" t="s">
        <v>3648</v>
      </c>
      <c r="D2263" t="s">
        <v>2996</v>
      </c>
      <c r="E2263" t="s">
        <v>368</v>
      </c>
      <c r="F2263">
        <v>1760</v>
      </c>
      <c r="G2263">
        <v>1619</v>
      </c>
      <c r="H2263">
        <v>56</v>
      </c>
      <c r="J2263" t="s">
        <v>3119</v>
      </c>
      <c r="O2263" t="s">
        <v>57</v>
      </c>
      <c r="R2263" t="s">
        <v>2452</v>
      </c>
      <c r="T2263" t="s">
        <v>89</v>
      </c>
      <c r="U2263" t="s">
        <v>2453</v>
      </c>
      <c r="V2263" t="s">
        <v>137</v>
      </c>
      <c r="W2263" t="s">
        <v>92</v>
      </c>
      <c r="Y2263" t="s">
        <v>38</v>
      </c>
      <c r="AA2263" t="s">
        <v>38</v>
      </c>
      <c r="AB2263" t="s">
        <v>38</v>
      </c>
      <c r="AC2263" t="s">
        <v>38</v>
      </c>
      <c r="AD2263" t="s">
        <v>48</v>
      </c>
      <c r="AG2263" t="str">
        <f>IF(AD2263="United States", IFERROR(INDEX(Sheet2!$C:$C, MATCH(AE2263&amp;AF2263, Sheet2!$E:$E, 0)) &amp; ", " &amp; INDEX(Sheet2!$D:$D, MATCH(AE2263&amp;AF2263, Sheet2!$E:$E, 0)), ""), "-")</f>
        <v/>
      </c>
    </row>
    <row r="2264" spans="1:33" x14ac:dyDescent="0.25">
      <c r="A2264" t="s">
        <v>3648</v>
      </c>
      <c r="D2264" t="s">
        <v>181</v>
      </c>
      <c r="E2264" t="s">
        <v>3684</v>
      </c>
      <c r="F2264" t="s">
        <v>38</v>
      </c>
      <c r="G2264">
        <v>1618</v>
      </c>
      <c r="H2264">
        <v>56</v>
      </c>
      <c r="J2264" t="s">
        <v>3119</v>
      </c>
      <c r="O2264" t="s">
        <v>74</v>
      </c>
      <c r="R2264" t="s">
        <v>2452</v>
      </c>
      <c r="T2264" t="s">
        <v>89</v>
      </c>
      <c r="U2264" t="s">
        <v>2453</v>
      </c>
      <c r="V2264" t="s">
        <v>137</v>
      </c>
      <c r="W2264" t="s">
        <v>92</v>
      </c>
      <c r="Y2264" t="s">
        <v>38</v>
      </c>
      <c r="AA2264" t="s">
        <v>38</v>
      </c>
      <c r="AB2264" t="s">
        <v>38</v>
      </c>
      <c r="AC2264" t="s">
        <v>38</v>
      </c>
      <c r="AD2264" t="s">
        <v>48</v>
      </c>
      <c r="AG2264" t="str">
        <f>IF(AD2264="United States", IFERROR(INDEX(Sheet2!$C:$C, MATCH(AE2264&amp;AF2264, Sheet2!$E:$E, 0)) &amp; ", " &amp; INDEX(Sheet2!$D:$D, MATCH(AE2264&amp;AF2264, Sheet2!$E:$E, 0)), ""), "-")</f>
        <v/>
      </c>
    </row>
    <row r="2265" spans="1:33" x14ac:dyDescent="0.25">
      <c r="A2265" t="s">
        <v>3648</v>
      </c>
      <c r="D2265" t="s">
        <v>2717</v>
      </c>
      <c r="E2265" t="s">
        <v>3684</v>
      </c>
      <c r="F2265">
        <v>1761</v>
      </c>
      <c r="G2265">
        <v>1617</v>
      </c>
      <c r="H2265">
        <v>56</v>
      </c>
      <c r="J2265" t="s">
        <v>3119</v>
      </c>
      <c r="O2265" t="s">
        <v>57</v>
      </c>
      <c r="R2265" t="s">
        <v>2452</v>
      </c>
      <c r="T2265" t="s">
        <v>89</v>
      </c>
      <c r="U2265" t="s">
        <v>2453</v>
      </c>
      <c r="V2265" t="s">
        <v>137</v>
      </c>
      <c r="W2265" t="s">
        <v>92</v>
      </c>
      <c r="Y2265" t="s">
        <v>38</v>
      </c>
      <c r="AA2265" t="s">
        <v>38</v>
      </c>
      <c r="AB2265" t="s">
        <v>38</v>
      </c>
      <c r="AC2265" t="s">
        <v>38</v>
      </c>
      <c r="AD2265" t="s">
        <v>48</v>
      </c>
      <c r="AG2265" t="str">
        <f>IF(AD2265="United States", IFERROR(INDEX(Sheet2!$C:$C, MATCH(AE2265&amp;AF2265, Sheet2!$E:$E, 0)) &amp; ", " &amp; INDEX(Sheet2!$D:$D, MATCH(AE2265&amp;AF2265, Sheet2!$E:$E, 0)), ""), "-")</f>
        <v/>
      </c>
    </row>
    <row r="2266" spans="1:33" x14ac:dyDescent="0.25">
      <c r="A2266" t="s">
        <v>3648</v>
      </c>
      <c r="D2266" t="s">
        <v>181</v>
      </c>
      <c r="E2266" t="s">
        <v>2754</v>
      </c>
      <c r="F2266">
        <v>1780</v>
      </c>
      <c r="G2266">
        <v>1616</v>
      </c>
      <c r="H2266">
        <v>56</v>
      </c>
      <c r="J2266" t="s">
        <v>3119</v>
      </c>
      <c r="O2266" t="s">
        <v>74</v>
      </c>
      <c r="R2266" t="s">
        <v>2452</v>
      </c>
      <c r="T2266" t="s">
        <v>89</v>
      </c>
      <c r="U2266" t="s">
        <v>2453</v>
      </c>
      <c r="V2266" t="s">
        <v>137</v>
      </c>
      <c r="W2266" t="s">
        <v>92</v>
      </c>
      <c r="Y2266" t="s">
        <v>38</v>
      </c>
      <c r="AA2266" t="s">
        <v>38</v>
      </c>
      <c r="AB2266" t="s">
        <v>38</v>
      </c>
      <c r="AC2266" t="s">
        <v>38</v>
      </c>
      <c r="AD2266" t="s">
        <v>48</v>
      </c>
      <c r="AG2266" t="str">
        <f>IF(AD2266="United States", IFERROR(INDEX(Sheet2!$C:$C, MATCH(AE2266&amp;AF2266, Sheet2!$E:$E, 0)) &amp; ", " &amp; INDEX(Sheet2!$D:$D, MATCH(AE2266&amp;AF2266, Sheet2!$E:$E, 0)), ""), "-")</f>
        <v/>
      </c>
    </row>
    <row r="2267" spans="1:33" x14ac:dyDescent="0.25">
      <c r="A2267" t="s">
        <v>3648</v>
      </c>
      <c r="D2267" t="s">
        <v>1840</v>
      </c>
      <c r="E2267" t="s">
        <v>2754</v>
      </c>
      <c r="F2267">
        <v>1753</v>
      </c>
      <c r="G2267">
        <v>1615</v>
      </c>
      <c r="H2267">
        <v>56</v>
      </c>
      <c r="J2267" t="s">
        <v>3119</v>
      </c>
      <c r="O2267" t="s">
        <v>57</v>
      </c>
      <c r="R2267" t="s">
        <v>2452</v>
      </c>
      <c r="T2267" t="s">
        <v>89</v>
      </c>
      <c r="U2267" t="s">
        <v>2453</v>
      </c>
      <c r="V2267" t="s">
        <v>137</v>
      </c>
      <c r="W2267" t="s">
        <v>92</v>
      </c>
      <c r="Y2267" t="s">
        <v>38</v>
      </c>
      <c r="AA2267" t="s">
        <v>38</v>
      </c>
      <c r="AB2267" t="s">
        <v>38</v>
      </c>
      <c r="AC2267" t="s">
        <v>38</v>
      </c>
      <c r="AD2267" t="s">
        <v>48</v>
      </c>
      <c r="AG2267" t="str">
        <f>IF(AD2267="United States", IFERROR(INDEX(Sheet2!$C:$C, MATCH(AE2267&amp;AF2267, Sheet2!$E:$E, 0)) &amp; ", " &amp; INDEX(Sheet2!$D:$D, MATCH(AE2267&amp;AF2267, Sheet2!$E:$E, 0)), ""), "-")</f>
        <v/>
      </c>
    </row>
    <row r="2268" spans="1:33" x14ac:dyDescent="0.25">
      <c r="A2268" t="s">
        <v>3648</v>
      </c>
      <c r="D2268" t="s">
        <v>132</v>
      </c>
      <c r="E2268" t="s">
        <v>3342</v>
      </c>
      <c r="F2268">
        <v>1755</v>
      </c>
      <c r="G2268">
        <v>1614</v>
      </c>
      <c r="H2268">
        <v>56</v>
      </c>
      <c r="J2268" t="s">
        <v>3119</v>
      </c>
      <c r="O2268" t="s">
        <v>41</v>
      </c>
      <c r="R2268" t="s">
        <v>2452</v>
      </c>
      <c r="T2268" t="s">
        <v>89</v>
      </c>
      <c r="U2268" t="s">
        <v>2453</v>
      </c>
      <c r="V2268" t="s">
        <v>137</v>
      </c>
      <c r="W2268" t="s">
        <v>92</v>
      </c>
      <c r="Y2268" t="s">
        <v>38</v>
      </c>
      <c r="AA2268" t="s">
        <v>38</v>
      </c>
      <c r="AB2268" t="s">
        <v>38</v>
      </c>
      <c r="AC2268" t="s">
        <v>38</v>
      </c>
      <c r="AD2268" t="s">
        <v>48</v>
      </c>
      <c r="AG2268" t="str">
        <f>IF(AD2268="United States", IFERROR(INDEX(Sheet2!$C:$C, MATCH(AE2268&amp;AF2268, Sheet2!$E:$E, 0)) &amp; ", " &amp; INDEX(Sheet2!$D:$D, MATCH(AE2268&amp;AF2268, Sheet2!$E:$E, 0)), ""), "-")</f>
        <v/>
      </c>
    </row>
    <row r="2269" spans="1:33" x14ac:dyDescent="0.25">
      <c r="A2269" t="s">
        <v>3648</v>
      </c>
      <c r="D2269" t="s">
        <v>1413</v>
      </c>
      <c r="E2269" t="s">
        <v>1175</v>
      </c>
      <c r="F2269">
        <v>1765</v>
      </c>
      <c r="G2269">
        <v>1613</v>
      </c>
      <c r="H2269">
        <v>56</v>
      </c>
      <c r="J2269" t="s">
        <v>3119</v>
      </c>
      <c r="O2269" t="s">
        <v>57</v>
      </c>
      <c r="R2269" t="s">
        <v>2452</v>
      </c>
      <c r="T2269" t="s">
        <v>89</v>
      </c>
      <c r="U2269" t="s">
        <v>2453</v>
      </c>
      <c r="V2269" t="s">
        <v>137</v>
      </c>
      <c r="W2269" t="s">
        <v>92</v>
      </c>
      <c r="Y2269" t="s">
        <v>38</v>
      </c>
      <c r="AA2269" t="s">
        <v>38</v>
      </c>
      <c r="AB2269" t="s">
        <v>38</v>
      </c>
      <c r="AC2269" t="s">
        <v>38</v>
      </c>
      <c r="AD2269" t="s">
        <v>48</v>
      </c>
      <c r="AG2269" t="str">
        <f>IF(AD2269="United States", IFERROR(INDEX(Sheet2!$C:$C, MATCH(AE2269&amp;AF2269, Sheet2!$E:$E, 0)) &amp; ", " &amp; INDEX(Sheet2!$D:$D, MATCH(AE2269&amp;AF2269, Sheet2!$E:$E, 0)), ""), "-")</f>
        <v/>
      </c>
    </row>
    <row r="2270" spans="1:33" x14ac:dyDescent="0.25">
      <c r="A2270" t="s">
        <v>3648</v>
      </c>
      <c r="D2270" t="s">
        <v>352</v>
      </c>
      <c r="E2270" t="s">
        <v>402</v>
      </c>
      <c r="F2270">
        <v>1760</v>
      </c>
      <c r="G2270">
        <v>1612</v>
      </c>
      <c r="H2270">
        <v>56</v>
      </c>
      <c r="J2270" t="s">
        <v>3119</v>
      </c>
      <c r="O2270" t="s">
        <v>57</v>
      </c>
      <c r="R2270" t="s">
        <v>2452</v>
      </c>
      <c r="T2270" t="s">
        <v>89</v>
      </c>
      <c r="U2270" t="s">
        <v>2453</v>
      </c>
      <c r="V2270" t="s">
        <v>137</v>
      </c>
      <c r="W2270" t="s">
        <v>92</v>
      </c>
      <c r="Y2270" t="s">
        <v>38</v>
      </c>
      <c r="AA2270" t="s">
        <v>38</v>
      </c>
      <c r="AB2270" t="s">
        <v>38</v>
      </c>
      <c r="AC2270" t="s">
        <v>38</v>
      </c>
      <c r="AD2270" t="s">
        <v>48</v>
      </c>
      <c r="AG2270" t="str">
        <f>IF(AD2270="United States", IFERROR(INDEX(Sheet2!$C:$C, MATCH(AE2270&amp;AF2270, Sheet2!$E:$E, 0)) &amp; ", " &amp; INDEX(Sheet2!$D:$D, MATCH(AE2270&amp;AF2270, Sheet2!$E:$E, 0)), ""), "-")</f>
        <v/>
      </c>
    </row>
    <row r="2271" spans="1:33" x14ac:dyDescent="0.25">
      <c r="A2271" t="s">
        <v>3648</v>
      </c>
      <c r="D2271" t="s">
        <v>226</v>
      </c>
      <c r="E2271" t="s">
        <v>1175</v>
      </c>
      <c r="F2271">
        <v>1753</v>
      </c>
      <c r="G2271">
        <v>1611</v>
      </c>
      <c r="H2271">
        <v>56</v>
      </c>
      <c r="J2271" t="s">
        <v>3119</v>
      </c>
      <c r="O2271" t="s">
        <v>41</v>
      </c>
      <c r="R2271" t="s">
        <v>2452</v>
      </c>
      <c r="T2271" t="s">
        <v>89</v>
      </c>
      <c r="U2271" t="s">
        <v>2453</v>
      </c>
      <c r="V2271" t="s">
        <v>137</v>
      </c>
      <c r="W2271" t="s">
        <v>92</v>
      </c>
      <c r="Y2271" t="s">
        <v>38</v>
      </c>
      <c r="AA2271" t="s">
        <v>38</v>
      </c>
      <c r="AB2271" t="s">
        <v>38</v>
      </c>
      <c r="AC2271" t="s">
        <v>38</v>
      </c>
      <c r="AD2271" t="s">
        <v>48</v>
      </c>
      <c r="AG2271" t="str">
        <f>IF(AD2271="United States", IFERROR(INDEX(Sheet2!$C:$C, MATCH(AE2271&amp;AF2271, Sheet2!$E:$E, 0)) &amp; ", " &amp; INDEX(Sheet2!$D:$D, MATCH(AE2271&amp;AF2271, Sheet2!$E:$E, 0)), ""), "-")</f>
        <v/>
      </c>
    </row>
    <row r="2272" spans="1:33" x14ac:dyDescent="0.25">
      <c r="A2272" t="s">
        <v>3648</v>
      </c>
      <c r="D2272" t="s">
        <v>181</v>
      </c>
      <c r="E2272" t="s">
        <v>1175</v>
      </c>
      <c r="F2272">
        <v>1781</v>
      </c>
      <c r="G2272">
        <v>1610</v>
      </c>
      <c r="H2272">
        <v>56</v>
      </c>
      <c r="J2272" t="s">
        <v>3119</v>
      </c>
      <c r="O2272" t="s">
        <v>54</v>
      </c>
      <c r="R2272" t="s">
        <v>2452</v>
      </c>
      <c r="T2272" t="s">
        <v>89</v>
      </c>
      <c r="U2272" t="s">
        <v>2453</v>
      </c>
      <c r="V2272" t="s">
        <v>137</v>
      </c>
      <c r="W2272" t="s">
        <v>92</v>
      </c>
      <c r="Y2272" t="s">
        <v>38</v>
      </c>
      <c r="AA2272" t="s">
        <v>38</v>
      </c>
      <c r="AB2272" t="s">
        <v>38</v>
      </c>
      <c r="AC2272" t="s">
        <v>38</v>
      </c>
      <c r="AD2272" t="s">
        <v>48</v>
      </c>
      <c r="AG2272" t="str">
        <f>IF(AD2272="United States", IFERROR(INDEX(Sheet2!$C:$C, MATCH(AE2272&amp;AF2272, Sheet2!$E:$E, 0)) &amp; ", " &amp; INDEX(Sheet2!$D:$D, MATCH(AE2272&amp;AF2272, Sheet2!$E:$E, 0)), ""), "-")</f>
        <v/>
      </c>
    </row>
    <row r="2273" spans="1:33" x14ac:dyDescent="0.25">
      <c r="A2273" t="s">
        <v>3648</v>
      </c>
      <c r="D2273" t="s">
        <v>3011</v>
      </c>
      <c r="E2273" t="s">
        <v>1175</v>
      </c>
      <c r="F2273">
        <v>1758</v>
      </c>
      <c r="G2273">
        <v>1609</v>
      </c>
      <c r="H2273">
        <v>56</v>
      </c>
      <c r="J2273" t="s">
        <v>3119</v>
      </c>
      <c r="O2273" t="s">
        <v>57</v>
      </c>
      <c r="R2273" t="s">
        <v>2452</v>
      </c>
      <c r="T2273" t="s">
        <v>89</v>
      </c>
      <c r="U2273" t="s">
        <v>2453</v>
      </c>
      <c r="V2273" t="s">
        <v>137</v>
      </c>
      <c r="W2273" t="s">
        <v>92</v>
      </c>
      <c r="Y2273" t="s">
        <v>38</v>
      </c>
      <c r="AA2273" t="s">
        <v>38</v>
      </c>
      <c r="AB2273" t="s">
        <v>38</v>
      </c>
      <c r="AC2273" t="s">
        <v>38</v>
      </c>
      <c r="AD2273" t="s">
        <v>48</v>
      </c>
      <c r="AG2273" t="str">
        <f>IF(AD2273="United States", IFERROR(INDEX(Sheet2!$C:$C, MATCH(AE2273&amp;AF2273, Sheet2!$E:$E, 0)) &amp; ", " &amp; INDEX(Sheet2!$D:$D, MATCH(AE2273&amp;AF2273, Sheet2!$E:$E, 0)), ""), "-")</f>
        <v/>
      </c>
    </row>
    <row r="2274" spans="1:33" x14ac:dyDescent="0.25">
      <c r="A2274" t="s">
        <v>3648</v>
      </c>
      <c r="D2274" t="s">
        <v>181</v>
      </c>
      <c r="E2274" t="s">
        <v>1879</v>
      </c>
      <c r="F2274">
        <v>1779</v>
      </c>
      <c r="G2274">
        <v>1608</v>
      </c>
      <c r="H2274">
        <v>56</v>
      </c>
      <c r="J2274" t="s">
        <v>3119</v>
      </c>
      <c r="O2274" t="s">
        <v>74</v>
      </c>
      <c r="R2274" t="s">
        <v>2452</v>
      </c>
      <c r="T2274" t="s">
        <v>89</v>
      </c>
      <c r="U2274" t="s">
        <v>2453</v>
      </c>
      <c r="V2274" t="s">
        <v>137</v>
      </c>
      <c r="W2274" t="s">
        <v>92</v>
      </c>
      <c r="Y2274" t="s">
        <v>38</v>
      </c>
      <c r="AA2274" t="s">
        <v>38</v>
      </c>
      <c r="AB2274" t="s">
        <v>38</v>
      </c>
      <c r="AC2274" t="s">
        <v>38</v>
      </c>
      <c r="AD2274" t="s">
        <v>48</v>
      </c>
      <c r="AG2274" t="str">
        <f>IF(AD2274="United States", IFERROR(INDEX(Sheet2!$C:$C, MATCH(AE2274&amp;AF2274, Sheet2!$E:$E, 0)) &amp; ", " &amp; INDEX(Sheet2!$D:$D, MATCH(AE2274&amp;AF2274, Sheet2!$E:$E, 0)), ""), "-")</f>
        <v/>
      </c>
    </row>
    <row r="2275" spans="1:33" x14ac:dyDescent="0.25">
      <c r="A2275" t="s">
        <v>3648</v>
      </c>
      <c r="D2275" t="s">
        <v>181</v>
      </c>
      <c r="E2275" t="s">
        <v>1879</v>
      </c>
      <c r="F2275">
        <v>1776</v>
      </c>
      <c r="G2275">
        <v>1607</v>
      </c>
      <c r="H2275">
        <v>56</v>
      </c>
      <c r="J2275" t="s">
        <v>3119</v>
      </c>
      <c r="O2275" t="s">
        <v>74</v>
      </c>
      <c r="R2275" t="s">
        <v>2452</v>
      </c>
      <c r="T2275" t="s">
        <v>89</v>
      </c>
      <c r="U2275" t="s">
        <v>2453</v>
      </c>
      <c r="V2275" t="s">
        <v>137</v>
      </c>
      <c r="W2275" t="s">
        <v>92</v>
      </c>
      <c r="Y2275" t="s">
        <v>38</v>
      </c>
      <c r="AA2275" t="s">
        <v>38</v>
      </c>
      <c r="AB2275" t="s">
        <v>38</v>
      </c>
      <c r="AC2275" t="s">
        <v>38</v>
      </c>
      <c r="AD2275" t="s">
        <v>48</v>
      </c>
      <c r="AG2275" t="str">
        <f>IF(AD2275="United States", IFERROR(INDEX(Sheet2!$C:$C, MATCH(AE2275&amp;AF2275, Sheet2!$E:$E, 0)) &amp; ", " &amp; INDEX(Sheet2!$D:$D, MATCH(AE2275&amp;AF2275, Sheet2!$E:$E, 0)), ""), "-")</f>
        <v/>
      </c>
    </row>
    <row r="2276" spans="1:33" x14ac:dyDescent="0.25">
      <c r="A2276" t="s">
        <v>3648</v>
      </c>
      <c r="D2276" t="s">
        <v>3659</v>
      </c>
      <c r="E2276" t="s">
        <v>1879</v>
      </c>
      <c r="F2276">
        <v>1759</v>
      </c>
      <c r="G2276">
        <v>1606</v>
      </c>
      <c r="H2276">
        <v>56</v>
      </c>
      <c r="J2276" t="s">
        <v>3119</v>
      </c>
      <c r="O2276" t="s">
        <v>57</v>
      </c>
      <c r="R2276" t="s">
        <v>2452</v>
      </c>
      <c r="T2276" t="s">
        <v>89</v>
      </c>
      <c r="U2276" t="s">
        <v>2453</v>
      </c>
      <c r="V2276" t="s">
        <v>137</v>
      </c>
      <c r="W2276" t="s">
        <v>92</v>
      </c>
      <c r="Y2276" t="s">
        <v>38</v>
      </c>
      <c r="AA2276" t="s">
        <v>38</v>
      </c>
      <c r="AB2276" t="s">
        <v>38</v>
      </c>
      <c r="AC2276" t="s">
        <v>38</v>
      </c>
      <c r="AD2276" t="s">
        <v>48</v>
      </c>
      <c r="AG2276" t="str">
        <f>IF(AD2276="United States", IFERROR(INDEX(Sheet2!$C:$C, MATCH(AE2276&amp;AF2276, Sheet2!$E:$E, 0)) &amp; ", " &amp; INDEX(Sheet2!$D:$D, MATCH(AE2276&amp;AF2276, Sheet2!$E:$E, 0)), ""), "-")</f>
        <v/>
      </c>
    </row>
    <row r="2277" spans="1:33" x14ac:dyDescent="0.25">
      <c r="A2277" t="s">
        <v>3648</v>
      </c>
      <c r="D2277" t="s">
        <v>1174</v>
      </c>
      <c r="E2277" t="s">
        <v>3017</v>
      </c>
      <c r="F2277">
        <v>1753</v>
      </c>
      <c r="G2277">
        <v>1605</v>
      </c>
      <c r="H2277">
        <v>56</v>
      </c>
      <c r="J2277" t="s">
        <v>3119</v>
      </c>
      <c r="O2277" t="s">
        <v>41</v>
      </c>
      <c r="R2277" t="s">
        <v>2452</v>
      </c>
      <c r="T2277" t="s">
        <v>89</v>
      </c>
      <c r="U2277" t="s">
        <v>2453</v>
      </c>
      <c r="V2277" t="s">
        <v>137</v>
      </c>
      <c r="W2277" t="s">
        <v>92</v>
      </c>
      <c r="Y2277" t="s">
        <v>38</v>
      </c>
      <c r="AA2277" t="s">
        <v>38</v>
      </c>
      <c r="AB2277" t="s">
        <v>38</v>
      </c>
      <c r="AC2277" t="s">
        <v>38</v>
      </c>
      <c r="AD2277" t="s">
        <v>48</v>
      </c>
      <c r="AG2277" t="str">
        <f>IF(AD2277="United States", IFERROR(INDEX(Sheet2!$C:$C, MATCH(AE2277&amp;AF2277, Sheet2!$E:$E, 0)) &amp; ", " &amp; INDEX(Sheet2!$D:$D, MATCH(AE2277&amp;AF2277, Sheet2!$E:$E, 0)), ""), "-")</f>
        <v/>
      </c>
    </row>
    <row r="2278" spans="1:33" x14ac:dyDescent="0.25">
      <c r="A2278" t="s">
        <v>3648</v>
      </c>
      <c r="D2278" t="s">
        <v>36</v>
      </c>
      <c r="E2278" t="s">
        <v>1879</v>
      </c>
      <c r="F2278">
        <v>1757</v>
      </c>
      <c r="G2278">
        <v>1604</v>
      </c>
      <c r="H2278">
        <v>56</v>
      </c>
      <c r="J2278" t="s">
        <v>3119</v>
      </c>
      <c r="O2278" t="s">
        <v>41</v>
      </c>
      <c r="R2278" t="s">
        <v>2452</v>
      </c>
      <c r="T2278" t="s">
        <v>89</v>
      </c>
      <c r="U2278" t="s">
        <v>2453</v>
      </c>
      <c r="V2278" t="s">
        <v>137</v>
      </c>
      <c r="W2278" t="s">
        <v>92</v>
      </c>
      <c r="Y2278" t="s">
        <v>38</v>
      </c>
      <c r="AA2278" t="s">
        <v>38</v>
      </c>
      <c r="AB2278" t="s">
        <v>38</v>
      </c>
      <c r="AC2278" t="s">
        <v>38</v>
      </c>
      <c r="AD2278" t="s">
        <v>48</v>
      </c>
      <c r="AG2278" t="str">
        <f>IF(AD2278="United States", IFERROR(INDEX(Sheet2!$C:$C, MATCH(AE2278&amp;AF2278, Sheet2!$E:$E, 0)) &amp; ", " &amp; INDEX(Sheet2!$D:$D, MATCH(AE2278&amp;AF2278, Sheet2!$E:$E, 0)), ""), "-")</f>
        <v/>
      </c>
    </row>
    <row r="2279" spans="1:33" x14ac:dyDescent="0.25">
      <c r="A2279" t="s">
        <v>3648</v>
      </c>
      <c r="D2279" t="s">
        <v>2463</v>
      </c>
      <c r="E2279" t="s">
        <v>2836</v>
      </c>
      <c r="F2279">
        <v>1743</v>
      </c>
      <c r="G2279">
        <v>1603</v>
      </c>
      <c r="H2279">
        <v>56</v>
      </c>
      <c r="J2279" t="s">
        <v>3119</v>
      </c>
      <c r="O2279" t="s">
        <v>41</v>
      </c>
      <c r="R2279" t="s">
        <v>2452</v>
      </c>
      <c r="T2279" t="s">
        <v>89</v>
      </c>
      <c r="U2279" t="s">
        <v>2453</v>
      </c>
      <c r="V2279" t="s">
        <v>137</v>
      </c>
      <c r="W2279" t="s">
        <v>92</v>
      </c>
      <c r="Y2279" t="s">
        <v>38</v>
      </c>
      <c r="AA2279" t="s">
        <v>38</v>
      </c>
      <c r="AB2279" t="s">
        <v>38</v>
      </c>
      <c r="AC2279" t="s">
        <v>38</v>
      </c>
      <c r="AD2279" t="s">
        <v>48</v>
      </c>
      <c r="AG2279" t="str">
        <f>IF(AD2279="United States", IFERROR(INDEX(Sheet2!$C:$C, MATCH(AE2279&amp;AF2279, Sheet2!$E:$E, 0)) &amp; ", " &amp; INDEX(Sheet2!$D:$D, MATCH(AE2279&amp;AF2279, Sheet2!$E:$E, 0)), ""), "-")</f>
        <v/>
      </c>
    </row>
    <row r="2280" spans="1:33" x14ac:dyDescent="0.25">
      <c r="A2280" t="s">
        <v>3648</v>
      </c>
      <c r="D2280" t="s">
        <v>132</v>
      </c>
      <c r="E2280" t="s">
        <v>1337</v>
      </c>
      <c r="F2280">
        <v>1758</v>
      </c>
      <c r="G2280">
        <v>1602</v>
      </c>
      <c r="H2280">
        <v>56</v>
      </c>
      <c r="J2280" t="s">
        <v>3119</v>
      </c>
      <c r="O2280" t="s">
        <v>41</v>
      </c>
      <c r="R2280" t="s">
        <v>2452</v>
      </c>
      <c r="T2280" t="s">
        <v>89</v>
      </c>
      <c r="U2280" t="s">
        <v>2453</v>
      </c>
      <c r="V2280" t="s">
        <v>137</v>
      </c>
      <c r="W2280" t="s">
        <v>92</v>
      </c>
      <c r="Y2280" t="s">
        <v>38</v>
      </c>
      <c r="AA2280" t="s">
        <v>38</v>
      </c>
      <c r="AB2280" t="s">
        <v>38</v>
      </c>
      <c r="AC2280" t="s">
        <v>38</v>
      </c>
      <c r="AD2280" t="s">
        <v>48</v>
      </c>
      <c r="AG2280" t="str">
        <f>IF(AD2280="United States", IFERROR(INDEX(Sheet2!$C:$C, MATCH(AE2280&amp;AF2280, Sheet2!$E:$E, 0)) &amp; ", " &amp; INDEX(Sheet2!$D:$D, MATCH(AE2280&amp;AF2280, Sheet2!$E:$E, 0)), ""), "-")</f>
        <v/>
      </c>
    </row>
    <row r="2281" spans="1:33" x14ac:dyDescent="0.25">
      <c r="A2281" t="s">
        <v>3648</v>
      </c>
      <c r="D2281" t="s">
        <v>1638</v>
      </c>
      <c r="E2281" t="s">
        <v>402</v>
      </c>
      <c r="F2281">
        <v>1743</v>
      </c>
      <c r="G2281">
        <v>1601</v>
      </c>
      <c r="H2281">
        <v>56</v>
      </c>
      <c r="J2281" t="s">
        <v>3119</v>
      </c>
      <c r="O2281" t="s">
        <v>41</v>
      </c>
      <c r="R2281" t="s">
        <v>2452</v>
      </c>
      <c r="T2281" t="s">
        <v>89</v>
      </c>
      <c r="U2281" t="s">
        <v>2453</v>
      </c>
      <c r="V2281" t="s">
        <v>137</v>
      </c>
      <c r="W2281" t="s">
        <v>92</v>
      </c>
      <c r="Y2281" t="s">
        <v>38</v>
      </c>
      <c r="AA2281" t="s">
        <v>38</v>
      </c>
      <c r="AB2281" t="s">
        <v>38</v>
      </c>
      <c r="AC2281" t="s">
        <v>38</v>
      </c>
      <c r="AD2281" t="s">
        <v>48</v>
      </c>
      <c r="AG2281" t="str">
        <f>IF(AD2281="United States", IFERROR(INDEX(Sheet2!$C:$C, MATCH(AE2281&amp;AF2281, Sheet2!$E:$E, 0)) &amp; ", " &amp; INDEX(Sheet2!$D:$D, MATCH(AE2281&amp;AF2281, Sheet2!$E:$E, 0)), ""), "-")</f>
        <v/>
      </c>
    </row>
    <row r="2282" spans="1:33" x14ac:dyDescent="0.25">
      <c r="A2282" t="s">
        <v>3648</v>
      </c>
      <c r="D2282" t="s">
        <v>463</v>
      </c>
      <c r="E2282" t="s">
        <v>633</v>
      </c>
      <c r="F2282">
        <v>1753</v>
      </c>
      <c r="G2282">
        <v>1600</v>
      </c>
      <c r="H2282">
        <v>56</v>
      </c>
      <c r="J2282" t="s">
        <v>3119</v>
      </c>
      <c r="O2282" t="s">
        <v>41</v>
      </c>
      <c r="R2282" t="s">
        <v>2452</v>
      </c>
      <c r="T2282" t="s">
        <v>89</v>
      </c>
      <c r="U2282" t="s">
        <v>2453</v>
      </c>
      <c r="V2282" t="s">
        <v>137</v>
      </c>
      <c r="W2282" t="s">
        <v>92</v>
      </c>
      <c r="Y2282" t="s">
        <v>38</v>
      </c>
      <c r="AA2282" t="s">
        <v>38</v>
      </c>
      <c r="AB2282" t="s">
        <v>38</v>
      </c>
      <c r="AC2282" t="s">
        <v>38</v>
      </c>
      <c r="AD2282" t="s">
        <v>48</v>
      </c>
      <c r="AG2282" t="str">
        <f>IF(AD2282="United States", IFERROR(INDEX(Sheet2!$C:$C, MATCH(AE2282&amp;AF2282, Sheet2!$E:$E, 0)) &amp; ", " &amp; INDEX(Sheet2!$D:$D, MATCH(AE2282&amp;AF2282, Sheet2!$E:$E, 0)), ""), "-")</f>
        <v/>
      </c>
    </row>
    <row r="2283" spans="1:33" x14ac:dyDescent="0.25">
      <c r="A2283" t="s">
        <v>3648</v>
      </c>
      <c r="D2283" t="s">
        <v>181</v>
      </c>
      <c r="E2283" t="s">
        <v>2982</v>
      </c>
      <c r="F2283">
        <v>1782</v>
      </c>
      <c r="G2283">
        <v>1599</v>
      </c>
      <c r="H2283">
        <v>56</v>
      </c>
      <c r="J2283" t="s">
        <v>3119</v>
      </c>
      <c r="O2283" t="s">
        <v>183</v>
      </c>
      <c r="R2283" t="s">
        <v>2452</v>
      </c>
      <c r="T2283" t="s">
        <v>89</v>
      </c>
      <c r="U2283" t="s">
        <v>2453</v>
      </c>
      <c r="V2283" t="s">
        <v>137</v>
      </c>
      <c r="W2283" t="s">
        <v>92</v>
      </c>
      <c r="Y2283" t="s">
        <v>38</v>
      </c>
      <c r="AA2283" t="s">
        <v>38</v>
      </c>
      <c r="AB2283" t="s">
        <v>38</v>
      </c>
      <c r="AC2283" t="s">
        <v>38</v>
      </c>
      <c r="AD2283" t="s">
        <v>48</v>
      </c>
      <c r="AG2283" t="str">
        <f>IF(AD2283="United States", IFERROR(INDEX(Sheet2!$C:$C, MATCH(AE2283&amp;AF2283, Sheet2!$E:$E, 0)) &amp; ", " &amp; INDEX(Sheet2!$D:$D, MATCH(AE2283&amp;AF2283, Sheet2!$E:$E, 0)), ""), "-")</f>
        <v/>
      </c>
    </row>
    <row r="2284" spans="1:33" x14ac:dyDescent="0.25">
      <c r="A2284" t="s">
        <v>3648</v>
      </c>
      <c r="D2284" t="s">
        <v>181</v>
      </c>
      <c r="E2284" t="s">
        <v>2982</v>
      </c>
      <c r="F2284">
        <v>1780</v>
      </c>
      <c r="G2284">
        <v>1598</v>
      </c>
      <c r="H2284">
        <v>56</v>
      </c>
      <c r="J2284" t="s">
        <v>3119</v>
      </c>
      <c r="O2284" t="s">
        <v>183</v>
      </c>
      <c r="R2284" t="s">
        <v>2452</v>
      </c>
      <c r="T2284" t="s">
        <v>89</v>
      </c>
      <c r="U2284" t="s">
        <v>2453</v>
      </c>
      <c r="V2284" t="s">
        <v>137</v>
      </c>
      <c r="W2284" t="s">
        <v>92</v>
      </c>
      <c r="Y2284" t="s">
        <v>38</v>
      </c>
      <c r="AA2284" t="s">
        <v>38</v>
      </c>
      <c r="AB2284" t="s">
        <v>38</v>
      </c>
      <c r="AC2284" t="s">
        <v>38</v>
      </c>
      <c r="AD2284" t="s">
        <v>48</v>
      </c>
      <c r="AG2284" t="str">
        <f>IF(AD2284="United States", IFERROR(INDEX(Sheet2!$C:$C, MATCH(AE2284&amp;AF2284, Sheet2!$E:$E, 0)) &amp; ", " &amp; INDEX(Sheet2!$D:$D, MATCH(AE2284&amp;AF2284, Sheet2!$E:$E, 0)), ""), "-")</f>
        <v/>
      </c>
    </row>
    <row r="2285" spans="1:33" x14ac:dyDescent="0.25">
      <c r="A2285" t="s">
        <v>3648</v>
      </c>
      <c r="D2285" t="s">
        <v>1413</v>
      </c>
      <c r="E2285" t="s">
        <v>2982</v>
      </c>
      <c r="F2285">
        <v>1760</v>
      </c>
      <c r="G2285">
        <v>1597</v>
      </c>
      <c r="H2285">
        <v>56</v>
      </c>
      <c r="J2285" t="s">
        <v>3119</v>
      </c>
      <c r="O2285" t="s">
        <v>57</v>
      </c>
      <c r="R2285" t="s">
        <v>2452</v>
      </c>
      <c r="T2285" t="s">
        <v>89</v>
      </c>
      <c r="U2285" t="s">
        <v>2453</v>
      </c>
      <c r="V2285" t="s">
        <v>137</v>
      </c>
      <c r="W2285" t="s">
        <v>92</v>
      </c>
      <c r="Y2285" t="s">
        <v>38</v>
      </c>
      <c r="AA2285" t="s">
        <v>38</v>
      </c>
      <c r="AB2285" t="s">
        <v>38</v>
      </c>
      <c r="AC2285" t="s">
        <v>38</v>
      </c>
      <c r="AD2285" t="s">
        <v>48</v>
      </c>
      <c r="AG2285" t="str">
        <f>IF(AD2285="United States", IFERROR(INDEX(Sheet2!$C:$C, MATCH(AE2285&amp;AF2285, Sheet2!$E:$E, 0)) &amp; ", " &amp; INDEX(Sheet2!$D:$D, MATCH(AE2285&amp;AF2285, Sheet2!$E:$E, 0)), ""), "-")</f>
        <v/>
      </c>
    </row>
    <row r="2286" spans="1:33" x14ac:dyDescent="0.25">
      <c r="A2286" t="s">
        <v>3648</v>
      </c>
      <c r="D2286" t="s">
        <v>132</v>
      </c>
      <c r="E2286" t="s">
        <v>3549</v>
      </c>
      <c r="F2286">
        <v>1771</v>
      </c>
      <c r="G2286">
        <v>1497</v>
      </c>
      <c r="H2286">
        <v>54</v>
      </c>
      <c r="J2286" t="s">
        <v>3119</v>
      </c>
      <c r="O2286" t="s">
        <v>54</v>
      </c>
      <c r="R2286" t="s">
        <v>2452</v>
      </c>
      <c r="T2286" t="s">
        <v>89</v>
      </c>
      <c r="U2286" t="s">
        <v>2453</v>
      </c>
      <c r="V2286" t="s">
        <v>137</v>
      </c>
      <c r="W2286" t="s">
        <v>92</v>
      </c>
      <c r="Y2286" t="s">
        <v>38</v>
      </c>
      <c r="AA2286" t="s">
        <v>38</v>
      </c>
      <c r="AB2286" t="s">
        <v>38</v>
      </c>
      <c r="AC2286" t="s">
        <v>38</v>
      </c>
      <c r="AD2286" t="s">
        <v>48</v>
      </c>
      <c r="AG2286" t="str">
        <f>IF(AD2286="United States", IFERROR(INDEX(Sheet2!$C:$C, MATCH(AE2286&amp;AF2286, Sheet2!$E:$E, 0)) &amp; ", " &amp; INDEX(Sheet2!$D:$D, MATCH(AE2286&amp;AF2286, Sheet2!$E:$E, 0)), ""), "-")</f>
        <v/>
      </c>
    </row>
    <row r="2287" spans="1:33" x14ac:dyDescent="0.25">
      <c r="A2287" t="s">
        <v>3648</v>
      </c>
      <c r="D2287" t="s">
        <v>181</v>
      </c>
      <c r="E2287" t="s">
        <v>1084</v>
      </c>
      <c r="F2287">
        <v>1777</v>
      </c>
      <c r="G2287">
        <v>1529</v>
      </c>
      <c r="H2287">
        <v>55</v>
      </c>
      <c r="J2287" t="s">
        <v>3119</v>
      </c>
      <c r="O2287" t="s">
        <v>183</v>
      </c>
      <c r="R2287" t="s">
        <v>2452</v>
      </c>
      <c r="T2287" t="s">
        <v>89</v>
      </c>
      <c r="U2287" t="s">
        <v>2453</v>
      </c>
      <c r="V2287" t="s">
        <v>137</v>
      </c>
      <c r="W2287" t="s">
        <v>92</v>
      </c>
      <c r="Y2287" t="s">
        <v>38</v>
      </c>
      <c r="AA2287" t="s">
        <v>38</v>
      </c>
      <c r="AB2287" t="s">
        <v>38</v>
      </c>
      <c r="AC2287" t="s">
        <v>38</v>
      </c>
      <c r="AD2287" t="s">
        <v>48</v>
      </c>
      <c r="AG2287" t="str">
        <f>IF(AD2287="United States", IFERROR(INDEX(Sheet2!$C:$C, MATCH(AE2287&amp;AF2287, Sheet2!$E:$E, 0)) &amp; ", " &amp; INDEX(Sheet2!$D:$D, MATCH(AE2287&amp;AF2287, Sheet2!$E:$E, 0)), ""), "-")</f>
        <v/>
      </c>
    </row>
    <row r="2288" spans="1:33" x14ac:dyDescent="0.25">
      <c r="A2288" t="s">
        <v>3648</v>
      </c>
      <c r="D2288" t="s">
        <v>181</v>
      </c>
      <c r="E2288" t="s">
        <v>1084</v>
      </c>
      <c r="F2288">
        <v>1780</v>
      </c>
      <c r="G2288">
        <v>1530</v>
      </c>
      <c r="H2288">
        <v>55</v>
      </c>
      <c r="J2288" t="s">
        <v>3119</v>
      </c>
      <c r="O2288" t="s">
        <v>183</v>
      </c>
      <c r="R2288" t="s">
        <v>2452</v>
      </c>
      <c r="T2288" t="s">
        <v>89</v>
      </c>
      <c r="U2288" t="s">
        <v>2453</v>
      </c>
      <c r="V2288" t="s">
        <v>137</v>
      </c>
      <c r="W2288" t="s">
        <v>92</v>
      </c>
      <c r="Y2288" t="s">
        <v>38</v>
      </c>
      <c r="AA2288" t="s">
        <v>38</v>
      </c>
      <c r="AB2288" t="s">
        <v>38</v>
      </c>
      <c r="AC2288" t="s">
        <v>38</v>
      </c>
      <c r="AD2288" t="s">
        <v>48</v>
      </c>
      <c r="AG2288" t="str">
        <f>IF(AD2288="United States", IFERROR(INDEX(Sheet2!$C:$C, MATCH(AE2288&amp;AF2288, Sheet2!$E:$E, 0)) &amp; ", " &amp; INDEX(Sheet2!$D:$D, MATCH(AE2288&amp;AF2288, Sheet2!$E:$E, 0)), ""), "-")</f>
        <v/>
      </c>
    </row>
    <row r="2289" spans="1:33" x14ac:dyDescent="0.25">
      <c r="A2289" t="s">
        <v>3648</v>
      </c>
      <c r="D2289" t="s">
        <v>181</v>
      </c>
      <c r="E2289" t="s">
        <v>1084</v>
      </c>
      <c r="F2289" t="s">
        <v>38</v>
      </c>
      <c r="G2289">
        <v>1531</v>
      </c>
      <c r="H2289">
        <v>55</v>
      </c>
      <c r="J2289" t="s">
        <v>3119</v>
      </c>
      <c r="O2289" t="s">
        <v>183</v>
      </c>
      <c r="R2289" t="s">
        <v>2452</v>
      </c>
      <c r="T2289" t="s">
        <v>89</v>
      </c>
      <c r="U2289" t="s">
        <v>2453</v>
      </c>
      <c r="V2289" t="s">
        <v>137</v>
      </c>
      <c r="W2289" t="s">
        <v>92</v>
      </c>
      <c r="Y2289" t="s">
        <v>38</v>
      </c>
      <c r="AA2289" t="s">
        <v>38</v>
      </c>
      <c r="AB2289" t="s">
        <v>38</v>
      </c>
      <c r="AC2289" t="s">
        <v>38</v>
      </c>
      <c r="AD2289" t="s">
        <v>48</v>
      </c>
      <c r="AG2289" t="str">
        <f>IF(AD2289="United States", IFERROR(INDEX(Sheet2!$C:$C, MATCH(AE2289&amp;AF2289, Sheet2!$E:$E, 0)) &amp; ", " &amp; INDEX(Sheet2!$D:$D, MATCH(AE2289&amp;AF2289, Sheet2!$E:$E, 0)), ""), "-")</f>
        <v/>
      </c>
    </row>
    <row r="2290" spans="1:33" x14ac:dyDescent="0.25">
      <c r="A2290" t="s">
        <v>3648</v>
      </c>
      <c r="D2290" t="s">
        <v>3116</v>
      </c>
      <c r="E2290" t="s">
        <v>226</v>
      </c>
      <c r="F2290">
        <v>1728</v>
      </c>
      <c r="G2290">
        <v>1532</v>
      </c>
      <c r="H2290">
        <v>55</v>
      </c>
      <c r="J2290" t="s">
        <v>3119</v>
      </c>
      <c r="O2290" t="s">
        <v>41</v>
      </c>
      <c r="R2290" t="s">
        <v>2452</v>
      </c>
      <c r="T2290" t="s">
        <v>89</v>
      </c>
      <c r="U2290" t="s">
        <v>2453</v>
      </c>
      <c r="V2290" t="s">
        <v>137</v>
      </c>
      <c r="W2290" t="s">
        <v>92</v>
      </c>
      <c r="Y2290" t="s">
        <v>38</v>
      </c>
      <c r="AA2290" t="s">
        <v>38</v>
      </c>
      <c r="AB2290" t="s">
        <v>38</v>
      </c>
      <c r="AC2290" t="s">
        <v>38</v>
      </c>
      <c r="AD2290" t="s">
        <v>48</v>
      </c>
      <c r="AG2290" t="str">
        <f>IF(AD2290="United States", IFERROR(INDEX(Sheet2!$C:$C, MATCH(AE2290&amp;AF2290, Sheet2!$E:$E, 0)) &amp; ", " &amp; INDEX(Sheet2!$D:$D, MATCH(AE2290&amp;AF2290, Sheet2!$E:$E, 0)), ""), "-")</f>
        <v/>
      </c>
    </row>
    <row r="2291" spans="1:33" x14ac:dyDescent="0.25">
      <c r="A2291" t="s">
        <v>3648</v>
      </c>
      <c r="D2291" t="s">
        <v>210</v>
      </c>
      <c r="E2291" t="s">
        <v>226</v>
      </c>
      <c r="F2291">
        <v>1725</v>
      </c>
      <c r="G2291">
        <v>1582</v>
      </c>
      <c r="H2291">
        <v>56</v>
      </c>
      <c r="J2291" t="s">
        <v>3119</v>
      </c>
      <c r="O2291" t="s">
        <v>41</v>
      </c>
      <c r="R2291" t="s">
        <v>2452</v>
      </c>
      <c r="T2291" t="s">
        <v>89</v>
      </c>
      <c r="U2291" t="s">
        <v>2453</v>
      </c>
      <c r="V2291" t="s">
        <v>137</v>
      </c>
      <c r="W2291" t="s">
        <v>92</v>
      </c>
      <c r="Y2291" t="s">
        <v>38</v>
      </c>
      <c r="AA2291" t="s">
        <v>38</v>
      </c>
      <c r="AB2291" t="s">
        <v>38</v>
      </c>
      <c r="AC2291" t="s">
        <v>38</v>
      </c>
      <c r="AD2291" t="s">
        <v>48</v>
      </c>
      <c r="AG2291" t="str">
        <f>IF(AD2291="United States", IFERROR(INDEX(Sheet2!$C:$C, MATCH(AE2291&amp;AF2291, Sheet2!$E:$E, 0)) &amp; ", " &amp; INDEX(Sheet2!$D:$D, MATCH(AE2291&amp;AF2291, Sheet2!$E:$E, 0)), ""), "-")</f>
        <v/>
      </c>
    </row>
    <row r="2292" spans="1:33" x14ac:dyDescent="0.25">
      <c r="A2292" t="s">
        <v>3648</v>
      </c>
      <c r="D2292" t="s">
        <v>181</v>
      </c>
      <c r="E2292" t="s">
        <v>226</v>
      </c>
      <c r="F2292">
        <v>1775</v>
      </c>
      <c r="G2292">
        <v>1581</v>
      </c>
      <c r="H2292">
        <v>56</v>
      </c>
      <c r="J2292" t="s">
        <v>3119</v>
      </c>
      <c r="O2292" t="s">
        <v>74</v>
      </c>
      <c r="R2292" t="s">
        <v>2452</v>
      </c>
      <c r="T2292" t="s">
        <v>89</v>
      </c>
      <c r="U2292" t="s">
        <v>2453</v>
      </c>
      <c r="V2292" t="s">
        <v>137</v>
      </c>
      <c r="W2292" t="s">
        <v>92</v>
      </c>
      <c r="Y2292" t="s">
        <v>38</v>
      </c>
      <c r="AA2292" t="s">
        <v>38</v>
      </c>
      <c r="AB2292" t="s">
        <v>38</v>
      </c>
      <c r="AC2292" t="s">
        <v>38</v>
      </c>
      <c r="AD2292" t="s">
        <v>48</v>
      </c>
      <c r="AG2292" t="str">
        <f>IF(AD2292="United States", IFERROR(INDEX(Sheet2!$C:$C, MATCH(AE2292&amp;AF2292, Sheet2!$E:$E, 0)) &amp; ", " &amp; INDEX(Sheet2!$D:$D, MATCH(AE2292&amp;AF2292, Sheet2!$E:$E, 0)), ""), "-")</f>
        <v/>
      </c>
    </row>
    <row r="2293" spans="1:33" x14ac:dyDescent="0.25">
      <c r="A2293" t="s">
        <v>3648</v>
      </c>
      <c r="D2293" t="s">
        <v>52</v>
      </c>
      <c r="E2293" t="s">
        <v>226</v>
      </c>
      <c r="F2293">
        <v>1731</v>
      </c>
      <c r="G2293">
        <v>1580</v>
      </c>
      <c r="H2293">
        <v>56</v>
      </c>
      <c r="J2293" t="s">
        <v>3119</v>
      </c>
      <c r="O2293" t="s">
        <v>57</v>
      </c>
      <c r="R2293" t="s">
        <v>2452</v>
      </c>
      <c r="T2293" t="s">
        <v>89</v>
      </c>
      <c r="U2293" t="s">
        <v>2453</v>
      </c>
      <c r="V2293" t="s">
        <v>137</v>
      </c>
      <c r="W2293" t="s">
        <v>92</v>
      </c>
      <c r="Y2293" t="s">
        <v>38</v>
      </c>
      <c r="AA2293" t="s">
        <v>38</v>
      </c>
      <c r="AB2293" t="s">
        <v>38</v>
      </c>
      <c r="AC2293" t="s">
        <v>38</v>
      </c>
      <c r="AD2293" t="s">
        <v>48</v>
      </c>
      <c r="AG2293" t="str">
        <f>IF(AD2293="United States", IFERROR(INDEX(Sheet2!$C:$C, MATCH(AE2293&amp;AF2293, Sheet2!$E:$E, 0)) &amp; ", " &amp; INDEX(Sheet2!$D:$D, MATCH(AE2293&amp;AF2293, Sheet2!$E:$E, 0)), ""), "-")</f>
        <v/>
      </c>
    </row>
    <row r="2294" spans="1:33" x14ac:dyDescent="0.25">
      <c r="A2294" t="s">
        <v>3648</v>
      </c>
      <c r="D2294" t="s">
        <v>3685</v>
      </c>
      <c r="E2294" t="s">
        <v>38</v>
      </c>
      <c r="F2294">
        <v>1753</v>
      </c>
      <c r="G2294">
        <v>1579</v>
      </c>
      <c r="H2294">
        <v>56</v>
      </c>
      <c r="J2294" t="s">
        <v>3119</v>
      </c>
      <c r="O2294" t="s">
        <v>57</v>
      </c>
      <c r="R2294" t="s">
        <v>2452</v>
      </c>
      <c r="T2294" t="s">
        <v>89</v>
      </c>
      <c r="U2294" t="s">
        <v>2453</v>
      </c>
      <c r="V2294" t="s">
        <v>137</v>
      </c>
      <c r="W2294" t="s">
        <v>92</v>
      </c>
      <c r="Y2294" t="s">
        <v>38</v>
      </c>
      <c r="AA2294" t="s">
        <v>38</v>
      </c>
      <c r="AB2294" t="s">
        <v>38</v>
      </c>
      <c r="AC2294" t="s">
        <v>38</v>
      </c>
      <c r="AD2294" t="s">
        <v>48</v>
      </c>
      <c r="AG2294" t="str">
        <f>IF(AD2294="United States", IFERROR(INDEX(Sheet2!$C:$C, MATCH(AE2294&amp;AF2294, Sheet2!$E:$E, 0)) &amp; ", " &amp; INDEX(Sheet2!$D:$D, MATCH(AE2294&amp;AF2294, Sheet2!$E:$E, 0)), ""), "-")</f>
        <v/>
      </c>
    </row>
    <row r="2295" spans="1:33" x14ac:dyDescent="0.25">
      <c r="A2295" t="s">
        <v>3648</v>
      </c>
      <c r="D2295" t="s">
        <v>210</v>
      </c>
      <c r="E2295" t="s">
        <v>3092</v>
      </c>
      <c r="F2295">
        <v>1716</v>
      </c>
      <c r="G2295">
        <v>1578</v>
      </c>
      <c r="H2295">
        <v>56</v>
      </c>
      <c r="J2295" t="s">
        <v>3119</v>
      </c>
      <c r="O2295" t="s">
        <v>41</v>
      </c>
      <c r="R2295" t="s">
        <v>2452</v>
      </c>
      <c r="T2295" t="s">
        <v>89</v>
      </c>
      <c r="U2295" t="s">
        <v>2453</v>
      </c>
      <c r="V2295" t="s">
        <v>137</v>
      </c>
      <c r="W2295" t="s">
        <v>92</v>
      </c>
      <c r="Y2295" t="s">
        <v>38</v>
      </c>
      <c r="AA2295" t="s">
        <v>38</v>
      </c>
      <c r="AB2295" t="s">
        <v>38</v>
      </c>
      <c r="AC2295" t="s">
        <v>38</v>
      </c>
      <c r="AD2295" t="s">
        <v>48</v>
      </c>
      <c r="AG2295" t="str">
        <f>IF(AD2295="United States", IFERROR(INDEX(Sheet2!$C:$C, MATCH(AE2295&amp;AF2295, Sheet2!$E:$E, 0)) &amp; ", " &amp; INDEX(Sheet2!$D:$D, MATCH(AE2295&amp;AF2295, Sheet2!$E:$E, 0)), ""), "-")</f>
        <v/>
      </c>
    </row>
    <row r="2296" spans="1:33" x14ac:dyDescent="0.25">
      <c r="A2296" t="s">
        <v>3648</v>
      </c>
      <c r="D2296" t="s">
        <v>193</v>
      </c>
      <c r="E2296" t="s">
        <v>3089</v>
      </c>
      <c r="F2296">
        <v>1747</v>
      </c>
      <c r="G2296">
        <v>1577</v>
      </c>
      <c r="H2296">
        <v>56</v>
      </c>
      <c r="J2296" t="s">
        <v>3119</v>
      </c>
      <c r="O2296" t="s">
        <v>41</v>
      </c>
      <c r="R2296" t="s">
        <v>2452</v>
      </c>
      <c r="T2296" t="s">
        <v>89</v>
      </c>
      <c r="U2296" t="s">
        <v>2453</v>
      </c>
      <c r="V2296" t="s">
        <v>137</v>
      </c>
      <c r="W2296" t="s">
        <v>92</v>
      </c>
      <c r="Y2296" t="s">
        <v>38</v>
      </c>
      <c r="AA2296" t="s">
        <v>38</v>
      </c>
      <c r="AB2296" t="s">
        <v>38</v>
      </c>
      <c r="AC2296" t="s">
        <v>38</v>
      </c>
      <c r="AD2296" t="s">
        <v>48</v>
      </c>
      <c r="AG2296" t="str">
        <f>IF(AD2296="United States", IFERROR(INDEX(Sheet2!$C:$C, MATCH(AE2296&amp;AF2296, Sheet2!$E:$E, 0)) &amp; ", " &amp; INDEX(Sheet2!$D:$D, MATCH(AE2296&amp;AF2296, Sheet2!$E:$E, 0)), ""), "-")</f>
        <v/>
      </c>
    </row>
    <row r="2297" spans="1:33" x14ac:dyDescent="0.25">
      <c r="A2297" t="s">
        <v>3648</v>
      </c>
      <c r="D2297" t="s">
        <v>226</v>
      </c>
      <c r="E2297" t="s">
        <v>3087</v>
      </c>
      <c r="F2297">
        <v>1760</v>
      </c>
      <c r="G2297">
        <v>1576</v>
      </c>
      <c r="H2297">
        <v>56</v>
      </c>
      <c r="J2297" t="s">
        <v>3119</v>
      </c>
      <c r="O2297" t="s">
        <v>41</v>
      </c>
      <c r="R2297" t="s">
        <v>2452</v>
      </c>
      <c r="T2297" t="s">
        <v>89</v>
      </c>
      <c r="U2297" t="s">
        <v>2453</v>
      </c>
      <c r="V2297" t="s">
        <v>137</v>
      </c>
      <c r="W2297" t="s">
        <v>92</v>
      </c>
      <c r="Y2297" t="s">
        <v>38</v>
      </c>
      <c r="AA2297" t="s">
        <v>38</v>
      </c>
      <c r="AB2297" t="s">
        <v>38</v>
      </c>
      <c r="AC2297" t="s">
        <v>38</v>
      </c>
      <c r="AD2297" t="s">
        <v>48</v>
      </c>
      <c r="AG2297" t="str">
        <f>IF(AD2297="United States", IFERROR(INDEX(Sheet2!$C:$C, MATCH(AE2297&amp;AF2297, Sheet2!$E:$E, 0)) &amp; ", " &amp; INDEX(Sheet2!$D:$D, MATCH(AE2297&amp;AF2297, Sheet2!$E:$E, 0)), ""), "-")</f>
        <v/>
      </c>
    </row>
    <row r="2298" spans="1:33" x14ac:dyDescent="0.25">
      <c r="A2298" t="s">
        <v>3648</v>
      </c>
      <c r="D2298" t="s">
        <v>390</v>
      </c>
      <c r="E2298" t="s">
        <v>3686</v>
      </c>
      <c r="F2298">
        <v>1728</v>
      </c>
      <c r="G2298">
        <v>1575</v>
      </c>
      <c r="H2298">
        <v>56</v>
      </c>
      <c r="J2298" t="s">
        <v>3119</v>
      </c>
      <c r="O2298" t="s">
        <v>41</v>
      </c>
      <c r="R2298" t="s">
        <v>2452</v>
      </c>
      <c r="T2298" t="s">
        <v>89</v>
      </c>
      <c r="U2298" t="s">
        <v>2453</v>
      </c>
      <c r="V2298" t="s">
        <v>137</v>
      </c>
      <c r="W2298" t="s">
        <v>92</v>
      </c>
      <c r="Y2298" t="s">
        <v>38</v>
      </c>
      <c r="AA2298" t="s">
        <v>38</v>
      </c>
      <c r="AB2298" t="s">
        <v>38</v>
      </c>
      <c r="AC2298" t="s">
        <v>38</v>
      </c>
      <c r="AD2298" t="s">
        <v>48</v>
      </c>
      <c r="AG2298" t="str">
        <f>IF(AD2298="United States", IFERROR(INDEX(Sheet2!$C:$C, MATCH(AE2298&amp;AF2298, Sheet2!$E:$E, 0)) &amp; ", " &amp; INDEX(Sheet2!$D:$D, MATCH(AE2298&amp;AF2298, Sheet2!$E:$E, 0)), ""), "-")</f>
        <v/>
      </c>
    </row>
    <row r="2299" spans="1:33" x14ac:dyDescent="0.25">
      <c r="A2299" t="s">
        <v>3648</v>
      </c>
      <c r="D2299" t="s">
        <v>3672</v>
      </c>
      <c r="E2299" t="s">
        <v>728</v>
      </c>
      <c r="F2299">
        <v>1748</v>
      </c>
      <c r="G2299">
        <v>1574</v>
      </c>
      <c r="H2299">
        <v>56</v>
      </c>
      <c r="J2299" t="s">
        <v>3119</v>
      </c>
      <c r="O2299" t="s">
        <v>41</v>
      </c>
      <c r="R2299" t="s">
        <v>2452</v>
      </c>
      <c r="T2299" t="s">
        <v>89</v>
      </c>
      <c r="U2299" t="s">
        <v>2453</v>
      </c>
      <c r="V2299" t="s">
        <v>137</v>
      </c>
      <c r="W2299" t="s">
        <v>92</v>
      </c>
      <c r="Y2299" t="s">
        <v>38</v>
      </c>
      <c r="AA2299" t="s">
        <v>38</v>
      </c>
      <c r="AB2299" t="s">
        <v>38</v>
      </c>
      <c r="AC2299" t="s">
        <v>38</v>
      </c>
      <c r="AD2299" t="s">
        <v>48</v>
      </c>
      <c r="AG2299" t="str">
        <f>IF(AD2299="United States", IFERROR(INDEX(Sheet2!$C:$C, MATCH(AE2299&amp;AF2299, Sheet2!$E:$E, 0)) &amp; ", " &amp; INDEX(Sheet2!$D:$D, MATCH(AE2299&amp;AF2299, Sheet2!$E:$E, 0)), ""), "-")</f>
        <v/>
      </c>
    </row>
    <row r="2300" spans="1:33" x14ac:dyDescent="0.25">
      <c r="A2300" t="s">
        <v>3648</v>
      </c>
      <c r="D2300" t="s">
        <v>807</v>
      </c>
      <c r="E2300" t="s">
        <v>728</v>
      </c>
      <c r="F2300">
        <v>1737</v>
      </c>
      <c r="G2300">
        <v>1573</v>
      </c>
      <c r="H2300">
        <v>56</v>
      </c>
      <c r="J2300" t="s">
        <v>3119</v>
      </c>
      <c r="O2300" t="s">
        <v>41</v>
      </c>
      <c r="R2300" t="s">
        <v>2452</v>
      </c>
      <c r="T2300" t="s">
        <v>89</v>
      </c>
      <c r="U2300" t="s">
        <v>2453</v>
      </c>
      <c r="V2300" t="s">
        <v>137</v>
      </c>
      <c r="W2300" t="s">
        <v>92</v>
      </c>
      <c r="Y2300" t="s">
        <v>38</v>
      </c>
      <c r="AA2300" t="s">
        <v>38</v>
      </c>
      <c r="AB2300" t="s">
        <v>38</v>
      </c>
      <c r="AC2300" t="s">
        <v>38</v>
      </c>
      <c r="AD2300" t="s">
        <v>48</v>
      </c>
      <c r="AG2300" t="str">
        <f>IF(AD2300="United States", IFERROR(INDEX(Sheet2!$C:$C, MATCH(AE2300&amp;AF2300, Sheet2!$E:$E, 0)) &amp; ", " &amp; INDEX(Sheet2!$D:$D, MATCH(AE2300&amp;AF2300, Sheet2!$E:$E, 0)), ""), "-")</f>
        <v/>
      </c>
    </row>
    <row r="2301" spans="1:33" x14ac:dyDescent="0.25">
      <c r="A2301" t="s">
        <v>3648</v>
      </c>
      <c r="D2301" t="s">
        <v>835</v>
      </c>
      <c r="E2301" t="s">
        <v>3078</v>
      </c>
      <c r="F2301">
        <v>1769</v>
      </c>
      <c r="G2301">
        <v>1572</v>
      </c>
      <c r="H2301">
        <v>55</v>
      </c>
      <c r="J2301" t="s">
        <v>3119</v>
      </c>
      <c r="O2301" t="s">
        <v>74</v>
      </c>
      <c r="R2301" t="s">
        <v>2452</v>
      </c>
      <c r="T2301" t="s">
        <v>89</v>
      </c>
      <c r="U2301" t="s">
        <v>2453</v>
      </c>
      <c r="V2301" t="s">
        <v>137</v>
      </c>
      <c r="W2301" t="s">
        <v>92</v>
      </c>
      <c r="Y2301" t="s">
        <v>38</v>
      </c>
      <c r="AA2301" t="s">
        <v>38</v>
      </c>
      <c r="AB2301" t="s">
        <v>38</v>
      </c>
      <c r="AC2301" t="s">
        <v>38</v>
      </c>
      <c r="AD2301" t="s">
        <v>48</v>
      </c>
      <c r="AG2301" t="str">
        <f>IF(AD2301="United States", IFERROR(INDEX(Sheet2!$C:$C, MATCH(AE2301&amp;AF2301, Sheet2!$E:$E, 0)) &amp; ", " &amp; INDEX(Sheet2!$D:$D, MATCH(AE2301&amp;AF2301, Sheet2!$E:$E, 0)), ""), "-")</f>
        <v/>
      </c>
    </row>
    <row r="2302" spans="1:33" x14ac:dyDescent="0.25">
      <c r="A2302" t="s">
        <v>3648</v>
      </c>
      <c r="D2302" t="s">
        <v>181</v>
      </c>
      <c r="E2302" t="s">
        <v>3078</v>
      </c>
      <c r="F2302">
        <v>1782</v>
      </c>
      <c r="G2302">
        <v>1571</v>
      </c>
      <c r="H2302">
        <v>55</v>
      </c>
      <c r="J2302" t="s">
        <v>3119</v>
      </c>
      <c r="O2302" t="s">
        <v>183</v>
      </c>
      <c r="R2302" t="s">
        <v>2452</v>
      </c>
      <c r="T2302" t="s">
        <v>89</v>
      </c>
      <c r="U2302" t="s">
        <v>2453</v>
      </c>
      <c r="V2302" t="s">
        <v>137</v>
      </c>
      <c r="W2302" t="s">
        <v>92</v>
      </c>
      <c r="Y2302" t="s">
        <v>38</v>
      </c>
      <c r="AA2302" t="s">
        <v>38</v>
      </c>
      <c r="AB2302" t="s">
        <v>38</v>
      </c>
      <c r="AC2302" t="s">
        <v>38</v>
      </c>
      <c r="AD2302" t="s">
        <v>48</v>
      </c>
      <c r="AG2302" t="str">
        <f>IF(AD2302="United States", IFERROR(INDEX(Sheet2!$C:$C, MATCH(AE2302&amp;AF2302, Sheet2!$E:$E, 0)) &amp; ", " &amp; INDEX(Sheet2!$D:$D, MATCH(AE2302&amp;AF2302, Sheet2!$E:$E, 0)), ""), "-")</f>
        <v/>
      </c>
    </row>
    <row r="2303" spans="1:33" x14ac:dyDescent="0.25">
      <c r="A2303" t="s">
        <v>3648</v>
      </c>
      <c r="D2303" t="s">
        <v>182</v>
      </c>
      <c r="E2303" t="s">
        <v>3078</v>
      </c>
      <c r="F2303">
        <v>1743</v>
      </c>
      <c r="G2303">
        <v>1570</v>
      </c>
      <c r="H2303">
        <v>55</v>
      </c>
      <c r="J2303" t="s">
        <v>3119</v>
      </c>
      <c r="O2303" t="s">
        <v>57</v>
      </c>
      <c r="R2303" t="s">
        <v>2452</v>
      </c>
      <c r="T2303" t="s">
        <v>89</v>
      </c>
      <c r="U2303" t="s">
        <v>2453</v>
      </c>
      <c r="V2303" t="s">
        <v>137</v>
      </c>
      <c r="W2303" t="s">
        <v>92</v>
      </c>
      <c r="Y2303" t="s">
        <v>38</v>
      </c>
      <c r="AA2303" t="s">
        <v>38</v>
      </c>
      <c r="AB2303" t="s">
        <v>38</v>
      </c>
      <c r="AC2303" t="s">
        <v>38</v>
      </c>
      <c r="AD2303" t="s">
        <v>48</v>
      </c>
      <c r="AG2303" t="str">
        <f>IF(AD2303="United States", IFERROR(INDEX(Sheet2!$C:$C, MATCH(AE2303&amp;AF2303, Sheet2!$E:$E, 0)) &amp; ", " &amp; INDEX(Sheet2!$D:$D, MATCH(AE2303&amp;AF2303, Sheet2!$E:$E, 0)), ""), "-")</f>
        <v/>
      </c>
    </row>
    <row r="2304" spans="1:33" x14ac:dyDescent="0.25">
      <c r="A2304" t="s">
        <v>3648</v>
      </c>
      <c r="D2304" t="s">
        <v>181</v>
      </c>
      <c r="E2304" t="s">
        <v>1684</v>
      </c>
      <c r="F2304">
        <v>1782</v>
      </c>
      <c r="G2304">
        <v>1569</v>
      </c>
      <c r="H2304">
        <v>55</v>
      </c>
      <c r="J2304" t="s">
        <v>3119</v>
      </c>
      <c r="O2304" t="s">
        <v>183</v>
      </c>
      <c r="R2304" t="s">
        <v>2452</v>
      </c>
      <c r="T2304" t="s">
        <v>89</v>
      </c>
      <c r="U2304" t="s">
        <v>2453</v>
      </c>
      <c r="V2304" t="s">
        <v>137</v>
      </c>
      <c r="W2304" t="s">
        <v>92</v>
      </c>
      <c r="Y2304" t="s">
        <v>38</v>
      </c>
      <c r="AA2304" t="s">
        <v>38</v>
      </c>
      <c r="AB2304" t="s">
        <v>38</v>
      </c>
      <c r="AC2304" t="s">
        <v>38</v>
      </c>
      <c r="AD2304" t="s">
        <v>48</v>
      </c>
      <c r="AG2304" t="str">
        <f>IF(AD2304="United States", IFERROR(INDEX(Sheet2!$C:$C, MATCH(AE2304&amp;AF2304, Sheet2!$E:$E, 0)) &amp; ", " &amp; INDEX(Sheet2!$D:$D, MATCH(AE2304&amp;AF2304, Sheet2!$E:$E, 0)), ""), "-")</f>
        <v/>
      </c>
    </row>
    <row r="2305" spans="1:33" x14ac:dyDescent="0.25">
      <c r="A2305" t="s">
        <v>3648</v>
      </c>
      <c r="D2305" t="s">
        <v>72</v>
      </c>
      <c r="E2305" t="s">
        <v>1684</v>
      </c>
      <c r="F2305">
        <v>1762</v>
      </c>
      <c r="G2305">
        <v>1568</v>
      </c>
      <c r="H2305">
        <v>55</v>
      </c>
      <c r="J2305" t="s">
        <v>3119</v>
      </c>
      <c r="O2305" t="s">
        <v>57</v>
      </c>
      <c r="R2305" t="s">
        <v>2452</v>
      </c>
      <c r="T2305" t="s">
        <v>89</v>
      </c>
      <c r="U2305" t="s">
        <v>2453</v>
      </c>
      <c r="V2305" t="s">
        <v>137</v>
      </c>
      <c r="W2305" t="s">
        <v>92</v>
      </c>
      <c r="Y2305" t="s">
        <v>38</v>
      </c>
      <c r="AA2305" t="s">
        <v>38</v>
      </c>
      <c r="AB2305" t="s">
        <v>38</v>
      </c>
      <c r="AC2305" t="s">
        <v>38</v>
      </c>
      <c r="AD2305" t="s">
        <v>48</v>
      </c>
      <c r="AG2305" t="str">
        <f>IF(AD2305="United States", IFERROR(INDEX(Sheet2!$C:$C, MATCH(AE2305&amp;AF2305, Sheet2!$E:$E, 0)) &amp; ", " &amp; INDEX(Sheet2!$D:$D, MATCH(AE2305&amp;AF2305, Sheet2!$E:$E, 0)), ""), "-")</f>
        <v/>
      </c>
    </row>
    <row r="2306" spans="1:33" x14ac:dyDescent="0.25">
      <c r="A2306" t="s">
        <v>3648</v>
      </c>
      <c r="D2306" t="s">
        <v>132</v>
      </c>
      <c r="E2306" t="s">
        <v>1941</v>
      </c>
      <c r="F2306">
        <v>1739</v>
      </c>
      <c r="G2306">
        <v>1567</v>
      </c>
      <c r="H2306">
        <v>55</v>
      </c>
      <c r="J2306" t="s">
        <v>3119</v>
      </c>
      <c r="O2306" t="s">
        <v>41</v>
      </c>
      <c r="R2306" t="s">
        <v>2452</v>
      </c>
      <c r="T2306" t="s">
        <v>89</v>
      </c>
      <c r="U2306" t="s">
        <v>2453</v>
      </c>
      <c r="V2306" t="s">
        <v>137</v>
      </c>
      <c r="W2306" t="s">
        <v>92</v>
      </c>
      <c r="Y2306" t="s">
        <v>38</v>
      </c>
      <c r="AA2306" t="s">
        <v>38</v>
      </c>
      <c r="AB2306" t="s">
        <v>38</v>
      </c>
      <c r="AC2306" t="s">
        <v>38</v>
      </c>
      <c r="AD2306" t="s">
        <v>48</v>
      </c>
      <c r="AG2306" t="str">
        <f>IF(AD2306="United States", IFERROR(INDEX(Sheet2!$C:$C, MATCH(AE2306&amp;AF2306, Sheet2!$E:$E, 0)) &amp; ", " &amp; INDEX(Sheet2!$D:$D, MATCH(AE2306&amp;AF2306, Sheet2!$E:$E, 0)), ""), "-")</f>
        <v/>
      </c>
    </row>
    <row r="2307" spans="1:33" x14ac:dyDescent="0.25">
      <c r="A2307" t="s">
        <v>3648</v>
      </c>
      <c r="D2307" t="s">
        <v>132</v>
      </c>
      <c r="E2307" t="s">
        <v>2982</v>
      </c>
      <c r="F2307">
        <v>1760</v>
      </c>
      <c r="G2307">
        <v>1566</v>
      </c>
      <c r="H2307">
        <v>55</v>
      </c>
      <c r="J2307" t="s">
        <v>3119</v>
      </c>
      <c r="O2307" t="s">
        <v>41</v>
      </c>
      <c r="R2307" t="s">
        <v>2452</v>
      </c>
      <c r="T2307" t="s">
        <v>89</v>
      </c>
      <c r="U2307" t="s">
        <v>2453</v>
      </c>
      <c r="V2307" t="s">
        <v>137</v>
      </c>
      <c r="W2307" t="s">
        <v>92</v>
      </c>
      <c r="Y2307" t="s">
        <v>38</v>
      </c>
      <c r="AA2307" t="s">
        <v>38</v>
      </c>
      <c r="AB2307" t="s">
        <v>38</v>
      </c>
      <c r="AC2307" t="s">
        <v>38</v>
      </c>
      <c r="AD2307" t="s">
        <v>48</v>
      </c>
      <c r="AG2307" t="str">
        <f>IF(AD2307="United States", IFERROR(INDEX(Sheet2!$C:$C, MATCH(AE2307&amp;AF2307, Sheet2!$E:$E, 0)) &amp; ", " &amp; INDEX(Sheet2!$D:$D, MATCH(AE2307&amp;AF2307, Sheet2!$E:$E, 0)), ""), "-")</f>
        <v/>
      </c>
    </row>
    <row r="2308" spans="1:33" x14ac:dyDescent="0.25">
      <c r="A2308" t="s">
        <v>3648</v>
      </c>
      <c r="D2308" t="s">
        <v>1089</v>
      </c>
      <c r="E2308" t="s">
        <v>3072</v>
      </c>
      <c r="F2308">
        <v>1753</v>
      </c>
      <c r="G2308">
        <v>1565</v>
      </c>
      <c r="H2308">
        <v>55</v>
      </c>
      <c r="J2308" t="s">
        <v>3119</v>
      </c>
      <c r="O2308" t="s">
        <v>41</v>
      </c>
      <c r="R2308" t="s">
        <v>2452</v>
      </c>
      <c r="T2308" t="s">
        <v>89</v>
      </c>
      <c r="U2308" t="s">
        <v>2453</v>
      </c>
      <c r="V2308" t="s">
        <v>137</v>
      </c>
      <c r="W2308" t="s">
        <v>92</v>
      </c>
      <c r="Y2308" t="s">
        <v>38</v>
      </c>
      <c r="AA2308" t="s">
        <v>38</v>
      </c>
      <c r="AB2308" t="s">
        <v>38</v>
      </c>
      <c r="AC2308" t="s">
        <v>38</v>
      </c>
      <c r="AD2308" t="s">
        <v>48</v>
      </c>
      <c r="AG2308" t="str">
        <f>IF(AD2308="United States", IFERROR(INDEX(Sheet2!$C:$C, MATCH(AE2308&amp;AF2308, Sheet2!$E:$E, 0)) &amp; ", " &amp; INDEX(Sheet2!$D:$D, MATCH(AE2308&amp;AF2308, Sheet2!$E:$E, 0)), ""), "-")</f>
        <v/>
      </c>
    </row>
    <row r="2309" spans="1:33" x14ac:dyDescent="0.25">
      <c r="A2309" t="s">
        <v>3648</v>
      </c>
      <c r="D2309" t="s">
        <v>36</v>
      </c>
      <c r="E2309" t="s">
        <v>275</v>
      </c>
      <c r="F2309">
        <v>1743</v>
      </c>
      <c r="G2309">
        <v>1564</v>
      </c>
      <c r="H2309">
        <v>55</v>
      </c>
      <c r="J2309" t="s">
        <v>3119</v>
      </c>
      <c r="O2309" t="s">
        <v>41</v>
      </c>
      <c r="R2309" t="s">
        <v>2452</v>
      </c>
      <c r="T2309" t="s">
        <v>89</v>
      </c>
      <c r="U2309" t="s">
        <v>2453</v>
      </c>
      <c r="V2309" t="s">
        <v>137</v>
      </c>
      <c r="W2309" t="s">
        <v>92</v>
      </c>
      <c r="Y2309" t="s">
        <v>38</v>
      </c>
      <c r="AA2309" t="s">
        <v>38</v>
      </c>
      <c r="AB2309" t="s">
        <v>38</v>
      </c>
      <c r="AC2309" t="s">
        <v>38</v>
      </c>
      <c r="AD2309" t="s">
        <v>48</v>
      </c>
      <c r="AG2309" t="str">
        <f>IF(AD2309="United States", IFERROR(INDEX(Sheet2!$C:$C, MATCH(AE2309&amp;AF2309, Sheet2!$E:$E, 0)) &amp; ", " &amp; INDEX(Sheet2!$D:$D, MATCH(AE2309&amp;AF2309, Sheet2!$E:$E, 0)), ""), "-")</f>
        <v/>
      </c>
    </row>
    <row r="2310" spans="1:33" x14ac:dyDescent="0.25">
      <c r="A2310" t="s">
        <v>3648</v>
      </c>
      <c r="D2310" t="s">
        <v>3069</v>
      </c>
      <c r="E2310" t="s">
        <v>1908</v>
      </c>
      <c r="F2310">
        <v>1743</v>
      </c>
      <c r="G2310">
        <v>1563</v>
      </c>
      <c r="H2310">
        <v>55</v>
      </c>
      <c r="J2310" t="s">
        <v>3119</v>
      </c>
      <c r="O2310" t="s">
        <v>57</v>
      </c>
      <c r="R2310" t="s">
        <v>2452</v>
      </c>
      <c r="T2310" t="s">
        <v>89</v>
      </c>
      <c r="U2310" t="s">
        <v>2453</v>
      </c>
      <c r="V2310" t="s">
        <v>137</v>
      </c>
      <c r="W2310" t="s">
        <v>92</v>
      </c>
      <c r="Y2310" t="s">
        <v>38</v>
      </c>
      <c r="AA2310" t="s">
        <v>38</v>
      </c>
      <c r="AB2310" t="s">
        <v>38</v>
      </c>
      <c r="AC2310" t="s">
        <v>38</v>
      </c>
      <c r="AD2310" t="s">
        <v>48</v>
      </c>
      <c r="AG2310" t="str">
        <f>IF(AD2310="United States", IFERROR(INDEX(Sheet2!$C:$C, MATCH(AE2310&amp;AF2310, Sheet2!$E:$E, 0)) &amp; ", " &amp; INDEX(Sheet2!$D:$D, MATCH(AE2310&amp;AF2310, Sheet2!$E:$E, 0)), ""), "-")</f>
        <v/>
      </c>
    </row>
    <row r="2311" spans="1:33" x14ac:dyDescent="0.25">
      <c r="A2311" t="s">
        <v>3648</v>
      </c>
      <c r="D2311" t="s">
        <v>1174</v>
      </c>
      <c r="E2311" t="s">
        <v>3687</v>
      </c>
      <c r="F2311">
        <v>1743</v>
      </c>
      <c r="G2311">
        <v>1562</v>
      </c>
      <c r="H2311">
        <v>55</v>
      </c>
      <c r="J2311" t="s">
        <v>3119</v>
      </c>
      <c r="O2311" t="s">
        <v>41</v>
      </c>
      <c r="R2311" t="s">
        <v>2452</v>
      </c>
      <c r="T2311" t="s">
        <v>89</v>
      </c>
      <c r="U2311" t="s">
        <v>2453</v>
      </c>
      <c r="V2311" t="s">
        <v>137</v>
      </c>
      <c r="W2311" t="s">
        <v>92</v>
      </c>
      <c r="Y2311" t="s">
        <v>38</v>
      </c>
      <c r="AA2311" t="s">
        <v>38</v>
      </c>
      <c r="AB2311" t="s">
        <v>38</v>
      </c>
      <c r="AC2311" t="s">
        <v>38</v>
      </c>
      <c r="AD2311" t="s">
        <v>48</v>
      </c>
      <c r="AG2311" t="str">
        <f>IF(AD2311="United States", IFERROR(INDEX(Sheet2!$C:$C, MATCH(AE2311&amp;AF2311, Sheet2!$E:$E, 0)) &amp; ", " &amp; INDEX(Sheet2!$D:$D, MATCH(AE2311&amp;AF2311, Sheet2!$E:$E, 0)), ""), "-")</f>
        <v/>
      </c>
    </row>
    <row r="2312" spans="1:33" x14ac:dyDescent="0.25">
      <c r="A2312" t="s">
        <v>3648</v>
      </c>
      <c r="D2312" t="s">
        <v>1116</v>
      </c>
      <c r="E2312" t="s">
        <v>2754</v>
      </c>
      <c r="F2312">
        <v>1747</v>
      </c>
      <c r="G2312">
        <v>1561</v>
      </c>
      <c r="H2312">
        <v>55</v>
      </c>
      <c r="J2312" t="s">
        <v>3119</v>
      </c>
      <c r="O2312" t="s">
        <v>41</v>
      </c>
      <c r="R2312" t="s">
        <v>2452</v>
      </c>
      <c r="T2312" t="s">
        <v>89</v>
      </c>
      <c r="U2312" t="s">
        <v>2453</v>
      </c>
      <c r="V2312" t="s">
        <v>137</v>
      </c>
      <c r="W2312" t="s">
        <v>92</v>
      </c>
      <c r="Y2312" t="s">
        <v>38</v>
      </c>
      <c r="AA2312" t="s">
        <v>38</v>
      </c>
      <c r="AB2312" t="s">
        <v>38</v>
      </c>
      <c r="AC2312" t="s">
        <v>38</v>
      </c>
      <c r="AD2312" t="s">
        <v>48</v>
      </c>
      <c r="AG2312" t="str">
        <f>IF(AD2312="United States", IFERROR(INDEX(Sheet2!$C:$C, MATCH(AE2312&amp;AF2312, Sheet2!$E:$E, 0)) &amp; ", " &amp; INDEX(Sheet2!$D:$D, MATCH(AE2312&amp;AF2312, Sheet2!$E:$E, 0)), ""), "-")</f>
        <v/>
      </c>
    </row>
    <row r="2313" spans="1:33" x14ac:dyDescent="0.25">
      <c r="A2313" t="s">
        <v>3648</v>
      </c>
      <c r="D2313" t="s">
        <v>1230</v>
      </c>
      <c r="E2313" t="s">
        <v>704</v>
      </c>
      <c r="F2313">
        <v>1760</v>
      </c>
      <c r="G2313">
        <v>1552</v>
      </c>
      <c r="H2313">
        <v>55</v>
      </c>
      <c r="J2313" t="s">
        <v>3119</v>
      </c>
      <c r="O2313" t="s">
        <v>57</v>
      </c>
      <c r="R2313" t="s">
        <v>2452</v>
      </c>
      <c r="T2313" t="s">
        <v>89</v>
      </c>
      <c r="U2313" t="s">
        <v>2453</v>
      </c>
      <c r="V2313" t="s">
        <v>137</v>
      </c>
      <c r="W2313" t="s">
        <v>92</v>
      </c>
      <c r="Y2313" t="s">
        <v>38</v>
      </c>
      <c r="AA2313" t="s">
        <v>38</v>
      </c>
      <c r="AB2313" t="s">
        <v>38</v>
      </c>
      <c r="AC2313" t="s">
        <v>38</v>
      </c>
      <c r="AD2313" t="s">
        <v>48</v>
      </c>
      <c r="AG2313" t="str">
        <f>IF(AD2313="United States", IFERROR(INDEX(Sheet2!$C:$C, MATCH(AE2313&amp;AF2313, Sheet2!$E:$E, 0)) &amp; ", " &amp; INDEX(Sheet2!$D:$D, MATCH(AE2313&amp;AF2313, Sheet2!$E:$E, 0)), ""), "-")</f>
        <v/>
      </c>
    </row>
    <row r="2314" spans="1:33" x14ac:dyDescent="0.25">
      <c r="A2314" t="s">
        <v>3648</v>
      </c>
      <c r="D2314" t="s">
        <v>803</v>
      </c>
      <c r="E2314" t="s">
        <v>1941</v>
      </c>
      <c r="F2314">
        <v>1745</v>
      </c>
      <c r="G2314">
        <v>1553</v>
      </c>
      <c r="H2314">
        <v>55</v>
      </c>
      <c r="J2314" t="s">
        <v>3119</v>
      </c>
      <c r="O2314" t="s">
        <v>57</v>
      </c>
      <c r="R2314" t="s">
        <v>2452</v>
      </c>
      <c r="T2314" t="s">
        <v>89</v>
      </c>
      <c r="U2314" t="s">
        <v>2453</v>
      </c>
      <c r="V2314" t="s">
        <v>137</v>
      </c>
      <c r="W2314" t="s">
        <v>92</v>
      </c>
      <c r="Y2314" t="s">
        <v>38</v>
      </c>
      <c r="AA2314" t="s">
        <v>38</v>
      </c>
      <c r="AB2314" t="s">
        <v>38</v>
      </c>
      <c r="AC2314" t="s">
        <v>38</v>
      </c>
      <c r="AD2314" t="s">
        <v>48</v>
      </c>
      <c r="AG2314" t="str">
        <f>IF(AD2314="United States", IFERROR(INDEX(Sheet2!$C:$C, MATCH(AE2314&amp;AF2314, Sheet2!$E:$E, 0)) &amp; ", " &amp; INDEX(Sheet2!$D:$D, MATCH(AE2314&amp;AF2314, Sheet2!$E:$E, 0)), ""), "-")</f>
        <v/>
      </c>
    </row>
    <row r="2315" spans="1:33" x14ac:dyDescent="0.25">
      <c r="A2315" t="s">
        <v>3648</v>
      </c>
      <c r="D2315" t="s">
        <v>181</v>
      </c>
      <c r="E2315" t="s">
        <v>1941</v>
      </c>
      <c r="F2315">
        <v>1775</v>
      </c>
      <c r="G2315">
        <v>1554</v>
      </c>
      <c r="H2315">
        <v>55</v>
      </c>
      <c r="J2315" t="s">
        <v>3119</v>
      </c>
      <c r="O2315" t="s">
        <v>54</v>
      </c>
      <c r="R2315" t="s">
        <v>2452</v>
      </c>
      <c r="T2315" t="s">
        <v>89</v>
      </c>
      <c r="U2315" t="s">
        <v>2453</v>
      </c>
      <c r="V2315" t="s">
        <v>137</v>
      </c>
      <c r="W2315" t="s">
        <v>92</v>
      </c>
      <c r="Y2315" t="s">
        <v>38</v>
      </c>
      <c r="AA2315" t="s">
        <v>38</v>
      </c>
      <c r="AB2315" t="s">
        <v>38</v>
      </c>
      <c r="AC2315" t="s">
        <v>38</v>
      </c>
      <c r="AD2315" t="s">
        <v>48</v>
      </c>
      <c r="AG2315" t="str">
        <f>IF(AD2315="United States", IFERROR(INDEX(Sheet2!$C:$C, MATCH(AE2315&amp;AF2315, Sheet2!$E:$E, 0)) &amp; ", " &amp; INDEX(Sheet2!$D:$D, MATCH(AE2315&amp;AF2315, Sheet2!$E:$E, 0)), ""), "-")</f>
        <v/>
      </c>
    </row>
    <row r="2316" spans="1:33" x14ac:dyDescent="0.25">
      <c r="A2316" t="s">
        <v>3648</v>
      </c>
      <c r="D2316" t="s">
        <v>445</v>
      </c>
      <c r="E2316" t="s">
        <v>368</v>
      </c>
      <c r="F2316">
        <v>1753</v>
      </c>
      <c r="G2316">
        <v>1555</v>
      </c>
      <c r="H2316">
        <v>55</v>
      </c>
      <c r="J2316" t="s">
        <v>3119</v>
      </c>
      <c r="O2316" t="s">
        <v>57</v>
      </c>
      <c r="R2316" t="s">
        <v>2452</v>
      </c>
      <c r="T2316" t="s">
        <v>89</v>
      </c>
      <c r="U2316" t="s">
        <v>2453</v>
      </c>
      <c r="V2316" t="s">
        <v>137</v>
      </c>
      <c r="W2316" t="s">
        <v>92</v>
      </c>
      <c r="Y2316" t="s">
        <v>38</v>
      </c>
      <c r="AA2316" t="s">
        <v>38</v>
      </c>
      <c r="AB2316" t="s">
        <v>38</v>
      </c>
      <c r="AC2316" t="s">
        <v>38</v>
      </c>
      <c r="AD2316" t="s">
        <v>48</v>
      </c>
      <c r="AG2316" t="str">
        <f>IF(AD2316="United States", IFERROR(INDEX(Sheet2!$C:$C, MATCH(AE2316&amp;AF2316, Sheet2!$E:$E, 0)) &amp; ", " &amp; INDEX(Sheet2!$D:$D, MATCH(AE2316&amp;AF2316, Sheet2!$E:$E, 0)), ""), "-")</f>
        <v/>
      </c>
    </row>
    <row r="2317" spans="1:33" x14ac:dyDescent="0.25">
      <c r="A2317" t="s">
        <v>3648</v>
      </c>
      <c r="D2317" t="s">
        <v>63</v>
      </c>
      <c r="E2317" t="s">
        <v>1908</v>
      </c>
      <c r="F2317">
        <v>1753</v>
      </c>
      <c r="G2317">
        <v>1556</v>
      </c>
      <c r="H2317">
        <v>55</v>
      </c>
      <c r="J2317" t="s">
        <v>3119</v>
      </c>
      <c r="O2317" t="s">
        <v>41</v>
      </c>
      <c r="R2317" t="s">
        <v>2452</v>
      </c>
      <c r="T2317" t="s">
        <v>89</v>
      </c>
      <c r="U2317" t="s">
        <v>2453</v>
      </c>
      <c r="V2317" t="s">
        <v>137</v>
      </c>
      <c r="W2317" t="s">
        <v>92</v>
      </c>
      <c r="Y2317" t="s">
        <v>38</v>
      </c>
      <c r="AA2317" t="s">
        <v>38</v>
      </c>
      <c r="AB2317" t="s">
        <v>38</v>
      </c>
      <c r="AC2317" t="s">
        <v>38</v>
      </c>
      <c r="AD2317" t="s">
        <v>48</v>
      </c>
      <c r="AG2317" t="str">
        <f>IF(AD2317="United States", IFERROR(INDEX(Sheet2!$C:$C, MATCH(AE2317&amp;AF2317, Sheet2!$E:$E, 0)) &amp; ", " &amp; INDEX(Sheet2!$D:$D, MATCH(AE2317&amp;AF2317, Sheet2!$E:$E, 0)), ""), "-")</f>
        <v/>
      </c>
    </row>
    <row r="2318" spans="1:33" x14ac:dyDescent="0.25">
      <c r="A2318" t="s">
        <v>3648</v>
      </c>
      <c r="D2318" t="s">
        <v>245</v>
      </c>
      <c r="E2318" t="s">
        <v>3049</v>
      </c>
      <c r="F2318">
        <v>1769</v>
      </c>
      <c r="G2318">
        <v>1557</v>
      </c>
      <c r="H2318">
        <v>55</v>
      </c>
      <c r="J2318" t="s">
        <v>3119</v>
      </c>
      <c r="O2318" t="s">
        <v>74</v>
      </c>
      <c r="R2318" t="s">
        <v>2452</v>
      </c>
      <c r="T2318" t="s">
        <v>89</v>
      </c>
      <c r="U2318" t="s">
        <v>2453</v>
      </c>
      <c r="V2318" t="s">
        <v>137</v>
      </c>
      <c r="W2318" t="s">
        <v>92</v>
      </c>
      <c r="Y2318" t="s">
        <v>38</v>
      </c>
      <c r="AA2318" t="s">
        <v>38</v>
      </c>
      <c r="AB2318" t="s">
        <v>38</v>
      </c>
      <c r="AC2318" t="s">
        <v>38</v>
      </c>
      <c r="AD2318" t="s">
        <v>48</v>
      </c>
      <c r="AG2318" t="str">
        <f>IF(AD2318="United States", IFERROR(INDEX(Sheet2!$C:$C, MATCH(AE2318&amp;AF2318, Sheet2!$E:$E, 0)) &amp; ", " &amp; INDEX(Sheet2!$D:$D, MATCH(AE2318&amp;AF2318, Sheet2!$E:$E, 0)), ""), "-")</f>
        <v/>
      </c>
    </row>
    <row r="2319" spans="1:33" x14ac:dyDescent="0.25">
      <c r="A2319" t="s">
        <v>3648</v>
      </c>
      <c r="D2319" t="s">
        <v>193</v>
      </c>
      <c r="E2319" t="s">
        <v>3052</v>
      </c>
      <c r="F2319">
        <v>1740</v>
      </c>
      <c r="G2319">
        <v>1558</v>
      </c>
      <c r="H2319">
        <v>55</v>
      </c>
      <c r="J2319" t="s">
        <v>3119</v>
      </c>
      <c r="O2319" t="s">
        <v>41</v>
      </c>
      <c r="R2319" t="s">
        <v>2452</v>
      </c>
      <c r="T2319" t="s">
        <v>89</v>
      </c>
      <c r="U2319" t="s">
        <v>2453</v>
      </c>
      <c r="V2319" t="s">
        <v>137</v>
      </c>
      <c r="W2319" t="s">
        <v>92</v>
      </c>
      <c r="Y2319" t="s">
        <v>38</v>
      </c>
      <c r="AA2319" t="s">
        <v>38</v>
      </c>
      <c r="AB2319" t="s">
        <v>38</v>
      </c>
      <c r="AC2319" t="s">
        <v>38</v>
      </c>
      <c r="AD2319" t="s">
        <v>48</v>
      </c>
      <c r="AG2319" t="str">
        <f>IF(AD2319="United States", IFERROR(INDEX(Sheet2!$C:$C, MATCH(AE2319&amp;AF2319, Sheet2!$E:$E, 0)) &amp; ", " &amp; INDEX(Sheet2!$D:$D, MATCH(AE2319&amp;AF2319, Sheet2!$E:$E, 0)), ""), "-")</f>
        <v/>
      </c>
    </row>
    <row r="2320" spans="1:33" x14ac:dyDescent="0.25">
      <c r="A2320" t="s">
        <v>3648</v>
      </c>
      <c r="D2320" t="s">
        <v>200</v>
      </c>
      <c r="E2320" t="s">
        <v>3688</v>
      </c>
      <c r="F2320">
        <v>1748</v>
      </c>
      <c r="G2320">
        <v>1583</v>
      </c>
      <c r="H2320">
        <v>56</v>
      </c>
      <c r="J2320" t="s">
        <v>3119</v>
      </c>
      <c r="O2320" t="s">
        <v>41</v>
      </c>
      <c r="R2320" t="s">
        <v>2452</v>
      </c>
      <c r="T2320" t="s">
        <v>89</v>
      </c>
      <c r="U2320" t="s">
        <v>2453</v>
      </c>
      <c r="V2320" t="s">
        <v>137</v>
      </c>
      <c r="W2320" t="s">
        <v>92</v>
      </c>
      <c r="Y2320" t="s">
        <v>38</v>
      </c>
      <c r="AA2320" t="s">
        <v>38</v>
      </c>
      <c r="AB2320" t="s">
        <v>38</v>
      </c>
      <c r="AC2320" t="s">
        <v>38</v>
      </c>
      <c r="AD2320" t="s">
        <v>48</v>
      </c>
      <c r="AG2320" t="str">
        <f>IF(AD2320="United States", IFERROR(INDEX(Sheet2!$C:$C, MATCH(AE2320&amp;AF2320, Sheet2!$E:$E, 0)) &amp; ", " &amp; INDEX(Sheet2!$D:$D, MATCH(AE2320&amp;AF2320, Sheet2!$E:$E, 0)), ""), "-")</f>
        <v/>
      </c>
    </row>
    <row r="2321" spans="1:33" x14ac:dyDescent="0.25">
      <c r="A2321" t="s">
        <v>3648</v>
      </c>
      <c r="D2321" t="s">
        <v>132</v>
      </c>
      <c r="E2321" t="s">
        <v>246</v>
      </c>
      <c r="F2321">
        <v>1758</v>
      </c>
      <c r="G2321">
        <v>1632</v>
      </c>
      <c r="H2321">
        <v>56</v>
      </c>
      <c r="J2321" t="s">
        <v>3119</v>
      </c>
      <c r="O2321" t="s">
        <v>41</v>
      </c>
      <c r="R2321" t="s">
        <v>2452</v>
      </c>
      <c r="T2321" t="s">
        <v>89</v>
      </c>
      <c r="U2321" t="s">
        <v>2453</v>
      </c>
      <c r="V2321" t="s">
        <v>137</v>
      </c>
      <c r="W2321" t="s">
        <v>92</v>
      </c>
      <c r="Y2321" t="s">
        <v>38</v>
      </c>
      <c r="AA2321" t="s">
        <v>38</v>
      </c>
      <c r="AB2321" t="s">
        <v>38</v>
      </c>
      <c r="AC2321" t="s">
        <v>38</v>
      </c>
      <c r="AD2321" t="s">
        <v>48</v>
      </c>
      <c r="AG2321" t="str">
        <f>IF(AD2321="United States", IFERROR(INDEX(Sheet2!$C:$C, MATCH(AE2321&amp;AF2321, Sheet2!$E:$E, 0)) &amp; ", " &amp; INDEX(Sheet2!$D:$D, MATCH(AE2321&amp;AF2321, Sheet2!$E:$E, 0)), ""), "-")</f>
        <v/>
      </c>
    </row>
    <row r="2322" spans="1:33" x14ac:dyDescent="0.25">
      <c r="A2322" t="s">
        <v>3648</v>
      </c>
      <c r="D2322" t="s">
        <v>62</v>
      </c>
      <c r="E2322" t="s">
        <v>1684</v>
      </c>
      <c r="F2322">
        <v>1756</v>
      </c>
      <c r="G2322">
        <v>1584</v>
      </c>
      <c r="H2322">
        <v>56</v>
      </c>
      <c r="J2322" t="s">
        <v>3119</v>
      </c>
      <c r="O2322" t="s">
        <v>41</v>
      </c>
      <c r="R2322" t="s">
        <v>2452</v>
      </c>
      <c r="T2322" t="s">
        <v>89</v>
      </c>
      <c r="U2322" t="s">
        <v>2453</v>
      </c>
      <c r="V2322" t="s">
        <v>137</v>
      </c>
      <c r="W2322" t="s">
        <v>92</v>
      </c>
      <c r="Y2322" t="s">
        <v>38</v>
      </c>
      <c r="AA2322" t="s">
        <v>38</v>
      </c>
      <c r="AB2322" t="s">
        <v>38</v>
      </c>
      <c r="AC2322" t="s">
        <v>38</v>
      </c>
      <c r="AD2322" t="s">
        <v>48</v>
      </c>
      <c r="AG2322" t="str">
        <f>IF(AD2322="United States", IFERROR(INDEX(Sheet2!$C:$C, MATCH(AE2322&amp;AF2322, Sheet2!$E:$E, 0)) &amp; ", " &amp; INDEX(Sheet2!$D:$D, MATCH(AE2322&amp;AF2322, Sheet2!$E:$E, 0)), ""), "-")</f>
        <v/>
      </c>
    </row>
    <row r="2323" spans="1:33" x14ac:dyDescent="0.25">
      <c r="A2323" t="s">
        <v>3648</v>
      </c>
      <c r="D2323" t="s">
        <v>650</v>
      </c>
      <c r="E2323" t="s">
        <v>3689</v>
      </c>
      <c r="F2323">
        <v>1748</v>
      </c>
      <c r="G2323">
        <v>1586</v>
      </c>
      <c r="H2323">
        <v>56</v>
      </c>
      <c r="J2323" t="s">
        <v>3119</v>
      </c>
      <c r="O2323" t="s">
        <v>57</v>
      </c>
      <c r="R2323" t="s">
        <v>2452</v>
      </c>
      <c r="T2323" t="s">
        <v>89</v>
      </c>
      <c r="U2323" t="s">
        <v>2453</v>
      </c>
      <c r="V2323" t="s">
        <v>137</v>
      </c>
      <c r="W2323" t="s">
        <v>92</v>
      </c>
      <c r="Y2323" t="s">
        <v>38</v>
      </c>
      <c r="AA2323" t="s">
        <v>38</v>
      </c>
      <c r="AB2323" t="s">
        <v>38</v>
      </c>
      <c r="AC2323" t="s">
        <v>38</v>
      </c>
      <c r="AD2323" t="s">
        <v>48</v>
      </c>
      <c r="AG2323" t="str">
        <f>IF(AD2323="United States", IFERROR(INDEX(Sheet2!$C:$C, MATCH(AE2323&amp;AF2323, Sheet2!$E:$E, 0)) &amp; ", " &amp; INDEX(Sheet2!$D:$D, MATCH(AE2323&amp;AF2323, Sheet2!$E:$E, 0)), ""), "-")</f>
        <v/>
      </c>
    </row>
    <row r="2324" spans="1:33" x14ac:dyDescent="0.25">
      <c r="A2324" t="s">
        <v>3648</v>
      </c>
      <c r="D2324" t="s">
        <v>210</v>
      </c>
      <c r="E2324" t="s">
        <v>3036</v>
      </c>
      <c r="F2324">
        <v>1745</v>
      </c>
      <c r="G2324">
        <v>1533</v>
      </c>
      <c r="H2324">
        <v>55</v>
      </c>
      <c r="J2324" t="s">
        <v>3119</v>
      </c>
      <c r="O2324" t="s">
        <v>41</v>
      </c>
      <c r="R2324" t="s">
        <v>2452</v>
      </c>
      <c r="T2324" t="s">
        <v>89</v>
      </c>
      <c r="U2324" t="s">
        <v>2453</v>
      </c>
      <c r="V2324" t="s">
        <v>137</v>
      </c>
      <c r="W2324" t="s">
        <v>92</v>
      </c>
      <c r="Y2324" t="s">
        <v>38</v>
      </c>
      <c r="AA2324" t="s">
        <v>38</v>
      </c>
      <c r="AB2324" t="s">
        <v>38</v>
      </c>
      <c r="AC2324" t="s">
        <v>38</v>
      </c>
      <c r="AD2324" t="s">
        <v>48</v>
      </c>
      <c r="AG2324" t="str">
        <f>IF(AD2324="United States", IFERROR(INDEX(Sheet2!$C:$C, MATCH(AE2324&amp;AF2324, Sheet2!$E:$E, 0)) &amp; ", " &amp; INDEX(Sheet2!$D:$D, MATCH(AE2324&amp;AF2324, Sheet2!$E:$E, 0)), ""), "-")</f>
        <v/>
      </c>
    </row>
    <row r="2325" spans="1:33" x14ac:dyDescent="0.25">
      <c r="A2325" t="s">
        <v>3648</v>
      </c>
      <c r="D2325" t="s">
        <v>3097</v>
      </c>
      <c r="E2325" t="s">
        <v>1310</v>
      </c>
      <c r="F2325">
        <v>1739</v>
      </c>
      <c r="G2325">
        <v>1534</v>
      </c>
      <c r="H2325">
        <v>55</v>
      </c>
      <c r="J2325" t="s">
        <v>3119</v>
      </c>
      <c r="O2325" t="s">
        <v>57</v>
      </c>
      <c r="R2325" t="s">
        <v>2452</v>
      </c>
      <c r="T2325" t="s">
        <v>89</v>
      </c>
      <c r="U2325" t="s">
        <v>2453</v>
      </c>
      <c r="V2325" t="s">
        <v>137</v>
      </c>
      <c r="W2325" t="s">
        <v>92</v>
      </c>
      <c r="Y2325" t="s">
        <v>38</v>
      </c>
      <c r="AA2325" t="s">
        <v>38</v>
      </c>
      <c r="AB2325" t="s">
        <v>38</v>
      </c>
      <c r="AC2325" t="s">
        <v>38</v>
      </c>
      <c r="AD2325" t="s">
        <v>48</v>
      </c>
      <c r="AG2325" t="str">
        <f>IF(AD2325="United States", IFERROR(INDEX(Sheet2!$C:$C, MATCH(AE2325&amp;AF2325, Sheet2!$E:$E, 0)) &amp; ", " &amp; INDEX(Sheet2!$D:$D, MATCH(AE2325&amp;AF2325, Sheet2!$E:$E, 0)), ""), "-")</f>
        <v/>
      </c>
    </row>
    <row r="2326" spans="1:33" x14ac:dyDescent="0.25">
      <c r="A2326" t="s">
        <v>3648</v>
      </c>
      <c r="D2326" t="s">
        <v>162</v>
      </c>
      <c r="E2326" t="s">
        <v>3099</v>
      </c>
      <c r="F2326">
        <v>1744</v>
      </c>
      <c r="G2326">
        <v>1535</v>
      </c>
      <c r="H2326">
        <v>55</v>
      </c>
      <c r="J2326" t="s">
        <v>3119</v>
      </c>
      <c r="O2326" t="s">
        <v>57</v>
      </c>
      <c r="R2326" t="s">
        <v>2452</v>
      </c>
      <c r="T2326" t="s">
        <v>89</v>
      </c>
      <c r="U2326" t="s">
        <v>2453</v>
      </c>
      <c r="V2326" t="s">
        <v>137</v>
      </c>
      <c r="W2326" t="s">
        <v>92</v>
      </c>
      <c r="Y2326" t="s">
        <v>38</v>
      </c>
      <c r="AA2326" t="s">
        <v>38</v>
      </c>
      <c r="AB2326" t="s">
        <v>38</v>
      </c>
      <c r="AC2326" t="s">
        <v>38</v>
      </c>
      <c r="AD2326" t="s">
        <v>48</v>
      </c>
      <c r="AG2326" t="str">
        <f>IF(AD2326="United States", IFERROR(INDEX(Sheet2!$C:$C, MATCH(AE2326&amp;AF2326, Sheet2!$E:$E, 0)) &amp; ", " &amp; INDEX(Sheet2!$D:$D, MATCH(AE2326&amp;AF2326, Sheet2!$E:$E, 0)), ""), "-")</f>
        <v/>
      </c>
    </row>
    <row r="2327" spans="1:33" x14ac:dyDescent="0.25">
      <c r="A2327" t="s">
        <v>3648</v>
      </c>
      <c r="D2327" t="s">
        <v>181</v>
      </c>
      <c r="E2327" t="s">
        <v>3099</v>
      </c>
      <c r="F2327">
        <v>1777</v>
      </c>
      <c r="G2327">
        <v>1536</v>
      </c>
      <c r="H2327">
        <v>55</v>
      </c>
      <c r="J2327" t="s">
        <v>3119</v>
      </c>
      <c r="O2327" t="s">
        <v>183</v>
      </c>
      <c r="R2327" t="s">
        <v>2452</v>
      </c>
      <c r="T2327" t="s">
        <v>89</v>
      </c>
      <c r="U2327" t="s">
        <v>2453</v>
      </c>
      <c r="V2327" t="s">
        <v>137</v>
      </c>
      <c r="W2327" t="s">
        <v>92</v>
      </c>
      <c r="Y2327" t="s">
        <v>38</v>
      </c>
      <c r="AA2327" t="s">
        <v>38</v>
      </c>
      <c r="AB2327" t="s">
        <v>38</v>
      </c>
      <c r="AC2327" t="s">
        <v>38</v>
      </c>
      <c r="AD2327" t="s">
        <v>48</v>
      </c>
      <c r="AG2327" t="str">
        <f>IF(AD2327="United States", IFERROR(INDEX(Sheet2!$C:$C, MATCH(AE2327&amp;AF2327, Sheet2!$E:$E, 0)) &amp; ", " &amp; INDEX(Sheet2!$D:$D, MATCH(AE2327&amp;AF2327, Sheet2!$E:$E, 0)), ""), "-")</f>
        <v/>
      </c>
    </row>
    <row r="2328" spans="1:33" x14ac:dyDescent="0.25">
      <c r="A2328" t="s">
        <v>3648</v>
      </c>
      <c r="D2328" t="s">
        <v>181</v>
      </c>
      <c r="E2328" t="s">
        <v>3099</v>
      </c>
      <c r="F2328">
        <v>1781</v>
      </c>
      <c r="G2328">
        <v>1537</v>
      </c>
      <c r="H2328">
        <v>55</v>
      </c>
      <c r="J2328" t="s">
        <v>3119</v>
      </c>
      <c r="O2328" t="s">
        <v>183</v>
      </c>
      <c r="R2328" t="s">
        <v>2452</v>
      </c>
      <c r="T2328" t="s">
        <v>89</v>
      </c>
      <c r="U2328" t="s">
        <v>2453</v>
      </c>
      <c r="V2328" t="s">
        <v>137</v>
      </c>
      <c r="W2328" t="s">
        <v>92</v>
      </c>
      <c r="Y2328" t="s">
        <v>38</v>
      </c>
      <c r="AA2328" t="s">
        <v>38</v>
      </c>
      <c r="AB2328" t="s">
        <v>38</v>
      </c>
      <c r="AC2328" t="s">
        <v>38</v>
      </c>
      <c r="AD2328" t="s">
        <v>48</v>
      </c>
      <c r="AG2328" t="str">
        <f>IF(AD2328="United States", IFERROR(INDEX(Sheet2!$C:$C, MATCH(AE2328&amp;AF2328, Sheet2!$E:$E, 0)) &amp; ", " &amp; INDEX(Sheet2!$D:$D, MATCH(AE2328&amp;AF2328, Sheet2!$E:$E, 0)), ""), "-")</f>
        <v/>
      </c>
    </row>
    <row r="2329" spans="1:33" x14ac:dyDescent="0.25">
      <c r="A2329" t="s">
        <v>3648</v>
      </c>
      <c r="D2329" t="s">
        <v>235</v>
      </c>
      <c r="E2329" t="s">
        <v>38</v>
      </c>
      <c r="F2329">
        <v>1747</v>
      </c>
      <c r="G2329">
        <v>1538</v>
      </c>
      <c r="H2329">
        <v>55</v>
      </c>
      <c r="J2329" t="s">
        <v>3119</v>
      </c>
      <c r="O2329" t="s">
        <v>57</v>
      </c>
      <c r="R2329" t="s">
        <v>2452</v>
      </c>
      <c r="T2329" t="s">
        <v>89</v>
      </c>
      <c r="U2329" t="s">
        <v>2453</v>
      </c>
      <c r="V2329" t="s">
        <v>137</v>
      </c>
      <c r="W2329" t="s">
        <v>92</v>
      </c>
      <c r="Y2329" t="s">
        <v>38</v>
      </c>
      <c r="AA2329" t="s">
        <v>38</v>
      </c>
      <c r="AB2329" t="s">
        <v>38</v>
      </c>
      <c r="AC2329" t="s">
        <v>38</v>
      </c>
      <c r="AD2329" t="s">
        <v>48</v>
      </c>
      <c r="AG2329" t="str">
        <f>IF(AD2329="United States", IFERROR(INDEX(Sheet2!$C:$C, MATCH(AE2329&amp;AF2329, Sheet2!$E:$E, 0)) &amp; ", " &amp; INDEX(Sheet2!$D:$D, MATCH(AE2329&amp;AF2329, Sheet2!$E:$E, 0)), ""), "-")</f>
        <v/>
      </c>
    </row>
    <row r="2330" spans="1:33" x14ac:dyDescent="0.25">
      <c r="A2330" t="s">
        <v>3648</v>
      </c>
      <c r="D2330" t="s">
        <v>181</v>
      </c>
      <c r="E2330" t="s">
        <v>235</v>
      </c>
      <c r="F2330" t="s">
        <v>38</v>
      </c>
      <c r="G2330">
        <v>1539</v>
      </c>
      <c r="H2330">
        <v>55</v>
      </c>
      <c r="J2330" t="s">
        <v>3119</v>
      </c>
      <c r="O2330" t="s">
        <v>74</v>
      </c>
      <c r="R2330" t="s">
        <v>2452</v>
      </c>
      <c r="T2330" t="s">
        <v>89</v>
      </c>
      <c r="U2330" t="s">
        <v>2453</v>
      </c>
      <c r="V2330" t="s">
        <v>137</v>
      </c>
      <c r="W2330" t="s">
        <v>92</v>
      </c>
      <c r="Y2330" t="s">
        <v>38</v>
      </c>
      <c r="AA2330" t="s">
        <v>38</v>
      </c>
      <c r="AB2330" t="s">
        <v>38</v>
      </c>
      <c r="AC2330" t="s">
        <v>38</v>
      </c>
      <c r="AD2330" t="s">
        <v>48</v>
      </c>
      <c r="AG2330" t="str">
        <f>IF(AD2330="United States", IFERROR(INDEX(Sheet2!$C:$C, MATCH(AE2330&amp;AF2330, Sheet2!$E:$E, 0)) &amp; ", " &amp; INDEX(Sheet2!$D:$D, MATCH(AE2330&amp;AF2330, Sheet2!$E:$E, 0)), ""), "-")</f>
        <v/>
      </c>
    </row>
    <row r="2331" spans="1:33" x14ac:dyDescent="0.25">
      <c r="A2331" t="s">
        <v>3648</v>
      </c>
      <c r="D2331" t="s">
        <v>50</v>
      </c>
      <c r="E2331" t="s">
        <v>1310</v>
      </c>
      <c r="F2331">
        <v>1765</v>
      </c>
      <c r="G2331">
        <v>1540</v>
      </c>
      <c r="H2331">
        <v>55</v>
      </c>
      <c r="J2331" t="s">
        <v>3119</v>
      </c>
      <c r="O2331" t="s">
        <v>57</v>
      </c>
      <c r="R2331" t="s">
        <v>2452</v>
      </c>
      <c r="T2331" t="s">
        <v>89</v>
      </c>
      <c r="U2331" t="s">
        <v>2453</v>
      </c>
      <c r="V2331" t="s">
        <v>137</v>
      </c>
      <c r="W2331" t="s">
        <v>92</v>
      </c>
      <c r="Y2331" t="s">
        <v>38</v>
      </c>
      <c r="AA2331" t="s">
        <v>38</v>
      </c>
      <c r="AB2331" t="s">
        <v>38</v>
      </c>
      <c r="AC2331" t="s">
        <v>38</v>
      </c>
      <c r="AD2331" t="s">
        <v>48</v>
      </c>
      <c r="AG2331" t="str">
        <f>IF(AD2331="United States", IFERROR(INDEX(Sheet2!$C:$C, MATCH(AE2331&amp;AF2331, Sheet2!$E:$E, 0)) &amp; ", " &amp; INDEX(Sheet2!$D:$D, MATCH(AE2331&amp;AF2331, Sheet2!$E:$E, 0)), ""), "-")</f>
        <v/>
      </c>
    </row>
    <row r="2332" spans="1:33" x14ac:dyDescent="0.25">
      <c r="A2332" t="s">
        <v>3648</v>
      </c>
      <c r="D2332" t="s">
        <v>1840</v>
      </c>
      <c r="E2332" t="s">
        <v>3690</v>
      </c>
      <c r="F2332">
        <v>1723</v>
      </c>
      <c r="G2332">
        <v>1541</v>
      </c>
      <c r="H2332">
        <v>55</v>
      </c>
      <c r="J2332" t="s">
        <v>3119</v>
      </c>
      <c r="O2332" t="s">
        <v>57</v>
      </c>
      <c r="R2332" t="s">
        <v>2452</v>
      </c>
      <c r="T2332" t="s">
        <v>89</v>
      </c>
      <c r="U2332" t="s">
        <v>2453</v>
      </c>
      <c r="V2332" t="s">
        <v>137</v>
      </c>
      <c r="W2332" t="s">
        <v>92</v>
      </c>
      <c r="Y2332" t="s">
        <v>38</v>
      </c>
      <c r="AA2332" t="s">
        <v>38</v>
      </c>
      <c r="AB2332" t="s">
        <v>38</v>
      </c>
      <c r="AC2332" t="s">
        <v>38</v>
      </c>
      <c r="AD2332" t="s">
        <v>48</v>
      </c>
      <c r="AG2332" t="str">
        <f>IF(AD2332="United States", IFERROR(INDEX(Sheet2!$C:$C, MATCH(AE2332&amp;AF2332, Sheet2!$E:$E, 0)) &amp; ", " &amp; INDEX(Sheet2!$D:$D, MATCH(AE2332&amp;AF2332, Sheet2!$E:$E, 0)), ""), "-")</f>
        <v/>
      </c>
    </row>
    <row r="2333" spans="1:33" x14ac:dyDescent="0.25">
      <c r="A2333" t="s">
        <v>3648</v>
      </c>
      <c r="D2333" t="s">
        <v>3042</v>
      </c>
      <c r="E2333" t="s">
        <v>226</v>
      </c>
      <c r="F2333">
        <v>1743</v>
      </c>
      <c r="G2333">
        <v>1542</v>
      </c>
      <c r="H2333">
        <v>55</v>
      </c>
      <c r="J2333" t="s">
        <v>3119</v>
      </c>
      <c r="O2333" t="s">
        <v>41</v>
      </c>
      <c r="R2333" t="s">
        <v>2452</v>
      </c>
      <c r="T2333" t="s">
        <v>89</v>
      </c>
      <c r="U2333" t="s">
        <v>2453</v>
      </c>
      <c r="V2333" t="s">
        <v>137</v>
      </c>
      <c r="W2333" t="s">
        <v>92</v>
      </c>
      <c r="Y2333" t="s">
        <v>38</v>
      </c>
      <c r="AA2333" t="s">
        <v>38</v>
      </c>
      <c r="AB2333" t="s">
        <v>38</v>
      </c>
      <c r="AC2333" t="s">
        <v>38</v>
      </c>
      <c r="AD2333" t="s">
        <v>48</v>
      </c>
      <c r="AG2333" t="str">
        <f>IF(AD2333="United States", IFERROR(INDEX(Sheet2!$C:$C, MATCH(AE2333&amp;AF2333, Sheet2!$E:$E, 0)) &amp; ", " &amp; INDEX(Sheet2!$D:$D, MATCH(AE2333&amp;AF2333, Sheet2!$E:$E, 0)), ""), "-")</f>
        <v/>
      </c>
    </row>
    <row r="2334" spans="1:33" x14ac:dyDescent="0.25">
      <c r="A2334" t="s">
        <v>3648</v>
      </c>
      <c r="D2334" t="s">
        <v>797</v>
      </c>
      <c r="E2334" t="s">
        <v>3026</v>
      </c>
      <c r="F2334">
        <v>1743</v>
      </c>
      <c r="G2334">
        <v>1543</v>
      </c>
      <c r="H2334">
        <v>55</v>
      </c>
      <c r="J2334" t="s">
        <v>3119</v>
      </c>
      <c r="O2334" t="s">
        <v>57</v>
      </c>
      <c r="R2334" t="s">
        <v>2452</v>
      </c>
      <c r="T2334" t="s">
        <v>89</v>
      </c>
      <c r="U2334" t="s">
        <v>2453</v>
      </c>
      <c r="V2334" t="s">
        <v>137</v>
      </c>
      <c r="W2334" t="s">
        <v>92</v>
      </c>
      <c r="Y2334" t="s">
        <v>38</v>
      </c>
      <c r="AA2334" t="s">
        <v>38</v>
      </c>
      <c r="AB2334" t="s">
        <v>38</v>
      </c>
      <c r="AC2334" t="s">
        <v>38</v>
      </c>
      <c r="AD2334" t="s">
        <v>48</v>
      </c>
      <c r="AG2334" t="str">
        <f>IF(AD2334="United States", IFERROR(INDEX(Sheet2!$C:$C, MATCH(AE2334&amp;AF2334, Sheet2!$E:$E, 0)) &amp; ", " &amp; INDEX(Sheet2!$D:$D, MATCH(AE2334&amp;AF2334, Sheet2!$E:$E, 0)), ""), "-")</f>
        <v/>
      </c>
    </row>
    <row r="2335" spans="1:33" x14ac:dyDescent="0.25">
      <c r="A2335" t="s">
        <v>3648</v>
      </c>
      <c r="D2335" t="s">
        <v>104</v>
      </c>
      <c r="E2335" t="s">
        <v>3026</v>
      </c>
      <c r="F2335">
        <v>1739</v>
      </c>
      <c r="G2335">
        <v>1544</v>
      </c>
      <c r="H2335">
        <v>55</v>
      </c>
      <c r="J2335" t="s">
        <v>3119</v>
      </c>
      <c r="O2335" t="s">
        <v>41</v>
      </c>
      <c r="R2335" t="s">
        <v>2452</v>
      </c>
      <c r="T2335" t="s">
        <v>89</v>
      </c>
      <c r="U2335" t="s">
        <v>2453</v>
      </c>
      <c r="V2335" t="s">
        <v>137</v>
      </c>
      <c r="W2335" t="s">
        <v>92</v>
      </c>
      <c r="Y2335" t="s">
        <v>38</v>
      </c>
      <c r="AA2335" t="s">
        <v>38</v>
      </c>
      <c r="AB2335" t="s">
        <v>38</v>
      </c>
      <c r="AC2335" t="s">
        <v>38</v>
      </c>
      <c r="AD2335" t="s">
        <v>48</v>
      </c>
      <c r="AG2335" t="str">
        <f>IF(AD2335="United States", IFERROR(INDEX(Sheet2!$C:$C, MATCH(AE2335&amp;AF2335, Sheet2!$E:$E, 0)) &amp; ", " &amp; INDEX(Sheet2!$D:$D, MATCH(AE2335&amp;AF2335, Sheet2!$E:$E, 0)), ""), "-")</f>
        <v/>
      </c>
    </row>
    <row r="2336" spans="1:33" x14ac:dyDescent="0.25">
      <c r="A2336" t="s">
        <v>3648</v>
      </c>
      <c r="D2336" t="s">
        <v>210</v>
      </c>
      <c r="E2336" t="s">
        <v>226</v>
      </c>
      <c r="F2336">
        <v>1743</v>
      </c>
      <c r="G2336">
        <v>1545</v>
      </c>
      <c r="H2336">
        <v>55</v>
      </c>
      <c r="J2336" t="s">
        <v>3119</v>
      </c>
      <c r="O2336" t="s">
        <v>41</v>
      </c>
      <c r="R2336" t="s">
        <v>2452</v>
      </c>
      <c r="T2336" t="s">
        <v>89</v>
      </c>
      <c r="U2336" t="s">
        <v>2453</v>
      </c>
      <c r="V2336" t="s">
        <v>137</v>
      </c>
      <c r="W2336" t="s">
        <v>92</v>
      </c>
      <c r="Y2336" t="s">
        <v>38</v>
      </c>
      <c r="AA2336" t="s">
        <v>38</v>
      </c>
      <c r="AB2336" t="s">
        <v>38</v>
      </c>
      <c r="AC2336" t="s">
        <v>38</v>
      </c>
      <c r="AD2336" t="s">
        <v>48</v>
      </c>
      <c r="AG2336" t="str">
        <f>IF(AD2336="United States", IFERROR(INDEX(Sheet2!$C:$C, MATCH(AE2336&amp;AF2336, Sheet2!$E:$E, 0)) &amp; ", " &amp; INDEX(Sheet2!$D:$D, MATCH(AE2336&amp;AF2336, Sheet2!$E:$E, 0)), ""), "-")</f>
        <v/>
      </c>
    </row>
    <row r="2337" spans="1:33" x14ac:dyDescent="0.25">
      <c r="A2337" t="s">
        <v>3648</v>
      </c>
      <c r="D2337" t="s">
        <v>3691</v>
      </c>
      <c r="E2337" t="s">
        <v>3692</v>
      </c>
      <c r="F2337">
        <v>1761</v>
      </c>
      <c r="G2337">
        <v>1546</v>
      </c>
      <c r="H2337">
        <v>55</v>
      </c>
      <c r="J2337" t="s">
        <v>3119</v>
      </c>
      <c r="O2337" t="s">
        <v>57</v>
      </c>
      <c r="R2337" t="s">
        <v>2452</v>
      </c>
      <c r="T2337" t="s">
        <v>89</v>
      </c>
      <c r="U2337" t="s">
        <v>2453</v>
      </c>
      <c r="V2337" t="s">
        <v>137</v>
      </c>
      <c r="W2337" t="s">
        <v>92</v>
      </c>
      <c r="Y2337" t="s">
        <v>38</v>
      </c>
      <c r="AA2337" t="s">
        <v>38</v>
      </c>
      <c r="AB2337" t="s">
        <v>38</v>
      </c>
      <c r="AC2337" t="s">
        <v>38</v>
      </c>
      <c r="AD2337" t="s">
        <v>48</v>
      </c>
      <c r="AG2337" t="str">
        <f>IF(AD2337="United States", IFERROR(INDEX(Sheet2!$C:$C, MATCH(AE2337&amp;AF2337, Sheet2!$E:$E, 0)) &amp; ", " &amp; INDEX(Sheet2!$D:$D, MATCH(AE2337&amp;AF2337, Sheet2!$E:$E, 0)), ""), "-")</f>
        <v/>
      </c>
    </row>
    <row r="2338" spans="1:33" x14ac:dyDescent="0.25">
      <c r="A2338" t="s">
        <v>3648</v>
      </c>
      <c r="D2338" t="s">
        <v>359</v>
      </c>
      <c r="E2338" t="s">
        <v>3033</v>
      </c>
      <c r="F2338">
        <v>1753</v>
      </c>
      <c r="G2338">
        <v>1547</v>
      </c>
      <c r="H2338">
        <v>55</v>
      </c>
      <c r="J2338" t="s">
        <v>3119</v>
      </c>
      <c r="O2338" t="s">
        <v>57</v>
      </c>
      <c r="R2338" t="s">
        <v>2452</v>
      </c>
      <c r="T2338" t="s">
        <v>89</v>
      </c>
      <c r="U2338" t="s">
        <v>2453</v>
      </c>
      <c r="V2338" t="s">
        <v>137</v>
      </c>
      <c r="W2338" t="s">
        <v>92</v>
      </c>
      <c r="Y2338" t="s">
        <v>38</v>
      </c>
      <c r="AA2338" t="s">
        <v>38</v>
      </c>
      <c r="AB2338" t="s">
        <v>38</v>
      </c>
      <c r="AC2338" t="s">
        <v>38</v>
      </c>
      <c r="AD2338" t="s">
        <v>48</v>
      </c>
      <c r="AG2338" t="str">
        <f>IF(AD2338="United States", IFERROR(INDEX(Sheet2!$C:$C, MATCH(AE2338&amp;AF2338, Sheet2!$E:$E, 0)) &amp; ", " &amp; INDEX(Sheet2!$D:$D, MATCH(AE2338&amp;AF2338, Sheet2!$E:$E, 0)), ""), "-")</f>
        <v/>
      </c>
    </row>
    <row r="2339" spans="1:33" x14ac:dyDescent="0.25">
      <c r="A2339" t="s">
        <v>3648</v>
      </c>
      <c r="D2339" t="s">
        <v>181</v>
      </c>
      <c r="E2339" t="s">
        <v>3033</v>
      </c>
      <c r="F2339">
        <v>1776</v>
      </c>
      <c r="G2339">
        <v>1548</v>
      </c>
      <c r="H2339">
        <v>55</v>
      </c>
      <c r="J2339" t="s">
        <v>3119</v>
      </c>
      <c r="O2339" t="s">
        <v>54</v>
      </c>
      <c r="R2339" t="s">
        <v>2452</v>
      </c>
      <c r="T2339" t="s">
        <v>89</v>
      </c>
      <c r="U2339" t="s">
        <v>2453</v>
      </c>
      <c r="V2339" t="s">
        <v>137</v>
      </c>
      <c r="W2339" t="s">
        <v>92</v>
      </c>
      <c r="Y2339" t="s">
        <v>38</v>
      </c>
      <c r="AA2339" t="s">
        <v>38</v>
      </c>
      <c r="AB2339" t="s">
        <v>38</v>
      </c>
      <c r="AC2339" t="s">
        <v>38</v>
      </c>
      <c r="AD2339" t="s">
        <v>48</v>
      </c>
      <c r="AG2339" t="str">
        <f>IF(AD2339="United States", IFERROR(INDEX(Sheet2!$C:$C, MATCH(AE2339&amp;AF2339, Sheet2!$E:$E, 0)) &amp; ", " &amp; INDEX(Sheet2!$D:$D, MATCH(AE2339&amp;AF2339, Sheet2!$E:$E, 0)), ""), "-")</f>
        <v/>
      </c>
    </row>
    <row r="2340" spans="1:33" x14ac:dyDescent="0.25">
      <c r="A2340" t="s">
        <v>3648</v>
      </c>
      <c r="D2340" t="s">
        <v>1164</v>
      </c>
      <c r="E2340" t="s">
        <v>3036</v>
      </c>
      <c r="F2340">
        <v>1743</v>
      </c>
      <c r="G2340">
        <v>1549</v>
      </c>
      <c r="H2340">
        <v>55</v>
      </c>
      <c r="J2340" t="s">
        <v>3119</v>
      </c>
      <c r="O2340" t="s">
        <v>57</v>
      </c>
      <c r="R2340" t="s">
        <v>2452</v>
      </c>
      <c r="T2340" t="s">
        <v>89</v>
      </c>
      <c r="U2340" t="s">
        <v>2453</v>
      </c>
      <c r="V2340" t="s">
        <v>137</v>
      </c>
      <c r="W2340" t="s">
        <v>92</v>
      </c>
      <c r="Y2340" t="s">
        <v>38</v>
      </c>
      <c r="AA2340" t="s">
        <v>38</v>
      </c>
      <c r="AB2340" t="s">
        <v>38</v>
      </c>
      <c r="AC2340" t="s">
        <v>38</v>
      </c>
      <c r="AD2340" t="s">
        <v>48</v>
      </c>
      <c r="AG2340" t="str">
        <f>IF(AD2340="United States", IFERROR(INDEX(Sheet2!$C:$C, MATCH(AE2340&amp;AF2340, Sheet2!$E:$E, 0)) &amp; ", " &amp; INDEX(Sheet2!$D:$D, MATCH(AE2340&amp;AF2340, Sheet2!$E:$E, 0)), ""), "-")</f>
        <v/>
      </c>
    </row>
    <row r="2341" spans="1:33" x14ac:dyDescent="0.25">
      <c r="A2341" t="s">
        <v>3648</v>
      </c>
      <c r="D2341" t="s">
        <v>190</v>
      </c>
      <c r="E2341" t="s">
        <v>3039</v>
      </c>
      <c r="F2341">
        <v>1753</v>
      </c>
      <c r="G2341">
        <v>1550</v>
      </c>
      <c r="H2341">
        <v>55</v>
      </c>
      <c r="J2341" t="s">
        <v>3119</v>
      </c>
      <c r="O2341" t="s">
        <v>57</v>
      </c>
      <c r="R2341" t="s">
        <v>2452</v>
      </c>
      <c r="T2341" t="s">
        <v>89</v>
      </c>
      <c r="U2341" t="s">
        <v>2453</v>
      </c>
      <c r="V2341" t="s">
        <v>137</v>
      </c>
      <c r="W2341" t="s">
        <v>92</v>
      </c>
      <c r="Y2341" t="s">
        <v>38</v>
      </c>
      <c r="AA2341" t="s">
        <v>38</v>
      </c>
      <c r="AB2341" t="s">
        <v>38</v>
      </c>
      <c r="AC2341" t="s">
        <v>38</v>
      </c>
      <c r="AD2341" t="s">
        <v>48</v>
      </c>
      <c r="AG2341" t="str">
        <f>IF(AD2341="United States", IFERROR(INDEX(Sheet2!$C:$C, MATCH(AE2341&amp;AF2341, Sheet2!$E:$E, 0)) &amp; ", " &amp; INDEX(Sheet2!$D:$D, MATCH(AE2341&amp;AF2341, Sheet2!$E:$E, 0)), ""), "-")</f>
        <v/>
      </c>
    </row>
    <row r="2342" spans="1:33" x14ac:dyDescent="0.25">
      <c r="A2342" t="s">
        <v>3648</v>
      </c>
      <c r="D2342" t="s">
        <v>352</v>
      </c>
      <c r="E2342" t="s">
        <v>3039</v>
      </c>
      <c r="F2342">
        <v>1767</v>
      </c>
      <c r="G2342">
        <v>1551</v>
      </c>
      <c r="H2342">
        <v>55</v>
      </c>
      <c r="J2342" t="s">
        <v>3119</v>
      </c>
      <c r="O2342" t="s">
        <v>57</v>
      </c>
      <c r="R2342" t="s">
        <v>2452</v>
      </c>
      <c r="T2342" t="s">
        <v>89</v>
      </c>
      <c r="U2342" t="s">
        <v>2453</v>
      </c>
      <c r="V2342" t="s">
        <v>137</v>
      </c>
      <c r="W2342" t="s">
        <v>92</v>
      </c>
      <c r="Y2342" t="s">
        <v>38</v>
      </c>
      <c r="AA2342" t="s">
        <v>38</v>
      </c>
      <c r="AB2342" t="s">
        <v>38</v>
      </c>
      <c r="AC2342" t="s">
        <v>38</v>
      </c>
      <c r="AD2342" t="s">
        <v>48</v>
      </c>
      <c r="AG2342" t="str">
        <f>IF(AD2342="United States", IFERROR(INDEX(Sheet2!$C:$C, MATCH(AE2342&amp;AF2342, Sheet2!$E:$E, 0)) &amp; ", " &amp; INDEX(Sheet2!$D:$D, MATCH(AE2342&amp;AF2342, Sheet2!$E:$E, 0)), ""), "-")</f>
        <v/>
      </c>
    </row>
    <row r="2343" spans="1:33" x14ac:dyDescent="0.25">
      <c r="A2343" t="s">
        <v>3648</v>
      </c>
      <c r="D2343" t="s">
        <v>1238</v>
      </c>
      <c r="E2343" t="s">
        <v>2836</v>
      </c>
      <c r="F2343">
        <v>1753</v>
      </c>
      <c r="G2343">
        <v>1596</v>
      </c>
      <c r="H2343">
        <v>56</v>
      </c>
      <c r="J2343" t="s">
        <v>3119</v>
      </c>
      <c r="O2343" t="s">
        <v>57</v>
      </c>
      <c r="R2343" t="s">
        <v>2452</v>
      </c>
      <c r="T2343" t="s">
        <v>89</v>
      </c>
      <c r="U2343" t="s">
        <v>2453</v>
      </c>
      <c r="V2343" t="s">
        <v>137</v>
      </c>
      <c r="W2343" t="s">
        <v>92</v>
      </c>
      <c r="Y2343" t="s">
        <v>38</v>
      </c>
      <c r="AA2343" t="s">
        <v>38</v>
      </c>
      <c r="AB2343" t="s">
        <v>38</v>
      </c>
      <c r="AC2343" t="s">
        <v>38</v>
      </c>
      <c r="AD2343" t="s">
        <v>48</v>
      </c>
      <c r="AG2343" t="str">
        <f>IF(AD2343="United States", IFERROR(INDEX(Sheet2!$C:$C, MATCH(AE2343&amp;AF2343, Sheet2!$E:$E, 0)) &amp; ", " &amp; INDEX(Sheet2!$D:$D, MATCH(AE2343&amp;AF2343, Sheet2!$E:$E, 0)), ""), "-")</f>
        <v/>
      </c>
    </row>
    <row r="2344" spans="1:33" x14ac:dyDescent="0.25">
      <c r="A2344" t="s">
        <v>3648</v>
      </c>
      <c r="D2344" t="s">
        <v>181</v>
      </c>
      <c r="E2344" t="s">
        <v>767</v>
      </c>
      <c r="F2344">
        <v>1775</v>
      </c>
      <c r="G2344">
        <v>1595</v>
      </c>
      <c r="H2344">
        <v>56</v>
      </c>
      <c r="J2344" t="s">
        <v>3119</v>
      </c>
      <c r="O2344" t="s">
        <v>74</v>
      </c>
      <c r="R2344" t="s">
        <v>2452</v>
      </c>
      <c r="T2344" t="s">
        <v>89</v>
      </c>
      <c r="U2344" t="s">
        <v>2453</v>
      </c>
      <c r="V2344" t="s">
        <v>137</v>
      </c>
      <c r="W2344" t="s">
        <v>92</v>
      </c>
      <c r="Y2344" t="s">
        <v>38</v>
      </c>
      <c r="AA2344" t="s">
        <v>38</v>
      </c>
      <c r="AB2344" t="s">
        <v>38</v>
      </c>
      <c r="AC2344" t="s">
        <v>38</v>
      </c>
      <c r="AD2344" t="s">
        <v>48</v>
      </c>
      <c r="AG2344" t="str">
        <f>IF(AD2344="United States", IFERROR(INDEX(Sheet2!$C:$C, MATCH(AE2344&amp;AF2344, Sheet2!$E:$E, 0)) &amp; ", " &amp; INDEX(Sheet2!$D:$D, MATCH(AE2344&amp;AF2344, Sheet2!$E:$E, 0)), ""), "-")</f>
        <v/>
      </c>
    </row>
    <row r="2345" spans="1:33" x14ac:dyDescent="0.25">
      <c r="A2345" t="s">
        <v>3648</v>
      </c>
      <c r="D2345" t="s">
        <v>2971</v>
      </c>
      <c r="E2345" t="s">
        <v>767</v>
      </c>
      <c r="F2345">
        <v>1753</v>
      </c>
      <c r="G2345">
        <v>1594</v>
      </c>
      <c r="H2345">
        <v>56</v>
      </c>
      <c r="J2345" t="s">
        <v>3119</v>
      </c>
      <c r="O2345" t="s">
        <v>57</v>
      </c>
      <c r="R2345" t="s">
        <v>2452</v>
      </c>
      <c r="T2345" t="s">
        <v>89</v>
      </c>
      <c r="U2345" t="s">
        <v>2453</v>
      </c>
      <c r="V2345" t="s">
        <v>137</v>
      </c>
      <c r="W2345" t="s">
        <v>92</v>
      </c>
      <c r="Y2345" t="s">
        <v>38</v>
      </c>
      <c r="AA2345" t="s">
        <v>38</v>
      </c>
      <c r="AB2345" t="s">
        <v>38</v>
      </c>
      <c r="AC2345" t="s">
        <v>38</v>
      </c>
      <c r="AD2345" t="s">
        <v>48</v>
      </c>
      <c r="AG2345" t="str">
        <f>IF(AD2345="United States", IFERROR(INDEX(Sheet2!$C:$C, MATCH(AE2345&amp;AF2345, Sheet2!$E:$E, 0)) &amp; ", " &amp; INDEX(Sheet2!$D:$D, MATCH(AE2345&amp;AF2345, Sheet2!$E:$E, 0)), ""), "-")</f>
        <v/>
      </c>
    </row>
    <row r="2346" spans="1:33" x14ac:dyDescent="0.25">
      <c r="A2346" t="s">
        <v>3648</v>
      </c>
      <c r="D2346" t="s">
        <v>887</v>
      </c>
      <c r="E2346" t="s">
        <v>767</v>
      </c>
      <c r="F2346">
        <v>1744</v>
      </c>
      <c r="G2346">
        <v>1593</v>
      </c>
      <c r="H2346">
        <v>56</v>
      </c>
      <c r="J2346" t="s">
        <v>3119</v>
      </c>
      <c r="O2346" t="s">
        <v>41</v>
      </c>
      <c r="R2346" t="s">
        <v>2452</v>
      </c>
      <c r="T2346" t="s">
        <v>89</v>
      </c>
      <c r="U2346" t="s">
        <v>2453</v>
      </c>
      <c r="V2346" t="s">
        <v>137</v>
      </c>
      <c r="W2346" t="s">
        <v>92</v>
      </c>
      <c r="Y2346" t="s">
        <v>38</v>
      </c>
      <c r="AA2346" t="s">
        <v>38</v>
      </c>
      <c r="AB2346" t="s">
        <v>38</v>
      </c>
      <c r="AC2346" t="s">
        <v>38</v>
      </c>
      <c r="AD2346" t="s">
        <v>48</v>
      </c>
      <c r="AG2346" t="str">
        <f>IF(AD2346="United States", IFERROR(INDEX(Sheet2!$C:$C, MATCH(AE2346&amp;AF2346, Sheet2!$E:$E, 0)) &amp; ", " &amp; INDEX(Sheet2!$D:$D, MATCH(AE2346&amp;AF2346, Sheet2!$E:$E, 0)), ""), "-")</f>
        <v/>
      </c>
    </row>
    <row r="2347" spans="1:33" x14ac:dyDescent="0.25">
      <c r="A2347" t="s">
        <v>3648</v>
      </c>
      <c r="D2347" t="s">
        <v>132</v>
      </c>
      <c r="E2347" t="s">
        <v>2974</v>
      </c>
      <c r="F2347">
        <v>1735</v>
      </c>
      <c r="G2347">
        <v>1592</v>
      </c>
      <c r="H2347">
        <v>56</v>
      </c>
      <c r="J2347" t="s">
        <v>3119</v>
      </c>
      <c r="O2347" t="s">
        <v>41</v>
      </c>
      <c r="R2347" t="s">
        <v>2452</v>
      </c>
      <c r="T2347" t="s">
        <v>89</v>
      </c>
      <c r="U2347" t="s">
        <v>2453</v>
      </c>
      <c r="V2347" t="s">
        <v>137</v>
      </c>
      <c r="W2347" t="s">
        <v>92</v>
      </c>
      <c r="Y2347" t="s">
        <v>38</v>
      </c>
      <c r="AA2347" t="s">
        <v>38</v>
      </c>
      <c r="AB2347" t="s">
        <v>38</v>
      </c>
      <c r="AC2347" t="s">
        <v>38</v>
      </c>
      <c r="AD2347" t="s">
        <v>48</v>
      </c>
      <c r="AG2347" t="str">
        <f>IF(AD2347="United States", IFERROR(INDEX(Sheet2!$C:$C, MATCH(AE2347&amp;AF2347, Sheet2!$E:$E, 0)) &amp; ", " &amp; INDEX(Sheet2!$D:$D, MATCH(AE2347&amp;AF2347, Sheet2!$E:$E, 0)), ""), "-")</f>
        <v/>
      </c>
    </row>
    <row r="2348" spans="1:33" x14ac:dyDescent="0.25">
      <c r="A2348" t="s">
        <v>3648</v>
      </c>
      <c r="D2348" t="s">
        <v>226</v>
      </c>
      <c r="E2348" t="s">
        <v>3689</v>
      </c>
      <c r="F2348">
        <v>1738</v>
      </c>
      <c r="G2348">
        <v>1591</v>
      </c>
      <c r="H2348">
        <v>56</v>
      </c>
      <c r="J2348" t="s">
        <v>3119</v>
      </c>
      <c r="O2348" t="s">
        <v>41</v>
      </c>
      <c r="R2348" t="s">
        <v>2452</v>
      </c>
      <c r="T2348" t="s">
        <v>89</v>
      </c>
      <c r="U2348" t="s">
        <v>2453</v>
      </c>
      <c r="V2348" t="s">
        <v>137</v>
      </c>
      <c r="W2348" t="s">
        <v>92</v>
      </c>
      <c r="Y2348" t="s">
        <v>38</v>
      </c>
      <c r="AA2348" t="s">
        <v>38</v>
      </c>
      <c r="AB2348" t="s">
        <v>38</v>
      </c>
      <c r="AC2348" t="s">
        <v>38</v>
      </c>
      <c r="AD2348" t="s">
        <v>48</v>
      </c>
      <c r="AG2348" t="str">
        <f>IF(AD2348="United States", IFERROR(INDEX(Sheet2!$C:$C, MATCH(AE2348&amp;AF2348, Sheet2!$E:$E, 0)) &amp; ", " &amp; INDEX(Sheet2!$D:$D, MATCH(AE2348&amp;AF2348, Sheet2!$E:$E, 0)), ""), "-")</f>
        <v/>
      </c>
    </row>
    <row r="2349" spans="1:33" x14ac:dyDescent="0.25">
      <c r="A2349" t="s">
        <v>3648</v>
      </c>
      <c r="D2349" t="s">
        <v>2991</v>
      </c>
      <c r="E2349" t="s">
        <v>246</v>
      </c>
      <c r="F2349">
        <v>1770</v>
      </c>
      <c r="G2349">
        <v>1590</v>
      </c>
      <c r="H2349">
        <v>56</v>
      </c>
      <c r="J2349" t="s">
        <v>3119</v>
      </c>
      <c r="O2349" t="s">
        <v>54</v>
      </c>
      <c r="R2349" t="s">
        <v>2452</v>
      </c>
      <c r="T2349" t="s">
        <v>89</v>
      </c>
      <c r="U2349" t="s">
        <v>2453</v>
      </c>
      <c r="V2349" t="s">
        <v>137</v>
      </c>
      <c r="W2349" t="s">
        <v>92</v>
      </c>
      <c r="Y2349" t="s">
        <v>38</v>
      </c>
      <c r="AA2349" t="s">
        <v>38</v>
      </c>
      <c r="AB2349" t="s">
        <v>38</v>
      </c>
      <c r="AC2349" t="s">
        <v>38</v>
      </c>
      <c r="AD2349" t="s">
        <v>48</v>
      </c>
      <c r="AG2349" t="str">
        <f>IF(AD2349="United States", IFERROR(INDEX(Sheet2!$C:$C, MATCH(AE2349&amp;AF2349, Sheet2!$E:$E, 0)) &amp; ", " &amp; INDEX(Sheet2!$D:$D, MATCH(AE2349&amp;AF2349, Sheet2!$E:$E, 0)), ""), "-")</f>
        <v/>
      </c>
    </row>
    <row r="2350" spans="1:33" x14ac:dyDescent="0.25">
      <c r="A2350" t="s">
        <v>3648</v>
      </c>
      <c r="D2350" t="s">
        <v>334</v>
      </c>
      <c r="E2350" t="s">
        <v>246</v>
      </c>
      <c r="F2350">
        <v>1723</v>
      </c>
      <c r="G2350">
        <v>1589</v>
      </c>
      <c r="H2350">
        <v>56</v>
      </c>
      <c r="J2350" t="s">
        <v>3119</v>
      </c>
      <c r="O2350" t="s">
        <v>41</v>
      </c>
      <c r="R2350" t="s">
        <v>2452</v>
      </c>
      <c r="T2350" t="s">
        <v>89</v>
      </c>
      <c r="U2350" t="s">
        <v>2453</v>
      </c>
      <c r="V2350" t="s">
        <v>137</v>
      </c>
      <c r="W2350" t="s">
        <v>92</v>
      </c>
      <c r="Y2350" t="s">
        <v>38</v>
      </c>
      <c r="AA2350" t="s">
        <v>38</v>
      </c>
      <c r="AB2350" t="s">
        <v>38</v>
      </c>
      <c r="AC2350" t="s">
        <v>38</v>
      </c>
      <c r="AD2350" t="s">
        <v>48</v>
      </c>
      <c r="AG2350" t="str">
        <f>IF(AD2350="United States", IFERROR(INDEX(Sheet2!$C:$C, MATCH(AE2350&amp;AF2350, Sheet2!$E:$E, 0)) &amp; ", " &amp; INDEX(Sheet2!$D:$D, MATCH(AE2350&amp;AF2350, Sheet2!$E:$E, 0)), ""), "-")</f>
        <v/>
      </c>
    </row>
    <row r="2351" spans="1:33" x14ac:dyDescent="0.25">
      <c r="A2351" t="s">
        <v>3648</v>
      </c>
      <c r="D2351" t="s">
        <v>181</v>
      </c>
      <c r="E2351" t="s">
        <v>3689</v>
      </c>
      <c r="F2351">
        <v>1778</v>
      </c>
      <c r="G2351">
        <v>1588</v>
      </c>
      <c r="H2351">
        <v>56</v>
      </c>
      <c r="J2351" t="s">
        <v>3119</v>
      </c>
      <c r="O2351" t="s">
        <v>54</v>
      </c>
      <c r="R2351" t="s">
        <v>2452</v>
      </c>
      <c r="T2351" t="s">
        <v>89</v>
      </c>
      <c r="U2351" t="s">
        <v>2453</v>
      </c>
      <c r="V2351" t="s">
        <v>137</v>
      </c>
      <c r="W2351" t="s">
        <v>92</v>
      </c>
      <c r="Y2351" t="s">
        <v>38</v>
      </c>
      <c r="AA2351" t="s">
        <v>38</v>
      </c>
      <c r="AB2351" t="s">
        <v>38</v>
      </c>
      <c r="AC2351" t="s">
        <v>38</v>
      </c>
      <c r="AD2351" t="s">
        <v>48</v>
      </c>
      <c r="AG2351" t="str">
        <f>IF(AD2351="United States", IFERROR(INDEX(Sheet2!$C:$C, MATCH(AE2351&amp;AF2351, Sheet2!$E:$E, 0)) &amp; ", " &amp; INDEX(Sheet2!$D:$D, MATCH(AE2351&amp;AF2351, Sheet2!$E:$E, 0)), ""), "-")</f>
        <v/>
      </c>
    </row>
    <row r="2352" spans="1:33" x14ac:dyDescent="0.25">
      <c r="A2352" t="s">
        <v>3648</v>
      </c>
      <c r="D2352" t="s">
        <v>181</v>
      </c>
      <c r="E2352" t="s">
        <v>3689</v>
      </c>
      <c r="F2352">
        <v>1774</v>
      </c>
      <c r="G2352">
        <v>1587</v>
      </c>
      <c r="H2352">
        <v>56</v>
      </c>
      <c r="J2352" t="s">
        <v>3119</v>
      </c>
      <c r="O2352" t="s">
        <v>54</v>
      </c>
      <c r="R2352" t="s">
        <v>2452</v>
      </c>
      <c r="T2352" t="s">
        <v>89</v>
      </c>
      <c r="U2352" t="s">
        <v>2453</v>
      </c>
      <c r="V2352" t="s">
        <v>137</v>
      </c>
      <c r="W2352" t="s">
        <v>92</v>
      </c>
      <c r="Y2352" t="s">
        <v>38</v>
      </c>
      <c r="AA2352" t="s">
        <v>38</v>
      </c>
      <c r="AB2352" t="s">
        <v>38</v>
      </c>
      <c r="AC2352" t="s">
        <v>38</v>
      </c>
      <c r="AD2352" t="s">
        <v>48</v>
      </c>
      <c r="AG2352" t="str">
        <f>IF(AD2352="United States", IFERROR(INDEX(Sheet2!$C:$C, MATCH(AE2352&amp;AF2352, Sheet2!$E:$E, 0)) &amp; ", " &amp; INDEX(Sheet2!$D:$D, MATCH(AE2352&amp;AF2352, Sheet2!$E:$E, 0)), ""), "-")</f>
        <v/>
      </c>
    </row>
    <row r="2353" spans="1:33" x14ac:dyDescent="0.25">
      <c r="A2353" t="s">
        <v>3648</v>
      </c>
      <c r="D2353" t="s">
        <v>615</v>
      </c>
      <c r="E2353" t="s">
        <v>2979</v>
      </c>
      <c r="F2353">
        <v>1729</v>
      </c>
      <c r="G2353">
        <v>1585</v>
      </c>
      <c r="H2353">
        <v>56</v>
      </c>
      <c r="J2353" t="s">
        <v>3119</v>
      </c>
      <c r="O2353" t="s">
        <v>41</v>
      </c>
      <c r="R2353" t="s">
        <v>2452</v>
      </c>
      <c r="T2353" t="s">
        <v>89</v>
      </c>
      <c r="U2353" t="s">
        <v>2453</v>
      </c>
      <c r="V2353" t="s">
        <v>137</v>
      </c>
      <c r="W2353" t="s">
        <v>92</v>
      </c>
      <c r="Y2353" t="s">
        <v>38</v>
      </c>
      <c r="AA2353" t="s">
        <v>38</v>
      </c>
      <c r="AB2353" t="s">
        <v>38</v>
      </c>
      <c r="AC2353" t="s">
        <v>38</v>
      </c>
      <c r="AD2353" t="s">
        <v>48</v>
      </c>
      <c r="AG2353" t="str">
        <f>IF(AD2353="United States", IFERROR(INDEX(Sheet2!$C:$C, MATCH(AE2353&amp;AF2353, Sheet2!$E:$E, 0)) &amp; ", " &amp; INDEX(Sheet2!$D:$D, MATCH(AE2353&amp;AF2353, Sheet2!$E:$E, 0)), ""), "-")</f>
        <v/>
      </c>
    </row>
    <row r="2354" spans="1:33" x14ac:dyDescent="0.25">
      <c r="A2354" t="s">
        <v>3648</v>
      </c>
      <c r="D2354" t="s">
        <v>226</v>
      </c>
      <c r="E2354" t="s">
        <v>1684</v>
      </c>
      <c r="F2354">
        <v>1758</v>
      </c>
      <c r="G2354">
        <v>1633</v>
      </c>
      <c r="H2354">
        <v>56</v>
      </c>
      <c r="J2354" t="s">
        <v>3119</v>
      </c>
      <c r="O2354" t="s">
        <v>41</v>
      </c>
      <c r="R2354" t="s">
        <v>2452</v>
      </c>
      <c r="T2354" t="s">
        <v>89</v>
      </c>
      <c r="U2354" t="s">
        <v>2453</v>
      </c>
      <c r="V2354" t="s">
        <v>137</v>
      </c>
      <c r="W2354" t="s">
        <v>92</v>
      </c>
      <c r="Y2354" t="s">
        <v>38</v>
      </c>
      <c r="AA2354" t="s">
        <v>38</v>
      </c>
      <c r="AB2354" t="s">
        <v>38</v>
      </c>
      <c r="AC2354" t="s">
        <v>38</v>
      </c>
      <c r="AD2354" t="s">
        <v>48</v>
      </c>
      <c r="AG2354" t="str">
        <f>IF(AD2354="United States", IFERROR(INDEX(Sheet2!$C:$C, MATCH(AE2354&amp;AF2354, Sheet2!$E:$E, 0)) &amp; ", " &amp; INDEX(Sheet2!$D:$D, MATCH(AE2354&amp;AF2354, Sheet2!$E:$E, 0)), ""), "-")</f>
        <v/>
      </c>
    </row>
    <row r="2355" spans="1:33" x14ac:dyDescent="0.25">
      <c r="A2355" t="s">
        <v>3648</v>
      </c>
      <c r="D2355" t="s">
        <v>195</v>
      </c>
      <c r="E2355" t="s">
        <v>3591</v>
      </c>
      <c r="F2355">
        <v>1764</v>
      </c>
      <c r="G2355">
        <v>1400</v>
      </c>
      <c r="H2355">
        <v>53</v>
      </c>
      <c r="J2355" t="s">
        <v>3119</v>
      </c>
      <c r="O2355" t="s">
        <v>41</v>
      </c>
      <c r="R2355" t="s">
        <v>2452</v>
      </c>
      <c r="T2355" t="s">
        <v>89</v>
      </c>
      <c r="U2355" t="s">
        <v>2453</v>
      </c>
      <c r="V2355" t="s">
        <v>137</v>
      </c>
      <c r="W2355" t="s">
        <v>92</v>
      </c>
      <c r="Y2355" t="s">
        <v>38</v>
      </c>
      <c r="AA2355" t="s">
        <v>38</v>
      </c>
      <c r="AB2355" t="s">
        <v>38</v>
      </c>
      <c r="AC2355" t="s">
        <v>38</v>
      </c>
      <c r="AD2355" t="s">
        <v>48</v>
      </c>
      <c r="AG2355" t="str">
        <f>IF(AD2355="United States", IFERROR(INDEX(Sheet2!$C:$C, MATCH(AE2355&amp;AF2355, Sheet2!$E:$E, 0)) &amp; ", " &amp; INDEX(Sheet2!$D:$D, MATCH(AE2355&amp;AF2355, Sheet2!$E:$E, 0)), ""), "-")</f>
        <v/>
      </c>
    </row>
    <row r="2356" spans="1:33" x14ac:dyDescent="0.25">
      <c r="A2356" t="s">
        <v>3648</v>
      </c>
      <c r="D2356" t="s">
        <v>676</v>
      </c>
      <c r="E2356" t="s">
        <v>3317</v>
      </c>
      <c r="F2356">
        <v>1756</v>
      </c>
      <c r="G2356">
        <v>1028</v>
      </c>
      <c r="H2356">
        <v>44</v>
      </c>
      <c r="J2356" t="s">
        <v>3119</v>
      </c>
      <c r="O2356" t="s">
        <v>57</v>
      </c>
      <c r="R2356" t="s">
        <v>2452</v>
      </c>
      <c r="T2356" t="s">
        <v>89</v>
      </c>
      <c r="U2356" t="s">
        <v>2453</v>
      </c>
      <c r="V2356" t="s">
        <v>137</v>
      </c>
      <c r="W2356" t="s">
        <v>92</v>
      </c>
      <c r="Y2356" t="s">
        <v>38</v>
      </c>
      <c r="AA2356" t="s">
        <v>38</v>
      </c>
      <c r="AB2356" t="s">
        <v>38</v>
      </c>
      <c r="AC2356" t="s">
        <v>38</v>
      </c>
      <c r="AD2356" t="s">
        <v>48</v>
      </c>
      <c r="AG2356" t="str">
        <f>IF(AD2356="United States", IFERROR(INDEX(Sheet2!$C:$C, MATCH(AE2356&amp;AF2356, Sheet2!$E:$E, 0)) &amp; ", " &amp; INDEX(Sheet2!$D:$D, MATCH(AE2356&amp;AF2356, Sheet2!$E:$E, 0)), ""), "-")</f>
        <v/>
      </c>
    </row>
    <row r="2357" spans="1:33" x14ac:dyDescent="0.25">
      <c r="A2357" t="s">
        <v>3648</v>
      </c>
      <c r="D2357" t="s">
        <v>181</v>
      </c>
      <c r="E2357" t="s">
        <v>3087</v>
      </c>
      <c r="F2357">
        <v>1776</v>
      </c>
      <c r="G2357">
        <v>1646</v>
      </c>
      <c r="H2357">
        <v>57</v>
      </c>
      <c r="J2357" t="s">
        <v>3119</v>
      </c>
      <c r="O2357" t="s">
        <v>183</v>
      </c>
      <c r="R2357" t="s">
        <v>2452</v>
      </c>
      <c r="T2357" t="s">
        <v>89</v>
      </c>
      <c r="U2357" t="s">
        <v>2453</v>
      </c>
      <c r="V2357" t="s">
        <v>137</v>
      </c>
      <c r="W2357" t="s">
        <v>92</v>
      </c>
      <c r="Y2357" t="s">
        <v>38</v>
      </c>
      <c r="AA2357" t="s">
        <v>38</v>
      </c>
      <c r="AB2357" t="s">
        <v>38</v>
      </c>
      <c r="AC2357" t="s">
        <v>38</v>
      </c>
      <c r="AD2357" t="s">
        <v>48</v>
      </c>
      <c r="AG2357" t="str">
        <f>IF(AD2357="United States", IFERROR(INDEX(Sheet2!$C:$C, MATCH(AE2357&amp;AF2357, Sheet2!$E:$E, 0)) &amp; ", " &amp; INDEX(Sheet2!$D:$D, MATCH(AE2357&amp;AF2357, Sheet2!$E:$E, 0)), ""), "-")</f>
        <v/>
      </c>
    </row>
    <row r="2358" spans="1:33" x14ac:dyDescent="0.25">
      <c r="A2358" t="s">
        <v>3648</v>
      </c>
      <c r="D2358" t="s">
        <v>181</v>
      </c>
      <c r="E2358" t="s">
        <v>3087</v>
      </c>
      <c r="F2358">
        <v>1777</v>
      </c>
      <c r="G2358">
        <v>1647</v>
      </c>
      <c r="H2358">
        <v>57</v>
      </c>
      <c r="J2358" t="s">
        <v>3119</v>
      </c>
      <c r="O2358" t="s">
        <v>183</v>
      </c>
      <c r="R2358" t="s">
        <v>2452</v>
      </c>
      <c r="T2358" t="s">
        <v>89</v>
      </c>
      <c r="U2358" t="s">
        <v>2453</v>
      </c>
      <c r="V2358" t="s">
        <v>137</v>
      </c>
      <c r="W2358" t="s">
        <v>92</v>
      </c>
      <c r="Y2358" t="s">
        <v>38</v>
      </c>
      <c r="AA2358" t="s">
        <v>38</v>
      </c>
      <c r="AB2358" t="s">
        <v>38</v>
      </c>
      <c r="AC2358" t="s">
        <v>38</v>
      </c>
      <c r="AD2358" t="s">
        <v>48</v>
      </c>
      <c r="AG2358" t="str">
        <f>IF(AD2358="United States", IFERROR(INDEX(Sheet2!$C:$C, MATCH(AE2358&amp;AF2358, Sheet2!$E:$E, 0)) &amp; ", " &amp; INDEX(Sheet2!$D:$D, MATCH(AE2358&amp;AF2358, Sheet2!$E:$E, 0)), ""), "-")</f>
        <v/>
      </c>
    </row>
    <row r="2359" spans="1:33" x14ac:dyDescent="0.25">
      <c r="A2359" t="s">
        <v>3648</v>
      </c>
      <c r="D2359" t="s">
        <v>132</v>
      </c>
      <c r="E2359" t="s">
        <v>3241</v>
      </c>
      <c r="F2359">
        <v>1758</v>
      </c>
      <c r="G2359">
        <v>1031</v>
      </c>
      <c r="H2359">
        <v>44</v>
      </c>
      <c r="J2359" t="s">
        <v>3119</v>
      </c>
      <c r="O2359" t="s">
        <v>41</v>
      </c>
      <c r="R2359" t="s">
        <v>2452</v>
      </c>
      <c r="T2359" t="s">
        <v>89</v>
      </c>
      <c r="U2359" t="s">
        <v>2453</v>
      </c>
      <c r="V2359" t="s">
        <v>137</v>
      </c>
      <c r="W2359" t="s">
        <v>92</v>
      </c>
      <c r="Y2359" t="s">
        <v>38</v>
      </c>
      <c r="AA2359" t="s">
        <v>38</v>
      </c>
      <c r="AB2359" t="s">
        <v>38</v>
      </c>
      <c r="AC2359" t="s">
        <v>38</v>
      </c>
      <c r="AD2359" t="s">
        <v>48</v>
      </c>
      <c r="AG2359" t="str">
        <f>IF(AD2359="United States", IFERROR(INDEX(Sheet2!$C:$C, MATCH(AE2359&amp;AF2359, Sheet2!$E:$E, 0)) &amp; ", " &amp; INDEX(Sheet2!$D:$D, MATCH(AE2359&amp;AF2359, Sheet2!$E:$E, 0)), ""), "-")</f>
        <v/>
      </c>
    </row>
    <row r="2360" spans="1:33" x14ac:dyDescent="0.25">
      <c r="A2360" t="s">
        <v>3648</v>
      </c>
      <c r="D2360" t="s">
        <v>177</v>
      </c>
      <c r="E2360" t="s">
        <v>2754</v>
      </c>
      <c r="F2360">
        <v>1773</v>
      </c>
      <c r="G2360">
        <v>1022</v>
      </c>
      <c r="H2360">
        <v>44</v>
      </c>
      <c r="J2360" t="s">
        <v>3119</v>
      </c>
      <c r="O2360" t="s">
        <v>54</v>
      </c>
      <c r="R2360" t="s">
        <v>2452</v>
      </c>
      <c r="T2360" t="s">
        <v>89</v>
      </c>
      <c r="U2360" t="s">
        <v>2453</v>
      </c>
      <c r="V2360" t="s">
        <v>137</v>
      </c>
      <c r="W2360" t="s">
        <v>92</v>
      </c>
      <c r="Y2360" t="s">
        <v>38</v>
      </c>
      <c r="AA2360" t="s">
        <v>38</v>
      </c>
      <c r="AB2360" t="s">
        <v>38</v>
      </c>
      <c r="AC2360" t="s">
        <v>38</v>
      </c>
      <c r="AD2360" t="s">
        <v>48</v>
      </c>
      <c r="AG2360" t="str">
        <f>IF(AD2360="United States", IFERROR(INDEX(Sheet2!$C:$C, MATCH(AE2360&amp;AF2360, Sheet2!$E:$E, 0)) &amp; ", " &amp; INDEX(Sheet2!$D:$D, MATCH(AE2360&amp;AF2360, Sheet2!$E:$E, 0)), ""), "-")</f>
        <v/>
      </c>
    </row>
    <row r="2361" spans="1:33" x14ac:dyDescent="0.25">
      <c r="A2361" t="s">
        <v>3648</v>
      </c>
      <c r="D2361" t="s">
        <v>1003</v>
      </c>
      <c r="E2361" t="s">
        <v>1387</v>
      </c>
      <c r="F2361">
        <v>1771</v>
      </c>
      <c r="G2361">
        <v>1021</v>
      </c>
      <c r="H2361">
        <v>44</v>
      </c>
      <c r="J2361" t="s">
        <v>3119</v>
      </c>
      <c r="O2361" t="s">
        <v>74</v>
      </c>
      <c r="R2361" t="s">
        <v>2452</v>
      </c>
      <c r="T2361" t="s">
        <v>89</v>
      </c>
      <c r="U2361" t="s">
        <v>2453</v>
      </c>
      <c r="V2361" t="s">
        <v>137</v>
      </c>
      <c r="W2361" t="s">
        <v>92</v>
      </c>
      <c r="Y2361" t="s">
        <v>38</v>
      </c>
      <c r="AA2361" t="s">
        <v>38</v>
      </c>
      <c r="AB2361" t="s">
        <v>38</v>
      </c>
      <c r="AC2361" t="s">
        <v>38</v>
      </c>
      <c r="AD2361" t="s">
        <v>48</v>
      </c>
      <c r="AG2361" t="str">
        <f>IF(AD2361="United States", IFERROR(INDEX(Sheet2!$C:$C, MATCH(AE2361&amp;AF2361, Sheet2!$E:$E, 0)) &amp; ", " &amp; INDEX(Sheet2!$D:$D, MATCH(AE2361&amp;AF2361, Sheet2!$E:$E, 0)), ""), "-")</f>
        <v/>
      </c>
    </row>
    <row r="2362" spans="1:33" x14ac:dyDescent="0.25">
      <c r="A2362" t="s">
        <v>3648</v>
      </c>
      <c r="D2362" t="s">
        <v>177</v>
      </c>
      <c r="E2362" t="s">
        <v>3326</v>
      </c>
      <c r="F2362" t="s">
        <v>38</v>
      </c>
      <c r="G2362">
        <v>1020</v>
      </c>
      <c r="H2362">
        <v>44</v>
      </c>
      <c r="J2362" t="s">
        <v>3119</v>
      </c>
      <c r="O2362" t="s">
        <v>54</v>
      </c>
      <c r="R2362" t="s">
        <v>2452</v>
      </c>
      <c r="T2362" t="s">
        <v>89</v>
      </c>
      <c r="U2362" t="s">
        <v>2453</v>
      </c>
      <c r="V2362" t="s">
        <v>137</v>
      </c>
      <c r="W2362" t="s">
        <v>92</v>
      </c>
      <c r="Y2362" t="s">
        <v>38</v>
      </c>
      <c r="AA2362" t="s">
        <v>38</v>
      </c>
      <c r="AB2362" t="s">
        <v>38</v>
      </c>
      <c r="AC2362" t="s">
        <v>38</v>
      </c>
      <c r="AD2362" t="s">
        <v>48</v>
      </c>
      <c r="AG2362" t="str">
        <f>IF(AD2362="United States", IFERROR(INDEX(Sheet2!$C:$C, MATCH(AE2362&amp;AF2362, Sheet2!$E:$E, 0)) &amp; ", " &amp; INDEX(Sheet2!$D:$D, MATCH(AE2362&amp;AF2362, Sheet2!$E:$E, 0)), ""), "-")</f>
        <v/>
      </c>
    </row>
    <row r="2363" spans="1:33" x14ac:dyDescent="0.25">
      <c r="A2363" t="s">
        <v>3648</v>
      </c>
      <c r="D2363" t="s">
        <v>495</v>
      </c>
      <c r="E2363" t="s">
        <v>3326</v>
      </c>
      <c r="F2363">
        <v>1762</v>
      </c>
      <c r="G2363">
        <v>1019</v>
      </c>
      <c r="H2363">
        <v>44</v>
      </c>
      <c r="J2363" t="s">
        <v>3119</v>
      </c>
      <c r="O2363" t="s">
        <v>57</v>
      </c>
      <c r="R2363" t="s">
        <v>2452</v>
      </c>
      <c r="T2363" t="s">
        <v>89</v>
      </c>
      <c r="U2363" t="s">
        <v>2453</v>
      </c>
      <c r="V2363" t="s">
        <v>137</v>
      </c>
      <c r="W2363" t="s">
        <v>92</v>
      </c>
      <c r="Y2363" t="s">
        <v>38</v>
      </c>
      <c r="AA2363" t="s">
        <v>38</v>
      </c>
      <c r="AB2363" t="s">
        <v>38</v>
      </c>
      <c r="AC2363" t="s">
        <v>38</v>
      </c>
      <c r="AD2363" t="s">
        <v>48</v>
      </c>
      <c r="AG2363" t="str">
        <f>IF(AD2363="United States", IFERROR(INDEX(Sheet2!$C:$C, MATCH(AE2363&amp;AF2363, Sheet2!$E:$E, 0)) &amp; ", " &amp; INDEX(Sheet2!$D:$D, MATCH(AE2363&amp;AF2363, Sheet2!$E:$E, 0)), ""), "-")</f>
        <v/>
      </c>
    </row>
    <row r="2364" spans="1:33" x14ac:dyDescent="0.25">
      <c r="A2364" t="s">
        <v>3648</v>
      </c>
      <c r="D2364" t="s">
        <v>3693</v>
      </c>
      <c r="E2364" t="s">
        <v>3694</v>
      </c>
      <c r="F2364">
        <v>1753</v>
      </c>
      <c r="G2364">
        <v>1018</v>
      </c>
      <c r="H2364">
        <v>44</v>
      </c>
      <c r="J2364" t="s">
        <v>3119</v>
      </c>
      <c r="O2364" t="s">
        <v>41</v>
      </c>
      <c r="R2364" t="s">
        <v>2452</v>
      </c>
      <c r="T2364" t="s">
        <v>89</v>
      </c>
      <c r="U2364" t="s">
        <v>2453</v>
      </c>
      <c r="V2364" t="s">
        <v>137</v>
      </c>
      <c r="W2364" t="s">
        <v>92</v>
      </c>
      <c r="Y2364" t="s">
        <v>38</v>
      </c>
      <c r="AA2364" t="s">
        <v>38</v>
      </c>
      <c r="AB2364" t="s">
        <v>38</v>
      </c>
      <c r="AC2364" t="s">
        <v>38</v>
      </c>
      <c r="AD2364" t="s">
        <v>48</v>
      </c>
      <c r="AG2364" t="str">
        <f>IF(AD2364="United States", IFERROR(INDEX(Sheet2!$C:$C, MATCH(AE2364&amp;AF2364, Sheet2!$E:$E, 0)) &amp; ", " &amp; INDEX(Sheet2!$D:$D, MATCH(AE2364&amp;AF2364, Sheet2!$E:$E, 0)), ""), "-")</f>
        <v/>
      </c>
    </row>
    <row r="2365" spans="1:33" x14ac:dyDescent="0.25">
      <c r="A2365" t="s">
        <v>3648</v>
      </c>
      <c r="D2365" t="s">
        <v>195</v>
      </c>
      <c r="E2365" t="s">
        <v>3332</v>
      </c>
      <c r="F2365">
        <v>1755</v>
      </c>
      <c r="G2365">
        <v>1023</v>
      </c>
      <c r="H2365">
        <v>44</v>
      </c>
      <c r="J2365" t="s">
        <v>3119</v>
      </c>
      <c r="O2365" t="s">
        <v>41</v>
      </c>
      <c r="R2365" t="s">
        <v>2452</v>
      </c>
      <c r="T2365" t="s">
        <v>89</v>
      </c>
      <c r="U2365" t="s">
        <v>2453</v>
      </c>
      <c r="V2365" t="s">
        <v>137</v>
      </c>
      <c r="W2365" t="s">
        <v>92</v>
      </c>
      <c r="Y2365" t="s">
        <v>38</v>
      </c>
      <c r="AA2365" t="s">
        <v>38</v>
      </c>
      <c r="AB2365" t="s">
        <v>38</v>
      </c>
      <c r="AC2365" t="s">
        <v>38</v>
      </c>
      <c r="AD2365" t="s">
        <v>48</v>
      </c>
      <c r="AG2365" t="str">
        <f>IF(AD2365="United States", IFERROR(INDEX(Sheet2!$C:$C, MATCH(AE2365&amp;AF2365, Sheet2!$E:$E, 0)) &amp; ", " &amp; INDEX(Sheet2!$D:$D, MATCH(AE2365&amp;AF2365, Sheet2!$E:$E, 0)), ""), "-")</f>
        <v/>
      </c>
    </row>
    <row r="2366" spans="1:33" x14ac:dyDescent="0.25">
      <c r="A2366" t="s">
        <v>3648</v>
      </c>
      <c r="D2366" t="s">
        <v>3695</v>
      </c>
      <c r="E2366" t="s">
        <v>3694</v>
      </c>
      <c r="F2366" t="s">
        <v>38</v>
      </c>
      <c r="G2366">
        <v>1017</v>
      </c>
      <c r="H2366">
        <v>44</v>
      </c>
      <c r="J2366" t="s">
        <v>3119</v>
      </c>
      <c r="O2366" t="s">
        <v>54</v>
      </c>
      <c r="R2366" t="s">
        <v>2452</v>
      </c>
      <c r="T2366" t="s">
        <v>89</v>
      </c>
      <c r="U2366" t="s">
        <v>2453</v>
      </c>
      <c r="V2366" t="s">
        <v>137</v>
      </c>
      <c r="W2366" t="s">
        <v>92</v>
      </c>
      <c r="Y2366" t="s">
        <v>38</v>
      </c>
      <c r="AA2366" t="s">
        <v>38</v>
      </c>
      <c r="AB2366" t="s">
        <v>38</v>
      </c>
      <c r="AC2366" t="s">
        <v>38</v>
      </c>
      <c r="AD2366" t="s">
        <v>48</v>
      </c>
      <c r="AG2366" t="str">
        <f>IF(AD2366="United States", IFERROR(INDEX(Sheet2!$C:$C, MATCH(AE2366&amp;AF2366, Sheet2!$E:$E, 0)) &amp; ", " &amp; INDEX(Sheet2!$D:$D, MATCH(AE2366&amp;AF2366, Sheet2!$E:$E, 0)), ""), "-")</f>
        <v/>
      </c>
    </row>
    <row r="2367" spans="1:33" x14ac:dyDescent="0.25">
      <c r="A2367" t="s">
        <v>3648</v>
      </c>
      <c r="D2367" t="s">
        <v>3696</v>
      </c>
      <c r="E2367" t="s">
        <v>3694</v>
      </c>
      <c r="F2367">
        <v>1778</v>
      </c>
      <c r="G2367">
        <v>1016</v>
      </c>
      <c r="H2367">
        <v>44</v>
      </c>
      <c r="J2367" t="s">
        <v>3119</v>
      </c>
      <c r="O2367" t="s">
        <v>74</v>
      </c>
      <c r="R2367" t="s">
        <v>2452</v>
      </c>
      <c r="T2367" t="s">
        <v>89</v>
      </c>
      <c r="U2367" t="s">
        <v>2453</v>
      </c>
      <c r="V2367" t="s">
        <v>137</v>
      </c>
      <c r="W2367" t="s">
        <v>92</v>
      </c>
      <c r="Y2367" t="s">
        <v>38</v>
      </c>
      <c r="AA2367" t="s">
        <v>38</v>
      </c>
      <c r="AB2367" t="s">
        <v>38</v>
      </c>
      <c r="AC2367" t="s">
        <v>38</v>
      </c>
      <c r="AD2367" t="s">
        <v>48</v>
      </c>
      <c r="AG2367" t="str">
        <f>IF(AD2367="United States", IFERROR(INDEX(Sheet2!$C:$C, MATCH(AE2367&amp;AF2367, Sheet2!$E:$E, 0)) &amp; ", " &amp; INDEX(Sheet2!$D:$D, MATCH(AE2367&amp;AF2367, Sheet2!$E:$E, 0)), ""), "-")</f>
        <v/>
      </c>
    </row>
    <row r="2368" spans="1:33" x14ac:dyDescent="0.25">
      <c r="A2368" t="s">
        <v>3648</v>
      </c>
      <c r="D2368" t="s">
        <v>3697</v>
      </c>
      <c r="E2368" t="s">
        <v>3694</v>
      </c>
      <c r="F2368">
        <v>1757</v>
      </c>
      <c r="G2368">
        <v>1015</v>
      </c>
      <c r="H2368">
        <v>44</v>
      </c>
      <c r="J2368" t="s">
        <v>3119</v>
      </c>
      <c r="O2368" t="s">
        <v>57</v>
      </c>
      <c r="R2368" t="s">
        <v>2452</v>
      </c>
      <c r="T2368" t="s">
        <v>89</v>
      </c>
      <c r="U2368" t="s">
        <v>2453</v>
      </c>
      <c r="V2368" t="s">
        <v>137</v>
      </c>
      <c r="W2368" t="s">
        <v>92</v>
      </c>
      <c r="Y2368" t="s">
        <v>38</v>
      </c>
      <c r="AA2368" t="s">
        <v>38</v>
      </c>
      <c r="AB2368" t="s">
        <v>38</v>
      </c>
      <c r="AC2368" t="s">
        <v>38</v>
      </c>
      <c r="AD2368" t="s">
        <v>48</v>
      </c>
      <c r="AG2368" t="str">
        <f>IF(AD2368="United States", IFERROR(INDEX(Sheet2!$C:$C, MATCH(AE2368&amp;AF2368, Sheet2!$E:$E, 0)) &amp; ", " &amp; INDEX(Sheet2!$D:$D, MATCH(AE2368&amp;AF2368, Sheet2!$E:$E, 0)), ""), "-")</f>
        <v/>
      </c>
    </row>
    <row r="2369" spans="1:33" x14ac:dyDescent="0.25">
      <c r="A2369" t="s">
        <v>3648</v>
      </c>
      <c r="D2369" t="s">
        <v>1491</v>
      </c>
      <c r="E2369" t="s">
        <v>859</v>
      </c>
      <c r="F2369">
        <v>1768</v>
      </c>
      <c r="G2369">
        <v>1014</v>
      </c>
      <c r="H2369">
        <v>44</v>
      </c>
      <c r="J2369" t="s">
        <v>3119</v>
      </c>
      <c r="O2369" t="s">
        <v>54</v>
      </c>
      <c r="R2369" t="s">
        <v>2452</v>
      </c>
      <c r="T2369" t="s">
        <v>89</v>
      </c>
      <c r="U2369" t="s">
        <v>2453</v>
      </c>
      <c r="V2369" t="s">
        <v>137</v>
      </c>
      <c r="W2369" t="s">
        <v>92</v>
      </c>
      <c r="Y2369" t="s">
        <v>38</v>
      </c>
      <c r="AA2369" t="s">
        <v>38</v>
      </c>
      <c r="AB2369" t="s">
        <v>38</v>
      </c>
      <c r="AC2369" t="s">
        <v>38</v>
      </c>
      <c r="AD2369" t="s">
        <v>48</v>
      </c>
      <c r="AG2369" t="str">
        <f>IF(AD2369="United States", IFERROR(INDEX(Sheet2!$C:$C, MATCH(AE2369&amp;AF2369, Sheet2!$E:$E, 0)) &amp; ", " &amp; INDEX(Sheet2!$D:$D, MATCH(AE2369&amp;AF2369, Sheet2!$E:$E, 0)), ""), "-")</f>
        <v/>
      </c>
    </row>
    <row r="2370" spans="1:33" x14ac:dyDescent="0.25">
      <c r="A2370" t="s">
        <v>3648</v>
      </c>
      <c r="D2370" t="s">
        <v>210</v>
      </c>
      <c r="E2370" t="s">
        <v>3314</v>
      </c>
      <c r="F2370">
        <v>1748</v>
      </c>
      <c r="G2370">
        <v>1013</v>
      </c>
      <c r="H2370">
        <v>44</v>
      </c>
      <c r="J2370" t="s">
        <v>3119</v>
      </c>
      <c r="O2370" t="s">
        <v>41</v>
      </c>
      <c r="R2370" t="s">
        <v>2452</v>
      </c>
      <c r="T2370" t="s">
        <v>89</v>
      </c>
      <c r="U2370" t="s">
        <v>2453</v>
      </c>
      <c r="V2370" t="s">
        <v>137</v>
      </c>
      <c r="W2370" t="s">
        <v>92</v>
      </c>
      <c r="Y2370" t="s">
        <v>38</v>
      </c>
      <c r="AA2370" t="s">
        <v>38</v>
      </c>
      <c r="AB2370" t="s">
        <v>38</v>
      </c>
      <c r="AC2370" t="s">
        <v>38</v>
      </c>
      <c r="AD2370" t="s">
        <v>48</v>
      </c>
      <c r="AG2370" t="str">
        <f>IF(AD2370="United States", IFERROR(INDEX(Sheet2!$C:$C, MATCH(AE2370&amp;AF2370, Sheet2!$E:$E, 0)) &amp; ", " &amp; INDEX(Sheet2!$D:$D, MATCH(AE2370&amp;AF2370, Sheet2!$E:$E, 0)), ""), "-")</f>
        <v/>
      </c>
    </row>
    <row r="2371" spans="1:33" x14ac:dyDescent="0.25">
      <c r="A2371" t="s">
        <v>3648</v>
      </c>
      <c r="D2371" t="s">
        <v>3179</v>
      </c>
      <c r="E2371" t="s">
        <v>3698</v>
      </c>
      <c r="F2371">
        <v>1755</v>
      </c>
      <c r="G2371">
        <v>1643</v>
      </c>
      <c r="H2371">
        <v>57</v>
      </c>
      <c r="J2371" t="s">
        <v>3119</v>
      </c>
      <c r="O2371" t="s">
        <v>41</v>
      </c>
      <c r="R2371" t="s">
        <v>2452</v>
      </c>
      <c r="T2371" t="s">
        <v>89</v>
      </c>
      <c r="U2371" t="s">
        <v>2453</v>
      </c>
      <c r="V2371" t="s">
        <v>137</v>
      </c>
      <c r="W2371" t="s">
        <v>92</v>
      </c>
      <c r="Y2371" t="s">
        <v>38</v>
      </c>
      <c r="AA2371" t="s">
        <v>38</v>
      </c>
      <c r="AB2371" t="s">
        <v>38</v>
      </c>
      <c r="AC2371" t="s">
        <v>38</v>
      </c>
      <c r="AD2371" t="s">
        <v>48</v>
      </c>
      <c r="AG2371" t="str">
        <f>IF(AD2371="United States", IFERROR(INDEX(Sheet2!$C:$C, MATCH(AE2371&amp;AF2371, Sheet2!$E:$E, 0)) &amp; ", " &amp; INDEX(Sheet2!$D:$D, MATCH(AE2371&amp;AF2371, Sheet2!$E:$E, 0)), ""), "-")</f>
        <v/>
      </c>
    </row>
    <row r="2372" spans="1:33" x14ac:dyDescent="0.25">
      <c r="A2372" t="s">
        <v>3648</v>
      </c>
      <c r="D2372" t="s">
        <v>1230</v>
      </c>
      <c r="E2372" t="s">
        <v>3241</v>
      </c>
      <c r="F2372">
        <v>1777</v>
      </c>
      <c r="G2372">
        <v>1034</v>
      </c>
      <c r="H2372">
        <v>44</v>
      </c>
      <c r="J2372" t="s">
        <v>3119</v>
      </c>
      <c r="O2372" t="s">
        <v>74</v>
      </c>
      <c r="R2372" t="s">
        <v>2452</v>
      </c>
      <c r="T2372" t="s">
        <v>89</v>
      </c>
      <c r="U2372" t="s">
        <v>2453</v>
      </c>
      <c r="V2372" t="s">
        <v>137</v>
      </c>
      <c r="W2372" t="s">
        <v>92</v>
      </c>
      <c r="Y2372" t="s">
        <v>38</v>
      </c>
      <c r="AA2372" t="s">
        <v>38</v>
      </c>
      <c r="AB2372" t="s">
        <v>38</v>
      </c>
      <c r="AC2372" t="s">
        <v>38</v>
      </c>
      <c r="AD2372" t="s">
        <v>48</v>
      </c>
      <c r="AG2372" t="str">
        <f>IF(AD2372="United States", IFERROR(INDEX(Sheet2!$C:$C, MATCH(AE2372&amp;AF2372, Sheet2!$E:$E, 0)) &amp; ", " &amp; INDEX(Sheet2!$D:$D, MATCH(AE2372&amp;AF2372, Sheet2!$E:$E, 0)), ""), "-")</f>
        <v/>
      </c>
    </row>
    <row r="2373" spans="1:33" x14ac:dyDescent="0.25">
      <c r="A2373" t="s">
        <v>3648</v>
      </c>
      <c r="D2373" t="s">
        <v>50</v>
      </c>
      <c r="E2373" t="s">
        <v>1496</v>
      </c>
      <c r="F2373">
        <v>1747</v>
      </c>
      <c r="G2373">
        <v>1035</v>
      </c>
      <c r="H2373">
        <v>44</v>
      </c>
      <c r="J2373" t="s">
        <v>3119</v>
      </c>
      <c r="O2373" t="s">
        <v>57</v>
      </c>
      <c r="R2373" t="s">
        <v>2452</v>
      </c>
      <c r="T2373" t="s">
        <v>89</v>
      </c>
      <c r="U2373" t="s">
        <v>2453</v>
      </c>
      <c r="V2373" t="s">
        <v>137</v>
      </c>
      <c r="W2373" t="s">
        <v>92</v>
      </c>
      <c r="Y2373" t="s">
        <v>38</v>
      </c>
      <c r="AA2373" t="s">
        <v>38</v>
      </c>
      <c r="AB2373" t="s">
        <v>38</v>
      </c>
      <c r="AC2373" t="s">
        <v>38</v>
      </c>
      <c r="AD2373" t="s">
        <v>48</v>
      </c>
      <c r="AG2373" t="str">
        <f>IF(AD2373="United States", IFERROR(INDEX(Sheet2!$C:$C, MATCH(AE2373&amp;AF2373, Sheet2!$E:$E, 0)) &amp; ", " &amp; INDEX(Sheet2!$D:$D, MATCH(AE2373&amp;AF2373, Sheet2!$E:$E, 0)), ""), "-")</f>
        <v/>
      </c>
    </row>
    <row r="2374" spans="1:33" x14ac:dyDescent="0.25">
      <c r="A2374" t="s">
        <v>3648</v>
      </c>
      <c r="D2374" t="s">
        <v>181</v>
      </c>
      <c r="E2374" t="s">
        <v>3087</v>
      </c>
      <c r="F2374">
        <v>1778</v>
      </c>
      <c r="G2374">
        <v>1648</v>
      </c>
      <c r="H2374">
        <v>57</v>
      </c>
      <c r="J2374" t="s">
        <v>3119</v>
      </c>
      <c r="O2374" t="s">
        <v>183</v>
      </c>
      <c r="R2374" t="s">
        <v>2452</v>
      </c>
      <c r="T2374" t="s">
        <v>89</v>
      </c>
      <c r="U2374" t="s">
        <v>2453</v>
      </c>
      <c r="V2374" t="s">
        <v>137</v>
      </c>
      <c r="W2374" t="s">
        <v>92</v>
      </c>
      <c r="Y2374" t="s">
        <v>38</v>
      </c>
      <c r="AA2374" t="s">
        <v>38</v>
      </c>
      <c r="AB2374" t="s">
        <v>38</v>
      </c>
      <c r="AC2374" t="s">
        <v>38</v>
      </c>
      <c r="AD2374" t="s">
        <v>48</v>
      </c>
      <c r="AG2374" t="str">
        <f>IF(AD2374="United States", IFERROR(INDEX(Sheet2!$C:$C, MATCH(AE2374&amp;AF2374, Sheet2!$E:$E, 0)) &amp; ", " &amp; INDEX(Sheet2!$D:$D, MATCH(AE2374&amp;AF2374, Sheet2!$E:$E, 0)), ""), "-")</f>
        <v/>
      </c>
    </row>
    <row r="2375" spans="1:33" x14ac:dyDescent="0.25">
      <c r="A2375" t="s">
        <v>3648</v>
      </c>
      <c r="D2375" t="s">
        <v>3699</v>
      </c>
      <c r="E2375" t="s">
        <v>3241</v>
      </c>
      <c r="F2375">
        <v>1759</v>
      </c>
      <c r="G2375">
        <v>1032</v>
      </c>
      <c r="H2375">
        <v>44</v>
      </c>
      <c r="J2375" t="s">
        <v>3119</v>
      </c>
      <c r="O2375" t="s">
        <v>57</v>
      </c>
      <c r="R2375" t="s">
        <v>2452</v>
      </c>
      <c r="T2375" t="s">
        <v>89</v>
      </c>
      <c r="U2375" t="s">
        <v>2453</v>
      </c>
      <c r="V2375" t="s">
        <v>137</v>
      </c>
      <c r="W2375" t="s">
        <v>92</v>
      </c>
      <c r="Y2375" t="s">
        <v>38</v>
      </c>
      <c r="AA2375" t="s">
        <v>38</v>
      </c>
      <c r="AB2375" t="s">
        <v>38</v>
      </c>
      <c r="AC2375" t="s">
        <v>38</v>
      </c>
      <c r="AD2375" t="s">
        <v>48</v>
      </c>
      <c r="AG2375" t="str">
        <f>IF(AD2375="United States", IFERROR(INDEX(Sheet2!$C:$C, MATCH(AE2375&amp;AF2375, Sheet2!$E:$E, 0)) &amp; ", " &amp; INDEX(Sheet2!$D:$D, MATCH(AE2375&amp;AF2375, Sheet2!$E:$E, 0)), ""), "-")</f>
        <v/>
      </c>
    </row>
    <row r="2376" spans="1:33" x14ac:dyDescent="0.25">
      <c r="A2376" t="s">
        <v>3648</v>
      </c>
      <c r="D2376" t="s">
        <v>824</v>
      </c>
      <c r="E2376" t="s">
        <v>3559</v>
      </c>
      <c r="F2376">
        <v>1753</v>
      </c>
      <c r="G2376">
        <v>1491</v>
      </c>
      <c r="H2376">
        <v>54</v>
      </c>
      <c r="J2376" t="s">
        <v>3119</v>
      </c>
      <c r="O2376" t="s">
        <v>41</v>
      </c>
      <c r="R2376" t="s">
        <v>2452</v>
      </c>
      <c r="T2376" t="s">
        <v>89</v>
      </c>
      <c r="U2376" t="s">
        <v>2453</v>
      </c>
      <c r="V2376" t="s">
        <v>137</v>
      </c>
      <c r="W2376" t="s">
        <v>92</v>
      </c>
      <c r="Y2376" t="s">
        <v>38</v>
      </c>
      <c r="AA2376" t="s">
        <v>38</v>
      </c>
      <c r="AB2376" t="s">
        <v>38</v>
      </c>
      <c r="AC2376" t="s">
        <v>38</v>
      </c>
      <c r="AD2376" t="s">
        <v>48</v>
      </c>
      <c r="AG2376" t="str">
        <f>IF(AD2376="United States", IFERROR(INDEX(Sheet2!$C:$C, MATCH(AE2376&amp;AF2376, Sheet2!$E:$E, 0)) &amp; ", " &amp; INDEX(Sheet2!$D:$D, MATCH(AE2376&amp;AF2376, Sheet2!$E:$E, 0)), ""), "-")</f>
        <v/>
      </c>
    </row>
    <row r="2377" spans="1:33" x14ac:dyDescent="0.25">
      <c r="A2377" t="s">
        <v>3648</v>
      </c>
      <c r="D2377" t="s">
        <v>72</v>
      </c>
      <c r="E2377" t="s">
        <v>3332</v>
      </c>
      <c r="F2377">
        <v>1753</v>
      </c>
      <c r="G2377">
        <v>1024</v>
      </c>
      <c r="H2377">
        <v>44</v>
      </c>
      <c r="J2377" t="s">
        <v>3119</v>
      </c>
      <c r="O2377" t="s">
        <v>57</v>
      </c>
      <c r="R2377" t="s">
        <v>2452</v>
      </c>
      <c r="T2377" t="s">
        <v>89</v>
      </c>
      <c r="U2377" t="s">
        <v>2453</v>
      </c>
      <c r="V2377" t="s">
        <v>137</v>
      </c>
      <c r="W2377" t="s">
        <v>92</v>
      </c>
      <c r="Y2377" t="s">
        <v>38</v>
      </c>
      <c r="AA2377" t="s">
        <v>38</v>
      </c>
      <c r="AB2377" t="s">
        <v>38</v>
      </c>
      <c r="AC2377" t="s">
        <v>38</v>
      </c>
      <c r="AD2377" t="s">
        <v>48</v>
      </c>
      <c r="AG2377" t="str">
        <f>IF(AD2377="United States", IFERROR(INDEX(Sheet2!$C:$C, MATCH(AE2377&amp;AF2377, Sheet2!$E:$E, 0)) &amp; ", " &amp; INDEX(Sheet2!$D:$D, MATCH(AE2377&amp;AF2377, Sheet2!$E:$E, 0)), ""), "-")</f>
        <v/>
      </c>
    </row>
    <row r="2378" spans="1:33" x14ac:dyDescent="0.25">
      <c r="A2378" t="s">
        <v>3648</v>
      </c>
      <c r="D2378" t="s">
        <v>463</v>
      </c>
      <c r="E2378" t="s">
        <v>1327</v>
      </c>
      <c r="F2378">
        <v>1753</v>
      </c>
      <c r="G2378">
        <v>1026</v>
      </c>
      <c r="H2378">
        <v>44</v>
      </c>
      <c r="J2378" t="s">
        <v>3119</v>
      </c>
      <c r="O2378" t="s">
        <v>41</v>
      </c>
      <c r="R2378" t="s">
        <v>2452</v>
      </c>
      <c r="T2378" t="s">
        <v>89</v>
      </c>
      <c r="U2378" t="s">
        <v>2453</v>
      </c>
      <c r="V2378" t="s">
        <v>137</v>
      </c>
      <c r="W2378" t="s">
        <v>92</v>
      </c>
      <c r="Y2378" t="s">
        <v>38</v>
      </c>
      <c r="AA2378" t="s">
        <v>38</v>
      </c>
      <c r="AB2378" t="s">
        <v>38</v>
      </c>
      <c r="AC2378" t="s">
        <v>38</v>
      </c>
      <c r="AD2378" t="s">
        <v>48</v>
      </c>
      <c r="AG2378" t="str">
        <f>IF(AD2378="United States", IFERROR(INDEX(Sheet2!$C:$C, MATCH(AE2378&amp;AF2378, Sheet2!$E:$E, 0)) &amp; ", " &amp; INDEX(Sheet2!$D:$D, MATCH(AE2378&amp;AF2378, Sheet2!$E:$E, 0)), ""), "-")</f>
        <v/>
      </c>
    </row>
    <row r="2379" spans="1:33" x14ac:dyDescent="0.25">
      <c r="A2379" t="s">
        <v>3648</v>
      </c>
      <c r="D2379" t="s">
        <v>181</v>
      </c>
      <c r="E2379" t="s">
        <v>140</v>
      </c>
      <c r="F2379">
        <v>1776</v>
      </c>
      <c r="G2379">
        <v>1642</v>
      </c>
      <c r="H2379">
        <v>57</v>
      </c>
      <c r="J2379" t="s">
        <v>3119</v>
      </c>
      <c r="O2379" t="s">
        <v>54</v>
      </c>
      <c r="R2379" t="s">
        <v>2452</v>
      </c>
      <c r="T2379" t="s">
        <v>89</v>
      </c>
      <c r="U2379" t="s">
        <v>2453</v>
      </c>
      <c r="V2379" t="s">
        <v>137</v>
      </c>
      <c r="W2379" t="s">
        <v>92</v>
      </c>
      <c r="Y2379" t="s">
        <v>38</v>
      </c>
      <c r="AA2379" t="s">
        <v>38</v>
      </c>
      <c r="AB2379" t="s">
        <v>38</v>
      </c>
      <c r="AC2379" t="s">
        <v>38</v>
      </c>
      <c r="AD2379" t="s">
        <v>48</v>
      </c>
      <c r="AG2379" t="str">
        <f>IF(AD2379="United States", IFERROR(INDEX(Sheet2!$C:$C, MATCH(AE2379&amp;AF2379, Sheet2!$E:$E, 0)) &amp; ", " &amp; INDEX(Sheet2!$D:$D, MATCH(AE2379&amp;AF2379, Sheet2!$E:$E, 0)), ""), "-")</f>
        <v/>
      </c>
    </row>
    <row r="2380" spans="1:33" x14ac:dyDescent="0.25">
      <c r="A2380" t="s">
        <v>3648</v>
      </c>
      <c r="D2380" t="s">
        <v>140</v>
      </c>
      <c r="E2380" t="s">
        <v>38</v>
      </c>
      <c r="F2380">
        <v>1723</v>
      </c>
      <c r="G2380">
        <v>1641</v>
      </c>
      <c r="H2380">
        <v>57</v>
      </c>
      <c r="J2380" t="s">
        <v>3119</v>
      </c>
      <c r="O2380" t="s">
        <v>57</v>
      </c>
      <c r="R2380" t="s">
        <v>2452</v>
      </c>
      <c r="T2380" t="s">
        <v>89</v>
      </c>
      <c r="U2380" t="s">
        <v>2453</v>
      </c>
      <c r="V2380" t="s">
        <v>137</v>
      </c>
      <c r="W2380" t="s">
        <v>92</v>
      </c>
      <c r="Y2380" t="s">
        <v>38</v>
      </c>
      <c r="AA2380" t="s">
        <v>38</v>
      </c>
      <c r="AB2380" t="s">
        <v>38</v>
      </c>
      <c r="AC2380" t="s">
        <v>38</v>
      </c>
      <c r="AD2380" t="s">
        <v>48</v>
      </c>
      <c r="AG2380" t="str">
        <f>IF(AD2380="United States", IFERROR(INDEX(Sheet2!$C:$C, MATCH(AE2380&amp;AF2380, Sheet2!$E:$E, 0)) &amp; ", " &amp; INDEX(Sheet2!$D:$D, MATCH(AE2380&amp;AF2380, Sheet2!$E:$E, 0)), ""), "-")</f>
        <v/>
      </c>
    </row>
    <row r="2381" spans="1:33" x14ac:dyDescent="0.25">
      <c r="A2381" t="s">
        <v>3648</v>
      </c>
      <c r="D2381" t="s">
        <v>210</v>
      </c>
      <c r="E2381" t="s">
        <v>3294</v>
      </c>
      <c r="F2381">
        <v>1743</v>
      </c>
      <c r="G2381">
        <v>1492</v>
      </c>
      <c r="H2381">
        <v>54</v>
      </c>
      <c r="J2381" t="s">
        <v>3119</v>
      </c>
      <c r="O2381" t="s">
        <v>41</v>
      </c>
      <c r="R2381" t="s">
        <v>2452</v>
      </c>
      <c r="T2381" t="s">
        <v>89</v>
      </c>
      <c r="U2381" t="s">
        <v>2453</v>
      </c>
      <c r="V2381" t="s">
        <v>137</v>
      </c>
      <c r="W2381" t="s">
        <v>92</v>
      </c>
      <c r="Y2381" t="s">
        <v>38</v>
      </c>
      <c r="AA2381" t="s">
        <v>38</v>
      </c>
      <c r="AB2381" t="s">
        <v>38</v>
      </c>
      <c r="AC2381" t="s">
        <v>38</v>
      </c>
      <c r="AD2381" t="s">
        <v>48</v>
      </c>
      <c r="AG2381" t="str">
        <f>IF(AD2381="United States", IFERROR(INDEX(Sheet2!$C:$C, MATCH(AE2381&amp;AF2381, Sheet2!$E:$E, 0)) &amp; ", " &amp; INDEX(Sheet2!$D:$D, MATCH(AE2381&amp;AF2381, Sheet2!$E:$E, 0)), ""), "-")</f>
        <v/>
      </c>
    </row>
    <row r="2382" spans="1:33" x14ac:dyDescent="0.25">
      <c r="A2382" t="s">
        <v>3648</v>
      </c>
      <c r="D2382" t="s">
        <v>210</v>
      </c>
      <c r="E2382" t="s">
        <v>3535</v>
      </c>
      <c r="F2382">
        <v>1748</v>
      </c>
      <c r="G2382">
        <v>1493</v>
      </c>
      <c r="H2382">
        <v>54</v>
      </c>
      <c r="J2382" t="s">
        <v>3119</v>
      </c>
      <c r="O2382" t="s">
        <v>41</v>
      </c>
      <c r="R2382" t="s">
        <v>2452</v>
      </c>
      <c r="T2382" t="s">
        <v>89</v>
      </c>
      <c r="U2382" t="s">
        <v>2453</v>
      </c>
      <c r="V2382" t="s">
        <v>137</v>
      </c>
      <c r="W2382" t="s">
        <v>92</v>
      </c>
      <c r="Y2382" t="s">
        <v>38</v>
      </c>
      <c r="AA2382" t="s">
        <v>38</v>
      </c>
      <c r="AB2382" t="s">
        <v>38</v>
      </c>
      <c r="AC2382" t="s">
        <v>38</v>
      </c>
      <c r="AD2382" t="s">
        <v>48</v>
      </c>
      <c r="AG2382" t="str">
        <f>IF(AD2382="United States", IFERROR(INDEX(Sheet2!$C:$C, MATCH(AE2382&amp;AF2382, Sheet2!$E:$E, 0)) &amp; ", " &amp; INDEX(Sheet2!$D:$D, MATCH(AE2382&amp;AF2382, Sheet2!$E:$E, 0)), ""), "-")</f>
        <v/>
      </c>
    </row>
    <row r="2383" spans="1:33" x14ac:dyDescent="0.25">
      <c r="A2383" t="s">
        <v>3648</v>
      </c>
      <c r="D2383" t="s">
        <v>1638</v>
      </c>
      <c r="E2383" t="s">
        <v>3700</v>
      </c>
      <c r="F2383">
        <v>1743</v>
      </c>
      <c r="G2383">
        <v>1494</v>
      </c>
      <c r="H2383">
        <v>54</v>
      </c>
      <c r="J2383" t="s">
        <v>3119</v>
      </c>
      <c r="O2383" t="s">
        <v>41</v>
      </c>
      <c r="R2383" t="s">
        <v>2452</v>
      </c>
      <c r="T2383" t="s">
        <v>89</v>
      </c>
      <c r="U2383" t="s">
        <v>2453</v>
      </c>
      <c r="V2383" t="s">
        <v>137</v>
      </c>
      <c r="W2383" t="s">
        <v>92</v>
      </c>
      <c r="Y2383" t="s">
        <v>38</v>
      </c>
      <c r="AA2383" t="s">
        <v>38</v>
      </c>
      <c r="AB2383" t="s">
        <v>38</v>
      </c>
      <c r="AC2383" t="s">
        <v>38</v>
      </c>
      <c r="AD2383" t="s">
        <v>48</v>
      </c>
      <c r="AG2383" t="str">
        <f>IF(AD2383="United States", IFERROR(INDEX(Sheet2!$C:$C, MATCH(AE2383&amp;AF2383, Sheet2!$E:$E, 0)) &amp; ", " &amp; INDEX(Sheet2!$D:$D, MATCH(AE2383&amp;AF2383, Sheet2!$E:$E, 0)), ""), "-")</f>
        <v/>
      </c>
    </row>
    <row r="2384" spans="1:33" x14ac:dyDescent="0.25">
      <c r="A2384" t="s">
        <v>3648</v>
      </c>
      <c r="D2384" t="s">
        <v>3553</v>
      </c>
      <c r="E2384" t="s">
        <v>818</v>
      </c>
      <c r="F2384">
        <v>1764</v>
      </c>
      <c r="G2384">
        <v>1495</v>
      </c>
      <c r="H2384">
        <v>54</v>
      </c>
      <c r="J2384" t="s">
        <v>3119</v>
      </c>
      <c r="O2384" t="s">
        <v>41</v>
      </c>
      <c r="R2384" t="s">
        <v>2452</v>
      </c>
      <c r="T2384" t="s">
        <v>89</v>
      </c>
      <c r="U2384" t="s">
        <v>2453</v>
      </c>
      <c r="V2384" t="s">
        <v>137</v>
      </c>
      <c r="W2384" t="s">
        <v>92</v>
      </c>
      <c r="Y2384" t="s">
        <v>38</v>
      </c>
      <c r="AA2384" t="s">
        <v>38</v>
      </c>
      <c r="AB2384" t="s">
        <v>38</v>
      </c>
      <c r="AC2384" t="s">
        <v>38</v>
      </c>
      <c r="AD2384" t="s">
        <v>48</v>
      </c>
      <c r="AG2384" t="str">
        <f>IF(AD2384="United States", IFERROR(INDEX(Sheet2!$C:$C, MATCH(AE2384&amp;AF2384, Sheet2!$E:$E, 0)) &amp; ", " &amp; INDEX(Sheet2!$D:$D, MATCH(AE2384&amp;AF2384, Sheet2!$E:$E, 0)), ""), "-")</f>
        <v/>
      </c>
    </row>
    <row r="2385" spans="1:33" x14ac:dyDescent="0.25">
      <c r="A2385" t="s">
        <v>3648</v>
      </c>
      <c r="D2385" t="s">
        <v>3116</v>
      </c>
      <c r="E2385" t="s">
        <v>3551</v>
      </c>
      <c r="F2385">
        <v>1738</v>
      </c>
      <c r="G2385">
        <v>1496</v>
      </c>
      <c r="H2385">
        <v>54</v>
      </c>
      <c r="J2385" t="s">
        <v>3119</v>
      </c>
      <c r="O2385" t="s">
        <v>41</v>
      </c>
      <c r="R2385" t="s">
        <v>2452</v>
      </c>
      <c r="T2385" t="s">
        <v>89</v>
      </c>
      <c r="U2385" t="s">
        <v>2453</v>
      </c>
      <c r="V2385" t="s">
        <v>137</v>
      </c>
      <c r="W2385" t="s">
        <v>92</v>
      </c>
      <c r="Y2385" t="s">
        <v>38</v>
      </c>
      <c r="AA2385" t="s">
        <v>38</v>
      </c>
      <c r="AB2385" t="s">
        <v>38</v>
      </c>
      <c r="AC2385" t="s">
        <v>38</v>
      </c>
      <c r="AD2385" t="s">
        <v>48</v>
      </c>
      <c r="AG2385" t="str">
        <f>IF(AD2385="United States", IFERROR(INDEX(Sheet2!$C:$C, MATCH(AE2385&amp;AF2385, Sheet2!$E:$E, 0)) &amp; ", " &amp; INDEX(Sheet2!$D:$D, MATCH(AE2385&amp;AF2385, Sheet2!$E:$E, 0)), ""), "-")</f>
        <v/>
      </c>
    </row>
    <row r="2386" spans="1:33" x14ac:dyDescent="0.25">
      <c r="A2386" t="s">
        <v>3648</v>
      </c>
      <c r="D2386" t="s">
        <v>357</v>
      </c>
      <c r="E2386" t="s">
        <v>3087</v>
      </c>
      <c r="F2386">
        <v>1744</v>
      </c>
      <c r="G2386">
        <v>1640</v>
      </c>
      <c r="H2386">
        <v>57</v>
      </c>
      <c r="J2386" t="s">
        <v>3119</v>
      </c>
      <c r="O2386" t="s">
        <v>41</v>
      </c>
      <c r="R2386" t="s">
        <v>2452</v>
      </c>
      <c r="T2386" t="s">
        <v>89</v>
      </c>
      <c r="U2386" t="s">
        <v>2453</v>
      </c>
      <c r="V2386" t="s">
        <v>137</v>
      </c>
      <c r="W2386" t="s">
        <v>92</v>
      </c>
      <c r="Y2386" t="s">
        <v>38</v>
      </c>
      <c r="AA2386" t="s">
        <v>38</v>
      </c>
      <c r="AB2386" t="s">
        <v>38</v>
      </c>
      <c r="AC2386" t="s">
        <v>38</v>
      </c>
      <c r="AD2386" t="s">
        <v>48</v>
      </c>
      <c r="AG2386" t="str">
        <f>IF(AD2386="United States", IFERROR(INDEX(Sheet2!$C:$C, MATCH(AE2386&amp;AF2386, Sheet2!$E:$E, 0)) &amp; ", " &amp; INDEX(Sheet2!$D:$D, MATCH(AE2386&amp;AF2386, Sheet2!$E:$E, 0)), ""), "-")</f>
        <v/>
      </c>
    </row>
    <row r="2387" spans="1:33" x14ac:dyDescent="0.25">
      <c r="A2387" t="s">
        <v>3648</v>
      </c>
      <c r="D2387" t="s">
        <v>3701</v>
      </c>
      <c r="E2387" t="s">
        <v>3332</v>
      </c>
      <c r="F2387">
        <v>1781</v>
      </c>
      <c r="G2387">
        <v>1025</v>
      </c>
      <c r="H2387">
        <v>44</v>
      </c>
      <c r="J2387" t="s">
        <v>3119</v>
      </c>
      <c r="O2387" t="s">
        <v>74</v>
      </c>
      <c r="R2387" t="s">
        <v>2452</v>
      </c>
      <c r="T2387" t="s">
        <v>89</v>
      </c>
      <c r="U2387" t="s">
        <v>2453</v>
      </c>
      <c r="V2387" t="s">
        <v>137</v>
      </c>
      <c r="W2387" t="s">
        <v>92</v>
      </c>
      <c r="Y2387" t="s">
        <v>38</v>
      </c>
      <c r="AA2387" t="s">
        <v>38</v>
      </c>
      <c r="AB2387" t="s">
        <v>38</v>
      </c>
      <c r="AC2387" t="s">
        <v>38</v>
      </c>
      <c r="AD2387" t="s">
        <v>48</v>
      </c>
      <c r="AG2387" t="str">
        <f>IF(AD2387="United States", IFERROR(INDEX(Sheet2!$C:$C, MATCH(AE2387&amp;AF2387, Sheet2!$E:$E, 0)) &amp; ", " &amp; INDEX(Sheet2!$D:$D, MATCH(AE2387&amp;AF2387, Sheet2!$E:$E, 0)), ""), "-")</f>
        <v/>
      </c>
    </row>
    <row r="2388" spans="1:33" x14ac:dyDescent="0.25">
      <c r="A2388" t="s">
        <v>3648</v>
      </c>
      <c r="D2388" t="s">
        <v>114</v>
      </c>
      <c r="E2388" t="s">
        <v>3184</v>
      </c>
      <c r="F2388">
        <v>1714</v>
      </c>
      <c r="G2388">
        <v>1639</v>
      </c>
      <c r="H2388">
        <v>57</v>
      </c>
      <c r="J2388" t="s">
        <v>3119</v>
      </c>
      <c r="O2388" t="s">
        <v>57</v>
      </c>
      <c r="R2388" t="s">
        <v>2452</v>
      </c>
      <c r="T2388" t="s">
        <v>89</v>
      </c>
      <c r="U2388" t="s">
        <v>2453</v>
      </c>
      <c r="V2388" t="s">
        <v>137</v>
      </c>
      <c r="W2388" t="s">
        <v>92</v>
      </c>
      <c r="Y2388" t="s">
        <v>38</v>
      </c>
      <c r="AA2388" t="s">
        <v>38</v>
      </c>
      <c r="AB2388" t="s">
        <v>38</v>
      </c>
      <c r="AC2388" t="s">
        <v>38</v>
      </c>
      <c r="AD2388" t="s">
        <v>48</v>
      </c>
      <c r="AG2388" t="str">
        <f>IF(AD2388="United States", IFERROR(INDEX(Sheet2!$C:$C, MATCH(AE2388&amp;AF2388, Sheet2!$E:$E, 0)) &amp; ", " &amp; INDEX(Sheet2!$D:$D, MATCH(AE2388&amp;AF2388, Sheet2!$E:$E, 0)), ""), "-")</f>
        <v/>
      </c>
    </row>
    <row r="2389" spans="1:33" x14ac:dyDescent="0.25">
      <c r="A2389" t="s">
        <v>3648</v>
      </c>
      <c r="D2389" t="s">
        <v>1413</v>
      </c>
      <c r="E2389" t="s">
        <v>633</v>
      </c>
      <c r="F2389">
        <v>1728</v>
      </c>
      <c r="G2389">
        <v>1637</v>
      </c>
      <c r="H2389">
        <v>56</v>
      </c>
      <c r="J2389" t="s">
        <v>3119</v>
      </c>
      <c r="O2389" t="s">
        <v>57</v>
      </c>
      <c r="R2389" t="s">
        <v>2452</v>
      </c>
      <c r="T2389" t="s">
        <v>89</v>
      </c>
      <c r="U2389" t="s">
        <v>2453</v>
      </c>
      <c r="V2389" t="s">
        <v>137</v>
      </c>
      <c r="W2389" t="s">
        <v>92</v>
      </c>
      <c r="Y2389" t="s">
        <v>38</v>
      </c>
      <c r="AA2389" t="s">
        <v>38</v>
      </c>
      <c r="AB2389" t="s">
        <v>38</v>
      </c>
      <c r="AC2389" t="s">
        <v>38</v>
      </c>
      <c r="AD2389" t="s">
        <v>48</v>
      </c>
      <c r="AG2389" t="str">
        <f>IF(AD2389="United States", IFERROR(INDEX(Sheet2!$C:$C, MATCH(AE2389&amp;AF2389, Sheet2!$E:$E, 0)) &amp; ", " &amp; INDEX(Sheet2!$D:$D, MATCH(AE2389&amp;AF2389, Sheet2!$E:$E, 0)), ""), "-")</f>
        <v/>
      </c>
    </row>
    <row r="2390" spans="1:33" x14ac:dyDescent="0.25">
      <c r="A2390" t="s">
        <v>3648</v>
      </c>
      <c r="D2390" t="s">
        <v>3189</v>
      </c>
      <c r="E2390" t="s">
        <v>633</v>
      </c>
      <c r="F2390">
        <v>1725</v>
      </c>
      <c r="G2390">
        <v>1636</v>
      </c>
      <c r="H2390">
        <v>56</v>
      </c>
      <c r="J2390" t="s">
        <v>3119</v>
      </c>
      <c r="O2390" t="s">
        <v>41</v>
      </c>
      <c r="R2390" t="s">
        <v>2452</v>
      </c>
      <c r="T2390" t="s">
        <v>89</v>
      </c>
      <c r="U2390" t="s">
        <v>2453</v>
      </c>
      <c r="V2390" t="s">
        <v>137</v>
      </c>
      <c r="W2390" t="s">
        <v>92</v>
      </c>
      <c r="Y2390" t="s">
        <v>38</v>
      </c>
      <c r="AA2390" t="s">
        <v>38</v>
      </c>
      <c r="AB2390" t="s">
        <v>38</v>
      </c>
      <c r="AC2390" t="s">
        <v>38</v>
      </c>
      <c r="AD2390" t="s">
        <v>48</v>
      </c>
      <c r="AG2390" t="str">
        <f>IF(AD2390="United States", IFERROR(INDEX(Sheet2!$C:$C, MATCH(AE2390&amp;AF2390, Sheet2!$E:$E, 0)) &amp; ", " &amp; INDEX(Sheet2!$D:$D, MATCH(AE2390&amp;AF2390, Sheet2!$E:$E, 0)), ""), "-")</f>
        <v/>
      </c>
    </row>
    <row r="2391" spans="1:33" x14ac:dyDescent="0.25">
      <c r="A2391" t="s">
        <v>3648</v>
      </c>
      <c r="D2391" t="s">
        <v>434</v>
      </c>
      <c r="E2391" t="s">
        <v>3191</v>
      </c>
      <c r="F2391">
        <v>1744</v>
      </c>
      <c r="G2391">
        <v>1635</v>
      </c>
      <c r="H2391">
        <v>56</v>
      </c>
      <c r="J2391" t="s">
        <v>3119</v>
      </c>
      <c r="O2391" t="s">
        <v>41</v>
      </c>
      <c r="R2391" t="s">
        <v>2452</v>
      </c>
      <c r="T2391" t="s">
        <v>89</v>
      </c>
      <c r="U2391" t="s">
        <v>2453</v>
      </c>
      <c r="V2391" t="s">
        <v>137</v>
      </c>
      <c r="W2391" t="s">
        <v>92</v>
      </c>
      <c r="Y2391" t="s">
        <v>38</v>
      </c>
      <c r="AA2391" t="s">
        <v>38</v>
      </c>
      <c r="AB2391" t="s">
        <v>38</v>
      </c>
      <c r="AC2391" t="s">
        <v>38</v>
      </c>
      <c r="AD2391" t="s">
        <v>48</v>
      </c>
      <c r="AG2391" t="str">
        <f>IF(AD2391="United States", IFERROR(INDEX(Sheet2!$C:$C, MATCH(AE2391&amp;AF2391, Sheet2!$E:$E, 0)) &amp; ", " &amp; INDEX(Sheet2!$D:$D, MATCH(AE2391&amp;AF2391, Sheet2!$E:$E, 0)), ""), "-")</f>
        <v/>
      </c>
    </row>
    <row r="2392" spans="1:33" x14ac:dyDescent="0.25">
      <c r="A2392" t="s">
        <v>3648</v>
      </c>
      <c r="D2392" t="s">
        <v>2697</v>
      </c>
      <c r="E2392" t="s">
        <v>3195</v>
      </c>
      <c r="F2392">
        <v>1754</v>
      </c>
      <c r="G2392">
        <v>1634</v>
      </c>
      <c r="H2392">
        <v>56</v>
      </c>
      <c r="J2392" t="s">
        <v>3119</v>
      </c>
      <c r="O2392" t="s">
        <v>41</v>
      </c>
      <c r="R2392" t="s">
        <v>2452</v>
      </c>
      <c r="T2392" t="s">
        <v>89</v>
      </c>
      <c r="U2392" t="s">
        <v>2453</v>
      </c>
      <c r="V2392" t="s">
        <v>137</v>
      </c>
      <c r="W2392" t="s">
        <v>92</v>
      </c>
      <c r="Y2392" t="s">
        <v>38</v>
      </c>
      <c r="AA2392" t="s">
        <v>38</v>
      </c>
      <c r="AB2392" t="s">
        <v>38</v>
      </c>
      <c r="AC2392" t="s">
        <v>38</v>
      </c>
      <c r="AD2392" t="s">
        <v>48</v>
      </c>
      <c r="AG2392" t="str">
        <f>IF(AD2392="United States", IFERROR(INDEX(Sheet2!$C:$C, MATCH(AE2392&amp;AF2392, Sheet2!$E:$E, 0)) &amp; ", " &amp; INDEX(Sheet2!$D:$D, MATCH(AE2392&amp;AF2392, Sheet2!$E:$E, 0)), ""), "-")</f>
        <v/>
      </c>
    </row>
    <row r="2393" spans="1:33" x14ac:dyDescent="0.25">
      <c r="A2393" t="s">
        <v>3648</v>
      </c>
      <c r="D2393" t="s">
        <v>834</v>
      </c>
      <c r="E2393" t="s">
        <v>1141</v>
      </c>
      <c r="F2393">
        <v>1772</v>
      </c>
      <c r="G2393">
        <v>1030</v>
      </c>
      <c r="H2393">
        <v>44</v>
      </c>
      <c r="J2393" t="s">
        <v>3119</v>
      </c>
      <c r="O2393" t="s">
        <v>74</v>
      </c>
      <c r="R2393" t="s">
        <v>2452</v>
      </c>
      <c r="T2393" t="s">
        <v>89</v>
      </c>
      <c r="U2393" t="s">
        <v>2453</v>
      </c>
      <c r="V2393" t="s">
        <v>137</v>
      </c>
      <c r="W2393" t="s">
        <v>92</v>
      </c>
      <c r="Y2393" t="s">
        <v>38</v>
      </c>
      <c r="AA2393" t="s">
        <v>38</v>
      </c>
      <c r="AB2393" t="s">
        <v>38</v>
      </c>
      <c r="AC2393" t="s">
        <v>38</v>
      </c>
      <c r="AD2393" t="s">
        <v>48</v>
      </c>
      <c r="AG2393" t="str">
        <f>IF(AD2393="United States", IFERROR(INDEX(Sheet2!$C:$C, MATCH(AE2393&amp;AF2393, Sheet2!$E:$E, 0)) &amp; ", " &amp; INDEX(Sheet2!$D:$D, MATCH(AE2393&amp;AF2393, Sheet2!$E:$E, 0)), ""), "-")</f>
        <v/>
      </c>
    </row>
    <row r="2394" spans="1:33" x14ac:dyDescent="0.25">
      <c r="A2394" t="s">
        <v>3648</v>
      </c>
      <c r="D2394" t="s">
        <v>190</v>
      </c>
      <c r="E2394" t="s">
        <v>3317</v>
      </c>
      <c r="F2394" t="s">
        <v>38</v>
      </c>
      <c r="G2394">
        <v>1029</v>
      </c>
      <c r="H2394">
        <v>44</v>
      </c>
      <c r="J2394" t="s">
        <v>3119</v>
      </c>
      <c r="O2394" t="s">
        <v>74</v>
      </c>
      <c r="R2394" t="s">
        <v>2452</v>
      </c>
      <c r="T2394" t="s">
        <v>89</v>
      </c>
      <c r="U2394" t="s">
        <v>2453</v>
      </c>
      <c r="V2394" t="s">
        <v>137</v>
      </c>
      <c r="W2394" t="s">
        <v>92</v>
      </c>
      <c r="Y2394" t="s">
        <v>38</v>
      </c>
      <c r="AA2394" t="s">
        <v>38</v>
      </c>
      <c r="AB2394" t="s">
        <v>38</v>
      </c>
      <c r="AC2394" t="s">
        <v>38</v>
      </c>
      <c r="AD2394" t="s">
        <v>48</v>
      </c>
      <c r="AG2394" t="str">
        <f>IF(AD2394="United States", IFERROR(INDEX(Sheet2!$C:$C, MATCH(AE2394&amp;AF2394, Sheet2!$E:$E, 0)) &amp; ", " &amp; INDEX(Sheet2!$D:$D, MATCH(AE2394&amp;AF2394, Sheet2!$E:$E, 0)), ""), "-")</f>
        <v/>
      </c>
    </row>
    <row r="2395" spans="1:33" x14ac:dyDescent="0.25">
      <c r="A2395" t="s">
        <v>3648</v>
      </c>
      <c r="D2395" t="s">
        <v>181</v>
      </c>
      <c r="E2395" t="s">
        <v>3087</v>
      </c>
      <c r="F2395">
        <v>1775</v>
      </c>
      <c r="G2395">
        <v>1645</v>
      </c>
      <c r="H2395">
        <v>57</v>
      </c>
      <c r="J2395" t="s">
        <v>3119</v>
      </c>
      <c r="O2395" t="s">
        <v>183</v>
      </c>
      <c r="R2395" t="s">
        <v>2452</v>
      </c>
      <c r="T2395" t="s">
        <v>89</v>
      </c>
      <c r="U2395" t="s">
        <v>2453</v>
      </c>
      <c r="V2395" t="s">
        <v>137</v>
      </c>
      <c r="W2395" t="s">
        <v>92</v>
      </c>
      <c r="Y2395" t="s">
        <v>38</v>
      </c>
      <c r="AA2395" t="s">
        <v>38</v>
      </c>
      <c r="AB2395" t="s">
        <v>38</v>
      </c>
      <c r="AC2395" t="s">
        <v>38</v>
      </c>
      <c r="AD2395" t="s">
        <v>48</v>
      </c>
      <c r="AG2395" t="str">
        <f>IF(AD2395="United States", IFERROR(INDEX(Sheet2!$C:$C, MATCH(AE2395&amp;AF2395, Sheet2!$E:$E, 0)) &amp; ", " &amp; INDEX(Sheet2!$D:$D, MATCH(AE2395&amp;AF2395, Sheet2!$E:$E, 0)), ""), "-")</f>
        <v/>
      </c>
    </row>
    <row r="2396" spans="1:33" x14ac:dyDescent="0.25">
      <c r="A2396" t="s">
        <v>3648</v>
      </c>
      <c r="D2396" t="s">
        <v>245</v>
      </c>
      <c r="E2396" t="s">
        <v>1327</v>
      </c>
      <c r="F2396">
        <v>1757</v>
      </c>
      <c r="G2396">
        <v>1027</v>
      </c>
      <c r="H2396">
        <v>44</v>
      </c>
      <c r="J2396" t="s">
        <v>3119</v>
      </c>
      <c r="O2396" t="s">
        <v>57</v>
      </c>
      <c r="R2396" t="s">
        <v>2452</v>
      </c>
      <c r="T2396" t="s">
        <v>89</v>
      </c>
      <c r="U2396" t="s">
        <v>2453</v>
      </c>
      <c r="V2396" t="s">
        <v>137</v>
      </c>
      <c r="W2396" t="s">
        <v>92</v>
      </c>
      <c r="Y2396" t="s">
        <v>38</v>
      </c>
      <c r="AA2396" t="s">
        <v>38</v>
      </c>
      <c r="AB2396" t="s">
        <v>38</v>
      </c>
      <c r="AC2396" t="s">
        <v>38</v>
      </c>
      <c r="AD2396" t="s">
        <v>48</v>
      </c>
      <c r="AG2396" t="str">
        <f>IF(AD2396="United States", IFERROR(INDEX(Sheet2!$C:$C, MATCH(AE2396&amp;AF2396, Sheet2!$E:$E, 0)) &amp; ", " &amp; INDEX(Sheet2!$D:$D, MATCH(AE2396&amp;AF2396, Sheet2!$E:$E, 0)), ""), "-")</f>
        <v/>
      </c>
    </row>
    <row r="2397" spans="1:33" x14ac:dyDescent="0.25">
      <c r="A2397" t="s">
        <v>3648</v>
      </c>
      <c r="D2397" t="s">
        <v>3672</v>
      </c>
      <c r="E2397" t="s">
        <v>3186</v>
      </c>
      <c r="F2397">
        <v>1746</v>
      </c>
      <c r="G2397">
        <v>1638</v>
      </c>
      <c r="H2397">
        <v>57</v>
      </c>
      <c r="J2397" t="s">
        <v>3119</v>
      </c>
      <c r="O2397" t="s">
        <v>41</v>
      </c>
      <c r="R2397" t="s">
        <v>2452</v>
      </c>
      <c r="T2397" t="s">
        <v>89</v>
      </c>
      <c r="U2397" t="s">
        <v>2453</v>
      </c>
      <c r="V2397" t="s">
        <v>137</v>
      </c>
      <c r="W2397" t="s">
        <v>92</v>
      </c>
      <c r="Y2397" t="s">
        <v>38</v>
      </c>
      <c r="AA2397" t="s">
        <v>38</v>
      </c>
      <c r="AB2397" t="s">
        <v>38</v>
      </c>
      <c r="AC2397" t="s">
        <v>38</v>
      </c>
      <c r="AD2397" t="s">
        <v>48</v>
      </c>
      <c r="AG2397" t="str">
        <f>IF(AD2397="United States", IFERROR(INDEX(Sheet2!$C:$C, MATCH(AE2397&amp;AF2397, Sheet2!$E:$E, 0)) &amp; ", " &amp; INDEX(Sheet2!$D:$D, MATCH(AE2397&amp;AF2397, Sheet2!$E:$E, 0)), ""), "-")</f>
        <v/>
      </c>
    </row>
    <row r="2398" spans="1:33" x14ac:dyDescent="0.25">
      <c r="A2398" t="s">
        <v>3648</v>
      </c>
      <c r="D2398" t="s">
        <v>357</v>
      </c>
      <c r="E2398" t="s">
        <v>633</v>
      </c>
      <c r="F2398">
        <v>1766</v>
      </c>
      <c r="G2398">
        <v>1490</v>
      </c>
      <c r="H2398">
        <v>54</v>
      </c>
      <c r="J2398" t="s">
        <v>3119</v>
      </c>
      <c r="O2398" t="s">
        <v>41</v>
      </c>
      <c r="R2398" t="s">
        <v>2452</v>
      </c>
      <c r="T2398" t="s">
        <v>89</v>
      </c>
      <c r="U2398" t="s">
        <v>2453</v>
      </c>
      <c r="V2398" t="s">
        <v>137</v>
      </c>
      <c r="W2398" t="s">
        <v>92</v>
      </c>
      <c r="Y2398" t="s">
        <v>38</v>
      </c>
      <c r="AA2398" t="s">
        <v>38</v>
      </c>
      <c r="AB2398" t="s">
        <v>38</v>
      </c>
      <c r="AC2398" t="s">
        <v>38</v>
      </c>
      <c r="AD2398" t="s">
        <v>48</v>
      </c>
      <c r="AG2398" t="str">
        <f>IF(AD2398="United States", IFERROR(INDEX(Sheet2!$C:$C, MATCH(AE2398&amp;AF2398, Sheet2!$E:$E, 0)) &amp; ", " &amp; INDEX(Sheet2!$D:$D, MATCH(AE2398&amp;AF2398, Sheet2!$E:$E, 0)), ""), "-")</f>
        <v/>
      </c>
    </row>
    <row r="2399" spans="1:33" x14ac:dyDescent="0.25">
      <c r="A2399" t="s">
        <v>3648</v>
      </c>
      <c r="D2399" t="s">
        <v>140</v>
      </c>
      <c r="E2399" t="s">
        <v>3241</v>
      </c>
      <c r="F2399" t="s">
        <v>38</v>
      </c>
      <c r="G2399">
        <v>1033</v>
      </c>
      <c r="H2399">
        <v>44</v>
      </c>
      <c r="J2399" t="s">
        <v>3119</v>
      </c>
      <c r="O2399" t="s">
        <v>74</v>
      </c>
      <c r="R2399" t="s">
        <v>2452</v>
      </c>
      <c r="T2399" t="s">
        <v>89</v>
      </c>
      <c r="U2399" t="s">
        <v>2453</v>
      </c>
      <c r="V2399" t="s">
        <v>137</v>
      </c>
      <c r="W2399" t="s">
        <v>92</v>
      </c>
      <c r="Y2399" t="s">
        <v>38</v>
      </c>
      <c r="AA2399" t="s">
        <v>38</v>
      </c>
      <c r="AB2399" t="s">
        <v>38</v>
      </c>
      <c r="AC2399" t="s">
        <v>38</v>
      </c>
      <c r="AD2399" t="s">
        <v>48</v>
      </c>
      <c r="AG2399" t="str">
        <f>IF(AD2399="United States", IFERROR(INDEX(Sheet2!$C:$C, MATCH(AE2399&amp;AF2399, Sheet2!$E:$E, 0)) &amp; ", " &amp; INDEX(Sheet2!$D:$D, MATCH(AE2399&amp;AF2399, Sheet2!$E:$E, 0)), ""), "-")</f>
        <v/>
      </c>
    </row>
    <row r="2400" spans="1:33" x14ac:dyDescent="0.25">
      <c r="A2400" t="s">
        <v>3648</v>
      </c>
      <c r="D2400" t="s">
        <v>72</v>
      </c>
      <c r="E2400" t="s">
        <v>3087</v>
      </c>
      <c r="F2400">
        <v>1753</v>
      </c>
      <c r="G2400">
        <v>1644</v>
      </c>
      <c r="H2400">
        <v>57</v>
      </c>
      <c r="J2400" t="s">
        <v>3119</v>
      </c>
      <c r="O2400" t="s">
        <v>57</v>
      </c>
      <c r="R2400" t="s">
        <v>2452</v>
      </c>
      <c r="T2400" t="s">
        <v>89</v>
      </c>
      <c r="U2400" t="s">
        <v>2453</v>
      </c>
      <c r="V2400" t="s">
        <v>137</v>
      </c>
      <c r="W2400" t="s">
        <v>92</v>
      </c>
      <c r="Y2400" t="s">
        <v>38</v>
      </c>
      <c r="AA2400" t="s">
        <v>38</v>
      </c>
      <c r="AB2400" t="s">
        <v>38</v>
      </c>
      <c r="AC2400" t="s">
        <v>38</v>
      </c>
      <c r="AD2400" t="s">
        <v>48</v>
      </c>
      <c r="AG2400" t="str">
        <f>IF(AD2400="United States", IFERROR(INDEX(Sheet2!$C:$C, MATCH(AE2400&amp;AF2400, Sheet2!$E:$E, 0)) &amp; ", " &amp; INDEX(Sheet2!$D:$D, MATCH(AE2400&amp;AF2400, Sheet2!$E:$E, 0)), ""), "-")</f>
        <v/>
      </c>
    </row>
    <row r="2401" spans="1:33" x14ac:dyDescent="0.25">
      <c r="A2401" t="s">
        <v>3648</v>
      </c>
      <c r="D2401" t="s">
        <v>132</v>
      </c>
      <c r="E2401" t="s">
        <v>3205</v>
      </c>
      <c r="F2401">
        <v>1748</v>
      </c>
      <c r="G2401">
        <v>1652</v>
      </c>
      <c r="H2401">
        <v>57</v>
      </c>
      <c r="J2401" t="s">
        <v>3119</v>
      </c>
      <c r="O2401" t="s">
        <v>41</v>
      </c>
      <c r="R2401" t="s">
        <v>2452</v>
      </c>
      <c r="T2401" t="s">
        <v>89</v>
      </c>
      <c r="U2401" t="s">
        <v>2453</v>
      </c>
      <c r="V2401" t="s">
        <v>137</v>
      </c>
      <c r="W2401" t="s">
        <v>92</v>
      </c>
      <c r="Y2401" t="s">
        <v>38</v>
      </c>
      <c r="AA2401" t="s">
        <v>38</v>
      </c>
      <c r="AB2401" t="s">
        <v>38</v>
      </c>
      <c r="AC2401" t="s">
        <v>38</v>
      </c>
      <c r="AD2401" t="s">
        <v>48</v>
      </c>
      <c r="AG2401" t="str">
        <f>IF(AD2401="United States", IFERROR(INDEX(Sheet2!$C:$C, MATCH(AE2401&amp;AF2401, Sheet2!$E:$E, 0)) &amp; ", " &amp; INDEX(Sheet2!$D:$D, MATCH(AE2401&amp;AF2401, Sheet2!$E:$E, 0)), ""), "-")</f>
        <v/>
      </c>
    </row>
    <row r="2402" spans="1:33" x14ac:dyDescent="0.25">
      <c r="A2402" t="s">
        <v>3648</v>
      </c>
      <c r="D2402" t="s">
        <v>210</v>
      </c>
      <c r="E2402" t="s">
        <v>1496</v>
      </c>
      <c r="F2402">
        <v>1770</v>
      </c>
      <c r="G2402">
        <v>1036</v>
      </c>
      <c r="H2402">
        <v>44</v>
      </c>
      <c r="J2402" t="s">
        <v>3119</v>
      </c>
      <c r="O2402" t="s">
        <v>54</v>
      </c>
      <c r="R2402" t="s">
        <v>2452</v>
      </c>
      <c r="T2402" t="s">
        <v>89</v>
      </c>
      <c r="U2402" t="s">
        <v>2453</v>
      </c>
      <c r="V2402" t="s">
        <v>137</v>
      </c>
      <c r="W2402" t="s">
        <v>92</v>
      </c>
      <c r="Y2402" t="s">
        <v>38</v>
      </c>
      <c r="AA2402" t="s">
        <v>38</v>
      </c>
      <c r="AB2402" t="s">
        <v>38</v>
      </c>
      <c r="AC2402" t="s">
        <v>38</v>
      </c>
      <c r="AD2402" t="s">
        <v>48</v>
      </c>
      <c r="AG2402" t="str">
        <f>IF(AD2402="United States", IFERROR(INDEX(Sheet2!$C:$C, MATCH(AE2402&amp;AF2402, Sheet2!$E:$E, 0)) &amp; ", " &amp; INDEX(Sheet2!$D:$D, MATCH(AE2402&amp;AF2402, Sheet2!$E:$E, 0)), ""), "-")</f>
        <v/>
      </c>
    </row>
    <row r="2403" spans="1:33" x14ac:dyDescent="0.25">
      <c r="A2403" t="s">
        <v>3648</v>
      </c>
      <c r="D2403" t="s">
        <v>230</v>
      </c>
      <c r="E2403" t="s">
        <v>1496</v>
      </c>
      <c r="F2403">
        <v>1773</v>
      </c>
      <c r="G2403">
        <v>1037</v>
      </c>
      <c r="H2403">
        <v>44</v>
      </c>
      <c r="J2403" t="s">
        <v>3119</v>
      </c>
      <c r="O2403" t="s">
        <v>54</v>
      </c>
      <c r="R2403" t="s">
        <v>2452</v>
      </c>
      <c r="T2403" t="s">
        <v>89</v>
      </c>
      <c r="U2403" t="s">
        <v>2453</v>
      </c>
      <c r="V2403" t="s">
        <v>137</v>
      </c>
      <c r="W2403" t="s">
        <v>92</v>
      </c>
      <c r="Y2403" t="s">
        <v>38</v>
      </c>
      <c r="AA2403" t="s">
        <v>38</v>
      </c>
      <c r="AB2403" t="s">
        <v>38</v>
      </c>
      <c r="AC2403" t="s">
        <v>38</v>
      </c>
      <c r="AD2403" t="s">
        <v>48</v>
      </c>
      <c r="AG2403" t="str">
        <f>IF(AD2403="United States", IFERROR(INDEX(Sheet2!$C:$C, MATCH(AE2403&amp;AF2403, Sheet2!$E:$E, 0)) &amp; ", " &amp; INDEX(Sheet2!$D:$D, MATCH(AE2403&amp;AF2403, Sheet2!$E:$E, 0)), ""), "-")</f>
        <v/>
      </c>
    </row>
    <row r="2404" spans="1:33" x14ac:dyDescent="0.25">
      <c r="A2404" t="s">
        <v>3648</v>
      </c>
      <c r="D2404" t="s">
        <v>1003</v>
      </c>
      <c r="E2404" t="s">
        <v>1496</v>
      </c>
      <c r="F2404">
        <v>1768</v>
      </c>
      <c r="G2404">
        <v>1038</v>
      </c>
      <c r="H2404">
        <v>44</v>
      </c>
      <c r="J2404" t="s">
        <v>3119</v>
      </c>
      <c r="O2404" t="s">
        <v>74</v>
      </c>
      <c r="R2404" t="s">
        <v>2452</v>
      </c>
      <c r="T2404" t="s">
        <v>89</v>
      </c>
      <c r="U2404" t="s">
        <v>2453</v>
      </c>
      <c r="V2404" t="s">
        <v>137</v>
      </c>
      <c r="W2404" t="s">
        <v>92</v>
      </c>
      <c r="Y2404" t="s">
        <v>38</v>
      </c>
      <c r="AA2404" t="s">
        <v>38</v>
      </c>
      <c r="AB2404" t="s">
        <v>38</v>
      </c>
      <c r="AC2404" t="s">
        <v>38</v>
      </c>
      <c r="AD2404" t="s">
        <v>48</v>
      </c>
      <c r="AG2404" t="str">
        <f>IF(AD2404="United States", IFERROR(INDEX(Sheet2!$C:$C, MATCH(AE2404&amp;AF2404, Sheet2!$E:$E, 0)) &amp; ", " &amp; INDEX(Sheet2!$D:$D, MATCH(AE2404&amp;AF2404, Sheet2!$E:$E, 0)), ""), "-")</f>
        <v/>
      </c>
    </row>
    <row r="2405" spans="1:33" x14ac:dyDescent="0.25">
      <c r="A2405" t="s">
        <v>3648</v>
      </c>
      <c r="D2405" t="s">
        <v>193</v>
      </c>
      <c r="E2405" t="s">
        <v>268</v>
      </c>
      <c r="F2405">
        <v>1748</v>
      </c>
      <c r="G2405">
        <v>1048</v>
      </c>
      <c r="H2405">
        <v>44</v>
      </c>
      <c r="J2405" t="s">
        <v>3119</v>
      </c>
      <c r="O2405" t="s">
        <v>41</v>
      </c>
      <c r="R2405" t="s">
        <v>2452</v>
      </c>
      <c r="T2405" t="s">
        <v>89</v>
      </c>
      <c r="U2405" t="s">
        <v>2453</v>
      </c>
      <c r="V2405" t="s">
        <v>137</v>
      </c>
      <c r="W2405" t="s">
        <v>92</v>
      </c>
      <c r="Y2405" t="s">
        <v>38</v>
      </c>
      <c r="AA2405" t="s">
        <v>38</v>
      </c>
      <c r="AB2405" t="s">
        <v>38</v>
      </c>
      <c r="AC2405" t="s">
        <v>38</v>
      </c>
      <c r="AD2405" t="s">
        <v>48</v>
      </c>
      <c r="AG2405" t="str">
        <f>IF(AD2405="United States", IFERROR(INDEX(Sheet2!$C:$C, MATCH(AE2405&amp;AF2405, Sheet2!$E:$E, 0)) &amp; ", " &amp; INDEX(Sheet2!$D:$D, MATCH(AE2405&amp;AF2405, Sheet2!$E:$E, 0)), ""), "-")</f>
        <v/>
      </c>
    </row>
    <row r="2406" spans="1:33" x14ac:dyDescent="0.25">
      <c r="A2406" t="s">
        <v>3648</v>
      </c>
      <c r="D2406" t="s">
        <v>285</v>
      </c>
      <c r="E2406" t="s">
        <v>37</v>
      </c>
      <c r="F2406">
        <v>1756</v>
      </c>
      <c r="G2406">
        <v>1047</v>
      </c>
      <c r="H2406">
        <v>44</v>
      </c>
      <c r="J2406" t="s">
        <v>3119</v>
      </c>
      <c r="O2406" t="s">
        <v>57</v>
      </c>
      <c r="R2406" t="s">
        <v>2452</v>
      </c>
      <c r="T2406" t="s">
        <v>89</v>
      </c>
      <c r="U2406" t="s">
        <v>2453</v>
      </c>
      <c r="V2406" t="s">
        <v>137</v>
      </c>
      <c r="W2406" t="s">
        <v>92</v>
      </c>
      <c r="Y2406" t="s">
        <v>38</v>
      </c>
      <c r="AA2406" t="s">
        <v>38</v>
      </c>
      <c r="AB2406" t="s">
        <v>38</v>
      </c>
      <c r="AC2406" t="s">
        <v>38</v>
      </c>
      <c r="AD2406" t="s">
        <v>48</v>
      </c>
      <c r="AG2406" t="str">
        <f>IF(AD2406="United States", IFERROR(INDEX(Sheet2!$C:$C, MATCH(AE2406&amp;AF2406, Sheet2!$E:$E, 0)) &amp; ", " &amp; INDEX(Sheet2!$D:$D, MATCH(AE2406&amp;AF2406, Sheet2!$E:$E, 0)), ""), "-")</f>
        <v/>
      </c>
    </row>
    <row r="2407" spans="1:33" x14ac:dyDescent="0.25">
      <c r="A2407" t="s">
        <v>3648</v>
      </c>
      <c r="D2407" t="s">
        <v>357</v>
      </c>
      <c r="E2407" t="s">
        <v>37</v>
      </c>
      <c r="F2407">
        <v>1756</v>
      </c>
      <c r="G2407">
        <v>1046</v>
      </c>
      <c r="H2407">
        <v>44</v>
      </c>
      <c r="J2407" t="s">
        <v>3119</v>
      </c>
      <c r="O2407" t="s">
        <v>41</v>
      </c>
      <c r="R2407" t="s">
        <v>2452</v>
      </c>
      <c r="T2407" t="s">
        <v>89</v>
      </c>
      <c r="U2407" t="s">
        <v>2453</v>
      </c>
      <c r="V2407" t="s">
        <v>137</v>
      </c>
      <c r="W2407" t="s">
        <v>92</v>
      </c>
      <c r="Y2407" t="s">
        <v>38</v>
      </c>
      <c r="AA2407" t="s">
        <v>38</v>
      </c>
      <c r="AB2407" t="s">
        <v>38</v>
      </c>
      <c r="AC2407" t="s">
        <v>38</v>
      </c>
      <c r="AD2407" t="s">
        <v>48</v>
      </c>
      <c r="AG2407" t="str">
        <f>IF(AD2407="United States", IFERROR(INDEX(Sheet2!$C:$C, MATCH(AE2407&amp;AF2407, Sheet2!$E:$E, 0)) &amp; ", " &amp; INDEX(Sheet2!$D:$D, MATCH(AE2407&amp;AF2407, Sheet2!$E:$E, 0)), ""), "-")</f>
        <v/>
      </c>
    </row>
    <row r="2408" spans="1:33" x14ac:dyDescent="0.25">
      <c r="A2408" t="s">
        <v>3648</v>
      </c>
      <c r="D2408" t="s">
        <v>190</v>
      </c>
      <c r="E2408" t="s">
        <v>1141</v>
      </c>
      <c r="F2408">
        <v>1733</v>
      </c>
      <c r="G2408">
        <v>1039</v>
      </c>
      <c r="H2408">
        <v>44</v>
      </c>
      <c r="J2408" t="s">
        <v>3119</v>
      </c>
      <c r="O2408" t="s">
        <v>57</v>
      </c>
      <c r="R2408" t="s">
        <v>2452</v>
      </c>
      <c r="T2408" t="s">
        <v>89</v>
      </c>
      <c r="U2408" t="s">
        <v>2453</v>
      </c>
      <c r="V2408" t="s">
        <v>137</v>
      </c>
      <c r="W2408" t="s">
        <v>92</v>
      </c>
      <c r="Y2408" t="s">
        <v>38</v>
      </c>
      <c r="AA2408" t="s">
        <v>38</v>
      </c>
      <c r="AB2408" t="s">
        <v>38</v>
      </c>
      <c r="AC2408" t="s">
        <v>38</v>
      </c>
      <c r="AD2408" t="s">
        <v>48</v>
      </c>
      <c r="AG2408" t="str">
        <f>IF(AD2408="United States", IFERROR(INDEX(Sheet2!$C:$C, MATCH(AE2408&amp;AF2408, Sheet2!$E:$E, 0)) &amp; ", " &amp; INDEX(Sheet2!$D:$D, MATCH(AE2408&amp;AF2408, Sheet2!$E:$E, 0)), ""), "-")</f>
        <v/>
      </c>
    </row>
    <row r="2409" spans="1:33" x14ac:dyDescent="0.25">
      <c r="A2409" t="s">
        <v>3648</v>
      </c>
      <c r="D2409" t="s">
        <v>803</v>
      </c>
      <c r="E2409" t="s">
        <v>3176</v>
      </c>
      <c r="F2409">
        <v>1733</v>
      </c>
      <c r="G2409">
        <v>1650</v>
      </c>
      <c r="H2409">
        <v>57</v>
      </c>
      <c r="J2409" t="s">
        <v>3119</v>
      </c>
      <c r="O2409" t="s">
        <v>57</v>
      </c>
      <c r="R2409" t="s">
        <v>2452</v>
      </c>
      <c r="T2409" t="s">
        <v>89</v>
      </c>
      <c r="U2409" t="s">
        <v>2453</v>
      </c>
      <c r="V2409" t="s">
        <v>137</v>
      </c>
      <c r="W2409" t="s">
        <v>92</v>
      </c>
      <c r="Y2409" t="s">
        <v>38</v>
      </c>
      <c r="AA2409" t="s">
        <v>38</v>
      </c>
      <c r="AB2409" t="s">
        <v>38</v>
      </c>
      <c r="AC2409" t="s">
        <v>38</v>
      </c>
      <c r="AD2409" t="s">
        <v>48</v>
      </c>
      <c r="AG2409" t="str">
        <f>IF(AD2409="United States", IFERROR(INDEX(Sheet2!$C:$C, MATCH(AE2409&amp;AF2409, Sheet2!$E:$E, 0)) &amp; ", " &amp; INDEX(Sheet2!$D:$D, MATCH(AE2409&amp;AF2409, Sheet2!$E:$E, 0)), ""), "-")</f>
        <v/>
      </c>
    </row>
    <row r="2410" spans="1:33" x14ac:dyDescent="0.25">
      <c r="A2410" t="s">
        <v>3648</v>
      </c>
      <c r="D2410" t="s">
        <v>52</v>
      </c>
      <c r="E2410" t="s">
        <v>1318</v>
      </c>
      <c r="F2410">
        <v>1760</v>
      </c>
      <c r="G2410">
        <v>1040</v>
      </c>
      <c r="H2410">
        <v>44</v>
      </c>
      <c r="J2410" t="s">
        <v>3119</v>
      </c>
      <c r="O2410" t="s">
        <v>57</v>
      </c>
      <c r="R2410" t="s">
        <v>2452</v>
      </c>
      <c r="T2410" t="s">
        <v>89</v>
      </c>
      <c r="U2410" t="s">
        <v>2453</v>
      </c>
      <c r="V2410" t="s">
        <v>137</v>
      </c>
      <c r="W2410" t="s">
        <v>92</v>
      </c>
      <c r="Y2410" t="s">
        <v>38</v>
      </c>
      <c r="AA2410" t="s">
        <v>38</v>
      </c>
      <c r="AB2410" t="s">
        <v>38</v>
      </c>
      <c r="AC2410" t="s">
        <v>38</v>
      </c>
      <c r="AD2410" t="s">
        <v>48</v>
      </c>
      <c r="AG2410" t="str">
        <f>IF(AD2410="United States", IFERROR(INDEX(Sheet2!$C:$C, MATCH(AE2410&amp;AF2410, Sheet2!$E:$E, 0)) &amp; ", " &amp; INDEX(Sheet2!$D:$D, MATCH(AE2410&amp;AF2410, Sheet2!$E:$E, 0)), ""), "-")</f>
        <v/>
      </c>
    </row>
    <row r="2411" spans="1:33" x14ac:dyDescent="0.25">
      <c r="A2411" t="s">
        <v>3648</v>
      </c>
      <c r="D2411" t="s">
        <v>361</v>
      </c>
      <c r="E2411" t="s">
        <v>3564</v>
      </c>
      <c r="F2411">
        <v>1756</v>
      </c>
      <c r="G2411">
        <v>1488</v>
      </c>
      <c r="H2411">
        <v>54</v>
      </c>
      <c r="J2411" t="s">
        <v>3119</v>
      </c>
      <c r="O2411" t="s">
        <v>41</v>
      </c>
      <c r="R2411" t="s">
        <v>2452</v>
      </c>
      <c r="T2411" t="s">
        <v>89</v>
      </c>
      <c r="U2411" t="s">
        <v>2453</v>
      </c>
      <c r="V2411" t="s">
        <v>137</v>
      </c>
      <c r="W2411" t="s">
        <v>92</v>
      </c>
      <c r="Y2411" t="s">
        <v>38</v>
      </c>
      <c r="AA2411" t="s">
        <v>38</v>
      </c>
      <c r="AB2411" t="s">
        <v>38</v>
      </c>
      <c r="AC2411" t="s">
        <v>38</v>
      </c>
      <c r="AD2411" t="s">
        <v>48</v>
      </c>
      <c r="AG2411" t="str">
        <f>IF(AD2411="United States", IFERROR(INDEX(Sheet2!$C:$C, MATCH(AE2411&amp;AF2411, Sheet2!$E:$E, 0)) &amp; ", " &amp; INDEX(Sheet2!$D:$D, MATCH(AE2411&amp;AF2411, Sheet2!$E:$E, 0)), ""), "-")</f>
        <v/>
      </c>
    </row>
    <row r="2412" spans="1:33" x14ac:dyDescent="0.25">
      <c r="A2412" t="s">
        <v>3648</v>
      </c>
      <c r="D2412" t="s">
        <v>210</v>
      </c>
      <c r="E2412" t="s">
        <v>191</v>
      </c>
      <c r="F2412">
        <v>1750</v>
      </c>
      <c r="G2412">
        <v>1045</v>
      </c>
      <c r="H2412">
        <v>44</v>
      </c>
      <c r="J2412" t="s">
        <v>3119</v>
      </c>
      <c r="O2412" t="s">
        <v>41</v>
      </c>
      <c r="R2412" t="s">
        <v>2452</v>
      </c>
      <c r="T2412" t="s">
        <v>89</v>
      </c>
      <c r="U2412" t="s">
        <v>2453</v>
      </c>
      <c r="V2412" t="s">
        <v>137</v>
      </c>
      <c r="W2412" t="s">
        <v>92</v>
      </c>
      <c r="Y2412" t="s">
        <v>38</v>
      </c>
      <c r="AA2412" t="s">
        <v>38</v>
      </c>
      <c r="AB2412" t="s">
        <v>38</v>
      </c>
      <c r="AC2412" t="s">
        <v>38</v>
      </c>
      <c r="AD2412" t="s">
        <v>48</v>
      </c>
      <c r="AG2412" t="str">
        <f>IF(AD2412="United States", IFERROR(INDEX(Sheet2!$C:$C, MATCH(AE2412&amp;AF2412, Sheet2!$E:$E, 0)) &amp; ", " &amp; INDEX(Sheet2!$D:$D, MATCH(AE2412&amp;AF2412, Sheet2!$E:$E, 0)), ""), "-")</f>
        <v/>
      </c>
    </row>
    <row r="2413" spans="1:33" x14ac:dyDescent="0.25">
      <c r="A2413" t="s">
        <v>3648</v>
      </c>
      <c r="D2413" t="s">
        <v>3702</v>
      </c>
      <c r="E2413" t="s">
        <v>1387</v>
      </c>
      <c r="F2413">
        <v>1757</v>
      </c>
      <c r="G2413">
        <v>1044</v>
      </c>
      <c r="H2413">
        <v>44</v>
      </c>
      <c r="J2413" t="s">
        <v>3119</v>
      </c>
      <c r="O2413" t="s">
        <v>41</v>
      </c>
      <c r="R2413" t="s">
        <v>2452</v>
      </c>
      <c r="T2413" t="s">
        <v>89</v>
      </c>
      <c r="U2413" t="s">
        <v>2453</v>
      </c>
      <c r="V2413" t="s">
        <v>137</v>
      </c>
      <c r="W2413" t="s">
        <v>92</v>
      </c>
      <c r="Y2413" t="s">
        <v>38</v>
      </c>
      <c r="AA2413" t="s">
        <v>38</v>
      </c>
      <c r="AB2413" t="s">
        <v>38</v>
      </c>
      <c r="AC2413" t="s">
        <v>38</v>
      </c>
      <c r="AD2413" t="s">
        <v>48</v>
      </c>
      <c r="AG2413" t="str">
        <f>IF(AD2413="United States", IFERROR(INDEX(Sheet2!$C:$C, MATCH(AE2413&amp;AF2413, Sheet2!$E:$E, 0)) &amp; ", " &amp; INDEX(Sheet2!$D:$D, MATCH(AE2413&amp;AF2413, Sheet2!$E:$E, 0)), ""), "-")</f>
        <v/>
      </c>
    </row>
    <row r="2414" spans="1:33" x14ac:dyDescent="0.25">
      <c r="A2414" t="s">
        <v>3648</v>
      </c>
      <c r="D2414" t="s">
        <v>352</v>
      </c>
      <c r="E2414" t="s">
        <v>3256</v>
      </c>
      <c r="F2414">
        <v>1766</v>
      </c>
      <c r="G2414">
        <v>1043</v>
      </c>
      <c r="H2414">
        <v>44</v>
      </c>
      <c r="J2414" t="s">
        <v>3119</v>
      </c>
      <c r="O2414" t="s">
        <v>57</v>
      </c>
      <c r="R2414" t="s">
        <v>2452</v>
      </c>
      <c r="T2414" t="s">
        <v>89</v>
      </c>
      <c r="U2414" t="s">
        <v>2453</v>
      </c>
      <c r="V2414" t="s">
        <v>137</v>
      </c>
      <c r="W2414" t="s">
        <v>92</v>
      </c>
      <c r="Y2414" t="s">
        <v>38</v>
      </c>
      <c r="AA2414" t="s">
        <v>38</v>
      </c>
      <c r="AB2414" t="s">
        <v>38</v>
      </c>
      <c r="AC2414" t="s">
        <v>38</v>
      </c>
      <c r="AD2414" t="s">
        <v>48</v>
      </c>
      <c r="AG2414" t="str">
        <f>IF(AD2414="United States", IFERROR(INDEX(Sheet2!$C:$C, MATCH(AE2414&amp;AF2414, Sheet2!$E:$E, 0)) &amp; ", " &amp; INDEX(Sheet2!$D:$D, MATCH(AE2414&amp;AF2414, Sheet2!$E:$E, 0)), ""), "-")</f>
        <v/>
      </c>
    </row>
    <row r="2415" spans="1:33" x14ac:dyDescent="0.25">
      <c r="A2415" t="s">
        <v>3648</v>
      </c>
      <c r="D2415" t="s">
        <v>1840</v>
      </c>
      <c r="E2415" t="s">
        <v>3703</v>
      </c>
      <c r="F2415">
        <v>1767</v>
      </c>
      <c r="G2415">
        <v>1042</v>
      </c>
      <c r="H2415">
        <v>44</v>
      </c>
      <c r="J2415" t="s">
        <v>3119</v>
      </c>
      <c r="O2415" t="s">
        <v>57</v>
      </c>
      <c r="R2415" t="s">
        <v>2452</v>
      </c>
      <c r="T2415" t="s">
        <v>89</v>
      </c>
      <c r="U2415" t="s">
        <v>2453</v>
      </c>
      <c r="V2415" t="s">
        <v>137</v>
      </c>
      <c r="W2415" t="s">
        <v>92</v>
      </c>
      <c r="Y2415" t="s">
        <v>38</v>
      </c>
      <c r="AA2415" t="s">
        <v>38</v>
      </c>
      <c r="AB2415" t="s">
        <v>38</v>
      </c>
      <c r="AC2415" t="s">
        <v>38</v>
      </c>
      <c r="AD2415" t="s">
        <v>48</v>
      </c>
      <c r="AG2415" t="str">
        <f>IF(AD2415="United States", IFERROR(INDEX(Sheet2!$C:$C, MATCH(AE2415&amp;AF2415, Sheet2!$E:$E, 0)) &amp; ", " &amp; INDEX(Sheet2!$D:$D, MATCH(AE2415&amp;AF2415, Sheet2!$E:$E, 0)), ""), "-")</f>
        <v/>
      </c>
    </row>
    <row r="2416" spans="1:33" x14ac:dyDescent="0.25">
      <c r="A2416" t="s">
        <v>3648</v>
      </c>
      <c r="D2416" t="s">
        <v>1230</v>
      </c>
      <c r="E2416" t="s">
        <v>913</v>
      </c>
      <c r="F2416">
        <v>1723</v>
      </c>
      <c r="G2416">
        <v>1041</v>
      </c>
      <c r="H2416">
        <v>44</v>
      </c>
      <c r="J2416" t="s">
        <v>3119</v>
      </c>
      <c r="O2416" t="s">
        <v>57</v>
      </c>
      <c r="R2416" t="s">
        <v>2452</v>
      </c>
      <c r="T2416" t="s">
        <v>89</v>
      </c>
      <c r="U2416" t="s">
        <v>2453</v>
      </c>
      <c r="V2416" t="s">
        <v>137</v>
      </c>
      <c r="W2416" t="s">
        <v>92</v>
      </c>
      <c r="Y2416" t="s">
        <v>38</v>
      </c>
      <c r="AA2416" t="s">
        <v>38</v>
      </c>
      <c r="AB2416" t="s">
        <v>38</v>
      </c>
      <c r="AC2416" t="s">
        <v>38</v>
      </c>
      <c r="AD2416" t="s">
        <v>48</v>
      </c>
      <c r="AG2416" t="str">
        <f>IF(AD2416="United States", IFERROR(INDEX(Sheet2!$C:$C, MATCH(AE2416&amp;AF2416, Sheet2!$E:$E, 0)) &amp; ", " &amp; INDEX(Sheet2!$D:$D, MATCH(AE2416&amp;AF2416, Sheet2!$E:$E, 0)), ""), "-")</f>
        <v/>
      </c>
    </row>
    <row r="2417" spans="1:33" x14ac:dyDescent="0.25">
      <c r="A2417" t="s">
        <v>3648</v>
      </c>
      <c r="D2417" t="s">
        <v>463</v>
      </c>
      <c r="E2417" t="s">
        <v>3704</v>
      </c>
      <c r="F2417">
        <v>1733</v>
      </c>
      <c r="G2417">
        <v>1487</v>
      </c>
      <c r="H2417">
        <v>54</v>
      </c>
      <c r="J2417" t="s">
        <v>3119</v>
      </c>
      <c r="O2417" t="s">
        <v>41</v>
      </c>
      <c r="R2417" t="s">
        <v>2452</v>
      </c>
      <c r="T2417" t="s">
        <v>89</v>
      </c>
      <c r="U2417" t="s">
        <v>2453</v>
      </c>
      <c r="V2417" t="s">
        <v>137</v>
      </c>
      <c r="W2417" t="s">
        <v>92</v>
      </c>
      <c r="Y2417" t="s">
        <v>38</v>
      </c>
      <c r="AA2417" t="s">
        <v>38</v>
      </c>
      <c r="AB2417" t="s">
        <v>38</v>
      </c>
      <c r="AC2417" t="s">
        <v>38</v>
      </c>
      <c r="AD2417" t="s">
        <v>48</v>
      </c>
      <c r="AG2417" t="str">
        <f>IF(AD2417="United States", IFERROR(INDEX(Sheet2!$C:$C, MATCH(AE2417&amp;AF2417, Sheet2!$E:$E, 0)) &amp; ", " &amp; INDEX(Sheet2!$D:$D, MATCH(AE2417&amp;AF2417, Sheet2!$E:$E, 0)), ""), "-")</f>
        <v/>
      </c>
    </row>
    <row r="2418" spans="1:33" x14ac:dyDescent="0.25">
      <c r="A2418" t="s">
        <v>3648</v>
      </c>
      <c r="D2418" t="s">
        <v>210</v>
      </c>
      <c r="E2418" t="s">
        <v>552</v>
      </c>
      <c r="F2418">
        <v>1735</v>
      </c>
      <c r="G2418">
        <v>1486</v>
      </c>
      <c r="H2418">
        <v>54</v>
      </c>
      <c r="J2418" t="s">
        <v>3119</v>
      </c>
      <c r="O2418" t="s">
        <v>41</v>
      </c>
      <c r="R2418" t="s">
        <v>2452</v>
      </c>
      <c r="T2418" t="s">
        <v>89</v>
      </c>
      <c r="U2418" t="s">
        <v>2453</v>
      </c>
      <c r="V2418" t="s">
        <v>137</v>
      </c>
      <c r="W2418" t="s">
        <v>92</v>
      </c>
      <c r="Y2418" t="s">
        <v>38</v>
      </c>
      <c r="AA2418" t="s">
        <v>38</v>
      </c>
      <c r="AB2418" t="s">
        <v>38</v>
      </c>
      <c r="AC2418" t="s">
        <v>38</v>
      </c>
      <c r="AD2418" t="s">
        <v>48</v>
      </c>
      <c r="AG2418" t="str">
        <f>IF(AD2418="United States", IFERROR(INDEX(Sheet2!$C:$C, MATCH(AE2418&amp;AF2418, Sheet2!$E:$E, 0)) &amp; ", " &amp; INDEX(Sheet2!$D:$D, MATCH(AE2418&amp;AF2418, Sheet2!$E:$E, 0)), ""), "-")</f>
        <v/>
      </c>
    </row>
    <row r="2419" spans="1:33" x14ac:dyDescent="0.25">
      <c r="A2419" t="s">
        <v>3648</v>
      </c>
      <c r="D2419" t="s">
        <v>938</v>
      </c>
      <c r="E2419" t="s">
        <v>226</v>
      </c>
      <c r="F2419">
        <v>1765</v>
      </c>
      <c r="G2419">
        <v>1489</v>
      </c>
      <c r="H2419">
        <v>54</v>
      </c>
      <c r="J2419" t="s">
        <v>3119</v>
      </c>
      <c r="O2419" t="s">
        <v>41</v>
      </c>
      <c r="R2419" t="s">
        <v>2452</v>
      </c>
      <c r="T2419" t="s">
        <v>89</v>
      </c>
      <c r="U2419" t="s">
        <v>2453</v>
      </c>
      <c r="V2419" t="s">
        <v>137</v>
      </c>
      <c r="W2419" t="s">
        <v>92</v>
      </c>
      <c r="Y2419" t="s">
        <v>38</v>
      </c>
      <c r="AA2419" t="s">
        <v>38</v>
      </c>
      <c r="AB2419" t="s">
        <v>38</v>
      </c>
      <c r="AC2419" t="s">
        <v>38</v>
      </c>
      <c r="AD2419" t="s">
        <v>48</v>
      </c>
      <c r="AG2419" t="str">
        <f>IF(AD2419="United States", IFERROR(INDEX(Sheet2!$C:$C, MATCH(AE2419&amp;AF2419, Sheet2!$E:$E, 0)) &amp; ", " &amp; INDEX(Sheet2!$D:$D, MATCH(AE2419&amp;AF2419, Sheet2!$E:$E, 0)), ""), "-")</f>
        <v/>
      </c>
    </row>
    <row r="2420" spans="1:33" x14ac:dyDescent="0.25">
      <c r="A2420" t="s">
        <v>3648</v>
      </c>
      <c r="D2420" t="s">
        <v>181</v>
      </c>
      <c r="E2420" t="s">
        <v>3087</v>
      </c>
      <c r="F2420">
        <v>1782</v>
      </c>
      <c r="G2420">
        <v>1649</v>
      </c>
      <c r="H2420">
        <v>57</v>
      </c>
      <c r="J2420" t="s">
        <v>3119</v>
      </c>
      <c r="O2420" t="s">
        <v>183</v>
      </c>
      <c r="R2420" t="s">
        <v>2452</v>
      </c>
      <c r="T2420" t="s">
        <v>89</v>
      </c>
      <c r="U2420" t="s">
        <v>2453</v>
      </c>
      <c r="V2420" t="s">
        <v>137</v>
      </c>
      <c r="W2420" t="s">
        <v>92</v>
      </c>
      <c r="Y2420" t="s">
        <v>38</v>
      </c>
      <c r="AA2420" t="s">
        <v>38</v>
      </c>
      <c r="AB2420" t="s">
        <v>38</v>
      </c>
      <c r="AC2420" t="s">
        <v>38</v>
      </c>
      <c r="AD2420" t="s">
        <v>48</v>
      </c>
      <c r="AG2420" t="str">
        <f>IF(AD2420="United States", IFERROR(INDEX(Sheet2!$C:$C, MATCH(AE2420&amp;AF2420, Sheet2!$E:$E, 0)) &amp; ", " &amp; INDEX(Sheet2!$D:$D, MATCH(AE2420&amp;AF2420, Sheet2!$E:$E, 0)), ""), "-")</f>
        <v/>
      </c>
    </row>
    <row r="2421" spans="1:33" x14ac:dyDescent="0.25">
      <c r="A2421" t="s">
        <v>3648</v>
      </c>
      <c r="D2421" t="s">
        <v>3201</v>
      </c>
      <c r="E2421" t="s">
        <v>3176</v>
      </c>
      <c r="F2421">
        <v>1769</v>
      </c>
      <c r="G2421">
        <v>1651</v>
      </c>
      <c r="H2421">
        <v>57</v>
      </c>
      <c r="J2421" t="s">
        <v>3119</v>
      </c>
      <c r="O2421" t="s">
        <v>74</v>
      </c>
      <c r="R2421" t="s">
        <v>2452</v>
      </c>
      <c r="T2421" t="s">
        <v>89</v>
      </c>
      <c r="U2421" t="s">
        <v>2453</v>
      </c>
      <c r="V2421" t="s">
        <v>137</v>
      </c>
      <c r="W2421" t="s">
        <v>92</v>
      </c>
      <c r="Y2421" t="s">
        <v>38</v>
      </c>
      <c r="AA2421" t="s">
        <v>38</v>
      </c>
      <c r="AB2421" t="s">
        <v>38</v>
      </c>
      <c r="AC2421" t="s">
        <v>38</v>
      </c>
      <c r="AD2421" t="s">
        <v>48</v>
      </c>
      <c r="AG2421" t="str">
        <f>IF(AD2421="United States", IFERROR(INDEX(Sheet2!$C:$C, MATCH(AE2421&amp;AF2421, Sheet2!$E:$E, 0)) &amp; ", " &amp; INDEX(Sheet2!$D:$D, MATCH(AE2421&amp;AF2421, Sheet2!$E:$E, 0)), ""), "-")</f>
        <v/>
      </c>
    </row>
    <row r="2422" spans="1:33" x14ac:dyDescent="0.25">
      <c r="A2422" t="s">
        <v>3648</v>
      </c>
      <c r="D2422" t="s">
        <v>181</v>
      </c>
      <c r="E2422" t="s">
        <v>2298</v>
      </c>
      <c r="F2422">
        <v>1782</v>
      </c>
      <c r="G2422">
        <v>1627</v>
      </c>
      <c r="H2422">
        <v>56</v>
      </c>
      <c r="J2422" t="s">
        <v>3119</v>
      </c>
      <c r="O2422" t="s">
        <v>183</v>
      </c>
      <c r="R2422" t="s">
        <v>2452</v>
      </c>
      <c r="T2422" t="s">
        <v>89</v>
      </c>
      <c r="U2422" t="s">
        <v>2453</v>
      </c>
      <c r="V2422" t="s">
        <v>137</v>
      </c>
      <c r="W2422" t="s">
        <v>92</v>
      </c>
      <c r="Y2422" t="s">
        <v>38</v>
      </c>
      <c r="AA2422" t="s">
        <v>38</v>
      </c>
      <c r="AB2422" t="s">
        <v>38</v>
      </c>
      <c r="AC2422" t="s">
        <v>38</v>
      </c>
      <c r="AD2422" t="s">
        <v>48</v>
      </c>
      <c r="AG2422" t="str">
        <f>IF(AD2422="United States", IFERROR(INDEX(Sheet2!$C:$C, MATCH(AE2422&amp;AF2422, Sheet2!$E:$E, 0)) &amp; ", " &amp; INDEX(Sheet2!$D:$D, MATCH(AE2422&amp;AF2422, Sheet2!$E:$E, 0)), ""), "-")</f>
        <v/>
      </c>
    </row>
    <row r="2423" spans="1:33" x14ac:dyDescent="0.25">
      <c r="A2423" t="s">
        <v>3648</v>
      </c>
      <c r="D2423" t="s">
        <v>3705</v>
      </c>
      <c r="E2423" t="s">
        <v>1130</v>
      </c>
      <c r="F2423">
        <v>1747</v>
      </c>
      <c r="G2423">
        <v>1653</v>
      </c>
      <c r="H2423">
        <v>57</v>
      </c>
      <c r="J2423" t="s">
        <v>3119</v>
      </c>
      <c r="O2423" t="s">
        <v>41</v>
      </c>
      <c r="R2423" t="s">
        <v>2452</v>
      </c>
      <c r="T2423" t="s">
        <v>89</v>
      </c>
      <c r="U2423" t="s">
        <v>2453</v>
      </c>
      <c r="V2423" t="s">
        <v>137</v>
      </c>
      <c r="W2423" t="s">
        <v>92</v>
      </c>
      <c r="Y2423" t="s">
        <v>38</v>
      </c>
      <c r="AA2423" t="s">
        <v>38</v>
      </c>
      <c r="AB2423" t="s">
        <v>38</v>
      </c>
      <c r="AC2423" t="s">
        <v>38</v>
      </c>
      <c r="AD2423" t="s">
        <v>48</v>
      </c>
      <c r="AG2423" t="str">
        <f>IF(AD2423="United States", IFERROR(INDEX(Sheet2!$C:$C, MATCH(AE2423&amp;AF2423, Sheet2!$E:$E, 0)) &amp; ", " &amp; INDEX(Sheet2!$D:$D, MATCH(AE2423&amp;AF2423, Sheet2!$E:$E, 0)), ""), "-")</f>
        <v/>
      </c>
    </row>
    <row r="2424" spans="1:33" x14ac:dyDescent="0.25">
      <c r="A2424" t="s">
        <v>3648</v>
      </c>
      <c r="D2424" t="s">
        <v>495</v>
      </c>
      <c r="E2424" t="s">
        <v>268</v>
      </c>
      <c r="F2424">
        <v>1755</v>
      </c>
      <c r="G2424">
        <v>1055</v>
      </c>
      <c r="H2424">
        <v>44</v>
      </c>
      <c r="J2424" t="s">
        <v>3119</v>
      </c>
      <c r="O2424" t="s">
        <v>57</v>
      </c>
      <c r="R2424" t="s">
        <v>2452</v>
      </c>
      <c r="T2424" t="s">
        <v>89</v>
      </c>
      <c r="U2424" t="s">
        <v>2453</v>
      </c>
      <c r="V2424" t="s">
        <v>137</v>
      </c>
      <c r="W2424" t="s">
        <v>92</v>
      </c>
      <c r="Y2424" t="s">
        <v>38</v>
      </c>
      <c r="AA2424" t="s">
        <v>38</v>
      </c>
      <c r="AB2424" t="s">
        <v>38</v>
      </c>
      <c r="AC2424" t="s">
        <v>38</v>
      </c>
      <c r="AD2424" t="s">
        <v>48</v>
      </c>
      <c r="AG2424" t="str">
        <f>IF(AD2424="United States", IFERROR(INDEX(Sheet2!$C:$C, MATCH(AE2424&amp;AF2424, Sheet2!$E:$E, 0)) &amp; ", " &amp; INDEX(Sheet2!$D:$D, MATCH(AE2424&amp;AF2424, Sheet2!$E:$E, 0)), ""), "-")</f>
        <v/>
      </c>
    </row>
    <row r="2425" spans="1:33" x14ac:dyDescent="0.25">
      <c r="A2425" t="s">
        <v>3648</v>
      </c>
      <c r="D2425" t="s">
        <v>169</v>
      </c>
      <c r="E2425" t="s">
        <v>45</v>
      </c>
      <c r="F2425">
        <v>1753</v>
      </c>
      <c r="G2425">
        <v>1049</v>
      </c>
      <c r="H2425">
        <v>44</v>
      </c>
      <c r="J2425" t="s">
        <v>3119</v>
      </c>
      <c r="O2425" t="s">
        <v>41</v>
      </c>
      <c r="R2425" t="s">
        <v>2452</v>
      </c>
      <c r="T2425" t="s">
        <v>89</v>
      </c>
      <c r="U2425" t="s">
        <v>2453</v>
      </c>
      <c r="V2425" t="s">
        <v>137</v>
      </c>
      <c r="W2425" t="s">
        <v>92</v>
      </c>
      <c r="Y2425" t="s">
        <v>38</v>
      </c>
      <c r="AA2425" t="s">
        <v>38</v>
      </c>
      <c r="AB2425" t="s">
        <v>38</v>
      </c>
      <c r="AC2425" t="s">
        <v>38</v>
      </c>
      <c r="AD2425" t="s">
        <v>48</v>
      </c>
      <c r="AG2425" t="str">
        <f>IF(AD2425="United States", IFERROR(INDEX(Sheet2!$C:$C, MATCH(AE2425&amp;AF2425, Sheet2!$E:$E, 0)) &amp; ", " &amp; INDEX(Sheet2!$D:$D, MATCH(AE2425&amp;AF2425, Sheet2!$E:$E, 0)), ""), "-")</f>
        <v/>
      </c>
    </row>
    <row r="2426" spans="1:33" x14ac:dyDescent="0.25">
      <c r="A2426" t="s">
        <v>3648</v>
      </c>
      <c r="D2426" t="s">
        <v>181</v>
      </c>
      <c r="E2426" t="s">
        <v>1854</v>
      </c>
      <c r="F2426">
        <v>1777</v>
      </c>
      <c r="G2426">
        <v>1623</v>
      </c>
      <c r="H2426">
        <v>56</v>
      </c>
      <c r="J2426" t="s">
        <v>3119</v>
      </c>
      <c r="O2426" t="s">
        <v>74</v>
      </c>
      <c r="R2426" t="s">
        <v>2452</v>
      </c>
      <c r="T2426" t="s">
        <v>89</v>
      </c>
      <c r="U2426" t="s">
        <v>2453</v>
      </c>
      <c r="V2426" t="s">
        <v>137</v>
      </c>
      <c r="W2426" t="s">
        <v>92</v>
      </c>
      <c r="Y2426" t="s">
        <v>38</v>
      </c>
      <c r="AA2426" t="s">
        <v>38</v>
      </c>
      <c r="AB2426" t="s">
        <v>38</v>
      </c>
      <c r="AC2426" t="s">
        <v>38</v>
      </c>
      <c r="AD2426" t="s">
        <v>48</v>
      </c>
      <c r="AG2426" t="str">
        <f>IF(AD2426="United States", IFERROR(INDEX(Sheet2!$C:$C, MATCH(AE2426&amp;AF2426, Sheet2!$E:$E, 0)) &amp; ", " &amp; INDEX(Sheet2!$D:$D, MATCH(AE2426&amp;AF2426, Sheet2!$E:$E, 0)), ""), "-")</f>
        <v/>
      </c>
    </row>
    <row r="2427" spans="1:33" x14ac:dyDescent="0.25">
      <c r="A2427" t="s">
        <v>3648</v>
      </c>
      <c r="D2427" t="s">
        <v>3281</v>
      </c>
      <c r="E2427" t="s">
        <v>3282</v>
      </c>
      <c r="F2427">
        <v>1766</v>
      </c>
      <c r="G2427">
        <v>1054</v>
      </c>
      <c r="H2427">
        <v>44</v>
      </c>
      <c r="J2427" t="s">
        <v>3119</v>
      </c>
      <c r="O2427" t="s">
        <v>41</v>
      </c>
      <c r="R2427" t="s">
        <v>2452</v>
      </c>
      <c r="T2427" t="s">
        <v>89</v>
      </c>
      <c r="U2427" t="s">
        <v>2453</v>
      </c>
      <c r="V2427" t="s">
        <v>137</v>
      </c>
      <c r="W2427" t="s">
        <v>92</v>
      </c>
      <c r="Y2427" t="s">
        <v>38</v>
      </c>
      <c r="AA2427" t="s">
        <v>38</v>
      </c>
      <c r="AB2427" t="s">
        <v>38</v>
      </c>
      <c r="AC2427" t="s">
        <v>38</v>
      </c>
      <c r="AD2427" t="s">
        <v>48</v>
      </c>
      <c r="AG2427" t="str">
        <f>IF(AD2427="United States", IFERROR(INDEX(Sheet2!$C:$C, MATCH(AE2427&amp;AF2427, Sheet2!$E:$E, 0)) &amp; ", " &amp; INDEX(Sheet2!$D:$D, MATCH(AE2427&amp;AF2427, Sheet2!$E:$E, 0)), ""), "-")</f>
        <v/>
      </c>
    </row>
    <row r="2428" spans="1:33" x14ac:dyDescent="0.25">
      <c r="A2428" t="s">
        <v>3648</v>
      </c>
      <c r="D2428" t="s">
        <v>1197</v>
      </c>
      <c r="E2428" t="s">
        <v>1310</v>
      </c>
      <c r="F2428">
        <v>1761</v>
      </c>
      <c r="G2428">
        <v>1624</v>
      </c>
      <c r="H2428">
        <v>56</v>
      </c>
      <c r="J2428" t="s">
        <v>3119</v>
      </c>
      <c r="O2428" t="s">
        <v>57</v>
      </c>
      <c r="R2428" t="s">
        <v>2452</v>
      </c>
      <c r="T2428" t="s">
        <v>89</v>
      </c>
      <c r="U2428" t="s">
        <v>2453</v>
      </c>
      <c r="V2428" t="s">
        <v>137</v>
      </c>
      <c r="W2428" t="s">
        <v>92</v>
      </c>
      <c r="Y2428" t="s">
        <v>38</v>
      </c>
      <c r="AA2428" t="s">
        <v>38</v>
      </c>
      <c r="AB2428" t="s">
        <v>38</v>
      </c>
      <c r="AC2428" t="s">
        <v>38</v>
      </c>
      <c r="AD2428" t="s">
        <v>48</v>
      </c>
      <c r="AG2428" t="str">
        <f>IF(AD2428="United States", IFERROR(INDEX(Sheet2!$C:$C, MATCH(AE2428&amp;AF2428, Sheet2!$E:$E, 0)) &amp; ", " &amp; INDEX(Sheet2!$D:$D, MATCH(AE2428&amp;AF2428, Sheet2!$E:$E, 0)), ""), "-")</f>
        <v/>
      </c>
    </row>
    <row r="2429" spans="1:33" x14ac:dyDescent="0.25">
      <c r="A2429" t="s">
        <v>3648</v>
      </c>
      <c r="D2429" t="s">
        <v>140</v>
      </c>
      <c r="E2429" t="s">
        <v>2298</v>
      </c>
      <c r="F2429">
        <v>1756</v>
      </c>
      <c r="G2429">
        <v>1625</v>
      </c>
      <c r="H2429">
        <v>56</v>
      </c>
      <c r="J2429" t="s">
        <v>3119</v>
      </c>
      <c r="O2429" t="s">
        <v>57</v>
      </c>
      <c r="R2429" t="s">
        <v>2452</v>
      </c>
      <c r="T2429" t="s">
        <v>89</v>
      </c>
      <c r="U2429" t="s">
        <v>2453</v>
      </c>
      <c r="V2429" t="s">
        <v>137</v>
      </c>
      <c r="W2429" t="s">
        <v>92</v>
      </c>
      <c r="Y2429" t="s">
        <v>38</v>
      </c>
      <c r="AA2429" t="s">
        <v>38</v>
      </c>
      <c r="AB2429" t="s">
        <v>38</v>
      </c>
      <c r="AC2429" t="s">
        <v>38</v>
      </c>
      <c r="AD2429" t="s">
        <v>48</v>
      </c>
      <c r="AG2429" t="str">
        <f>IF(AD2429="United States", IFERROR(INDEX(Sheet2!$C:$C, MATCH(AE2429&amp;AF2429, Sheet2!$E:$E, 0)) &amp; ", " &amp; INDEX(Sheet2!$D:$D, MATCH(AE2429&amp;AF2429, Sheet2!$E:$E, 0)), ""), "-")</f>
        <v/>
      </c>
    </row>
    <row r="2430" spans="1:33" x14ac:dyDescent="0.25">
      <c r="A2430" t="s">
        <v>3648</v>
      </c>
      <c r="D2430" t="s">
        <v>181</v>
      </c>
      <c r="E2430" t="s">
        <v>2298</v>
      </c>
      <c r="F2430">
        <v>1778</v>
      </c>
      <c r="G2430">
        <v>1626</v>
      </c>
      <c r="H2430">
        <v>56</v>
      </c>
      <c r="J2430" t="s">
        <v>3119</v>
      </c>
      <c r="O2430" t="s">
        <v>183</v>
      </c>
      <c r="R2430" t="s">
        <v>2452</v>
      </c>
      <c r="T2430" t="s">
        <v>89</v>
      </c>
      <c r="U2430" t="s">
        <v>2453</v>
      </c>
      <c r="V2430" t="s">
        <v>137</v>
      </c>
      <c r="W2430" t="s">
        <v>92</v>
      </c>
      <c r="Y2430" t="s">
        <v>38</v>
      </c>
      <c r="AA2430" t="s">
        <v>38</v>
      </c>
      <c r="AB2430" t="s">
        <v>38</v>
      </c>
      <c r="AC2430" t="s">
        <v>38</v>
      </c>
      <c r="AD2430" t="s">
        <v>48</v>
      </c>
      <c r="AG2430" t="str">
        <f>IF(AD2430="United States", IFERROR(INDEX(Sheet2!$C:$C, MATCH(AE2430&amp;AF2430, Sheet2!$E:$E, 0)) &amp; ", " &amp; INDEX(Sheet2!$D:$D, MATCH(AE2430&amp;AF2430, Sheet2!$E:$E, 0)), ""), "-")</f>
        <v/>
      </c>
    </row>
    <row r="2431" spans="1:33" x14ac:dyDescent="0.25">
      <c r="A2431" t="s">
        <v>3648</v>
      </c>
      <c r="D2431" t="s">
        <v>1230</v>
      </c>
      <c r="E2431" t="s">
        <v>1854</v>
      </c>
      <c r="F2431">
        <v>1760</v>
      </c>
      <c r="G2431">
        <v>1622</v>
      </c>
      <c r="H2431">
        <v>56</v>
      </c>
      <c r="J2431" t="s">
        <v>3119</v>
      </c>
      <c r="O2431" t="s">
        <v>57</v>
      </c>
      <c r="R2431" t="s">
        <v>2452</v>
      </c>
      <c r="T2431" t="s">
        <v>89</v>
      </c>
      <c r="U2431" t="s">
        <v>2453</v>
      </c>
      <c r="V2431" t="s">
        <v>137</v>
      </c>
      <c r="W2431" t="s">
        <v>92</v>
      </c>
      <c r="Y2431" t="s">
        <v>38</v>
      </c>
      <c r="AA2431" t="s">
        <v>38</v>
      </c>
      <c r="AB2431" t="s">
        <v>38</v>
      </c>
      <c r="AC2431" t="s">
        <v>38</v>
      </c>
      <c r="AD2431" t="s">
        <v>48</v>
      </c>
      <c r="AG2431" t="str">
        <f>IF(AD2431="United States", IFERROR(INDEX(Sheet2!$C:$C, MATCH(AE2431&amp;AF2431, Sheet2!$E:$E, 0)) &amp; ", " &amp; INDEX(Sheet2!$D:$D, MATCH(AE2431&amp;AF2431, Sheet2!$E:$E, 0)), ""), "-")</f>
        <v/>
      </c>
    </row>
    <row r="2432" spans="1:33" x14ac:dyDescent="0.25">
      <c r="A2432" t="s">
        <v>3648</v>
      </c>
      <c r="D2432" t="s">
        <v>3092</v>
      </c>
      <c r="E2432" t="s">
        <v>3470</v>
      </c>
      <c r="F2432">
        <v>1771</v>
      </c>
      <c r="G2432">
        <v>1485</v>
      </c>
      <c r="H2432">
        <v>54</v>
      </c>
      <c r="J2432" t="s">
        <v>3119</v>
      </c>
      <c r="O2432" t="s">
        <v>54</v>
      </c>
      <c r="R2432" t="s">
        <v>2452</v>
      </c>
      <c r="T2432" t="s">
        <v>89</v>
      </c>
      <c r="U2432" t="s">
        <v>2453</v>
      </c>
      <c r="V2432" t="s">
        <v>137</v>
      </c>
      <c r="W2432" t="s">
        <v>92</v>
      </c>
      <c r="Y2432" t="s">
        <v>38</v>
      </c>
      <c r="AA2432" t="s">
        <v>38</v>
      </c>
      <c r="AB2432" t="s">
        <v>38</v>
      </c>
      <c r="AC2432" t="s">
        <v>38</v>
      </c>
      <c r="AD2432" t="s">
        <v>48</v>
      </c>
      <c r="AG2432" t="str">
        <f>IF(AD2432="United States", IFERROR(INDEX(Sheet2!$C:$C, MATCH(AE2432&amp;AF2432, Sheet2!$E:$E, 0)) &amp; ", " &amp; INDEX(Sheet2!$D:$D, MATCH(AE2432&amp;AF2432, Sheet2!$E:$E, 0)), ""), "-")</f>
        <v/>
      </c>
    </row>
    <row r="2433" spans="1:33" x14ac:dyDescent="0.25">
      <c r="A2433" t="s">
        <v>3648</v>
      </c>
      <c r="D2433" t="s">
        <v>245</v>
      </c>
      <c r="E2433" t="s">
        <v>3276</v>
      </c>
      <c r="F2433">
        <v>1738</v>
      </c>
      <c r="G2433">
        <v>1053</v>
      </c>
      <c r="H2433">
        <v>44</v>
      </c>
      <c r="J2433" t="s">
        <v>3119</v>
      </c>
      <c r="O2433" t="s">
        <v>57</v>
      </c>
      <c r="R2433" t="s">
        <v>2452</v>
      </c>
      <c r="T2433" t="s">
        <v>89</v>
      </c>
      <c r="U2433" t="s">
        <v>2453</v>
      </c>
      <c r="V2433" t="s">
        <v>137</v>
      </c>
      <c r="W2433" t="s">
        <v>92</v>
      </c>
      <c r="Y2433" t="s">
        <v>38</v>
      </c>
      <c r="AA2433" t="s">
        <v>38</v>
      </c>
      <c r="AB2433" t="s">
        <v>38</v>
      </c>
      <c r="AC2433" t="s">
        <v>38</v>
      </c>
      <c r="AD2433" t="s">
        <v>48</v>
      </c>
      <c r="AG2433" t="str">
        <f>IF(AD2433="United States", IFERROR(INDEX(Sheet2!$C:$C, MATCH(AE2433&amp;AF2433, Sheet2!$E:$E, 0)) &amp; ", " &amp; INDEX(Sheet2!$D:$D, MATCH(AE2433&amp;AF2433, Sheet2!$E:$E, 0)), ""), "-")</f>
        <v/>
      </c>
    </row>
    <row r="2434" spans="1:33" x14ac:dyDescent="0.25">
      <c r="A2434" t="s">
        <v>3648</v>
      </c>
      <c r="D2434" t="s">
        <v>3275</v>
      </c>
      <c r="E2434" t="s">
        <v>3276</v>
      </c>
      <c r="F2434">
        <v>1723</v>
      </c>
      <c r="G2434">
        <v>1052</v>
      </c>
      <c r="H2434">
        <v>44</v>
      </c>
      <c r="J2434" t="s">
        <v>3119</v>
      </c>
      <c r="O2434" t="s">
        <v>41</v>
      </c>
      <c r="R2434" t="s">
        <v>2452</v>
      </c>
      <c r="T2434" t="s">
        <v>89</v>
      </c>
      <c r="U2434" t="s">
        <v>2453</v>
      </c>
      <c r="V2434" t="s">
        <v>137</v>
      </c>
      <c r="W2434" t="s">
        <v>92</v>
      </c>
      <c r="Y2434" t="s">
        <v>38</v>
      </c>
      <c r="AA2434" t="s">
        <v>38</v>
      </c>
      <c r="AB2434" t="s">
        <v>38</v>
      </c>
      <c r="AC2434" t="s">
        <v>38</v>
      </c>
      <c r="AD2434" t="s">
        <v>48</v>
      </c>
      <c r="AG2434" t="str">
        <f>IF(AD2434="United States", IFERROR(INDEX(Sheet2!$C:$C, MATCH(AE2434&amp;AF2434, Sheet2!$E:$E, 0)) &amp; ", " &amp; INDEX(Sheet2!$D:$D, MATCH(AE2434&amp;AF2434, Sheet2!$E:$E, 0)), ""), "-")</f>
        <v/>
      </c>
    </row>
    <row r="2435" spans="1:33" x14ac:dyDescent="0.25">
      <c r="A2435" t="s">
        <v>3648</v>
      </c>
      <c r="D2435" t="s">
        <v>445</v>
      </c>
      <c r="E2435" t="s">
        <v>1147</v>
      </c>
      <c r="F2435">
        <v>1759</v>
      </c>
      <c r="G2435">
        <v>1051</v>
      </c>
      <c r="H2435">
        <v>44</v>
      </c>
      <c r="J2435" t="s">
        <v>3119</v>
      </c>
      <c r="O2435" t="s">
        <v>57</v>
      </c>
      <c r="R2435" t="s">
        <v>2452</v>
      </c>
      <c r="T2435" t="s">
        <v>89</v>
      </c>
      <c r="U2435" t="s">
        <v>2453</v>
      </c>
      <c r="V2435" t="s">
        <v>137</v>
      </c>
      <c r="W2435" t="s">
        <v>92</v>
      </c>
      <c r="Y2435" t="s">
        <v>38</v>
      </c>
      <c r="AA2435" t="s">
        <v>38</v>
      </c>
      <c r="AB2435" t="s">
        <v>38</v>
      </c>
      <c r="AC2435" t="s">
        <v>38</v>
      </c>
      <c r="AD2435" t="s">
        <v>48</v>
      </c>
      <c r="AG2435" t="str">
        <f>IF(AD2435="United States", IFERROR(INDEX(Sheet2!$C:$C, MATCH(AE2435&amp;AF2435, Sheet2!$E:$E, 0)) &amp; ", " &amp; INDEX(Sheet2!$D:$D, MATCH(AE2435&amp;AF2435, Sheet2!$E:$E, 0)), ""), "-")</f>
        <v/>
      </c>
    </row>
    <row r="2436" spans="1:33" x14ac:dyDescent="0.25">
      <c r="A2436" t="s">
        <v>3648</v>
      </c>
      <c r="D2436" t="s">
        <v>210</v>
      </c>
      <c r="E2436" t="s">
        <v>1147</v>
      </c>
      <c r="F2436">
        <v>1753</v>
      </c>
      <c r="G2436">
        <v>1050</v>
      </c>
      <c r="H2436">
        <v>44</v>
      </c>
      <c r="J2436" t="s">
        <v>3119</v>
      </c>
      <c r="O2436" t="s">
        <v>41</v>
      </c>
      <c r="R2436" t="s">
        <v>2452</v>
      </c>
      <c r="T2436" t="s">
        <v>89</v>
      </c>
      <c r="U2436" t="s">
        <v>2453</v>
      </c>
      <c r="V2436" t="s">
        <v>137</v>
      </c>
      <c r="W2436" t="s">
        <v>92</v>
      </c>
      <c r="Y2436" t="s">
        <v>38</v>
      </c>
      <c r="AA2436" t="s">
        <v>38</v>
      </c>
      <c r="AB2436" t="s">
        <v>38</v>
      </c>
      <c r="AC2436" t="s">
        <v>38</v>
      </c>
      <c r="AD2436" t="s">
        <v>48</v>
      </c>
      <c r="AG2436" t="str">
        <f>IF(AD2436="United States", IFERROR(INDEX(Sheet2!$C:$C, MATCH(AE2436&amp;AF2436, Sheet2!$E:$E, 0)) &amp; ", " &amp; INDEX(Sheet2!$D:$D, MATCH(AE2436&amp;AF2436, Sheet2!$E:$E, 0)), ""), "-")</f>
        <v/>
      </c>
    </row>
    <row r="2437" spans="1:33" x14ac:dyDescent="0.25">
      <c r="A2437" t="s">
        <v>3648</v>
      </c>
      <c r="D2437" t="s">
        <v>177</v>
      </c>
      <c r="E2437" t="s">
        <v>3472</v>
      </c>
      <c r="F2437">
        <v>1726</v>
      </c>
      <c r="G2437">
        <v>1484</v>
      </c>
      <c r="H2437">
        <v>54</v>
      </c>
      <c r="J2437" t="s">
        <v>3119</v>
      </c>
      <c r="O2437" t="s">
        <v>41</v>
      </c>
      <c r="R2437" t="s">
        <v>2452</v>
      </c>
      <c r="T2437" t="s">
        <v>89</v>
      </c>
      <c r="U2437" t="s">
        <v>2453</v>
      </c>
      <c r="V2437" t="s">
        <v>137</v>
      </c>
      <c r="W2437" t="s">
        <v>92</v>
      </c>
      <c r="Y2437" t="s">
        <v>38</v>
      </c>
      <c r="AA2437" t="s">
        <v>38</v>
      </c>
      <c r="AB2437" t="s">
        <v>38</v>
      </c>
      <c r="AC2437" t="s">
        <v>38</v>
      </c>
      <c r="AD2437" t="s">
        <v>48</v>
      </c>
      <c r="AG2437" t="str">
        <f>IF(AD2437="United States", IFERROR(INDEX(Sheet2!$C:$C, MATCH(AE2437&amp;AF2437, Sheet2!$E:$E, 0)) &amp; ", " &amp; INDEX(Sheet2!$D:$D, MATCH(AE2437&amp;AF2437, Sheet2!$E:$E, 0)), ""), "-")</f>
        <v/>
      </c>
    </row>
    <row r="2438" spans="1:33" x14ac:dyDescent="0.25">
      <c r="A2438" t="s">
        <v>3648</v>
      </c>
      <c r="D2438" t="s">
        <v>463</v>
      </c>
      <c r="E2438" t="s">
        <v>3706</v>
      </c>
      <c r="F2438">
        <v>1723</v>
      </c>
      <c r="G2438">
        <v>1483</v>
      </c>
      <c r="H2438">
        <v>54</v>
      </c>
      <c r="J2438" t="s">
        <v>3119</v>
      </c>
      <c r="O2438" t="s">
        <v>41</v>
      </c>
      <c r="R2438" t="s">
        <v>2452</v>
      </c>
      <c r="T2438" t="s">
        <v>89</v>
      </c>
      <c r="U2438" t="s">
        <v>2453</v>
      </c>
      <c r="V2438" t="s">
        <v>137</v>
      </c>
      <c r="W2438" t="s">
        <v>92</v>
      </c>
      <c r="Y2438" t="s">
        <v>38</v>
      </c>
      <c r="AA2438" t="s">
        <v>38</v>
      </c>
      <c r="AB2438" t="s">
        <v>38</v>
      </c>
      <c r="AC2438" t="s">
        <v>38</v>
      </c>
      <c r="AD2438" t="s">
        <v>48</v>
      </c>
      <c r="AG2438" t="str">
        <f>IF(AD2438="United States", IFERROR(INDEX(Sheet2!$C:$C, MATCH(AE2438&amp;AF2438, Sheet2!$E:$E, 0)) &amp; ", " &amp; INDEX(Sheet2!$D:$D, MATCH(AE2438&amp;AF2438, Sheet2!$E:$E, 0)), ""), "-")</f>
        <v/>
      </c>
    </row>
    <row r="2439" spans="1:33" x14ac:dyDescent="0.25">
      <c r="A2439" t="s">
        <v>3648</v>
      </c>
      <c r="D2439" t="s">
        <v>36</v>
      </c>
      <c r="E2439" t="s">
        <v>1116</v>
      </c>
      <c r="F2439">
        <v>1765</v>
      </c>
      <c r="G2439">
        <v>1482</v>
      </c>
      <c r="H2439">
        <v>54</v>
      </c>
      <c r="J2439" t="s">
        <v>3119</v>
      </c>
      <c r="O2439" t="s">
        <v>41</v>
      </c>
      <c r="R2439" t="s">
        <v>2452</v>
      </c>
      <c r="T2439" t="s">
        <v>89</v>
      </c>
      <c r="U2439" t="s">
        <v>2453</v>
      </c>
      <c r="V2439" t="s">
        <v>137</v>
      </c>
      <c r="W2439" t="s">
        <v>92</v>
      </c>
      <c r="Y2439" t="s">
        <v>38</v>
      </c>
      <c r="AA2439" t="s">
        <v>38</v>
      </c>
      <c r="AB2439" t="s">
        <v>38</v>
      </c>
      <c r="AC2439" t="s">
        <v>38</v>
      </c>
      <c r="AD2439" t="s">
        <v>48</v>
      </c>
      <c r="AG2439" t="str">
        <f>IF(AD2439="United States", IFERROR(INDEX(Sheet2!$C:$C, MATCH(AE2439&amp;AF2439, Sheet2!$E:$E, 0)) &amp; ", " &amp; INDEX(Sheet2!$D:$D, MATCH(AE2439&amp;AF2439, Sheet2!$E:$E, 0)), ""), "-")</f>
        <v/>
      </c>
    </row>
    <row r="2440" spans="1:33" x14ac:dyDescent="0.25">
      <c r="A2440" t="s">
        <v>3648</v>
      </c>
      <c r="D2440" t="s">
        <v>359</v>
      </c>
      <c r="E2440" t="s">
        <v>1310</v>
      </c>
      <c r="F2440">
        <v>1769</v>
      </c>
      <c r="G2440">
        <v>1621</v>
      </c>
      <c r="H2440">
        <v>56</v>
      </c>
      <c r="J2440" t="s">
        <v>3119</v>
      </c>
      <c r="O2440" t="s">
        <v>74</v>
      </c>
      <c r="R2440" t="s">
        <v>2452</v>
      </c>
      <c r="T2440" t="s">
        <v>89</v>
      </c>
      <c r="U2440" t="s">
        <v>2453</v>
      </c>
      <c r="V2440" t="s">
        <v>137</v>
      </c>
      <c r="W2440" t="s">
        <v>92</v>
      </c>
      <c r="Y2440" t="s">
        <v>38</v>
      </c>
      <c r="AA2440" t="s">
        <v>38</v>
      </c>
      <c r="AB2440" t="s">
        <v>38</v>
      </c>
      <c r="AC2440" t="s">
        <v>38</v>
      </c>
      <c r="AD2440" t="s">
        <v>48</v>
      </c>
      <c r="AG2440" t="str">
        <f>IF(AD2440="United States", IFERROR(INDEX(Sheet2!$C:$C, MATCH(AE2440&amp;AF2440, Sheet2!$E:$E, 0)) &amp; ", " &amp; INDEX(Sheet2!$D:$D, MATCH(AE2440&amp;AF2440, Sheet2!$E:$E, 0)), ""), "-")</f>
        <v/>
      </c>
    </row>
    <row r="2441" spans="1:33" x14ac:dyDescent="0.25">
      <c r="A2441" t="s">
        <v>3707</v>
      </c>
      <c r="D2441" t="s">
        <v>650</v>
      </c>
      <c r="E2441" t="s">
        <v>818</v>
      </c>
      <c r="F2441">
        <v>1728</v>
      </c>
      <c r="G2441">
        <v>2117</v>
      </c>
      <c r="H2441">
        <v>68</v>
      </c>
      <c r="J2441" t="s">
        <v>3119</v>
      </c>
      <c r="O2441" t="s">
        <v>57</v>
      </c>
      <c r="R2441" t="s">
        <v>2452</v>
      </c>
      <c r="T2441" t="s">
        <v>89</v>
      </c>
      <c r="U2441" t="s">
        <v>2453</v>
      </c>
      <c r="V2441" t="s">
        <v>137</v>
      </c>
      <c r="W2441" t="s">
        <v>92</v>
      </c>
      <c r="Y2441" t="s">
        <v>38</v>
      </c>
      <c r="AA2441" t="s">
        <v>38</v>
      </c>
      <c r="AB2441" t="s">
        <v>38</v>
      </c>
      <c r="AC2441" t="s">
        <v>38</v>
      </c>
      <c r="AD2441" t="s">
        <v>48</v>
      </c>
      <c r="AG2441" t="str">
        <f>IF(AD2441="United States", IFERROR(INDEX(Sheet2!$C:$C, MATCH(AE2441&amp;AF2441, Sheet2!$E:$E, 0)) &amp; ", " &amp; INDEX(Sheet2!$D:$D, MATCH(AE2441&amp;AF2441, Sheet2!$E:$E, 0)), ""), "-")</f>
        <v/>
      </c>
    </row>
    <row r="2442" spans="1:33" x14ac:dyDescent="0.25">
      <c r="A2442" t="s">
        <v>3707</v>
      </c>
      <c r="D2442" t="s">
        <v>114</v>
      </c>
      <c r="E2442" t="s">
        <v>37</v>
      </c>
      <c r="F2442">
        <v>1765</v>
      </c>
      <c r="G2442">
        <v>2121</v>
      </c>
      <c r="H2442">
        <v>68</v>
      </c>
      <c r="J2442" t="s">
        <v>3119</v>
      </c>
      <c r="O2442" t="s">
        <v>57</v>
      </c>
      <c r="R2442" t="s">
        <v>2452</v>
      </c>
      <c r="T2442" t="s">
        <v>89</v>
      </c>
      <c r="U2442" t="s">
        <v>2453</v>
      </c>
      <c r="V2442" t="s">
        <v>137</v>
      </c>
      <c r="W2442" t="s">
        <v>92</v>
      </c>
      <c r="Y2442" t="s">
        <v>38</v>
      </c>
      <c r="AA2442" t="s">
        <v>38</v>
      </c>
      <c r="AB2442" t="s">
        <v>38</v>
      </c>
      <c r="AC2442" t="s">
        <v>38</v>
      </c>
      <c r="AD2442" t="s">
        <v>48</v>
      </c>
      <c r="AG2442" t="str">
        <f>IF(AD2442="United States", IFERROR(INDEX(Sheet2!$C:$C, MATCH(AE2442&amp;AF2442, Sheet2!$E:$E, 0)) &amp; ", " &amp; INDEX(Sheet2!$D:$D, MATCH(AE2442&amp;AF2442, Sheet2!$E:$E, 0)), ""), "-")</f>
        <v/>
      </c>
    </row>
    <row r="2443" spans="1:33" x14ac:dyDescent="0.25">
      <c r="A2443" t="s">
        <v>3707</v>
      </c>
      <c r="D2443" t="s">
        <v>285</v>
      </c>
      <c r="E2443" t="s">
        <v>3138</v>
      </c>
      <c r="F2443">
        <v>1760</v>
      </c>
      <c r="G2443">
        <v>2111</v>
      </c>
      <c r="H2443">
        <v>68</v>
      </c>
      <c r="J2443" t="s">
        <v>3119</v>
      </c>
      <c r="O2443" t="s">
        <v>57</v>
      </c>
      <c r="R2443" t="s">
        <v>2452</v>
      </c>
      <c r="T2443" t="s">
        <v>89</v>
      </c>
      <c r="U2443" t="s">
        <v>2453</v>
      </c>
      <c r="V2443" t="s">
        <v>137</v>
      </c>
      <c r="W2443" t="s">
        <v>92</v>
      </c>
      <c r="Y2443" t="s">
        <v>38</v>
      </c>
      <c r="AA2443" t="s">
        <v>38</v>
      </c>
      <c r="AB2443" t="s">
        <v>38</v>
      </c>
      <c r="AC2443" t="s">
        <v>38</v>
      </c>
      <c r="AD2443" t="s">
        <v>48</v>
      </c>
      <c r="AG2443" t="str">
        <f>IF(AD2443="United States", IFERROR(INDEX(Sheet2!$C:$C, MATCH(AE2443&amp;AF2443, Sheet2!$E:$E, 0)) &amp; ", " &amp; INDEX(Sheet2!$D:$D, MATCH(AE2443&amp;AF2443, Sheet2!$E:$E, 0)), ""), "-")</f>
        <v/>
      </c>
    </row>
    <row r="2444" spans="1:33" x14ac:dyDescent="0.25">
      <c r="A2444" t="s">
        <v>3707</v>
      </c>
      <c r="D2444" t="s">
        <v>1491</v>
      </c>
      <c r="E2444" t="s">
        <v>3149</v>
      </c>
      <c r="F2444">
        <v>1753</v>
      </c>
      <c r="G2444">
        <v>2112</v>
      </c>
      <c r="H2444">
        <v>68</v>
      </c>
      <c r="J2444" t="s">
        <v>3119</v>
      </c>
      <c r="O2444" t="s">
        <v>41</v>
      </c>
      <c r="R2444" t="s">
        <v>2452</v>
      </c>
      <c r="T2444" t="s">
        <v>89</v>
      </c>
      <c r="U2444" t="s">
        <v>2453</v>
      </c>
      <c r="V2444" t="s">
        <v>137</v>
      </c>
      <c r="W2444" t="s">
        <v>92</v>
      </c>
      <c r="Y2444" t="s">
        <v>38</v>
      </c>
      <c r="AA2444" t="s">
        <v>38</v>
      </c>
      <c r="AB2444" t="s">
        <v>38</v>
      </c>
      <c r="AC2444" t="s">
        <v>38</v>
      </c>
      <c r="AD2444" t="s">
        <v>48</v>
      </c>
      <c r="AG2444" t="str">
        <f>IF(AD2444="United States", IFERROR(INDEX(Sheet2!$C:$C, MATCH(AE2444&amp;AF2444, Sheet2!$E:$E, 0)) &amp; ", " &amp; INDEX(Sheet2!$D:$D, MATCH(AE2444&amp;AF2444, Sheet2!$E:$E, 0)), ""), "-")</f>
        <v/>
      </c>
    </row>
    <row r="2445" spans="1:33" x14ac:dyDescent="0.25">
      <c r="A2445" t="s">
        <v>3707</v>
      </c>
      <c r="D2445" t="s">
        <v>3708</v>
      </c>
      <c r="E2445" t="s">
        <v>2754</v>
      </c>
      <c r="F2445">
        <v>1733</v>
      </c>
      <c r="G2445">
        <v>2113</v>
      </c>
      <c r="H2445">
        <v>68</v>
      </c>
      <c r="J2445" t="s">
        <v>3119</v>
      </c>
      <c r="O2445" t="s">
        <v>57</v>
      </c>
      <c r="R2445" t="s">
        <v>2452</v>
      </c>
      <c r="T2445" t="s">
        <v>89</v>
      </c>
      <c r="U2445" t="s">
        <v>2453</v>
      </c>
      <c r="V2445" t="s">
        <v>137</v>
      </c>
      <c r="W2445" t="s">
        <v>92</v>
      </c>
      <c r="Y2445" t="s">
        <v>38</v>
      </c>
      <c r="AA2445" t="s">
        <v>38</v>
      </c>
      <c r="AB2445" t="s">
        <v>38</v>
      </c>
      <c r="AC2445" t="s">
        <v>38</v>
      </c>
      <c r="AD2445" t="s">
        <v>48</v>
      </c>
      <c r="AG2445" t="str">
        <f>IF(AD2445="United States", IFERROR(INDEX(Sheet2!$C:$C, MATCH(AE2445&amp;AF2445, Sheet2!$E:$E, 0)) &amp; ", " &amp; INDEX(Sheet2!$D:$D, MATCH(AE2445&amp;AF2445, Sheet2!$E:$E, 0)), ""), "-")</f>
        <v/>
      </c>
    </row>
    <row r="2446" spans="1:33" x14ac:dyDescent="0.25">
      <c r="A2446" t="s">
        <v>3707</v>
      </c>
      <c r="D2446" t="s">
        <v>210</v>
      </c>
      <c r="E2446" t="s">
        <v>3141</v>
      </c>
      <c r="F2446">
        <v>1760</v>
      </c>
      <c r="G2446">
        <v>2114</v>
      </c>
      <c r="H2446">
        <v>68</v>
      </c>
      <c r="J2446" t="s">
        <v>3119</v>
      </c>
      <c r="O2446" t="s">
        <v>41</v>
      </c>
      <c r="R2446" t="s">
        <v>2452</v>
      </c>
      <c r="T2446" t="s">
        <v>89</v>
      </c>
      <c r="U2446" t="s">
        <v>2453</v>
      </c>
      <c r="V2446" t="s">
        <v>137</v>
      </c>
      <c r="W2446" t="s">
        <v>92</v>
      </c>
      <c r="Y2446" t="s">
        <v>38</v>
      </c>
      <c r="AA2446" t="s">
        <v>38</v>
      </c>
      <c r="AB2446" t="s">
        <v>38</v>
      </c>
      <c r="AC2446" t="s">
        <v>38</v>
      </c>
      <c r="AD2446" t="s">
        <v>48</v>
      </c>
      <c r="AG2446" t="str">
        <f>IF(AD2446="United States", IFERROR(INDEX(Sheet2!$C:$C, MATCH(AE2446&amp;AF2446, Sheet2!$E:$E, 0)) &amp; ", " &amp; INDEX(Sheet2!$D:$D, MATCH(AE2446&amp;AF2446, Sheet2!$E:$E, 0)), ""), "-")</f>
        <v/>
      </c>
    </row>
    <row r="2447" spans="1:33" x14ac:dyDescent="0.25">
      <c r="A2447" t="s">
        <v>3707</v>
      </c>
      <c r="D2447" t="s">
        <v>3137</v>
      </c>
      <c r="E2447" t="s">
        <v>3138</v>
      </c>
      <c r="F2447">
        <v>1753</v>
      </c>
      <c r="G2447">
        <v>2115</v>
      </c>
      <c r="H2447">
        <v>68</v>
      </c>
      <c r="J2447" t="s">
        <v>3119</v>
      </c>
      <c r="O2447" t="s">
        <v>41</v>
      </c>
      <c r="R2447" t="s">
        <v>2452</v>
      </c>
      <c r="T2447" t="s">
        <v>89</v>
      </c>
      <c r="U2447" t="s">
        <v>2453</v>
      </c>
      <c r="V2447" t="s">
        <v>137</v>
      </c>
      <c r="W2447" t="s">
        <v>92</v>
      </c>
      <c r="Y2447" t="s">
        <v>38</v>
      </c>
      <c r="AA2447" t="s">
        <v>38</v>
      </c>
      <c r="AB2447" t="s">
        <v>38</v>
      </c>
      <c r="AC2447" t="s">
        <v>38</v>
      </c>
      <c r="AD2447" t="s">
        <v>48</v>
      </c>
      <c r="AG2447" t="str">
        <f>IF(AD2447="United States", IFERROR(INDEX(Sheet2!$C:$C, MATCH(AE2447&amp;AF2447, Sheet2!$E:$E, 0)) &amp; ", " &amp; INDEX(Sheet2!$D:$D, MATCH(AE2447&amp;AF2447, Sheet2!$E:$E, 0)), ""), "-")</f>
        <v/>
      </c>
    </row>
    <row r="2448" spans="1:33" x14ac:dyDescent="0.25">
      <c r="A2448" t="s">
        <v>3707</v>
      </c>
      <c r="D2448" t="s">
        <v>230</v>
      </c>
      <c r="E2448" t="s">
        <v>818</v>
      </c>
      <c r="F2448">
        <v>1726</v>
      </c>
      <c r="G2448">
        <v>2116</v>
      </c>
      <c r="H2448">
        <v>68</v>
      </c>
      <c r="J2448" t="s">
        <v>3119</v>
      </c>
      <c r="O2448" t="s">
        <v>41</v>
      </c>
      <c r="R2448" t="s">
        <v>2452</v>
      </c>
      <c r="T2448" t="s">
        <v>89</v>
      </c>
      <c r="U2448" t="s">
        <v>2453</v>
      </c>
      <c r="V2448" t="s">
        <v>137</v>
      </c>
      <c r="W2448" t="s">
        <v>92</v>
      </c>
      <c r="Y2448" t="s">
        <v>38</v>
      </c>
      <c r="AA2448" t="s">
        <v>38</v>
      </c>
      <c r="AB2448" t="s">
        <v>38</v>
      </c>
      <c r="AC2448" t="s">
        <v>38</v>
      </c>
      <c r="AD2448" t="s">
        <v>48</v>
      </c>
      <c r="AG2448" t="str">
        <f>IF(AD2448="United States", IFERROR(INDEX(Sheet2!$C:$C, MATCH(AE2448&amp;AF2448, Sheet2!$E:$E, 0)) &amp; ", " &amp; INDEX(Sheet2!$D:$D, MATCH(AE2448&amp;AF2448, Sheet2!$E:$E, 0)), ""), "-")</f>
        <v/>
      </c>
    </row>
    <row r="2449" spans="1:33" x14ac:dyDescent="0.25">
      <c r="A2449" t="s">
        <v>3707</v>
      </c>
      <c r="D2449" t="s">
        <v>3672</v>
      </c>
      <c r="E2449" t="s">
        <v>38</v>
      </c>
      <c r="F2449">
        <v>1756</v>
      </c>
      <c r="G2449">
        <v>2119</v>
      </c>
      <c r="H2449">
        <v>68</v>
      </c>
      <c r="J2449" t="s">
        <v>3119</v>
      </c>
      <c r="O2449" t="s">
        <v>41</v>
      </c>
      <c r="R2449" t="s">
        <v>2452</v>
      </c>
      <c r="T2449" t="s">
        <v>89</v>
      </c>
      <c r="U2449" t="s">
        <v>2453</v>
      </c>
      <c r="V2449" t="s">
        <v>137</v>
      </c>
      <c r="W2449" t="s">
        <v>92</v>
      </c>
      <c r="Y2449" t="s">
        <v>38</v>
      </c>
      <c r="AA2449" t="s">
        <v>38</v>
      </c>
      <c r="AB2449" t="s">
        <v>38</v>
      </c>
      <c r="AC2449" t="s">
        <v>38</v>
      </c>
      <c r="AD2449" t="s">
        <v>48</v>
      </c>
      <c r="AG2449" t="str">
        <f>IF(AD2449="United States", IFERROR(INDEX(Sheet2!$C:$C, MATCH(AE2449&amp;AF2449, Sheet2!$E:$E, 0)) &amp; ", " &amp; INDEX(Sheet2!$D:$D, MATCH(AE2449&amp;AF2449, Sheet2!$E:$E, 0)), ""), "-")</f>
        <v/>
      </c>
    </row>
    <row r="2450" spans="1:33" x14ac:dyDescent="0.25">
      <c r="A2450" t="s">
        <v>3707</v>
      </c>
      <c r="D2450" t="s">
        <v>352</v>
      </c>
      <c r="E2450" t="s">
        <v>38</v>
      </c>
      <c r="F2450">
        <v>1766</v>
      </c>
      <c r="G2450">
        <v>2118</v>
      </c>
      <c r="H2450">
        <v>68</v>
      </c>
      <c r="J2450" t="s">
        <v>3119</v>
      </c>
      <c r="O2450" t="s">
        <v>57</v>
      </c>
      <c r="R2450" t="s">
        <v>2452</v>
      </c>
      <c r="T2450" t="s">
        <v>89</v>
      </c>
      <c r="U2450" t="s">
        <v>2453</v>
      </c>
      <c r="V2450" t="s">
        <v>137</v>
      </c>
      <c r="W2450" t="s">
        <v>92</v>
      </c>
      <c r="Y2450" t="s">
        <v>38</v>
      </c>
      <c r="AA2450" t="s">
        <v>38</v>
      </c>
      <c r="AB2450" t="s">
        <v>38</v>
      </c>
      <c r="AC2450" t="s">
        <v>38</v>
      </c>
      <c r="AD2450" t="s">
        <v>48</v>
      </c>
      <c r="AG2450" t="str">
        <f>IF(AD2450="United States", IFERROR(INDEX(Sheet2!$C:$C, MATCH(AE2450&amp;AF2450, Sheet2!$E:$E, 0)) &amp; ", " &amp; INDEX(Sheet2!$D:$D, MATCH(AE2450&amp;AF2450, Sheet2!$E:$E, 0)), ""), "-")</f>
        <v/>
      </c>
    </row>
    <row r="2451" spans="1:33" x14ac:dyDescent="0.25">
      <c r="A2451" t="s">
        <v>3707</v>
      </c>
      <c r="D2451" t="s">
        <v>106</v>
      </c>
      <c r="E2451" t="s">
        <v>38</v>
      </c>
      <c r="F2451">
        <v>1761</v>
      </c>
      <c r="G2451">
        <v>2120</v>
      </c>
      <c r="H2451">
        <v>68</v>
      </c>
      <c r="J2451" t="s">
        <v>3119</v>
      </c>
      <c r="O2451" t="s">
        <v>41</v>
      </c>
      <c r="R2451" t="s">
        <v>2452</v>
      </c>
      <c r="T2451" t="s">
        <v>89</v>
      </c>
      <c r="U2451" t="s">
        <v>2453</v>
      </c>
      <c r="V2451" t="s">
        <v>137</v>
      </c>
      <c r="W2451" t="s">
        <v>92</v>
      </c>
      <c r="Y2451" t="s">
        <v>38</v>
      </c>
      <c r="AA2451" t="s">
        <v>38</v>
      </c>
      <c r="AB2451" t="s">
        <v>38</v>
      </c>
      <c r="AC2451" t="s">
        <v>38</v>
      </c>
      <c r="AD2451" t="s">
        <v>48</v>
      </c>
      <c r="AG2451" t="str">
        <f>IF(AD2451="United States", IFERROR(INDEX(Sheet2!$C:$C, MATCH(AE2451&amp;AF2451, Sheet2!$E:$E, 0)) &amp; ", " &amp; INDEX(Sheet2!$D:$D, MATCH(AE2451&amp;AF2451, Sheet2!$E:$E, 0)), ""), "-")</f>
        <v/>
      </c>
    </row>
    <row r="2452" spans="1:33" x14ac:dyDescent="0.25">
      <c r="A2452" t="s">
        <v>3707</v>
      </c>
      <c r="D2452" t="s">
        <v>615</v>
      </c>
      <c r="E2452" t="s">
        <v>38</v>
      </c>
      <c r="F2452">
        <v>1770</v>
      </c>
      <c r="G2452">
        <v>2110</v>
      </c>
      <c r="H2452">
        <v>68</v>
      </c>
      <c r="J2452" t="s">
        <v>3119</v>
      </c>
      <c r="O2452" t="s">
        <v>54</v>
      </c>
      <c r="R2452" t="s">
        <v>2452</v>
      </c>
      <c r="T2452" t="s">
        <v>89</v>
      </c>
      <c r="U2452" t="s">
        <v>2453</v>
      </c>
      <c r="V2452" t="s">
        <v>137</v>
      </c>
      <c r="W2452" t="s">
        <v>92</v>
      </c>
      <c r="Y2452" t="s">
        <v>38</v>
      </c>
      <c r="AA2452" t="s">
        <v>38</v>
      </c>
      <c r="AB2452" t="s">
        <v>38</v>
      </c>
      <c r="AC2452" t="s">
        <v>38</v>
      </c>
      <c r="AD2452" t="s">
        <v>48</v>
      </c>
      <c r="AG2452" t="str">
        <f>IF(AD2452="United States", IFERROR(INDEX(Sheet2!$C:$C, MATCH(AE2452&amp;AF2452, Sheet2!$E:$E, 0)) &amp; ", " &amp; INDEX(Sheet2!$D:$D, MATCH(AE2452&amp;AF2452, Sheet2!$E:$E, 0)), ""), "-")</f>
        <v/>
      </c>
    </row>
    <row r="2453" spans="1:33" x14ac:dyDescent="0.25">
      <c r="A2453" t="s">
        <v>3707</v>
      </c>
      <c r="D2453" t="s">
        <v>445</v>
      </c>
      <c r="E2453" t="s">
        <v>38</v>
      </c>
      <c r="F2453">
        <v>1753</v>
      </c>
      <c r="G2453">
        <v>2107</v>
      </c>
      <c r="H2453">
        <v>68</v>
      </c>
      <c r="J2453" t="s">
        <v>3119</v>
      </c>
      <c r="O2453" t="s">
        <v>57</v>
      </c>
      <c r="R2453" t="s">
        <v>2452</v>
      </c>
      <c r="T2453" t="s">
        <v>89</v>
      </c>
      <c r="U2453" t="s">
        <v>2453</v>
      </c>
      <c r="V2453" t="s">
        <v>137</v>
      </c>
      <c r="W2453" t="s">
        <v>92</v>
      </c>
      <c r="Y2453" t="s">
        <v>38</v>
      </c>
      <c r="AA2453" t="s">
        <v>38</v>
      </c>
      <c r="AB2453" t="s">
        <v>38</v>
      </c>
      <c r="AC2453" t="s">
        <v>38</v>
      </c>
      <c r="AD2453" t="s">
        <v>48</v>
      </c>
      <c r="AG2453" t="str">
        <f>IF(AD2453="United States", IFERROR(INDEX(Sheet2!$C:$C, MATCH(AE2453&amp;AF2453, Sheet2!$E:$E, 0)) &amp; ", " &amp; INDEX(Sheet2!$D:$D, MATCH(AE2453&amp;AF2453, Sheet2!$E:$E, 0)), ""), "-")</f>
        <v/>
      </c>
    </row>
    <row r="2454" spans="1:33" x14ac:dyDescent="0.25">
      <c r="A2454" t="s">
        <v>3707</v>
      </c>
      <c r="D2454" t="s">
        <v>3122</v>
      </c>
      <c r="E2454" t="s">
        <v>38</v>
      </c>
      <c r="F2454">
        <v>1727</v>
      </c>
      <c r="G2454">
        <v>2109</v>
      </c>
      <c r="H2454">
        <v>68</v>
      </c>
      <c r="J2454" t="s">
        <v>3119</v>
      </c>
      <c r="O2454" t="s">
        <v>57</v>
      </c>
      <c r="R2454" t="s">
        <v>2452</v>
      </c>
      <c r="T2454" t="s">
        <v>89</v>
      </c>
      <c r="U2454" t="s">
        <v>2453</v>
      </c>
      <c r="V2454" t="s">
        <v>137</v>
      </c>
      <c r="W2454" t="s">
        <v>92</v>
      </c>
      <c r="Y2454" t="s">
        <v>38</v>
      </c>
      <c r="AA2454" t="s">
        <v>38</v>
      </c>
      <c r="AB2454" t="s">
        <v>38</v>
      </c>
      <c r="AC2454" t="s">
        <v>38</v>
      </c>
      <c r="AD2454" t="s">
        <v>48</v>
      </c>
      <c r="AG2454" t="str">
        <f>IF(AD2454="United States", IFERROR(INDEX(Sheet2!$C:$C, MATCH(AE2454&amp;AF2454, Sheet2!$E:$E, 0)) &amp; ", " &amp; INDEX(Sheet2!$D:$D, MATCH(AE2454&amp;AF2454, Sheet2!$E:$E, 0)), ""), "-")</f>
        <v/>
      </c>
    </row>
    <row r="2455" spans="1:33" x14ac:dyDescent="0.25">
      <c r="A2455" t="s">
        <v>3707</v>
      </c>
      <c r="D2455" t="s">
        <v>3122</v>
      </c>
      <c r="E2455" t="s">
        <v>38</v>
      </c>
      <c r="F2455">
        <v>1719</v>
      </c>
      <c r="G2455">
        <v>2108</v>
      </c>
      <c r="H2455">
        <v>68</v>
      </c>
      <c r="J2455" t="s">
        <v>3119</v>
      </c>
      <c r="O2455" t="s">
        <v>57</v>
      </c>
      <c r="R2455" t="s">
        <v>2452</v>
      </c>
      <c r="T2455" t="s">
        <v>89</v>
      </c>
      <c r="U2455" t="s">
        <v>2453</v>
      </c>
      <c r="V2455" t="s">
        <v>137</v>
      </c>
      <c r="W2455" t="s">
        <v>92</v>
      </c>
      <c r="Y2455" t="s">
        <v>38</v>
      </c>
      <c r="AA2455" t="s">
        <v>38</v>
      </c>
      <c r="AB2455" t="s">
        <v>38</v>
      </c>
      <c r="AC2455" t="s">
        <v>38</v>
      </c>
      <c r="AD2455" t="s">
        <v>48</v>
      </c>
      <c r="AG2455" t="str">
        <f>IF(AD2455="United States", IFERROR(INDEX(Sheet2!$C:$C, MATCH(AE2455&amp;AF2455, Sheet2!$E:$E, 0)) &amp; ", " &amp; INDEX(Sheet2!$D:$D, MATCH(AE2455&amp;AF2455, Sheet2!$E:$E, 0)), ""), "-")</f>
        <v/>
      </c>
    </row>
    <row r="2456" spans="1:33" x14ac:dyDescent="0.25">
      <c r="A2456" t="s">
        <v>3709</v>
      </c>
      <c r="D2456" t="s">
        <v>3710</v>
      </c>
      <c r="E2456" t="s">
        <v>38</v>
      </c>
      <c r="F2456">
        <v>1766</v>
      </c>
      <c r="G2456">
        <v>2331</v>
      </c>
      <c r="H2456">
        <v>73</v>
      </c>
      <c r="J2456" t="s">
        <v>3711</v>
      </c>
      <c r="O2456" t="s">
        <v>57</v>
      </c>
      <c r="R2456" t="s">
        <v>2452</v>
      </c>
      <c r="T2456" t="s">
        <v>89</v>
      </c>
      <c r="U2456" t="s">
        <v>2453</v>
      </c>
      <c r="V2456" t="s">
        <v>1045</v>
      </c>
      <c r="W2456" t="s">
        <v>92</v>
      </c>
      <c r="Y2456" t="s">
        <v>38</v>
      </c>
      <c r="AA2456" t="s">
        <v>38</v>
      </c>
      <c r="AB2456" t="s">
        <v>38</v>
      </c>
      <c r="AC2456" t="s">
        <v>38</v>
      </c>
      <c r="AD2456" t="s">
        <v>48</v>
      </c>
      <c r="AG2456" t="str">
        <f>IF(AD2456="United States", IFERROR(INDEX(Sheet2!$C:$C, MATCH(AE2456&amp;AF2456, Sheet2!$E:$E, 0)) &amp; ", " &amp; INDEX(Sheet2!$D:$D, MATCH(AE2456&amp;AF2456, Sheet2!$E:$E, 0)), ""), "-")</f>
        <v/>
      </c>
    </row>
    <row r="2457" spans="1:33" x14ac:dyDescent="0.25">
      <c r="A2457" t="s">
        <v>3709</v>
      </c>
      <c r="D2457" t="s">
        <v>3712</v>
      </c>
      <c r="E2457" t="s">
        <v>38</v>
      </c>
      <c r="F2457">
        <v>1763</v>
      </c>
      <c r="G2457">
        <v>2332</v>
      </c>
      <c r="H2457">
        <v>73</v>
      </c>
      <c r="J2457" t="s">
        <v>3711</v>
      </c>
      <c r="O2457" t="s">
        <v>41</v>
      </c>
      <c r="R2457" t="s">
        <v>2452</v>
      </c>
      <c r="T2457" t="s">
        <v>89</v>
      </c>
      <c r="U2457" t="s">
        <v>2453</v>
      </c>
      <c r="V2457" t="s">
        <v>1045</v>
      </c>
      <c r="W2457" t="s">
        <v>92</v>
      </c>
      <c r="Y2457" t="s">
        <v>38</v>
      </c>
      <c r="AA2457" t="s">
        <v>38</v>
      </c>
      <c r="AB2457" t="s">
        <v>38</v>
      </c>
      <c r="AC2457" t="s">
        <v>38</v>
      </c>
      <c r="AD2457" t="s">
        <v>48</v>
      </c>
      <c r="AG2457" t="str">
        <f>IF(AD2457="United States", IFERROR(INDEX(Sheet2!$C:$C, MATCH(AE2457&amp;AF2457, Sheet2!$E:$E, 0)) &amp; ", " &amp; INDEX(Sheet2!$D:$D, MATCH(AE2457&amp;AF2457, Sheet2!$E:$E, 0)), ""), "-")</f>
        <v/>
      </c>
    </row>
    <row r="2458" spans="1:33" x14ac:dyDescent="0.25">
      <c r="A2458" t="s">
        <v>3709</v>
      </c>
      <c r="D2458" t="s">
        <v>980</v>
      </c>
      <c r="E2458" t="s">
        <v>38</v>
      </c>
      <c r="F2458">
        <v>1755</v>
      </c>
      <c r="G2458">
        <v>2333</v>
      </c>
      <c r="H2458">
        <v>73</v>
      </c>
      <c r="J2458" t="s">
        <v>3711</v>
      </c>
      <c r="O2458" t="s">
        <v>57</v>
      </c>
      <c r="R2458" t="s">
        <v>2452</v>
      </c>
      <c r="T2458" t="s">
        <v>89</v>
      </c>
      <c r="U2458" t="s">
        <v>2453</v>
      </c>
      <c r="V2458" t="s">
        <v>1045</v>
      </c>
      <c r="W2458" t="s">
        <v>92</v>
      </c>
      <c r="Y2458" t="s">
        <v>38</v>
      </c>
      <c r="AA2458" t="s">
        <v>38</v>
      </c>
      <c r="AB2458" t="s">
        <v>38</v>
      </c>
      <c r="AC2458" t="s">
        <v>38</v>
      </c>
      <c r="AD2458" t="s">
        <v>48</v>
      </c>
      <c r="AG2458" t="str">
        <f>IF(AD2458="United States", IFERROR(INDEX(Sheet2!$C:$C, MATCH(AE2458&amp;AF2458, Sheet2!$E:$E, 0)) &amp; ", " &amp; INDEX(Sheet2!$D:$D, MATCH(AE2458&amp;AF2458, Sheet2!$E:$E, 0)), ""), "-")</f>
        <v/>
      </c>
    </row>
    <row r="2459" spans="1:33" x14ac:dyDescent="0.25">
      <c r="A2459" t="s">
        <v>3709</v>
      </c>
      <c r="D2459" t="s">
        <v>63</v>
      </c>
      <c r="E2459" t="s">
        <v>38</v>
      </c>
      <c r="F2459">
        <v>1773</v>
      </c>
      <c r="G2459">
        <v>2334</v>
      </c>
      <c r="H2459">
        <v>73</v>
      </c>
      <c r="J2459" t="s">
        <v>3711</v>
      </c>
      <c r="O2459" t="s">
        <v>54</v>
      </c>
      <c r="R2459" t="s">
        <v>2452</v>
      </c>
      <c r="T2459" t="s">
        <v>89</v>
      </c>
      <c r="U2459" t="s">
        <v>2453</v>
      </c>
      <c r="V2459" t="s">
        <v>1045</v>
      </c>
      <c r="W2459" t="s">
        <v>92</v>
      </c>
      <c r="Y2459" t="s">
        <v>38</v>
      </c>
      <c r="AA2459" t="s">
        <v>38</v>
      </c>
      <c r="AB2459" t="s">
        <v>38</v>
      </c>
      <c r="AC2459" t="s">
        <v>38</v>
      </c>
      <c r="AD2459" t="s">
        <v>48</v>
      </c>
      <c r="AG2459" t="str">
        <f>IF(AD2459="United States", IFERROR(INDEX(Sheet2!$C:$C, MATCH(AE2459&amp;AF2459, Sheet2!$E:$E, 0)) &amp; ", " &amp; INDEX(Sheet2!$D:$D, MATCH(AE2459&amp;AF2459, Sheet2!$E:$E, 0)), ""), "-")</f>
        <v/>
      </c>
    </row>
    <row r="2460" spans="1:33" x14ac:dyDescent="0.25">
      <c r="A2460" t="s">
        <v>3709</v>
      </c>
      <c r="D2460" t="s">
        <v>3713</v>
      </c>
      <c r="E2460" t="s">
        <v>38</v>
      </c>
      <c r="F2460" t="s">
        <v>38</v>
      </c>
      <c r="G2460">
        <v>2335</v>
      </c>
      <c r="H2460">
        <v>73</v>
      </c>
      <c r="J2460" t="s">
        <v>3711</v>
      </c>
      <c r="O2460" t="s">
        <v>74</v>
      </c>
      <c r="R2460" t="s">
        <v>2452</v>
      </c>
      <c r="T2460" t="s">
        <v>89</v>
      </c>
      <c r="U2460" t="s">
        <v>2453</v>
      </c>
      <c r="V2460" t="s">
        <v>1045</v>
      </c>
      <c r="W2460" t="s">
        <v>92</v>
      </c>
      <c r="Y2460" t="s">
        <v>38</v>
      </c>
      <c r="AA2460" t="s">
        <v>38</v>
      </c>
      <c r="AB2460" t="s">
        <v>38</v>
      </c>
      <c r="AC2460" t="s">
        <v>38</v>
      </c>
      <c r="AD2460" t="s">
        <v>48</v>
      </c>
      <c r="AG2460" t="str">
        <f>IF(AD2460="United States", IFERROR(INDEX(Sheet2!$C:$C, MATCH(AE2460&amp;AF2460, Sheet2!$E:$E, 0)) &amp; ", " &amp; INDEX(Sheet2!$D:$D, MATCH(AE2460&amp;AF2460, Sheet2!$E:$E, 0)), ""), "-")</f>
        <v/>
      </c>
    </row>
    <row r="2461" spans="1:33" x14ac:dyDescent="0.25">
      <c r="A2461" t="s">
        <v>3709</v>
      </c>
      <c r="D2461" t="s">
        <v>1683</v>
      </c>
      <c r="E2461" t="s">
        <v>38</v>
      </c>
      <c r="F2461">
        <v>1741</v>
      </c>
      <c r="G2461">
        <v>2336</v>
      </c>
      <c r="H2461">
        <v>73</v>
      </c>
      <c r="J2461" t="s">
        <v>3711</v>
      </c>
      <c r="O2461" t="s">
        <v>57</v>
      </c>
      <c r="R2461" t="s">
        <v>2452</v>
      </c>
      <c r="T2461" t="s">
        <v>89</v>
      </c>
      <c r="U2461" t="s">
        <v>2453</v>
      </c>
      <c r="V2461" t="s">
        <v>1045</v>
      </c>
      <c r="W2461" t="s">
        <v>92</v>
      </c>
      <c r="Y2461" t="s">
        <v>38</v>
      </c>
      <c r="AA2461" t="s">
        <v>38</v>
      </c>
      <c r="AB2461" t="s">
        <v>38</v>
      </c>
      <c r="AC2461" t="s">
        <v>38</v>
      </c>
      <c r="AD2461" t="s">
        <v>48</v>
      </c>
      <c r="AG2461" t="str">
        <f>IF(AD2461="United States", IFERROR(INDEX(Sheet2!$C:$C, MATCH(AE2461&amp;AF2461, Sheet2!$E:$E, 0)) &amp; ", " &amp; INDEX(Sheet2!$D:$D, MATCH(AE2461&amp;AF2461, Sheet2!$E:$E, 0)), ""), "-")</f>
        <v/>
      </c>
    </row>
    <row r="2462" spans="1:33" x14ac:dyDescent="0.25">
      <c r="A2462" t="s">
        <v>3709</v>
      </c>
      <c r="D2462" t="s">
        <v>140</v>
      </c>
      <c r="E2462" t="s">
        <v>38</v>
      </c>
      <c r="F2462">
        <v>1747</v>
      </c>
      <c r="G2462">
        <v>2337</v>
      </c>
      <c r="H2462">
        <v>73</v>
      </c>
      <c r="J2462" t="s">
        <v>3711</v>
      </c>
      <c r="O2462" t="s">
        <v>57</v>
      </c>
      <c r="R2462" t="s">
        <v>2452</v>
      </c>
      <c r="T2462" t="s">
        <v>89</v>
      </c>
      <c r="U2462" t="s">
        <v>2453</v>
      </c>
      <c r="V2462" t="s">
        <v>1045</v>
      </c>
      <c r="W2462" t="s">
        <v>92</v>
      </c>
      <c r="Y2462" t="s">
        <v>38</v>
      </c>
      <c r="AA2462" t="s">
        <v>38</v>
      </c>
      <c r="AB2462" t="s">
        <v>38</v>
      </c>
      <c r="AC2462" t="s">
        <v>38</v>
      </c>
      <c r="AD2462" t="s">
        <v>48</v>
      </c>
      <c r="AG2462" t="str">
        <f>IF(AD2462="United States", IFERROR(INDEX(Sheet2!$C:$C, MATCH(AE2462&amp;AF2462, Sheet2!$E:$E, 0)) &amp; ", " &amp; INDEX(Sheet2!$D:$D, MATCH(AE2462&amp;AF2462, Sheet2!$E:$E, 0)), ""), "-")</f>
        <v/>
      </c>
    </row>
    <row r="2463" spans="1:33" x14ac:dyDescent="0.25">
      <c r="A2463" t="s">
        <v>3709</v>
      </c>
      <c r="D2463" t="s">
        <v>3714</v>
      </c>
      <c r="E2463" t="s">
        <v>38</v>
      </c>
      <c r="F2463">
        <v>1772</v>
      </c>
      <c r="G2463">
        <v>2338</v>
      </c>
      <c r="H2463">
        <v>73</v>
      </c>
      <c r="J2463" t="s">
        <v>3711</v>
      </c>
      <c r="O2463" t="s">
        <v>74</v>
      </c>
      <c r="R2463" t="s">
        <v>2452</v>
      </c>
      <c r="T2463" t="s">
        <v>89</v>
      </c>
      <c r="U2463" t="s">
        <v>2453</v>
      </c>
      <c r="V2463" t="s">
        <v>1045</v>
      </c>
      <c r="W2463" t="s">
        <v>92</v>
      </c>
      <c r="Y2463" t="s">
        <v>38</v>
      </c>
      <c r="AA2463" t="s">
        <v>38</v>
      </c>
      <c r="AB2463" t="s">
        <v>38</v>
      </c>
      <c r="AC2463" t="s">
        <v>38</v>
      </c>
      <c r="AD2463" t="s">
        <v>48</v>
      </c>
      <c r="AG2463" t="str">
        <f>IF(AD2463="United States", IFERROR(INDEX(Sheet2!$C:$C, MATCH(AE2463&amp;AF2463, Sheet2!$E:$E, 0)) &amp; ", " &amp; INDEX(Sheet2!$D:$D, MATCH(AE2463&amp;AF2463, Sheet2!$E:$E, 0)), ""), "-")</f>
        <v/>
      </c>
    </row>
    <row r="2464" spans="1:33" x14ac:dyDescent="0.25">
      <c r="A2464" t="s">
        <v>3709</v>
      </c>
      <c r="D2464" t="s">
        <v>114</v>
      </c>
      <c r="E2464" t="s">
        <v>38</v>
      </c>
      <c r="F2464">
        <v>1763</v>
      </c>
      <c r="G2464">
        <v>2339</v>
      </c>
      <c r="H2464">
        <v>73</v>
      </c>
      <c r="J2464" t="s">
        <v>3711</v>
      </c>
      <c r="O2464" t="s">
        <v>57</v>
      </c>
      <c r="R2464" t="s">
        <v>2452</v>
      </c>
      <c r="T2464" t="s">
        <v>89</v>
      </c>
      <c r="U2464" t="s">
        <v>2453</v>
      </c>
      <c r="V2464" t="s">
        <v>1045</v>
      </c>
      <c r="W2464" t="s">
        <v>92</v>
      </c>
      <c r="Y2464" t="s">
        <v>38</v>
      </c>
      <c r="AA2464" t="s">
        <v>38</v>
      </c>
      <c r="AB2464" t="s">
        <v>38</v>
      </c>
      <c r="AC2464" t="s">
        <v>38</v>
      </c>
      <c r="AD2464" t="s">
        <v>48</v>
      </c>
      <c r="AG2464" t="str">
        <f>IF(AD2464="United States", IFERROR(INDEX(Sheet2!$C:$C, MATCH(AE2464&amp;AF2464, Sheet2!$E:$E, 0)) &amp; ", " &amp; INDEX(Sheet2!$D:$D, MATCH(AE2464&amp;AF2464, Sheet2!$E:$E, 0)), ""), "-")</f>
        <v/>
      </c>
    </row>
    <row r="2465" spans="1:33" x14ac:dyDescent="0.25">
      <c r="A2465" t="s">
        <v>3709</v>
      </c>
      <c r="D2465" t="s">
        <v>621</v>
      </c>
      <c r="E2465" t="s">
        <v>36</v>
      </c>
      <c r="F2465">
        <v>1752</v>
      </c>
      <c r="G2465">
        <v>2308</v>
      </c>
      <c r="H2465">
        <v>72</v>
      </c>
      <c r="J2465" t="s">
        <v>3711</v>
      </c>
      <c r="O2465" t="s">
        <v>41</v>
      </c>
      <c r="R2465" t="s">
        <v>2452</v>
      </c>
      <c r="T2465" t="s">
        <v>89</v>
      </c>
      <c r="U2465" t="s">
        <v>2453</v>
      </c>
      <c r="V2465" t="s">
        <v>1045</v>
      </c>
      <c r="W2465" t="s">
        <v>92</v>
      </c>
      <c r="Y2465" t="s">
        <v>38</v>
      </c>
      <c r="AA2465" t="s">
        <v>38</v>
      </c>
      <c r="AB2465" t="s">
        <v>38</v>
      </c>
      <c r="AC2465" t="s">
        <v>38</v>
      </c>
      <c r="AD2465" t="s">
        <v>48</v>
      </c>
      <c r="AG2465" t="str">
        <f>IF(AD2465="United States", IFERROR(INDEX(Sheet2!$C:$C, MATCH(AE2465&amp;AF2465, Sheet2!$E:$E, 0)) &amp; ", " &amp; INDEX(Sheet2!$D:$D, MATCH(AE2465&amp;AF2465, Sheet2!$E:$E, 0)), ""), "-")</f>
        <v/>
      </c>
    </row>
    <row r="2466" spans="1:33" x14ac:dyDescent="0.25">
      <c r="A2466" t="s">
        <v>3709</v>
      </c>
      <c r="D2466" t="s">
        <v>50</v>
      </c>
      <c r="E2466" t="s">
        <v>38</v>
      </c>
      <c r="F2466">
        <v>1751</v>
      </c>
      <c r="G2466">
        <v>2341</v>
      </c>
      <c r="H2466">
        <v>73</v>
      </c>
      <c r="J2466" t="s">
        <v>3711</v>
      </c>
      <c r="O2466" t="s">
        <v>57</v>
      </c>
      <c r="R2466" t="s">
        <v>2452</v>
      </c>
      <c r="T2466" t="s">
        <v>89</v>
      </c>
      <c r="U2466" t="s">
        <v>2453</v>
      </c>
      <c r="V2466" t="s">
        <v>1045</v>
      </c>
      <c r="W2466" t="s">
        <v>92</v>
      </c>
      <c r="Y2466" t="s">
        <v>38</v>
      </c>
      <c r="AA2466" t="s">
        <v>38</v>
      </c>
      <c r="AB2466" t="s">
        <v>38</v>
      </c>
      <c r="AC2466" t="s">
        <v>38</v>
      </c>
      <c r="AD2466" t="s">
        <v>48</v>
      </c>
      <c r="AG2466" t="str">
        <f>IF(AD2466="United States", IFERROR(INDEX(Sheet2!$C:$C, MATCH(AE2466&amp;AF2466, Sheet2!$E:$E, 0)) &amp; ", " &amp; INDEX(Sheet2!$D:$D, MATCH(AE2466&amp;AF2466, Sheet2!$E:$E, 0)), ""), "-")</f>
        <v/>
      </c>
    </row>
    <row r="2467" spans="1:33" x14ac:dyDescent="0.25">
      <c r="A2467" t="s">
        <v>3709</v>
      </c>
      <c r="D2467" t="s">
        <v>652</v>
      </c>
      <c r="E2467" t="s">
        <v>38</v>
      </c>
      <c r="F2467">
        <v>1776</v>
      </c>
      <c r="G2467">
        <v>2342</v>
      </c>
      <c r="H2467">
        <v>73</v>
      </c>
      <c r="J2467" t="s">
        <v>3711</v>
      </c>
      <c r="O2467" t="s">
        <v>54</v>
      </c>
      <c r="R2467" t="s">
        <v>2452</v>
      </c>
      <c r="T2467" t="s">
        <v>89</v>
      </c>
      <c r="U2467" t="s">
        <v>2453</v>
      </c>
      <c r="V2467" t="s">
        <v>1045</v>
      </c>
      <c r="W2467" t="s">
        <v>92</v>
      </c>
      <c r="Y2467" t="s">
        <v>38</v>
      </c>
      <c r="AA2467" t="s">
        <v>38</v>
      </c>
      <c r="AB2467" t="s">
        <v>38</v>
      </c>
      <c r="AC2467" t="s">
        <v>38</v>
      </c>
      <c r="AD2467" t="s">
        <v>48</v>
      </c>
      <c r="AG2467" t="str">
        <f>IF(AD2467="United States", IFERROR(INDEX(Sheet2!$C:$C, MATCH(AE2467&amp;AF2467, Sheet2!$E:$E, 0)) &amp; ", " &amp; INDEX(Sheet2!$D:$D, MATCH(AE2467&amp;AF2467, Sheet2!$E:$E, 0)), ""), "-")</f>
        <v/>
      </c>
    </row>
    <row r="2468" spans="1:33" x14ac:dyDescent="0.25">
      <c r="A2468" t="s">
        <v>3709</v>
      </c>
      <c r="D2468" t="s">
        <v>222</v>
      </c>
      <c r="E2468" t="s">
        <v>38</v>
      </c>
      <c r="F2468">
        <v>1758</v>
      </c>
      <c r="G2468">
        <v>2343</v>
      </c>
      <c r="H2468">
        <v>73</v>
      </c>
      <c r="J2468" t="s">
        <v>3711</v>
      </c>
      <c r="O2468" t="s">
        <v>57</v>
      </c>
      <c r="R2468" t="s">
        <v>2452</v>
      </c>
      <c r="T2468" t="s">
        <v>89</v>
      </c>
      <c r="U2468" t="s">
        <v>2453</v>
      </c>
      <c r="V2468" t="s">
        <v>1045</v>
      </c>
      <c r="W2468" t="s">
        <v>92</v>
      </c>
      <c r="Y2468" t="s">
        <v>38</v>
      </c>
      <c r="AA2468" t="s">
        <v>38</v>
      </c>
      <c r="AB2468" t="s">
        <v>38</v>
      </c>
      <c r="AC2468" t="s">
        <v>38</v>
      </c>
      <c r="AD2468" t="s">
        <v>48</v>
      </c>
      <c r="AG2468" t="str">
        <f>IF(AD2468="United States", IFERROR(INDEX(Sheet2!$C:$C, MATCH(AE2468&amp;AF2468, Sheet2!$E:$E, 0)) &amp; ", " &amp; INDEX(Sheet2!$D:$D, MATCH(AE2468&amp;AF2468, Sheet2!$E:$E, 0)), ""), "-")</f>
        <v/>
      </c>
    </row>
    <row r="2469" spans="1:33" x14ac:dyDescent="0.25">
      <c r="A2469" t="s">
        <v>3709</v>
      </c>
      <c r="D2469" t="s">
        <v>1214</v>
      </c>
      <c r="E2469" t="s">
        <v>38</v>
      </c>
      <c r="F2469">
        <v>1757</v>
      </c>
      <c r="G2469">
        <v>2344</v>
      </c>
      <c r="H2469">
        <v>73</v>
      </c>
      <c r="J2469" t="s">
        <v>3711</v>
      </c>
      <c r="O2469" t="s">
        <v>57</v>
      </c>
      <c r="R2469" t="s">
        <v>2452</v>
      </c>
      <c r="T2469" t="s">
        <v>89</v>
      </c>
      <c r="U2469" t="s">
        <v>2453</v>
      </c>
      <c r="V2469" t="s">
        <v>1045</v>
      </c>
      <c r="W2469" t="s">
        <v>92</v>
      </c>
      <c r="Y2469" t="s">
        <v>38</v>
      </c>
      <c r="AA2469" t="s">
        <v>38</v>
      </c>
      <c r="AB2469" t="s">
        <v>38</v>
      </c>
      <c r="AC2469" t="s">
        <v>38</v>
      </c>
      <c r="AD2469" t="s">
        <v>48</v>
      </c>
      <c r="AG2469" t="str">
        <f>IF(AD2469="United States", IFERROR(INDEX(Sheet2!$C:$C, MATCH(AE2469&amp;AF2469, Sheet2!$E:$E, 0)) &amp; ", " &amp; INDEX(Sheet2!$D:$D, MATCH(AE2469&amp;AF2469, Sheet2!$E:$E, 0)), ""), "-")</f>
        <v/>
      </c>
    </row>
    <row r="2470" spans="1:33" x14ac:dyDescent="0.25">
      <c r="A2470" t="s">
        <v>3709</v>
      </c>
      <c r="D2470" t="s">
        <v>3715</v>
      </c>
      <c r="E2470" t="s">
        <v>38</v>
      </c>
      <c r="F2470">
        <v>1772</v>
      </c>
      <c r="G2470">
        <v>2345</v>
      </c>
      <c r="H2470">
        <v>73</v>
      </c>
      <c r="J2470" t="s">
        <v>3711</v>
      </c>
      <c r="O2470" t="s">
        <v>183</v>
      </c>
      <c r="R2470" t="s">
        <v>2452</v>
      </c>
      <c r="T2470" t="s">
        <v>89</v>
      </c>
      <c r="U2470" t="s">
        <v>2453</v>
      </c>
      <c r="V2470" t="s">
        <v>1045</v>
      </c>
      <c r="W2470" t="s">
        <v>92</v>
      </c>
      <c r="Y2470" t="s">
        <v>38</v>
      </c>
      <c r="AA2470" t="s">
        <v>38</v>
      </c>
      <c r="AB2470" t="s">
        <v>38</v>
      </c>
      <c r="AC2470" t="s">
        <v>38</v>
      </c>
      <c r="AD2470" t="s">
        <v>48</v>
      </c>
      <c r="AG2470" t="str">
        <f>IF(AD2470="United States", IFERROR(INDEX(Sheet2!$C:$C, MATCH(AE2470&amp;AF2470, Sheet2!$E:$E, 0)) &amp; ", " &amp; INDEX(Sheet2!$D:$D, MATCH(AE2470&amp;AF2470, Sheet2!$E:$E, 0)), ""), "-")</f>
        <v/>
      </c>
    </row>
    <row r="2471" spans="1:33" x14ac:dyDescent="0.25">
      <c r="A2471" t="s">
        <v>3709</v>
      </c>
      <c r="D2471" t="s">
        <v>626</v>
      </c>
      <c r="E2471" t="s">
        <v>38</v>
      </c>
      <c r="F2471">
        <v>1777</v>
      </c>
      <c r="G2471">
        <v>2346</v>
      </c>
      <c r="H2471">
        <v>73</v>
      </c>
      <c r="J2471" t="s">
        <v>3711</v>
      </c>
      <c r="O2471" t="s">
        <v>54</v>
      </c>
      <c r="R2471" t="s">
        <v>2452</v>
      </c>
      <c r="T2471" t="s">
        <v>89</v>
      </c>
      <c r="U2471" t="s">
        <v>2453</v>
      </c>
      <c r="V2471" t="s">
        <v>1045</v>
      </c>
      <c r="W2471" t="s">
        <v>92</v>
      </c>
      <c r="Y2471" t="s">
        <v>38</v>
      </c>
      <c r="AA2471" t="s">
        <v>38</v>
      </c>
      <c r="AB2471" t="s">
        <v>38</v>
      </c>
      <c r="AC2471" t="s">
        <v>38</v>
      </c>
      <c r="AD2471" t="s">
        <v>48</v>
      </c>
      <c r="AG2471" t="str">
        <f>IF(AD2471="United States", IFERROR(INDEX(Sheet2!$C:$C, MATCH(AE2471&amp;AF2471, Sheet2!$E:$E, 0)) &amp; ", " &amp; INDEX(Sheet2!$D:$D, MATCH(AE2471&amp;AF2471, Sheet2!$E:$E, 0)), ""), "-")</f>
        <v/>
      </c>
    </row>
    <row r="2472" spans="1:33" x14ac:dyDescent="0.25">
      <c r="A2472" t="s">
        <v>3709</v>
      </c>
      <c r="D2472" t="s">
        <v>1168</v>
      </c>
      <c r="E2472" t="s">
        <v>633</v>
      </c>
      <c r="F2472">
        <v>1743</v>
      </c>
      <c r="G2472">
        <v>2347</v>
      </c>
      <c r="H2472">
        <v>73</v>
      </c>
      <c r="J2472" t="s">
        <v>3711</v>
      </c>
      <c r="O2472" t="s">
        <v>57</v>
      </c>
      <c r="R2472" t="s">
        <v>2452</v>
      </c>
      <c r="T2472" t="s">
        <v>89</v>
      </c>
      <c r="U2472" t="s">
        <v>2453</v>
      </c>
      <c r="V2472" t="s">
        <v>1045</v>
      </c>
      <c r="W2472" t="s">
        <v>92</v>
      </c>
      <c r="Y2472" t="s">
        <v>38</v>
      </c>
      <c r="AA2472" t="s">
        <v>38</v>
      </c>
      <c r="AB2472" t="s">
        <v>38</v>
      </c>
      <c r="AC2472" t="s">
        <v>38</v>
      </c>
      <c r="AD2472" t="s">
        <v>48</v>
      </c>
      <c r="AG2472" t="str">
        <f>IF(AD2472="United States", IFERROR(INDEX(Sheet2!$C:$C, MATCH(AE2472&amp;AF2472, Sheet2!$E:$E, 0)) &amp; ", " &amp; INDEX(Sheet2!$D:$D, MATCH(AE2472&amp;AF2472, Sheet2!$E:$E, 0)), ""), "-")</f>
        <v/>
      </c>
    </row>
    <row r="2473" spans="1:33" x14ac:dyDescent="0.25">
      <c r="A2473" t="s">
        <v>3709</v>
      </c>
      <c r="D2473" t="s">
        <v>285</v>
      </c>
      <c r="E2473" t="s">
        <v>38</v>
      </c>
      <c r="F2473">
        <v>1777</v>
      </c>
      <c r="G2473">
        <v>2348</v>
      </c>
      <c r="H2473">
        <v>73</v>
      </c>
      <c r="J2473" t="s">
        <v>3711</v>
      </c>
      <c r="O2473" t="s">
        <v>74</v>
      </c>
      <c r="R2473" t="s">
        <v>2452</v>
      </c>
      <c r="T2473" t="s">
        <v>89</v>
      </c>
      <c r="U2473" t="s">
        <v>2453</v>
      </c>
      <c r="V2473" t="s">
        <v>1045</v>
      </c>
      <c r="W2473" t="s">
        <v>92</v>
      </c>
      <c r="Y2473" t="s">
        <v>38</v>
      </c>
      <c r="AA2473" t="s">
        <v>38</v>
      </c>
      <c r="AB2473" t="s">
        <v>38</v>
      </c>
      <c r="AC2473" t="s">
        <v>38</v>
      </c>
      <c r="AD2473" t="s">
        <v>48</v>
      </c>
      <c r="AG2473" t="str">
        <f>IF(AD2473="United States", IFERROR(INDEX(Sheet2!$C:$C, MATCH(AE2473&amp;AF2473, Sheet2!$E:$E, 0)) &amp; ", " &amp; INDEX(Sheet2!$D:$D, MATCH(AE2473&amp;AF2473, Sheet2!$E:$E, 0)), ""), "-")</f>
        <v/>
      </c>
    </row>
    <row r="2474" spans="1:33" x14ac:dyDescent="0.25">
      <c r="A2474" t="s">
        <v>3709</v>
      </c>
      <c r="D2474" t="s">
        <v>245</v>
      </c>
      <c r="E2474" t="s">
        <v>38</v>
      </c>
      <c r="F2474">
        <v>1747</v>
      </c>
      <c r="G2474">
        <v>2349</v>
      </c>
      <c r="H2474">
        <v>73</v>
      </c>
      <c r="J2474" t="s">
        <v>3711</v>
      </c>
      <c r="O2474" t="s">
        <v>57</v>
      </c>
      <c r="R2474" t="s">
        <v>2452</v>
      </c>
      <c r="T2474" t="s">
        <v>89</v>
      </c>
      <c r="U2474" t="s">
        <v>2453</v>
      </c>
      <c r="V2474" t="s">
        <v>1045</v>
      </c>
      <c r="W2474" t="s">
        <v>92</v>
      </c>
      <c r="Y2474" t="s">
        <v>38</v>
      </c>
      <c r="AA2474" t="s">
        <v>38</v>
      </c>
      <c r="AB2474" t="s">
        <v>38</v>
      </c>
      <c r="AC2474" t="s">
        <v>38</v>
      </c>
      <c r="AD2474" t="s">
        <v>48</v>
      </c>
      <c r="AG2474" t="str">
        <f>IF(AD2474="United States", IFERROR(INDEX(Sheet2!$C:$C, MATCH(AE2474&amp;AF2474, Sheet2!$E:$E, 0)) &amp; ", " &amp; INDEX(Sheet2!$D:$D, MATCH(AE2474&amp;AF2474, Sheet2!$E:$E, 0)), ""), "-")</f>
        <v/>
      </c>
    </row>
    <row r="2475" spans="1:33" x14ac:dyDescent="0.25">
      <c r="A2475" t="s">
        <v>3709</v>
      </c>
      <c r="D2475" t="s">
        <v>63</v>
      </c>
      <c r="E2475" t="s">
        <v>38</v>
      </c>
      <c r="F2475">
        <v>1771</v>
      </c>
      <c r="G2475">
        <v>2330</v>
      </c>
      <c r="H2475">
        <v>73</v>
      </c>
      <c r="J2475" t="s">
        <v>3711</v>
      </c>
      <c r="O2475" t="s">
        <v>54</v>
      </c>
      <c r="R2475" t="s">
        <v>2452</v>
      </c>
      <c r="T2475" t="s">
        <v>89</v>
      </c>
      <c r="U2475" t="s">
        <v>2453</v>
      </c>
      <c r="V2475" t="s">
        <v>1045</v>
      </c>
      <c r="W2475" t="s">
        <v>92</v>
      </c>
      <c r="Y2475" t="s">
        <v>38</v>
      </c>
      <c r="AA2475" t="s">
        <v>38</v>
      </c>
      <c r="AB2475" t="s">
        <v>38</v>
      </c>
      <c r="AC2475" t="s">
        <v>38</v>
      </c>
      <c r="AD2475" t="s">
        <v>48</v>
      </c>
      <c r="AG2475" t="str">
        <f>IF(AD2475="United States", IFERROR(INDEX(Sheet2!$C:$C, MATCH(AE2475&amp;AF2475, Sheet2!$E:$E, 0)) &amp; ", " &amp; INDEX(Sheet2!$D:$D, MATCH(AE2475&amp;AF2475, Sheet2!$E:$E, 0)), ""), "-")</f>
        <v/>
      </c>
    </row>
    <row r="2476" spans="1:33" x14ac:dyDescent="0.25">
      <c r="A2476" t="s">
        <v>3709</v>
      </c>
      <c r="D2476" t="s">
        <v>445</v>
      </c>
      <c r="E2476" t="s">
        <v>38</v>
      </c>
      <c r="F2476">
        <v>1728</v>
      </c>
      <c r="G2476">
        <v>2340</v>
      </c>
      <c r="H2476">
        <v>73</v>
      </c>
      <c r="J2476" t="s">
        <v>3711</v>
      </c>
      <c r="O2476" t="s">
        <v>57</v>
      </c>
      <c r="R2476" t="s">
        <v>2452</v>
      </c>
      <c r="T2476" t="s">
        <v>89</v>
      </c>
      <c r="U2476" t="s">
        <v>2453</v>
      </c>
      <c r="V2476" t="s">
        <v>1045</v>
      </c>
      <c r="W2476" t="s">
        <v>92</v>
      </c>
      <c r="Y2476" t="s">
        <v>38</v>
      </c>
      <c r="AA2476" t="s">
        <v>38</v>
      </c>
      <c r="AB2476" t="s">
        <v>38</v>
      </c>
      <c r="AC2476" t="s">
        <v>38</v>
      </c>
      <c r="AD2476" t="s">
        <v>48</v>
      </c>
      <c r="AG2476" t="str">
        <f>IF(AD2476="United States", IFERROR(INDEX(Sheet2!$C:$C, MATCH(AE2476&amp;AF2476, Sheet2!$E:$E, 0)) &amp; ", " &amp; INDEX(Sheet2!$D:$D, MATCH(AE2476&amp;AF2476, Sheet2!$E:$E, 0)), ""), "-")</f>
        <v/>
      </c>
    </row>
    <row r="2477" spans="1:33" x14ac:dyDescent="0.25">
      <c r="A2477" t="s">
        <v>3709</v>
      </c>
      <c r="D2477" t="s">
        <v>50</v>
      </c>
      <c r="E2477" t="s">
        <v>38</v>
      </c>
      <c r="F2477">
        <v>1756</v>
      </c>
      <c r="G2477">
        <v>2329</v>
      </c>
      <c r="H2477">
        <v>73</v>
      </c>
      <c r="J2477" t="s">
        <v>3711</v>
      </c>
      <c r="O2477" t="s">
        <v>57</v>
      </c>
      <c r="R2477" t="s">
        <v>2452</v>
      </c>
      <c r="T2477" t="s">
        <v>89</v>
      </c>
      <c r="U2477" t="s">
        <v>2453</v>
      </c>
      <c r="V2477" t="s">
        <v>1045</v>
      </c>
      <c r="W2477" t="s">
        <v>92</v>
      </c>
      <c r="Y2477" t="s">
        <v>38</v>
      </c>
      <c r="AA2477" t="s">
        <v>38</v>
      </c>
      <c r="AB2477" t="s">
        <v>38</v>
      </c>
      <c r="AC2477" t="s">
        <v>38</v>
      </c>
      <c r="AD2477" t="s">
        <v>48</v>
      </c>
      <c r="AG2477" t="str">
        <f>IF(AD2477="United States", IFERROR(INDEX(Sheet2!$C:$C, MATCH(AE2477&amp;AF2477, Sheet2!$E:$E, 0)) &amp; ", " &amp; INDEX(Sheet2!$D:$D, MATCH(AE2477&amp;AF2477, Sheet2!$E:$E, 0)), ""), "-")</f>
        <v/>
      </c>
    </row>
    <row r="2478" spans="1:33" x14ac:dyDescent="0.25">
      <c r="A2478" t="s">
        <v>3709</v>
      </c>
      <c r="D2478" t="s">
        <v>2124</v>
      </c>
      <c r="E2478" t="s">
        <v>38</v>
      </c>
      <c r="F2478">
        <v>1765</v>
      </c>
      <c r="G2478">
        <v>2327</v>
      </c>
      <c r="H2478">
        <v>73</v>
      </c>
      <c r="J2478" t="s">
        <v>3711</v>
      </c>
      <c r="O2478" t="s">
        <v>57</v>
      </c>
      <c r="R2478" t="s">
        <v>2452</v>
      </c>
      <c r="T2478" t="s">
        <v>89</v>
      </c>
      <c r="U2478" t="s">
        <v>2453</v>
      </c>
      <c r="V2478" t="s">
        <v>1045</v>
      </c>
      <c r="W2478" t="s">
        <v>92</v>
      </c>
      <c r="Y2478" t="s">
        <v>38</v>
      </c>
      <c r="AA2478" t="s">
        <v>38</v>
      </c>
      <c r="AB2478" t="s">
        <v>38</v>
      </c>
      <c r="AC2478" t="s">
        <v>38</v>
      </c>
      <c r="AD2478" t="s">
        <v>48</v>
      </c>
      <c r="AG2478" t="str">
        <f>IF(AD2478="United States", IFERROR(INDEX(Sheet2!$C:$C, MATCH(AE2478&amp;AF2478, Sheet2!$E:$E, 0)) &amp; ", " &amp; INDEX(Sheet2!$D:$D, MATCH(AE2478&amp;AF2478, Sheet2!$E:$E, 0)), ""), "-")</f>
        <v/>
      </c>
    </row>
    <row r="2479" spans="1:33" x14ac:dyDescent="0.25">
      <c r="A2479" t="s">
        <v>3709</v>
      </c>
      <c r="D2479" t="s">
        <v>3716</v>
      </c>
      <c r="E2479" t="s">
        <v>38</v>
      </c>
      <c r="F2479">
        <v>1755</v>
      </c>
      <c r="G2479">
        <v>2309</v>
      </c>
      <c r="H2479">
        <v>72</v>
      </c>
      <c r="J2479" t="s">
        <v>3711</v>
      </c>
      <c r="O2479" t="s">
        <v>41</v>
      </c>
      <c r="R2479" t="s">
        <v>2452</v>
      </c>
      <c r="T2479" t="s">
        <v>89</v>
      </c>
      <c r="U2479" t="s">
        <v>2453</v>
      </c>
      <c r="V2479" t="s">
        <v>1045</v>
      </c>
      <c r="W2479" t="s">
        <v>92</v>
      </c>
      <c r="Y2479" t="s">
        <v>38</v>
      </c>
      <c r="AA2479" t="s">
        <v>38</v>
      </c>
      <c r="AB2479" t="s">
        <v>38</v>
      </c>
      <c r="AC2479" t="s">
        <v>38</v>
      </c>
      <c r="AD2479" t="s">
        <v>48</v>
      </c>
      <c r="AG2479" t="str">
        <f>IF(AD2479="United States", IFERROR(INDEX(Sheet2!$C:$C, MATCH(AE2479&amp;AF2479, Sheet2!$E:$E, 0)) &amp; ", " &amp; INDEX(Sheet2!$D:$D, MATCH(AE2479&amp;AF2479, Sheet2!$E:$E, 0)), ""), "-")</f>
        <v/>
      </c>
    </row>
    <row r="2480" spans="1:33" x14ac:dyDescent="0.25">
      <c r="A2480" t="s">
        <v>3709</v>
      </c>
      <c r="D2480" t="s">
        <v>150</v>
      </c>
      <c r="E2480" t="s">
        <v>2217</v>
      </c>
      <c r="F2480">
        <v>1758</v>
      </c>
      <c r="G2480">
        <v>2310</v>
      </c>
      <c r="H2480">
        <v>72</v>
      </c>
      <c r="J2480" t="s">
        <v>3711</v>
      </c>
      <c r="O2480" t="s">
        <v>41</v>
      </c>
      <c r="R2480" t="s">
        <v>2452</v>
      </c>
      <c r="T2480" t="s">
        <v>89</v>
      </c>
      <c r="U2480" t="s">
        <v>2453</v>
      </c>
      <c r="V2480" t="s">
        <v>1045</v>
      </c>
      <c r="W2480" t="s">
        <v>92</v>
      </c>
      <c r="Y2480" t="s">
        <v>38</v>
      </c>
      <c r="AA2480" t="s">
        <v>38</v>
      </c>
      <c r="AB2480" t="s">
        <v>38</v>
      </c>
      <c r="AC2480" t="s">
        <v>38</v>
      </c>
      <c r="AD2480" t="s">
        <v>48</v>
      </c>
      <c r="AG2480" t="str">
        <f>IF(AD2480="United States", IFERROR(INDEX(Sheet2!$C:$C, MATCH(AE2480&amp;AF2480, Sheet2!$E:$E, 0)) &amp; ", " &amp; INDEX(Sheet2!$D:$D, MATCH(AE2480&amp;AF2480, Sheet2!$E:$E, 0)), ""), "-")</f>
        <v/>
      </c>
    </row>
    <row r="2481" spans="1:33" x14ac:dyDescent="0.25">
      <c r="A2481" t="s">
        <v>3709</v>
      </c>
      <c r="D2481" t="s">
        <v>357</v>
      </c>
      <c r="E2481" t="s">
        <v>3717</v>
      </c>
      <c r="F2481">
        <v>1733</v>
      </c>
      <c r="G2481">
        <v>2311</v>
      </c>
      <c r="H2481">
        <v>72</v>
      </c>
      <c r="J2481" t="s">
        <v>3711</v>
      </c>
      <c r="O2481" t="s">
        <v>41</v>
      </c>
      <c r="R2481" t="s">
        <v>2452</v>
      </c>
      <c r="T2481" t="s">
        <v>89</v>
      </c>
      <c r="U2481" t="s">
        <v>2453</v>
      </c>
      <c r="V2481" t="s">
        <v>1045</v>
      </c>
      <c r="W2481" t="s">
        <v>92</v>
      </c>
      <c r="Y2481" t="s">
        <v>38</v>
      </c>
      <c r="AA2481" t="s">
        <v>38</v>
      </c>
      <c r="AB2481" t="s">
        <v>38</v>
      </c>
      <c r="AC2481" t="s">
        <v>38</v>
      </c>
      <c r="AD2481" t="s">
        <v>48</v>
      </c>
      <c r="AG2481" t="str">
        <f>IF(AD2481="United States", IFERROR(INDEX(Sheet2!$C:$C, MATCH(AE2481&amp;AF2481, Sheet2!$E:$E, 0)) &amp; ", " &amp; INDEX(Sheet2!$D:$D, MATCH(AE2481&amp;AF2481, Sheet2!$E:$E, 0)), ""), "-")</f>
        <v/>
      </c>
    </row>
    <row r="2482" spans="1:33" x14ac:dyDescent="0.25">
      <c r="A2482" t="s">
        <v>3709</v>
      </c>
      <c r="D2482" t="s">
        <v>210</v>
      </c>
      <c r="E2482" t="s">
        <v>3718</v>
      </c>
      <c r="F2482">
        <v>1733</v>
      </c>
      <c r="G2482">
        <v>2351</v>
      </c>
      <c r="H2482">
        <v>73</v>
      </c>
      <c r="J2482" t="s">
        <v>3711</v>
      </c>
      <c r="O2482" t="s">
        <v>41</v>
      </c>
      <c r="R2482" t="s">
        <v>2452</v>
      </c>
      <c r="T2482" t="s">
        <v>89</v>
      </c>
      <c r="U2482" t="s">
        <v>2453</v>
      </c>
      <c r="V2482" t="s">
        <v>1045</v>
      </c>
      <c r="W2482" t="s">
        <v>92</v>
      </c>
      <c r="Y2482" t="s">
        <v>38</v>
      </c>
      <c r="AA2482" t="s">
        <v>38</v>
      </c>
      <c r="AB2482" t="s">
        <v>38</v>
      </c>
      <c r="AC2482" t="s">
        <v>38</v>
      </c>
      <c r="AD2482" t="s">
        <v>48</v>
      </c>
      <c r="AG2482" t="str">
        <f>IF(AD2482="United States", IFERROR(INDEX(Sheet2!$C:$C, MATCH(AE2482&amp;AF2482, Sheet2!$E:$E, 0)) &amp; ", " &amp; INDEX(Sheet2!$D:$D, MATCH(AE2482&amp;AF2482, Sheet2!$E:$E, 0)), ""), "-")</f>
        <v/>
      </c>
    </row>
    <row r="2483" spans="1:33" x14ac:dyDescent="0.25">
      <c r="A2483" t="s">
        <v>3709</v>
      </c>
      <c r="D2483" t="s">
        <v>3719</v>
      </c>
      <c r="E2483" t="s">
        <v>38</v>
      </c>
      <c r="F2483">
        <v>1735</v>
      </c>
      <c r="G2483">
        <v>2312</v>
      </c>
      <c r="H2483">
        <v>72</v>
      </c>
      <c r="J2483" t="s">
        <v>3711</v>
      </c>
      <c r="O2483" t="s">
        <v>41</v>
      </c>
      <c r="R2483" t="s">
        <v>2452</v>
      </c>
      <c r="T2483" t="s">
        <v>89</v>
      </c>
      <c r="U2483" t="s">
        <v>2453</v>
      </c>
      <c r="V2483" t="s">
        <v>1045</v>
      </c>
      <c r="W2483" t="s">
        <v>92</v>
      </c>
      <c r="Y2483" t="s">
        <v>38</v>
      </c>
      <c r="AA2483" t="s">
        <v>38</v>
      </c>
      <c r="AB2483" t="s">
        <v>38</v>
      </c>
      <c r="AC2483" t="s">
        <v>38</v>
      </c>
      <c r="AD2483" t="s">
        <v>48</v>
      </c>
      <c r="AG2483" t="str">
        <f>IF(AD2483="United States", IFERROR(INDEX(Sheet2!$C:$C, MATCH(AE2483&amp;AF2483, Sheet2!$E:$E, 0)) &amp; ", " &amp; INDEX(Sheet2!$D:$D, MATCH(AE2483&amp;AF2483, Sheet2!$E:$E, 0)), ""), "-")</f>
        <v/>
      </c>
    </row>
    <row r="2484" spans="1:33" x14ac:dyDescent="0.25">
      <c r="A2484" t="s">
        <v>3709</v>
      </c>
      <c r="D2484" t="s">
        <v>210</v>
      </c>
      <c r="E2484" t="s">
        <v>3720</v>
      </c>
      <c r="F2484">
        <v>1759</v>
      </c>
      <c r="G2484">
        <v>2313</v>
      </c>
      <c r="H2484">
        <v>72</v>
      </c>
      <c r="J2484" t="s">
        <v>3711</v>
      </c>
      <c r="O2484" t="s">
        <v>41</v>
      </c>
      <c r="R2484" t="s">
        <v>2452</v>
      </c>
      <c r="T2484" t="s">
        <v>89</v>
      </c>
      <c r="U2484" t="s">
        <v>2453</v>
      </c>
      <c r="V2484" t="s">
        <v>1045</v>
      </c>
      <c r="W2484" t="s">
        <v>92</v>
      </c>
      <c r="Y2484" t="s">
        <v>38</v>
      </c>
      <c r="AA2484" t="s">
        <v>38</v>
      </c>
      <c r="AB2484" t="s">
        <v>38</v>
      </c>
      <c r="AC2484" t="s">
        <v>38</v>
      </c>
      <c r="AD2484" t="s">
        <v>48</v>
      </c>
      <c r="AG2484" t="str">
        <f>IF(AD2484="United States", IFERROR(INDEX(Sheet2!$C:$C, MATCH(AE2484&amp;AF2484, Sheet2!$E:$E, 0)) &amp; ", " &amp; INDEX(Sheet2!$D:$D, MATCH(AE2484&amp;AF2484, Sheet2!$E:$E, 0)), ""), "-")</f>
        <v/>
      </c>
    </row>
    <row r="2485" spans="1:33" x14ac:dyDescent="0.25">
      <c r="A2485" t="s">
        <v>3709</v>
      </c>
      <c r="D2485" t="s">
        <v>230</v>
      </c>
      <c r="E2485" t="s">
        <v>38</v>
      </c>
      <c r="F2485">
        <v>1749</v>
      </c>
      <c r="G2485">
        <v>2314</v>
      </c>
      <c r="H2485">
        <v>72</v>
      </c>
      <c r="J2485" t="s">
        <v>3711</v>
      </c>
      <c r="O2485" t="s">
        <v>41</v>
      </c>
      <c r="R2485" t="s">
        <v>2452</v>
      </c>
      <c r="T2485" t="s">
        <v>89</v>
      </c>
      <c r="U2485" t="s">
        <v>2453</v>
      </c>
      <c r="V2485" t="s">
        <v>1045</v>
      </c>
      <c r="W2485" t="s">
        <v>92</v>
      </c>
      <c r="Y2485" t="s">
        <v>38</v>
      </c>
      <c r="AA2485" t="s">
        <v>38</v>
      </c>
      <c r="AB2485" t="s">
        <v>38</v>
      </c>
      <c r="AC2485" t="s">
        <v>38</v>
      </c>
      <c r="AD2485" t="s">
        <v>48</v>
      </c>
      <c r="AG2485" t="str">
        <f>IF(AD2485="United States", IFERROR(INDEX(Sheet2!$C:$C, MATCH(AE2485&amp;AF2485, Sheet2!$E:$E, 0)) &amp; ", " &amp; INDEX(Sheet2!$D:$D, MATCH(AE2485&amp;AF2485, Sheet2!$E:$E, 0)), ""), "-")</f>
        <v/>
      </c>
    </row>
    <row r="2486" spans="1:33" x14ac:dyDescent="0.25">
      <c r="A2486" t="s">
        <v>3709</v>
      </c>
      <c r="D2486" t="s">
        <v>3721</v>
      </c>
      <c r="E2486" t="s">
        <v>1623</v>
      </c>
      <c r="F2486">
        <v>1762</v>
      </c>
      <c r="G2486">
        <v>2315</v>
      </c>
      <c r="H2486">
        <v>72</v>
      </c>
      <c r="J2486" t="s">
        <v>3711</v>
      </c>
      <c r="O2486" t="s">
        <v>41</v>
      </c>
      <c r="R2486" t="s">
        <v>2452</v>
      </c>
      <c r="T2486" t="s">
        <v>89</v>
      </c>
      <c r="U2486" t="s">
        <v>2453</v>
      </c>
      <c r="V2486" t="s">
        <v>1045</v>
      </c>
      <c r="W2486" t="s">
        <v>92</v>
      </c>
      <c r="Y2486" t="s">
        <v>38</v>
      </c>
      <c r="AA2486" t="s">
        <v>38</v>
      </c>
      <c r="AB2486" t="s">
        <v>38</v>
      </c>
      <c r="AC2486" t="s">
        <v>38</v>
      </c>
      <c r="AD2486" t="s">
        <v>48</v>
      </c>
      <c r="AG2486" t="str">
        <f>IF(AD2486="United States", IFERROR(INDEX(Sheet2!$C:$C, MATCH(AE2486&amp;AF2486, Sheet2!$E:$E, 0)) &amp; ", " &amp; INDEX(Sheet2!$D:$D, MATCH(AE2486&amp;AF2486, Sheet2!$E:$E, 0)), ""), "-")</f>
        <v/>
      </c>
    </row>
    <row r="2487" spans="1:33" x14ac:dyDescent="0.25">
      <c r="A2487" t="s">
        <v>3709</v>
      </c>
      <c r="D2487" t="s">
        <v>235</v>
      </c>
      <c r="E2487" t="s">
        <v>38</v>
      </c>
      <c r="F2487">
        <v>1763</v>
      </c>
      <c r="G2487">
        <v>2328</v>
      </c>
      <c r="H2487">
        <v>73</v>
      </c>
      <c r="J2487" t="s">
        <v>3711</v>
      </c>
      <c r="O2487" t="s">
        <v>57</v>
      </c>
      <c r="R2487" t="s">
        <v>2452</v>
      </c>
      <c r="T2487" t="s">
        <v>89</v>
      </c>
      <c r="U2487" t="s">
        <v>2453</v>
      </c>
      <c r="V2487" t="s">
        <v>1045</v>
      </c>
      <c r="W2487" t="s">
        <v>92</v>
      </c>
      <c r="Y2487" t="s">
        <v>38</v>
      </c>
      <c r="AA2487" t="s">
        <v>38</v>
      </c>
      <c r="AB2487" t="s">
        <v>38</v>
      </c>
      <c r="AC2487" t="s">
        <v>38</v>
      </c>
      <c r="AD2487" t="s">
        <v>48</v>
      </c>
      <c r="AG2487" t="str">
        <f>IF(AD2487="United States", IFERROR(INDEX(Sheet2!$C:$C, MATCH(AE2487&amp;AF2487, Sheet2!$E:$E, 0)) &amp; ", " &amp; INDEX(Sheet2!$D:$D, MATCH(AE2487&amp;AF2487, Sheet2!$E:$E, 0)), ""), "-")</f>
        <v/>
      </c>
    </row>
    <row r="2488" spans="1:33" x14ac:dyDescent="0.25">
      <c r="A2488" t="s">
        <v>3709</v>
      </c>
      <c r="D2488" t="s">
        <v>1174</v>
      </c>
      <c r="E2488" t="s">
        <v>3722</v>
      </c>
      <c r="F2488">
        <v>1752</v>
      </c>
      <c r="G2488">
        <v>2317</v>
      </c>
      <c r="H2488">
        <v>72</v>
      </c>
      <c r="J2488" t="s">
        <v>3711</v>
      </c>
      <c r="O2488" t="s">
        <v>41</v>
      </c>
      <c r="R2488" t="s">
        <v>2452</v>
      </c>
      <c r="T2488" t="s">
        <v>89</v>
      </c>
      <c r="U2488" t="s">
        <v>2453</v>
      </c>
      <c r="V2488" t="s">
        <v>1045</v>
      </c>
      <c r="W2488" t="s">
        <v>92</v>
      </c>
      <c r="Y2488" t="s">
        <v>38</v>
      </c>
      <c r="AA2488" t="s">
        <v>38</v>
      </c>
      <c r="AB2488" t="s">
        <v>38</v>
      </c>
      <c r="AC2488" t="s">
        <v>38</v>
      </c>
      <c r="AD2488" t="s">
        <v>48</v>
      </c>
      <c r="AG2488" t="str">
        <f>IF(AD2488="United States", IFERROR(INDEX(Sheet2!$C:$C, MATCH(AE2488&amp;AF2488, Sheet2!$E:$E, 0)) &amp; ", " &amp; INDEX(Sheet2!$D:$D, MATCH(AE2488&amp;AF2488, Sheet2!$E:$E, 0)), ""), "-")</f>
        <v/>
      </c>
    </row>
    <row r="2489" spans="1:33" x14ac:dyDescent="0.25">
      <c r="A2489" t="s">
        <v>3709</v>
      </c>
      <c r="D2489" t="s">
        <v>63</v>
      </c>
      <c r="E2489" t="s">
        <v>38</v>
      </c>
      <c r="F2489">
        <v>1723</v>
      </c>
      <c r="G2489">
        <v>2316</v>
      </c>
      <c r="H2489">
        <v>72</v>
      </c>
      <c r="J2489" t="s">
        <v>3711</v>
      </c>
      <c r="O2489" t="s">
        <v>41</v>
      </c>
      <c r="R2489" t="s">
        <v>2452</v>
      </c>
      <c r="T2489" t="s">
        <v>89</v>
      </c>
      <c r="U2489" t="s">
        <v>2453</v>
      </c>
      <c r="V2489" t="s">
        <v>1045</v>
      </c>
      <c r="W2489" t="s">
        <v>92</v>
      </c>
      <c r="Y2489" t="s">
        <v>38</v>
      </c>
      <c r="AA2489" t="s">
        <v>38</v>
      </c>
      <c r="AB2489" t="s">
        <v>38</v>
      </c>
      <c r="AC2489" t="s">
        <v>38</v>
      </c>
      <c r="AD2489" t="s">
        <v>48</v>
      </c>
      <c r="AG2489" t="str">
        <f>IF(AD2489="United States", IFERROR(INDEX(Sheet2!$C:$C, MATCH(AE2489&amp;AF2489, Sheet2!$E:$E, 0)) &amp; ", " &amp; INDEX(Sheet2!$D:$D, MATCH(AE2489&amp;AF2489, Sheet2!$E:$E, 0)), ""), "-")</f>
        <v/>
      </c>
    </row>
    <row r="2490" spans="1:33" x14ac:dyDescent="0.25">
      <c r="A2490" t="s">
        <v>3709</v>
      </c>
      <c r="D2490" t="s">
        <v>220</v>
      </c>
      <c r="E2490" t="s">
        <v>38</v>
      </c>
      <c r="F2490">
        <v>1753</v>
      </c>
      <c r="G2490">
        <v>2319</v>
      </c>
      <c r="H2490">
        <v>72</v>
      </c>
      <c r="J2490" t="s">
        <v>3711</v>
      </c>
      <c r="O2490" t="s">
        <v>41</v>
      </c>
      <c r="R2490" t="s">
        <v>2452</v>
      </c>
      <c r="T2490" t="s">
        <v>89</v>
      </c>
      <c r="U2490" t="s">
        <v>2453</v>
      </c>
      <c r="V2490" t="s">
        <v>1045</v>
      </c>
      <c r="W2490" t="s">
        <v>92</v>
      </c>
      <c r="Y2490" t="s">
        <v>38</v>
      </c>
      <c r="AA2490" t="s">
        <v>38</v>
      </c>
      <c r="AB2490" t="s">
        <v>38</v>
      </c>
      <c r="AC2490" t="s">
        <v>38</v>
      </c>
      <c r="AD2490" t="s">
        <v>48</v>
      </c>
      <c r="AG2490" t="str">
        <f>IF(AD2490="United States", IFERROR(INDEX(Sheet2!$C:$C, MATCH(AE2490&amp;AF2490, Sheet2!$E:$E, 0)) &amp; ", " &amp; INDEX(Sheet2!$D:$D, MATCH(AE2490&amp;AF2490, Sheet2!$E:$E, 0)), ""), "-")</f>
        <v/>
      </c>
    </row>
    <row r="2491" spans="1:33" x14ac:dyDescent="0.25">
      <c r="A2491" t="s">
        <v>3709</v>
      </c>
      <c r="D2491" t="s">
        <v>2376</v>
      </c>
      <c r="E2491" t="s">
        <v>38</v>
      </c>
      <c r="F2491">
        <v>1733</v>
      </c>
      <c r="G2491">
        <v>2320</v>
      </c>
      <c r="H2491">
        <v>72</v>
      </c>
      <c r="J2491" t="s">
        <v>3711</v>
      </c>
      <c r="O2491" t="s">
        <v>41</v>
      </c>
      <c r="R2491" t="s">
        <v>2452</v>
      </c>
      <c r="T2491" t="s">
        <v>89</v>
      </c>
      <c r="U2491" t="s">
        <v>2453</v>
      </c>
      <c r="V2491" t="s">
        <v>1045</v>
      </c>
      <c r="W2491" t="s">
        <v>92</v>
      </c>
      <c r="Y2491" t="s">
        <v>38</v>
      </c>
      <c r="AA2491" t="s">
        <v>38</v>
      </c>
      <c r="AB2491" t="s">
        <v>38</v>
      </c>
      <c r="AC2491" t="s">
        <v>38</v>
      </c>
      <c r="AD2491" t="s">
        <v>48</v>
      </c>
      <c r="AG2491" t="str">
        <f>IF(AD2491="United States", IFERROR(INDEX(Sheet2!$C:$C, MATCH(AE2491&amp;AF2491, Sheet2!$E:$E, 0)) &amp; ", " &amp; INDEX(Sheet2!$D:$D, MATCH(AE2491&amp;AF2491, Sheet2!$E:$E, 0)), ""), "-")</f>
        <v/>
      </c>
    </row>
    <row r="2492" spans="1:33" x14ac:dyDescent="0.25">
      <c r="A2492" t="s">
        <v>3709</v>
      </c>
      <c r="D2492" t="s">
        <v>1214</v>
      </c>
      <c r="E2492" t="s">
        <v>38</v>
      </c>
      <c r="F2492">
        <v>1766</v>
      </c>
      <c r="G2492">
        <v>2321</v>
      </c>
      <c r="H2492">
        <v>72</v>
      </c>
      <c r="J2492" t="s">
        <v>3711</v>
      </c>
      <c r="O2492" t="s">
        <v>57</v>
      </c>
      <c r="R2492" t="s">
        <v>2452</v>
      </c>
      <c r="T2492" t="s">
        <v>89</v>
      </c>
      <c r="U2492" t="s">
        <v>2453</v>
      </c>
      <c r="V2492" t="s">
        <v>1045</v>
      </c>
      <c r="W2492" t="s">
        <v>92</v>
      </c>
      <c r="Y2492" t="s">
        <v>38</v>
      </c>
      <c r="AA2492" t="s">
        <v>38</v>
      </c>
      <c r="AB2492" t="s">
        <v>38</v>
      </c>
      <c r="AC2492" t="s">
        <v>38</v>
      </c>
      <c r="AD2492" t="s">
        <v>48</v>
      </c>
      <c r="AG2492" t="str">
        <f>IF(AD2492="United States", IFERROR(INDEX(Sheet2!$C:$C, MATCH(AE2492&amp;AF2492, Sheet2!$E:$E, 0)) &amp; ", " &amp; INDEX(Sheet2!$D:$D, MATCH(AE2492&amp;AF2492, Sheet2!$E:$E, 0)), ""), "-")</f>
        <v/>
      </c>
    </row>
    <row r="2493" spans="1:33" x14ac:dyDescent="0.25">
      <c r="A2493" t="s">
        <v>3709</v>
      </c>
      <c r="D2493" t="s">
        <v>113</v>
      </c>
      <c r="E2493" t="s">
        <v>38</v>
      </c>
      <c r="F2493">
        <v>1782</v>
      </c>
      <c r="G2493">
        <v>2322</v>
      </c>
      <c r="H2493">
        <v>72</v>
      </c>
      <c r="J2493" t="s">
        <v>3711</v>
      </c>
      <c r="O2493" t="s">
        <v>54</v>
      </c>
      <c r="R2493" t="s">
        <v>2452</v>
      </c>
      <c r="T2493" t="s">
        <v>89</v>
      </c>
      <c r="U2493" t="s">
        <v>2453</v>
      </c>
      <c r="V2493" t="s">
        <v>1045</v>
      </c>
      <c r="W2493" t="s">
        <v>92</v>
      </c>
      <c r="Y2493" t="s">
        <v>38</v>
      </c>
      <c r="AA2493" t="s">
        <v>38</v>
      </c>
      <c r="AB2493" t="s">
        <v>38</v>
      </c>
      <c r="AC2493" t="s">
        <v>38</v>
      </c>
      <c r="AD2493" t="s">
        <v>48</v>
      </c>
      <c r="AG2493" t="str">
        <f>IF(AD2493="United States", IFERROR(INDEX(Sheet2!$C:$C, MATCH(AE2493&amp;AF2493, Sheet2!$E:$E, 0)) &amp; ", " &amp; INDEX(Sheet2!$D:$D, MATCH(AE2493&amp;AF2493, Sheet2!$E:$E, 0)), ""), "-")</f>
        <v/>
      </c>
    </row>
    <row r="2494" spans="1:33" x14ac:dyDescent="0.25">
      <c r="A2494" t="s">
        <v>3709</v>
      </c>
      <c r="D2494" t="s">
        <v>193</v>
      </c>
      <c r="E2494" t="s">
        <v>38</v>
      </c>
      <c r="F2494">
        <v>1780</v>
      </c>
      <c r="G2494">
        <v>2323</v>
      </c>
      <c r="H2494">
        <v>72</v>
      </c>
      <c r="J2494" t="s">
        <v>3711</v>
      </c>
      <c r="O2494" t="s">
        <v>54</v>
      </c>
      <c r="R2494" t="s">
        <v>2452</v>
      </c>
      <c r="T2494" t="s">
        <v>89</v>
      </c>
      <c r="U2494" t="s">
        <v>2453</v>
      </c>
      <c r="V2494" t="s">
        <v>1045</v>
      </c>
      <c r="W2494" t="s">
        <v>92</v>
      </c>
      <c r="Y2494" t="s">
        <v>38</v>
      </c>
      <c r="AA2494" t="s">
        <v>38</v>
      </c>
      <c r="AB2494" t="s">
        <v>38</v>
      </c>
      <c r="AC2494" t="s">
        <v>38</v>
      </c>
      <c r="AD2494" t="s">
        <v>48</v>
      </c>
      <c r="AG2494" t="str">
        <f>IF(AD2494="United States", IFERROR(INDEX(Sheet2!$C:$C, MATCH(AE2494&amp;AF2494, Sheet2!$E:$E, 0)) &amp; ", " &amp; INDEX(Sheet2!$D:$D, MATCH(AE2494&amp;AF2494, Sheet2!$E:$E, 0)), ""), "-")</f>
        <v/>
      </c>
    </row>
    <row r="2495" spans="1:33" x14ac:dyDescent="0.25">
      <c r="A2495" t="s">
        <v>3709</v>
      </c>
      <c r="D2495" t="s">
        <v>535</v>
      </c>
      <c r="E2495" t="s">
        <v>38</v>
      </c>
      <c r="F2495">
        <v>1743</v>
      </c>
      <c r="G2495">
        <v>2324</v>
      </c>
      <c r="H2495">
        <v>72</v>
      </c>
      <c r="J2495" t="s">
        <v>3711</v>
      </c>
      <c r="O2495" t="s">
        <v>57</v>
      </c>
      <c r="R2495" t="s">
        <v>2452</v>
      </c>
      <c r="T2495" t="s">
        <v>89</v>
      </c>
      <c r="U2495" t="s">
        <v>2453</v>
      </c>
      <c r="V2495" t="s">
        <v>1045</v>
      </c>
      <c r="W2495" t="s">
        <v>92</v>
      </c>
      <c r="Y2495" t="s">
        <v>38</v>
      </c>
      <c r="AA2495" t="s">
        <v>38</v>
      </c>
      <c r="AB2495" t="s">
        <v>38</v>
      </c>
      <c r="AC2495" t="s">
        <v>38</v>
      </c>
      <c r="AD2495" t="s">
        <v>48</v>
      </c>
      <c r="AG2495" t="str">
        <f>IF(AD2495="United States", IFERROR(INDEX(Sheet2!$C:$C, MATCH(AE2495&amp;AF2495, Sheet2!$E:$E, 0)) &amp; ", " &amp; INDEX(Sheet2!$D:$D, MATCH(AE2495&amp;AF2495, Sheet2!$E:$E, 0)), ""), "-")</f>
        <v/>
      </c>
    </row>
    <row r="2496" spans="1:33" x14ac:dyDescent="0.25">
      <c r="A2496" t="s">
        <v>3709</v>
      </c>
      <c r="D2496" t="s">
        <v>834</v>
      </c>
      <c r="E2496" t="s">
        <v>38</v>
      </c>
      <c r="F2496">
        <v>1774</v>
      </c>
      <c r="G2496">
        <v>2325</v>
      </c>
      <c r="H2496">
        <v>72</v>
      </c>
      <c r="J2496" t="s">
        <v>3711</v>
      </c>
      <c r="O2496" t="s">
        <v>74</v>
      </c>
      <c r="R2496" t="s">
        <v>2452</v>
      </c>
      <c r="T2496" t="s">
        <v>89</v>
      </c>
      <c r="U2496" t="s">
        <v>2453</v>
      </c>
      <c r="V2496" t="s">
        <v>1045</v>
      </c>
      <c r="W2496" t="s">
        <v>92</v>
      </c>
      <c r="Y2496" t="s">
        <v>38</v>
      </c>
      <c r="AA2496" t="s">
        <v>38</v>
      </c>
      <c r="AB2496" t="s">
        <v>38</v>
      </c>
      <c r="AC2496" t="s">
        <v>38</v>
      </c>
      <c r="AD2496" t="s">
        <v>48</v>
      </c>
      <c r="AG2496" t="str">
        <f>IF(AD2496="United States", IFERROR(INDEX(Sheet2!$C:$C, MATCH(AE2496&amp;AF2496, Sheet2!$E:$E, 0)) &amp; ", " &amp; INDEX(Sheet2!$D:$D, MATCH(AE2496&amp;AF2496, Sheet2!$E:$E, 0)), ""), "-")</f>
        <v/>
      </c>
    </row>
    <row r="2497" spans="1:33" x14ac:dyDescent="0.25">
      <c r="A2497" t="s">
        <v>3709</v>
      </c>
      <c r="D2497" t="s">
        <v>463</v>
      </c>
      <c r="E2497" t="s">
        <v>38</v>
      </c>
      <c r="F2497">
        <v>1776</v>
      </c>
      <c r="G2497">
        <v>2326</v>
      </c>
      <c r="H2497">
        <v>73</v>
      </c>
      <c r="J2497" t="s">
        <v>3711</v>
      </c>
      <c r="O2497" t="s">
        <v>54</v>
      </c>
      <c r="R2497" t="s">
        <v>2452</v>
      </c>
      <c r="T2497" t="s">
        <v>89</v>
      </c>
      <c r="U2497" t="s">
        <v>2453</v>
      </c>
      <c r="V2497" t="s">
        <v>1045</v>
      </c>
      <c r="W2497" t="s">
        <v>92</v>
      </c>
      <c r="Y2497" t="s">
        <v>38</v>
      </c>
      <c r="AA2497" t="s">
        <v>38</v>
      </c>
      <c r="AB2497" t="s">
        <v>38</v>
      </c>
      <c r="AC2497" t="s">
        <v>38</v>
      </c>
      <c r="AD2497" t="s">
        <v>48</v>
      </c>
      <c r="AG2497" t="str">
        <f>IF(AD2497="United States", IFERROR(INDEX(Sheet2!$C:$C, MATCH(AE2497&amp;AF2497, Sheet2!$E:$E, 0)) &amp; ", " &amp; INDEX(Sheet2!$D:$D, MATCH(AE2497&amp;AF2497, Sheet2!$E:$E, 0)), ""), "-")</f>
        <v/>
      </c>
    </row>
    <row r="2498" spans="1:33" x14ac:dyDescent="0.25">
      <c r="A2498" t="s">
        <v>3709</v>
      </c>
      <c r="D2498" t="s">
        <v>3723</v>
      </c>
      <c r="E2498" t="s">
        <v>38</v>
      </c>
      <c r="F2498">
        <v>1744</v>
      </c>
      <c r="G2498">
        <v>2318</v>
      </c>
      <c r="H2498">
        <v>72</v>
      </c>
      <c r="J2498" t="s">
        <v>3711</v>
      </c>
      <c r="O2498" t="s">
        <v>41</v>
      </c>
      <c r="R2498" t="s">
        <v>2452</v>
      </c>
      <c r="T2498" t="s">
        <v>89</v>
      </c>
      <c r="U2498" t="s">
        <v>2453</v>
      </c>
      <c r="V2498" t="s">
        <v>1045</v>
      </c>
      <c r="W2498" t="s">
        <v>92</v>
      </c>
      <c r="Y2498" t="s">
        <v>38</v>
      </c>
      <c r="AA2498" t="s">
        <v>38</v>
      </c>
      <c r="AB2498" t="s">
        <v>38</v>
      </c>
      <c r="AC2498" t="s">
        <v>38</v>
      </c>
      <c r="AD2498" t="s">
        <v>48</v>
      </c>
      <c r="AG2498" t="str">
        <f>IF(AD2498="United States", IFERROR(INDEX(Sheet2!$C:$C, MATCH(AE2498&amp;AF2498, Sheet2!$E:$E, 0)) &amp; ", " &amp; INDEX(Sheet2!$D:$D, MATCH(AE2498&amp;AF2498, Sheet2!$E:$E, 0)), ""), "-")</f>
        <v/>
      </c>
    </row>
    <row r="2499" spans="1:33" x14ac:dyDescent="0.25">
      <c r="A2499" t="s">
        <v>3709</v>
      </c>
      <c r="D2499" t="s">
        <v>210</v>
      </c>
      <c r="E2499" t="s">
        <v>38</v>
      </c>
      <c r="F2499" t="s">
        <v>38</v>
      </c>
      <c r="G2499">
        <v>2350</v>
      </c>
      <c r="H2499">
        <v>73</v>
      </c>
      <c r="J2499" t="s">
        <v>3711</v>
      </c>
      <c r="O2499" t="s">
        <v>54</v>
      </c>
      <c r="R2499" t="s">
        <v>2452</v>
      </c>
      <c r="T2499" t="s">
        <v>89</v>
      </c>
      <c r="U2499" t="s">
        <v>2453</v>
      </c>
      <c r="V2499" t="s">
        <v>1045</v>
      </c>
      <c r="W2499" t="s">
        <v>92</v>
      </c>
      <c r="Y2499" t="s">
        <v>38</v>
      </c>
      <c r="AA2499" t="s">
        <v>38</v>
      </c>
      <c r="AB2499" t="s">
        <v>38</v>
      </c>
      <c r="AC2499" t="s">
        <v>38</v>
      </c>
      <c r="AD2499" t="s">
        <v>48</v>
      </c>
      <c r="AG2499" t="str">
        <f>IF(AD2499="United States", IFERROR(INDEX(Sheet2!$C:$C, MATCH(AE2499&amp;AF2499, Sheet2!$E:$E, 0)) &amp; ", " &amp; INDEX(Sheet2!$D:$D, MATCH(AE2499&amp;AF2499, Sheet2!$E:$E, 0)), ""), "-")</f>
        <v/>
      </c>
    </row>
    <row r="2500" spans="1:33" x14ac:dyDescent="0.25">
      <c r="A2500" t="s">
        <v>3724</v>
      </c>
      <c r="B2500" t="s">
        <v>3725</v>
      </c>
      <c r="C2500" t="s">
        <v>3726</v>
      </c>
      <c r="D2500" t="s">
        <v>1491</v>
      </c>
      <c r="E2500" t="s">
        <v>3727</v>
      </c>
      <c r="F2500">
        <v>1762</v>
      </c>
      <c r="G2500">
        <v>1784</v>
      </c>
      <c r="H2500" t="s">
        <v>313</v>
      </c>
      <c r="I2500" t="s">
        <v>80</v>
      </c>
      <c r="J2500" t="s">
        <v>38</v>
      </c>
      <c r="K2500" t="s">
        <v>38</v>
      </c>
      <c r="L2500" t="s">
        <v>38</v>
      </c>
      <c r="M2500" t="s">
        <v>38</v>
      </c>
      <c r="N2500" t="s">
        <v>38</v>
      </c>
      <c r="O2500" t="s">
        <v>41</v>
      </c>
      <c r="P2500" t="s">
        <v>42</v>
      </c>
      <c r="Q2500" t="s">
        <v>43</v>
      </c>
      <c r="R2500" t="s">
        <v>89</v>
      </c>
      <c r="S2500" t="s">
        <v>153</v>
      </c>
      <c r="T2500" t="s">
        <v>89</v>
      </c>
      <c r="U2500" t="s">
        <v>38</v>
      </c>
      <c r="V2500" t="s">
        <v>38</v>
      </c>
      <c r="W2500" t="s">
        <v>92</v>
      </c>
      <c r="X2500" t="s">
        <v>38</v>
      </c>
      <c r="Y2500" t="s">
        <v>3728</v>
      </c>
      <c r="Z2500" t="s">
        <v>42</v>
      </c>
      <c r="AA2500" t="s">
        <v>153</v>
      </c>
      <c r="AB2500" t="s">
        <v>38</v>
      </c>
      <c r="AC2500" t="s">
        <v>3729</v>
      </c>
      <c r="AD2500" t="s">
        <v>48</v>
      </c>
      <c r="AG2500" t="str">
        <f>IF(AD2500="United States", IFERROR(INDEX(Sheet2!$C:$C, MATCH(AE2500&amp;AF2500, Sheet2!$E:$E, 0)) &amp; ", " &amp; INDEX(Sheet2!$D:$D, MATCH(AE2500&amp;AF2500, Sheet2!$E:$E, 0)), ""), "-")</f>
        <v/>
      </c>
    </row>
    <row r="2501" spans="1:33" x14ac:dyDescent="0.25">
      <c r="A2501" t="s">
        <v>3724</v>
      </c>
      <c r="B2501" t="s">
        <v>3730</v>
      </c>
      <c r="C2501" t="s">
        <v>3726</v>
      </c>
      <c r="D2501" t="s">
        <v>357</v>
      </c>
      <c r="E2501" t="s">
        <v>3731</v>
      </c>
      <c r="F2501">
        <v>1753</v>
      </c>
      <c r="G2501">
        <v>1783</v>
      </c>
      <c r="H2501" t="s">
        <v>313</v>
      </c>
      <c r="I2501" t="s">
        <v>80</v>
      </c>
      <c r="J2501" t="s">
        <v>38</v>
      </c>
      <c r="K2501" t="s">
        <v>38</v>
      </c>
      <c r="L2501" t="s">
        <v>38</v>
      </c>
      <c r="M2501" t="s">
        <v>38</v>
      </c>
      <c r="N2501" t="s">
        <v>38</v>
      </c>
      <c r="O2501" t="s">
        <v>41</v>
      </c>
      <c r="P2501" t="s">
        <v>42</v>
      </c>
      <c r="Q2501" t="s">
        <v>43</v>
      </c>
      <c r="R2501" t="s">
        <v>89</v>
      </c>
      <c r="S2501" t="s">
        <v>38</v>
      </c>
      <c r="T2501" t="s">
        <v>89</v>
      </c>
      <c r="U2501" t="s">
        <v>38</v>
      </c>
      <c r="V2501" t="s">
        <v>38</v>
      </c>
      <c r="W2501" t="s">
        <v>92</v>
      </c>
      <c r="X2501" t="s">
        <v>38</v>
      </c>
      <c r="Y2501" t="s">
        <v>3732</v>
      </c>
      <c r="Z2501" t="s">
        <v>42</v>
      </c>
      <c r="AA2501" t="s">
        <v>1566</v>
      </c>
      <c r="AB2501" t="s">
        <v>38</v>
      </c>
      <c r="AC2501" t="s">
        <v>60</v>
      </c>
      <c r="AD2501" t="s">
        <v>48</v>
      </c>
      <c r="AG2501" t="str">
        <f>IF(AD2501="United States", IFERROR(INDEX(Sheet2!$C:$C, MATCH(AE2501&amp;AF2501, Sheet2!$E:$E, 0)) &amp; ", " &amp; INDEX(Sheet2!$D:$D, MATCH(AE2501&amp;AF2501, Sheet2!$E:$E, 0)), ""), "-")</f>
        <v/>
      </c>
    </row>
    <row r="2502" spans="1:33" x14ac:dyDescent="0.25">
      <c r="A2502" t="s">
        <v>3733</v>
      </c>
      <c r="E2502" t="s">
        <v>38</v>
      </c>
      <c r="F2502" t="s">
        <v>38</v>
      </c>
      <c r="G2502">
        <v>130</v>
      </c>
      <c r="H2502">
        <v>20</v>
      </c>
      <c r="J2502" t="s">
        <v>3734</v>
      </c>
      <c r="O2502" t="s">
        <v>41</v>
      </c>
      <c r="R2502" t="s">
        <v>89</v>
      </c>
      <c r="T2502" t="s">
        <v>89</v>
      </c>
      <c r="V2502" t="s">
        <v>111</v>
      </c>
      <c r="W2502" t="s">
        <v>92</v>
      </c>
      <c r="Y2502" t="s">
        <v>38</v>
      </c>
      <c r="AA2502" t="s">
        <v>38</v>
      </c>
      <c r="AB2502" t="s">
        <v>38</v>
      </c>
      <c r="AC2502" t="s">
        <v>38</v>
      </c>
      <c r="AD2502" t="s">
        <v>48</v>
      </c>
      <c r="AG2502" t="str">
        <f>IF(AD2502="United States", IFERROR(INDEX(Sheet2!$C:$C, MATCH(AE2502&amp;AF2502, Sheet2!$E:$E, 0)) &amp; ", " &amp; INDEX(Sheet2!$D:$D, MATCH(AE2502&amp;AF2502, Sheet2!$E:$E, 0)), ""), "-")</f>
        <v/>
      </c>
    </row>
    <row r="2503" spans="1:33" x14ac:dyDescent="0.25">
      <c r="A2503" t="s">
        <v>3733</v>
      </c>
      <c r="B2503" t="s">
        <v>3735</v>
      </c>
      <c r="C2503" t="s">
        <v>3736</v>
      </c>
      <c r="D2503" t="s">
        <v>132</v>
      </c>
      <c r="E2503" t="s">
        <v>489</v>
      </c>
      <c r="F2503">
        <v>1760</v>
      </c>
      <c r="G2503">
        <v>91</v>
      </c>
      <c r="H2503" t="s">
        <v>2689</v>
      </c>
      <c r="I2503" t="s">
        <v>39</v>
      </c>
      <c r="J2503" t="s">
        <v>3737</v>
      </c>
      <c r="K2503" t="s">
        <v>38</v>
      </c>
      <c r="L2503" t="s">
        <v>38</v>
      </c>
      <c r="M2503" t="s">
        <v>38</v>
      </c>
      <c r="N2503" t="s">
        <v>38</v>
      </c>
      <c r="O2503" t="s">
        <v>41</v>
      </c>
      <c r="P2503" t="s">
        <v>42</v>
      </c>
      <c r="Q2503" t="s">
        <v>43</v>
      </c>
      <c r="R2503" t="s">
        <v>89</v>
      </c>
      <c r="S2503" t="s">
        <v>153</v>
      </c>
      <c r="T2503" t="s">
        <v>89</v>
      </c>
      <c r="U2503" t="s">
        <v>38</v>
      </c>
      <c r="V2503" t="s">
        <v>91</v>
      </c>
      <c r="W2503" t="s">
        <v>92</v>
      </c>
      <c r="X2503" t="s">
        <v>38</v>
      </c>
      <c r="Y2503" t="s">
        <v>3738</v>
      </c>
      <c r="Z2503" t="s">
        <v>42</v>
      </c>
      <c r="AA2503" t="s">
        <v>155</v>
      </c>
      <c r="AB2503" t="s">
        <v>38</v>
      </c>
      <c r="AC2503" t="s">
        <v>153</v>
      </c>
      <c r="AD2503" t="s">
        <v>48</v>
      </c>
      <c r="AG2503" t="str">
        <f>IF(AD2503="United States", IFERROR(INDEX(Sheet2!$C:$C, MATCH(AE2503&amp;AF2503, Sheet2!$E:$E, 0)) &amp; ", " &amp; INDEX(Sheet2!$D:$D, MATCH(AE2503&amp;AF2503, Sheet2!$E:$E, 0)), ""), "-")</f>
        <v/>
      </c>
    </row>
    <row r="2504" spans="1:33" x14ac:dyDescent="0.25">
      <c r="A2504" t="s">
        <v>3733</v>
      </c>
      <c r="B2504" t="s">
        <v>3739</v>
      </c>
      <c r="C2504" t="s">
        <v>3736</v>
      </c>
      <c r="D2504" t="s">
        <v>113</v>
      </c>
      <c r="E2504" t="s">
        <v>3740</v>
      </c>
      <c r="F2504">
        <v>1764</v>
      </c>
      <c r="G2504">
        <v>95</v>
      </c>
      <c r="H2504" t="s">
        <v>2689</v>
      </c>
      <c r="I2504" t="s">
        <v>39</v>
      </c>
      <c r="J2504" t="s">
        <v>3737</v>
      </c>
      <c r="K2504" t="s">
        <v>38</v>
      </c>
      <c r="L2504" t="s">
        <v>38</v>
      </c>
      <c r="M2504" t="s">
        <v>38</v>
      </c>
      <c r="N2504" t="s">
        <v>38</v>
      </c>
      <c r="O2504" t="s">
        <v>41</v>
      </c>
      <c r="P2504" t="s">
        <v>125</v>
      </c>
      <c r="Q2504" t="s">
        <v>124</v>
      </c>
      <c r="R2504" t="s">
        <v>89</v>
      </c>
      <c r="S2504" t="s">
        <v>38</v>
      </c>
      <c r="T2504" t="s">
        <v>89</v>
      </c>
      <c r="U2504" t="s">
        <v>38</v>
      </c>
      <c r="V2504" t="s">
        <v>91</v>
      </c>
      <c r="W2504" t="s">
        <v>92</v>
      </c>
      <c r="X2504" t="s">
        <v>38</v>
      </c>
      <c r="Y2504" t="s">
        <v>3741</v>
      </c>
      <c r="Z2504" t="s">
        <v>125</v>
      </c>
      <c r="AA2504" t="s">
        <v>38</v>
      </c>
      <c r="AB2504" t="s">
        <v>38</v>
      </c>
      <c r="AC2504" t="s">
        <v>155</v>
      </c>
      <c r="AD2504" t="s">
        <v>48</v>
      </c>
      <c r="AG2504" t="str">
        <f>IF(AD2504="United States", IFERROR(INDEX(Sheet2!$C:$C, MATCH(AE2504&amp;AF2504, Sheet2!$E:$E, 0)) &amp; ", " &amp; INDEX(Sheet2!$D:$D, MATCH(AE2504&amp;AF2504, Sheet2!$E:$E, 0)), ""), "-")</f>
        <v/>
      </c>
    </row>
    <row r="2505" spans="1:33" x14ac:dyDescent="0.25">
      <c r="A2505" t="s">
        <v>3733</v>
      </c>
      <c r="B2505" t="s">
        <v>3742</v>
      </c>
      <c r="C2505" t="s">
        <v>3736</v>
      </c>
      <c r="D2505" t="s">
        <v>3661</v>
      </c>
      <c r="E2505" t="s">
        <v>913</v>
      </c>
      <c r="F2505">
        <v>1762</v>
      </c>
      <c r="G2505">
        <v>79</v>
      </c>
      <c r="H2505" t="s">
        <v>2689</v>
      </c>
      <c r="I2505" t="s">
        <v>39</v>
      </c>
      <c r="J2505" t="s">
        <v>3737</v>
      </c>
      <c r="K2505" t="s">
        <v>38</v>
      </c>
      <c r="L2505" t="s">
        <v>38</v>
      </c>
      <c r="M2505" t="s">
        <v>38</v>
      </c>
      <c r="N2505" t="s">
        <v>38</v>
      </c>
      <c r="O2505" t="s">
        <v>41</v>
      </c>
      <c r="P2505" t="s">
        <v>42</v>
      </c>
      <c r="Q2505" t="s">
        <v>43</v>
      </c>
      <c r="R2505" t="s">
        <v>89</v>
      </c>
      <c r="S2505" t="s">
        <v>201</v>
      </c>
      <c r="T2505" t="s">
        <v>89</v>
      </c>
      <c r="U2505" t="s">
        <v>38</v>
      </c>
      <c r="V2505" t="s">
        <v>91</v>
      </c>
      <c r="W2505" t="s">
        <v>92</v>
      </c>
      <c r="X2505" t="s">
        <v>38</v>
      </c>
      <c r="Y2505" t="s">
        <v>3743</v>
      </c>
      <c r="Z2505" t="s">
        <v>42</v>
      </c>
      <c r="AA2505" t="s">
        <v>3212</v>
      </c>
      <c r="AB2505" t="s">
        <v>38</v>
      </c>
      <c r="AC2505" t="s">
        <v>201</v>
      </c>
      <c r="AD2505" t="s">
        <v>48</v>
      </c>
      <c r="AG2505" t="str">
        <f>IF(AD2505="United States", IFERROR(INDEX(Sheet2!$C:$C, MATCH(AE2505&amp;AF2505, Sheet2!$E:$E, 0)) &amp; ", " &amp; INDEX(Sheet2!$D:$D, MATCH(AE2505&amp;AF2505, Sheet2!$E:$E, 0)), ""), "-")</f>
        <v/>
      </c>
    </row>
    <row r="2506" spans="1:33" x14ac:dyDescent="0.25">
      <c r="A2506" t="s">
        <v>3733</v>
      </c>
      <c r="B2506" t="s">
        <v>3744</v>
      </c>
      <c r="C2506" t="s">
        <v>3736</v>
      </c>
      <c r="D2506" t="s">
        <v>1126</v>
      </c>
      <c r="E2506" t="s">
        <v>3745</v>
      </c>
      <c r="F2506">
        <v>1761</v>
      </c>
      <c r="G2506">
        <v>80</v>
      </c>
      <c r="H2506" t="s">
        <v>2689</v>
      </c>
      <c r="I2506" t="s">
        <v>39</v>
      </c>
      <c r="J2506" t="s">
        <v>3737</v>
      </c>
      <c r="K2506" t="s">
        <v>38</v>
      </c>
      <c r="L2506" t="s">
        <v>38</v>
      </c>
      <c r="M2506" t="s">
        <v>38</v>
      </c>
      <c r="N2506" t="s">
        <v>38</v>
      </c>
      <c r="O2506" t="s">
        <v>41</v>
      </c>
      <c r="P2506" t="s">
        <v>125</v>
      </c>
      <c r="Q2506" t="s">
        <v>124</v>
      </c>
      <c r="R2506" t="s">
        <v>89</v>
      </c>
      <c r="S2506" t="s">
        <v>1063</v>
      </c>
      <c r="T2506" t="s">
        <v>89</v>
      </c>
      <c r="U2506" t="s">
        <v>38</v>
      </c>
      <c r="V2506" t="s">
        <v>91</v>
      </c>
      <c r="W2506" t="s">
        <v>92</v>
      </c>
      <c r="X2506" t="s">
        <v>38</v>
      </c>
      <c r="Y2506" t="s">
        <v>3746</v>
      </c>
      <c r="Z2506" t="s">
        <v>125</v>
      </c>
      <c r="AA2506" t="s">
        <v>3747</v>
      </c>
      <c r="AB2506" t="s">
        <v>38</v>
      </c>
      <c r="AC2506" t="s">
        <v>1063</v>
      </c>
      <c r="AD2506" t="s">
        <v>48</v>
      </c>
      <c r="AG2506" t="str">
        <f>IF(AD2506="United States", IFERROR(INDEX(Sheet2!$C:$C, MATCH(AE2506&amp;AF2506, Sheet2!$E:$E, 0)) &amp; ", " &amp; INDEX(Sheet2!$D:$D, MATCH(AE2506&amp;AF2506, Sheet2!$E:$E, 0)), ""), "-")</f>
        <v/>
      </c>
    </row>
    <row r="2507" spans="1:33" x14ac:dyDescent="0.25">
      <c r="A2507" t="s">
        <v>3733</v>
      </c>
      <c r="B2507" t="s">
        <v>3748</v>
      </c>
      <c r="C2507" t="s">
        <v>3736</v>
      </c>
      <c r="D2507" t="s">
        <v>195</v>
      </c>
      <c r="E2507" t="s">
        <v>523</v>
      </c>
      <c r="F2507">
        <v>1758</v>
      </c>
      <c r="G2507">
        <v>81</v>
      </c>
      <c r="H2507" t="s">
        <v>2689</v>
      </c>
      <c r="I2507" t="s">
        <v>39</v>
      </c>
      <c r="J2507" t="s">
        <v>3737</v>
      </c>
      <c r="K2507" t="s">
        <v>38</v>
      </c>
      <c r="L2507" t="s">
        <v>38</v>
      </c>
      <c r="M2507" t="s">
        <v>38</v>
      </c>
      <c r="N2507" t="s">
        <v>38</v>
      </c>
      <c r="O2507" t="s">
        <v>41</v>
      </c>
      <c r="P2507" t="s">
        <v>3749</v>
      </c>
      <c r="Q2507" t="s">
        <v>124</v>
      </c>
      <c r="R2507" t="s">
        <v>89</v>
      </c>
      <c r="S2507" t="s">
        <v>1063</v>
      </c>
      <c r="T2507" t="s">
        <v>89</v>
      </c>
      <c r="U2507" t="s">
        <v>38</v>
      </c>
      <c r="V2507" t="s">
        <v>91</v>
      </c>
      <c r="W2507" t="s">
        <v>92</v>
      </c>
      <c r="X2507" t="s">
        <v>38</v>
      </c>
      <c r="Y2507" t="s">
        <v>3743</v>
      </c>
      <c r="Z2507" t="s">
        <v>125</v>
      </c>
      <c r="AA2507" t="s">
        <v>3511</v>
      </c>
      <c r="AB2507" t="s">
        <v>38</v>
      </c>
      <c r="AC2507" t="s">
        <v>1063</v>
      </c>
      <c r="AD2507" t="s">
        <v>48</v>
      </c>
      <c r="AG2507" t="str">
        <f>IF(AD2507="United States", IFERROR(INDEX(Sheet2!$C:$C, MATCH(AE2507&amp;AF2507, Sheet2!$E:$E, 0)) &amp; ", " &amp; INDEX(Sheet2!$D:$D, MATCH(AE2507&amp;AF2507, Sheet2!$E:$E, 0)), ""), "-")</f>
        <v/>
      </c>
    </row>
    <row r="2508" spans="1:33" x14ac:dyDescent="0.25">
      <c r="A2508" t="s">
        <v>3733</v>
      </c>
      <c r="B2508" t="s">
        <v>3750</v>
      </c>
      <c r="C2508" t="s">
        <v>3736</v>
      </c>
      <c r="D2508" t="s">
        <v>72</v>
      </c>
      <c r="E2508" t="s">
        <v>704</v>
      </c>
      <c r="F2508">
        <v>1753</v>
      </c>
      <c r="G2508">
        <v>107</v>
      </c>
      <c r="H2508" t="s">
        <v>2689</v>
      </c>
      <c r="I2508" t="s">
        <v>39</v>
      </c>
      <c r="J2508" t="s">
        <v>3737</v>
      </c>
      <c r="K2508" t="s">
        <v>38</v>
      </c>
      <c r="L2508" t="s">
        <v>38</v>
      </c>
      <c r="M2508" t="s">
        <v>38</v>
      </c>
      <c r="N2508" t="s">
        <v>38</v>
      </c>
      <c r="O2508" t="s">
        <v>41</v>
      </c>
      <c r="P2508" t="s">
        <v>42</v>
      </c>
      <c r="Q2508" t="s">
        <v>43</v>
      </c>
      <c r="R2508" t="s">
        <v>89</v>
      </c>
      <c r="S2508" t="s">
        <v>38</v>
      </c>
      <c r="T2508" t="s">
        <v>89</v>
      </c>
      <c r="U2508" t="s">
        <v>38</v>
      </c>
      <c r="V2508" t="s">
        <v>91</v>
      </c>
      <c r="W2508" t="s">
        <v>92</v>
      </c>
      <c r="X2508" t="s">
        <v>38</v>
      </c>
      <c r="Y2508" t="s">
        <v>3751</v>
      </c>
      <c r="Z2508" t="s">
        <v>42</v>
      </c>
      <c r="AA2508" t="s">
        <v>38</v>
      </c>
      <c r="AB2508" t="s">
        <v>38</v>
      </c>
      <c r="AC2508" t="s">
        <v>38</v>
      </c>
      <c r="AD2508" t="s">
        <v>48</v>
      </c>
      <c r="AG2508" t="str">
        <f>IF(AD2508="United States", IFERROR(INDEX(Sheet2!$C:$C, MATCH(AE2508&amp;AF2508, Sheet2!$E:$E, 0)) &amp; ", " &amp; INDEX(Sheet2!$D:$D, MATCH(AE2508&amp;AF2508, Sheet2!$E:$E, 0)), ""), "-")</f>
        <v/>
      </c>
    </row>
    <row r="2509" spans="1:33" x14ac:dyDescent="0.25">
      <c r="A2509" t="s">
        <v>3733</v>
      </c>
      <c r="B2509" t="s">
        <v>3752</v>
      </c>
      <c r="C2509" t="s">
        <v>3736</v>
      </c>
      <c r="D2509" t="s">
        <v>982</v>
      </c>
      <c r="E2509" t="s">
        <v>3753</v>
      </c>
      <c r="F2509">
        <v>1761</v>
      </c>
      <c r="G2509">
        <v>83</v>
      </c>
      <c r="H2509" t="s">
        <v>2689</v>
      </c>
      <c r="I2509" t="s">
        <v>39</v>
      </c>
      <c r="J2509" t="s">
        <v>3737</v>
      </c>
      <c r="K2509" t="s">
        <v>38</v>
      </c>
      <c r="L2509" t="s">
        <v>38</v>
      </c>
      <c r="M2509" t="s">
        <v>38</v>
      </c>
      <c r="N2509" t="s">
        <v>38</v>
      </c>
      <c r="O2509" t="s">
        <v>41</v>
      </c>
      <c r="P2509" t="s">
        <v>42</v>
      </c>
      <c r="Q2509" t="s">
        <v>43</v>
      </c>
      <c r="R2509" t="s">
        <v>89</v>
      </c>
      <c r="S2509" t="s">
        <v>89</v>
      </c>
      <c r="T2509" t="s">
        <v>89</v>
      </c>
      <c r="U2509" t="s">
        <v>38</v>
      </c>
      <c r="V2509" t="s">
        <v>91</v>
      </c>
      <c r="W2509" t="s">
        <v>92</v>
      </c>
      <c r="X2509" t="s">
        <v>38</v>
      </c>
      <c r="Y2509" t="s">
        <v>3743</v>
      </c>
      <c r="Z2509" t="s">
        <v>42</v>
      </c>
      <c r="AA2509" t="s">
        <v>38</v>
      </c>
      <c r="AB2509" t="s">
        <v>38</v>
      </c>
      <c r="AC2509" t="s">
        <v>38</v>
      </c>
      <c r="AD2509" t="s">
        <v>48</v>
      </c>
      <c r="AG2509" t="str">
        <f>IF(AD2509="United States", IFERROR(INDEX(Sheet2!$C:$C, MATCH(AE2509&amp;AF2509, Sheet2!$E:$E, 0)) &amp; ", " &amp; INDEX(Sheet2!$D:$D, MATCH(AE2509&amp;AF2509, Sheet2!$E:$E, 0)), ""), "-")</f>
        <v/>
      </c>
    </row>
    <row r="2510" spans="1:33" x14ac:dyDescent="0.25">
      <c r="A2510" t="s">
        <v>3733</v>
      </c>
      <c r="B2510" t="s">
        <v>3754</v>
      </c>
      <c r="C2510" t="s">
        <v>3736</v>
      </c>
      <c r="D2510" t="s">
        <v>195</v>
      </c>
      <c r="E2510" t="s">
        <v>3755</v>
      </c>
      <c r="F2510">
        <v>1762</v>
      </c>
      <c r="G2510">
        <v>84</v>
      </c>
      <c r="H2510" t="s">
        <v>2689</v>
      </c>
      <c r="I2510" t="s">
        <v>39</v>
      </c>
      <c r="J2510" t="s">
        <v>3737</v>
      </c>
      <c r="K2510" t="s">
        <v>38</v>
      </c>
      <c r="L2510" t="s">
        <v>38</v>
      </c>
      <c r="M2510" t="s">
        <v>38</v>
      </c>
      <c r="N2510" t="s">
        <v>38</v>
      </c>
      <c r="O2510" t="s">
        <v>41</v>
      </c>
      <c r="P2510" t="s">
        <v>42</v>
      </c>
      <c r="Q2510" t="s">
        <v>43</v>
      </c>
      <c r="R2510" t="s">
        <v>89</v>
      </c>
      <c r="S2510" t="s">
        <v>45</v>
      </c>
      <c r="T2510" t="s">
        <v>89</v>
      </c>
      <c r="U2510" t="s">
        <v>38</v>
      </c>
      <c r="V2510" t="s">
        <v>91</v>
      </c>
      <c r="W2510" t="s">
        <v>92</v>
      </c>
      <c r="X2510" t="s">
        <v>38</v>
      </c>
      <c r="Y2510" t="s">
        <v>3756</v>
      </c>
      <c r="Z2510" t="s">
        <v>42</v>
      </c>
      <c r="AA2510" t="s">
        <v>272</v>
      </c>
      <c r="AB2510" t="s">
        <v>38</v>
      </c>
      <c r="AC2510" t="s">
        <v>45</v>
      </c>
      <c r="AD2510" t="s">
        <v>48</v>
      </c>
      <c r="AG2510" t="str">
        <f>IF(AD2510="United States", IFERROR(INDEX(Sheet2!$C:$C, MATCH(AE2510&amp;AF2510, Sheet2!$E:$E, 0)) &amp; ", " &amp; INDEX(Sheet2!$D:$D, MATCH(AE2510&amp;AF2510, Sheet2!$E:$E, 0)), ""), "-")</f>
        <v/>
      </c>
    </row>
    <row r="2511" spans="1:33" x14ac:dyDescent="0.25">
      <c r="A2511" t="s">
        <v>3733</v>
      </c>
      <c r="B2511" t="s">
        <v>3757</v>
      </c>
      <c r="C2511" t="s">
        <v>3736</v>
      </c>
      <c r="D2511" t="s">
        <v>210</v>
      </c>
      <c r="E2511" t="s">
        <v>2499</v>
      </c>
      <c r="F2511" t="s">
        <v>38</v>
      </c>
      <c r="G2511">
        <v>85</v>
      </c>
      <c r="H2511" t="s">
        <v>78</v>
      </c>
      <c r="I2511" t="s">
        <v>39</v>
      </c>
      <c r="J2511" t="s">
        <v>3737</v>
      </c>
      <c r="K2511" t="s">
        <v>38</v>
      </c>
      <c r="L2511" t="s">
        <v>38</v>
      </c>
      <c r="M2511" t="s">
        <v>38</v>
      </c>
      <c r="N2511" t="s">
        <v>38</v>
      </c>
      <c r="O2511" t="s">
        <v>41</v>
      </c>
      <c r="P2511" t="s">
        <v>42</v>
      </c>
      <c r="Q2511" t="s">
        <v>43</v>
      </c>
      <c r="R2511" t="s">
        <v>89</v>
      </c>
      <c r="S2511" t="s">
        <v>38</v>
      </c>
      <c r="T2511" t="s">
        <v>89</v>
      </c>
      <c r="U2511" t="s">
        <v>38</v>
      </c>
      <c r="V2511" t="s">
        <v>91</v>
      </c>
      <c r="W2511" t="s">
        <v>92</v>
      </c>
      <c r="X2511" t="s">
        <v>38</v>
      </c>
      <c r="Y2511" t="s">
        <v>3758</v>
      </c>
      <c r="Z2511" t="s">
        <v>42</v>
      </c>
      <c r="AA2511" t="s">
        <v>38</v>
      </c>
      <c r="AB2511" t="s">
        <v>38</v>
      </c>
      <c r="AC2511" t="s">
        <v>38</v>
      </c>
      <c r="AD2511" t="s">
        <v>48</v>
      </c>
      <c r="AG2511" t="str">
        <f>IF(AD2511="United States", IFERROR(INDEX(Sheet2!$C:$C, MATCH(AE2511&amp;AF2511, Sheet2!$E:$E, 0)) &amp; ", " &amp; INDEX(Sheet2!$D:$D, MATCH(AE2511&amp;AF2511, Sheet2!$E:$E, 0)), ""), "-")</f>
        <v/>
      </c>
    </row>
    <row r="2512" spans="1:33" x14ac:dyDescent="0.25">
      <c r="A2512" t="s">
        <v>3733</v>
      </c>
      <c r="B2512" t="s">
        <v>3759</v>
      </c>
      <c r="C2512" t="s">
        <v>3736</v>
      </c>
      <c r="D2512" t="s">
        <v>104</v>
      </c>
      <c r="E2512" t="s">
        <v>633</v>
      </c>
      <c r="F2512">
        <v>1762</v>
      </c>
      <c r="G2512">
        <v>86</v>
      </c>
      <c r="H2512" t="s">
        <v>2689</v>
      </c>
      <c r="I2512" t="s">
        <v>39</v>
      </c>
      <c r="J2512" t="s">
        <v>3737</v>
      </c>
      <c r="K2512" t="s">
        <v>38</v>
      </c>
      <c r="L2512" t="s">
        <v>38</v>
      </c>
      <c r="M2512" t="s">
        <v>38</v>
      </c>
      <c r="N2512" t="s">
        <v>38</v>
      </c>
      <c r="O2512" t="s">
        <v>41</v>
      </c>
      <c r="P2512" t="s">
        <v>42</v>
      </c>
      <c r="Q2512" t="s">
        <v>43</v>
      </c>
      <c r="R2512" t="s">
        <v>89</v>
      </c>
      <c r="S2512" t="s">
        <v>201</v>
      </c>
      <c r="T2512" t="s">
        <v>89</v>
      </c>
      <c r="U2512" t="s">
        <v>38</v>
      </c>
      <c r="V2512" t="s">
        <v>91</v>
      </c>
      <c r="W2512" t="s">
        <v>92</v>
      </c>
      <c r="X2512" t="s">
        <v>38</v>
      </c>
      <c r="Y2512" t="s">
        <v>3760</v>
      </c>
      <c r="Z2512" t="s">
        <v>42</v>
      </c>
      <c r="AA2512" t="s">
        <v>38</v>
      </c>
      <c r="AB2512" t="s">
        <v>38</v>
      </c>
      <c r="AC2512" t="s">
        <v>201</v>
      </c>
      <c r="AD2512" t="s">
        <v>48</v>
      </c>
      <c r="AG2512" t="str">
        <f>IF(AD2512="United States", IFERROR(INDEX(Sheet2!$C:$C, MATCH(AE2512&amp;AF2512, Sheet2!$E:$E, 0)) &amp; ", " &amp; INDEX(Sheet2!$D:$D, MATCH(AE2512&amp;AF2512, Sheet2!$E:$E, 0)), ""), "-")</f>
        <v/>
      </c>
    </row>
    <row r="2513" spans="1:33" x14ac:dyDescent="0.25">
      <c r="A2513" t="s">
        <v>3733</v>
      </c>
      <c r="B2513" t="s">
        <v>3761</v>
      </c>
      <c r="C2513" t="s">
        <v>3736</v>
      </c>
      <c r="D2513" t="s">
        <v>463</v>
      </c>
      <c r="E2513" t="s">
        <v>268</v>
      </c>
      <c r="F2513">
        <v>1760</v>
      </c>
      <c r="G2513">
        <v>87</v>
      </c>
      <c r="H2513" t="s">
        <v>2689</v>
      </c>
      <c r="I2513" t="s">
        <v>39</v>
      </c>
      <c r="J2513" t="s">
        <v>3737</v>
      </c>
      <c r="K2513" t="s">
        <v>38</v>
      </c>
      <c r="L2513" t="s">
        <v>38</v>
      </c>
      <c r="M2513" t="s">
        <v>38</v>
      </c>
      <c r="N2513" t="s">
        <v>38</v>
      </c>
      <c r="O2513" t="s">
        <v>41</v>
      </c>
      <c r="P2513" t="s">
        <v>42</v>
      </c>
      <c r="Q2513" t="s">
        <v>43</v>
      </c>
      <c r="R2513" t="s">
        <v>89</v>
      </c>
      <c r="S2513" t="s">
        <v>286</v>
      </c>
      <c r="T2513" t="s">
        <v>89</v>
      </c>
      <c r="U2513" t="s">
        <v>38</v>
      </c>
      <c r="V2513" t="s">
        <v>91</v>
      </c>
      <c r="W2513" t="s">
        <v>92</v>
      </c>
      <c r="X2513" t="s">
        <v>38</v>
      </c>
      <c r="Y2513" t="s">
        <v>3743</v>
      </c>
      <c r="Z2513" t="s">
        <v>42</v>
      </c>
      <c r="AA2513" t="s">
        <v>38</v>
      </c>
      <c r="AB2513" t="s">
        <v>38</v>
      </c>
      <c r="AC2513" t="s">
        <v>286</v>
      </c>
      <c r="AD2513" t="s">
        <v>48</v>
      </c>
      <c r="AG2513" t="str">
        <f>IF(AD2513="United States", IFERROR(INDEX(Sheet2!$C:$C, MATCH(AE2513&amp;AF2513, Sheet2!$E:$E, 0)) &amp; ", " &amp; INDEX(Sheet2!$D:$D, MATCH(AE2513&amp;AF2513, Sheet2!$E:$E, 0)), ""), "-")</f>
        <v/>
      </c>
    </row>
    <row r="2514" spans="1:33" x14ac:dyDescent="0.25">
      <c r="A2514" t="s">
        <v>3733</v>
      </c>
      <c r="B2514" t="s">
        <v>3762</v>
      </c>
      <c r="C2514" t="s">
        <v>3736</v>
      </c>
      <c r="D2514" t="s">
        <v>2376</v>
      </c>
      <c r="E2514" t="s">
        <v>3763</v>
      </c>
      <c r="F2514">
        <v>1560</v>
      </c>
      <c r="G2514">
        <v>88</v>
      </c>
      <c r="H2514" t="s">
        <v>2689</v>
      </c>
      <c r="I2514" t="s">
        <v>39</v>
      </c>
      <c r="J2514" t="s">
        <v>3737</v>
      </c>
      <c r="K2514" t="s">
        <v>38</v>
      </c>
      <c r="L2514" t="s">
        <v>38</v>
      </c>
      <c r="M2514" t="s">
        <v>38</v>
      </c>
      <c r="N2514" t="s">
        <v>38</v>
      </c>
      <c r="O2514" t="s">
        <v>41</v>
      </c>
      <c r="P2514" t="s">
        <v>42</v>
      </c>
      <c r="Q2514" t="s">
        <v>43</v>
      </c>
      <c r="R2514" t="s">
        <v>89</v>
      </c>
      <c r="S2514" t="s">
        <v>38</v>
      </c>
      <c r="T2514" t="s">
        <v>89</v>
      </c>
      <c r="U2514" t="s">
        <v>38</v>
      </c>
      <c r="V2514" t="s">
        <v>91</v>
      </c>
      <c r="W2514" t="s">
        <v>92</v>
      </c>
      <c r="X2514" t="s">
        <v>38</v>
      </c>
      <c r="Y2514" t="s">
        <v>3764</v>
      </c>
      <c r="Z2514" t="s">
        <v>42</v>
      </c>
      <c r="AA2514" t="s">
        <v>38</v>
      </c>
      <c r="AB2514" t="s">
        <v>38</v>
      </c>
      <c r="AC2514" t="s">
        <v>38</v>
      </c>
      <c r="AD2514" t="s">
        <v>48</v>
      </c>
      <c r="AG2514" t="str">
        <f>IF(AD2514="United States", IFERROR(INDEX(Sheet2!$C:$C, MATCH(AE2514&amp;AF2514, Sheet2!$E:$E, 0)) &amp; ", " &amp; INDEX(Sheet2!$D:$D, MATCH(AE2514&amp;AF2514, Sheet2!$E:$E, 0)), ""), "-")</f>
        <v/>
      </c>
    </row>
    <row r="2515" spans="1:33" x14ac:dyDescent="0.25">
      <c r="A2515" t="s">
        <v>3733</v>
      </c>
      <c r="B2515" t="s">
        <v>3765</v>
      </c>
      <c r="C2515" t="s">
        <v>3736</v>
      </c>
      <c r="D2515" t="s">
        <v>1174</v>
      </c>
      <c r="E2515" t="s">
        <v>3766</v>
      </c>
      <c r="F2515">
        <v>1758</v>
      </c>
      <c r="G2515">
        <v>89</v>
      </c>
      <c r="H2515" t="s">
        <v>2689</v>
      </c>
      <c r="I2515" t="s">
        <v>39</v>
      </c>
      <c r="J2515" t="s">
        <v>3737</v>
      </c>
      <c r="K2515" t="s">
        <v>38</v>
      </c>
      <c r="L2515" t="s">
        <v>38</v>
      </c>
      <c r="M2515" t="s">
        <v>38</v>
      </c>
      <c r="N2515" t="s">
        <v>38</v>
      </c>
      <c r="O2515" t="s">
        <v>41</v>
      </c>
      <c r="P2515" t="s">
        <v>42</v>
      </c>
      <c r="Q2515" t="s">
        <v>43</v>
      </c>
      <c r="R2515" t="s">
        <v>89</v>
      </c>
      <c r="S2515" t="s">
        <v>38</v>
      </c>
      <c r="T2515" t="s">
        <v>89</v>
      </c>
      <c r="U2515" t="s">
        <v>38</v>
      </c>
      <c r="V2515" t="s">
        <v>91</v>
      </c>
      <c r="W2515" t="s">
        <v>92</v>
      </c>
      <c r="X2515" t="s">
        <v>38</v>
      </c>
      <c r="Y2515" t="s">
        <v>3767</v>
      </c>
      <c r="Z2515" t="s">
        <v>42</v>
      </c>
      <c r="AA2515" t="s">
        <v>38</v>
      </c>
      <c r="AB2515" t="s">
        <v>38</v>
      </c>
      <c r="AC2515" t="s">
        <v>38</v>
      </c>
      <c r="AD2515" t="s">
        <v>48</v>
      </c>
      <c r="AG2515" t="str">
        <f>IF(AD2515="United States", IFERROR(INDEX(Sheet2!$C:$C, MATCH(AE2515&amp;AF2515, Sheet2!$E:$E, 0)) &amp; ", " &amp; INDEX(Sheet2!$D:$D, MATCH(AE2515&amp;AF2515, Sheet2!$E:$E, 0)), ""), "-")</f>
        <v/>
      </c>
    </row>
    <row r="2516" spans="1:33" x14ac:dyDescent="0.25">
      <c r="A2516" t="s">
        <v>3733</v>
      </c>
      <c r="B2516" t="s">
        <v>3768</v>
      </c>
      <c r="C2516" t="s">
        <v>3736</v>
      </c>
      <c r="D2516" t="s">
        <v>1592</v>
      </c>
      <c r="E2516" t="s">
        <v>489</v>
      </c>
      <c r="F2516">
        <v>1767</v>
      </c>
      <c r="G2516">
        <v>90</v>
      </c>
      <c r="H2516" t="s">
        <v>38</v>
      </c>
      <c r="I2516" t="s">
        <v>39</v>
      </c>
      <c r="J2516" t="s">
        <v>3737</v>
      </c>
      <c r="K2516" t="s">
        <v>38</v>
      </c>
      <c r="L2516" t="s">
        <v>38</v>
      </c>
      <c r="M2516" t="s">
        <v>38</v>
      </c>
      <c r="N2516" t="s">
        <v>38</v>
      </c>
      <c r="O2516" t="s">
        <v>54</v>
      </c>
      <c r="P2516" t="s">
        <v>42</v>
      </c>
      <c r="Q2516" t="s">
        <v>43</v>
      </c>
      <c r="R2516" t="s">
        <v>155</v>
      </c>
      <c r="S2516" t="s">
        <v>153</v>
      </c>
      <c r="T2516" t="s">
        <v>38</v>
      </c>
      <c r="U2516" t="s">
        <v>38</v>
      </c>
      <c r="V2516" t="s">
        <v>91</v>
      </c>
      <c r="W2516" t="s">
        <v>38</v>
      </c>
      <c r="X2516" t="s">
        <v>38</v>
      </c>
      <c r="Y2516" t="s">
        <v>3769</v>
      </c>
      <c r="Z2516" t="s">
        <v>42</v>
      </c>
      <c r="AA2516" t="s">
        <v>155</v>
      </c>
      <c r="AB2516" t="s">
        <v>38</v>
      </c>
      <c r="AC2516" t="s">
        <v>153</v>
      </c>
      <c r="AD2516" t="s">
        <v>48</v>
      </c>
      <c r="AG2516" t="str">
        <f>IF(AD2516="United States", IFERROR(INDEX(Sheet2!$C:$C, MATCH(AE2516&amp;AF2516, Sheet2!$E:$E, 0)) &amp; ", " &amp; INDEX(Sheet2!$D:$D, MATCH(AE2516&amp;AF2516, Sheet2!$E:$E, 0)), ""), "-")</f>
        <v/>
      </c>
    </row>
    <row r="2517" spans="1:33" x14ac:dyDescent="0.25">
      <c r="A2517" t="s">
        <v>3733</v>
      </c>
      <c r="B2517" t="s">
        <v>3770</v>
      </c>
      <c r="C2517" t="s">
        <v>3736</v>
      </c>
      <c r="D2517" t="s">
        <v>3771</v>
      </c>
      <c r="E2517" t="s">
        <v>3772</v>
      </c>
      <c r="F2517">
        <v>1764</v>
      </c>
      <c r="G2517">
        <v>113</v>
      </c>
      <c r="H2517" t="s">
        <v>2689</v>
      </c>
      <c r="I2517" t="s">
        <v>39</v>
      </c>
      <c r="J2517" t="s">
        <v>3737</v>
      </c>
      <c r="K2517" t="s">
        <v>38</v>
      </c>
      <c r="L2517" t="s">
        <v>38</v>
      </c>
      <c r="M2517" t="s">
        <v>38</v>
      </c>
      <c r="N2517" t="s">
        <v>38</v>
      </c>
      <c r="O2517" t="s">
        <v>41</v>
      </c>
      <c r="P2517" t="s">
        <v>123</v>
      </c>
      <c r="Q2517" t="s">
        <v>124</v>
      </c>
      <c r="R2517" t="s">
        <v>89</v>
      </c>
      <c r="S2517" t="s">
        <v>38</v>
      </c>
      <c r="T2517" t="s">
        <v>89</v>
      </c>
      <c r="U2517" t="s">
        <v>38</v>
      </c>
      <c r="V2517" t="s">
        <v>91</v>
      </c>
      <c r="W2517" t="s">
        <v>92</v>
      </c>
      <c r="X2517" t="s">
        <v>38</v>
      </c>
      <c r="Y2517" t="s">
        <v>3773</v>
      </c>
      <c r="Z2517" t="s">
        <v>125</v>
      </c>
      <c r="AA2517" t="s">
        <v>38</v>
      </c>
      <c r="AB2517" t="s">
        <v>38</v>
      </c>
      <c r="AC2517" t="s">
        <v>38</v>
      </c>
      <c r="AD2517" t="s">
        <v>48</v>
      </c>
      <c r="AG2517" t="str">
        <f>IF(AD2517="United States", IFERROR(INDEX(Sheet2!$C:$C, MATCH(AE2517&amp;AF2517, Sheet2!$E:$E, 0)) &amp; ", " &amp; INDEX(Sheet2!$D:$D, MATCH(AE2517&amp;AF2517, Sheet2!$E:$E, 0)), ""), "-")</f>
        <v/>
      </c>
    </row>
    <row r="2518" spans="1:33" x14ac:dyDescent="0.25">
      <c r="A2518" t="s">
        <v>3733</v>
      </c>
      <c r="B2518" t="s">
        <v>3774</v>
      </c>
      <c r="C2518" t="s">
        <v>3736</v>
      </c>
      <c r="D2518" t="s">
        <v>463</v>
      </c>
      <c r="E2518" t="s">
        <v>1377</v>
      </c>
      <c r="F2518">
        <v>1768</v>
      </c>
      <c r="G2518">
        <v>92</v>
      </c>
      <c r="H2518" t="s">
        <v>2689</v>
      </c>
      <c r="I2518" t="s">
        <v>39</v>
      </c>
      <c r="J2518" t="s">
        <v>3737</v>
      </c>
      <c r="K2518" t="s">
        <v>38</v>
      </c>
      <c r="L2518" t="s">
        <v>38</v>
      </c>
      <c r="M2518" t="s">
        <v>38</v>
      </c>
      <c r="N2518" t="s">
        <v>38</v>
      </c>
      <c r="O2518" t="s">
        <v>54</v>
      </c>
      <c r="P2518" t="s">
        <v>42</v>
      </c>
      <c r="Q2518" t="s">
        <v>43</v>
      </c>
      <c r="R2518" t="s">
        <v>89</v>
      </c>
      <c r="S2518" t="s">
        <v>38</v>
      </c>
      <c r="T2518" t="s">
        <v>89</v>
      </c>
      <c r="U2518" t="s">
        <v>38</v>
      </c>
      <c r="V2518" t="s">
        <v>91</v>
      </c>
      <c r="W2518" t="s">
        <v>92</v>
      </c>
      <c r="X2518" t="s">
        <v>38</v>
      </c>
      <c r="Y2518" t="s">
        <v>3775</v>
      </c>
      <c r="Z2518" t="s">
        <v>42</v>
      </c>
      <c r="AA2518" t="s">
        <v>3776</v>
      </c>
      <c r="AB2518" t="s">
        <v>1735</v>
      </c>
      <c r="AC2518" t="s">
        <v>562</v>
      </c>
      <c r="AD2518" t="s">
        <v>48</v>
      </c>
      <c r="AG2518" t="str">
        <f>IF(AD2518="United States", IFERROR(INDEX(Sheet2!$C:$C, MATCH(AE2518&amp;AF2518, Sheet2!$E:$E, 0)) &amp; ", " &amp; INDEX(Sheet2!$D:$D, MATCH(AE2518&amp;AF2518, Sheet2!$E:$E, 0)), ""), "-")</f>
        <v/>
      </c>
    </row>
    <row r="2519" spans="1:33" x14ac:dyDescent="0.25">
      <c r="A2519" t="s">
        <v>3733</v>
      </c>
      <c r="B2519" t="s">
        <v>3777</v>
      </c>
      <c r="C2519" t="s">
        <v>3736</v>
      </c>
      <c r="D2519" t="s">
        <v>334</v>
      </c>
      <c r="E2519" t="s">
        <v>3778</v>
      </c>
      <c r="F2519">
        <v>1770</v>
      </c>
      <c r="G2519">
        <v>93</v>
      </c>
      <c r="H2519" t="s">
        <v>2689</v>
      </c>
      <c r="I2519" t="s">
        <v>39</v>
      </c>
      <c r="J2519" t="s">
        <v>3737</v>
      </c>
      <c r="K2519" t="s">
        <v>38</v>
      </c>
      <c r="L2519" t="s">
        <v>38</v>
      </c>
      <c r="M2519" t="s">
        <v>38</v>
      </c>
      <c r="N2519" t="s">
        <v>38</v>
      </c>
      <c r="O2519" t="s">
        <v>54</v>
      </c>
      <c r="P2519" t="s">
        <v>42</v>
      </c>
      <c r="Q2519" t="s">
        <v>43</v>
      </c>
      <c r="R2519" t="s">
        <v>89</v>
      </c>
      <c r="S2519" t="s">
        <v>38</v>
      </c>
      <c r="T2519" t="s">
        <v>89</v>
      </c>
      <c r="U2519" t="s">
        <v>38</v>
      </c>
      <c r="V2519" t="s">
        <v>91</v>
      </c>
      <c r="W2519" t="s">
        <v>92</v>
      </c>
      <c r="X2519" t="s">
        <v>38</v>
      </c>
      <c r="Y2519" t="s">
        <v>3779</v>
      </c>
      <c r="Z2519" t="s">
        <v>42</v>
      </c>
      <c r="AA2519" t="s">
        <v>38</v>
      </c>
      <c r="AB2519" t="s">
        <v>38</v>
      </c>
      <c r="AC2519" t="s">
        <v>38</v>
      </c>
      <c r="AD2519" t="s">
        <v>48</v>
      </c>
      <c r="AG2519" t="str">
        <f>IF(AD2519="United States", IFERROR(INDEX(Sheet2!$C:$C, MATCH(AE2519&amp;AF2519, Sheet2!$E:$E, 0)) &amp; ", " &amp; INDEX(Sheet2!$D:$D, MATCH(AE2519&amp;AF2519, Sheet2!$E:$E, 0)), ""), "-")</f>
        <v/>
      </c>
    </row>
    <row r="2520" spans="1:33" x14ac:dyDescent="0.25">
      <c r="A2520" t="s">
        <v>3733</v>
      </c>
      <c r="B2520" t="s">
        <v>3780</v>
      </c>
      <c r="C2520" t="s">
        <v>3736</v>
      </c>
      <c r="D2520" t="s">
        <v>3144</v>
      </c>
      <c r="E2520" t="s">
        <v>2711</v>
      </c>
      <c r="F2520">
        <v>1755</v>
      </c>
      <c r="G2520">
        <v>94</v>
      </c>
      <c r="H2520" t="s">
        <v>2689</v>
      </c>
      <c r="I2520" t="s">
        <v>39</v>
      </c>
      <c r="J2520" t="s">
        <v>3737</v>
      </c>
      <c r="K2520" t="s">
        <v>38</v>
      </c>
      <c r="L2520" t="s">
        <v>38</v>
      </c>
      <c r="M2520" t="s">
        <v>38</v>
      </c>
      <c r="N2520" t="s">
        <v>38</v>
      </c>
      <c r="O2520" t="s">
        <v>41</v>
      </c>
      <c r="P2520" t="s">
        <v>42</v>
      </c>
      <c r="Q2520" t="s">
        <v>43</v>
      </c>
      <c r="R2520" t="s">
        <v>89</v>
      </c>
      <c r="S2520" t="s">
        <v>153</v>
      </c>
      <c r="T2520" t="s">
        <v>89</v>
      </c>
      <c r="U2520" t="s">
        <v>38</v>
      </c>
      <c r="V2520" t="s">
        <v>91</v>
      </c>
      <c r="W2520" t="s">
        <v>92</v>
      </c>
      <c r="X2520" t="s">
        <v>38</v>
      </c>
      <c r="Y2520" t="s">
        <v>3781</v>
      </c>
      <c r="Z2520" t="s">
        <v>42</v>
      </c>
      <c r="AA2520" t="s">
        <v>38</v>
      </c>
      <c r="AB2520" t="s">
        <v>38</v>
      </c>
      <c r="AC2520" t="s">
        <v>153</v>
      </c>
      <c r="AD2520" t="s">
        <v>48</v>
      </c>
      <c r="AG2520" t="str">
        <f>IF(AD2520="United States", IFERROR(INDEX(Sheet2!$C:$C, MATCH(AE2520&amp;AF2520, Sheet2!$E:$E, 0)) &amp; ", " &amp; INDEX(Sheet2!$D:$D, MATCH(AE2520&amp;AF2520, Sheet2!$E:$E, 0)), ""), "-")</f>
        <v/>
      </c>
    </row>
    <row r="2521" spans="1:33" x14ac:dyDescent="0.25">
      <c r="A2521" t="s">
        <v>3733</v>
      </c>
      <c r="B2521" t="s">
        <v>3782</v>
      </c>
      <c r="C2521" t="s">
        <v>3736</v>
      </c>
      <c r="D2521" t="s">
        <v>1695</v>
      </c>
      <c r="E2521" t="s">
        <v>3783</v>
      </c>
      <c r="F2521">
        <v>1760</v>
      </c>
      <c r="G2521">
        <v>96</v>
      </c>
      <c r="H2521" t="s">
        <v>2689</v>
      </c>
      <c r="I2521" t="s">
        <v>39</v>
      </c>
      <c r="J2521" t="s">
        <v>3737</v>
      </c>
      <c r="K2521" t="s">
        <v>38</v>
      </c>
      <c r="L2521" t="s">
        <v>38</v>
      </c>
      <c r="M2521" t="s">
        <v>38</v>
      </c>
      <c r="N2521" t="s">
        <v>38</v>
      </c>
      <c r="O2521" t="s">
        <v>41</v>
      </c>
      <c r="P2521" t="s">
        <v>125</v>
      </c>
      <c r="Q2521" t="s">
        <v>124</v>
      </c>
      <c r="R2521" t="s">
        <v>89</v>
      </c>
      <c r="S2521" t="s">
        <v>38</v>
      </c>
      <c r="T2521" t="s">
        <v>89</v>
      </c>
      <c r="U2521" t="s">
        <v>38</v>
      </c>
      <c r="V2521" t="s">
        <v>91</v>
      </c>
      <c r="W2521" t="s">
        <v>92</v>
      </c>
      <c r="X2521" t="s">
        <v>38</v>
      </c>
      <c r="Y2521" t="s">
        <v>3756</v>
      </c>
      <c r="Z2521" t="s">
        <v>125</v>
      </c>
      <c r="AA2521" t="s">
        <v>38</v>
      </c>
      <c r="AB2521" t="s">
        <v>38</v>
      </c>
      <c r="AC2521" t="s">
        <v>155</v>
      </c>
      <c r="AD2521" t="s">
        <v>48</v>
      </c>
      <c r="AG2521" t="str">
        <f>IF(AD2521="United States", IFERROR(INDEX(Sheet2!$C:$C, MATCH(AE2521&amp;AF2521, Sheet2!$E:$E, 0)) &amp; ", " &amp; INDEX(Sheet2!$D:$D, MATCH(AE2521&amp;AF2521, Sheet2!$E:$E, 0)), ""), "-")</f>
        <v/>
      </c>
    </row>
    <row r="2522" spans="1:33" x14ac:dyDescent="0.25">
      <c r="A2522" t="s">
        <v>3733</v>
      </c>
      <c r="B2522" t="s">
        <v>3784</v>
      </c>
      <c r="C2522" t="s">
        <v>3736</v>
      </c>
      <c r="D2522" t="s">
        <v>36</v>
      </c>
      <c r="E2522" t="s">
        <v>651</v>
      </c>
      <c r="F2522">
        <v>1765</v>
      </c>
      <c r="G2522">
        <v>97</v>
      </c>
      <c r="H2522" t="s">
        <v>2689</v>
      </c>
      <c r="I2522" t="s">
        <v>39</v>
      </c>
      <c r="J2522" t="s">
        <v>3737</v>
      </c>
      <c r="K2522" t="s">
        <v>38</v>
      </c>
      <c r="L2522" t="s">
        <v>38</v>
      </c>
      <c r="M2522" t="s">
        <v>38</v>
      </c>
      <c r="N2522" t="s">
        <v>38</v>
      </c>
      <c r="O2522" t="s">
        <v>41</v>
      </c>
      <c r="P2522" t="s">
        <v>42</v>
      </c>
      <c r="Q2522" t="s">
        <v>43</v>
      </c>
      <c r="R2522" t="s">
        <v>89</v>
      </c>
      <c r="S2522" t="s">
        <v>38</v>
      </c>
      <c r="T2522" t="s">
        <v>89</v>
      </c>
      <c r="U2522" t="s">
        <v>38</v>
      </c>
      <c r="V2522" t="s">
        <v>91</v>
      </c>
      <c r="W2522" t="s">
        <v>92</v>
      </c>
      <c r="X2522" t="s">
        <v>38</v>
      </c>
      <c r="Y2522" t="s">
        <v>3785</v>
      </c>
      <c r="Z2522" t="s">
        <v>42</v>
      </c>
      <c r="AA2522" t="s">
        <v>38</v>
      </c>
      <c r="AB2522" t="s">
        <v>38</v>
      </c>
      <c r="AC2522" t="s">
        <v>155</v>
      </c>
      <c r="AD2522" t="s">
        <v>48</v>
      </c>
      <c r="AG2522" t="str">
        <f>IF(AD2522="United States", IFERROR(INDEX(Sheet2!$C:$C, MATCH(AE2522&amp;AF2522, Sheet2!$E:$E, 0)) &amp; ", " &amp; INDEX(Sheet2!$D:$D, MATCH(AE2522&amp;AF2522, Sheet2!$E:$E, 0)), ""), "-")</f>
        <v/>
      </c>
    </row>
    <row r="2523" spans="1:33" x14ac:dyDescent="0.25">
      <c r="A2523" t="s">
        <v>3733</v>
      </c>
      <c r="B2523" t="s">
        <v>3786</v>
      </c>
      <c r="C2523" t="s">
        <v>3736</v>
      </c>
      <c r="D2523" t="s">
        <v>445</v>
      </c>
      <c r="E2523" t="s">
        <v>3787</v>
      </c>
      <c r="F2523">
        <v>1757</v>
      </c>
      <c r="G2523">
        <v>98</v>
      </c>
      <c r="H2523" t="s">
        <v>38</v>
      </c>
      <c r="I2523" t="s">
        <v>39</v>
      </c>
      <c r="J2523" t="s">
        <v>3737</v>
      </c>
      <c r="K2523" t="s">
        <v>38</v>
      </c>
      <c r="L2523" t="s">
        <v>38</v>
      </c>
      <c r="M2523" t="s">
        <v>38</v>
      </c>
      <c r="N2523" t="s">
        <v>38</v>
      </c>
      <c r="O2523" t="s">
        <v>57</v>
      </c>
      <c r="P2523" t="s">
        <v>42</v>
      </c>
      <c r="Q2523" t="s">
        <v>43</v>
      </c>
      <c r="R2523" t="s">
        <v>3788</v>
      </c>
      <c r="S2523" t="s">
        <v>165</v>
      </c>
      <c r="T2523" t="s">
        <v>38</v>
      </c>
      <c r="U2523" t="s">
        <v>38</v>
      </c>
      <c r="V2523" t="s">
        <v>91</v>
      </c>
      <c r="W2523" t="s">
        <v>38</v>
      </c>
      <c r="X2523" t="s">
        <v>38</v>
      </c>
      <c r="Y2523" t="s">
        <v>3789</v>
      </c>
      <c r="Z2523" t="s">
        <v>42</v>
      </c>
      <c r="AA2523" t="s">
        <v>38</v>
      </c>
      <c r="AB2523" t="s">
        <v>38</v>
      </c>
      <c r="AC2523" t="s">
        <v>165</v>
      </c>
      <c r="AD2523" t="s">
        <v>48</v>
      </c>
      <c r="AG2523" t="str">
        <f>IF(AD2523="United States", IFERROR(INDEX(Sheet2!$C:$C, MATCH(AE2523&amp;AF2523, Sheet2!$E:$E, 0)) &amp; ", " &amp; INDEX(Sheet2!$D:$D, MATCH(AE2523&amp;AF2523, Sheet2!$E:$E, 0)), ""), "-")</f>
        <v/>
      </c>
    </row>
    <row r="2524" spans="1:33" x14ac:dyDescent="0.25">
      <c r="A2524" t="s">
        <v>3733</v>
      </c>
      <c r="B2524" t="s">
        <v>3790</v>
      </c>
      <c r="C2524" t="s">
        <v>3736</v>
      </c>
      <c r="D2524" t="s">
        <v>245</v>
      </c>
      <c r="E2524" t="s">
        <v>3787</v>
      </c>
      <c r="F2524">
        <v>1774</v>
      </c>
      <c r="G2524">
        <v>99</v>
      </c>
      <c r="H2524" t="s">
        <v>2689</v>
      </c>
      <c r="I2524" t="s">
        <v>39</v>
      </c>
      <c r="J2524" t="s">
        <v>3737</v>
      </c>
      <c r="K2524" t="s">
        <v>38</v>
      </c>
      <c r="L2524" t="s">
        <v>38</v>
      </c>
      <c r="M2524" t="s">
        <v>38</v>
      </c>
      <c r="N2524" t="s">
        <v>38</v>
      </c>
      <c r="O2524" t="s">
        <v>74</v>
      </c>
      <c r="P2524" t="s">
        <v>42</v>
      </c>
      <c r="Q2524" t="s">
        <v>43</v>
      </c>
      <c r="R2524" t="s">
        <v>89</v>
      </c>
      <c r="S2524" t="s">
        <v>165</v>
      </c>
      <c r="T2524" t="s">
        <v>89</v>
      </c>
      <c r="U2524" t="s">
        <v>38</v>
      </c>
      <c r="V2524" t="s">
        <v>91</v>
      </c>
      <c r="W2524" t="s">
        <v>92</v>
      </c>
      <c r="X2524" t="s">
        <v>38</v>
      </c>
      <c r="Y2524" t="s">
        <v>3789</v>
      </c>
      <c r="Z2524" t="s">
        <v>42</v>
      </c>
      <c r="AA2524" t="s">
        <v>38</v>
      </c>
      <c r="AB2524" t="s">
        <v>38</v>
      </c>
      <c r="AC2524" t="s">
        <v>165</v>
      </c>
      <c r="AD2524" t="s">
        <v>48</v>
      </c>
      <c r="AG2524" t="str">
        <f>IF(AD2524="United States", IFERROR(INDEX(Sheet2!$C:$C, MATCH(AE2524&amp;AF2524, Sheet2!$E:$E, 0)) &amp; ", " &amp; INDEX(Sheet2!$D:$D, MATCH(AE2524&amp;AF2524, Sheet2!$E:$E, 0)), ""), "-")</f>
        <v/>
      </c>
    </row>
    <row r="2525" spans="1:33" x14ac:dyDescent="0.25">
      <c r="A2525" t="s">
        <v>3733</v>
      </c>
      <c r="B2525" t="s">
        <v>3791</v>
      </c>
      <c r="C2525" t="s">
        <v>3736</v>
      </c>
      <c r="D2525" t="s">
        <v>150</v>
      </c>
      <c r="E2525" t="s">
        <v>3787</v>
      </c>
      <c r="F2525">
        <v>1776</v>
      </c>
      <c r="G2525">
        <v>100</v>
      </c>
      <c r="H2525" t="s">
        <v>2689</v>
      </c>
      <c r="I2525" t="s">
        <v>39</v>
      </c>
      <c r="J2525" t="s">
        <v>3737</v>
      </c>
      <c r="K2525" t="s">
        <v>38</v>
      </c>
      <c r="L2525" t="s">
        <v>38</v>
      </c>
      <c r="M2525" t="s">
        <v>38</v>
      </c>
      <c r="N2525" t="s">
        <v>38</v>
      </c>
      <c r="O2525" t="s">
        <v>74</v>
      </c>
      <c r="P2525" t="s">
        <v>42</v>
      </c>
      <c r="Q2525" t="s">
        <v>43</v>
      </c>
      <c r="R2525" t="s">
        <v>89</v>
      </c>
      <c r="S2525" t="s">
        <v>165</v>
      </c>
      <c r="T2525" t="s">
        <v>89</v>
      </c>
      <c r="U2525" t="s">
        <v>38</v>
      </c>
      <c r="V2525" t="s">
        <v>91</v>
      </c>
      <c r="W2525" t="s">
        <v>92</v>
      </c>
      <c r="X2525" t="s">
        <v>38</v>
      </c>
      <c r="Y2525" t="s">
        <v>3789</v>
      </c>
      <c r="Z2525" t="s">
        <v>42</v>
      </c>
      <c r="AA2525" t="s">
        <v>38</v>
      </c>
      <c r="AB2525" t="s">
        <v>38</v>
      </c>
      <c r="AC2525" t="s">
        <v>165</v>
      </c>
      <c r="AD2525" t="s">
        <v>48</v>
      </c>
      <c r="AG2525" t="str">
        <f>IF(AD2525="United States", IFERROR(INDEX(Sheet2!$C:$C, MATCH(AE2525&amp;AF2525, Sheet2!$E:$E, 0)) &amp; ", " &amp; INDEX(Sheet2!$D:$D, MATCH(AE2525&amp;AF2525, Sheet2!$E:$E, 0)), ""), "-")</f>
        <v/>
      </c>
    </row>
    <row r="2526" spans="1:33" x14ac:dyDescent="0.25">
      <c r="A2526" t="s">
        <v>3733</v>
      </c>
      <c r="B2526" t="s">
        <v>3792</v>
      </c>
      <c r="C2526" t="s">
        <v>3736</v>
      </c>
      <c r="D2526" t="s">
        <v>226</v>
      </c>
      <c r="E2526" t="s">
        <v>496</v>
      </c>
      <c r="F2526">
        <v>1762</v>
      </c>
      <c r="G2526">
        <v>101</v>
      </c>
      <c r="H2526" t="s">
        <v>2689</v>
      </c>
      <c r="I2526" t="s">
        <v>39</v>
      </c>
      <c r="J2526" t="s">
        <v>3737</v>
      </c>
      <c r="K2526" t="s">
        <v>38</v>
      </c>
      <c r="L2526" t="s">
        <v>38</v>
      </c>
      <c r="M2526" t="s">
        <v>38</v>
      </c>
      <c r="N2526" t="s">
        <v>38</v>
      </c>
      <c r="O2526" t="s">
        <v>41</v>
      </c>
      <c r="P2526" t="s">
        <v>42</v>
      </c>
      <c r="Q2526" t="s">
        <v>43</v>
      </c>
      <c r="R2526" t="s">
        <v>89</v>
      </c>
      <c r="S2526" t="s">
        <v>38</v>
      </c>
      <c r="T2526" t="s">
        <v>89</v>
      </c>
      <c r="U2526" t="s">
        <v>38</v>
      </c>
      <c r="V2526" t="s">
        <v>91</v>
      </c>
      <c r="W2526" t="s">
        <v>92</v>
      </c>
      <c r="X2526" t="s">
        <v>38</v>
      </c>
      <c r="Y2526" t="s">
        <v>3785</v>
      </c>
      <c r="Z2526" t="s">
        <v>42</v>
      </c>
      <c r="AA2526" t="s">
        <v>3793</v>
      </c>
      <c r="AB2526" t="s">
        <v>38</v>
      </c>
      <c r="AC2526" t="s">
        <v>70</v>
      </c>
      <c r="AD2526" t="s">
        <v>48</v>
      </c>
      <c r="AG2526" t="str">
        <f>IF(AD2526="United States", IFERROR(INDEX(Sheet2!$C:$C, MATCH(AE2526&amp;AF2526, Sheet2!$E:$E, 0)) &amp; ", " &amp; INDEX(Sheet2!$D:$D, MATCH(AE2526&amp;AF2526, Sheet2!$E:$E, 0)), ""), "-")</f>
        <v/>
      </c>
    </row>
    <row r="2527" spans="1:33" x14ac:dyDescent="0.25">
      <c r="A2527" t="s">
        <v>3733</v>
      </c>
      <c r="B2527" t="s">
        <v>3794</v>
      </c>
      <c r="C2527" t="s">
        <v>3736</v>
      </c>
      <c r="D2527" t="s">
        <v>3795</v>
      </c>
      <c r="E2527" t="s">
        <v>3776</v>
      </c>
      <c r="F2527">
        <v>1756</v>
      </c>
      <c r="G2527">
        <v>102</v>
      </c>
      <c r="H2527" t="s">
        <v>2689</v>
      </c>
      <c r="I2527" t="s">
        <v>39</v>
      </c>
      <c r="J2527" t="s">
        <v>3737</v>
      </c>
      <c r="K2527" t="s">
        <v>38</v>
      </c>
      <c r="L2527" t="s">
        <v>38</v>
      </c>
      <c r="M2527" t="s">
        <v>38</v>
      </c>
      <c r="N2527" t="s">
        <v>38</v>
      </c>
      <c r="O2527" t="s">
        <v>41</v>
      </c>
      <c r="P2527" t="s">
        <v>42</v>
      </c>
      <c r="Q2527" t="s">
        <v>43</v>
      </c>
      <c r="R2527" t="s">
        <v>89</v>
      </c>
      <c r="S2527" t="s">
        <v>38</v>
      </c>
      <c r="T2527" t="s">
        <v>89</v>
      </c>
      <c r="U2527" t="s">
        <v>38</v>
      </c>
      <c r="V2527" t="s">
        <v>91</v>
      </c>
      <c r="W2527" t="s">
        <v>92</v>
      </c>
      <c r="X2527" t="s">
        <v>38</v>
      </c>
      <c r="Y2527" t="s">
        <v>3796</v>
      </c>
      <c r="Z2527" t="s">
        <v>42</v>
      </c>
      <c r="AA2527" t="s">
        <v>3795</v>
      </c>
      <c r="AB2527" t="s">
        <v>38</v>
      </c>
      <c r="AC2527" t="s">
        <v>3797</v>
      </c>
      <c r="AD2527" t="s">
        <v>48</v>
      </c>
      <c r="AG2527" t="str">
        <f>IF(AD2527="United States", IFERROR(INDEX(Sheet2!$C:$C, MATCH(AE2527&amp;AF2527, Sheet2!$E:$E, 0)) &amp; ", " &amp; INDEX(Sheet2!$D:$D, MATCH(AE2527&amp;AF2527, Sheet2!$E:$E, 0)), ""), "-")</f>
        <v/>
      </c>
    </row>
    <row r="2528" spans="1:33" x14ac:dyDescent="0.25">
      <c r="A2528" t="s">
        <v>3733</v>
      </c>
      <c r="B2528" t="s">
        <v>3798</v>
      </c>
      <c r="C2528" t="s">
        <v>3736</v>
      </c>
      <c r="D2528" t="s">
        <v>132</v>
      </c>
      <c r="E2528" t="s">
        <v>569</v>
      </c>
      <c r="F2528">
        <v>1763</v>
      </c>
      <c r="G2528">
        <v>103</v>
      </c>
      <c r="H2528" t="s">
        <v>2689</v>
      </c>
      <c r="I2528" t="s">
        <v>39</v>
      </c>
      <c r="J2528" t="s">
        <v>3737</v>
      </c>
      <c r="K2528" t="s">
        <v>38</v>
      </c>
      <c r="L2528" t="s">
        <v>38</v>
      </c>
      <c r="M2528" t="s">
        <v>38</v>
      </c>
      <c r="N2528" t="s">
        <v>38</v>
      </c>
      <c r="O2528" t="s">
        <v>41</v>
      </c>
      <c r="P2528" t="s">
        <v>42</v>
      </c>
      <c r="Q2528" t="s">
        <v>43</v>
      </c>
      <c r="R2528" t="s">
        <v>89</v>
      </c>
      <c r="S2528" t="s">
        <v>38</v>
      </c>
      <c r="T2528" t="s">
        <v>89</v>
      </c>
      <c r="U2528" t="s">
        <v>38</v>
      </c>
      <c r="V2528" t="s">
        <v>91</v>
      </c>
      <c r="W2528" t="s">
        <v>92</v>
      </c>
      <c r="X2528" t="s">
        <v>38</v>
      </c>
      <c r="Y2528" t="s">
        <v>3741</v>
      </c>
      <c r="Z2528" t="s">
        <v>42</v>
      </c>
      <c r="AA2528" t="s">
        <v>38</v>
      </c>
      <c r="AB2528" t="s">
        <v>38</v>
      </c>
      <c r="AC2528" t="s">
        <v>38</v>
      </c>
      <c r="AD2528" t="s">
        <v>48</v>
      </c>
      <c r="AG2528" t="str">
        <f>IF(AD2528="United States", IFERROR(INDEX(Sheet2!$C:$C, MATCH(AE2528&amp;AF2528, Sheet2!$E:$E, 0)) &amp; ", " &amp; INDEX(Sheet2!$D:$D, MATCH(AE2528&amp;AF2528, Sheet2!$E:$E, 0)), ""), "-")</f>
        <v/>
      </c>
    </row>
    <row r="2529" spans="1:33" x14ac:dyDescent="0.25">
      <c r="A2529" t="s">
        <v>3733</v>
      </c>
      <c r="B2529" t="s">
        <v>3799</v>
      </c>
      <c r="C2529" t="s">
        <v>3736</v>
      </c>
      <c r="D2529" t="s">
        <v>357</v>
      </c>
      <c r="E2529" t="s">
        <v>3578</v>
      </c>
      <c r="F2529">
        <v>1745</v>
      </c>
      <c r="G2529">
        <v>104</v>
      </c>
      <c r="H2529" t="s">
        <v>2689</v>
      </c>
      <c r="I2529" t="s">
        <v>39</v>
      </c>
      <c r="J2529" t="s">
        <v>3737</v>
      </c>
      <c r="K2529" t="s">
        <v>38</v>
      </c>
      <c r="L2529" t="s">
        <v>38</v>
      </c>
      <c r="M2529" t="s">
        <v>38</v>
      </c>
      <c r="N2529" t="s">
        <v>38</v>
      </c>
      <c r="O2529" t="s">
        <v>41</v>
      </c>
      <c r="P2529" t="s">
        <v>42</v>
      </c>
      <c r="Q2529" t="s">
        <v>43</v>
      </c>
      <c r="R2529" t="s">
        <v>89</v>
      </c>
      <c r="S2529" t="s">
        <v>38</v>
      </c>
      <c r="T2529" t="s">
        <v>89</v>
      </c>
      <c r="U2529" t="s">
        <v>38</v>
      </c>
      <c r="V2529" t="s">
        <v>91</v>
      </c>
      <c r="W2529" t="s">
        <v>92</v>
      </c>
      <c r="X2529" t="s">
        <v>38</v>
      </c>
      <c r="Y2529" t="s">
        <v>3785</v>
      </c>
      <c r="Z2529" t="s">
        <v>42</v>
      </c>
      <c r="AA2529" t="s">
        <v>38</v>
      </c>
      <c r="AB2529" t="s">
        <v>38</v>
      </c>
      <c r="AC2529" t="s">
        <v>3800</v>
      </c>
      <c r="AD2529" t="s">
        <v>48</v>
      </c>
      <c r="AG2529" t="str">
        <f>IF(AD2529="United States", IFERROR(INDEX(Sheet2!$C:$C, MATCH(AE2529&amp;AF2529, Sheet2!$E:$E, 0)) &amp; ", " &amp; INDEX(Sheet2!$D:$D, MATCH(AE2529&amp;AF2529, Sheet2!$E:$E, 0)), ""), "-")</f>
        <v/>
      </c>
    </row>
    <row r="2530" spans="1:33" x14ac:dyDescent="0.25">
      <c r="A2530" t="s">
        <v>3733</v>
      </c>
      <c r="B2530" t="s">
        <v>3801</v>
      </c>
      <c r="C2530" t="s">
        <v>3736</v>
      </c>
      <c r="D2530" t="s">
        <v>3802</v>
      </c>
      <c r="E2530" t="s">
        <v>3803</v>
      </c>
      <c r="F2530">
        <v>1763</v>
      </c>
      <c r="G2530">
        <v>105</v>
      </c>
      <c r="H2530" t="s">
        <v>2689</v>
      </c>
      <c r="I2530" t="s">
        <v>39</v>
      </c>
      <c r="J2530" t="s">
        <v>3737</v>
      </c>
      <c r="K2530" t="s">
        <v>38</v>
      </c>
      <c r="L2530" t="s">
        <v>38</v>
      </c>
      <c r="M2530" t="s">
        <v>38</v>
      </c>
      <c r="N2530" t="s">
        <v>38</v>
      </c>
      <c r="O2530" t="s">
        <v>41</v>
      </c>
      <c r="P2530" t="s">
        <v>42</v>
      </c>
      <c r="Q2530" t="s">
        <v>43</v>
      </c>
      <c r="R2530" t="s">
        <v>89</v>
      </c>
      <c r="S2530" t="s">
        <v>38</v>
      </c>
      <c r="T2530" t="s">
        <v>89</v>
      </c>
      <c r="U2530" t="s">
        <v>38</v>
      </c>
      <c r="V2530" t="s">
        <v>91</v>
      </c>
      <c r="W2530" t="s">
        <v>92</v>
      </c>
      <c r="X2530" t="s">
        <v>38</v>
      </c>
      <c r="Y2530" t="s">
        <v>3804</v>
      </c>
      <c r="Z2530" t="s">
        <v>42</v>
      </c>
      <c r="AA2530" t="s">
        <v>38</v>
      </c>
      <c r="AB2530" t="s">
        <v>38</v>
      </c>
      <c r="AC2530" t="s">
        <v>233</v>
      </c>
      <c r="AD2530" t="s">
        <v>48</v>
      </c>
      <c r="AG2530" t="str">
        <f>IF(AD2530="United States", IFERROR(INDEX(Sheet2!$C:$C, MATCH(AE2530&amp;AF2530, Sheet2!$E:$E, 0)) &amp; ", " &amp; INDEX(Sheet2!$D:$D, MATCH(AE2530&amp;AF2530, Sheet2!$E:$E, 0)), ""), "-")</f>
        <v/>
      </c>
    </row>
    <row r="2531" spans="1:33" x14ac:dyDescent="0.25">
      <c r="A2531" t="s">
        <v>3733</v>
      </c>
      <c r="B2531" t="s">
        <v>3805</v>
      </c>
      <c r="C2531" t="s">
        <v>3736</v>
      </c>
      <c r="D2531" t="s">
        <v>113</v>
      </c>
      <c r="E2531" t="s">
        <v>704</v>
      </c>
      <c r="F2531">
        <v>1753</v>
      </c>
      <c r="G2531">
        <v>106</v>
      </c>
      <c r="H2531" t="s">
        <v>2689</v>
      </c>
      <c r="I2531" t="s">
        <v>39</v>
      </c>
      <c r="J2531" t="s">
        <v>3737</v>
      </c>
      <c r="K2531" t="s">
        <v>38</v>
      </c>
      <c r="L2531" t="s">
        <v>38</v>
      </c>
      <c r="M2531" t="s">
        <v>38</v>
      </c>
      <c r="N2531" t="s">
        <v>38</v>
      </c>
      <c r="O2531" t="s">
        <v>41</v>
      </c>
      <c r="P2531" t="s">
        <v>42</v>
      </c>
      <c r="Q2531" t="s">
        <v>43</v>
      </c>
      <c r="R2531" t="s">
        <v>89</v>
      </c>
      <c r="S2531" t="s">
        <v>38</v>
      </c>
      <c r="T2531" t="s">
        <v>89</v>
      </c>
      <c r="U2531" t="s">
        <v>38</v>
      </c>
      <c r="V2531" t="s">
        <v>91</v>
      </c>
      <c r="W2531" t="s">
        <v>92</v>
      </c>
      <c r="X2531" t="s">
        <v>38</v>
      </c>
      <c r="Y2531" t="s">
        <v>3751</v>
      </c>
      <c r="Z2531" t="s">
        <v>42</v>
      </c>
      <c r="AA2531" t="s">
        <v>38</v>
      </c>
      <c r="AB2531" t="s">
        <v>38</v>
      </c>
      <c r="AC2531" t="s">
        <v>38</v>
      </c>
      <c r="AD2531" t="s">
        <v>48</v>
      </c>
      <c r="AG2531" t="str">
        <f>IF(AD2531="United States", IFERROR(INDEX(Sheet2!$C:$C, MATCH(AE2531&amp;AF2531, Sheet2!$E:$E, 0)) &amp; ", " &amp; INDEX(Sheet2!$D:$D, MATCH(AE2531&amp;AF2531, Sheet2!$E:$E, 0)), ""), "-")</f>
        <v/>
      </c>
    </row>
    <row r="2532" spans="1:33" x14ac:dyDescent="0.25">
      <c r="A2532" t="s">
        <v>3733</v>
      </c>
      <c r="B2532" t="s">
        <v>3806</v>
      </c>
      <c r="C2532" t="s">
        <v>3736</v>
      </c>
      <c r="D2532" t="s">
        <v>463</v>
      </c>
      <c r="E2532" t="s">
        <v>3807</v>
      </c>
      <c r="F2532">
        <v>1758</v>
      </c>
      <c r="G2532">
        <v>78</v>
      </c>
      <c r="H2532" t="s">
        <v>2689</v>
      </c>
      <c r="I2532" t="s">
        <v>39</v>
      </c>
      <c r="J2532" t="s">
        <v>3737</v>
      </c>
      <c r="K2532" t="s">
        <v>38</v>
      </c>
      <c r="L2532" t="s">
        <v>38</v>
      </c>
      <c r="M2532" t="s">
        <v>38</v>
      </c>
      <c r="N2532" t="s">
        <v>38</v>
      </c>
      <c r="O2532" t="s">
        <v>41</v>
      </c>
      <c r="P2532" t="s">
        <v>125</v>
      </c>
      <c r="Q2532" t="s">
        <v>124</v>
      </c>
      <c r="R2532" t="s">
        <v>89</v>
      </c>
      <c r="S2532" t="s">
        <v>38</v>
      </c>
      <c r="T2532" t="s">
        <v>89</v>
      </c>
      <c r="U2532" t="s">
        <v>38</v>
      </c>
      <c r="V2532" t="s">
        <v>91</v>
      </c>
      <c r="W2532" t="s">
        <v>92</v>
      </c>
      <c r="X2532" t="s">
        <v>38</v>
      </c>
      <c r="Y2532" t="s">
        <v>3743</v>
      </c>
      <c r="Z2532" t="s">
        <v>125</v>
      </c>
      <c r="AA2532" t="s">
        <v>38</v>
      </c>
      <c r="AB2532" t="s">
        <v>38</v>
      </c>
      <c r="AC2532" t="s">
        <v>38</v>
      </c>
      <c r="AD2532" t="s">
        <v>48</v>
      </c>
      <c r="AG2532" t="str">
        <f>IF(AD2532="United States", IFERROR(INDEX(Sheet2!$C:$C, MATCH(AE2532&amp;AF2532, Sheet2!$E:$E, 0)) &amp; ", " &amp; INDEX(Sheet2!$D:$D, MATCH(AE2532&amp;AF2532, Sheet2!$E:$E, 0)), ""), "-")</f>
        <v/>
      </c>
    </row>
    <row r="2533" spans="1:33" x14ac:dyDescent="0.25">
      <c r="A2533" t="s">
        <v>3733</v>
      </c>
      <c r="B2533" t="s">
        <v>3808</v>
      </c>
      <c r="C2533" t="s">
        <v>3736</v>
      </c>
      <c r="D2533" t="s">
        <v>177</v>
      </c>
      <c r="E2533" t="s">
        <v>191</v>
      </c>
      <c r="F2533">
        <v>1762</v>
      </c>
      <c r="G2533">
        <v>77</v>
      </c>
      <c r="H2533" t="s">
        <v>2689</v>
      </c>
      <c r="I2533" t="s">
        <v>39</v>
      </c>
      <c r="J2533" t="s">
        <v>3737</v>
      </c>
      <c r="K2533" t="s">
        <v>38</v>
      </c>
      <c r="L2533" t="s">
        <v>38</v>
      </c>
      <c r="M2533" t="s">
        <v>38</v>
      </c>
      <c r="N2533" t="s">
        <v>38</v>
      </c>
      <c r="O2533" t="s">
        <v>41</v>
      </c>
      <c r="P2533" t="s">
        <v>42</v>
      </c>
      <c r="Q2533" t="s">
        <v>43</v>
      </c>
      <c r="R2533" t="s">
        <v>89</v>
      </c>
      <c r="S2533" t="s">
        <v>1063</v>
      </c>
      <c r="T2533" t="s">
        <v>89</v>
      </c>
      <c r="U2533" t="s">
        <v>38</v>
      </c>
      <c r="V2533" t="s">
        <v>91</v>
      </c>
      <c r="W2533" t="s">
        <v>92</v>
      </c>
      <c r="X2533" t="s">
        <v>38</v>
      </c>
      <c r="Y2533" t="s">
        <v>3809</v>
      </c>
      <c r="Z2533" t="s">
        <v>42</v>
      </c>
      <c r="AA2533" t="s">
        <v>38</v>
      </c>
      <c r="AB2533" t="s">
        <v>38</v>
      </c>
      <c r="AC2533" t="s">
        <v>38</v>
      </c>
      <c r="AD2533" t="s">
        <v>48</v>
      </c>
      <c r="AG2533" t="str">
        <f>IF(AD2533="United States", IFERROR(INDEX(Sheet2!$C:$C, MATCH(AE2533&amp;AF2533, Sheet2!$E:$E, 0)) &amp; ", " &amp; INDEX(Sheet2!$D:$D, MATCH(AE2533&amp;AF2533, Sheet2!$E:$E, 0)), ""), "-")</f>
        <v/>
      </c>
    </row>
    <row r="2534" spans="1:33" x14ac:dyDescent="0.25">
      <c r="A2534" t="s">
        <v>3733</v>
      </c>
      <c r="B2534" t="s">
        <v>3810</v>
      </c>
      <c r="C2534" t="s">
        <v>3736</v>
      </c>
      <c r="D2534" t="s">
        <v>36</v>
      </c>
      <c r="E2534" t="s">
        <v>3811</v>
      </c>
      <c r="F2534">
        <v>1761</v>
      </c>
      <c r="G2534">
        <v>82</v>
      </c>
      <c r="H2534" t="s">
        <v>2689</v>
      </c>
      <c r="I2534" t="s">
        <v>39</v>
      </c>
      <c r="J2534" t="s">
        <v>3737</v>
      </c>
      <c r="K2534" t="s">
        <v>38</v>
      </c>
      <c r="L2534" t="s">
        <v>38</v>
      </c>
      <c r="M2534" t="s">
        <v>38</v>
      </c>
      <c r="N2534" t="s">
        <v>38</v>
      </c>
      <c r="O2534" t="s">
        <v>41</v>
      </c>
      <c r="P2534" t="s">
        <v>42</v>
      </c>
      <c r="Q2534" t="s">
        <v>43</v>
      </c>
      <c r="R2534" t="s">
        <v>89</v>
      </c>
      <c r="S2534" t="s">
        <v>1063</v>
      </c>
      <c r="T2534" t="s">
        <v>89</v>
      </c>
      <c r="U2534" t="s">
        <v>38</v>
      </c>
      <c r="V2534" t="s">
        <v>91</v>
      </c>
      <c r="W2534" t="s">
        <v>92</v>
      </c>
      <c r="X2534" t="s">
        <v>38</v>
      </c>
      <c r="Y2534" t="s">
        <v>3741</v>
      </c>
      <c r="Z2534" t="s">
        <v>42</v>
      </c>
      <c r="AA2534" t="s">
        <v>38</v>
      </c>
      <c r="AB2534" t="s">
        <v>38</v>
      </c>
      <c r="AC2534" t="s">
        <v>1063</v>
      </c>
      <c r="AD2534" t="s">
        <v>48</v>
      </c>
      <c r="AG2534" t="str">
        <f>IF(AD2534="United States", IFERROR(INDEX(Sheet2!$C:$C, MATCH(AE2534&amp;AF2534, Sheet2!$E:$E, 0)) &amp; ", " &amp; INDEX(Sheet2!$D:$D, MATCH(AE2534&amp;AF2534, Sheet2!$E:$E, 0)), ""), "-")</f>
        <v/>
      </c>
    </row>
    <row r="2535" spans="1:33" x14ac:dyDescent="0.25">
      <c r="A2535" t="s">
        <v>3733</v>
      </c>
      <c r="B2535" t="s">
        <v>3812</v>
      </c>
      <c r="C2535" t="s">
        <v>3736</v>
      </c>
      <c r="D2535" t="s">
        <v>1110</v>
      </c>
      <c r="E2535" t="s">
        <v>1667</v>
      </c>
      <c r="F2535">
        <v>1761</v>
      </c>
      <c r="G2535">
        <v>75</v>
      </c>
      <c r="H2535" t="s">
        <v>78</v>
      </c>
      <c r="I2535" t="s">
        <v>39</v>
      </c>
      <c r="J2535" t="s">
        <v>3737</v>
      </c>
      <c r="K2535" t="s">
        <v>200</v>
      </c>
      <c r="L2535" t="s">
        <v>1116</v>
      </c>
      <c r="M2535" t="s">
        <v>38</v>
      </c>
      <c r="N2535" t="s">
        <v>38</v>
      </c>
      <c r="O2535" t="s">
        <v>41</v>
      </c>
      <c r="P2535" t="s">
        <v>42</v>
      </c>
      <c r="Q2535" t="s">
        <v>43</v>
      </c>
      <c r="R2535" t="s">
        <v>89</v>
      </c>
      <c r="S2535" t="s">
        <v>89</v>
      </c>
      <c r="T2535" t="s">
        <v>89</v>
      </c>
      <c r="U2535" t="s">
        <v>38</v>
      </c>
      <c r="V2535" t="s">
        <v>91</v>
      </c>
      <c r="W2535" t="s">
        <v>92</v>
      </c>
      <c r="X2535" t="s">
        <v>38</v>
      </c>
      <c r="Y2535" t="s">
        <v>3813</v>
      </c>
      <c r="Z2535" t="s">
        <v>42</v>
      </c>
      <c r="AA2535" t="s">
        <v>155</v>
      </c>
      <c r="AB2535" t="s">
        <v>153</v>
      </c>
      <c r="AC2535" t="s">
        <v>89</v>
      </c>
      <c r="AD2535" t="s">
        <v>48</v>
      </c>
      <c r="AG2535" t="str">
        <f>IF(AD2535="United States", IFERROR(INDEX(Sheet2!$C:$C, MATCH(AE2535&amp;AF2535, Sheet2!$E:$E, 0)) &amp; ", " &amp; INDEX(Sheet2!$D:$D, MATCH(AE2535&amp;AF2535, Sheet2!$E:$E, 0)), ""), "-")</f>
        <v/>
      </c>
    </row>
    <row r="2536" spans="1:33" x14ac:dyDescent="0.25">
      <c r="A2536" t="s">
        <v>3733</v>
      </c>
      <c r="B2536" t="s">
        <v>3814</v>
      </c>
      <c r="C2536" t="s">
        <v>3736</v>
      </c>
      <c r="D2536" t="s">
        <v>106</v>
      </c>
      <c r="E2536" t="s">
        <v>3815</v>
      </c>
      <c r="F2536">
        <v>1753</v>
      </c>
      <c r="G2536">
        <v>109</v>
      </c>
      <c r="H2536" t="s">
        <v>78</v>
      </c>
      <c r="I2536" t="s">
        <v>39</v>
      </c>
      <c r="J2536" t="s">
        <v>3737</v>
      </c>
      <c r="K2536" t="s">
        <v>38</v>
      </c>
      <c r="L2536" t="s">
        <v>38</v>
      </c>
      <c r="M2536" t="s">
        <v>38</v>
      </c>
      <c r="N2536" t="s">
        <v>38</v>
      </c>
      <c r="O2536" t="s">
        <v>41</v>
      </c>
      <c r="P2536" t="s">
        <v>42</v>
      </c>
      <c r="Q2536" t="s">
        <v>43</v>
      </c>
      <c r="R2536" t="s">
        <v>89</v>
      </c>
      <c r="S2536" t="s">
        <v>38</v>
      </c>
      <c r="T2536" t="s">
        <v>89</v>
      </c>
      <c r="U2536" t="s">
        <v>38</v>
      </c>
      <c r="V2536" t="s">
        <v>91</v>
      </c>
      <c r="W2536" t="s">
        <v>92</v>
      </c>
      <c r="X2536" t="s">
        <v>38</v>
      </c>
      <c r="Y2536" t="s">
        <v>3789</v>
      </c>
      <c r="Z2536" t="s">
        <v>42</v>
      </c>
      <c r="AA2536" t="s">
        <v>38</v>
      </c>
      <c r="AB2536" t="s">
        <v>38</v>
      </c>
      <c r="AC2536" t="s">
        <v>155</v>
      </c>
      <c r="AD2536" t="s">
        <v>48</v>
      </c>
      <c r="AG2536" t="str">
        <f>IF(AD2536="United States", IFERROR(INDEX(Sheet2!$C:$C, MATCH(AE2536&amp;AF2536, Sheet2!$E:$E, 0)) &amp; ", " &amp; INDEX(Sheet2!$D:$D, MATCH(AE2536&amp;AF2536, Sheet2!$E:$E, 0)), ""), "-")</f>
        <v/>
      </c>
    </row>
    <row r="2537" spans="1:33" x14ac:dyDescent="0.25">
      <c r="A2537" t="s">
        <v>3733</v>
      </c>
      <c r="B2537" t="s">
        <v>3816</v>
      </c>
      <c r="C2537" t="s">
        <v>3736</v>
      </c>
      <c r="D2537" t="s">
        <v>1164</v>
      </c>
      <c r="E2537" t="s">
        <v>3817</v>
      </c>
      <c r="F2537">
        <v>1761</v>
      </c>
      <c r="G2537">
        <v>2686</v>
      </c>
      <c r="I2537" t="s">
        <v>39</v>
      </c>
      <c r="J2537" t="s">
        <v>3737</v>
      </c>
      <c r="O2537" t="s">
        <v>41</v>
      </c>
      <c r="P2537" t="s">
        <v>42</v>
      </c>
      <c r="Q2537" t="s">
        <v>43</v>
      </c>
      <c r="S2537" t="s">
        <v>89</v>
      </c>
      <c r="V2537" t="s">
        <v>91</v>
      </c>
      <c r="Y2537" t="s">
        <v>3773</v>
      </c>
      <c r="Z2537" t="s">
        <v>42</v>
      </c>
      <c r="AA2537" t="s">
        <v>153</v>
      </c>
      <c r="AB2537" t="s">
        <v>38</v>
      </c>
      <c r="AC2537" t="s">
        <v>89</v>
      </c>
      <c r="AD2537" t="s">
        <v>48</v>
      </c>
      <c r="AG2537" t="str">
        <f>IF(AD2537="United States", IFERROR(INDEX(Sheet2!$C:$C, MATCH(AE2537&amp;AF2537, Sheet2!$E:$E, 0)) &amp; ", " &amp; INDEX(Sheet2!$D:$D, MATCH(AE2537&amp;AF2537, Sheet2!$E:$E, 0)), ""), "-")</f>
        <v/>
      </c>
    </row>
    <row r="2538" spans="1:33" x14ac:dyDescent="0.25">
      <c r="A2538" t="s">
        <v>3733</v>
      </c>
      <c r="B2538" t="s">
        <v>3818</v>
      </c>
      <c r="C2538" t="s">
        <v>3736</v>
      </c>
      <c r="D2538" t="s">
        <v>3819</v>
      </c>
      <c r="E2538" t="s">
        <v>704</v>
      </c>
      <c r="F2538">
        <v>1777</v>
      </c>
      <c r="G2538">
        <v>108</v>
      </c>
      <c r="H2538" t="s">
        <v>2689</v>
      </c>
      <c r="I2538" t="s">
        <v>39</v>
      </c>
      <c r="J2538" t="s">
        <v>3737</v>
      </c>
      <c r="K2538" t="s">
        <v>38</v>
      </c>
      <c r="L2538" t="s">
        <v>38</v>
      </c>
      <c r="M2538" t="s">
        <v>38</v>
      </c>
      <c r="N2538" t="s">
        <v>38</v>
      </c>
      <c r="O2538" t="s">
        <v>54</v>
      </c>
      <c r="P2538" t="s">
        <v>42</v>
      </c>
      <c r="Q2538" t="s">
        <v>43</v>
      </c>
      <c r="R2538" t="s">
        <v>89</v>
      </c>
      <c r="S2538" t="s">
        <v>38</v>
      </c>
      <c r="T2538" t="s">
        <v>89</v>
      </c>
      <c r="U2538" t="s">
        <v>38</v>
      </c>
      <c r="V2538" t="s">
        <v>91</v>
      </c>
      <c r="W2538" t="s">
        <v>92</v>
      </c>
      <c r="X2538" t="s">
        <v>38</v>
      </c>
      <c r="Y2538" t="s">
        <v>3751</v>
      </c>
      <c r="Z2538" t="s">
        <v>42</v>
      </c>
      <c r="AA2538" t="s">
        <v>38</v>
      </c>
      <c r="AB2538" t="s">
        <v>38</v>
      </c>
      <c r="AC2538" t="s">
        <v>38</v>
      </c>
      <c r="AD2538" t="s">
        <v>48</v>
      </c>
      <c r="AG2538" t="str">
        <f>IF(AD2538="United States", IFERROR(INDEX(Sheet2!$C:$C, MATCH(AE2538&amp;AF2538, Sheet2!$E:$E, 0)) &amp; ", " &amp; INDEX(Sheet2!$D:$D, MATCH(AE2538&amp;AF2538, Sheet2!$E:$E, 0)), ""), "-")</f>
        <v/>
      </c>
    </row>
    <row r="2539" spans="1:33" x14ac:dyDescent="0.25">
      <c r="A2539" t="s">
        <v>3733</v>
      </c>
      <c r="B2539" t="s">
        <v>3820</v>
      </c>
      <c r="C2539" t="s">
        <v>3736</v>
      </c>
      <c r="D2539" t="s">
        <v>132</v>
      </c>
      <c r="E2539" t="s">
        <v>1897</v>
      </c>
      <c r="F2539">
        <v>1753</v>
      </c>
      <c r="G2539">
        <v>76</v>
      </c>
      <c r="H2539" t="s">
        <v>2689</v>
      </c>
      <c r="I2539" t="s">
        <v>39</v>
      </c>
      <c r="J2539" t="s">
        <v>3737</v>
      </c>
      <c r="K2539" t="s">
        <v>38</v>
      </c>
      <c r="L2539" t="s">
        <v>38</v>
      </c>
      <c r="M2539" t="s">
        <v>38</v>
      </c>
      <c r="N2539" t="s">
        <v>38</v>
      </c>
      <c r="O2539" t="s">
        <v>41</v>
      </c>
      <c r="P2539" t="s">
        <v>42</v>
      </c>
      <c r="Q2539" t="s">
        <v>43</v>
      </c>
      <c r="R2539" t="s">
        <v>89</v>
      </c>
      <c r="S2539" t="s">
        <v>153</v>
      </c>
      <c r="T2539" t="s">
        <v>89</v>
      </c>
      <c r="U2539" t="s">
        <v>38</v>
      </c>
      <c r="V2539" t="s">
        <v>91</v>
      </c>
      <c r="W2539" t="s">
        <v>92</v>
      </c>
      <c r="X2539" t="s">
        <v>38</v>
      </c>
      <c r="Y2539" t="s">
        <v>3813</v>
      </c>
      <c r="Z2539" t="s">
        <v>42</v>
      </c>
      <c r="AA2539" t="s">
        <v>3821</v>
      </c>
      <c r="AB2539" t="s">
        <v>38</v>
      </c>
      <c r="AC2539" t="s">
        <v>153</v>
      </c>
      <c r="AD2539" t="s">
        <v>48</v>
      </c>
      <c r="AG2539" t="str">
        <f>IF(AD2539="United States", IFERROR(INDEX(Sheet2!$C:$C, MATCH(AE2539&amp;AF2539, Sheet2!$E:$E, 0)) &amp; ", " &amp; INDEX(Sheet2!$D:$D, MATCH(AE2539&amp;AF2539, Sheet2!$E:$E, 0)), ""), "-")</f>
        <v/>
      </c>
    </row>
    <row r="2540" spans="1:33" x14ac:dyDescent="0.25">
      <c r="A2540" t="s">
        <v>3733</v>
      </c>
      <c r="B2540" t="s">
        <v>3822</v>
      </c>
      <c r="C2540" t="s">
        <v>3736</v>
      </c>
      <c r="D2540" t="s">
        <v>615</v>
      </c>
      <c r="E2540" t="s">
        <v>3314</v>
      </c>
      <c r="F2540">
        <v>1763</v>
      </c>
      <c r="G2540">
        <v>2685</v>
      </c>
      <c r="I2540" t="s">
        <v>39</v>
      </c>
      <c r="J2540" t="s">
        <v>3737</v>
      </c>
      <c r="O2540" t="s">
        <v>41</v>
      </c>
      <c r="P2540" t="s">
        <v>42</v>
      </c>
      <c r="Q2540" t="s">
        <v>43</v>
      </c>
      <c r="V2540" t="s">
        <v>91</v>
      </c>
      <c r="Y2540" t="s">
        <v>3758</v>
      </c>
      <c r="Z2540" t="s">
        <v>42</v>
      </c>
      <c r="AA2540" t="s">
        <v>38</v>
      </c>
      <c r="AB2540" t="s">
        <v>38</v>
      </c>
      <c r="AC2540" t="s">
        <v>340</v>
      </c>
      <c r="AD2540" t="s">
        <v>340</v>
      </c>
      <c r="AG2540" t="str">
        <f>IF(AD2540="United States", IFERROR(INDEX(Sheet2!$C:$C, MATCH(AE2540&amp;AF2540, Sheet2!$E:$E, 0)) &amp; ", " &amp; INDEX(Sheet2!$D:$D, MATCH(AE2540&amp;AF2540, Sheet2!$E:$E, 0)), ""), "52.5310214, -1.2649062")</f>
        <v>52.5310214, -1.2649062</v>
      </c>
    </row>
    <row r="2541" spans="1:33" x14ac:dyDescent="0.25">
      <c r="A2541" t="s">
        <v>3733</v>
      </c>
      <c r="B2541" t="s">
        <v>3823</v>
      </c>
      <c r="C2541" t="s">
        <v>3736</v>
      </c>
      <c r="D2541" t="s">
        <v>3824</v>
      </c>
      <c r="E2541" t="s">
        <v>1116</v>
      </c>
      <c r="F2541">
        <v>1771</v>
      </c>
      <c r="G2541">
        <v>112</v>
      </c>
      <c r="H2541" t="s">
        <v>2689</v>
      </c>
      <c r="I2541" t="s">
        <v>39</v>
      </c>
      <c r="J2541" t="s">
        <v>3737</v>
      </c>
      <c r="K2541" t="s">
        <v>38</v>
      </c>
      <c r="L2541" t="s">
        <v>38</v>
      </c>
      <c r="M2541" t="s">
        <v>38</v>
      </c>
      <c r="N2541" t="s">
        <v>38</v>
      </c>
      <c r="O2541" t="s">
        <v>74</v>
      </c>
      <c r="P2541" t="s">
        <v>125</v>
      </c>
      <c r="Q2541" t="s">
        <v>124</v>
      </c>
      <c r="R2541" t="s">
        <v>89</v>
      </c>
      <c r="S2541" t="s">
        <v>45</v>
      </c>
      <c r="T2541" t="s">
        <v>89</v>
      </c>
      <c r="U2541" t="s">
        <v>38</v>
      </c>
      <c r="V2541" t="s">
        <v>91</v>
      </c>
      <c r="W2541" t="s">
        <v>92</v>
      </c>
      <c r="X2541" t="s">
        <v>38</v>
      </c>
      <c r="Y2541" t="s">
        <v>3773</v>
      </c>
      <c r="Z2541" t="s">
        <v>125</v>
      </c>
      <c r="AA2541" t="s">
        <v>38</v>
      </c>
      <c r="AB2541" t="s">
        <v>38</v>
      </c>
      <c r="AC2541" t="s">
        <v>45</v>
      </c>
      <c r="AD2541" t="s">
        <v>48</v>
      </c>
      <c r="AG2541" t="str">
        <f>IF(AD2541="United States", IFERROR(INDEX(Sheet2!$C:$C, MATCH(AE2541&amp;AF2541, Sheet2!$E:$E, 0)) &amp; ", " &amp; INDEX(Sheet2!$D:$D, MATCH(AE2541&amp;AF2541, Sheet2!$E:$E, 0)), ""), "-")</f>
        <v/>
      </c>
    </row>
    <row r="2542" spans="1:33" x14ac:dyDescent="0.25">
      <c r="A2542" t="s">
        <v>3733</v>
      </c>
      <c r="B2542" t="s">
        <v>3825</v>
      </c>
      <c r="C2542" t="s">
        <v>3736</v>
      </c>
      <c r="D2542" t="s">
        <v>190</v>
      </c>
      <c r="E2542" t="s">
        <v>3815</v>
      </c>
      <c r="F2542">
        <v>1765</v>
      </c>
      <c r="G2542">
        <v>110</v>
      </c>
      <c r="H2542" t="s">
        <v>2689</v>
      </c>
      <c r="I2542" t="s">
        <v>39</v>
      </c>
      <c r="J2542" t="s">
        <v>3737</v>
      </c>
      <c r="K2542" t="s">
        <v>38</v>
      </c>
      <c r="L2542" t="s">
        <v>38</v>
      </c>
      <c r="M2542" t="s">
        <v>38</v>
      </c>
      <c r="N2542" t="s">
        <v>38</v>
      </c>
      <c r="O2542" t="s">
        <v>57</v>
      </c>
      <c r="P2542" t="s">
        <v>42</v>
      </c>
      <c r="Q2542" t="s">
        <v>43</v>
      </c>
      <c r="R2542" t="s">
        <v>89</v>
      </c>
      <c r="S2542" t="s">
        <v>38</v>
      </c>
      <c r="T2542" t="s">
        <v>89</v>
      </c>
      <c r="U2542" t="s">
        <v>38</v>
      </c>
      <c r="V2542" t="s">
        <v>91</v>
      </c>
      <c r="W2542" t="s">
        <v>92</v>
      </c>
      <c r="X2542" t="s">
        <v>38</v>
      </c>
      <c r="Y2542" t="s">
        <v>3789</v>
      </c>
      <c r="Z2542" t="s">
        <v>42</v>
      </c>
      <c r="AA2542" t="s">
        <v>38</v>
      </c>
      <c r="AB2542" t="s">
        <v>38</v>
      </c>
      <c r="AC2542" t="s">
        <v>2562</v>
      </c>
      <c r="AD2542" t="s">
        <v>48</v>
      </c>
      <c r="AG2542" t="str">
        <f>IF(AD2542="United States", IFERROR(INDEX(Sheet2!$C:$C, MATCH(AE2542&amp;AF2542, Sheet2!$E:$E, 0)) &amp; ", " &amp; INDEX(Sheet2!$D:$D, MATCH(AE2542&amp;AF2542, Sheet2!$E:$E, 0)), ""), "-")</f>
        <v/>
      </c>
    </row>
    <row r="2543" spans="1:33" x14ac:dyDescent="0.25">
      <c r="A2543" t="s">
        <v>3733</v>
      </c>
      <c r="B2543" t="s">
        <v>3826</v>
      </c>
      <c r="C2543" t="s">
        <v>3736</v>
      </c>
      <c r="D2543" t="s">
        <v>434</v>
      </c>
      <c r="E2543" t="s">
        <v>3827</v>
      </c>
      <c r="F2543">
        <v>1763</v>
      </c>
      <c r="G2543">
        <v>71</v>
      </c>
      <c r="H2543" t="s">
        <v>78</v>
      </c>
      <c r="I2543" t="s">
        <v>39</v>
      </c>
      <c r="J2543" t="s">
        <v>3737</v>
      </c>
      <c r="K2543" t="s">
        <v>38</v>
      </c>
      <c r="L2543" t="s">
        <v>38</v>
      </c>
      <c r="M2543" t="s">
        <v>38</v>
      </c>
      <c r="N2543" t="s">
        <v>38</v>
      </c>
      <c r="O2543" t="s">
        <v>41</v>
      </c>
      <c r="P2543" t="s">
        <v>42</v>
      </c>
      <c r="Q2543" t="s">
        <v>43</v>
      </c>
      <c r="R2543" t="s">
        <v>89</v>
      </c>
      <c r="S2543" t="s">
        <v>38</v>
      </c>
      <c r="T2543" t="s">
        <v>89</v>
      </c>
      <c r="U2543" t="s">
        <v>38</v>
      </c>
      <c r="V2543" t="s">
        <v>91</v>
      </c>
      <c r="W2543" t="s">
        <v>92</v>
      </c>
      <c r="X2543" t="s">
        <v>38</v>
      </c>
      <c r="Y2543" t="s">
        <v>3828</v>
      </c>
      <c r="Z2543" t="s">
        <v>42</v>
      </c>
      <c r="AA2543" t="s">
        <v>38</v>
      </c>
      <c r="AB2543" t="s">
        <v>38</v>
      </c>
      <c r="AC2543" t="s">
        <v>38</v>
      </c>
      <c r="AD2543" t="s">
        <v>48</v>
      </c>
      <c r="AG2543" t="str">
        <f>IF(AD2543="United States", IFERROR(INDEX(Sheet2!$C:$C, MATCH(AE2543&amp;AF2543, Sheet2!$E:$E, 0)) &amp; ", " &amp; INDEX(Sheet2!$D:$D, MATCH(AE2543&amp;AF2543, Sheet2!$E:$E, 0)), ""), "-")</f>
        <v/>
      </c>
    </row>
    <row r="2544" spans="1:33" x14ac:dyDescent="0.25">
      <c r="A2544" t="s">
        <v>3733</v>
      </c>
      <c r="B2544" t="s">
        <v>3829</v>
      </c>
      <c r="C2544" t="s">
        <v>3736</v>
      </c>
      <c r="D2544" t="s">
        <v>587</v>
      </c>
      <c r="E2544" t="s">
        <v>1116</v>
      </c>
      <c r="F2544">
        <v>1763</v>
      </c>
      <c r="G2544">
        <v>111</v>
      </c>
      <c r="H2544" t="s">
        <v>38</v>
      </c>
      <c r="I2544" t="s">
        <v>39</v>
      </c>
      <c r="J2544" t="s">
        <v>3737</v>
      </c>
      <c r="K2544" t="s">
        <v>38</v>
      </c>
      <c r="L2544" t="s">
        <v>38</v>
      </c>
      <c r="M2544" t="s">
        <v>38</v>
      </c>
      <c r="N2544" t="s">
        <v>38</v>
      </c>
      <c r="O2544" t="s">
        <v>57</v>
      </c>
      <c r="P2544" t="s">
        <v>125</v>
      </c>
      <c r="Q2544" t="s">
        <v>124</v>
      </c>
      <c r="R2544" t="s">
        <v>38</v>
      </c>
      <c r="S2544" t="s">
        <v>38</v>
      </c>
      <c r="T2544" t="s">
        <v>38</v>
      </c>
      <c r="U2544" t="s">
        <v>38</v>
      </c>
      <c r="V2544" t="s">
        <v>91</v>
      </c>
      <c r="W2544" t="s">
        <v>38</v>
      </c>
      <c r="X2544" t="s">
        <v>38</v>
      </c>
      <c r="Y2544" t="s">
        <v>3773</v>
      </c>
      <c r="Z2544" t="s">
        <v>125</v>
      </c>
      <c r="AA2544" t="s">
        <v>38</v>
      </c>
      <c r="AB2544" t="s">
        <v>38</v>
      </c>
      <c r="AC2544" t="s">
        <v>730</v>
      </c>
      <c r="AD2544" t="s">
        <v>48</v>
      </c>
      <c r="AG2544" t="str">
        <f>IF(AD2544="United States", IFERROR(INDEX(Sheet2!$C:$C, MATCH(AE2544&amp;AF2544, Sheet2!$E:$E, 0)) &amp; ", " &amp; INDEX(Sheet2!$D:$D, MATCH(AE2544&amp;AF2544, Sheet2!$E:$E, 0)), ""), "-")</f>
        <v/>
      </c>
    </row>
    <row r="2545" spans="1:33" x14ac:dyDescent="0.25">
      <c r="A2545" t="s">
        <v>3733</v>
      </c>
      <c r="B2545" t="s">
        <v>3830</v>
      </c>
      <c r="C2545" t="s">
        <v>3736</v>
      </c>
      <c r="D2545" t="s">
        <v>406</v>
      </c>
      <c r="E2545" t="s">
        <v>2965</v>
      </c>
      <c r="F2545">
        <v>1764</v>
      </c>
      <c r="G2545">
        <v>72</v>
      </c>
      <c r="H2545" t="s">
        <v>78</v>
      </c>
      <c r="I2545" t="s">
        <v>39</v>
      </c>
      <c r="J2545" t="s">
        <v>3737</v>
      </c>
      <c r="K2545" t="s">
        <v>38</v>
      </c>
      <c r="L2545" t="s">
        <v>38</v>
      </c>
      <c r="M2545" t="s">
        <v>38</v>
      </c>
      <c r="N2545" t="s">
        <v>38</v>
      </c>
      <c r="O2545" t="s">
        <v>41</v>
      </c>
      <c r="P2545" t="s">
        <v>42</v>
      </c>
      <c r="Q2545" t="s">
        <v>43</v>
      </c>
      <c r="R2545" t="s">
        <v>89</v>
      </c>
      <c r="S2545" t="s">
        <v>38</v>
      </c>
      <c r="T2545" t="s">
        <v>89</v>
      </c>
      <c r="U2545" t="s">
        <v>38</v>
      </c>
      <c r="V2545" t="s">
        <v>91</v>
      </c>
      <c r="W2545" t="s">
        <v>92</v>
      </c>
      <c r="X2545" t="s">
        <v>38</v>
      </c>
      <c r="Y2545" t="s">
        <v>3758</v>
      </c>
      <c r="Z2545" t="s">
        <v>42</v>
      </c>
      <c r="AA2545" t="s">
        <v>38</v>
      </c>
      <c r="AB2545" t="s">
        <v>38</v>
      </c>
      <c r="AC2545" t="s">
        <v>627</v>
      </c>
      <c r="AD2545" t="s">
        <v>48</v>
      </c>
      <c r="AG2545" t="str">
        <f>IF(AD2545="United States", IFERROR(INDEX(Sheet2!$C:$C, MATCH(AE2545&amp;AF2545, Sheet2!$E:$E, 0)) &amp; ", " &amp; INDEX(Sheet2!$D:$D, MATCH(AE2545&amp;AF2545, Sheet2!$E:$E, 0)), ""), "-")</f>
        <v/>
      </c>
    </row>
    <row r="2546" spans="1:33" x14ac:dyDescent="0.25">
      <c r="A2546" t="s">
        <v>3733</v>
      </c>
      <c r="B2546" t="s">
        <v>3831</v>
      </c>
      <c r="C2546" t="s">
        <v>3736</v>
      </c>
      <c r="D2546" t="s">
        <v>50</v>
      </c>
      <c r="E2546" t="s">
        <v>3832</v>
      </c>
      <c r="F2546">
        <v>1761</v>
      </c>
      <c r="G2546">
        <v>114</v>
      </c>
      <c r="H2546" t="s">
        <v>2689</v>
      </c>
      <c r="I2546" t="s">
        <v>39</v>
      </c>
      <c r="J2546" t="s">
        <v>3737</v>
      </c>
      <c r="K2546" t="s">
        <v>38</v>
      </c>
      <c r="L2546" t="s">
        <v>38</v>
      </c>
      <c r="M2546" t="s">
        <v>38</v>
      </c>
      <c r="N2546" t="s">
        <v>38</v>
      </c>
      <c r="O2546" t="s">
        <v>41</v>
      </c>
      <c r="P2546" t="s">
        <v>123</v>
      </c>
      <c r="Q2546" t="s">
        <v>124</v>
      </c>
      <c r="R2546" t="s">
        <v>89</v>
      </c>
      <c r="S2546" t="s">
        <v>38</v>
      </c>
      <c r="T2546" t="s">
        <v>89</v>
      </c>
      <c r="U2546" t="s">
        <v>38</v>
      </c>
      <c r="V2546" t="s">
        <v>91</v>
      </c>
      <c r="W2546" t="s">
        <v>92</v>
      </c>
      <c r="X2546" t="s">
        <v>38</v>
      </c>
      <c r="Y2546" t="s">
        <v>3773</v>
      </c>
      <c r="Z2546" t="s">
        <v>125</v>
      </c>
      <c r="AA2546" t="s">
        <v>672</v>
      </c>
      <c r="AB2546" t="s">
        <v>38</v>
      </c>
      <c r="AC2546" t="s">
        <v>673</v>
      </c>
      <c r="AD2546" t="s">
        <v>672</v>
      </c>
      <c r="AG2546" t="str">
        <f>IF(AD2546="United States", IFERROR(INDEX(Sheet2!$C:$C, MATCH(AE2546&amp;AF2546, Sheet2!$E:$E, 0)) &amp; ", " &amp; INDEX(Sheet2!$D:$D, MATCH(AE2546&amp;AF2546, Sheet2!$E:$E, 0)), ""), "18.1850507, -77.3947693")</f>
        <v>18.1850507, -77.3947693</v>
      </c>
    </row>
    <row r="2547" spans="1:33" x14ac:dyDescent="0.25">
      <c r="A2547" t="s">
        <v>3733</v>
      </c>
      <c r="B2547" t="s">
        <v>3833</v>
      </c>
      <c r="C2547" t="s">
        <v>3736</v>
      </c>
      <c r="D2547" t="s">
        <v>210</v>
      </c>
      <c r="E2547" t="s">
        <v>1377</v>
      </c>
      <c r="F2547">
        <v>1764</v>
      </c>
      <c r="G2547">
        <v>73</v>
      </c>
      <c r="H2547" t="s">
        <v>78</v>
      </c>
      <c r="I2547" t="s">
        <v>39</v>
      </c>
      <c r="J2547" t="s">
        <v>3737</v>
      </c>
      <c r="K2547" t="s">
        <v>38</v>
      </c>
      <c r="L2547" t="s">
        <v>38</v>
      </c>
      <c r="M2547" t="s">
        <v>38</v>
      </c>
      <c r="N2547" t="s">
        <v>38</v>
      </c>
      <c r="O2547" t="s">
        <v>41</v>
      </c>
      <c r="P2547" t="s">
        <v>42</v>
      </c>
      <c r="Q2547" t="s">
        <v>43</v>
      </c>
      <c r="R2547" t="s">
        <v>89</v>
      </c>
      <c r="S2547" t="s">
        <v>153</v>
      </c>
      <c r="T2547" t="s">
        <v>89</v>
      </c>
      <c r="U2547" t="s">
        <v>38</v>
      </c>
      <c r="V2547" t="s">
        <v>91</v>
      </c>
      <c r="W2547" t="s">
        <v>92</v>
      </c>
      <c r="X2547" t="s">
        <v>38</v>
      </c>
      <c r="Y2547" t="s">
        <v>3834</v>
      </c>
      <c r="Z2547" t="s">
        <v>42</v>
      </c>
      <c r="AA2547" t="s">
        <v>3835</v>
      </c>
      <c r="AB2547" t="s">
        <v>38</v>
      </c>
      <c r="AC2547" t="s">
        <v>153</v>
      </c>
      <c r="AD2547" t="s">
        <v>48</v>
      </c>
      <c r="AG2547" t="str">
        <f>IF(AD2547="United States", IFERROR(INDEX(Sheet2!$C:$C, MATCH(AE2547&amp;AF2547, Sheet2!$E:$E, 0)) &amp; ", " &amp; INDEX(Sheet2!$D:$D, MATCH(AE2547&amp;AF2547, Sheet2!$E:$E, 0)), ""), "-")</f>
        <v/>
      </c>
    </row>
    <row r="2548" spans="1:33" x14ac:dyDescent="0.25">
      <c r="A2548" t="s">
        <v>3733</v>
      </c>
      <c r="B2548" t="s">
        <v>3836</v>
      </c>
      <c r="C2548" t="s">
        <v>3736</v>
      </c>
      <c r="D2548" t="s">
        <v>3837</v>
      </c>
      <c r="E2548" t="s">
        <v>3803</v>
      </c>
      <c r="F2548">
        <v>1758</v>
      </c>
      <c r="G2548">
        <v>115</v>
      </c>
      <c r="H2548" t="s">
        <v>3838</v>
      </c>
      <c r="I2548" t="s">
        <v>39</v>
      </c>
      <c r="J2548" t="s">
        <v>3737</v>
      </c>
      <c r="K2548" t="s">
        <v>38</v>
      </c>
      <c r="L2548" t="s">
        <v>38</v>
      </c>
      <c r="M2548" t="s">
        <v>38</v>
      </c>
      <c r="N2548" t="s">
        <v>38</v>
      </c>
      <c r="O2548" t="s">
        <v>57</v>
      </c>
      <c r="P2548" t="s">
        <v>125</v>
      </c>
      <c r="Q2548" t="s">
        <v>124</v>
      </c>
      <c r="R2548" t="s">
        <v>89</v>
      </c>
      <c r="S2548" t="s">
        <v>38</v>
      </c>
      <c r="T2548" t="s">
        <v>89</v>
      </c>
      <c r="U2548" t="s">
        <v>38</v>
      </c>
      <c r="V2548" t="s">
        <v>91</v>
      </c>
      <c r="W2548" t="s">
        <v>92</v>
      </c>
      <c r="X2548" t="s">
        <v>38</v>
      </c>
      <c r="Y2548" t="s">
        <v>3813</v>
      </c>
      <c r="Z2548" t="s">
        <v>125</v>
      </c>
      <c r="AA2548" t="s">
        <v>38</v>
      </c>
      <c r="AB2548" t="s">
        <v>38</v>
      </c>
      <c r="AC2548" t="s">
        <v>233</v>
      </c>
      <c r="AD2548" t="s">
        <v>48</v>
      </c>
      <c r="AG2548" t="str">
        <f>IF(AD2548="United States", IFERROR(INDEX(Sheet2!$C:$C, MATCH(AE2548&amp;AF2548, Sheet2!$E:$E, 0)) &amp; ", " &amp; INDEX(Sheet2!$D:$D, MATCH(AE2548&amp;AF2548, Sheet2!$E:$E, 0)), ""), "-")</f>
        <v/>
      </c>
    </row>
    <row r="2549" spans="1:33" x14ac:dyDescent="0.25">
      <c r="A2549" t="s">
        <v>3733</v>
      </c>
      <c r="B2549" t="s">
        <v>3839</v>
      </c>
      <c r="C2549" t="s">
        <v>3736</v>
      </c>
      <c r="D2549" t="s">
        <v>96</v>
      </c>
      <c r="E2549" t="s">
        <v>489</v>
      </c>
      <c r="F2549">
        <v>1759</v>
      </c>
      <c r="G2549">
        <v>116</v>
      </c>
      <c r="H2549" t="s">
        <v>3838</v>
      </c>
      <c r="I2549" t="s">
        <v>39</v>
      </c>
      <c r="J2549" t="s">
        <v>3737</v>
      </c>
      <c r="K2549" t="s">
        <v>38</v>
      </c>
      <c r="L2549" t="s">
        <v>38</v>
      </c>
      <c r="M2549" t="s">
        <v>38</v>
      </c>
      <c r="N2549" t="s">
        <v>38</v>
      </c>
      <c r="O2549" t="s">
        <v>57</v>
      </c>
      <c r="P2549" t="s">
        <v>125</v>
      </c>
      <c r="Q2549" t="s">
        <v>124</v>
      </c>
      <c r="R2549" t="s">
        <v>89</v>
      </c>
      <c r="S2549" t="s">
        <v>38</v>
      </c>
      <c r="T2549" t="s">
        <v>89</v>
      </c>
      <c r="U2549" t="s">
        <v>38</v>
      </c>
      <c r="V2549" t="s">
        <v>91</v>
      </c>
      <c r="W2549" t="s">
        <v>92</v>
      </c>
      <c r="X2549" t="s">
        <v>38</v>
      </c>
      <c r="Y2549" t="s">
        <v>3840</v>
      </c>
      <c r="Z2549" t="s">
        <v>125</v>
      </c>
      <c r="AA2549" t="s">
        <v>38</v>
      </c>
      <c r="AB2549" t="s">
        <v>38</v>
      </c>
      <c r="AC2549" t="s">
        <v>155</v>
      </c>
      <c r="AD2549" t="s">
        <v>48</v>
      </c>
      <c r="AG2549" t="str">
        <f>IF(AD2549="United States", IFERROR(INDEX(Sheet2!$C:$C, MATCH(AE2549&amp;AF2549, Sheet2!$E:$E, 0)) &amp; ", " &amp; INDEX(Sheet2!$D:$D, MATCH(AE2549&amp;AF2549, Sheet2!$E:$E, 0)), ""), "-")</f>
        <v/>
      </c>
    </row>
    <row r="2550" spans="1:33" x14ac:dyDescent="0.25">
      <c r="A2550" t="s">
        <v>3733</v>
      </c>
      <c r="B2550" t="s">
        <v>3841</v>
      </c>
      <c r="C2550" t="s">
        <v>3736</v>
      </c>
      <c r="D2550" t="s">
        <v>200</v>
      </c>
      <c r="E2550" t="s">
        <v>1116</v>
      </c>
      <c r="F2550">
        <v>1756</v>
      </c>
      <c r="G2550">
        <v>74</v>
      </c>
      <c r="H2550" t="s">
        <v>78</v>
      </c>
      <c r="I2550" t="s">
        <v>39</v>
      </c>
      <c r="J2550" t="s">
        <v>3737</v>
      </c>
      <c r="K2550" t="s">
        <v>38</v>
      </c>
      <c r="L2550" t="s">
        <v>38</v>
      </c>
      <c r="M2550" t="s">
        <v>38</v>
      </c>
      <c r="N2550" t="s">
        <v>38</v>
      </c>
      <c r="O2550" t="s">
        <v>41</v>
      </c>
      <c r="P2550" t="s">
        <v>42</v>
      </c>
      <c r="Q2550" t="s">
        <v>43</v>
      </c>
      <c r="R2550" t="s">
        <v>89</v>
      </c>
      <c r="S2550" t="s">
        <v>45</v>
      </c>
      <c r="T2550" t="s">
        <v>89</v>
      </c>
      <c r="U2550" t="s">
        <v>38</v>
      </c>
      <c r="V2550" t="s">
        <v>91</v>
      </c>
      <c r="W2550" t="s">
        <v>92</v>
      </c>
      <c r="X2550" t="s">
        <v>38</v>
      </c>
      <c r="Y2550" t="s">
        <v>3743</v>
      </c>
      <c r="Z2550" t="s">
        <v>42</v>
      </c>
      <c r="AA2550" t="s">
        <v>247</v>
      </c>
      <c r="AB2550" t="s">
        <v>38</v>
      </c>
      <c r="AC2550" t="s">
        <v>45</v>
      </c>
      <c r="AD2550" t="s">
        <v>48</v>
      </c>
      <c r="AG2550" t="str">
        <f>IF(AD2550="United States", IFERROR(INDEX(Sheet2!$C:$C, MATCH(AE2550&amp;AF2550, Sheet2!$E:$E, 0)) &amp; ", " &amp; INDEX(Sheet2!$D:$D, MATCH(AE2550&amp;AF2550, Sheet2!$E:$E, 0)), ""), "-")</f>
        <v/>
      </c>
    </row>
    <row r="2551" spans="1:33" x14ac:dyDescent="0.25">
      <c r="A2551" t="s">
        <v>3842</v>
      </c>
      <c r="B2551" t="s">
        <v>3843</v>
      </c>
      <c r="C2551" t="s">
        <v>3844</v>
      </c>
      <c r="D2551" t="s">
        <v>535</v>
      </c>
      <c r="E2551" t="s">
        <v>38</v>
      </c>
      <c r="F2551">
        <v>1743</v>
      </c>
      <c r="G2551">
        <v>2335</v>
      </c>
      <c r="H2551" t="s">
        <v>38</v>
      </c>
      <c r="I2551" t="s">
        <v>87</v>
      </c>
      <c r="J2551" t="s">
        <v>3845</v>
      </c>
      <c r="K2551" t="s">
        <v>38</v>
      </c>
      <c r="L2551" t="s">
        <v>38</v>
      </c>
      <c r="M2551" t="s">
        <v>38</v>
      </c>
      <c r="N2551" t="s">
        <v>38</v>
      </c>
      <c r="O2551" t="s">
        <v>57</v>
      </c>
      <c r="P2551" t="s">
        <v>42</v>
      </c>
      <c r="Q2551" t="s">
        <v>43</v>
      </c>
      <c r="R2551" t="s">
        <v>3846</v>
      </c>
      <c r="S2551" t="s">
        <v>45</v>
      </c>
      <c r="T2551" t="s">
        <v>38</v>
      </c>
      <c r="U2551" t="s">
        <v>38</v>
      </c>
      <c r="V2551" t="s">
        <v>740</v>
      </c>
      <c r="W2551" t="s">
        <v>38</v>
      </c>
      <c r="X2551" t="s">
        <v>38</v>
      </c>
      <c r="Y2551" t="s">
        <v>3847</v>
      </c>
      <c r="Z2551" t="s">
        <v>42</v>
      </c>
      <c r="AA2551" t="s">
        <v>143</v>
      </c>
      <c r="AB2551" t="s">
        <v>38</v>
      </c>
      <c r="AC2551" t="s">
        <v>45</v>
      </c>
      <c r="AD2551" t="s">
        <v>48</v>
      </c>
      <c r="AG2551" t="str">
        <f>IF(AD2551="United States", IFERROR(INDEX(Sheet2!$C:$C, MATCH(AE2551&amp;AF2551, Sheet2!$E:$E, 0)) &amp; ", " &amp; INDEX(Sheet2!$D:$D, MATCH(AE2551&amp;AF2551, Sheet2!$E:$E, 0)), ""), "-")</f>
        <v/>
      </c>
    </row>
    <row r="2552" spans="1:33" x14ac:dyDescent="0.25">
      <c r="A2552" t="s">
        <v>3842</v>
      </c>
      <c r="B2552" t="s">
        <v>3848</v>
      </c>
      <c r="C2552" t="s">
        <v>3844</v>
      </c>
      <c r="D2552" t="s">
        <v>1168</v>
      </c>
      <c r="E2552" t="s">
        <v>633</v>
      </c>
      <c r="F2552">
        <v>1743</v>
      </c>
      <c r="G2552">
        <v>2356</v>
      </c>
      <c r="H2552" t="s">
        <v>38</v>
      </c>
      <c r="I2552" t="s">
        <v>87</v>
      </c>
      <c r="J2552" t="s">
        <v>3845</v>
      </c>
      <c r="K2552" t="s">
        <v>38</v>
      </c>
      <c r="L2552" t="s">
        <v>38</v>
      </c>
      <c r="M2552" t="s">
        <v>38</v>
      </c>
      <c r="N2552" t="s">
        <v>38</v>
      </c>
      <c r="O2552" t="s">
        <v>57</v>
      </c>
      <c r="P2552" t="s">
        <v>42</v>
      </c>
      <c r="Q2552" t="s">
        <v>43</v>
      </c>
      <c r="R2552" t="s">
        <v>169</v>
      </c>
      <c r="S2552" t="s">
        <v>45</v>
      </c>
      <c r="T2552" t="s">
        <v>38</v>
      </c>
      <c r="U2552" t="s">
        <v>38</v>
      </c>
      <c r="V2552" t="s">
        <v>740</v>
      </c>
      <c r="W2552" t="s">
        <v>38</v>
      </c>
      <c r="X2552" t="s">
        <v>38</v>
      </c>
      <c r="Y2552" t="s">
        <v>2724</v>
      </c>
      <c r="Z2552" t="s">
        <v>42</v>
      </c>
      <c r="AA2552" t="s">
        <v>169</v>
      </c>
      <c r="AB2552" t="s">
        <v>38</v>
      </c>
      <c r="AC2552" t="s">
        <v>45</v>
      </c>
      <c r="AD2552" t="s">
        <v>48</v>
      </c>
      <c r="AG2552" t="str">
        <f>IF(AD2552="United States", IFERROR(INDEX(Sheet2!$C:$C, MATCH(AE2552&amp;AF2552, Sheet2!$E:$E, 0)) &amp; ", " &amp; INDEX(Sheet2!$D:$D, MATCH(AE2552&amp;AF2552, Sheet2!$E:$E, 0)), ""), "-")</f>
        <v/>
      </c>
    </row>
    <row r="2553" spans="1:33" x14ac:dyDescent="0.25">
      <c r="A2553" t="s">
        <v>3842</v>
      </c>
      <c r="B2553" t="s">
        <v>3849</v>
      </c>
      <c r="C2553" t="s">
        <v>3844</v>
      </c>
      <c r="D2553" t="s">
        <v>113</v>
      </c>
      <c r="E2553" t="s">
        <v>38</v>
      </c>
      <c r="F2553">
        <v>1782</v>
      </c>
      <c r="G2553">
        <v>2333</v>
      </c>
      <c r="H2553" t="s">
        <v>38</v>
      </c>
      <c r="I2553" t="s">
        <v>87</v>
      </c>
      <c r="J2553" t="s">
        <v>3845</v>
      </c>
      <c r="K2553" t="s">
        <v>38</v>
      </c>
      <c r="L2553" t="s">
        <v>38</v>
      </c>
      <c r="M2553" t="s">
        <v>38</v>
      </c>
      <c r="N2553" t="s">
        <v>38</v>
      </c>
      <c r="O2553" t="s">
        <v>54</v>
      </c>
      <c r="P2553" t="s">
        <v>42</v>
      </c>
      <c r="Q2553" t="s">
        <v>43</v>
      </c>
      <c r="R2553" t="s">
        <v>38</v>
      </c>
      <c r="S2553" t="s">
        <v>38</v>
      </c>
      <c r="T2553" t="s">
        <v>38</v>
      </c>
      <c r="U2553" t="s">
        <v>38</v>
      </c>
      <c r="V2553" t="s">
        <v>740</v>
      </c>
      <c r="W2553" t="s">
        <v>38</v>
      </c>
      <c r="X2553" t="s">
        <v>38</v>
      </c>
      <c r="Y2553" t="s">
        <v>3847</v>
      </c>
      <c r="Z2553" t="s">
        <v>42</v>
      </c>
      <c r="AA2553" t="s">
        <v>38</v>
      </c>
      <c r="AB2553" t="s">
        <v>38</v>
      </c>
      <c r="AC2553" t="s">
        <v>38</v>
      </c>
      <c r="AD2553" t="s">
        <v>48</v>
      </c>
      <c r="AG2553" t="str">
        <f>IF(AD2553="United States", IFERROR(INDEX(Sheet2!$C:$C, MATCH(AE2553&amp;AF2553, Sheet2!$E:$E, 0)) &amp; ", " &amp; INDEX(Sheet2!$D:$D, MATCH(AE2553&amp;AF2553, Sheet2!$E:$E, 0)), ""), "-")</f>
        <v/>
      </c>
    </row>
    <row r="2554" spans="1:33" x14ac:dyDescent="0.25">
      <c r="A2554" t="s">
        <v>3842</v>
      </c>
      <c r="B2554" t="s">
        <v>3850</v>
      </c>
      <c r="C2554" t="s">
        <v>3844</v>
      </c>
      <c r="D2554" t="s">
        <v>210</v>
      </c>
      <c r="E2554" t="s">
        <v>3718</v>
      </c>
      <c r="F2554">
        <v>1727</v>
      </c>
      <c r="G2554">
        <v>2360</v>
      </c>
      <c r="H2554" t="s">
        <v>38</v>
      </c>
      <c r="I2554" t="s">
        <v>87</v>
      </c>
      <c r="J2554" t="s">
        <v>3845</v>
      </c>
      <c r="K2554" t="s">
        <v>38</v>
      </c>
      <c r="L2554" t="s">
        <v>38</v>
      </c>
      <c r="M2554" t="s">
        <v>38</v>
      </c>
      <c r="N2554" t="s">
        <v>38</v>
      </c>
      <c r="O2554" t="s">
        <v>41</v>
      </c>
      <c r="P2554" t="s">
        <v>42</v>
      </c>
      <c r="Q2554" t="s">
        <v>43</v>
      </c>
      <c r="R2554" t="s">
        <v>38</v>
      </c>
      <c r="S2554" t="s">
        <v>38</v>
      </c>
      <c r="T2554" t="s">
        <v>38</v>
      </c>
      <c r="U2554" t="s">
        <v>38</v>
      </c>
      <c r="V2554" t="s">
        <v>740</v>
      </c>
      <c r="W2554" t="s">
        <v>38</v>
      </c>
      <c r="X2554" t="s">
        <v>38</v>
      </c>
      <c r="Y2554" t="s">
        <v>2724</v>
      </c>
      <c r="Z2554" t="s">
        <v>42</v>
      </c>
      <c r="AA2554" t="s">
        <v>38</v>
      </c>
      <c r="AB2554" t="s">
        <v>38</v>
      </c>
      <c r="AC2554" t="s">
        <v>38</v>
      </c>
      <c r="AD2554" t="s">
        <v>48</v>
      </c>
      <c r="AG2554" t="str">
        <f>IF(AD2554="United States", IFERROR(INDEX(Sheet2!$C:$C, MATCH(AE2554&amp;AF2554, Sheet2!$E:$E, 0)) &amp; ", " &amp; INDEX(Sheet2!$D:$D, MATCH(AE2554&amp;AF2554, Sheet2!$E:$E, 0)), ""), "-")</f>
        <v/>
      </c>
    </row>
    <row r="2555" spans="1:33" x14ac:dyDescent="0.25">
      <c r="A2555" t="s">
        <v>3842</v>
      </c>
      <c r="B2555" t="s">
        <v>3851</v>
      </c>
      <c r="C2555" t="s">
        <v>3844</v>
      </c>
      <c r="D2555" t="s">
        <v>210</v>
      </c>
      <c r="E2555" t="s">
        <v>38</v>
      </c>
      <c r="F2555">
        <v>1779</v>
      </c>
      <c r="G2555">
        <v>2359</v>
      </c>
      <c r="H2555" t="s">
        <v>38</v>
      </c>
      <c r="I2555" t="s">
        <v>87</v>
      </c>
      <c r="J2555" t="s">
        <v>3845</v>
      </c>
      <c r="K2555" t="s">
        <v>38</v>
      </c>
      <c r="L2555" t="s">
        <v>38</v>
      </c>
      <c r="M2555" t="s">
        <v>38</v>
      </c>
      <c r="N2555" t="s">
        <v>38</v>
      </c>
      <c r="O2555" t="s">
        <v>54</v>
      </c>
      <c r="P2555" t="s">
        <v>42</v>
      </c>
      <c r="Q2555" t="s">
        <v>43</v>
      </c>
      <c r="R2555" t="s">
        <v>38</v>
      </c>
      <c r="S2555" t="s">
        <v>38</v>
      </c>
      <c r="T2555" t="s">
        <v>38</v>
      </c>
      <c r="U2555" t="s">
        <v>38</v>
      </c>
      <c r="V2555" t="s">
        <v>740</v>
      </c>
      <c r="W2555" t="s">
        <v>38</v>
      </c>
      <c r="X2555" t="s">
        <v>38</v>
      </c>
      <c r="Y2555" t="s">
        <v>2724</v>
      </c>
      <c r="Z2555" t="s">
        <v>42</v>
      </c>
      <c r="AA2555" t="s">
        <v>38</v>
      </c>
      <c r="AB2555" t="s">
        <v>38</v>
      </c>
      <c r="AC2555" t="s">
        <v>38</v>
      </c>
      <c r="AD2555" t="s">
        <v>48</v>
      </c>
      <c r="AG2555" t="str">
        <f>IF(AD2555="United States", IFERROR(INDEX(Sheet2!$C:$C, MATCH(AE2555&amp;AF2555, Sheet2!$E:$E, 0)) &amp; ", " &amp; INDEX(Sheet2!$D:$D, MATCH(AE2555&amp;AF2555, Sheet2!$E:$E, 0)), ""), "-")</f>
        <v/>
      </c>
    </row>
    <row r="2556" spans="1:33" x14ac:dyDescent="0.25">
      <c r="A2556" t="s">
        <v>3842</v>
      </c>
      <c r="B2556" t="s">
        <v>3852</v>
      </c>
      <c r="C2556" t="s">
        <v>3844</v>
      </c>
      <c r="D2556" t="s">
        <v>245</v>
      </c>
      <c r="E2556" t="s">
        <v>38</v>
      </c>
      <c r="F2556">
        <v>1747</v>
      </c>
      <c r="G2556">
        <v>2358</v>
      </c>
      <c r="H2556" t="s">
        <v>38</v>
      </c>
      <c r="I2556" t="s">
        <v>87</v>
      </c>
      <c r="J2556" t="s">
        <v>3845</v>
      </c>
      <c r="K2556" t="s">
        <v>38</v>
      </c>
      <c r="L2556" t="s">
        <v>38</v>
      </c>
      <c r="M2556" t="s">
        <v>38</v>
      </c>
      <c r="N2556" t="s">
        <v>38</v>
      </c>
      <c r="O2556" t="s">
        <v>57</v>
      </c>
      <c r="P2556" t="s">
        <v>42</v>
      </c>
      <c r="Q2556" t="s">
        <v>43</v>
      </c>
      <c r="R2556" t="s">
        <v>155</v>
      </c>
      <c r="S2556" t="s">
        <v>153</v>
      </c>
      <c r="T2556" t="s">
        <v>38</v>
      </c>
      <c r="U2556" t="s">
        <v>38</v>
      </c>
      <c r="V2556" t="s">
        <v>740</v>
      </c>
      <c r="W2556" t="s">
        <v>38</v>
      </c>
      <c r="X2556" t="s">
        <v>38</v>
      </c>
      <c r="Y2556" t="s">
        <v>2724</v>
      </c>
      <c r="Z2556" t="s">
        <v>42</v>
      </c>
      <c r="AA2556" t="s">
        <v>155</v>
      </c>
      <c r="AB2556" t="s">
        <v>38</v>
      </c>
      <c r="AC2556" t="s">
        <v>153</v>
      </c>
      <c r="AD2556" t="s">
        <v>48</v>
      </c>
      <c r="AG2556" t="str">
        <f>IF(AD2556="United States", IFERROR(INDEX(Sheet2!$C:$C, MATCH(AE2556&amp;AF2556, Sheet2!$E:$E, 0)) &amp; ", " &amp; INDEX(Sheet2!$D:$D, MATCH(AE2556&amp;AF2556, Sheet2!$E:$E, 0)), ""), "-")</f>
        <v/>
      </c>
    </row>
    <row r="2557" spans="1:33" x14ac:dyDescent="0.25">
      <c r="A2557" t="s">
        <v>3842</v>
      </c>
      <c r="B2557" t="s">
        <v>3853</v>
      </c>
      <c r="C2557" t="s">
        <v>3844</v>
      </c>
      <c r="D2557" t="s">
        <v>1413</v>
      </c>
      <c r="E2557" t="s">
        <v>38</v>
      </c>
      <c r="F2557">
        <v>1777</v>
      </c>
      <c r="G2557">
        <v>2357</v>
      </c>
      <c r="H2557" t="s">
        <v>38</v>
      </c>
      <c r="I2557" t="s">
        <v>87</v>
      </c>
      <c r="J2557" t="s">
        <v>3845</v>
      </c>
      <c r="K2557" t="s">
        <v>38</v>
      </c>
      <c r="L2557" t="s">
        <v>38</v>
      </c>
      <c r="M2557" t="s">
        <v>38</v>
      </c>
      <c r="N2557" t="s">
        <v>38</v>
      </c>
      <c r="O2557" t="s">
        <v>74</v>
      </c>
      <c r="P2557" t="s">
        <v>42</v>
      </c>
      <c r="Q2557" t="s">
        <v>43</v>
      </c>
      <c r="R2557" t="s">
        <v>38</v>
      </c>
      <c r="S2557" t="s">
        <v>38</v>
      </c>
      <c r="T2557" t="s">
        <v>38</v>
      </c>
      <c r="U2557" t="s">
        <v>38</v>
      </c>
      <c r="V2557" t="s">
        <v>740</v>
      </c>
      <c r="W2557" t="s">
        <v>38</v>
      </c>
      <c r="X2557" t="s">
        <v>38</v>
      </c>
      <c r="Y2557" t="s">
        <v>2724</v>
      </c>
      <c r="Z2557" t="s">
        <v>42</v>
      </c>
      <c r="AA2557" t="s">
        <v>38</v>
      </c>
      <c r="AB2557" t="s">
        <v>38</v>
      </c>
      <c r="AC2557" t="s">
        <v>38</v>
      </c>
      <c r="AD2557" t="s">
        <v>48</v>
      </c>
      <c r="AG2557" t="str">
        <f>IF(AD2557="United States", IFERROR(INDEX(Sheet2!$C:$C, MATCH(AE2557&amp;AF2557, Sheet2!$E:$E, 0)) &amp; ", " &amp; INDEX(Sheet2!$D:$D, MATCH(AE2557&amp;AF2557, Sheet2!$E:$E, 0)), ""), "-")</f>
        <v/>
      </c>
    </row>
    <row r="2558" spans="1:33" x14ac:dyDescent="0.25">
      <c r="A2558" t="s">
        <v>3842</v>
      </c>
      <c r="B2558" t="s">
        <v>3854</v>
      </c>
      <c r="C2558" t="s">
        <v>3844</v>
      </c>
      <c r="D2558" t="s">
        <v>2124</v>
      </c>
      <c r="E2558" t="s">
        <v>38</v>
      </c>
      <c r="F2558">
        <v>1765</v>
      </c>
      <c r="G2558">
        <v>2338</v>
      </c>
      <c r="H2558" t="s">
        <v>38</v>
      </c>
      <c r="I2558" t="s">
        <v>87</v>
      </c>
      <c r="J2558" t="s">
        <v>3845</v>
      </c>
      <c r="K2558" t="s">
        <v>38</v>
      </c>
      <c r="L2558" t="s">
        <v>38</v>
      </c>
      <c r="M2558" t="s">
        <v>38</v>
      </c>
      <c r="N2558" t="s">
        <v>38</v>
      </c>
      <c r="O2558" t="s">
        <v>57</v>
      </c>
      <c r="P2558" t="s">
        <v>42</v>
      </c>
      <c r="Q2558" t="s">
        <v>43</v>
      </c>
      <c r="R2558" t="s">
        <v>3846</v>
      </c>
      <c r="S2558" t="s">
        <v>45</v>
      </c>
      <c r="T2558" t="s">
        <v>38</v>
      </c>
      <c r="U2558" t="s">
        <v>38</v>
      </c>
      <c r="V2558" t="s">
        <v>740</v>
      </c>
      <c r="W2558" t="s">
        <v>38</v>
      </c>
      <c r="X2558" t="s">
        <v>38</v>
      </c>
      <c r="Y2558" t="s">
        <v>2724</v>
      </c>
      <c r="Z2558" t="s">
        <v>42</v>
      </c>
      <c r="AA2558" t="s">
        <v>2124</v>
      </c>
      <c r="AB2558" t="s">
        <v>143</v>
      </c>
      <c r="AC2558" t="s">
        <v>45</v>
      </c>
      <c r="AD2558" t="s">
        <v>48</v>
      </c>
      <c r="AG2558" t="str">
        <f>IF(AD2558="United States", IFERROR(INDEX(Sheet2!$C:$C, MATCH(AE2558&amp;AF2558, Sheet2!$E:$E, 0)) &amp; ", " &amp; INDEX(Sheet2!$D:$D, MATCH(AE2558&amp;AF2558, Sheet2!$E:$E, 0)), ""), "-")</f>
        <v/>
      </c>
    </row>
    <row r="2559" spans="1:33" x14ac:dyDescent="0.25">
      <c r="A2559" t="s">
        <v>3842</v>
      </c>
      <c r="B2559" t="s">
        <v>3855</v>
      </c>
      <c r="C2559" t="s">
        <v>3844</v>
      </c>
      <c r="D2559" t="s">
        <v>834</v>
      </c>
      <c r="E2559" t="s">
        <v>38</v>
      </c>
      <c r="F2559">
        <v>1774</v>
      </c>
      <c r="G2559">
        <v>2336</v>
      </c>
      <c r="H2559" t="s">
        <v>38</v>
      </c>
      <c r="I2559" t="s">
        <v>87</v>
      </c>
      <c r="J2559" t="s">
        <v>3845</v>
      </c>
      <c r="K2559" t="s">
        <v>38</v>
      </c>
      <c r="L2559" t="s">
        <v>38</v>
      </c>
      <c r="M2559" t="s">
        <v>38</v>
      </c>
      <c r="N2559" t="s">
        <v>38</v>
      </c>
      <c r="O2559" t="s">
        <v>54</v>
      </c>
      <c r="P2559" t="s">
        <v>42</v>
      </c>
      <c r="Q2559" t="s">
        <v>43</v>
      </c>
      <c r="R2559" t="s">
        <v>3846</v>
      </c>
      <c r="S2559" t="s">
        <v>45</v>
      </c>
      <c r="T2559" t="s">
        <v>38</v>
      </c>
      <c r="U2559" t="s">
        <v>38</v>
      </c>
      <c r="V2559" t="s">
        <v>740</v>
      </c>
      <c r="W2559" t="s">
        <v>38</v>
      </c>
      <c r="X2559" t="s">
        <v>38</v>
      </c>
      <c r="Y2559" t="s">
        <v>3847</v>
      </c>
      <c r="Z2559" t="s">
        <v>42</v>
      </c>
      <c r="AA2559" t="s">
        <v>143</v>
      </c>
      <c r="AB2559" t="s">
        <v>38</v>
      </c>
      <c r="AC2559" t="s">
        <v>45</v>
      </c>
      <c r="AD2559" t="s">
        <v>48</v>
      </c>
      <c r="AG2559" t="str">
        <f>IF(AD2559="United States", IFERROR(INDEX(Sheet2!$C:$C, MATCH(AE2559&amp;AF2559, Sheet2!$E:$E, 0)) &amp; ", " &amp; INDEX(Sheet2!$D:$D, MATCH(AE2559&amp;AF2559, Sheet2!$E:$E, 0)), ""), "-")</f>
        <v/>
      </c>
    </row>
    <row r="2560" spans="1:33" x14ac:dyDescent="0.25">
      <c r="A2560" t="s">
        <v>3842</v>
      </c>
      <c r="B2560" t="s">
        <v>3856</v>
      </c>
      <c r="C2560" t="s">
        <v>3844</v>
      </c>
      <c r="D2560" t="s">
        <v>193</v>
      </c>
      <c r="E2560" t="s">
        <v>38</v>
      </c>
      <c r="F2560">
        <v>1780</v>
      </c>
      <c r="G2560">
        <v>2334</v>
      </c>
      <c r="H2560" t="s">
        <v>38</v>
      </c>
      <c r="I2560" t="s">
        <v>87</v>
      </c>
      <c r="J2560" t="s">
        <v>3845</v>
      </c>
      <c r="K2560" t="s">
        <v>38</v>
      </c>
      <c r="L2560" t="s">
        <v>38</v>
      </c>
      <c r="M2560" t="s">
        <v>38</v>
      </c>
      <c r="N2560" t="s">
        <v>38</v>
      </c>
      <c r="O2560" t="s">
        <v>54</v>
      </c>
      <c r="P2560" t="s">
        <v>42</v>
      </c>
      <c r="Q2560" t="s">
        <v>43</v>
      </c>
      <c r="R2560" t="s">
        <v>38</v>
      </c>
      <c r="S2560" t="s">
        <v>38</v>
      </c>
      <c r="T2560" t="s">
        <v>38</v>
      </c>
      <c r="U2560" t="s">
        <v>38</v>
      </c>
      <c r="V2560" t="s">
        <v>740</v>
      </c>
      <c r="W2560" t="s">
        <v>38</v>
      </c>
      <c r="X2560" t="s">
        <v>38</v>
      </c>
      <c r="Y2560" t="s">
        <v>3847</v>
      </c>
      <c r="Z2560" t="s">
        <v>42</v>
      </c>
      <c r="AA2560" t="s">
        <v>38</v>
      </c>
      <c r="AB2560" t="s">
        <v>38</v>
      </c>
      <c r="AC2560" t="s">
        <v>38</v>
      </c>
      <c r="AD2560" t="s">
        <v>48</v>
      </c>
      <c r="AG2560" t="str">
        <f>IF(AD2560="United States", IFERROR(INDEX(Sheet2!$C:$C, MATCH(AE2560&amp;AF2560, Sheet2!$E:$E, 0)) &amp; ", " &amp; INDEX(Sheet2!$D:$D, MATCH(AE2560&amp;AF2560, Sheet2!$E:$E, 0)), ""), "-")</f>
        <v/>
      </c>
    </row>
    <row r="2561" spans="1:33" x14ac:dyDescent="0.25">
      <c r="A2561" t="s">
        <v>3842</v>
      </c>
      <c r="B2561" t="s">
        <v>3857</v>
      </c>
      <c r="C2561" t="s">
        <v>3844</v>
      </c>
      <c r="D2561" t="s">
        <v>463</v>
      </c>
      <c r="E2561" t="s">
        <v>38</v>
      </c>
      <c r="F2561">
        <v>1776</v>
      </c>
      <c r="G2561">
        <v>2337</v>
      </c>
      <c r="H2561" t="s">
        <v>38</v>
      </c>
      <c r="I2561" t="s">
        <v>87</v>
      </c>
      <c r="J2561" t="s">
        <v>3845</v>
      </c>
      <c r="K2561" t="s">
        <v>38</v>
      </c>
      <c r="L2561" t="s">
        <v>38</v>
      </c>
      <c r="M2561" t="s">
        <v>38</v>
      </c>
      <c r="N2561" t="s">
        <v>38</v>
      </c>
      <c r="O2561" t="s">
        <v>54</v>
      </c>
      <c r="P2561" t="s">
        <v>42</v>
      </c>
      <c r="Q2561" t="s">
        <v>43</v>
      </c>
      <c r="R2561" t="s">
        <v>3846</v>
      </c>
      <c r="S2561" t="s">
        <v>45</v>
      </c>
      <c r="T2561" t="s">
        <v>38</v>
      </c>
      <c r="U2561" t="s">
        <v>38</v>
      </c>
      <c r="V2561" t="s">
        <v>740</v>
      </c>
      <c r="W2561" t="s">
        <v>38</v>
      </c>
      <c r="X2561" t="s">
        <v>38</v>
      </c>
      <c r="Y2561" t="s">
        <v>2724</v>
      </c>
      <c r="Z2561" t="s">
        <v>42</v>
      </c>
      <c r="AA2561" t="s">
        <v>143</v>
      </c>
      <c r="AB2561" t="s">
        <v>38</v>
      </c>
      <c r="AC2561" t="s">
        <v>45</v>
      </c>
      <c r="AD2561" t="s">
        <v>48</v>
      </c>
      <c r="AG2561" t="str">
        <f>IF(AD2561="United States", IFERROR(INDEX(Sheet2!$C:$C, MATCH(AE2561&amp;AF2561, Sheet2!$E:$E, 0)) &amp; ", " &amp; INDEX(Sheet2!$D:$D, MATCH(AE2561&amp;AF2561, Sheet2!$E:$E, 0)), ""), "-")</f>
        <v/>
      </c>
    </row>
    <row r="2562" spans="1:33" x14ac:dyDescent="0.25">
      <c r="A2562" t="s">
        <v>3842</v>
      </c>
      <c r="B2562" t="s">
        <v>3858</v>
      </c>
      <c r="C2562" t="s">
        <v>3844</v>
      </c>
      <c r="D2562" t="s">
        <v>1214</v>
      </c>
      <c r="E2562" t="s">
        <v>38</v>
      </c>
      <c r="F2562">
        <v>1757</v>
      </c>
      <c r="G2562">
        <v>2353</v>
      </c>
      <c r="H2562" t="s">
        <v>38</v>
      </c>
      <c r="I2562" t="s">
        <v>87</v>
      </c>
      <c r="J2562" t="s">
        <v>3845</v>
      </c>
      <c r="K2562" t="s">
        <v>38</v>
      </c>
      <c r="L2562" t="s">
        <v>38</v>
      </c>
      <c r="M2562" t="s">
        <v>38</v>
      </c>
      <c r="N2562" t="s">
        <v>38</v>
      </c>
      <c r="O2562" t="s">
        <v>57</v>
      </c>
      <c r="P2562" t="s">
        <v>42</v>
      </c>
      <c r="Q2562" t="s">
        <v>43</v>
      </c>
      <c r="R2562" t="s">
        <v>169</v>
      </c>
      <c r="S2562" t="s">
        <v>45</v>
      </c>
      <c r="T2562" t="s">
        <v>38</v>
      </c>
      <c r="U2562" t="s">
        <v>38</v>
      </c>
      <c r="V2562" t="s">
        <v>740</v>
      </c>
      <c r="W2562" t="s">
        <v>38</v>
      </c>
      <c r="X2562" t="s">
        <v>38</v>
      </c>
      <c r="Y2562" t="s">
        <v>2724</v>
      </c>
      <c r="Z2562" t="s">
        <v>42</v>
      </c>
      <c r="AA2562" t="s">
        <v>169</v>
      </c>
      <c r="AB2562" t="s">
        <v>38</v>
      </c>
      <c r="AC2562" t="s">
        <v>45</v>
      </c>
      <c r="AD2562" t="s">
        <v>48</v>
      </c>
      <c r="AG2562" t="str">
        <f>IF(AD2562="United States", IFERROR(INDEX(Sheet2!$C:$C, MATCH(AE2562&amp;AF2562, Sheet2!$E:$E, 0)) &amp; ", " &amp; INDEX(Sheet2!$D:$D, MATCH(AE2562&amp;AF2562, Sheet2!$E:$E, 0)), ""), "-")</f>
        <v/>
      </c>
    </row>
    <row r="2563" spans="1:33" x14ac:dyDescent="0.25">
      <c r="A2563" t="s">
        <v>3842</v>
      </c>
      <c r="B2563" t="s">
        <v>3859</v>
      </c>
      <c r="C2563" t="s">
        <v>3844</v>
      </c>
      <c r="D2563" t="s">
        <v>50</v>
      </c>
      <c r="E2563" t="s">
        <v>38</v>
      </c>
      <c r="F2563">
        <v>1756</v>
      </c>
      <c r="G2563">
        <v>2340</v>
      </c>
      <c r="H2563" t="s">
        <v>38</v>
      </c>
      <c r="I2563" t="s">
        <v>87</v>
      </c>
      <c r="J2563" t="s">
        <v>3845</v>
      </c>
      <c r="K2563" t="s">
        <v>38</v>
      </c>
      <c r="L2563" t="s">
        <v>38</v>
      </c>
      <c r="M2563" t="s">
        <v>38</v>
      </c>
      <c r="N2563" t="s">
        <v>38</v>
      </c>
      <c r="O2563" t="s">
        <v>57</v>
      </c>
      <c r="P2563" t="s">
        <v>42</v>
      </c>
      <c r="Q2563" t="s">
        <v>43</v>
      </c>
      <c r="R2563" t="s">
        <v>3860</v>
      </c>
      <c r="S2563" t="s">
        <v>153</v>
      </c>
      <c r="T2563" t="s">
        <v>38</v>
      </c>
      <c r="U2563" t="s">
        <v>38</v>
      </c>
      <c r="V2563" t="s">
        <v>740</v>
      </c>
      <c r="W2563" t="s">
        <v>38</v>
      </c>
      <c r="X2563" t="s">
        <v>38</v>
      </c>
      <c r="Y2563" t="s">
        <v>2724</v>
      </c>
      <c r="Z2563" t="s">
        <v>42</v>
      </c>
      <c r="AA2563" t="s">
        <v>3860</v>
      </c>
      <c r="AB2563" t="s">
        <v>38</v>
      </c>
      <c r="AC2563" t="s">
        <v>153</v>
      </c>
      <c r="AD2563" t="s">
        <v>48</v>
      </c>
      <c r="AG2563" t="str">
        <f>IF(AD2563="United States", IFERROR(INDEX(Sheet2!$C:$C, MATCH(AE2563&amp;AF2563, Sheet2!$E:$E, 0)) &amp; ", " &amp; INDEX(Sheet2!$D:$D, MATCH(AE2563&amp;AF2563, Sheet2!$E:$E, 0)), ""), "-")</f>
        <v/>
      </c>
    </row>
    <row r="2564" spans="1:33" x14ac:dyDescent="0.25">
      <c r="A2564" t="s">
        <v>3842</v>
      </c>
      <c r="B2564" t="s">
        <v>3861</v>
      </c>
      <c r="C2564" t="s">
        <v>3844</v>
      </c>
      <c r="D2564" t="s">
        <v>63</v>
      </c>
      <c r="E2564" t="s">
        <v>38</v>
      </c>
      <c r="F2564" t="s">
        <v>38</v>
      </c>
      <c r="G2564">
        <v>2341</v>
      </c>
      <c r="H2564" t="s">
        <v>38</v>
      </c>
      <c r="I2564" t="s">
        <v>87</v>
      </c>
      <c r="J2564" t="s">
        <v>3845</v>
      </c>
      <c r="K2564" t="s">
        <v>38</v>
      </c>
      <c r="L2564" t="s">
        <v>38</v>
      </c>
      <c r="M2564" t="s">
        <v>38</v>
      </c>
      <c r="N2564" t="s">
        <v>38</v>
      </c>
      <c r="O2564" t="s">
        <v>54</v>
      </c>
      <c r="P2564" t="s">
        <v>42</v>
      </c>
      <c r="Q2564" t="s">
        <v>43</v>
      </c>
      <c r="R2564" t="s">
        <v>3860</v>
      </c>
      <c r="S2564" t="s">
        <v>153</v>
      </c>
      <c r="T2564" t="s">
        <v>38</v>
      </c>
      <c r="U2564" t="s">
        <v>38</v>
      </c>
      <c r="V2564" t="s">
        <v>740</v>
      </c>
      <c r="W2564" t="s">
        <v>38</v>
      </c>
      <c r="X2564" t="s">
        <v>38</v>
      </c>
      <c r="Y2564" t="s">
        <v>2724</v>
      </c>
      <c r="Z2564" t="s">
        <v>42</v>
      </c>
      <c r="AA2564" t="s">
        <v>3860</v>
      </c>
      <c r="AB2564" t="s">
        <v>38</v>
      </c>
      <c r="AC2564" t="s">
        <v>153</v>
      </c>
      <c r="AD2564" t="s">
        <v>48</v>
      </c>
      <c r="AG2564" t="str">
        <f>IF(AD2564="United States", IFERROR(INDEX(Sheet2!$C:$C, MATCH(AE2564&amp;AF2564, Sheet2!$E:$E, 0)) &amp; ", " &amp; INDEX(Sheet2!$D:$D, MATCH(AE2564&amp;AF2564, Sheet2!$E:$E, 0)), ""), "-")</f>
        <v/>
      </c>
    </row>
    <row r="2565" spans="1:33" x14ac:dyDescent="0.25">
      <c r="A2565" t="s">
        <v>3842</v>
      </c>
      <c r="B2565" t="s">
        <v>3862</v>
      </c>
      <c r="C2565" t="s">
        <v>3844</v>
      </c>
      <c r="D2565" t="s">
        <v>3710</v>
      </c>
      <c r="E2565" t="s">
        <v>38</v>
      </c>
      <c r="F2565">
        <v>1776</v>
      </c>
      <c r="G2565">
        <v>2342</v>
      </c>
      <c r="H2565" t="s">
        <v>38</v>
      </c>
      <c r="I2565" t="s">
        <v>87</v>
      </c>
      <c r="J2565" t="s">
        <v>3845</v>
      </c>
      <c r="K2565" t="s">
        <v>38</v>
      </c>
      <c r="L2565" t="s">
        <v>38</v>
      </c>
      <c r="M2565" t="s">
        <v>38</v>
      </c>
      <c r="N2565" t="s">
        <v>38</v>
      </c>
      <c r="O2565" t="s">
        <v>74</v>
      </c>
      <c r="P2565" t="s">
        <v>42</v>
      </c>
      <c r="Q2565" t="s">
        <v>43</v>
      </c>
      <c r="R2565" t="s">
        <v>3860</v>
      </c>
      <c r="S2565" t="s">
        <v>153</v>
      </c>
      <c r="T2565" t="s">
        <v>38</v>
      </c>
      <c r="U2565" t="s">
        <v>38</v>
      </c>
      <c r="V2565" t="s">
        <v>740</v>
      </c>
      <c r="W2565" t="s">
        <v>38</v>
      </c>
      <c r="X2565" t="s">
        <v>38</v>
      </c>
      <c r="Y2565" t="s">
        <v>2724</v>
      </c>
      <c r="Z2565" t="s">
        <v>42</v>
      </c>
      <c r="AA2565" t="s">
        <v>3860</v>
      </c>
      <c r="AB2565" t="s">
        <v>38</v>
      </c>
      <c r="AC2565" t="s">
        <v>153</v>
      </c>
      <c r="AD2565" t="s">
        <v>48</v>
      </c>
      <c r="AG2565" t="str">
        <f>IF(AD2565="United States", IFERROR(INDEX(Sheet2!$C:$C, MATCH(AE2565&amp;AF2565, Sheet2!$E:$E, 0)) &amp; ", " &amp; INDEX(Sheet2!$D:$D, MATCH(AE2565&amp;AF2565, Sheet2!$E:$E, 0)), ""), "-")</f>
        <v/>
      </c>
    </row>
    <row r="2566" spans="1:33" x14ac:dyDescent="0.25">
      <c r="A2566" t="s">
        <v>3842</v>
      </c>
      <c r="B2566" t="s">
        <v>3863</v>
      </c>
      <c r="C2566" t="s">
        <v>3844</v>
      </c>
      <c r="D2566" t="s">
        <v>3712</v>
      </c>
      <c r="E2566" t="s">
        <v>38</v>
      </c>
      <c r="F2566">
        <v>1763</v>
      </c>
      <c r="G2566">
        <v>2343</v>
      </c>
      <c r="H2566" t="s">
        <v>38</v>
      </c>
      <c r="I2566" t="s">
        <v>87</v>
      </c>
      <c r="J2566" t="s">
        <v>3845</v>
      </c>
      <c r="K2566" t="s">
        <v>38</v>
      </c>
      <c r="L2566" t="s">
        <v>38</v>
      </c>
      <c r="M2566" t="s">
        <v>38</v>
      </c>
      <c r="N2566" t="s">
        <v>38</v>
      </c>
      <c r="O2566" t="s">
        <v>41</v>
      </c>
      <c r="P2566" t="s">
        <v>42</v>
      </c>
      <c r="Q2566" t="s">
        <v>43</v>
      </c>
      <c r="R2566" t="s">
        <v>682</v>
      </c>
      <c r="S2566" t="s">
        <v>45</v>
      </c>
      <c r="T2566" t="s">
        <v>38</v>
      </c>
      <c r="U2566" t="s">
        <v>38</v>
      </c>
      <c r="V2566" t="s">
        <v>740</v>
      </c>
      <c r="W2566" t="s">
        <v>38</v>
      </c>
      <c r="X2566" t="s">
        <v>38</v>
      </c>
      <c r="Y2566" t="s">
        <v>2724</v>
      </c>
      <c r="Z2566" t="s">
        <v>42</v>
      </c>
      <c r="AA2566" t="s">
        <v>682</v>
      </c>
      <c r="AB2566" t="s">
        <v>38</v>
      </c>
      <c r="AC2566" t="s">
        <v>45</v>
      </c>
      <c r="AD2566" t="s">
        <v>48</v>
      </c>
      <c r="AG2566" t="str">
        <f>IF(AD2566="United States", IFERROR(INDEX(Sheet2!$C:$C, MATCH(AE2566&amp;AF2566, Sheet2!$E:$E, 0)) &amp; ", " &amp; INDEX(Sheet2!$D:$D, MATCH(AE2566&amp;AF2566, Sheet2!$E:$E, 0)), ""), "-")</f>
        <v/>
      </c>
    </row>
    <row r="2567" spans="1:33" x14ac:dyDescent="0.25">
      <c r="A2567" t="s">
        <v>3842</v>
      </c>
      <c r="B2567" t="s">
        <v>3864</v>
      </c>
      <c r="C2567" t="s">
        <v>3844</v>
      </c>
      <c r="D2567" t="s">
        <v>980</v>
      </c>
      <c r="E2567" t="s">
        <v>38</v>
      </c>
      <c r="F2567">
        <v>1763</v>
      </c>
      <c r="G2567">
        <v>2344</v>
      </c>
      <c r="H2567" t="s">
        <v>38</v>
      </c>
      <c r="I2567" t="s">
        <v>87</v>
      </c>
      <c r="J2567" t="s">
        <v>3845</v>
      </c>
      <c r="K2567" t="s">
        <v>38</v>
      </c>
      <c r="L2567" t="s">
        <v>38</v>
      </c>
      <c r="M2567" t="s">
        <v>38</v>
      </c>
      <c r="N2567" t="s">
        <v>38</v>
      </c>
      <c r="O2567" t="s">
        <v>57</v>
      </c>
      <c r="P2567" t="s">
        <v>42</v>
      </c>
      <c r="Q2567" t="s">
        <v>43</v>
      </c>
      <c r="R2567" t="s">
        <v>143</v>
      </c>
      <c r="S2567" t="s">
        <v>45</v>
      </c>
      <c r="T2567" t="s">
        <v>38</v>
      </c>
      <c r="U2567" t="s">
        <v>38</v>
      </c>
      <c r="V2567" t="s">
        <v>740</v>
      </c>
      <c r="W2567" t="s">
        <v>38</v>
      </c>
      <c r="X2567" t="s">
        <v>38</v>
      </c>
      <c r="Y2567" t="s">
        <v>2724</v>
      </c>
      <c r="Z2567" t="s">
        <v>42</v>
      </c>
      <c r="AA2567" t="s">
        <v>143</v>
      </c>
      <c r="AB2567" t="s">
        <v>38</v>
      </c>
      <c r="AC2567" t="s">
        <v>45</v>
      </c>
      <c r="AD2567" t="s">
        <v>48</v>
      </c>
      <c r="AG2567" t="str">
        <f>IF(AD2567="United States", IFERROR(INDEX(Sheet2!$C:$C, MATCH(AE2567&amp;AF2567, Sheet2!$E:$E, 0)) &amp; ", " &amp; INDEX(Sheet2!$D:$D, MATCH(AE2567&amp;AF2567, Sheet2!$E:$E, 0)), ""), "-")</f>
        <v/>
      </c>
    </row>
    <row r="2568" spans="1:33" x14ac:dyDescent="0.25">
      <c r="A2568" t="s">
        <v>3842</v>
      </c>
      <c r="B2568" t="s">
        <v>3865</v>
      </c>
      <c r="C2568" t="s">
        <v>3844</v>
      </c>
      <c r="D2568" t="s">
        <v>652</v>
      </c>
      <c r="E2568" t="s">
        <v>38</v>
      </c>
      <c r="F2568">
        <v>1776</v>
      </c>
      <c r="G2568">
        <v>2352</v>
      </c>
      <c r="H2568" t="s">
        <v>38</v>
      </c>
      <c r="I2568" t="s">
        <v>87</v>
      </c>
      <c r="J2568" t="s">
        <v>3845</v>
      </c>
      <c r="K2568" t="s">
        <v>38</v>
      </c>
      <c r="L2568" t="s">
        <v>38</v>
      </c>
      <c r="M2568" t="s">
        <v>38</v>
      </c>
      <c r="N2568" t="s">
        <v>38</v>
      </c>
      <c r="O2568" t="s">
        <v>54</v>
      </c>
      <c r="P2568" t="s">
        <v>42</v>
      </c>
      <c r="Q2568" t="s">
        <v>43</v>
      </c>
      <c r="R2568" t="s">
        <v>38</v>
      </c>
      <c r="S2568" t="s">
        <v>38</v>
      </c>
      <c r="T2568" t="s">
        <v>38</v>
      </c>
      <c r="U2568" t="s">
        <v>38</v>
      </c>
      <c r="V2568" t="s">
        <v>740</v>
      </c>
      <c r="W2568" t="s">
        <v>38</v>
      </c>
      <c r="X2568" t="s">
        <v>38</v>
      </c>
      <c r="Y2568" t="s">
        <v>2724</v>
      </c>
      <c r="Z2568" t="s">
        <v>42</v>
      </c>
      <c r="AA2568" t="s">
        <v>38</v>
      </c>
      <c r="AB2568" t="s">
        <v>38</v>
      </c>
      <c r="AC2568" t="s">
        <v>593</v>
      </c>
      <c r="AD2568" t="s">
        <v>48</v>
      </c>
      <c r="AG2568" t="str">
        <f>IF(AD2568="United States", IFERROR(INDEX(Sheet2!$C:$C, MATCH(AE2568&amp;AF2568, Sheet2!$E:$E, 0)) &amp; ", " &amp; INDEX(Sheet2!$D:$D, MATCH(AE2568&amp;AF2568, Sheet2!$E:$E, 0)), ""), "-")</f>
        <v/>
      </c>
    </row>
    <row r="2569" spans="1:33" x14ac:dyDescent="0.25">
      <c r="A2569" t="s">
        <v>3842</v>
      </c>
      <c r="B2569" t="s">
        <v>3866</v>
      </c>
      <c r="C2569" t="s">
        <v>3844</v>
      </c>
      <c r="D2569" t="s">
        <v>50</v>
      </c>
      <c r="E2569" t="s">
        <v>38</v>
      </c>
      <c r="F2569">
        <v>1751</v>
      </c>
      <c r="G2569">
        <v>2351</v>
      </c>
      <c r="H2569" t="s">
        <v>38</v>
      </c>
      <c r="I2569" t="s">
        <v>87</v>
      </c>
      <c r="J2569" t="s">
        <v>3845</v>
      </c>
      <c r="K2569" t="s">
        <v>38</v>
      </c>
      <c r="L2569" t="s">
        <v>38</v>
      </c>
      <c r="M2569" t="s">
        <v>38</v>
      </c>
      <c r="N2569" t="s">
        <v>38</v>
      </c>
      <c r="O2569" t="s">
        <v>57</v>
      </c>
      <c r="P2569" t="s">
        <v>42</v>
      </c>
      <c r="Q2569" t="s">
        <v>43</v>
      </c>
      <c r="R2569" t="s">
        <v>155</v>
      </c>
      <c r="S2569" t="s">
        <v>153</v>
      </c>
      <c r="T2569" t="s">
        <v>38</v>
      </c>
      <c r="U2569" t="s">
        <v>38</v>
      </c>
      <c r="V2569" t="s">
        <v>740</v>
      </c>
      <c r="W2569" t="s">
        <v>38</v>
      </c>
      <c r="X2569" t="s">
        <v>38</v>
      </c>
      <c r="Y2569" t="s">
        <v>2724</v>
      </c>
      <c r="Z2569" t="s">
        <v>42</v>
      </c>
      <c r="AA2569" t="s">
        <v>155</v>
      </c>
      <c r="AB2569" t="s">
        <v>38</v>
      </c>
      <c r="AC2569" t="s">
        <v>153</v>
      </c>
      <c r="AD2569" t="s">
        <v>48</v>
      </c>
      <c r="AG2569" t="str">
        <f>IF(AD2569="United States", IFERROR(INDEX(Sheet2!$C:$C, MATCH(AE2569&amp;AF2569, Sheet2!$E:$E, 0)) &amp; ", " &amp; INDEX(Sheet2!$D:$D, MATCH(AE2569&amp;AF2569, Sheet2!$E:$E, 0)), ""), "-")</f>
        <v/>
      </c>
    </row>
    <row r="2570" spans="1:33" x14ac:dyDescent="0.25">
      <c r="A2570" t="s">
        <v>3842</v>
      </c>
      <c r="B2570" t="s">
        <v>3867</v>
      </c>
      <c r="C2570" t="s">
        <v>3844</v>
      </c>
      <c r="D2570" t="s">
        <v>445</v>
      </c>
      <c r="E2570" t="s">
        <v>38</v>
      </c>
      <c r="F2570">
        <v>1728</v>
      </c>
      <c r="G2570">
        <v>2350</v>
      </c>
      <c r="H2570" t="s">
        <v>38</v>
      </c>
      <c r="I2570" t="s">
        <v>87</v>
      </c>
      <c r="J2570" t="s">
        <v>3845</v>
      </c>
      <c r="K2570" t="s">
        <v>38</v>
      </c>
      <c r="L2570" t="s">
        <v>38</v>
      </c>
      <c r="M2570" t="s">
        <v>38</v>
      </c>
      <c r="N2570" t="s">
        <v>38</v>
      </c>
      <c r="O2570" t="s">
        <v>57</v>
      </c>
      <c r="P2570" t="s">
        <v>42</v>
      </c>
      <c r="Q2570" t="s">
        <v>43</v>
      </c>
      <c r="R2570" t="s">
        <v>155</v>
      </c>
      <c r="S2570" t="s">
        <v>153</v>
      </c>
      <c r="T2570" t="s">
        <v>38</v>
      </c>
      <c r="U2570" t="s">
        <v>38</v>
      </c>
      <c r="V2570" t="s">
        <v>740</v>
      </c>
      <c r="W2570" t="s">
        <v>38</v>
      </c>
      <c r="X2570" t="s">
        <v>38</v>
      </c>
      <c r="Y2570" t="s">
        <v>2724</v>
      </c>
      <c r="Z2570" t="s">
        <v>42</v>
      </c>
      <c r="AA2570" t="s">
        <v>155</v>
      </c>
      <c r="AB2570" t="s">
        <v>38</v>
      </c>
      <c r="AC2570" t="s">
        <v>153</v>
      </c>
      <c r="AD2570" t="s">
        <v>48</v>
      </c>
      <c r="AG2570" t="str">
        <f>IF(AD2570="United States", IFERROR(INDEX(Sheet2!$C:$C, MATCH(AE2570&amp;AF2570, Sheet2!$E:$E, 0)) &amp; ", " &amp; INDEX(Sheet2!$D:$D, MATCH(AE2570&amp;AF2570, Sheet2!$E:$E, 0)), ""), "-")</f>
        <v/>
      </c>
    </row>
    <row r="2571" spans="1:33" x14ac:dyDescent="0.25">
      <c r="A2571" t="s">
        <v>3842</v>
      </c>
      <c r="B2571" t="s">
        <v>3868</v>
      </c>
      <c r="C2571" t="s">
        <v>3844</v>
      </c>
      <c r="D2571" t="s">
        <v>114</v>
      </c>
      <c r="E2571" t="s">
        <v>38</v>
      </c>
      <c r="F2571">
        <v>1763</v>
      </c>
      <c r="G2571">
        <v>2349</v>
      </c>
      <c r="H2571" t="s">
        <v>38</v>
      </c>
      <c r="I2571" t="s">
        <v>87</v>
      </c>
      <c r="J2571" t="s">
        <v>3845</v>
      </c>
      <c r="K2571" t="s">
        <v>38</v>
      </c>
      <c r="L2571" t="s">
        <v>38</v>
      </c>
      <c r="M2571" t="s">
        <v>38</v>
      </c>
      <c r="N2571" t="s">
        <v>38</v>
      </c>
      <c r="O2571" t="s">
        <v>57</v>
      </c>
      <c r="P2571" t="s">
        <v>42</v>
      </c>
      <c r="Q2571" t="s">
        <v>43</v>
      </c>
      <c r="R2571" t="s">
        <v>3869</v>
      </c>
      <c r="S2571" t="s">
        <v>45</v>
      </c>
      <c r="T2571" t="s">
        <v>38</v>
      </c>
      <c r="U2571" t="s">
        <v>38</v>
      </c>
      <c r="V2571" t="s">
        <v>740</v>
      </c>
      <c r="W2571" t="s">
        <v>38</v>
      </c>
      <c r="X2571" t="s">
        <v>38</v>
      </c>
      <c r="Y2571" t="s">
        <v>2724</v>
      </c>
      <c r="Z2571" t="s">
        <v>42</v>
      </c>
      <c r="AA2571" t="s">
        <v>1485</v>
      </c>
      <c r="AB2571" t="s">
        <v>169</v>
      </c>
      <c r="AC2571" t="s">
        <v>45</v>
      </c>
      <c r="AD2571" t="s">
        <v>48</v>
      </c>
      <c r="AG2571" t="str">
        <f>IF(AD2571="United States", IFERROR(INDEX(Sheet2!$C:$C, MATCH(AE2571&amp;AF2571, Sheet2!$E:$E, 0)) &amp; ", " &amp; INDEX(Sheet2!$D:$D, MATCH(AE2571&amp;AF2571, Sheet2!$E:$E, 0)), ""), "-")</f>
        <v/>
      </c>
    </row>
    <row r="2572" spans="1:33" x14ac:dyDescent="0.25">
      <c r="A2572" t="s">
        <v>3842</v>
      </c>
      <c r="B2572" t="s">
        <v>3870</v>
      </c>
      <c r="C2572" t="s">
        <v>3844</v>
      </c>
      <c r="D2572" t="s">
        <v>3714</v>
      </c>
      <c r="E2572" t="s">
        <v>38</v>
      </c>
      <c r="F2572">
        <v>1772</v>
      </c>
      <c r="G2572">
        <v>2348</v>
      </c>
      <c r="H2572" t="s">
        <v>38</v>
      </c>
      <c r="I2572" t="s">
        <v>87</v>
      </c>
      <c r="J2572" t="s">
        <v>3845</v>
      </c>
      <c r="K2572" t="s">
        <v>38</v>
      </c>
      <c r="L2572" t="s">
        <v>38</v>
      </c>
      <c r="M2572" t="s">
        <v>38</v>
      </c>
      <c r="N2572" t="s">
        <v>38</v>
      </c>
      <c r="O2572" t="s">
        <v>74</v>
      </c>
      <c r="P2572" t="s">
        <v>42</v>
      </c>
      <c r="Q2572" t="s">
        <v>43</v>
      </c>
      <c r="R2572" t="s">
        <v>3869</v>
      </c>
      <c r="S2572" t="s">
        <v>45</v>
      </c>
      <c r="T2572" t="s">
        <v>38</v>
      </c>
      <c r="U2572" t="s">
        <v>38</v>
      </c>
      <c r="V2572" t="s">
        <v>740</v>
      </c>
      <c r="W2572" t="s">
        <v>38</v>
      </c>
      <c r="X2572" t="s">
        <v>38</v>
      </c>
      <c r="Y2572" t="s">
        <v>2724</v>
      </c>
      <c r="Z2572" t="s">
        <v>42</v>
      </c>
      <c r="AA2572" t="s">
        <v>1485</v>
      </c>
      <c r="AB2572" t="s">
        <v>169</v>
      </c>
      <c r="AC2572" t="s">
        <v>45</v>
      </c>
      <c r="AD2572" t="s">
        <v>48</v>
      </c>
      <c r="AG2572" t="str">
        <f>IF(AD2572="United States", IFERROR(INDEX(Sheet2!$C:$C, MATCH(AE2572&amp;AF2572, Sheet2!$E:$E, 0)) &amp; ", " &amp; INDEX(Sheet2!$D:$D, MATCH(AE2572&amp;AF2572, Sheet2!$E:$E, 0)), ""), "-")</f>
        <v/>
      </c>
    </row>
    <row r="2573" spans="1:33" x14ac:dyDescent="0.25">
      <c r="A2573" t="s">
        <v>3842</v>
      </c>
      <c r="B2573" t="s">
        <v>3871</v>
      </c>
      <c r="C2573" t="s">
        <v>3844</v>
      </c>
      <c r="D2573" t="s">
        <v>140</v>
      </c>
      <c r="E2573" t="s">
        <v>38</v>
      </c>
      <c r="F2573">
        <v>1747</v>
      </c>
      <c r="G2573">
        <v>2347</v>
      </c>
      <c r="H2573" t="s">
        <v>38</v>
      </c>
      <c r="I2573" t="s">
        <v>87</v>
      </c>
      <c r="J2573" t="s">
        <v>3845</v>
      </c>
      <c r="K2573" t="s">
        <v>38</v>
      </c>
      <c r="L2573" t="s">
        <v>38</v>
      </c>
      <c r="M2573" t="s">
        <v>38</v>
      </c>
      <c r="N2573" t="s">
        <v>38</v>
      </c>
      <c r="O2573" t="s">
        <v>57</v>
      </c>
      <c r="P2573" t="s">
        <v>42</v>
      </c>
      <c r="Q2573" t="s">
        <v>43</v>
      </c>
      <c r="R2573" t="s">
        <v>3869</v>
      </c>
      <c r="S2573" t="s">
        <v>45</v>
      </c>
      <c r="T2573" t="s">
        <v>38</v>
      </c>
      <c r="U2573" t="s">
        <v>38</v>
      </c>
      <c r="V2573" t="s">
        <v>740</v>
      </c>
      <c r="W2573" t="s">
        <v>38</v>
      </c>
      <c r="X2573" t="s">
        <v>38</v>
      </c>
      <c r="Y2573" t="s">
        <v>2724</v>
      </c>
      <c r="Z2573" t="s">
        <v>42</v>
      </c>
      <c r="AA2573" t="s">
        <v>1485</v>
      </c>
      <c r="AB2573" t="s">
        <v>169</v>
      </c>
      <c r="AC2573" t="s">
        <v>45</v>
      </c>
      <c r="AD2573" t="s">
        <v>48</v>
      </c>
      <c r="AG2573" t="str">
        <f>IF(AD2573="United States", IFERROR(INDEX(Sheet2!$C:$C, MATCH(AE2573&amp;AF2573, Sheet2!$E:$E, 0)) &amp; ", " &amp; INDEX(Sheet2!$D:$D, MATCH(AE2573&amp;AF2573, Sheet2!$E:$E, 0)), ""), "-")</f>
        <v/>
      </c>
    </row>
    <row r="2574" spans="1:33" x14ac:dyDescent="0.25">
      <c r="A2574" t="s">
        <v>3842</v>
      </c>
      <c r="B2574" t="s">
        <v>3872</v>
      </c>
      <c r="C2574" t="s">
        <v>3844</v>
      </c>
      <c r="D2574" t="s">
        <v>352</v>
      </c>
      <c r="E2574" t="s">
        <v>38</v>
      </c>
      <c r="F2574">
        <v>1741</v>
      </c>
      <c r="G2574">
        <v>2346</v>
      </c>
      <c r="H2574" t="s">
        <v>38</v>
      </c>
      <c r="I2574" t="s">
        <v>87</v>
      </c>
      <c r="J2574" t="s">
        <v>3845</v>
      </c>
      <c r="K2574" t="s">
        <v>38</v>
      </c>
      <c r="L2574" t="s">
        <v>38</v>
      </c>
      <c r="M2574" t="s">
        <v>38</v>
      </c>
      <c r="N2574" t="s">
        <v>38</v>
      </c>
      <c r="O2574" t="s">
        <v>57</v>
      </c>
      <c r="P2574" t="s">
        <v>42</v>
      </c>
      <c r="Q2574" t="s">
        <v>43</v>
      </c>
      <c r="R2574" t="s">
        <v>38</v>
      </c>
      <c r="S2574" t="s">
        <v>38</v>
      </c>
      <c r="T2574" t="s">
        <v>38</v>
      </c>
      <c r="U2574" t="s">
        <v>38</v>
      </c>
      <c r="V2574" t="s">
        <v>740</v>
      </c>
      <c r="W2574" t="s">
        <v>38</v>
      </c>
      <c r="X2574" t="s">
        <v>38</v>
      </c>
      <c r="Y2574" t="s">
        <v>2724</v>
      </c>
      <c r="Z2574" t="s">
        <v>42</v>
      </c>
      <c r="AA2574" t="s">
        <v>38</v>
      </c>
      <c r="AB2574" t="s">
        <v>38</v>
      </c>
      <c r="AC2574" t="s">
        <v>38</v>
      </c>
      <c r="AD2574" t="s">
        <v>48</v>
      </c>
      <c r="AG2574" t="str">
        <f>IF(AD2574="United States", IFERROR(INDEX(Sheet2!$C:$C, MATCH(AE2574&amp;AF2574, Sheet2!$E:$E, 0)) &amp; ", " &amp; INDEX(Sheet2!$D:$D, MATCH(AE2574&amp;AF2574, Sheet2!$E:$E, 0)), ""), "-")</f>
        <v/>
      </c>
    </row>
    <row r="2575" spans="1:33" x14ac:dyDescent="0.25">
      <c r="A2575" t="s">
        <v>3842</v>
      </c>
      <c r="B2575" t="s">
        <v>3873</v>
      </c>
      <c r="C2575" t="s">
        <v>3844</v>
      </c>
      <c r="D2575" t="s">
        <v>106</v>
      </c>
      <c r="E2575" t="s">
        <v>38</v>
      </c>
      <c r="F2575">
        <v>1773</v>
      </c>
      <c r="G2575">
        <v>2345</v>
      </c>
      <c r="H2575" t="s">
        <v>38</v>
      </c>
      <c r="I2575" t="s">
        <v>87</v>
      </c>
      <c r="J2575" t="s">
        <v>3845</v>
      </c>
      <c r="K2575" t="s">
        <v>38</v>
      </c>
      <c r="L2575" t="s">
        <v>38</v>
      </c>
      <c r="M2575" t="s">
        <v>38</v>
      </c>
      <c r="N2575" t="s">
        <v>38</v>
      </c>
      <c r="O2575" t="s">
        <v>54</v>
      </c>
      <c r="P2575" t="s">
        <v>42</v>
      </c>
      <c r="Q2575" t="s">
        <v>43</v>
      </c>
      <c r="R2575" t="s">
        <v>143</v>
      </c>
      <c r="S2575" t="s">
        <v>45</v>
      </c>
      <c r="T2575" t="s">
        <v>38</v>
      </c>
      <c r="U2575" t="s">
        <v>38</v>
      </c>
      <c r="V2575" t="s">
        <v>740</v>
      </c>
      <c r="W2575" t="s">
        <v>38</v>
      </c>
      <c r="X2575" t="s">
        <v>38</v>
      </c>
      <c r="Y2575" t="s">
        <v>2724</v>
      </c>
      <c r="Z2575" t="s">
        <v>42</v>
      </c>
      <c r="AA2575" t="s">
        <v>143</v>
      </c>
      <c r="AB2575" t="s">
        <v>38</v>
      </c>
      <c r="AC2575" t="s">
        <v>45</v>
      </c>
      <c r="AD2575" t="s">
        <v>48</v>
      </c>
      <c r="AG2575" t="str">
        <f>IF(AD2575="United States", IFERROR(INDEX(Sheet2!$C:$C, MATCH(AE2575&amp;AF2575, Sheet2!$E:$E, 0)) &amp; ", " &amp; INDEX(Sheet2!$D:$D, MATCH(AE2575&amp;AF2575, Sheet2!$E:$E, 0)), ""), "-")</f>
        <v/>
      </c>
    </row>
    <row r="2576" spans="1:33" x14ac:dyDescent="0.25">
      <c r="A2576" t="s">
        <v>3842</v>
      </c>
      <c r="B2576" t="s">
        <v>3874</v>
      </c>
      <c r="C2576" t="s">
        <v>3844</v>
      </c>
      <c r="D2576" t="s">
        <v>235</v>
      </c>
      <c r="E2576" t="s">
        <v>38</v>
      </c>
      <c r="F2576">
        <v>1763</v>
      </c>
      <c r="G2576">
        <v>2339</v>
      </c>
      <c r="H2576" t="s">
        <v>38</v>
      </c>
      <c r="I2576" t="s">
        <v>87</v>
      </c>
      <c r="J2576" t="s">
        <v>3845</v>
      </c>
      <c r="K2576" t="s">
        <v>38</v>
      </c>
      <c r="L2576" t="s">
        <v>38</v>
      </c>
      <c r="M2576" t="s">
        <v>38</v>
      </c>
      <c r="N2576" t="s">
        <v>38</v>
      </c>
      <c r="O2576" t="s">
        <v>57</v>
      </c>
      <c r="P2576" t="s">
        <v>42</v>
      </c>
      <c r="Q2576" t="s">
        <v>43</v>
      </c>
      <c r="R2576" t="s">
        <v>682</v>
      </c>
      <c r="S2576" t="s">
        <v>45</v>
      </c>
      <c r="T2576" t="s">
        <v>38</v>
      </c>
      <c r="U2576" t="s">
        <v>38</v>
      </c>
      <c r="V2576" t="s">
        <v>740</v>
      </c>
      <c r="W2576" t="s">
        <v>38</v>
      </c>
      <c r="X2576" t="s">
        <v>38</v>
      </c>
      <c r="Y2576" t="s">
        <v>2724</v>
      </c>
      <c r="Z2576" t="s">
        <v>42</v>
      </c>
      <c r="AA2576" t="s">
        <v>682</v>
      </c>
      <c r="AB2576" t="s">
        <v>38</v>
      </c>
      <c r="AC2576" t="s">
        <v>45</v>
      </c>
      <c r="AD2576" t="s">
        <v>48</v>
      </c>
      <c r="AG2576" t="str">
        <f>IF(AD2576="United States", IFERROR(INDEX(Sheet2!$C:$C, MATCH(AE2576&amp;AF2576, Sheet2!$E:$E, 0)) &amp; ", " &amp; INDEX(Sheet2!$D:$D, MATCH(AE2576&amp;AF2576, Sheet2!$E:$E, 0)), ""), "-")</f>
        <v/>
      </c>
    </row>
    <row r="2577" spans="1:33" x14ac:dyDescent="0.25">
      <c r="A2577" t="s">
        <v>3842</v>
      </c>
      <c r="B2577" t="s">
        <v>3875</v>
      </c>
      <c r="C2577" t="s">
        <v>3844</v>
      </c>
      <c r="D2577" t="s">
        <v>1214</v>
      </c>
      <c r="E2577" t="s">
        <v>38</v>
      </c>
      <c r="F2577">
        <v>1766</v>
      </c>
      <c r="G2577">
        <v>2332</v>
      </c>
      <c r="H2577" t="s">
        <v>38</v>
      </c>
      <c r="I2577" t="s">
        <v>87</v>
      </c>
      <c r="J2577" t="s">
        <v>3845</v>
      </c>
      <c r="K2577" t="s">
        <v>38</v>
      </c>
      <c r="L2577" t="s">
        <v>38</v>
      </c>
      <c r="M2577" t="s">
        <v>38</v>
      </c>
      <c r="N2577" t="s">
        <v>38</v>
      </c>
      <c r="O2577" t="s">
        <v>74</v>
      </c>
      <c r="P2577" t="s">
        <v>42</v>
      </c>
      <c r="Q2577" t="s">
        <v>43</v>
      </c>
      <c r="R2577" t="s">
        <v>241</v>
      </c>
      <c r="S2577" t="s">
        <v>45</v>
      </c>
      <c r="T2577" t="s">
        <v>38</v>
      </c>
      <c r="U2577" t="s">
        <v>38</v>
      </c>
      <c r="V2577" t="s">
        <v>740</v>
      </c>
      <c r="W2577" t="s">
        <v>38</v>
      </c>
      <c r="X2577" t="s">
        <v>38</v>
      </c>
      <c r="Y2577" t="s">
        <v>3847</v>
      </c>
      <c r="Z2577" t="s">
        <v>42</v>
      </c>
      <c r="AA2577" t="s">
        <v>241</v>
      </c>
      <c r="AB2577" t="s">
        <v>38</v>
      </c>
      <c r="AC2577" t="s">
        <v>45</v>
      </c>
      <c r="AD2577" t="s">
        <v>48</v>
      </c>
      <c r="AG2577" t="str">
        <f>IF(AD2577="United States", IFERROR(INDEX(Sheet2!$C:$C, MATCH(AE2577&amp;AF2577, Sheet2!$E:$E, 0)) &amp; ", " &amp; INDEX(Sheet2!$D:$D, MATCH(AE2577&amp;AF2577, Sheet2!$E:$E, 0)), ""), "-")</f>
        <v/>
      </c>
    </row>
    <row r="2578" spans="1:33" x14ac:dyDescent="0.25">
      <c r="A2578" t="s">
        <v>3842</v>
      </c>
      <c r="B2578" t="s">
        <v>3876</v>
      </c>
      <c r="C2578" t="s">
        <v>3844</v>
      </c>
      <c r="D2578" t="s">
        <v>626</v>
      </c>
      <c r="E2578" t="s">
        <v>38</v>
      </c>
      <c r="F2578">
        <v>1777</v>
      </c>
      <c r="G2578">
        <v>2355</v>
      </c>
      <c r="H2578" t="s">
        <v>38</v>
      </c>
      <c r="I2578" t="s">
        <v>87</v>
      </c>
      <c r="J2578" t="s">
        <v>3845</v>
      </c>
      <c r="K2578" t="s">
        <v>38</v>
      </c>
      <c r="L2578" t="s">
        <v>38</v>
      </c>
      <c r="M2578" t="s">
        <v>38</v>
      </c>
      <c r="N2578" t="s">
        <v>38</v>
      </c>
      <c r="O2578" t="s">
        <v>54</v>
      </c>
      <c r="P2578" t="s">
        <v>42</v>
      </c>
      <c r="Q2578" t="s">
        <v>43</v>
      </c>
      <c r="R2578" t="s">
        <v>169</v>
      </c>
      <c r="S2578" t="s">
        <v>45</v>
      </c>
      <c r="T2578" t="s">
        <v>38</v>
      </c>
      <c r="U2578" t="s">
        <v>38</v>
      </c>
      <c r="V2578" t="s">
        <v>740</v>
      </c>
      <c r="W2578" t="s">
        <v>38</v>
      </c>
      <c r="X2578" t="s">
        <v>38</v>
      </c>
      <c r="Y2578" t="s">
        <v>2724</v>
      </c>
      <c r="Z2578" t="s">
        <v>42</v>
      </c>
      <c r="AA2578" t="s">
        <v>169</v>
      </c>
      <c r="AB2578" t="s">
        <v>38</v>
      </c>
      <c r="AC2578" t="s">
        <v>45</v>
      </c>
      <c r="AD2578" t="s">
        <v>48</v>
      </c>
      <c r="AG2578" t="str">
        <f>IF(AD2578="United States", IFERROR(INDEX(Sheet2!$C:$C, MATCH(AE2578&amp;AF2578, Sheet2!$E:$E, 0)) &amp; ", " &amp; INDEX(Sheet2!$D:$D, MATCH(AE2578&amp;AF2578, Sheet2!$E:$E, 0)), ""), "-")</f>
        <v/>
      </c>
    </row>
    <row r="2579" spans="1:33" x14ac:dyDescent="0.25">
      <c r="A2579" t="s">
        <v>3842</v>
      </c>
      <c r="B2579" t="s">
        <v>3877</v>
      </c>
      <c r="C2579" t="s">
        <v>3844</v>
      </c>
      <c r="D2579" t="s">
        <v>220</v>
      </c>
      <c r="E2579" t="s">
        <v>38</v>
      </c>
      <c r="F2579">
        <v>1753</v>
      </c>
      <c r="G2579">
        <v>2330</v>
      </c>
      <c r="H2579" t="s">
        <v>38</v>
      </c>
      <c r="I2579" t="s">
        <v>87</v>
      </c>
      <c r="J2579" t="s">
        <v>3845</v>
      </c>
      <c r="K2579" t="s">
        <v>38</v>
      </c>
      <c r="L2579" t="s">
        <v>38</v>
      </c>
      <c r="M2579" t="s">
        <v>38</v>
      </c>
      <c r="N2579" t="s">
        <v>38</v>
      </c>
      <c r="O2579" t="s">
        <v>41</v>
      </c>
      <c r="P2579" t="s">
        <v>42</v>
      </c>
      <c r="Q2579" t="s">
        <v>43</v>
      </c>
      <c r="R2579" t="s">
        <v>38</v>
      </c>
      <c r="S2579" t="s">
        <v>38</v>
      </c>
      <c r="T2579" t="s">
        <v>38</v>
      </c>
      <c r="U2579" t="s">
        <v>38</v>
      </c>
      <c r="V2579" t="s">
        <v>740</v>
      </c>
      <c r="W2579" t="s">
        <v>38</v>
      </c>
      <c r="X2579" t="s">
        <v>38</v>
      </c>
      <c r="Y2579" t="s">
        <v>3847</v>
      </c>
      <c r="Z2579" t="s">
        <v>42</v>
      </c>
      <c r="AA2579" t="s">
        <v>38</v>
      </c>
      <c r="AB2579" t="s">
        <v>38</v>
      </c>
      <c r="AC2579" t="s">
        <v>593</v>
      </c>
      <c r="AD2579" t="s">
        <v>48</v>
      </c>
      <c r="AG2579" t="str">
        <f>IF(AD2579="United States", IFERROR(INDEX(Sheet2!$C:$C, MATCH(AE2579&amp;AF2579, Sheet2!$E:$E, 0)) &amp; ", " &amp; INDEX(Sheet2!$D:$D, MATCH(AE2579&amp;AF2579, Sheet2!$E:$E, 0)), ""), "-")</f>
        <v/>
      </c>
    </row>
    <row r="2580" spans="1:33" x14ac:dyDescent="0.25">
      <c r="A2580" t="s">
        <v>3842</v>
      </c>
      <c r="B2580" t="s">
        <v>3878</v>
      </c>
      <c r="C2580" t="s">
        <v>3844</v>
      </c>
      <c r="D2580" t="s">
        <v>2376</v>
      </c>
      <c r="E2580" t="s">
        <v>38</v>
      </c>
      <c r="F2580">
        <v>1733</v>
      </c>
      <c r="G2580">
        <v>2331</v>
      </c>
      <c r="H2580" t="s">
        <v>38</v>
      </c>
      <c r="I2580" t="s">
        <v>87</v>
      </c>
      <c r="J2580" t="s">
        <v>3845</v>
      </c>
      <c r="K2580" t="s">
        <v>38</v>
      </c>
      <c r="L2580" t="s">
        <v>38</v>
      </c>
      <c r="M2580" t="s">
        <v>38</v>
      </c>
      <c r="N2580" t="s">
        <v>38</v>
      </c>
      <c r="O2580" t="s">
        <v>41</v>
      </c>
      <c r="P2580" t="s">
        <v>42</v>
      </c>
      <c r="Q2580" t="s">
        <v>43</v>
      </c>
      <c r="R2580" t="s">
        <v>169</v>
      </c>
      <c r="S2580" t="s">
        <v>45</v>
      </c>
      <c r="T2580" t="s">
        <v>38</v>
      </c>
      <c r="U2580" t="s">
        <v>38</v>
      </c>
      <c r="V2580" t="s">
        <v>740</v>
      </c>
      <c r="W2580" t="s">
        <v>38</v>
      </c>
      <c r="X2580" t="s">
        <v>38</v>
      </c>
      <c r="Y2580" t="s">
        <v>3847</v>
      </c>
      <c r="Z2580" t="s">
        <v>42</v>
      </c>
      <c r="AA2580" t="s">
        <v>169</v>
      </c>
      <c r="AB2580" t="s">
        <v>38</v>
      </c>
      <c r="AC2580" t="s">
        <v>45</v>
      </c>
      <c r="AD2580" t="s">
        <v>48</v>
      </c>
      <c r="AG2580" t="str">
        <f>IF(AD2580="United States", IFERROR(INDEX(Sheet2!$C:$C, MATCH(AE2580&amp;AF2580, Sheet2!$E:$E, 0)) &amp; ", " &amp; INDEX(Sheet2!$D:$D, MATCH(AE2580&amp;AF2580, Sheet2!$E:$E, 0)), ""), "-")</f>
        <v/>
      </c>
    </row>
    <row r="2581" spans="1:33" x14ac:dyDescent="0.25">
      <c r="A2581" t="s">
        <v>3842</v>
      </c>
      <c r="B2581" t="s">
        <v>3879</v>
      </c>
      <c r="C2581" t="s">
        <v>3844</v>
      </c>
      <c r="D2581" t="s">
        <v>2148</v>
      </c>
      <c r="E2581" t="s">
        <v>3880</v>
      </c>
      <c r="F2581" t="s">
        <v>38</v>
      </c>
      <c r="G2581">
        <v>2738</v>
      </c>
      <c r="I2581" t="s">
        <v>87</v>
      </c>
      <c r="J2581" t="s">
        <v>3845</v>
      </c>
      <c r="O2581" t="s">
        <v>41</v>
      </c>
      <c r="P2581" t="s">
        <v>42</v>
      </c>
      <c r="Q2581" t="s">
        <v>43</v>
      </c>
      <c r="V2581" t="s">
        <v>740</v>
      </c>
      <c r="Y2581" t="s">
        <v>38</v>
      </c>
      <c r="Z2581" t="s">
        <v>42</v>
      </c>
      <c r="AA2581" t="s">
        <v>38</v>
      </c>
      <c r="AB2581" t="s">
        <v>38</v>
      </c>
      <c r="AC2581" t="s">
        <v>38</v>
      </c>
      <c r="AD2581" t="s">
        <v>48</v>
      </c>
      <c r="AG2581" t="str">
        <f>IF(AD2581="United States", IFERROR(INDEX(Sheet2!$C:$C, MATCH(AE2581&amp;AF2581, Sheet2!$E:$E, 0)) &amp; ", " &amp; INDEX(Sheet2!$D:$D, MATCH(AE2581&amp;AF2581, Sheet2!$E:$E, 0)), ""), "-")</f>
        <v/>
      </c>
    </row>
    <row r="2582" spans="1:33" x14ac:dyDescent="0.25">
      <c r="A2582" t="s">
        <v>3842</v>
      </c>
      <c r="B2582" t="s">
        <v>3881</v>
      </c>
      <c r="C2582" t="s">
        <v>3844</v>
      </c>
      <c r="D2582" t="s">
        <v>621</v>
      </c>
      <c r="E2582" t="s">
        <v>36</v>
      </c>
      <c r="F2582">
        <v>1752</v>
      </c>
      <c r="G2582">
        <v>2319</v>
      </c>
      <c r="H2582" t="s">
        <v>38</v>
      </c>
      <c r="I2582" t="s">
        <v>87</v>
      </c>
      <c r="J2582" t="s">
        <v>3845</v>
      </c>
      <c r="K2582" t="s">
        <v>38</v>
      </c>
      <c r="L2582" t="s">
        <v>38</v>
      </c>
      <c r="M2582" t="s">
        <v>38</v>
      </c>
      <c r="N2582" t="s">
        <v>38</v>
      </c>
      <c r="O2582" t="s">
        <v>41</v>
      </c>
      <c r="P2582" t="s">
        <v>42</v>
      </c>
      <c r="Q2582" t="s">
        <v>43</v>
      </c>
      <c r="R2582" t="s">
        <v>3860</v>
      </c>
      <c r="S2582" t="s">
        <v>153</v>
      </c>
      <c r="T2582" t="s">
        <v>38</v>
      </c>
      <c r="U2582" t="s">
        <v>38</v>
      </c>
      <c r="V2582" t="s">
        <v>740</v>
      </c>
      <c r="W2582" t="s">
        <v>38</v>
      </c>
      <c r="X2582" t="s">
        <v>38</v>
      </c>
      <c r="Y2582" t="s">
        <v>3847</v>
      </c>
      <c r="Z2582" t="s">
        <v>42</v>
      </c>
      <c r="AA2582" t="s">
        <v>3860</v>
      </c>
      <c r="AB2582" t="s">
        <v>38</v>
      </c>
      <c r="AC2582" t="s">
        <v>153</v>
      </c>
      <c r="AD2582" t="s">
        <v>48</v>
      </c>
      <c r="AG2582" t="str">
        <f>IF(AD2582="United States", IFERROR(INDEX(Sheet2!$C:$C, MATCH(AE2582&amp;AF2582, Sheet2!$E:$E, 0)) &amp; ", " &amp; INDEX(Sheet2!$D:$D, MATCH(AE2582&amp;AF2582, Sheet2!$E:$E, 0)), ""), "-")</f>
        <v/>
      </c>
    </row>
    <row r="2583" spans="1:33" x14ac:dyDescent="0.25">
      <c r="A2583" t="s">
        <v>3842</v>
      </c>
      <c r="B2583" t="s">
        <v>3882</v>
      </c>
      <c r="C2583" t="s">
        <v>3844</v>
      </c>
      <c r="D2583" t="s">
        <v>3716</v>
      </c>
      <c r="E2583" t="s">
        <v>38</v>
      </c>
      <c r="F2583">
        <v>1755</v>
      </c>
      <c r="G2583">
        <v>2320</v>
      </c>
      <c r="H2583" t="s">
        <v>38</v>
      </c>
      <c r="I2583" t="s">
        <v>87</v>
      </c>
      <c r="J2583" t="s">
        <v>3845</v>
      </c>
      <c r="K2583" t="s">
        <v>38</v>
      </c>
      <c r="L2583" t="s">
        <v>38</v>
      </c>
      <c r="M2583" t="s">
        <v>38</v>
      </c>
      <c r="N2583" t="s">
        <v>38</v>
      </c>
      <c r="O2583" t="s">
        <v>41</v>
      </c>
      <c r="P2583" t="s">
        <v>42</v>
      </c>
      <c r="Q2583" t="s">
        <v>43</v>
      </c>
      <c r="R2583" t="s">
        <v>1944</v>
      </c>
      <c r="S2583" t="s">
        <v>153</v>
      </c>
      <c r="T2583" t="s">
        <v>38</v>
      </c>
      <c r="U2583" t="s">
        <v>38</v>
      </c>
      <c r="V2583" t="s">
        <v>740</v>
      </c>
      <c r="W2583" t="s">
        <v>38</v>
      </c>
      <c r="X2583" t="s">
        <v>38</v>
      </c>
      <c r="Y2583" t="s">
        <v>3847</v>
      </c>
      <c r="Z2583" t="s">
        <v>42</v>
      </c>
      <c r="AA2583" t="s">
        <v>1882</v>
      </c>
      <c r="AB2583" t="s">
        <v>38</v>
      </c>
      <c r="AC2583" t="s">
        <v>153</v>
      </c>
      <c r="AD2583" t="s">
        <v>48</v>
      </c>
      <c r="AG2583" t="str">
        <f>IF(AD2583="United States", IFERROR(INDEX(Sheet2!$C:$C, MATCH(AE2583&amp;AF2583, Sheet2!$E:$E, 0)) &amp; ", " &amp; INDEX(Sheet2!$D:$D, MATCH(AE2583&amp;AF2583, Sheet2!$E:$E, 0)), ""), "-")</f>
        <v/>
      </c>
    </row>
    <row r="2584" spans="1:33" x14ac:dyDescent="0.25">
      <c r="A2584" t="s">
        <v>3842</v>
      </c>
      <c r="B2584" t="s">
        <v>3883</v>
      </c>
      <c r="C2584" t="s">
        <v>3844</v>
      </c>
      <c r="D2584" t="s">
        <v>150</v>
      </c>
      <c r="E2584" t="s">
        <v>2217</v>
      </c>
      <c r="F2584">
        <v>1758</v>
      </c>
      <c r="G2584">
        <v>2321</v>
      </c>
      <c r="H2584" t="s">
        <v>38</v>
      </c>
      <c r="I2584" t="s">
        <v>87</v>
      </c>
      <c r="J2584" t="s">
        <v>3845</v>
      </c>
      <c r="K2584" t="s">
        <v>38</v>
      </c>
      <c r="L2584" t="s">
        <v>38</v>
      </c>
      <c r="M2584" t="s">
        <v>38</v>
      </c>
      <c r="N2584" t="s">
        <v>38</v>
      </c>
      <c r="O2584" t="s">
        <v>41</v>
      </c>
      <c r="P2584" t="s">
        <v>42</v>
      </c>
      <c r="Q2584" t="s">
        <v>43</v>
      </c>
      <c r="R2584" t="s">
        <v>3562</v>
      </c>
      <c r="S2584" t="s">
        <v>45</v>
      </c>
      <c r="T2584" t="s">
        <v>38</v>
      </c>
      <c r="U2584" t="s">
        <v>38</v>
      </c>
      <c r="V2584" t="s">
        <v>740</v>
      </c>
      <c r="W2584" t="s">
        <v>38</v>
      </c>
      <c r="X2584" t="s">
        <v>38</v>
      </c>
      <c r="Y2584" t="s">
        <v>3847</v>
      </c>
      <c r="Z2584" t="s">
        <v>42</v>
      </c>
      <c r="AA2584" t="s">
        <v>38</v>
      </c>
      <c r="AB2584" t="s">
        <v>38</v>
      </c>
      <c r="AC2584" t="s">
        <v>45</v>
      </c>
      <c r="AD2584" t="s">
        <v>48</v>
      </c>
      <c r="AG2584" t="str">
        <f>IF(AD2584="United States", IFERROR(INDEX(Sheet2!$C:$C, MATCH(AE2584&amp;AF2584, Sheet2!$E:$E, 0)) &amp; ", " &amp; INDEX(Sheet2!$D:$D, MATCH(AE2584&amp;AF2584, Sheet2!$E:$E, 0)), ""), "-")</f>
        <v/>
      </c>
    </row>
    <row r="2585" spans="1:33" x14ac:dyDescent="0.25">
      <c r="A2585" t="s">
        <v>3842</v>
      </c>
      <c r="B2585" t="s">
        <v>3884</v>
      </c>
      <c r="C2585" t="s">
        <v>3844</v>
      </c>
      <c r="D2585" t="s">
        <v>357</v>
      </c>
      <c r="E2585" t="s">
        <v>3717</v>
      </c>
      <c r="F2585">
        <v>1733</v>
      </c>
      <c r="G2585">
        <v>2322</v>
      </c>
      <c r="H2585" t="s">
        <v>38</v>
      </c>
      <c r="I2585" t="s">
        <v>87</v>
      </c>
      <c r="J2585" t="s">
        <v>3845</v>
      </c>
      <c r="K2585" t="s">
        <v>38</v>
      </c>
      <c r="L2585" t="s">
        <v>38</v>
      </c>
      <c r="M2585" t="s">
        <v>38</v>
      </c>
      <c r="N2585" t="s">
        <v>38</v>
      </c>
      <c r="O2585" t="s">
        <v>41</v>
      </c>
      <c r="P2585" t="s">
        <v>42</v>
      </c>
      <c r="Q2585" t="s">
        <v>43</v>
      </c>
      <c r="R2585" t="s">
        <v>155</v>
      </c>
      <c r="S2585" t="s">
        <v>153</v>
      </c>
      <c r="T2585" t="s">
        <v>38</v>
      </c>
      <c r="U2585" t="s">
        <v>38</v>
      </c>
      <c r="V2585" t="s">
        <v>740</v>
      </c>
      <c r="W2585" t="s">
        <v>38</v>
      </c>
      <c r="X2585" t="s">
        <v>38</v>
      </c>
      <c r="Y2585" t="s">
        <v>3847</v>
      </c>
      <c r="Z2585" t="s">
        <v>42</v>
      </c>
      <c r="AA2585" t="s">
        <v>155</v>
      </c>
      <c r="AB2585" t="s">
        <v>38</v>
      </c>
      <c r="AC2585" t="s">
        <v>153</v>
      </c>
      <c r="AD2585" t="s">
        <v>48</v>
      </c>
      <c r="AG2585" t="str">
        <f>IF(AD2585="United States", IFERROR(INDEX(Sheet2!$C:$C, MATCH(AE2585&amp;AF2585, Sheet2!$E:$E, 0)) &amp; ", " &amp; INDEX(Sheet2!$D:$D, MATCH(AE2585&amp;AF2585, Sheet2!$E:$E, 0)), ""), "-")</f>
        <v/>
      </c>
    </row>
    <row r="2586" spans="1:33" x14ac:dyDescent="0.25">
      <c r="A2586" t="s">
        <v>3842</v>
      </c>
      <c r="B2586" t="s">
        <v>3885</v>
      </c>
      <c r="C2586" t="s">
        <v>3844</v>
      </c>
      <c r="D2586" t="s">
        <v>3719</v>
      </c>
      <c r="E2586" t="s">
        <v>38</v>
      </c>
      <c r="F2586">
        <v>1735</v>
      </c>
      <c r="G2586">
        <v>2323</v>
      </c>
      <c r="H2586" t="s">
        <v>38</v>
      </c>
      <c r="I2586" t="s">
        <v>87</v>
      </c>
      <c r="J2586" t="s">
        <v>3845</v>
      </c>
      <c r="K2586" t="s">
        <v>38</v>
      </c>
      <c r="L2586" t="s">
        <v>38</v>
      </c>
      <c r="M2586" t="s">
        <v>38</v>
      </c>
      <c r="N2586" t="s">
        <v>38</v>
      </c>
      <c r="O2586" t="s">
        <v>41</v>
      </c>
      <c r="P2586" t="s">
        <v>42</v>
      </c>
      <c r="Q2586" t="s">
        <v>43</v>
      </c>
      <c r="R2586" t="s">
        <v>1919</v>
      </c>
      <c r="S2586" t="s">
        <v>153</v>
      </c>
      <c r="T2586" t="s">
        <v>38</v>
      </c>
      <c r="U2586" t="s">
        <v>38</v>
      </c>
      <c r="V2586" t="s">
        <v>740</v>
      </c>
      <c r="W2586" t="s">
        <v>38</v>
      </c>
      <c r="X2586" t="s">
        <v>38</v>
      </c>
      <c r="Y2586" t="s">
        <v>3847</v>
      </c>
      <c r="Z2586" t="s">
        <v>42</v>
      </c>
      <c r="AA2586" t="s">
        <v>1919</v>
      </c>
      <c r="AB2586" t="s">
        <v>38</v>
      </c>
      <c r="AC2586" t="s">
        <v>153</v>
      </c>
      <c r="AD2586" t="s">
        <v>48</v>
      </c>
      <c r="AG2586" t="str">
        <f>IF(AD2586="United States", IFERROR(INDEX(Sheet2!$C:$C, MATCH(AE2586&amp;AF2586, Sheet2!$E:$E, 0)) &amp; ", " &amp; INDEX(Sheet2!$D:$D, MATCH(AE2586&amp;AF2586, Sheet2!$E:$E, 0)), ""), "-")</f>
        <v/>
      </c>
    </row>
    <row r="2587" spans="1:33" x14ac:dyDescent="0.25">
      <c r="A2587" t="s">
        <v>3842</v>
      </c>
      <c r="B2587" t="s">
        <v>3886</v>
      </c>
      <c r="C2587" t="s">
        <v>3844</v>
      </c>
      <c r="D2587" t="s">
        <v>3887</v>
      </c>
      <c r="F2587" t="s">
        <v>38</v>
      </c>
      <c r="G2587">
        <v>2737</v>
      </c>
      <c r="I2587" t="s">
        <v>87</v>
      </c>
      <c r="J2587" t="s">
        <v>3845</v>
      </c>
      <c r="O2587" t="s">
        <v>41</v>
      </c>
      <c r="P2587" t="s">
        <v>42</v>
      </c>
      <c r="Q2587" t="s">
        <v>43</v>
      </c>
      <c r="V2587" t="s">
        <v>740</v>
      </c>
      <c r="Y2587" t="s">
        <v>2724</v>
      </c>
      <c r="Z2587" t="s">
        <v>42</v>
      </c>
      <c r="AA2587" t="s">
        <v>38</v>
      </c>
      <c r="AB2587" t="s">
        <v>38</v>
      </c>
      <c r="AC2587" t="s">
        <v>38</v>
      </c>
      <c r="AD2587" t="s">
        <v>48</v>
      </c>
      <c r="AG2587" t="str">
        <f>IF(AD2587="United States", IFERROR(INDEX(Sheet2!$C:$C, MATCH(AE2587&amp;AF2587, Sheet2!$E:$E, 0)) &amp; ", " &amp; INDEX(Sheet2!$D:$D, MATCH(AE2587&amp;AF2587, Sheet2!$E:$E, 0)), ""), "-")</f>
        <v/>
      </c>
    </row>
    <row r="2588" spans="1:33" x14ac:dyDescent="0.25">
      <c r="A2588" t="s">
        <v>3842</v>
      </c>
      <c r="B2588" t="s">
        <v>3888</v>
      </c>
      <c r="C2588" t="s">
        <v>3844</v>
      </c>
      <c r="D2588" t="s">
        <v>210</v>
      </c>
      <c r="E2588" t="s">
        <v>3720</v>
      </c>
      <c r="F2588">
        <v>1759</v>
      </c>
      <c r="G2588">
        <v>2324</v>
      </c>
      <c r="H2588" t="s">
        <v>38</v>
      </c>
      <c r="I2588" t="s">
        <v>87</v>
      </c>
      <c r="J2588" t="s">
        <v>3845</v>
      </c>
      <c r="K2588" t="s">
        <v>38</v>
      </c>
      <c r="L2588" t="s">
        <v>38</v>
      </c>
      <c r="M2588" t="s">
        <v>38</v>
      </c>
      <c r="N2588" t="s">
        <v>38</v>
      </c>
      <c r="O2588" t="s">
        <v>41</v>
      </c>
      <c r="P2588" t="s">
        <v>42</v>
      </c>
      <c r="Q2588" t="s">
        <v>43</v>
      </c>
      <c r="R2588" t="s">
        <v>143</v>
      </c>
      <c r="S2588" t="s">
        <v>45</v>
      </c>
      <c r="T2588" t="s">
        <v>38</v>
      </c>
      <c r="U2588" t="s">
        <v>38</v>
      </c>
      <c r="V2588" t="s">
        <v>740</v>
      </c>
      <c r="W2588" t="s">
        <v>38</v>
      </c>
      <c r="X2588" t="s">
        <v>38</v>
      </c>
      <c r="Y2588" t="s">
        <v>3847</v>
      </c>
      <c r="Z2588" t="s">
        <v>42</v>
      </c>
      <c r="AA2588" t="s">
        <v>143</v>
      </c>
      <c r="AB2588" t="s">
        <v>38</v>
      </c>
      <c r="AC2588" t="s">
        <v>45</v>
      </c>
      <c r="AD2588" t="s">
        <v>48</v>
      </c>
      <c r="AG2588" t="str">
        <f>IF(AD2588="United States", IFERROR(INDEX(Sheet2!$C:$C, MATCH(AE2588&amp;AF2588, Sheet2!$E:$E, 0)) &amp; ", " &amp; INDEX(Sheet2!$D:$D, MATCH(AE2588&amp;AF2588, Sheet2!$E:$E, 0)), ""), "-")</f>
        <v/>
      </c>
    </row>
    <row r="2589" spans="1:33" x14ac:dyDescent="0.25">
      <c r="A2589" t="s">
        <v>3842</v>
      </c>
      <c r="B2589" t="s">
        <v>3889</v>
      </c>
      <c r="C2589" t="s">
        <v>3844</v>
      </c>
      <c r="D2589" t="s">
        <v>230</v>
      </c>
      <c r="E2589" t="s">
        <v>38</v>
      </c>
      <c r="F2589">
        <v>1749</v>
      </c>
      <c r="G2589">
        <v>2325</v>
      </c>
      <c r="H2589" t="s">
        <v>38</v>
      </c>
      <c r="I2589" t="s">
        <v>87</v>
      </c>
      <c r="J2589" t="s">
        <v>3845</v>
      </c>
      <c r="K2589" t="s">
        <v>38</v>
      </c>
      <c r="L2589" t="s">
        <v>38</v>
      </c>
      <c r="M2589" t="s">
        <v>38</v>
      </c>
      <c r="N2589" t="s">
        <v>38</v>
      </c>
      <c r="O2589" t="s">
        <v>41</v>
      </c>
      <c r="P2589" t="s">
        <v>42</v>
      </c>
      <c r="Q2589" t="s">
        <v>43</v>
      </c>
      <c r="R2589" t="s">
        <v>241</v>
      </c>
      <c r="S2589" t="s">
        <v>45</v>
      </c>
      <c r="T2589" t="s">
        <v>38</v>
      </c>
      <c r="U2589" t="s">
        <v>38</v>
      </c>
      <c r="V2589" t="s">
        <v>740</v>
      </c>
      <c r="W2589" t="s">
        <v>38</v>
      </c>
      <c r="X2589" t="s">
        <v>38</v>
      </c>
      <c r="Y2589" t="s">
        <v>3847</v>
      </c>
      <c r="Z2589" t="s">
        <v>42</v>
      </c>
      <c r="AA2589" t="s">
        <v>241</v>
      </c>
      <c r="AB2589" t="s">
        <v>38</v>
      </c>
      <c r="AC2589" t="s">
        <v>45</v>
      </c>
      <c r="AD2589" t="s">
        <v>48</v>
      </c>
      <c r="AG2589" t="str">
        <f>IF(AD2589="United States", IFERROR(INDEX(Sheet2!$C:$C, MATCH(AE2589&amp;AF2589, Sheet2!$E:$E, 0)) &amp; ", " &amp; INDEX(Sheet2!$D:$D, MATCH(AE2589&amp;AF2589, Sheet2!$E:$E, 0)), ""), "-")</f>
        <v/>
      </c>
    </row>
    <row r="2590" spans="1:33" x14ac:dyDescent="0.25">
      <c r="A2590" t="s">
        <v>3842</v>
      </c>
      <c r="B2590" t="s">
        <v>3890</v>
      </c>
      <c r="C2590" t="s">
        <v>3844</v>
      </c>
      <c r="D2590" t="s">
        <v>388</v>
      </c>
      <c r="E2590" t="s">
        <v>1623</v>
      </c>
      <c r="F2590">
        <v>1762</v>
      </c>
      <c r="G2590">
        <v>2326</v>
      </c>
      <c r="H2590" t="s">
        <v>38</v>
      </c>
      <c r="I2590" t="s">
        <v>87</v>
      </c>
      <c r="J2590" t="s">
        <v>3845</v>
      </c>
      <c r="K2590" t="s">
        <v>38</v>
      </c>
      <c r="L2590" t="s">
        <v>38</v>
      </c>
      <c r="M2590" t="s">
        <v>38</v>
      </c>
      <c r="N2590" t="s">
        <v>38</v>
      </c>
      <c r="O2590" t="s">
        <v>41</v>
      </c>
      <c r="P2590" t="s">
        <v>42</v>
      </c>
      <c r="Q2590" t="s">
        <v>43</v>
      </c>
      <c r="R2590" t="s">
        <v>682</v>
      </c>
      <c r="S2590" t="s">
        <v>45</v>
      </c>
      <c r="T2590" t="s">
        <v>38</v>
      </c>
      <c r="U2590" t="s">
        <v>38</v>
      </c>
      <c r="V2590" t="s">
        <v>740</v>
      </c>
      <c r="W2590" t="s">
        <v>38</v>
      </c>
      <c r="X2590" t="s">
        <v>38</v>
      </c>
      <c r="Y2590" t="s">
        <v>3847</v>
      </c>
      <c r="Z2590" t="s">
        <v>42</v>
      </c>
      <c r="AA2590" t="s">
        <v>682</v>
      </c>
      <c r="AB2590" t="s">
        <v>38</v>
      </c>
      <c r="AC2590" t="s">
        <v>45</v>
      </c>
      <c r="AD2590" t="s">
        <v>48</v>
      </c>
      <c r="AG2590" t="str">
        <f>IF(AD2590="United States", IFERROR(INDEX(Sheet2!$C:$C, MATCH(AE2590&amp;AF2590, Sheet2!$E:$E, 0)) &amp; ", " &amp; INDEX(Sheet2!$D:$D, MATCH(AE2590&amp;AF2590, Sheet2!$E:$E, 0)), ""), "-")</f>
        <v/>
      </c>
    </row>
    <row r="2591" spans="1:33" x14ac:dyDescent="0.25">
      <c r="A2591" t="s">
        <v>3842</v>
      </c>
      <c r="B2591" t="s">
        <v>3891</v>
      </c>
      <c r="C2591" t="s">
        <v>3844</v>
      </c>
      <c r="D2591" t="s">
        <v>63</v>
      </c>
      <c r="E2591" t="s">
        <v>38</v>
      </c>
      <c r="F2591">
        <v>1723</v>
      </c>
      <c r="G2591">
        <v>2327</v>
      </c>
      <c r="H2591" t="s">
        <v>38</v>
      </c>
      <c r="I2591" t="s">
        <v>87</v>
      </c>
      <c r="J2591" t="s">
        <v>3845</v>
      </c>
      <c r="K2591" t="s">
        <v>38</v>
      </c>
      <c r="L2591" t="s">
        <v>38</v>
      </c>
      <c r="M2591" t="s">
        <v>38</v>
      </c>
      <c r="N2591" t="s">
        <v>38</v>
      </c>
      <c r="O2591" t="s">
        <v>41</v>
      </c>
      <c r="P2591" t="s">
        <v>42</v>
      </c>
      <c r="Q2591" t="s">
        <v>43</v>
      </c>
      <c r="R2591" t="s">
        <v>3892</v>
      </c>
      <c r="S2591" t="s">
        <v>417</v>
      </c>
      <c r="T2591" t="s">
        <v>38</v>
      </c>
      <c r="U2591" t="s">
        <v>38</v>
      </c>
      <c r="V2591" t="s">
        <v>740</v>
      </c>
      <c r="W2591" t="s">
        <v>38</v>
      </c>
      <c r="X2591" t="s">
        <v>38</v>
      </c>
      <c r="Y2591" t="s">
        <v>3847</v>
      </c>
      <c r="Z2591" t="s">
        <v>42</v>
      </c>
      <c r="AA2591" t="s">
        <v>3892</v>
      </c>
      <c r="AB2591" t="s">
        <v>38</v>
      </c>
      <c r="AC2591" t="s">
        <v>417</v>
      </c>
      <c r="AD2591" t="s">
        <v>48</v>
      </c>
      <c r="AG2591" t="str">
        <f>IF(AD2591="United States", IFERROR(INDEX(Sheet2!$C:$C, MATCH(AE2591&amp;AF2591, Sheet2!$E:$E, 0)) &amp; ", " &amp; INDEX(Sheet2!$D:$D, MATCH(AE2591&amp;AF2591, Sheet2!$E:$E, 0)), ""), "-")</f>
        <v/>
      </c>
    </row>
    <row r="2592" spans="1:33" x14ac:dyDescent="0.25">
      <c r="A2592" t="s">
        <v>3842</v>
      </c>
      <c r="B2592" t="s">
        <v>3893</v>
      </c>
      <c r="C2592" t="s">
        <v>3844</v>
      </c>
      <c r="D2592" t="s">
        <v>1174</v>
      </c>
      <c r="E2592" t="s">
        <v>3722</v>
      </c>
      <c r="F2592">
        <v>1752</v>
      </c>
      <c r="G2592">
        <v>2328</v>
      </c>
      <c r="H2592" t="s">
        <v>38</v>
      </c>
      <c r="I2592" t="s">
        <v>87</v>
      </c>
      <c r="J2592" t="s">
        <v>3845</v>
      </c>
      <c r="K2592" t="s">
        <v>38</v>
      </c>
      <c r="L2592" t="s">
        <v>38</v>
      </c>
      <c r="M2592" t="s">
        <v>38</v>
      </c>
      <c r="N2592" t="s">
        <v>38</v>
      </c>
      <c r="O2592" t="s">
        <v>41</v>
      </c>
      <c r="P2592" t="s">
        <v>42</v>
      </c>
      <c r="Q2592" t="s">
        <v>43</v>
      </c>
      <c r="R2592" t="s">
        <v>3894</v>
      </c>
      <c r="S2592" t="s">
        <v>286</v>
      </c>
      <c r="T2592" t="s">
        <v>38</v>
      </c>
      <c r="U2592" t="s">
        <v>38</v>
      </c>
      <c r="V2592" t="s">
        <v>740</v>
      </c>
      <c r="W2592" t="s">
        <v>38</v>
      </c>
      <c r="X2592" t="s">
        <v>38</v>
      </c>
      <c r="Y2592" t="s">
        <v>3847</v>
      </c>
      <c r="Z2592" t="s">
        <v>42</v>
      </c>
      <c r="AA2592" t="s">
        <v>38</v>
      </c>
      <c r="AB2592" t="s">
        <v>38</v>
      </c>
      <c r="AC2592" t="s">
        <v>286</v>
      </c>
      <c r="AD2592" t="s">
        <v>48</v>
      </c>
      <c r="AG2592" t="str">
        <f>IF(AD2592="United States", IFERROR(INDEX(Sheet2!$C:$C, MATCH(AE2592&amp;AF2592, Sheet2!$E:$E, 0)) &amp; ", " &amp; INDEX(Sheet2!$D:$D, MATCH(AE2592&amp;AF2592, Sheet2!$E:$E, 0)), ""), "-")</f>
        <v/>
      </c>
    </row>
    <row r="2593" spans="1:33" x14ac:dyDescent="0.25">
      <c r="A2593" t="s">
        <v>3842</v>
      </c>
      <c r="B2593" t="s">
        <v>3895</v>
      </c>
      <c r="C2593" t="s">
        <v>3844</v>
      </c>
      <c r="D2593" t="s">
        <v>3723</v>
      </c>
      <c r="E2593" t="s">
        <v>38</v>
      </c>
      <c r="F2593">
        <v>1744</v>
      </c>
      <c r="G2593">
        <v>2329</v>
      </c>
      <c r="H2593" t="s">
        <v>38</v>
      </c>
      <c r="I2593" t="s">
        <v>87</v>
      </c>
      <c r="J2593" t="s">
        <v>3845</v>
      </c>
      <c r="K2593" t="s">
        <v>38</v>
      </c>
      <c r="L2593" t="s">
        <v>38</v>
      </c>
      <c r="M2593" t="s">
        <v>38</v>
      </c>
      <c r="N2593" t="s">
        <v>38</v>
      </c>
      <c r="O2593" t="s">
        <v>41</v>
      </c>
      <c r="P2593" t="s">
        <v>42</v>
      </c>
      <c r="Q2593" t="s">
        <v>43</v>
      </c>
      <c r="R2593" t="s">
        <v>3894</v>
      </c>
      <c r="S2593" t="s">
        <v>286</v>
      </c>
      <c r="T2593" t="s">
        <v>38</v>
      </c>
      <c r="U2593" t="s">
        <v>38</v>
      </c>
      <c r="V2593" t="s">
        <v>740</v>
      </c>
      <c r="W2593" t="s">
        <v>38</v>
      </c>
      <c r="X2593" t="s">
        <v>38</v>
      </c>
      <c r="Y2593" t="s">
        <v>3847</v>
      </c>
      <c r="Z2593" t="s">
        <v>42</v>
      </c>
      <c r="AA2593" t="s">
        <v>38</v>
      </c>
      <c r="AB2593" t="s">
        <v>38</v>
      </c>
      <c r="AC2593" t="s">
        <v>286</v>
      </c>
      <c r="AD2593" t="s">
        <v>48</v>
      </c>
      <c r="AG2593" t="str">
        <f>IF(AD2593="United States", IFERROR(INDEX(Sheet2!$C:$C, MATCH(AE2593&amp;AF2593, Sheet2!$E:$E, 0)) &amp; ", " &amp; INDEX(Sheet2!$D:$D, MATCH(AE2593&amp;AF2593, Sheet2!$E:$E, 0)), ""), "-")</f>
        <v/>
      </c>
    </row>
    <row r="2594" spans="1:33" x14ac:dyDescent="0.25">
      <c r="A2594" t="s">
        <v>3842</v>
      </c>
      <c r="B2594" t="s">
        <v>3896</v>
      </c>
      <c r="C2594" t="s">
        <v>3844</v>
      </c>
      <c r="D2594" t="s">
        <v>3715</v>
      </c>
      <c r="E2594" t="s">
        <v>38</v>
      </c>
      <c r="F2594">
        <v>1772</v>
      </c>
      <c r="G2594">
        <v>2354</v>
      </c>
      <c r="H2594" t="s">
        <v>38</v>
      </c>
      <c r="I2594" t="s">
        <v>87</v>
      </c>
      <c r="J2594" t="s">
        <v>3845</v>
      </c>
      <c r="K2594" t="s">
        <v>38</v>
      </c>
      <c r="L2594" t="s">
        <v>38</v>
      </c>
      <c r="M2594" t="s">
        <v>38</v>
      </c>
      <c r="N2594" t="s">
        <v>38</v>
      </c>
      <c r="O2594" t="s">
        <v>54</v>
      </c>
      <c r="P2594" t="s">
        <v>42</v>
      </c>
      <c r="Q2594" t="s">
        <v>43</v>
      </c>
      <c r="R2594" t="s">
        <v>169</v>
      </c>
      <c r="S2594" t="s">
        <v>45</v>
      </c>
      <c r="T2594" t="s">
        <v>38</v>
      </c>
      <c r="U2594" t="s">
        <v>38</v>
      </c>
      <c r="V2594" t="s">
        <v>740</v>
      </c>
      <c r="W2594" t="s">
        <v>38</v>
      </c>
      <c r="X2594" t="s">
        <v>38</v>
      </c>
      <c r="Y2594" t="s">
        <v>2724</v>
      </c>
      <c r="Z2594" t="s">
        <v>42</v>
      </c>
      <c r="AA2594" t="s">
        <v>169</v>
      </c>
      <c r="AB2594" t="s">
        <v>38</v>
      </c>
      <c r="AC2594" t="s">
        <v>45</v>
      </c>
      <c r="AD2594" t="s">
        <v>48</v>
      </c>
      <c r="AG2594" t="str">
        <f>IF(AD2594="United States", IFERROR(INDEX(Sheet2!$C:$C, MATCH(AE2594&amp;AF2594, Sheet2!$E:$E, 0)) &amp; ", " &amp; INDEX(Sheet2!$D:$D, MATCH(AE2594&amp;AF2594, Sheet2!$E:$E, 0)), ""), "-")</f>
        <v/>
      </c>
    </row>
    <row r="2595" spans="1:33" x14ac:dyDescent="0.25">
      <c r="A2595" t="s">
        <v>3897</v>
      </c>
      <c r="B2595" t="s">
        <v>3898</v>
      </c>
      <c r="C2595" t="s">
        <v>3899</v>
      </c>
      <c r="D2595" t="s">
        <v>352</v>
      </c>
      <c r="E2595" t="s">
        <v>958</v>
      </c>
      <c r="F2595">
        <v>1781</v>
      </c>
      <c r="G2595">
        <v>711</v>
      </c>
      <c r="H2595" t="s">
        <v>932</v>
      </c>
      <c r="I2595" t="s">
        <v>39</v>
      </c>
      <c r="J2595" t="s">
        <v>3900</v>
      </c>
      <c r="K2595" t="s">
        <v>38</v>
      </c>
      <c r="L2595" t="s">
        <v>38</v>
      </c>
      <c r="M2595" t="s">
        <v>38</v>
      </c>
      <c r="N2595" t="s">
        <v>38</v>
      </c>
      <c r="O2595" t="s">
        <v>74</v>
      </c>
      <c r="P2595" t="s">
        <v>125</v>
      </c>
      <c r="Q2595" t="s">
        <v>124</v>
      </c>
      <c r="R2595" t="s">
        <v>89</v>
      </c>
      <c r="S2595" t="s">
        <v>38</v>
      </c>
      <c r="T2595" t="s">
        <v>89</v>
      </c>
      <c r="U2595" t="s">
        <v>301</v>
      </c>
      <c r="V2595" t="s">
        <v>270</v>
      </c>
      <c r="W2595" t="s">
        <v>92</v>
      </c>
      <c r="X2595" t="s">
        <v>302</v>
      </c>
      <c r="Y2595" t="s">
        <v>3901</v>
      </c>
      <c r="Z2595" t="s">
        <v>125</v>
      </c>
      <c r="AA2595" t="s">
        <v>38</v>
      </c>
      <c r="AB2595" t="s">
        <v>38</v>
      </c>
      <c r="AC2595" t="s">
        <v>945</v>
      </c>
      <c r="AD2595" t="s">
        <v>48</v>
      </c>
      <c r="AG2595" t="str">
        <f>IF(AD2595="United States", IFERROR(INDEX(Sheet2!$C:$C, MATCH(AE2595&amp;AF2595, Sheet2!$E:$E, 0)) &amp; ", " &amp; INDEX(Sheet2!$D:$D, MATCH(AE2595&amp;AF2595, Sheet2!$E:$E, 0)), ""), "-")</f>
        <v/>
      </c>
    </row>
    <row r="2596" spans="1:33" x14ac:dyDescent="0.25">
      <c r="A2596" t="s">
        <v>3897</v>
      </c>
      <c r="B2596" t="s">
        <v>3902</v>
      </c>
      <c r="C2596" t="s">
        <v>3899</v>
      </c>
      <c r="D2596" t="s">
        <v>152</v>
      </c>
      <c r="E2596" t="s">
        <v>38</v>
      </c>
      <c r="F2596">
        <v>1760</v>
      </c>
      <c r="G2596">
        <v>710</v>
      </c>
      <c r="H2596" t="s">
        <v>38</v>
      </c>
      <c r="I2596" t="s">
        <v>39</v>
      </c>
      <c r="J2596" t="s">
        <v>3900</v>
      </c>
      <c r="K2596" t="s">
        <v>38</v>
      </c>
      <c r="L2596" t="s">
        <v>38</v>
      </c>
      <c r="M2596" t="s">
        <v>38</v>
      </c>
      <c r="N2596" t="s">
        <v>38</v>
      </c>
      <c r="O2596" t="s">
        <v>41</v>
      </c>
      <c r="P2596" t="s">
        <v>42</v>
      </c>
      <c r="Q2596" t="s">
        <v>43</v>
      </c>
      <c r="R2596" t="s">
        <v>38</v>
      </c>
      <c r="S2596" t="s">
        <v>38</v>
      </c>
      <c r="T2596" t="s">
        <v>38</v>
      </c>
      <c r="U2596" t="s">
        <v>38</v>
      </c>
      <c r="V2596" t="s">
        <v>270</v>
      </c>
      <c r="W2596" t="s">
        <v>38</v>
      </c>
      <c r="X2596" t="s">
        <v>38</v>
      </c>
      <c r="Y2596" t="s">
        <v>3901</v>
      </c>
      <c r="Z2596" t="s">
        <v>42</v>
      </c>
      <c r="AA2596" t="s">
        <v>38</v>
      </c>
      <c r="AB2596" t="s">
        <v>38</v>
      </c>
      <c r="AC2596" t="s">
        <v>3903</v>
      </c>
      <c r="AD2596" t="s">
        <v>48</v>
      </c>
      <c r="AG2596" t="str">
        <f>IF(AD2596="United States", IFERROR(INDEX(Sheet2!$C:$C, MATCH(AE2596&amp;AF2596, Sheet2!$E:$E, 0)) &amp; ", " &amp; INDEX(Sheet2!$D:$D, MATCH(AE2596&amp;AF2596, Sheet2!$E:$E, 0)), ""), "-")</f>
        <v/>
      </c>
    </row>
    <row r="2597" spans="1:33" x14ac:dyDescent="0.25">
      <c r="A2597" t="s">
        <v>3897</v>
      </c>
      <c r="B2597" t="s">
        <v>3904</v>
      </c>
      <c r="C2597" t="s">
        <v>3899</v>
      </c>
      <c r="D2597" t="s">
        <v>1183</v>
      </c>
      <c r="E2597" t="s">
        <v>38</v>
      </c>
      <c r="F2597">
        <v>1769</v>
      </c>
      <c r="G2597">
        <v>709</v>
      </c>
      <c r="H2597" t="s">
        <v>932</v>
      </c>
      <c r="I2597" t="s">
        <v>39</v>
      </c>
      <c r="J2597" t="s">
        <v>3900</v>
      </c>
      <c r="K2597" t="s">
        <v>38</v>
      </c>
      <c r="L2597" t="s">
        <v>38</v>
      </c>
      <c r="M2597" t="s">
        <v>38</v>
      </c>
      <c r="N2597" t="s">
        <v>38</v>
      </c>
      <c r="O2597" t="s">
        <v>74</v>
      </c>
      <c r="P2597" t="s">
        <v>42</v>
      </c>
      <c r="Q2597" t="s">
        <v>43</v>
      </c>
      <c r="R2597" t="s">
        <v>89</v>
      </c>
      <c r="S2597" t="s">
        <v>38</v>
      </c>
      <c r="T2597" t="s">
        <v>89</v>
      </c>
      <c r="U2597" t="s">
        <v>301</v>
      </c>
      <c r="V2597" t="s">
        <v>270</v>
      </c>
      <c r="W2597" t="s">
        <v>92</v>
      </c>
      <c r="X2597" t="s">
        <v>302</v>
      </c>
      <c r="Y2597" t="s">
        <v>3905</v>
      </c>
      <c r="Z2597" t="s">
        <v>42</v>
      </c>
      <c r="AA2597" t="s">
        <v>38</v>
      </c>
      <c r="AB2597" t="s">
        <v>38</v>
      </c>
      <c r="AC2597" t="s">
        <v>38</v>
      </c>
      <c r="AD2597" t="s">
        <v>48</v>
      </c>
      <c r="AG2597" t="str">
        <f>IF(AD2597="United States", IFERROR(INDEX(Sheet2!$C:$C, MATCH(AE2597&amp;AF2597, Sheet2!$E:$E, 0)) &amp; ", " &amp; INDEX(Sheet2!$D:$D, MATCH(AE2597&amp;AF2597, Sheet2!$E:$E, 0)), ""), "-")</f>
        <v/>
      </c>
    </row>
    <row r="2598" spans="1:33" x14ac:dyDescent="0.25">
      <c r="A2598" t="s">
        <v>3897</v>
      </c>
      <c r="B2598" t="s">
        <v>3906</v>
      </c>
      <c r="C2598" t="s">
        <v>3899</v>
      </c>
      <c r="D2598" t="s">
        <v>230</v>
      </c>
      <c r="E2598" t="s">
        <v>38</v>
      </c>
      <c r="F2598">
        <v>1771</v>
      </c>
      <c r="G2598">
        <v>708</v>
      </c>
      <c r="H2598" t="s">
        <v>2634</v>
      </c>
      <c r="I2598" t="s">
        <v>39</v>
      </c>
      <c r="J2598" t="s">
        <v>3900</v>
      </c>
      <c r="K2598" t="s">
        <v>38</v>
      </c>
      <c r="L2598" t="s">
        <v>38</v>
      </c>
      <c r="M2598" t="s">
        <v>38</v>
      </c>
      <c r="N2598" t="s">
        <v>38</v>
      </c>
      <c r="O2598" t="s">
        <v>54</v>
      </c>
      <c r="P2598" t="s">
        <v>42</v>
      </c>
      <c r="Q2598" t="s">
        <v>43</v>
      </c>
      <c r="R2598" t="s">
        <v>89</v>
      </c>
      <c r="S2598" t="s">
        <v>38</v>
      </c>
      <c r="T2598" t="s">
        <v>89</v>
      </c>
      <c r="U2598" t="s">
        <v>301</v>
      </c>
      <c r="V2598" t="s">
        <v>270</v>
      </c>
      <c r="W2598" t="s">
        <v>92</v>
      </c>
      <c r="X2598" t="s">
        <v>302</v>
      </c>
      <c r="Y2598" t="s">
        <v>3907</v>
      </c>
      <c r="Z2598" t="s">
        <v>42</v>
      </c>
      <c r="AA2598" t="s">
        <v>38</v>
      </c>
      <c r="AB2598" t="s">
        <v>38</v>
      </c>
      <c r="AC2598" t="s">
        <v>38</v>
      </c>
      <c r="AD2598" t="s">
        <v>48</v>
      </c>
      <c r="AG2598" t="str">
        <f>IF(AD2598="United States", IFERROR(INDEX(Sheet2!$C:$C, MATCH(AE2598&amp;AF2598, Sheet2!$E:$E, 0)) &amp; ", " &amp; INDEX(Sheet2!$D:$D, MATCH(AE2598&amp;AF2598, Sheet2!$E:$E, 0)), ""), "-")</f>
        <v/>
      </c>
    </row>
    <row r="2599" spans="1:33" x14ac:dyDescent="0.25">
      <c r="A2599" t="s">
        <v>3897</v>
      </c>
      <c r="B2599" t="s">
        <v>3908</v>
      </c>
      <c r="C2599" t="s">
        <v>3899</v>
      </c>
      <c r="D2599" t="s">
        <v>120</v>
      </c>
      <c r="E2599" t="s">
        <v>38</v>
      </c>
      <c r="F2599">
        <v>1715</v>
      </c>
      <c r="G2599">
        <v>707</v>
      </c>
      <c r="H2599" t="s">
        <v>2634</v>
      </c>
      <c r="I2599" t="s">
        <v>39</v>
      </c>
      <c r="J2599" t="s">
        <v>3900</v>
      </c>
      <c r="K2599" t="s">
        <v>38</v>
      </c>
      <c r="L2599" t="s">
        <v>38</v>
      </c>
      <c r="M2599" t="s">
        <v>38</v>
      </c>
      <c r="N2599" t="s">
        <v>38</v>
      </c>
      <c r="O2599" t="s">
        <v>41</v>
      </c>
      <c r="P2599" t="s">
        <v>42</v>
      </c>
      <c r="Q2599" t="s">
        <v>43</v>
      </c>
      <c r="R2599" t="s">
        <v>89</v>
      </c>
      <c r="S2599" t="s">
        <v>38</v>
      </c>
      <c r="T2599" t="s">
        <v>89</v>
      </c>
      <c r="U2599" t="s">
        <v>301</v>
      </c>
      <c r="V2599" t="s">
        <v>270</v>
      </c>
      <c r="W2599" t="s">
        <v>92</v>
      </c>
      <c r="X2599" t="s">
        <v>302</v>
      </c>
      <c r="Y2599" t="s">
        <v>3909</v>
      </c>
      <c r="Z2599" t="s">
        <v>42</v>
      </c>
      <c r="AA2599" t="s">
        <v>120</v>
      </c>
      <c r="AB2599" t="s">
        <v>38</v>
      </c>
      <c r="AC2599" t="s">
        <v>91</v>
      </c>
      <c r="AD2599" t="s">
        <v>48</v>
      </c>
      <c r="AG2599" t="str">
        <f>IF(AD2599="United States", IFERROR(INDEX(Sheet2!$C:$C, MATCH(AE2599&amp;AF2599, Sheet2!$E:$E, 0)) &amp; ", " &amp; INDEX(Sheet2!$D:$D, MATCH(AE2599&amp;AF2599, Sheet2!$E:$E, 0)), ""), "-")</f>
        <v/>
      </c>
    </row>
    <row r="2600" spans="1:33" x14ac:dyDescent="0.25">
      <c r="A2600" t="s">
        <v>3897</v>
      </c>
      <c r="D2600" t="s">
        <v>3910</v>
      </c>
      <c r="E2600" t="s">
        <v>531</v>
      </c>
      <c r="F2600">
        <v>1758</v>
      </c>
      <c r="G2600">
        <v>778</v>
      </c>
      <c r="H2600">
        <v>36</v>
      </c>
      <c r="J2600" t="s">
        <v>3911</v>
      </c>
      <c r="O2600" t="s">
        <v>57</v>
      </c>
      <c r="R2600" t="s">
        <v>89</v>
      </c>
      <c r="T2600" t="s">
        <v>89</v>
      </c>
      <c r="U2600" t="s">
        <v>301</v>
      </c>
      <c r="V2600" t="s">
        <v>941</v>
      </c>
      <c r="W2600" t="s">
        <v>92</v>
      </c>
      <c r="X2600" t="s">
        <v>302</v>
      </c>
      <c r="Y2600" t="s">
        <v>38</v>
      </c>
      <c r="AA2600" t="s">
        <v>38</v>
      </c>
      <c r="AB2600" t="s">
        <v>38</v>
      </c>
      <c r="AC2600" t="s">
        <v>38</v>
      </c>
      <c r="AD2600" t="s">
        <v>48</v>
      </c>
      <c r="AG2600" t="str">
        <f>IF(AD2600="United States", IFERROR(INDEX(Sheet2!$C:$C, MATCH(AE2600&amp;AF2600, Sheet2!$E:$E, 0)) &amp; ", " &amp; INDEX(Sheet2!$D:$D, MATCH(AE2600&amp;AF2600, Sheet2!$E:$E, 0)), ""), "-")</f>
        <v/>
      </c>
    </row>
    <row r="2601" spans="1:33" x14ac:dyDescent="0.25">
      <c r="A2601" t="s">
        <v>3897</v>
      </c>
      <c r="D2601" t="s">
        <v>181</v>
      </c>
      <c r="E2601" t="s">
        <v>352</v>
      </c>
      <c r="F2601" t="s">
        <v>38</v>
      </c>
      <c r="G2601">
        <v>779</v>
      </c>
      <c r="H2601">
        <v>36</v>
      </c>
      <c r="J2601" t="s">
        <v>3911</v>
      </c>
      <c r="O2601" t="s">
        <v>183</v>
      </c>
      <c r="R2601" t="s">
        <v>89</v>
      </c>
      <c r="T2601" t="s">
        <v>89</v>
      </c>
      <c r="U2601" t="s">
        <v>301</v>
      </c>
      <c r="V2601" t="s">
        <v>941</v>
      </c>
      <c r="W2601" t="s">
        <v>92</v>
      </c>
      <c r="X2601" t="s">
        <v>302</v>
      </c>
      <c r="Y2601" t="s">
        <v>38</v>
      </c>
      <c r="AA2601" t="s">
        <v>38</v>
      </c>
      <c r="AB2601" t="s">
        <v>38</v>
      </c>
      <c r="AC2601" t="s">
        <v>38</v>
      </c>
      <c r="AD2601" t="s">
        <v>48</v>
      </c>
      <c r="AG2601" t="str">
        <f>IF(AD2601="United States", IFERROR(INDEX(Sheet2!$C:$C, MATCH(AE2601&amp;AF2601, Sheet2!$E:$E, 0)) &amp; ", " &amp; INDEX(Sheet2!$D:$D, MATCH(AE2601&amp;AF2601, Sheet2!$E:$E, 0)), ""), "-")</f>
        <v/>
      </c>
    </row>
    <row r="2602" spans="1:33" x14ac:dyDescent="0.25">
      <c r="A2602" t="s">
        <v>3897</v>
      </c>
      <c r="B2602" t="s">
        <v>3912</v>
      </c>
      <c r="C2602" t="s">
        <v>3913</v>
      </c>
      <c r="D2602" t="s">
        <v>200</v>
      </c>
      <c r="E2602" t="s">
        <v>38</v>
      </c>
      <c r="F2602">
        <v>1768</v>
      </c>
      <c r="G2602">
        <v>206</v>
      </c>
      <c r="H2602" t="s">
        <v>134</v>
      </c>
      <c r="I2602" t="s">
        <v>39</v>
      </c>
      <c r="J2602" t="s">
        <v>3914</v>
      </c>
      <c r="K2602" t="s">
        <v>38</v>
      </c>
      <c r="L2602" t="s">
        <v>38</v>
      </c>
      <c r="M2602" t="s">
        <v>38</v>
      </c>
      <c r="N2602" t="s">
        <v>38</v>
      </c>
      <c r="O2602" t="s">
        <v>54</v>
      </c>
      <c r="P2602" t="s">
        <v>42</v>
      </c>
      <c r="Q2602" t="s">
        <v>43</v>
      </c>
      <c r="R2602" t="s">
        <v>89</v>
      </c>
      <c r="S2602" t="s">
        <v>153</v>
      </c>
      <c r="T2602" t="s">
        <v>89</v>
      </c>
      <c r="U2602" t="s">
        <v>301</v>
      </c>
      <c r="V2602" t="s">
        <v>597</v>
      </c>
      <c r="W2602" t="s">
        <v>92</v>
      </c>
      <c r="X2602" t="s">
        <v>302</v>
      </c>
      <c r="Y2602" t="s">
        <v>3915</v>
      </c>
      <c r="Z2602" t="s">
        <v>42</v>
      </c>
      <c r="AA2602" t="s">
        <v>155</v>
      </c>
      <c r="AB2602" t="s">
        <v>38</v>
      </c>
      <c r="AC2602" t="s">
        <v>153</v>
      </c>
      <c r="AD2602" t="s">
        <v>48</v>
      </c>
      <c r="AG2602" t="str">
        <f>IF(AD2602="United States", IFERROR(INDEX(Sheet2!$C:$C, MATCH(AE2602&amp;AF2602, Sheet2!$E:$E, 0)) &amp; ", " &amp; INDEX(Sheet2!$D:$D, MATCH(AE2602&amp;AF2602, Sheet2!$E:$E, 0)), ""), "-")</f>
        <v/>
      </c>
    </row>
    <row r="2603" spans="1:33" x14ac:dyDescent="0.25">
      <c r="A2603" t="s">
        <v>3897</v>
      </c>
      <c r="B2603" t="s">
        <v>3916</v>
      </c>
      <c r="C2603" t="s">
        <v>3913</v>
      </c>
      <c r="D2603" t="s">
        <v>141</v>
      </c>
      <c r="E2603" t="s">
        <v>142</v>
      </c>
      <c r="F2603">
        <v>1748</v>
      </c>
      <c r="G2603">
        <v>205</v>
      </c>
      <c r="H2603" t="s">
        <v>38</v>
      </c>
      <c r="I2603" t="s">
        <v>39</v>
      </c>
      <c r="J2603" t="s">
        <v>3914</v>
      </c>
      <c r="K2603" t="s">
        <v>38</v>
      </c>
      <c r="L2603" t="s">
        <v>38</v>
      </c>
      <c r="M2603" t="s">
        <v>38</v>
      </c>
      <c r="N2603" t="s">
        <v>38</v>
      </c>
      <c r="O2603" t="s">
        <v>57</v>
      </c>
      <c r="P2603" t="s">
        <v>42</v>
      </c>
      <c r="Q2603" t="s">
        <v>43</v>
      </c>
      <c r="R2603" t="s">
        <v>666</v>
      </c>
      <c r="S2603" t="s">
        <v>201</v>
      </c>
      <c r="T2603" t="s">
        <v>38</v>
      </c>
      <c r="U2603" t="s">
        <v>38</v>
      </c>
      <c r="V2603" t="s">
        <v>597</v>
      </c>
      <c r="W2603" t="s">
        <v>38</v>
      </c>
      <c r="X2603" t="s">
        <v>38</v>
      </c>
      <c r="Y2603" t="s">
        <v>38</v>
      </c>
      <c r="Z2603" t="s">
        <v>42</v>
      </c>
      <c r="AA2603" t="s">
        <v>666</v>
      </c>
      <c r="AB2603" t="s">
        <v>38</v>
      </c>
      <c r="AC2603" t="s">
        <v>201</v>
      </c>
      <c r="AD2603" t="s">
        <v>48</v>
      </c>
      <c r="AG2603" t="str">
        <f>IF(AD2603="United States", IFERROR(INDEX(Sheet2!$C:$C, MATCH(AE2603&amp;AF2603, Sheet2!$E:$E, 0)) &amp; ", " &amp; INDEX(Sheet2!$D:$D, MATCH(AE2603&amp;AF2603, Sheet2!$E:$E, 0)), ""), "-")</f>
        <v/>
      </c>
    </row>
    <row r="2604" spans="1:33" x14ac:dyDescent="0.25">
      <c r="A2604" t="s">
        <v>3897</v>
      </c>
      <c r="D2604" t="s">
        <v>181</v>
      </c>
      <c r="E2604" t="s">
        <v>352</v>
      </c>
      <c r="F2604" t="s">
        <v>38</v>
      </c>
      <c r="G2604">
        <v>780</v>
      </c>
      <c r="H2604">
        <v>36</v>
      </c>
      <c r="J2604" t="s">
        <v>3911</v>
      </c>
      <c r="O2604" t="s">
        <v>183</v>
      </c>
      <c r="R2604" t="s">
        <v>89</v>
      </c>
      <c r="T2604" t="s">
        <v>89</v>
      </c>
      <c r="U2604" t="s">
        <v>301</v>
      </c>
      <c r="V2604" t="s">
        <v>941</v>
      </c>
      <c r="W2604" t="s">
        <v>92</v>
      </c>
      <c r="X2604" t="s">
        <v>302</v>
      </c>
      <c r="Y2604" t="s">
        <v>38</v>
      </c>
      <c r="AA2604" t="s">
        <v>38</v>
      </c>
      <c r="AB2604" t="s">
        <v>38</v>
      </c>
      <c r="AC2604" t="s">
        <v>38</v>
      </c>
      <c r="AD2604" t="s">
        <v>48</v>
      </c>
      <c r="AG2604" t="str">
        <f>IF(AD2604="United States", IFERROR(INDEX(Sheet2!$C:$C, MATCH(AE2604&amp;AF2604, Sheet2!$E:$E, 0)) &amp; ", " &amp; INDEX(Sheet2!$D:$D, MATCH(AE2604&amp;AF2604, Sheet2!$E:$E, 0)), ""), "-")</f>
        <v/>
      </c>
    </row>
    <row r="2605" spans="1:33" x14ac:dyDescent="0.25">
      <c r="A2605" t="s">
        <v>3897</v>
      </c>
      <c r="B2605" t="s">
        <v>3917</v>
      </c>
      <c r="C2605" t="s">
        <v>3899</v>
      </c>
      <c r="D2605" t="s">
        <v>361</v>
      </c>
      <c r="E2605" t="s">
        <v>38</v>
      </c>
      <c r="F2605">
        <v>1768</v>
      </c>
      <c r="G2605">
        <v>712</v>
      </c>
      <c r="H2605" t="s">
        <v>932</v>
      </c>
      <c r="I2605" t="s">
        <v>39</v>
      </c>
      <c r="J2605" t="s">
        <v>3900</v>
      </c>
      <c r="K2605" t="s">
        <v>38</v>
      </c>
      <c r="L2605" t="s">
        <v>38</v>
      </c>
      <c r="M2605" t="s">
        <v>650</v>
      </c>
      <c r="N2605" t="s">
        <v>3918</v>
      </c>
      <c r="O2605" t="s">
        <v>54</v>
      </c>
      <c r="P2605" t="s">
        <v>42</v>
      </c>
      <c r="Q2605" t="s">
        <v>43</v>
      </c>
      <c r="R2605" t="s">
        <v>89</v>
      </c>
      <c r="S2605" t="s">
        <v>45</v>
      </c>
      <c r="T2605" t="s">
        <v>89</v>
      </c>
      <c r="U2605" t="s">
        <v>301</v>
      </c>
      <c r="V2605" t="s">
        <v>270</v>
      </c>
      <c r="W2605" t="s">
        <v>92</v>
      </c>
      <c r="X2605" t="s">
        <v>302</v>
      </c>
      <c r="Y2605" t="s">
        <v>3919</v>
      </c>
      <c r="Z2605" t="s">
        <v>42</v>
      </c>
      <c r="AA2605" t="s">
        <v>3920</v>
      </c>
      <c r="AB2605" t="s">
        <v>45</v>
      </c>
      <c r="AC2605" t="s">
        <v>89</v>
      </c>
      <c r="AD2605" t="s">
        <v>48</v>
      </c>
      <c r="AG2605" t="str">
        <f>IF(AD2605="United States", IFERROR(INDEX(Sheet2!$C:$C, MATCH(AE2605&amp;AF2605, Sheet2!$E:$E, 0)) &amp; ", " &amp; INDEX(Sheet2!$D:$D, MATCH(AE2605&amp;AF2605, Sheet2!$E:$E, 0)), ""), "-")</f>
        <v/>
      </c>
    </row>
    <row r="2606" spans="1:33" x14ac:dyDescent="0.25">
      <c r="A2606" t="s">
        <v>3921</v>
      </c>
      <c r="D2606" t="s">
        <v>245</v>
      </c>
      <c r="E2606" t="s">
        <v>38</v>
      </c>
      <c r="F2606">
        <v>1758</v>
      </c>
      <c r="G2606">
        <v>221</v>
      </c>
      <c r="H2606">
        <v>22</v>
      </c>
      <c r="J2606" t="s">
        <v>3922</v>
      </c>
      <c r="O2606" t="s">
        <v>57</v>
      </c>
      <c r="R2606" t="s">
        <v>89</v>
      </c>
      <c r="T2606" t="s">
        <v>89</v>
      </c>
      <c r="V2606" t="s">
        <v>137</v>
      </c>
      <c r="W2606" t="s">
        <v>92</v>
      </c>
      <c r="Y2606" t="s">
        <v>38</v>
      </c>
      <c r="AA2606" t="s">
        <v>38</v>
      </c>
      <c r="AB2606" t="s">
        <v>38</v>
      </c>
      <c r="AC2606" t="s">
        <v>38</v>
      </c>
      <c r="AD2606" t="s">
        <v>48</v>
      </c>
      <c r="AG2606" t="str">
        <f>IF(AD2606="United States", IFERROR(INDEX(Sheet2!$C:$C, MATCH(AE2606&amp;AF2606, Sheet2!$E:$E, 0)) &amp; ", " &amp; INDEX(Sheet2!$D:$D, MATCH(AE2606&amp;AF2606, Sheet2!$E:$E, 0)), ""), "-")</f>
        <v/>
      </c>
    </row>
    <row r="2607" spans="1:33" x14ac:dyDescent="0.25">
      <c r="A2607" t="s">
        <v>3921</v>
      </c>
      <c r="D2607" t="s">
        <v>980</v>
      </c>
      <c r="E2607" t="s">
        <v>38</v>
      </c>
      <c r="F2607">
        <v>1749</v>
      </c>
      <c r="G2607">
        <v>219</v>
      </c>
      <c r="H2607">
        <v>22</v>
      </c>
      <c r="J2607" t="s">
        <v>3922</v>
      </c>
      <c r="O2607" t="s">
        <v>57</v>
      </c>
      <c r="R2607" t="s">
        <v>89</v>
      </c>
      <c r="T2607" t="s">
        <v>89</v>
      </c>
      <c r="V2607" t="s">
        <v>137</v>
      </c>
      <c r="W2607" t="s">
        <v>92</v>
      </c>
      <c r="Y2607" t="s">
        <v>38</v>
      </c>
      <c r="AA2607" t="s">
        <v>38</v>
      </c>
      <c r="AB2607" t="s">
        <v>38</v>
      </c>
      <c r="AC2607" t="s">
        <v>38</v>
      </c>
      <c r="AD2607" t="s">
        <v>48</v>
      </c>
      <c r="AG2607" t="str">
        <f>IF(AD2607="United States", IFERROR(INDEX(Sheet2!$C:$C, MATCH(AE2607&amp;AF2607, Sheet2!$E:$E, 0)) &amp; ", " &amp; INDEX(Sheet2!$D:$D, MATCH(AE2607&amp;AF2607, Sheet2!$E:$E, 0)), ""), "-")</f>
        <v/>
      </c>
    </row>
    <row r="2608" spans="1:33" x14ac:dyDescent="0.25">
      <c r="A2608" t="s">
        <v>3921</v>
      </c>
      <c r="D2608" t="s">
        <v>245</v>
      </c>
      <c r="E2608" t="s">
        <v>38</v>
      </c>
      <c r="F2608">
        <v>1763</v>
      </c>
      <c r="G2608">
        <v>218</v>
      </c>
      <c r="H2608">
        <v>22</v>
      </c>
      <c r="J2608" t="s">
        <v>3922</v>
      </c>
      <c r="O2608" t="s">
        <v>57</v>
      </c>
      <c r="R2608" t="s">
        <v>89</v>
      </c>
      <c r="T2608" t="s">
        <v>89</v>
      </c>
      <c r="V2608" t="s">
        <v>137</v>
      </c>
      <c r="W2608" t="s">
        <v>92</v>
      </c>
      <c r="Y2608" t="s">
        <v>38</v>
      </c>
      <c r="AA2608" t="s">
        <v>38</v>
      </c>
      <c r="AB2608" t="s">
        <v>38</v>
      </c>
      <c r="AC2608" t="s">
        <v>38</v>
      </c>
      <c r="AD2608" t="s">
        <v>48</v>
      </c>
      <c r="AG2608" t="str">
        <f>IF(AD2608="United States", IFERROR(INDEX(Sheet2!$C:$C, MATCH(AE2608&amp;AF2608, Sheet2!$E:$E, 0)) &amp; ", " &amp; INDEX(Sheet2!$D:$D, MATCH(AE2608&amp;AF2608, Sheet2!$E:$E, 0)), ""), "-")</f>
        <v/>
      </c>
    </row>
    <row r="2609" spans="1:33" x14ac:dyDescent="0.25">
      <c r="A2609" t="s">
        <v>3921</v>
      </c>
      <c r="D2609" t="s">
        <v>2234</v>
      </c>
      <c r="E2609" t="s">
        <v>38</v>
      </c>
      <c r="F2609">
        <v>1766</v>
      </c>
      <c r="G2609">
        <v>217</v>
      </c>
      <c r="H2609">
        <v>22</v>
      </c>
      <c r="J2609" t="s">
        <v>3922</v>
      </c>
      <c r="O2609" t="s">
        <v>57</v>
      </c>
      <c r="R2609" t="s">
        <v>89</v>
      </c>
      <c r="T2609" t="s">
        <v>89</v>
      </c>
      <c r="V2609" t="s">
        <v>137</v>
      </c>
      <c r="W2609" t="s">
        <v>92</v>
      </c>
      <c r="Y2609" t="s">
        <v>38</v>
      </c>
      <c r="AA2609" t="s">
        <v>38</v>
      </c>
      <c r="AB2609" t="s">
        <v>38</v>
      </c>
      <c r="AC2609" t="s">
        <v>38</v>
      </c>
      <c r="AD2609" t="s">
        <v>48</v>
      </c>
      <c r="AG2609" t="str">
        <f>IF(AD2609="United States", IFERROR(INDEX(Sheet2!$C:$C, MATCH(AE2609&amp;AF2609, Sheet2!$E:$E, 0)) &amp; ", " &amp; INDEX(Sheet2!$D:$D, MATCH(AE2609&amp;AF2609, Sheet2!$E:$E, 0)), ""), "-")</f>
        <v/>
      </c>
    </row>
    <row r="2610" spans="1:33" x14ac:dyDescent="0.25">
      <c r="A2610" t="s">
        <v>3921</v>
      </c>
      <c r="D2610" t="s">
        <v>245</v>
      </c>
      <c r="E2610" t="s">
        <v>1690</v>
      </c>
      <c r="F2610">
        <v>1759</v>
      </c>
      <c r="G2610">
        <v>222</v>
      </c>
      <c r="H2610">
        <v>22</v>
      </c>
      <c r="J2610" t="s">
        <v>3922</v>
      </c>
      <c r="O2610" t="s">
        <v>57</v>
      </c>
      <c r="R2610" t="s">
        <v>89</v>
      </c>
      <c r="T2610" t="s">
        <v>89</v>
      </c>
      <c r="V2610" t="s">
        <v>137</v>
      </c>
      <c r="W2610" t="s">
        <v>92</v>
      </c>
      <c r="Y2610" t="s">
        <v>38</v>
      </c>
      <c r="AA2610" t="s">
        <v>38</v>
      </c>
      <c r="AB2610" t="s">
        <v>38</v>
      </c>
      <c r="AC2610" t="s">
        <v>38</v>
      </c>
      <c r="AD2610" t="s">
        <v>48</v>
      </c>
      <c r="AG2610" t="str">
        <f>IF(AD2610="United States", IFERROR(INDEX(Sheet2!$C:$C, MATCH(AE2610&amp;AF2610, Sheet2!$E:$E, 0)) &amp; ", " &amp; INDEX(Sheet2!$D:$D, MATCH(AE2610&amp;AF2610, Sheet2!$E:$E, 0)), ""), "-")</f>
        <v/>
      </c>
    </row>
    <row r="2611" spans="1:33" x14ac:dyDescent="0.25">
      <c r="A2611" t="s">
        <v>3921</v>
      </c>
      <c r="D2611" t="s">
        <v>141</v>
      </c>
      <c r="E2611" t="s">
        <v>142</v>
      </c>
      <c r="F2611">
        <v>1748</v>
      </c>
      <c r="G2611">
        <v>223</v>
      </c>
      <c r="H2611">
        <v>22</v>
      </c>
      <c r="J2611" t="s">
        <v>3922</v>
      </c>
      <c r="O2611" t="s">
        <v>57</v>
      </c>
      <c r="R2611" t="s">
        <v>89</v>
      </c>
      <c r="T2611" t="s">
        <v>89</v>
      </c>
      <c r="V2611" t="s">
        <v>137</v>
      </c>
      <c r="W2611" t="s">
        <v>92</v>
      </c>
      <c r="Y2611" t="s">
        <v>38</v>
      </c>
      <c r="AA2611" t="s">
        <v>38</v>
      </c>
      <c r="AB2611" t="s">
        <v>38</v>
      </c>
      <c r="AC2611" t="s">
        <v>38</v>
      </c>
      <c r="AD2611" t="s">
        <v>48</v>
      </c>
      <c r="AG2611" t="str">
        <f>IF(AD2611="United States", IFERROR(INDEX(Sheet2!$C:$C, MATCH(AE2611&amp;AF2611, Sheet2!$E:$E, 0)) &amp; ", " &amp; INDEX(Sheet2!$D:$D, MATCH(AE2611&amp;AF2611, Sheet2!$E:$E, 0)), ""), "-")</f>
        <v/>
      </c>
    </row>
    <row r="2612" spans="1:33" x14ac:dyDescent="0.25">
      <c r="A2612" t="s">
        <v>3921</v>
      </c>
      <c r="D2612" t="s">
        <v>2347</v>
      </c>
      <c r="E2612" t="s">
        <v>38</v>
      </c>
      <c r="F2612">
        <v>1773</v>
      </c>
      <c r="G2612">
        <v>964</v>
      </c>
      <c r="H2612">
        <v>41</v>
      </c>
      <c r="J2612" t="s">
        <v>2348</v>
      </c>
      <c r="O2612" t="s">
        <v>54</v>
      </c>
      <c r="R2612" t="s">
        <v>89</v>
      </c>
      <c r="T2612" t="s">
        <v>89</v>
      </c>
      <c r="V2612" t="s">
        <v>369</v>
      </c>
      <c r="W2612" t="s">
        <v>92</v>
      </c>
      <c r="Y2612" t="s">
        <v>38</v>
      </c>
      <c r="AA2612" t="s">
        <v>38</v>
      </c>
      <c r="AB2612" t="s">
        <v>38</v>
      </c>
      <c r="AC2612" t="s">
        <v>38</v>
      </c>
      <c r="AD2612" t="s">
        <v>48</v>
      </c>
      <c r="AG2612" t="str">
        <f>IF(AD2612="United States", IFERROR(INDEX(Sheet2!$C:$C, MATCH(AE2612&amp;AF2612, Sheet2!$E:$E, 0)) &amp; ", " &amp; INDEX(Sheet2!$D:$D, MATCH(AE2612&amp;AF2612, Sheet2!$E:$E, 0)), ""), "-")</f>
        <v/>
      </c>
    </row>
    <row r="2613" spans="1:33" x14ac:dyDescent="0.25">
      <c r="A2613" t="s">
        <v>3921</v>
      </c>
      <c r="D2613" t="s">
        <v>113</v>
      </c>
      <c r="E2613" t="s">
        <v>3923</v>
      </c>
      <c r="F2613">
        <v>1749</v>
      </c>
      <c r="G2613">
        <v>167</v>
      </c>
      <c r="H2613">
        <v>20</v>
      </c>
      <c r="J2613" t="s">
        <v>3922</v>
      </c>
      <c r="O2613" t="s">
        <v>41</v>
      </c>
      <c r="R2613" t="s">
        <v>89</v>
      </c>
      <c r="T2613" t="s">
        <v>89</v>
      </c>
      <c r="V2613" t="s">
        <v>137</v>
      </c>
      <c r="W2613" t="s">
        <v>92</v>
      </c>
      <c r="Y2613" t="s">
        <v>38</v>
      </c>
      <c r="AA2613" t="s">
        <v>38</v>
      </c>
      <c r="AB2613" t="s">
        <v>38</v>
      </c>
      <c r="AC2613" t="s">
        <v>38</v>
      </c>
      <c r="AD2613" t="s">
        <v>48</v>
      </c>
      <c r="AG2613" t="str">
        <f>IF(AD2613="United States", IFERROR(INDEX(Sheet2!$C:$C, MATCH(AE2613&amp;AF2613, Sheet2!$E:$E, 0)) &amp; ", " &amp; INDEX(Sheet2!$D:$D, MATCH(AE2613&amp;AF2613, Sheet2!$E:$E, 0)), ""), "-")</f>
        <v/>
      </c>
    </row>
    <row r="2614" spans="1:33" x14ac:dyDescent="0.25">
      <c r="A2614" t="s">
        <v>3921</v>
      </c>
      <c r="D2614" t="s">
        <v>357</v>
      </c>
      <c r="E2614" t="s">
        <v>3924</v>
      </c>
      <c r="F2614">
        <v>1751</v>
      </c>
      <c r="G2614">
        <v>215</v>
      </c>
      <c r="H2614">
        <v>22</v>
      </c>
      <c r="J2614" t="s">
        <v>3922</v>
      </c>
      <c r="O2614" t="s">
        <v>41</v>
      </c>
      <c r="R2614" t="s">
        <v>89</v>
      </c>
      <c r="T2614" t="s">
        <v>89</v>
      </c>
      <c r="V2614" t="s">
        <v>137</v>
      </c>
      <c r="W2614" t="s">
        <v>92</v>
      </c>
      <c r="Y2614" t="s">
        <v>38</v>
      </c>
      <c r="AA2614" t="s">
        <v>38</v>
      </c>
      <c r="AB2614" t="s">
        <v>38</v>
      </c>
      <c r="AC2614" t="s">
        <v>38</v>
      </c>
      <c r="AD2614" t="s">
        <v>48</v>
      </c>
      <c r="AG2614" t="str">
        <f>IF(AD2614="United States", IFERROR(INDEX(Sheet2!$C:$C, MATCH(AE2614&amp;AF2614, Sheet2!$E:$E, 0)) &amp; ", " &amp; INDEX(Sheet2!$D:$D, MATCH(AE2614&amp;AF2614, Sheet2!$E:$E, 0)), ""), "-")</f>
        <v/>
      </c>
    </row>
    <row r="2615" spans="1:33" x14ac:dyDescent="0.25">
      <c r="A2615" t="s">
        <v>3921</v>
      </c>
      <c r="D2615" t="s">
        <v>177</v>
      </c>
      <c r="E2615" t="s">
        <v>818</v>
      </c>
      <c r="F2615">
        <v>1761</v>
      </c>
      <c r="G2615">
        <v>188</v>
      </c>
      <c r="H2615">
        <v>21</v>
      </c>
      <c r="J2615" t="s">
        <v>3922</v>
      </c>
      <c r="O2615" t="s">
        <v>41</v>
      </c>
      <c r="R2615" t="s">
        <v>89</v>
      </c>
      <c r="T2615" t="s">
        <v>89</v>
      </c>
      <c r="V2615" t="s">
        <v>137</v>
      </c>
      <c r="W2615" t="s">
        <v>92</v>
      </c>
      <c r="Y2615" t="s">
        <v>38</v>
      </c>
      <c r="AA2615" t="s">
        <v>38</v>
      </c>
      <c r="AB2615" t="s">
        <v>38</v>
      </c>
      <c r="AC2615" t="s">
        <v>38</v>
      </c>
      <c r="AD2615" t="s">
        <v>48</v>
      </c>
      <c r="AG2615" t="str">
        <f>IF(AD2615="United States", IFERROR(INDEX(Sheet2!$C:$C, MATCH(AE2615&amp;AF2615, Sheet2!$E:$E, 0)) &amp; ", " &amp; INDEX(Sheet2!$D:$D, MATCH(AE2615&amp;AF2615, Sheet2!$E:$E, 0)), ""), "-")</f>
        <v/>
      </c>
    </row>
    <row r="2616" spans="1:33" x14ac:dyDescent="0.25">
      <c r="A2616" t="s">
        <v>3921</v>
      </c>
      <c r="D2616" t="s">
        <v>36</v>
      </c>
      <c r="E2616" t="s">
        <v>3925</v>
      </c>
      <c r="F2616">
        <v>1751</v>
      </c>
      <c r="G2616">
        <v>187</v>
      </c>
      <c r="H2616">
        <v>21</v>
      </c>
      <c r="J2616" t="s">
        <v>3922</v>
      </c>
      <c r="O2616" t="s">
        <v>41</v>
      </c>
      <c r="R2616" t="s">
        <v>89</v>
      </c>
      <c r="T2616" t="s">
        <v>89</v>
      </c>
      <c r="V2616" t="s">
        <v>137</v>
      </c>
      <c r="W2616" t="s">
        <v>92</v>
      </c>
      <c r="Y2616" t="s">
        <v>38</v>
      </c>
      <c r="AA2616" t="s">
        <v>38</v>
      </c>
      <c r="AB2616" t="s">
        <v>38</v>
      </c>
      <c r="AC2616" t="s">
        <v>38</v>
      </c>
      <c r="AD2616" t="s">
        <v>48</v>
      </c>
      <c r="AG2616" t="str">
        <f>IF(AD2616="United States", IFERROR(INDEX(Sheet2!$C:$C, MATCH(AE2616&amp;AF2616, Sheet2!$E:$E, 0)) &amp; ", " &amp; INDEX(Sheet2!$D:$D, MATCH(AE2616&amp;AF2616, Sheet2!$E:$E, 0)), ""), "-")</f>
        <v/>
      </c>
    </row>
    <row r="2617" spans="1:33" x14ac:dyDescent="0.25">
      <c r="A2617" t="s">
        <v>3921</v>
      </c>
      <c r="D2617" t="s">
        <v>226</v>
      </c>
      <c r="E2617" t="s">
        <v>344</v>
      </c>
      <c r="F2617">
        <v>1743</v>
      </c>
      <c r="G2617">
        <v>186</v>
      </c>
      <c r="H2617">
        <v>21</v>
      </c>
      <c r="J2617" t="s">
        <v>3922</v>
      </c>
      <c r="O2617" t="s">
        <v>41</v>
      </c>
      <c r="R2617" t="s">
        <v>89</v>
      </c>
      <c r="T2617" t="s">
        <v>89</v>
      </c>
      <c r="V2617" t="s">
        <v>137</v>
      </c>
      <c r="W2617" t="s">
        <v>92</v>
      </c>
      <c r="Y2617" t="s">
        <v>38</v>
      </c>
      <c r="AA2617" t="s">
        <v>38</v>
      </c>
      <c r="AB2617" t="s">
        <v>38</v>
      </c>
      <c r="AC2617" t="s">
        <v>38</v>
      </c>
      <c r="AD2617" t="s">
        <v>48</v>
      </c>
      <c r="AG2617" t="str">
        <f>IF(AD2617="United States", IFERROR(INDEX(Sheet2!$C:$C, MATCH(AE2617&amp;AF2617, Sheet2!$E:$E, 0)) &amp; ", " &amp; INDEX(Sheet2!$D:$D, MATCH(AE2617&amp;AF2617, Sheet2!$E:$E, 0)), ""), "-")</f>
        <v/>
      </c>
    </row>
    <row r="2618" spans="1:33" x14ac:dyDescent="0.25">
      <c r="A2618" t="s">
        <v>3921</v>
      </c>
      <c r="D2618" t="s">
        <v>62</v>
      </c>
      <c r="E2618" t="s">
        <v>3926</v>
      </c>
      <c r="F2618">
        <v>1742</v>
      </c>
      <c r="G2618">
        <v>185</v>
      </c>
      <c r="H2618">
        <v>21</v>
      </c>
      <c r="J2618" t="s">
        <v>3922</v>
      </c>
      <c r="O2618" t="s">
        <v>41</v>
      </c>
      <c r="R2618" t="s">
        <v>89</v>
      </c>
      <c r="T2618" t="s">
        <v>89</v>
      </c>
      <c r="V2618" t="s">
        <v>137</v>
      </c>
      <c r="W2618" t="s">
        <v>92</v>
      </c>
      <c r="Y2618" t="s">
        <v>38</v>
      </c>
      <c r="AA2618" t="s">
        <v>38</v>
      </c>
      <c r="AB2618" t="s">
        <v>38</v>
      </c>
      <c r="AC2618" t="s">
        <v>38</v>
      </c>
      <c r="AD2618" t="s">
        <v>48</v>
      </c>
      <c r="AG2618" t="str">
        <f>IF(AD2618="United States", IFERROR(INDEX(Sheet2!$C:$C, MATCH(AE2618&amp;AF2618, Sheet2!$E:$E, 0)) &amp; ", " &amp; INDEX(Sheet2!$D:$D, MATCH(AE2618&amp;AF2618, Sheet2!$E:$E, 0)), ""), "-")</f>
        <v/>
      </c>
    </row>
    <row r="2619" spans="1:33" x14ac:dyDescent="0.25">
      <c r="A2619" t="s">
        <v>3921</v>
      </c>
      <c r="D2619" t="s">
        <v>357</v>
      </c>
      <c r="E2619" t="s">
        <v>2429</v>
      </c>
      <c r="F2619">
        <v>1767</v>
      </c>
      <c r="G2619">
        <v>184</v>
      </c>
      <c r="H2619">
        <v>21</v>
      </c>
      <c r="J2619" t="s">
        <v>3922</v>
      </c>
      <c r="O2619" t="s">
        <v>41</v>
      </c>
      <c r="R2619" t="s">
        <v>89</v>
      </c>
      <c r="T2619" t="s">
        <v>89</v>
      </c>
      <c r="V2619" t="s">
        <v>137</v>
      </c>
      <c r="W2619" t="s">
        <v>92</v>
      </c>
      <c r="Y2619" t="s">
        <v>38</v>
      </c>
      <c r="AA2619" t="s">
        <v>38</v>
      </c>
      <c r="AB2619" t="s">
        <v>38</v>
      </c>
      <c r="AC2619" t="s">
        <v>38</v>
      </c>
      <c r="AD2619" t="s">
        <v>48</v>
      </c>
      <c r="AG2619" t="str">
        <f>IF(AD2619="United States", IFERROR(INDEX(Sheet2!$C:$C, MATCH(AE2619&amp;AF2619, Sheet2!$E:$E, 0)) &amp; ", " &amp; INDEX(Sheet2!$D:$D, MATCH(AE2619&amp;AF2619, Sheet2!$E:$E, 0)), ""), "-")</f>
        <v/>
      </c>
    </row>
    <row r="2620" spans="1:33" x14ac:dyDescent="0.25">
      <c r="A2620" t="s">
        <v>3921</v>
      </c>
      <c r="D2620" t="s">
        <v>36</v>
      </c>
      <c r="E2620" t="s">
        <v>3927</v>
      </c>
      <c r="F2620">
        <v>1753</v>
      </c>
      <c r="G2620">
        <v>183</v>
      </c>
      <c r="H2620">
        <v>21</v>
      </c>
      <c r="J2620" t="s">
        <v>3922</v>
      </c>
      <c r="O2620" t="s">
        <v>41</v>
      </c>
      <c r="R2620" t="s">
        <v>89</v>
      </c>
      <c r="T2620" t="s">
        <v>89</v>
      </c>
      <c r="V2620" t="s">
        <v>137</v>
      </c>
      <c r="W2620" t="s">
        <v>92</v>
      </c>
      <c r="Y2620" t="s">
        <v>38</v>
      </c>
      <c r="AA2620" t="s">
        <v>38</v>
      </c>
      <c r="AB2620" t="s">
        <v>38</v>
      </c>
      <c r="AC2620" t="s">
        <v>38</v>
      </c>
      <c r="AD2620" t="s">
        <v>48</v>
      </c>
      <c r="AG2620" t="str">
        <f>IF(AD2620="United States", IFERROR(INDEX(Sheet2!$C:$C, MATCH(AE2620&amp;AF2620, Sheet2!$E:$E, 0)) &amp; ", " &amp; INDEX(Sheet2!$D:$D, MATCH(AE2620&amp;AF2620, Sheet2!$E:$E, 0)), ""), "-")</f>
        <v/>
      </c>
    </row>
    <row r="2621" spans="1:33" x14ac:dyDescent="0.25">
      <c r="A2621" t="s">
        <v>3921</v>
      </c>
      <c r="D2621" t="s">
        <v>36</v>
      </c>
      <c r="E2621" t="s">
        <v>3928</v>
      </c>
      <c r="F2621">
        <v>1763</v>
      </c>
      <c r="G2621">
        <v>182</v>
      </c>
      <c r="H2621">
        <v>21</v>
      </c>
      <c r="J2621" t="s">
        <v>3922</v>
      </c>
      <c r="O2621" t="s">
        <v>41</v>
      </c>
      <c r="R2621" t="s">
        <v>89</v>
      </c>
      <c r="T2621" t="s">
        <v>89</v>
      </c>
      <c r="V2621" t="s">
        <v>137</v>
      </c>
      <c r="W2621" t="s">
        <v>92</v>
      </c>
      <c r="Y2621" t="s">
        <v>38</v>
      </c>
      <c r="AA2621" t="s">
        <v>38</v>
      </c>
      <c r="AB2621" t="s">
        <v>38</v>
      </c>
      <c r="AC2621" t="s">
        <v>38</v>
      </c>
      <c r="AD2621" t="s">
        <v>48</v>
      </c>
      <c r="AG2621" t="str">
        <f>IF(AD2621="United States", IFERROR(INDEX(Sheet2!$C:$C, MATCH(AE2621&amp;AF2621, Sheet2!$E:$E, 0)) &amp; ", " &amp; INDEX(Sheet2!$D:$D, MATCH(AE2621&amp;AF2621, Sheet2!$E:$E, 0)), ""), "-")</f>
        <v/>
      </c>
    </row>
    <row r="2622" spans="1:33" x14ac:dyDescent="0.25">
      <c r="A2622" t="s">
        <v>3921</v>
      </c>
      <c r="D2622" t="s">
        <v>226</v>
      </c>
      <c r="E2622" t="s">
        <v>275</v>
      </c>
      <c r="F2622">
        <v>1758</v>
      </c>
      <c r="G2622">
        <v>181</v>
      </c>
      <c r="H2622">
        <v>21</v>
      </c>
      <c r="J2622" t="s">
        <v>3922</v>
      </c>
      <c r="O2622" t="s">
        <v>41</v>
      </c>
      <c r="R2622" t="s">
        <v>89</v>
      </c>
      <c r="T2622" t="s">
        <v>89</v>
      </c>
      <c r="V2622" t="s">
        <v>137</v>
      </c>
      <c r="W2622" t="s">
        <v>92</v>
      </c>
      <c r="Y2622" t="s">
        <v>38</v>
      </c>
      <c r="AA2622" t="s">
        <v>38</v>
      </c>
      <c r="AB2622" t="s">
        <v>38</v>
      </c>
      <c r="AC2622" t="s">
        <v>38</v>
      </c>
      <c r="AD2622" t="s">
        <v>48</v>
      </c>
      <c r="AG2622" t="str">
        <f>IF(AD2622="United States", IFERROR(INDEX(Sheet2!$C:$C, MATCH(AE2622&amp;AF2622, Sheet2!$E:$E, 0)) &amp; ", " &amp; INDEX(Sheet2!$D:$D, MATCH(AE2622&amp;AF2622, Sheet2!$E:$E, 0)), ""), "-")</f>
        <v/>
      </c>
    </row>
    <row r="2623" spans="1:33" x14ac:dyDescent="0.25">
      <c r="A2623" t="s">
        <v>3921</v>
      </c>
      <c r="D2623" t="s">
        <v>774</v>
      </c>
      <c r="E2623" t="s">
        <v>1690</v>
      </c>
      <c r="F2623">
        <v>1745</v>
      </c>
      <c r="G2623">
        <v>180</v>
      </c>
      <c r="H2623">
        <v>21</v>
      </c>
      <c r="J2623" t="s">
        <v>3922</v>
      </c>
      <c r="O2623" t="s">
        <v>41</v>
      </c>
      <c r="R2623" t="s">
        <v>89</v>
      </c>
      <c r="T2623" t="s">
        <v>89</v>
      </c>
      <c r="V2623" t="s">
        <v>137</v>
      </c>
      <c r="W2623" t="s">
        <v>92</v>
      </c>
      <c r="Y2623" t="s">
        <v>38</v>
      </c>
      <c r="AA2623" t="s">
        <v>38</v>
      </c>
      <c r="AB2623" t="s">
        <v>38</v>
      </c>
      <c r="AC2623" t="s">
        <v>38</v>
      </c>
      <c r="AD2623" t="s">
        <v>48</v>
      </c>
      <c r="AG2623" t="str">
        <f>IF(AD2623="United States", IFERROR(INDEX(Sheet2!$C:$C, MATCH(AE2623&amp;AF2623, Sheet2!$E:$E, 0)) &amp; ", " &amp; INDEX(Sheet2!$D:$D, MATCH(AE2623&amp;AF2623, Sheet2!$E:$E, 0)), ""), "-")</f>
        <v/>
      </c>
    </row>
    <row r="2624" spans="1:33" x14ac:dyDescent="0.25">
      <c r="A2624" t="s">
        <v>3921</v>
      </c>
      <c r="D2624" t="s">
        <v>226</v>
      </c>
      <c r="E2624" t="s">
        <v>142</v>
      </c>
      <c r="F2624">
        <v>1754</v>
      </c>
      <c r="G2624">
        <v>179</v>
      </c>
      <c r="H2624">
        <v>21</v>
      </c>
      <c r="J2624" t="s">
        <v>3922</v>
      </c>
      <c r="O2624" t="s">
        <v>41</v>
      </c>
      <c r="R2624" t="s">
        <v>89</v>
      </c>
      <c r="T2624" t="s">
        <v>89</v>
      </c>
      <c r="V2624" t="s">
        <v>137</v>
      </c>
      <c r="W2624" t="s">
        <v>92</v>
      </c>
      <c r="Y2624" t="s">
        <v>38</v>
      </c>
      <c r="AA2624" t="s">
        <v>38</v>
      </c>
      <c r="AB2624" t="s">
        <v>38</v>
      </c>
      <c r="AC2624" t="s">
        <v>38</v>
      </c>
      <c r="AD2624" t="s">
        <v>48</v>
      </c>
      <c r="AG2624" t="str">
        <f>IF(AD2624="United States", IFERROR(INDEX(Sheet2!$C:$C, MATCH(AE2624&amp;AF2624, Sheet2!$E:$E, 0)) &amp; ", " &amp; INDEX(Sheet2!$D:$D, MATCH(AE2624&amp;AF2624, Sheet2!$E:$E, 0)), ""), "-")</f>
        <v/>
      </c>
    </row>
    <row r="2625" spans="1:33" x14ac:dyDescent="0.25">
      <c r="A2625" t="s">
        <v>3921</v>
      </c>
      <c r="D2625" t="s">
        <v>190</v>
      </c>
      <c r="E2625" t="s">
        <v>1175</v>
      </c>
      <c r="F2625">
        <v>1758</v>
      </c>
      <c r="G2625">
        <v>177</v>
      </c>
      <c r="H2625">
        <v>21</v>
      </c>
      <c r="J2625" t="s">
        <v>3922</v>
      </c>
      <c r="O2625" t="s">
        <v>57</v>
      </c>
      <c r="R2625" t="s">
        <v>89</v>
      </c>
      <c r="T2625" t="s">
        <v>89</v>
      </c>
      <c r="V2625" t="s">
        <v>137</v>
      </c>
      <c r="W2625" t="s">
        <v>92</v>
      </c>
      <c r="Y2625" t="s">
        <v>38</v>
      </c>
      <c r="AA2625" t="s">
        <v>38</v>
      </c>
      <c r="AB2625" t="s">
        <v>38</v>
      </c>
      <c r="AC2625" t="s">
        <v>38</v>
      </c>
      <c r="AD2625" t="s">
        <v>48</v>
      </c>
      <c r="AG2625" t="str">
        <f>IF(AD2625="United States", IFERROR(INDEX(Sheet2!$C:$C, MATCH(AE2625&amp;AF2625, Sheet2!$E:$E, 0)) &amp; ", " &amp; INDEX(Sheet2!$D:$D, MATCH(AE2625&amp;AF2625, Sheet2!$E:$E, 0)), ""), "-")</f>
        <v/>
      </c>
    </row>
    <row r="2626" spans="1:33" x14ac:dyDescent="0.25">
      <c r="A2626" t="s">
        <v>3921</v>
      </c>
      <c r="D2626" t="s">
        <v>3929</v>
      </c>
      <c r="E2626" t="s">
        <v>1175</v>
      </c>
      <c r="F2626">
        <v>1758</v>
      </c>
      <c r="G2626">
        <v>176</v>
      </c>
      <c r="H2626">
        <v>21</v>
      </c>
      <c r="J2626" t="s">
        <v>3922</v>
      </c>
      <c r="O2626" t="s">
        <v>41</v>
      </c>
      <c r="R2626" t="s">
        <v>89</v>
      </c>
      <c r="T2626" t="s">
        <v>89</v>
      </c>
      <c r="V2626" t="s">
        <v>137</v>
      </c>
      <c r="W2626" t="s">
        <v>92</v>
      </c>
      <c r="Y2626" t="s">
        <v>38</v>
      </c>
      <c r="AA2626" t="s">
        <v>38</v>
      </c>
      <c r="AB2626" t="s">
        <v>38</v>
      </c>
      <c r="AC2626" t="s">
        <v>38</v>
      </c>
      <c r="AD2626" t="s">
        <v>48</v>
      </c>
      <c r="AG2626" t="str">
        <f>IF(AD2626="United States", IFERROR(INDEX(Sheet2!$C:$C, MATCH(AE2626&amp;AF2626, Sheet2!$E:$E, 0)) &amp; ", " &amp; INDEX(Sheet2!$D:$D, MATCH(AE2626&amp;AF2626, Sheet2!$E:$E, 0)), ""), "-")</f>
        <v/>
      </c>
    </row>
    <row r="2627" spans="1:33" x14ac:dyDescent="0.25">
      <c r="A2627" t="s">
        <v>3921</v>
      </c>
      <c r="D2627" t="s">
        <v>357</v>
      </c>
      <c r="E2627" t="s">
        <v>3930</v>
      </c>
      <c r="F2627">
        <v>1753</v>
      </c>
      <c r="G2627">
        <v>175</v>
      </c>
      <c r="H2627">
        <v>21</v>
      </c>
      <c r="J2627" t="s">
        <v>3922</v>
      </c>
      <c r="O2627" t="s">
        <v>41</v>
      </c>
      <c r="R2627" t="s">
        <v>89</v>
      </c>
      <c r="T2627" t="s">
        <v>89</v>
      </c>
      <c r="V2627" t="s">
        <v>137</v>
      </c>
      <c r="W2627" t="s">
        <v>92</v>
      </c>
      <c r="Y2627" t="s">
        <v>38</v>
      </c>
      <c r="AA2627" t="s">
        <v>38</v>
      </c>
      <c r="AB2627" t="s">
        <v>38</v>
      </c>
      <c r="AC2627" t="s">
        <v>38</v>
      </c>
      <c r="AD2627" t="s">
        <v>48</v>
      </c>
      <c r="AG2627" t="str">
        <f>IF(AD2627="United States", IFERROR(INDEX(Sheet2!$C:$C, MATCH(AE2627&amp;AF2627, Sheet2!$E:$E, 0)) &amp; ", " &amp; INDEX(Sheet2!$D:$D, MATCH(AE2627&amp;AF2627, Sheet2!$E:$E, 0)), ""), "-")</f>
        <v/>
      </c>
    </row>
    <row r="2628" spans="1:33" x14ac:dyDescent="0.25">
      <c r="A2628" t="s">
        <v>3921</v>
      </c>
      <c r="D2628" t="s">
        <v>3931</v>
      </c>
      <c r="E2628" t="s">
        <v>986</v>
      </c>
      <c r="F2628">
        <v>1743</v>
      </c>
      <c r="G2628">
        <v>174</v>
      </c>
      <c r="H2628">
        <v>21</v>
      </c>
      <c r="J2628" t="s">
        <v>3922</v>
      </c>
      <c r="O2628" t="s">
        <v>41</v>
      </c>
      <c r="R2628" t="s">
        <v>89</v>
      </c>
      <c r="T2628" t="s">
        <v>89</v>
      </c>
      <c r="V2628" t="s">
        <v>137</v>
      </c>
      <c r="W2628" t="s">
        <v>92</v>
      </c>
      <c r="Y2628" t="s">
        <v>38</v>
      </c>
      <c r="AA2628" t="s">
        <v>38</v>
      </c>
      <c r="AB2628" t="s">
        <v>38</v>
      </c>
      <c r="AC2628" t="s">
        <v>38</v>
      </c>
      <c r="AD2628" t="s">
        <v>48</v>
      </c>
      <c r="AG2628" t="str">
        <f>IF(AD2628="United States", IFERROR(INDEX(Sheet2!$C:$C, MATCH(AE2628&amp;AF2628, Sheet2!$E:$E, 0)) &amp; ", " &amp; INDEX(Sheet2!$D:$D, MATCH(AE2628&amp;AF2628, Sheet2!$E:$E, 0)), ""), "-")</f>
        <v/>
      </c>
    </row>
    <row r="2629" spans="1:33" x14ac:dyDescent="0.25">
      <c r="A2629" t="s">
        <v>3921</v>
      </c>
      <c r="D2629" t="s">
        <v>230</v>
      </c>
      <c r="E2629" t="s">
        <v>881</v>
      </c>
      <c r="F2629">
        <v>1747</v>
      </c>
      <c r="G2629">
        <v>173</v>
      </c>
      <c r="H2629">
        <v>21</v>
      </c>
      <c r="J2629" t="s">
        <v>3922</v>
      </c>
      <c r="O2629" t="s">
        <v>41</v>
      </c>
      <c r="R2629" t="s">
        <v>89</v>
      </c>
      <c r="T2629" t="s">
        <v>89</v>
      </c>
      <c r="V2629" t="s">
        <v>137</v>
      </c>
      <c r="W2629" t="s">
        <v>92</v>
      </c>
      <c r="Y2629" t="s">
        <v>38</v>
      </c>
      <c r="AA2629" t="s">
        <v>38</v>
      </c>
      <c r="AB2629" t="s">
        <v>38</v>
      </c>
      <c r="AC2629" t="s">
        <v>38</v>
      </c>
      <c r="AD2629" t="s">
        <v>48</v>
      </c>
      <c r="AG2629" t="str">
        <f>IF(AD2629="United States", IFERROR(INDEX(Sheet2!$C:$C, MATCH(AE2629&amp;AF2629, Sheet2!$E:$E, 0)) &amp; ", " &amp; INDEX(Sheet2!$D:$D, MATCH(AE2629&amp;AF2629, Sheet2!$E:$E, 0)), ""), "-")</f>
        <v/>
      </c>
    </row>
    <row r="2630" spans="1:33" x14ac:dyDescent="0.25">
      <c r="A2630" t="s">
        <v>3921</v>
      </c>
      <c r="D2630" t="s">
        <v>3932</v>
      </c>
      <c r="E2630" t="s">
        <v>279</v>
      </c>
      <c r="F2630">
        <v>1757</v>
      </c>
      <c r="G2630">
        <v>172</v>
      </c>
      <c r="H2630">
        <v>21</v>
      </c>
      <c r="J2630" t="s">
        <v>3922</v>
      </c>
      <c r="O2630" t="s">
        <v>41</v>
      </c>
      <c r="R2630" t="s">
        <v>89</v>
      </c>
      <c r="T2630" t="s">
        <v>89</v>
      </c>
      <c r="V2630" t="s">
        <v>137</v>
      </c>
      <c r="W2630" t="s">
        <v>92</v>
      </c>
      <c r="Y2630" t="s">
        <v>38</v>
      </c>
      <c r="AA2630" t="s">
        <v>38</v>
      </c>
      <c r="AB2630" t="s">
        <v>38</v>
      </c>
      <c r="AC2630" t="s">
        <v>38</v>
      </c>
      <c r="AD2630" t="s">
        <v>48</v>
      </c>
      <c r="AG2630" t="str">
        <f>IF(AD2630="United States", IFERROR(INDEX(Sheet2!$C:$C, MATCH(AE2630&amp;AF2630, Sheet2!$E:$E, 0)) &amp; ", " &amp; INDEX(Sheet2!$D:$D, MATCH(AE2630&amp;AF2630, Sheet2!$E:$E, 0)), ""), "-")</f>
        <v/>
      </c>
    </row>
    <row r="2631" spans="1:33" x14ac:dyDescent="0.25">
      <c r="A2631" t="s">
        <v>3921</v>
      </c>
      <c r="D2631" t="s">
        <v>101</v>
      </c>
      <c r="E2631" t="s">
        <v>3933</v>
      </c>
      <c r="F2631">
        <v>1753</v>
      </c>
      <c r="G2631">
        <v>171</v>
      </c>
      <c r="H2631">
        <v>21</v>
      </c>
      <c r="J2631" t="s">
        <v>3922</v>
      </c>
      <c r="O2631" t="s">
        <v>41</v>
      </c>
      <c r="R2631" t="s">
        <v>89</v>
      </c>
      <c r="T2631" t="s">
        <v>89</v>
      </c>
      <c r="V2631" t="s">
        <v>137</v>
      </c>
      <c r="W2631" t="s">
        <v>92</v>
      </c>
      <c r="Y2631" t="s">
        <v>38</v>
      </c>
      <c r="AA2631" t="s">
        <v>38</v>
      </c>
      <c r="AB2631" t="s">
        <v>38</v>
      </c>
      <c r="AC2631" t="s">
        <v>38</v>
      </c>
      <c r="AD2631" t="s">
        <v>48</v>
      </c>
      <c r="AG2631" t="str">
        <f>IF(AD2631="United States", IFERROR(INDEX(Sheet2!$C:$C, MATCH(AE2631&amp;AF2631, Sheet2!$E:$E, 0)) &amp; ", " &amp; INDEX(Sheet2!$D:$D, MATCH(AE2631&amp;AF2631, Sheet2!$E:$E, 0)), ""), "-")</f>
        <v/>
      </c>
    </row>
    <row r="2632" spans="1:33" x14ac:dyDescent="0.25">
      <c r="A2632" t="s">
        <v>3921</v>
      </c>
      <c r="D2632" t="s">
        <v>200</v>
      </c>
      <c r="E2632" t="s">
        <v>1145</v>
      </c>
      <c r="F2632">
        <v>1760</v>
      </c>
      <c r="G2632">
        <v>170</v>
      </c>
      <c r="H2632">
        <v>20</v>
      </c>
      <c r="J2632" t="s">
        <v>3922</v>
      </c>
      <c r="O2632" t="s">
        <v>41</v>
      </c>
      <c r="R2632" t="s">
        <v>89</v>
      </c>
      <c r="T2632" t="s">
        <v>89</v>
      </c>
      <c r="V2632" t="s">
        <v>137</v>
      </c>
      <c r="W2632" t="s">
        <v>92</v>
      </c>
      <c r="Y2632" t="s">
        <v>38</v>
      </c>
      <c r="AA2632" t="s">
        <v>38</v>
      </c>
      <c r="AB2632" t="s">
        <v>38</v>
      </c>
      <c r="AC2632" t="s">
        <v>38</v>
      </c>
      <c r="AD2632" t="s">
        <v>48</v>
      </c>
      <c r="AG2632" t="str">
        <f>IF(AD2632="United States", IFERROR(INDEX(Sheet2!$C:$C, MATCH(AE2632&amp;AF2632, Sheet2!$E:$E, 0)) &amp; ", " &amp; INDEX(Sheet2!$D:$D, MATCH(AE2632&amp;AF2632, Sheet2!$E:$E, 0)), ""), "-")</f>
        <v/>
      </c>
    </row>
    <row r="2633" spans="1:33" x14ac:dyDescent="0.25">
      <c r="A2633" t="s">
        <v>3921</v>
      </c>
      <c r="D2633" t="s">
        <v>193</v>
      </c>
      <c r="E2633" t="s">
        <v>3934</v>
      </c>
      <c r="F2633">
        <v>1759</v>
      </c>
      <c r="G2633">
        <v>169</v>
      </c>
      <c r="H2633">
        <v>20</v>
      </c>
      <c r="J2633" t="s">
        <v>3922</v>
      </c>
      <c r="O2633" t="s">
        <v>41</v>
      </c>
      <c r="R2633" t="s">
        <v>89</v>
      </c>
      <c r="T2633" t="s">
        <v>89</v>
      </c>
      <c r="V2633" t="s">
        <v>137</v>
      </c>
      <c r="W2633" t="s">
        <v>92</v>
      </c>
      <c r="Y2633" t="s">
        <v>38</v>
      </c>
      <c r="AA2633" t="s">
        <v>38</v>
      </c>
      <c r="AB2633" t="s">
        <v>38</v>
      </c>
      <c r="AC2633" t="s">
        <v>38</v>
      </c>
      <c r="AD2633" t="s">
        <v>48</v>
      </c>
      <c r="AG2633" t="str">
        <f>IF(AD2633="United States", IFERROR(INDEX(Sheet2!$C:$C, MATCH(AE2633&amp;AF2633, Sheet2!$E:$E, 0)) &amp; ", " &amp; INDEX(Sheet2!$D:$D, MATCH(AE2633&amp;AF2633, Sheet2!$E:$E, 0)), ""), "-")</f>
        <v/>
      </c>
    </row>
    <row r="2634" spans="1:33" x14ac:dyDescent="0.25">
      <c r="A2634" t="s">
        <v>3921</v>
      </c>
      <c r="D2634" t="s">
        <v>36</v>
      </c>
      <c r="E2634" t="s">
        <v>3935</v>
      </c>
      <c r="F2634">
        <v>1756</v>
      </c>
      <c r="G2634">
        <v>168</v>
      </c>
      <c r="H2634">
        <v>20</v>
      </c>
      <c r="J2634" t="s">
        <v>3922</v>
      </c>
      <c r="O2634" t="s">
        <v>41</v>
      </c>
      <c r="R2634" t="s">
        <v>89</v>
      </c>
      <c r="T2634" t="s">
        <v>89</v>
      </c>
      <c r="V2634" t="s">
        <v>137</v>
      </c>
      <c r="W2634" t="s">
        <v>92</v>
      </c>
      <c r="Y2634" t="s">
        <v>38</v>
      </c>
      <c r="AA2634" t="s">
        <v>38</v>
      </c>
      <c r="AB2634" t="s">
        <v>38</v>
      </c>
      <c r="AC2634" t="s">
        <v>38</v>
      </c>
      <c r="AD2634" t="s">
        <v>48</v>
      </c>
      <c r="AG2634" t="str">
        <f>IF(AD2634="United States", IFERROR(INDEX(Sheet2!$C:$C, MATCH(AE2634&amp;AF2634, Sheet2!$E:$E, 0)) &amp; ", " &amp; INDEX(Sheet2!$D:$D, MATCH(AE2634&amp;AF2634, Sheet2!$E:$E, 0)), ""), "-")</f>
        <v/>
      </c>
    </row>
    <row r="2635" spans="1:33" x14ac:dyDescent="0.25">
      <c r="A2635" t="s">
        <v>3921</v>
      </c>
      <c r="D2635" t="s">
        <v>3144</v>
      </c>
      <c r="E2635" t="s">
        <v>3936</v>
      </c>
      <c r="F2635">
        <v>1753</v>
      </c>
      <c r="G2635">
        <v>216</v>
      </c>
      <c r="H2635">
        <v>22</v>
      </c>
      <c r="J2635" t="s">
        <v>3922</v>
      </c>
      <c r="O2635" t="s">
        <v>57</v>
      </c>
      <c r="R2635" t="s">
        <v>89</v>
      </c>
      <c r="T2635" t="s">
        <v>89</v>
      </c>
      <c r="V2635" t="s">
        <v>137</v>
      </c>
      <c r="W2635" t="s">
        <v>92</v>
      </c>
      <c r="Y2635" t="s">
        <v>38</v>
      </c>
      <c r="AA2635" t="s">
        <v>38</v>
      </c>
      <c r="AB2635" t="s">
        <v>38</v>
      </c>
      <c r="AC2635" t="s">
        <v>38</v>
      </c>
      <c r="AD2635" t="s">
        <v>48</v>
      </c>
      <c r="AG2635" t="str">
        <f>IF(AD2635="United States", IFERROR(INDEX(Sheet2!$C:$C, MATCH(AE2635&amp;AF2635, Sheet2!$E:$E, 0)) &amp; ", " &amp; INDEX(Sheet2!$D:$D, MATCH(AE2635&amp;AF2635, Sheet2!$E:$E, 0)), ""), "-")</f>
        <v/>
      </c>
    </row>
    <row r="2636" spans="1:33" x14ac:dyDescent="0.25">
      <c r="A2636" t="s">
        <v>3921</v>
      </c>
      <c r="D2636" t="s">
        <v>463</v>
      </c>
      <c r="E2636" t="s">
        <v>38</v>
      </c>
      <c r="F2636">
        <v>1751</v>
      </c>
      <c r="G2636">
        <v>189</v>
      </c>
      <c r="H2636">
        <v>21</v>
      </c>
      <c r="J2636" t="s">
        <v>3922</v>
      </c>
      <c r="O2636" t="s">
        <v>41</v>
      </c>
      <c r="R2636" t="s">
        <v>89</v>
      </c>
      <c r="T2636" t="s">
        <v>89</v>
      </c>
      <c r="V2636" t="s">
        <v>137</v>
      </c>
      <c r="W2636" t="s">
        <v>92</v>
      </c>
      <c r="Y2636" t="s">
        <v>38</v>
      </c>
      <c r="AA2636" t="s">
        <v>38</v>
      </c>
      <c r="AB2636" t="s">
        <v>38</v>
      </c>
      <c r="AC2636" t="s">
        <v>38</v>
      </c>
      <c r="AD2636" t="s">
        <v>48</v>
      </c>
      <c r="AG2636" t="str">
        <f>IF(AD2636="United States", IFERROR(INDEX(Sheet2!$C:$C, MATCH(AE2636&amp;AF2636, Sheet2!$E:$E, 0)) &amp; ", " &amp; INDEX(Sheet2!$D:$D, MATCH(AE2636&amp;AF2636, Sheet2!$E:$E, 0)), ""), "-")</f>
        <v/>
      </c>
    </row>
    <row r="2637" spans="1:33" x14ac:dyDescent="0.25">
      <c r="A2637" t="s">
        <v>3921</v>
      </c>
      <c r="D2637" t="s">
        <v>621</v>
      </c>
      <c r="E2637" t="s">
        <v>38</v>
      </c>
      <c r="F2637">
        <v>1762</v>
      </c>
      <c r="G2637">
        <v>190</v>
      </c>
      <c r="H2637">
        <v>21</v>
      </c>
      <c r="J2637" t="s">
        <v>3922</v>
      </c>
      <c r="O2637" t="s">
        <v>41</v>
      </c>
      <c r="R2637" t="s">
        <v>89</v>
      </c>
      <c r="T2637" t="s">
        <v>89</v>
      </c>
      <c r="V2637" t="s">
        <v>137</v>
      </c>
      <c r="W2637" t="s">
        <v>92</v>
      </c>
      <c r="Y2637" t="s">
        <v>38</v>
      </c>
      <c r="AA2637" t="s">
        <v>38</v>
      </c>
      <c r="AB2637" t="s">
        <v>38</v>
      </c>
      <c r="AC2637" t="s">
        <v>38</v>
      </c>
      <c r="AD2637" t="s">
        <v>48</v>
      </c>
      <c r="AG2637" t="str">
        <f>IF(AD2637="United States", IFERROR(INDEX(Sheet2!$C:$C, MATCH(AE2637&amp;AF2637, Sheet2!$E:$E, 0)) &amp; ", " &amp; INDEX(Sheet2!$D:$D, MATCH(AE2637&amp;AF2637, Sheet2!$E:$E, 0)), ""), "-")</f>
        <v/>
      </c>
    </row>
    <row r="2638" spans="1:33" x14ac:dyDescent="0.25">
      <c r="A2638" t="s">
        <v>3921</v>
      </c>
      <c r="D2638" t="s">
        <v>3937</v>
      </c>
      <c r="E2638" t="s">
        <v>1342</v>
      </c>
      <c r="F2638">
        <v>1757</v>
      </c>
      <c r="G2638">
        <v>178</v>
      </c>
      <c r="H2638">
        <v>21</v>
      </c>
      <c r="J2638" t="s">
        <v>3922</v>
      </c>
      <c r="O2638" t="s">
        <v>41</v>
      </c>
      <c r="R2638" t="s">
        <v>89</v>
      </c>
      <c r="T2638" t="s">
        <v>89</v>
      </c>
      <c r="V2638" t="s">
        <v>137</v>
      </c>
      <c r="W2638" t="s">
        <v>92</v>
      </c>
      <c r="Y2638" t="s">
        <v>38</v>
      </c>
      <c r="AA2638" t="s">
        <v>38</v>
      </c>
      <c r="AB2638" t="s">
        <v>38</v>
      </c>
      <c r="AC2638" t="s">
        <v>38</v>
      </c>
      <c r="AD2638" t="s">
        <v>48</v>
      </c>
      <c r="AG2638" t="str">
        <f>IF(AD2638="United States", IFERROR(INDEX(Sheet2!$C:$C, MATCH(AE2638&amp;AF2638, Sheet2!$E:$E, 0)) &amp; ", " &amp; INDEX(Sheet2!$D:$D, MATCH(AE2638&amp;AF2638, Sheet2!$E:$E, 0)), ""), "-")</f>
        <v/>
      </c>
    </row>
    <row r="2639" spans="1:33" x14ac:dyDescent="0.25">
      <c r="A2639" t="s">
        <v>3921</v>
      </c>
      <c r="D2639" t="s">
        <v>621</v>
      </c>
      <c r="E2639" t="s">
        <v>3241</v>
      </c>
      <c r="F2639">
        <v>1734</v>
      </c>
      <c r="G2639">
        <v>192</v>
      </c>
      <c r="H2639">
        <v>21</v>
      </c>
      <c r="J2639" t="s">
        <v>3922</v>
      </c>
      <c r="O2639" t="s">
        <v>41</v>
      </c>
      <c r="R2639" t="s">
        <v>89</v>
      </c>
      <c r="T2639" t="s">
        <v>89</v>
      </c>
      <c r="V2639" t="s">
        <v>137</v>
      </c>
      <c r="W2639" t="s">
        <v>92</v>
      </c>
      <c r="Y2639" t="s">
        <v>38</v>
      </c>
      <c r="AA2639" t="s">
        <v>38</v>
      </c>
      <c r="AB2639" t="s">
        <v>38</v>
      </c>
      <c r="AC2639" t="s">
        <v>38</v>
      </c>
      <c r="AD2639" t="s">
        <v>48</v>
      </c>
      <c r="AG2639" t="str">
        <f>IF(AD2639="United States", IFERROR(INDEX(Sheet2!$C:$C, MATCH(AE2639&amp;AF2639, Sheet2!$E:$E, 0)) &amp; ", " &amp; INDEX(Sheet2!$D:$D, MATCH(AE2639&amp;AF2639, Sheet2!$E:$E, 0)), ""), "-")</f>
        <v/>
      </c>
    </row>
    <row r="2640" spans="1:33" x14ac:dyDescent="0.25">
      <c r="A2640" t="s">
        <v>3921</v>
      </c>
      <c r="D2640" t="s">
        <v>834</v>
      </c>
      <c r="E2640" t="s">
        <v>38</v>
      </c>
      <c r="F2640">
        <v>1779</v>
      </c>
      <c r="G2640">
        <v>214</v>
      </c>
      <c r="H2640">
        <v>21</v>
      </c>
      <c r="J2640" t="s">
        <v>3922</v>
      </c>
      <c r="O2640" t="s">
        <v>74</v>
      </c>
      <c r="R2640" t="s">
        <v>89</v>
      </c>
      <c r="T2640" t="s">
        <v>89</v>
      </c>
      <c r="V2640" t="s">
        <v>137</v>
      </c>
      <c r="W2640" t="s">
        <v>92</v>
      </c>
      <c r="Y2640" t="s">
        <v>38</v>
      </c>
      <c r="AA2640" t="s">
        <v>38</v>
      </c>
      <c r="AB2640" t="s">
        <v>38</v>
      </c>
      <c r="AC2640" t="s">
        <v>38</v>
      </c>
      <c r="AD2640" t="s">
        <v>48</v>
      </c>
      <c r="AG2640" t="str">
        <f>IF(AD2640="United States", IFERROR(INDEX(Sheet2!$C:$C, MATCH(AE2640&amp;AF2640, Sheet2!$E:$E, 0)) &amp; ", " &amp; INDEX(Sheet2!$D:$D, MATCH(AE2640&amp;AF2640, Sheet2!$E:$E, 0)), ""), "-")</f>
        <v/>
      </c>
    </row>
    <row r="2641" spans="1:33" x14ac:dyDescent="0.25">
      <c r="A2641" t="s">
        <v>3921</v>
      </c>
      <c r="D2641" t="s">
        <v>210</v>
      </c>
      <c r="E2641" t="s">
        <v>3938</v>
      </c>
      <c r="F2641">
        <v>1740</v>
      </c>
      <c r="G2641">
        <v>191</v>
      </c>
      <c r="H2641">
        <v>21</v>
      </c>
      <c r="J2641" t="s">
        <v>3922</v>
      </c>
      <c r="O2641" t="s">
        <v>41</v>
      </c>
      <c r="R2641" t="s">
        <v>89</v>
      </c>
      <c r="T2641" t="s">
        <v>89</v>
      </c>
      <c r="V2641" t="s">
        <v>137</v>
      </c>
      <c r="W2641" t="s">
        <v>92</v>
      </c>
      <c r="Y2641" t="s">
        <v>38</v>
      </c>
      <c r="AA2641" t="s">
        <v>38</v>
      </c>
      <c r="AB2641" t="s">
        <v>38</v>
      </c>
      <c r="AC2641" t="s">
        <v>38</v>
      </c>
      <c r="AD2641" t="s">
        <v>48</v>
      </c>
      <c r="AG2641" t="str">
        <f>IF(AD2641="United States", IFERROR(INDEX(Sheet2!$C:$C, MATCH(AE2641&amp;AF2641, Sheet2!$E:$E, 0)) &amp; ", " &amp; INDEX(Sheet2!$D:$D, MATCH(AE2641&amp;AF2641, Sheet2!$E:$E, 0)), ""), "-")</f>
        <v/>
      </c>
    </row>
    <row r="2642" spans="1:33" x14ac:dyDescent="0.25">
      <c r="A2642" t="s">
        <v>3921</v>
      </c>
      <c r="D2642" t="s">
        <v>195</v>
      </c>
      <c r="E2642" t="s">
        <v>807</v>
      </c>
      <c r="F2642">
        <v>1763</v>
      </c>
      <c r="G2642">
        <v>213</v>
      </c>
      <c r="H2642">
        <v>21</v>
      </c>
      <c r="J2642" t="s">
        <v>3922</v>
      </c>
      <c r="O2642" t="s">
        <v>41</v>
      </c>
      <c r="R2642" t="s">
        <v>89</v>
      </c>
      <c r="T2642" t="s">
        <v>89</v>
      </c>
      <c r="V2642" t="s">
        <v>137</v>
      </c>
      <c r="W2642" t="s">
        <v>92</v>
      </c>
      <c r="Y2642" t="s">
        <v>38</v>
      </c>
      <c r="AA2642" t="s">
        <v>38</v>
      </c>
      <c r="AB2642" t="s">
        <v>38</v>
      </c>
      <c r="AC2642" t="s">
        <v>38</v>
      </c>
      <c r="AD2642" t="s">
        <v>48</v>
      </c>
      <c r="AG2642" t="str">
        <f>IF(AD2642="United States", IFERROR(INDEX(Sheet2!$C:$C, MATCH(AE2642&amp;AF2642, Sheet2!$E:$E, 0)) &amp; ", " &amp; INDEX(Sheet2!$D:$D, MATCH(AE2642&amp;AF2642, Sheet2!$E:$E, 0)), ""), "-")</f>
        <v/>
      </c>
    </row>
    <row r="2643" spans="1:33" x14ac:dyDescent="0.25">
      <c r="A2643" t="s">
        <v>3921</v>
      </c>
      <c r="D2643" t="s">
        <v>210</v>
      </c>
      <c r="E2643" t="s">
        <v>1159</v>
      </c>
      <c r="F2643">
        <v>1780</v>
      </c>
      <c r="G2643">
        <v>212</v>
      </c>
      <c r="H2643">
        <v>21</v>
      </c>
      <c r="J2643" t="s">
        <v>3922</v>
      </c>
      <c r="O2643" t="s">
        <v>54</v>
      </c>
      <c r="R2643" t="s">
        <v>89</v>
      </c>
      <c r="T2643" t="s">
        <v>89</v>
      </c>
      <c r="V2643" t="s">
        <v>137</v>
      </c>
      <c r="W2643" t="s">
        <v>92</v>
      </c>
      <c r="Y2643" t="s">
        <v>38</v>
      </c>
      <c r="AA2643" t="s">
        <v>38</v>
      </c>
      <c r="AB2643" t="s">
        <v>38</v>
      </c>
      <c r="AC2643" t="s">
        <v>38</v>
      </c>
      <c r="AD2643" t="s">
        <v>48</v>
      </c>
      <c r="AG2643" t="str">
        <f>IF(AD2643="United States", IFERROR(INDEX(Sheet2!$C:$C, MATCH(AE2643&amp;AF2643, Sheet2!$E:$E, 0)) &amp; ", " &amp; INDEX(Sheet2!$D:$D, MATCH(AE2643&amp;AF2643, Sheet2!$E:$E, 0)), ""), "-")</f>
        <v/>
      </c>
    </row>
    <row r="2644" spans="1:33" x14ac:dyDescent="0.25">
      <c r="A2644" t="s">
        <v>3921</v>
      </c>
      <c r="D2644" t="s">
        <v>162</v>
      </c>
      <c r="E2644" t="s">
        <v>1159</v>
      </c>
      <c r="F2644">
        <v>1774</v>
      </c>
      <c r="G2644">
        <v>211</v>
      </c>
      <c r="H2644">
        <v>21</v>
      </c>
      <c r="J2644" t="s">
        <v>3922</v>
      </c>
      <c r="O2644" t="s">
        <v>74</v>
      </c>
      <c r="R2644" t="s">
        <v>89</v>
      </c>
      <c r="T2644" t="s">
        <v>89</v>
      </c>
      <c r="V2644" t="s">
        <v>137</v>
      </c>
      <c r="W2644" t="s">
        <v>92</v>
      </c>
      <c r="Y2644" t="s">
        <v>38</v>
      </c>
      <c r="AA2644" t="s">
        <v>38</v>
      </c>
      <c r="AB2644" t="s">
        <v>38</v>
      </c>
      <c r="AC2644" t="s">
        <v>38</v>
      </c>
      <c r="AD2644" t="s">
        <v>48</v>
      </c>
      <c r="AG2644" t="str">
        <f>IF(AD2644="United States", IFERROR(INDEX(Sheet2!$C:$C, MATCH(AE2644&amp;AF2644, Sheet2!$E:$E, 0)) &amp; ", " &amp; INDEX(Sheet2!$D:$D, MATCH(AE2644&amp;AF2644, Sheet2!$E:$E, 0)), ""), "-")</f>
        <v/>
      </c>
    </row>
    <row r="2645" spans="1:33" x14ac:dyDescent="0.25">
      <c r="A2645" t="s">
        <v>3921</v>
      </c>
      <c r="D2645" t="s">
        <v>3939</v>
      </c>
      <c r="E2645" t="s">
        <v>1159</v>
      </c>
      <c r="F2645">
        <v>1772</v>
      </c>
      <c r="G2645">
        <v>210</v>
      </c>
      <c r="H2645">
        <v>21</v>
      </c>
      <c r="J2645" t="s">
        <v>3922</v>
      </c>
      <c r="O2645" t="s">
        <v>74</v>
      </c>
      <c r="R2645" t="s">
        <v>89</v>
      </c>
      <c r="T2645" t="s">
        <v>89</v>
      </c>
      <c r="V2645" t="s">
        <v>137</v>
      </c>
      <c r="W2645" t="s">
        <v>92</v>
      </c>
      <c r="Y2645" t="s">
        <v>38</v>
      </c>
      <c r="AA2645" t="s">
        <v>38</v>
      </c>
      <c r="AB2645" t="s">
        <v>38</v>
      </c>
      <c r="AC2645" t="s">
        <v>38</v>
      </c>
      <c r="AD2645" t="s">
        <v>48</v>
      </c>
      <c r="AG2645" t="str">
        <f>IF(AD2645="United States", IFERROR(INDEX(Sheet2!$C:$C, MATCH(AE2645&amp;AF2645, Sheet2!$E:$E, 0)) &amp; ", " &amp; INDEX(Sheet2!$D:$D, MATCH(AE2645&amp;AF2645, Sheet2!$E:$E, 0)), ""), "-")</f>
        <v/>
      </c>
    </row>
    <row r="2646" spans="1:33" x14ac:dyDescent="0.25">
      <c r="A2646" t="s">
        <v>3921</v>
      </c>
      <c r="D2646" t="s">
        <v>980</v>
      </c>
      <c r="E2646" t="s">
        <v>1159</v>
      </c>
      <c r="F2646">
        <v>1755</v>
      </c>
      <c r="G2646">
        <v>209</v>
      </c>
      <c r="H2646">
        <v>21</v>
      </c>
      <c r="J2646" t="s">
        <v>3922</v>
      </c>
      <c r="O2646" t="s">
        <v>57</v>
      </c>
      <c r="R2646" t="s">
        <v>89</v>
      </c>
      <c r="T2646" t="s">
        <v>89</v>
      </c>
      <c r="V2646" t="s">
        <v>137</v>
      </c>
      <c r="W2646" t="s">
        <v>92</v>
      </c>
      <c r="Y2646" t="s">
        <v>38</v>
      </c>
      <c r="AA2646" t="s">
        <v>38</v>
      </c>
      <c r="AB2646" t="s">
        <v>38</v>
      </c>
      <c r="AC2646" t="s">
        <v>38</v>
      </c>
      <c r="AD2646" t="s">
        <v>48</v>
      </c>
      <c r="AG2646" t="str">
        <f>IF(AD2646="United States", IFERROR(INDEX(Sheet2!$C:$C, MATCH(AE2646&amp;AF2646, Sheet2!$E:$E, 0)) &amp; ", " &amp; INDEX(Sheet2!$D:$D, MATCH(AE2646&amp;AF2646, Sheet2!$E:$E, 0)), ""), "-")</f>
        <v/>
      </c>
    </row>
    <row r="2647" spans="1:33" x14ac:dyDescent="0.25">
      <c r="A2647" t="s">
        <v>3921</v>
      </c>
      <c r="D2647" t="s">
        <v>3940</v>
      </c>
      <c r="E2647" t="s">
        <v>1641</v>
      </c>
      <c r="F2647">
        <v>1762</v>
      </c>
      <c r="G2647">
        <v>207</v>
      </c>
      <c r="H2647">
        <v>21</v>
      </c>
      <c r="J2647" t="s">
        <v>3922</v>
      </c>
      <c r="O2647" t="s">
        <v>57</v>
      </c>
      <c r="R2647" t="s">
        <v>89</v>
      </c>
      <c r="T2647" t="s">
        <v>89</v>
      </c>
      <c r="V2647" t="s">
        <v>137</v>
      </c>
      <c r="W2647" t="s">
        <v>92</v>
      </c>
      <c r="Y2647" t="s">
        <v>38</v>
      </c>
      <c r="AA2647" t="s">
        <v>38</v>
      </c>
      <c r="AB2647" t="s">
        <v>38</v>
      </c>
      <c r="AC2647" t="s">
        <v>38</v>
      </c>
      <c r="AD2647" t="s">
        <v>48</v>
      </c>
      <c r="AG2647" t="str">
        <f>IF(AD2647="United States", IFERROR(INDEX(Sheet2!$C:$C, MATCH(AE2647&amp;AF2647, Sheet2!$E:$E, 0)) &amp; ", " &amp; INDEX(Sheet2!$D:$D, MATCH(AE2647&amp;AF2647, Sheet2!$E:$E, 0)), ""), "-")</f>
        <v/>
      </c>
    </row>
    <row r="2648" spans="1:33" x14ac:dyDescent="0.25">
      <c r="A2648" t="s">
        <v>3921</v>
      </c>
      <c r="D2648" t="s">
        <v>3941</v>
      </c>
      <c r="E2648" t="s">
        <v>3934</v>
      </c>
      <c r="F2648">
        <v>1759</v>
      </c>
      <c r="G2648">
        <v>206</v>
      </c>
      <c r="H2648">
        <v>21</v>
      </c>
      <c r="J2648" t="s">
        <v>3922</v>
      </c>
      <c r="O2648" t="s">
        <v>57</v>
      </c>
      <c r="R2648" t="s">
        <v>89</v>
      </c>
      <c r="T2648" t="s">
        <v>89</v>
      </c>
      <c r="V2648" t="s">
        <v>137</v>
      </c>
      <c r="W2648" t="s">
        <v>92</v>
      </c>
      <c r="Y2648" t="s">
        <v>38</v>
      </c>
      <c r="AA2648" t="s">
        <v>38</v>
      </c>
      <c r="AB2648" t="s">
        <v>38</v>
      </c>
      <c r="AC2648" t="s">
        <v>38</v>
      </c>
      <c r="AD2648" t="s">
        <v>48</v>
      </c>
      <c r="AG2648" t="str">
        <f>IF(AD2648="United States", IFERROR(INDEX(Sheet2!$C:$C, MATCH(AE2648&amp;AF2648, Sheet2!$E:$E, 0)) &amp; ", " &amp; INDEX(Sheet2!$D:$D, MATCH(AE2648&amp;AF2648, Sheet2!$E:$E, 0)), ""), "-")</f>
        <v/>
      </c>
    </row>
    <row r="2649" spans="1:33" x14ac:dyDescent="0.25">
      <c r="A2649" t="s">
        <v>3921</v>
      </c>
      <c r="D2649" t="s">
        <v>2823</v>
      </c>
      <c r="E2649" t="s">
        <v>38</v>
      </c>
      <c r="F2649">
        <v>1757</v>
      </c>
      <c r="G2649">
        <v>205</v>
      </c>
      <c r="H2649">
        <v>21</v>
      </c>
      <c r="J2649" t="s">
        <v>3922</v>
      </c>
      <c r="O2649" t="s">
        <v>57</v>
      </c>
      <c r="R2649" t="s">
        <v>89</v>
      </c>
      <c r="T2649" t="s">
        <v>89</v>
      </c>
      <c r="V2649" t="s">
        <v>137</v>
      </c>
      <c r="W2649" t="s">
        <v>92</v>
      </c>
      <c r="Y2649" t="s">
        <v>38</v>
      </c>
      <c r="AA2649" t="s">
        <v>38</v>
      </c>
      <c r="AB2649" t="s">
        <v>38</v>
      </c>
      <c r="AC2649" t="s">
        <v>38</v>
      </c>
      <c r="AD2649" t="s">
        <v>48</v>
      </c>
      <c r="AG2649" t="str">
        <f>IF(AD2649="United States", IFERROR(INDEX(Sheet2!$C:$C, MATCH(AE2649&amp;AF2649, Sheet2!$E:$E, 0)) &amp; ", " &amp; INDEX(Sheet2!$D:$D, MATCH(AE2649&amp;AF2649, Sheet2!$E:$E, 0)), ""), "-")</f>
        <v/>
      </c>
    </row>
    <row r="2650" spans="1:33" x14ac:dyDescent="0.25">
      <c r="A2650" t="s">
        <v>3921</v>
      </c>
      <c r="D2650" t="s">
        <v>3942</v>
      </c>
      <c r="E2650" t="s">
        <v>2404</v>
      </c>
      <c r="F2650">
        <v>1759</v>
      </c>
      <c r="G2650">
        <v>204</v>
      </c>
      <c r="H2650">
        <v>21</v>
      </c>
      <c r="J2650" t="s">
        <v>3922</v>
      </c>
      <c r="O2650" t="s">
        <v>57</v>
      </c>
      <c r="R2650" t="s">
        <v>89</v>
      </c>
      <c r="T2650" t="s">
        <v>89</v>
      </c>
      <c r="V2650" t="s">
        <v>137</v>
      </c>
      <c r="W2650" t="s">
        <v>92</v>
      </c>
      <c r="Y2650" t="s">
        <v>38</v>
      </c>
      <c r="AA2650" t="s">
        <v>38</v>
      </c>
      <c r="AB2650" t="s">
        <v>38</v>
      </c>
      <c r="AC2650" t="s">
        <v>38</v>
      </c>
      <c r="AD2650" t="s">
        <v>48</v>
      </c>
      <c r="AG2650" t="str">
        <f>IF(AD2650="United States", IFERROR(INDEX(Sheet2!$C:$C, MATCH(AE2650&amp;AF2650, Sheet2!$E:$E, 0)) &amp; ", " &amp; INDEX(Sheet2!$D:$D, MATCH(AE2650&amp;AF2650, Sheet2!$E:$E, 0)), ""), "-")</f>
        <v/>
      </c>
    </row>
    <row r="2651" spans="1:33" x14ac:dyDescent="0.25">
      <c r="A2651" t="s">
        <v>3921</v>
      </c>
      <c r="D2651" t="s">
        <v>980</v>
      </c>
      <c r="E2651" t="s">
        <v>3943</v>
      </c>
      <c r="F2651">
        <v>1759</v>
      </c>
      <c r="G2651">
        <v>208</v>
      </c>
      <c r="H2651">
        <v>21</v>
      </c>
      <c r="J2651" t="s">
        <v>3922</v>
      </c>
      <c r="O2651" t="s">
        <v>57</v>
      </c>
      <c r="R2651" t="s">
        <v>89</v>
      </c>
      <c r="T2651" t="s">
        <v>89</v>
      </c>
      <c r="V2651" t="s">
        <v>137</v>
      </c>
      <c r="W2651" t="s">
        <v>92</v>
      </c>
      <c r="Y2651" t="s">
        <v>38</v>
      </c>
      <c r="AA2651" t="s">
        <v>38</v>
      </c>
      <c r="AB2651" t="s">
        <v>38</v>
      </c>
      <c r="AC2651" t="s">
        <v>38</v>
      </c>
      <c r="AD2651" t="s">
        <v>48</v>
      </c>
      <c r="AG2651" t="str">
        <f>IF(AD2651="United States", IFERROR(INDEX(Sheet2!$C:$C, MATCH(AE2651&amp;AF2651, Sheet2!$E:$E, 0)) &amp; ", " &amp; INDEX(Sheet2!$D:$D, MATCH(AE2651&amp;AF2651, Sheet2!$E:$E, 0)), ""), "-")</f>
        <v/>
      </c>
    </row>
    <row r="2652" spans="1:33" x14ac:dyDescent="0.25">
      <c r="A2652" t="s">
        <v>3921</v>
      </c>
      <c r="D2652" t="s">
        <v>3942</v>
      </c>
      <c r="E2652" t="s">
        <v>3944</v>
      </c>
      <c r="F2652">
        <v>1756</v>
      </c>
      <c r="G2652">
        <v>203</v>
      </c>
      <c r="H2652">
        <v>21</v>
      </c>
      <c r="J2652" t="s">
        <v>3922</v>
      </c>
      <c r="O2652" t="s">
        <v>57</v>
      </c>
      <c r="R2652" t="s">
        <v>89</v>
      </c>
      <c r="T2652" t="s">
        <v>89</v>
      </c>
      <c r="V2652" t="s">
        <v>137</v>
      </c>
      <c r="W2652" t="s">
        <v>92</v>
      </c>
      <c r="Y2652" t="s">
        <v>38</v>
      </c>
      <c r="AA2652" t="s">
        <v>38</v>
      </c>
      <c r="AB2652" t="s">
        <v>38</v>
      </c>
      <c r="AC2652" t="s">
        <v>38</v>
      </c>
      <c r="AD2652" t="s">
        <v>48</v>
      </c>
      <c r="AG2652" t="str">
        <f>IF(AD2652="United States", IFERROR(INDEX(Sheet2!$C:$C, MATCH(AE2652&amp;AF2652, Sheet2!$E:$E, 0)) &amp; ", " &amp; INDEX(Sheet2!$D:$D, MATCH(AE2652&amp;AF2652, Sheet2!$E:$E, 0)), ""), "-")</f>
        <v/>
      </c>
    </row>
    <row r="2653" spans="1:33" x14ac:dyDescent="0.25">
      <c r="A2653" t="s">
        <v>3921</v>
      </c>
      <c r="D2653" t="s">
        <v>361</v>
      </c>
      <c r="E2653" t="s">
        <v>3945</v>
      </c>
      <c r="F2653">
        <v>1782</v>
      </c>
      <c r="G2653">
        <v>202</v>
      </c>
      <c r="H2653">
        <v>21</v>
      </c>
      <c r="J2653" t="s">
        <v>3922</v>
      </c>
      <c r="O2653" t="s">
        <v>54</v>
      </c>
      <c r="R2653" t="s">
        <v>89</v>
      </c>
      <c r="T2653" t="s">
        <v>89</v>
      </c>
      <c r="V2653" t="s">
        <v>137</v>
      </c>
      <c r="W2653" t="s">
        <v>92</v>
      </c>
      <c r="Y2653" t="s">
        <v>38</v>
      </c>
      <c r="AA2653" t="s">
        <v>38</v>
      </c>
      <c r="AB2653" t="s">
        <v>38</v>
      </c>
      <c r="AC2653" t="s">
        <v>38</v>
      </c>
      <c r="AD2653" t="s">
        <v>48</v>
      </c>
      <c r="AG2653" t="str">
        <f>IF(AD2653="United States", IFERROR(INDEX(Sheet2!$C:$C, MATCH(AE2653&amp;AF2653, Sheet2!$E:$E, 0)) &amp; ", " &amp; INDEX(Sheet2!$D:$D, MATCH(AE2653&amp;AF2653, Sheet2!$E:$E, 0)), ""), "-")</f>
        <v/>
      </c>
    </row>
    <row r="2654" spans="1:33" x14ac:dyDescent="0.25">
      <c r="A2654" t="s">
        <v>3921</v>
      </c>
      <c r="D2654" t="s">
        <v>222</v>
      </c>
      <c r="E2654" t="s">
        <v>3945</v>
      </c>
      <c r="F2654">
        <v>1763</v>
      </c>
      <c r="G2654">
        <v>201</v>
      </c>
      <c r="H2654">
        <v>21</v>
      </c>
      <c r="J2654" t="s">
        <v>3922</v>
      </c>
      <c r="O2654" t="s">
        <v>57</v>
      </c>
      <c r="R2654" t="s">
        <v>89</v>
      </c>
      <c r="T2654" t="s">
        <v>89</v>
      </c>
      <c r="V2654" t="s">
        <v>137</v>
      </c>
      <c r="W2654" t="s">
        <v>92</v>
      </c>
      <c r="Y2654" t="s">
        <v>38</v>
      </c>
      <c r="AA2654" t="s">
        <v>38</v>
      </c>
      <c r="AB2654" t="s">
        <v>38</v>
      </c>
      <c r="AC2654" t="s">
        <v>38</v>
      </c>
      <c r="AD2654" t="s">
        <v>48</v>
      </c>
      <c r="AG2654" t="str">
        <f>IF(AD2654="United States", IFERROR(INDEX(Sheet2!$C:$C, MATCH(AE2654&amp;AF2654, Sheet2!$E:$E, 0)) &amp; ", " &amp; INDEX(Sheet2!$D:$D, MATCH(AE2654&amp;AF2654, Sheet2!$E:$E, 0)), ""), "-")</f>
        <v/>
      </c>
    </row>
    <row r="2655" spans="1:33" x14ac:dyDescent="0.25">
      <c r="A2655" t="s">
        <v>3921</v>
      </c>
      <c r="D2655" t="s">
        <v>114</v>
      </c>
      <c r="E2655" t="s">
        <v>818</v>
      </c>
      <c r="F2655">
        <v>1761</v>
      </c>
      <c r="G2655">
        <v>200</v>
      </c>
      <c r="H2655">
        <v>21</v>
      </c>
      <c r="J2655" t="s">
        <v>3922</v>
      </c>
      <c r="O2655" t="s">
        <v>57</v>
      </c>
      <c r="R2655" t="s">
        <v>89</v>
      </c>
      <c r="T2655" t="s">
        <v>89</v>
      </c>
      <c r="V2655" t="s">
        <v>137</v>
      </c>
      <c r="W2655" t="s">
        <v>92</v>
      </c>
      <c r="Y2655" t="s">
        <v>38</v>
      </c>
      <c r="AA2655" t="s">
        <v>38</v>
      </c>
      <c r="AB2655" t="s">
        <v>38</v>
      </c>
      <c r="AC2655" t="s">
        <v>38</v>
      </c>
      <c r="AD2655" t="s">
        <v>48</v>
      </c>
      <c r="AG2655" t="str">
        <f>IF(AD2655="United States", IFERROR(INDEX(Sheet2!$C:$C, MATCH(AE2655&amp;AF2655, Sheet2!$E:$E, 0)) &amp; ", " &amp; INDEX(Sheet2!$D:$D, MATCH(AE2655&amp;AF2655, Sheet2!$E:$E, 0)), ""), "-")</f>
        <v/>
      </c>
    </row>
    <row r="2656" spans="1:33" x14ac:dyDescent="0.25">
      <c r="A2656" t="s">
        <v>3921</v>
      </c>
      <c r="D2656" t="s">
        <v>114</v>
      </c>
      <c r="E2656" t="s">
        <v>633</v>
      </c>
      <c r="F2656">
        <v>1745</v>
      </c>
      <c r="G2656">
        <v>199</v>
      </c>
      <c r="H2656">
        <v>21</v>
      </c>
      <c r="J2656" t="s">
        <v>3922</v>
      </c>
      <c r="O2656" t="s">
        <v>57</v>
      </c>
      <c r="R2656" t="s">
        <v>89</v>
      </c>
      <c r="T2656" t="s">
        <v>89</v>
      </c>
      <c r="V2656" t="s">
        <v>137</v>
      </c>
      <c r="W2656" t="s">
        <v>92</v>
      </c>
      <c r="Y2656" t="s">
        <v>38</v>
      </c>
      <c r="AA2656" t="s">
        <v>38</v>
      </c>
      <c r="AB2656" t="s">
        <v>38</v>
      </c>
      <c r="AC2656" t="s">
        <v>38</v>
      </c>
      <c r="AD2656" t="s">
        <v>48</v>
      </c>
      <c r="AG2656" t="str">
        <f>IF(AD2656="United States", IFERROR(INDEX(Sheet2!$C:$C, MATCH(AE2656&amp;AF2656, Sheet2!$E:$E, 0)) &amp; ", " &amp; INDEX(Sheet2!$D:$D, MATCH(AE2656&amp;AF2656, Sheet2!$E:$E, 0)), ""), "-")</f>
        <v/>
      </c>
    </row>
    <row r="2657" spans="1:33" x14ac:dyDescent="0.25">
      <c r="A2657" t="s">
        <v>3921</v>
      </c>
      <c r="D2657" t="s">
        <v>3946</v>
      </c>
      <c r="E2657" t="s">
        <v>1342</v>
      </c>
      <c r="F2657">
        <v>1761</v>
      </c>
      <c r="G2657">
        <v>198</v>
      </c>
      <c r="H2657">
        <v>21</v>
      </c>
      <c r="J2657" t="s">
        <v>3922</v>
      </c>
      <c r="O2657" t="s">
        <v>57</v>
      </c>
      <c r="R2657" t="s">
        <v>89</v>
      </c>
      <c r="T2657" t="s">
        <v>89</v>
      </c>
      <c r="V2657" t="s">
        <v>137</v>
      </c>
      <c r="W2657" t="s">
        <v>92</v>
      </c>
      <c r="Y2657" t="s">
        <v>38</v>
      </c>
      <c r="AA2657" t="s">
        <v>38</v>
      </c>
      <c r="AB2657" t="s">
        <v>38</v>
      </c>
      <c r="AC2657" t="s">
        <v>38</v>
      </c>
      <c r="AD2657" t="s">
        <v>48</v>
      </c>
      <c r="AG2657" t="str">
        <f>IF(AD2657="United States", IFERROR(INDEX(Sheet2!$C:$C, MATCH(AE2657&amp;AF2657, Sheet2!$E:$E, 0)) &amp; ", " &amp; INDEX(Sheet2!$D:$D, MATCH(AE2657&amp;AF2657, Sheet2!$E:$E, 0)), ""), "-")</f>
        <v/>
      </c>
    </row>
    <row r="2658" spans="1:33" x14ac:dyDescent="0.25">
      <c r="A2658" t="s">
        <v>3921</v>
      </c>
      <c r="D2658" t="s">
        <v>3947</v>
      </c>
      <c r="E2658" t="s">
        <v>3948</v>
      </c>
      <c r="F2658">
        <v>1768</v>
      </c>
      <c r="G2658">
        <v>197</v>
      </c>
      <c r="H2658">
        <v>21</v>
      </c>
      <c r="J2658" t="s">
        <v>3922</v>
      </c>
      <c r="O2658" t="s">
        <v>74</v>
      </c>
      <c r="R2658" t="s">
        <v>89</v>
      </c>
      <c r="T2658" t="s">
        <v>89</v>
      </c>
      <c r="V2658" t="s">
        <v>137</v>
      </c>
      <c r="W2658" t="s">
        <v>92</v>
      </c>
      <c r="Y2658" t="s">
        <v>38</v>
      </c>
      <c r="AA2658" t="s">
        <v>38</v>
      </c>
      <c r="AB2658" t="s">
        <v>38</v>
      </c>
      <c r="AC2658" t="s">
        <v>38</v>
      </c>
      <c r="AD2658" t="s">
        <v>48</v>
      </c>
      <c r="AG2658" t="str">
        <f>IF(AD2658="United States", IFERROR(INDEX(Sheet2!$C:$C, MATCH(AE2658&amp;AF2658, Sheet2!$E:$E, 0)) &amp; ", " &amp; INDEX(Sheet2!$D:$D, MATCH(AE2658&amp;AF2658, Sheet2!$E:$E, 0)), ""), "-")</f>
        <v/>
      </c>
    </row>
    <row r="2659" spans="1:33" x14ac:dyDescent="0.25">
      <c r="A2659" t="s">
        <v>3921</v>
      </c>
      <c r="D2659" t="s">
        <v>52</v>
      </c>
      <c r="E2659" t="s">
        <v>268</v>
      </c>
      <c r="F2659">
        <v>1747</v>
      </c>
      <c r="G2659">
        <v>196</v>
      </c>
      <c r="H2659">
        <v>21</v>
      </c>
      <c r="J2659" t="s">
        <v>3922</v>
      </c>
      <c r="O2659" t="s">
        <v>57</v>
      </c>
      <c r="R2659" t="s">
        <v>89</v>
      </c>
      <c r="T2659" t="s">
        <v>89</v>
      </c>
      <c r="V2659" t="s">
        <v>137</v>
      </c>
      <c r="W2659" t="s">
        <v>92</v>
      </c>
      <c r="Y2659" t="s">
        <v>38</v>
      </c>
      <c r="AA2659" t="s">
        <v>38</v>
      </c>
      <c r="AB2659" t="s">
        <v>38</v>
      </c>
      <c r="AC2659" t="s">
        <v>38</v>
      </c>
      <c r="AD2659" t="s">
        <v>48</v>
      </c>
      <c r="AG2659" t="str">
        <f>IF(AD2659="United States", IFERROR(INDEX(Sheet2!$C:$C, MATCH(AE2659&amp;AF2659, Sheet2!$E:$E, 0)) &amp; ", " &amp; INDEX(Sheet2!$D:$D, MATCH(AE2659&amp;AF2659, Sheet2!$E:$E, 0)), ""), "-")</f>
        <v/>
      </c>
    </row>
    <row r="2660" spans="1:33" x14ac:dyDescent="0.25">
      <c r="A2660" t="s">
        <v>3921</v>
      </c>
      <c r="D2660" t="s">
        <v>1116</v>
      </c>
      <c r="E2660" t="s">
        <v>3948</v>
      </c>
      <c r="F2660">
        <v>1765</v>
      </c>
      <c r="G2660">
        <v>195</v>
      </c>
      <c r="H2660">
        <v>21</v>
      </c>
      <c r="J2660" t="s">
        <v>3922</v>
      </c>
      <c r="O2660" t="s">
        <v>41</v>
      </c>
      <c r="R2660" t="s">
        <v>89</v>
      </c>
      <c r="T2660" t="s">
        <v>89</v>
      </c>
      <c r="V2660" t="s">
        <v>137</v>
      </c>
      <c r="W2660" t="s">
        <v>92</v>
      </c>
      <c r="Y2660" t="s">
        <v>38</v>
      </c>
      <c r="AA2660" t="s">
        <v>38</v>
      </c>
      <c r="AB2660" t="s">
        <v>38</v>
      </c>
      <c r="AC2660" t="s">
        <v>38</v>
      </c>
      <c r="AD2660" t="s">
        <v>48</v>
      </c>
      <c r="AG2660" t="str">
        <f>IF(AD2660="United States", IFERROR(INDEX(Sheet2!$C:$C, MATCH(AE2660&amp;AF2660, Sheet2!$E:$E, 0)) &amp; ", " &amp; INDEX(Sheet2!$D:$D, MATCH(AE2660&amp;AF2660, Sheet2!$E:$E, 0)), ""), "-")</f>
        <v/>
      </c>
    </row>
    <row r="2661" spans="1:33" x14ac:dyDescent="0.25">
      <c r="A2661" t="s">
        <v>3921</v>
      </c>
      <c r="D2661" t="s">
        <v>132</v>
      </c>
      <c r="E2661" t="s">
        <v>3949</v>
      </c>
      <c r="F2661">
        <v>1745</v>
      </c>
      <c r="G2661">
        <v>193</v>
      </c>
      <c r="H2661">
        <v>21</v>
      </c>
      <c r="J2661" t="s">
        <v>3922</v>
      </c>
      <c r="O2661" t="s">
        <v>41</v>
      </c>
      <c r="R2661" t="s">
        <v>89</v>
      </c>
      <c r="T2661" t="s">
        <v>89</v>
      </c>
      <c r="V2661" t="s">
        <v>137</v>
      </c>
      <c r="W2661" t="s">
        <v>92</v>
      </c>
      <c r="Y2661" t="s">
        <v>38</v>
      </c>
      <c r="AA2661" t="s">
        <v>38</v>
      </c>
      <c r="AB2661" t="s">
        <v>38</v>
      </c>
      <c r="AC2661" t="s">
        <v>38</v>
      </c>
      <c r="AD2661" t="s">
        <v>48</v>
      </c>
      <c r="AG2661" t="str">
        <f>IF(AD2661="United States", IFERROR(INDEX(Sheet2!$C:$C, MATCH(AE2661&amp;AF2661, Sheet2!$E:$E, 0)) &amp; ", " &amp; INDEX(Sheet2!$D:$D, MATCH(AE2661&amp;AF2661, Sheet2!$E:$E, 0)), ""), "-")</f>
        <v/>
      </c>
    </row>
    <row r="2662" spans="1:33" x14ac:dyDescent="0.25">
      <c r="A2662" t="s">
        <v>3921</v>
      </c>
      <c r="D2662" t="s">
        <v>63</v>
      </c>
      <c r="E2662" t="s">
        <v>3950</v>
      </c>
      <c r="F2662">
        <v>1745</v>
      </c>
      <c r="G2662">
        <v>194</v>
      </c>
      <c r="H2662">
        <v>21</v>
      </c>
      <c r="J2662" t="s">
        <v>3922</v>
      </c>
      <c r="O2662" t="s">
        <v>41</v>
      </c>
      <c r="R2662" t="s">
        <v>89</v>
      </c>
      <c r="T2662" t="s">
        <v>89</v>
      </c>
      <c r="V2662" t="s">
        <v>137</v>
      </c>
      <c r="W2662" t="s">
        <v>92</v>
      </c>
      <c r="Y2662" t="s">
        <v>38</v>
      </c>
      <c r="AA2662" t="s">
        <v>38</v>
      </c>
      <c r="AB2662" t="s">
        <v>38</v>
      </c>
      <c r="AC2662" t="s">
        <v>38</v>
      </c>
      <c r="AD2662" t="s">
        <v>48</v>
      </c>
      <c r="AG2662" t="str">
        <f>IF(AD2662="United States", IFERROR(INDEX(Sheet2!$C:$C, MATCH(AE2662&amp;AF2662, Sheet2!$E:$E, 0)) &amp; ", " &amp; INDEX(Sheet2!$D:$D, MATCH(AE2662&amp;AF2662, Sheet2!$E:$E, 0)), ""), "-")</f>
        <v/>
      </c>
    </row>
    <row r="2663" spans="1:33" x14ac:dyDescent="0.25">
      <c r="A2663" t="s">
        <v>3951</v>
      </c>
      <c r="B2663" t="s">
        <v>3952</v>
      </c>
      <c r="C2663" t="s">
        <v>3953</v>
      </c>
      <c r="D2663" t="s">
        <v>36</v>
      </c>
      <c r="E2663" t="s">
        <v>3928</v>
      </c>
      <c r="F2663">
        <v>1763</v>
      </c>
      <c r="G2663">
        <v>167</v>
      </c>
      <c r="H2663" t="s">
        <v>38</v>
      </c>
      <c r="I2663" t="s">
        <v>39</v>
      </c>
      <c r="J2663" t="s">
        <v>2348</v>
      </c>
      <c r="K2663" t="s">
        <v>38</v>
      </c>
      <c r="L2663" t="s">
        <v>38</v>
      </c>
      <c r="M2663" t="s">
        <v>38</v>
      </c>
      <c r="N2663" t="s">
        <v>38</v>
      </c>
      <c r="O2663" t="s">
        <v>41</v>
      </c>
      <c r="P2663" t="s">
        <v>42</v>
      </c>
      <c r="Q2663" t="s">
        <v>43</v>
      </c>
      <c r="R2663" t="s">
        <v>354</v>
      </c>
      <c r="S2663" t="s">
        <v>201</v>
      </c>
      <c r="T2663" t="s">
        <v>38</v>
      </c>
      <c r="U2663" t="s">
        <v>38</v>
      </c>
      <c r="V2663" t="s">
        <v>137</v>
      </c>
      <c r="W2663" t="s">
        <v>38</v>
      </c>
      <c r="X2663" t="s">
        <v>38</v>
      </c>
      <c r="Y2663" t="s">
        <v>3954</v>
      </c>
      <c r="Z2663" t="s">
        <v>42</v>
      </c>
      <c r="AA2663" t="s">
        <v>354</v>
      </c>
      <c r="AB2663" t="s">
        <v>38</v>
      </c>
      <c r="AC2663" t="s">
        <v>201</v>
      </c>
      <c r="AD2663" t="s">
        <v>48</v>
      </c>
      <c r="AG2663" t="str">
        <f>IF(AD2663="United States", IFERROR(INDEX(Sheet2!$C:$C, MATCH(AE2663&amp;AF2663, Sheet2!$E:$E, 0)) &amp; ", " &amp; INDEX(Sheet2!$D:$D, MATCH(AE2663&amp;AF2663, Sheet2!$E:$E, 0)), ""), "-")</f>
        <v/>
      </c>
    </row>
    <row r="2664" spans="1:33" x14ac:dyDescent="0.25">
      <c r="A2664" t="s">
        <v>3951</v>
      </c>
      <c r="B2664" t="s">
        <v>3955</v>
      </c>
      <c r="C2664" t="s">
        <v>3953</v>
      </c>
      <c r="D2664" t="s">
        <v>36</v>
      </c>
      <c r="E2664" t="s">
        <v>3927</v>
      </c>
      <c r="F2664">
        <v>1753</v>
      </c>
      <c r="G2664">
        <v>168</v>
      </c>
      <c r="H2664" t="s">
        <v>38</v>
      </c>
      <c r="I2664" t="s">
        <v>39</v>
      </c>
      <c r="J2664" t="s">
        <v>2348</v>
      </c>
      <c r="K2664" t="s">
        <v>38</v>
      </c>
      <c r="L2664" t="s">
        <v>38</v>
      </c>
      <c r="M2664" t="s">
        <v>38</v>
      </c>
      <c r="N2664" t="s">
        <v>38</v>
      </c>
      <c r="O2664" t="s">
        <v>41</v>
      </c>
      <c r="P2664" t="s">
        <v>42</v>
      </c>
      <c r="Q2664" t="s">
        <v>43</v>
      </c>
      <c r="R2664" t="s">
        <v>38</v>
      </c>
      <c r="S2664" t="s">
        <v>38</v>
      </c>
      <c r="T2664" t="s">
        <v>38</v>
      </c>
      <c r="U2664" t="s">
        <v>38</v>
      </c>
      <c r="V2664" t="s">
        <v>137</v>
      </c>
      <c r="W2664" t="s">
        <v>38</v>
      </c>
      <c r="X2664" t="s">
        <v>38</v>
      </c>
      <c r="Y2664" t="s">
        <v>3956</v>
      </c>
      <c r="Z2664" t="s">
        <v>42</v>
      </c>
      <c r="AA2664" t="s">
        <v>155</v>
      </c>
      <c r="AB2664" t="s">
        <v>38</v>
      </c>
      <c r="AC2664" t="s">
        <v>155</v>
      </c>
      <c r="AD2664" t="s">
        <v>48</v>
      </c>
      <c r="AG2664" t="str">
        <f>IF(AD2664="United States", IFERROR(INDEX(Sheet2!$C:$C, MATCH(AE2664&amp;AF2664, Sheet2!$E:$E, 0)) &amp; ", " &amp; INDEX(Sheet2!$D:$D, MATCH(AE2664&amp;AF2664, Sheet2!$E:$E, 0)), ""), "-")</f>
        <v/>
      </c>
    </row>
    <row r="2665" spans="1:33" x14ac:dyDescent="0.25">
      <c r="A2665" t="s">
        <v>3951</v>
      </c>
      <c r="B2665" t="s">
        <v>3957</v>
      </c>
      <c r="C2665" t="s">
        <v>3953</v>
      </c>
      <c r="D2665" t="s">
        <v>62</v>
      </c>
      <c r="E2665" t="s">
        <v>3926</v>
      </c>
      <c r="F2665">
        <v>1742</v>
      </c>
      <c r="G2665">
        <v>169</v>
      </c>
      <c r="H2665" t="s">
        <v>38</v>
      </c>
      <c r="I2665" t="s">
        <v>39</v>
      </c>
      <c r="J2665" t="s">
        <v>2348</v>
      </c>
      <c r="K2665" t="s">
        <v>38</v>
      </c>
      <c r="L2665" t="s">
        <v>38</v>
      </c>
      <c r="M2665" t="s">
        <v>38</v>
      </c>
      <c r="N2665" t="s">
        <v>38</v>
      </c>
      <c r="O2665" t="s">
        <v>41</v>
      </c>
      <c r="P2665" t="s">
        <v>42</v>
      </c>
      <c r="Q2665" t="s">
        <v>43</v>
      </c>
      <c r="R2665" t="s">
        <v>3958</v>
      </c>
      <c r="S2665" t="s">
        <v>417</v>
      </c>
      <c r="T2665" t="s">
        <v>38</v>
      </c>
      <c r="U2665" t="s">
        <v>38</v>
      </c>
      <c r="V2665" t="s">
        <v>137</v>
      </c>
      <c r="W2665" t="s">
        <v>38</v>
      </c>
      <c r="X2665" t="s">
        <v>38</v>
      </c>
      <c r="Y2665" t="s">
        <v>3959</v>
      </c>
      <c r="Z2665" t="s">
        <v>42</v>
      </c>
      <c r="AA2665" t="s">
        <v>3960</v>
      </c>
      <c r="AB2665" t="s">
        <v>38</v>
      </c>
      <c r="AC2665" t="s">
        <v>417</v>
      </c>
      <c r="AD2665" t="s">
        <v>48</v>
      </c>
      <c r="AG2665" t="str">
        <f>IF(AD2665="United States", IFERROR(INDEX(Sheet2!$C:$C, MATCH(AE2665&amp;AF2665, Sheet2!$E:$E, 0)) &amp; ", " &amp; INDEX(Sheet2!$D:$D, MATCH(AE2665&amp;AF2665, Sheet2!$E:$E, 0)), ""), "-")</f>
        <v/>
      </c>
    </row>
    <row r="2666" spans="1:33" x14ac:dyDescent="0.25">
      <c r="A2666" t="s">
        <v>3951</v>
      </c>
      <c r="B2666" t="s">
        <v>3961</v>
      </c>
      <c r="C2666" t="s">
        <v>3953</v>
      </c>
      <c r="D2666" t="s">
        <v>226</v>
      </c>
      <c r="E2666" t="s">
        <v>344</v>
      </c>
      <c r="F2666">
        <v>1743</v>
      </c>
      <c r="G2666">
        <v>170</v>
      </c>
      <c r="H2666" t="s">
        <v>38</v>
      </c>
      <c r="I2666" t="s">
        <v>39</v>
      </c>
      <c r="J2666" t="s">
        <v>2348</v>
      </c>
      <c r="K2666" t="s">
        <v>38</v>
      </c>
      <c r="L2666" t="s">
        <v>38</v>
      </c>
      <c r="M2666" t="s">
        <v>38</v>
      </c>
      <c r="N2666" t="s">
        <v>38</v>
      </c>
      <c r="O2666" t="s">
        <v>41</v>
      </c>
      <c r="P2666" t="s">
        <v>42</v>
      </c>
      <c r="Q2666" t="s">
        <v>43</v>
      </c>
      <c r="R2666" t="s">
        <v>3962</v>
      </c>
      <c r="S2666" t="s">
        <v>201</v>
      </c>
      <c r="T2666" t="s">
        <v>38</v>
      </c>
      <c r="U2666" t="s">
        <v>38</v>
      </c>
      <c r="V2666" t="s">
        <v>137</v>
      </c>
      <c r="W2666" t="s">
        <v>38</v>
      </c>
      <c r="X2666" t="s">
        <v>38</v>
      </c>
      <c r="Y2666" t="s">
        <v>3963</v>
      </c>
      <c r="Z2666" t="s">
        <v>42</v>
      </c>
      <c r="AA2666" t="s">
        <v>265</v>
      </c>
      <c r="AB2666" t="s">
        <v>38</v>
      </c>
      <c r="AC2666" t="s">
        <v>201</v>
      </c>
      <c r="AD2666" t="s">
        <v>48</v>
      </c>
      <c r="AG2666" t="str">
        <f>IF(AD2666="United States", IFERROR(INDEX(Sheet2!$C:$C, MATCH(AE2666&amp;AF2666, Sheet2!$E:$E, 0)) &amp; ", " &amp; INDEX(Sheet2!$D:$D, MATCH(AE2666&amp;AF2666, Sheet2!$E:$E, 0)), ""), "-")</f>
        <v/>
      </c>
    </row>
    <row r="2667" spans="1:33" x14ac:dyDescent="0.25">
      <c r="A2667" t="s">
        <v>3951</v>
      </c>
      <c r="B2667" t="s">
        <v>3964</v>
      </c>
      <c r="C2667" t="s">
        <v>3953</v>
      </c>
      <c r="D2667" t="s">
        <v>621</v>
      </c>
      <c r="E2667" t="s">
        <v>38</v>
      </c>
      <c r="F2667">
        <v>1762</v>
      </c>
      <c r="G2667">
        <v>174</v>
      </c>
      <c r="H2667" t="s">
        <v>38</v>
      </c>
      <c r="I2667" t="s">
        <v>39</v>
      </c>
      <c r="J2667" t="s">
        <v>2348</v>
      </c>
      <c r="K2667" t="s">
        <v>463</v>
      </c>
      <c r="L2667" t="s">
        <v>38</v>
      </c>
      <c r="M2667" t="s">
        <v>38</v>
      </c>
      <c r="N2667" t="s">
        <v>38</v>
      </c>
      <c r="O2667" t="s">
        <v>41</v>
      </c>
      <c r="P2667" t="s">
        <v>125</v>
      </c>
      <c r="Q2667" t="s">
        <v>124</v>
      </c>
      <c r="R2667" t="s">
        <v>878</v>
      </c>
      <c r="S2667" t="s">
        <v>45</v>
      </c>
      <c r="T2667" t="s">
        <v>38</v>
      </c>
      <c r="U2667" t="s">
        <v>38</v>
      </c>
      <c r="V2667" t="s">
        <v>137</v>
      </c>
      <c r="W2667" t="s">
        <v>38</v>
      </c>
      <c r="X2667" t="s">
        <v>38</v>
      </c>
      <c r="Y2667" t="s">
        <v>3965</v>
      </c>
      <c r="Z2667" t="s">
        <v>125</v>
      </c>
      <c r="AA2667" t="s">
        <v>878</v>
      </c>
      <c r="AB2667" t="s">
        <v>38</v>
      </c>
      <c r="AC2667" t="s">
        <v>45</v>
      </c>
      <c r="AD2667" t="s">
        <v>48</v>
      </c>
      <c r="AG2667" t="str">
        <f>IF(AD2667="United States", IFERROR(INDEX(Sheet2!$C:$C, MATCH(AE2667&amp;AF2667, Sheet2!$E:$E, 0)) &amp; ", " &amp; INDEX(Sheet2!$D:$D, MATCH(AE2667&amp;AF2667, Sheet2!$E:$E, 0)), ""), "-")</f>
        <v/>
      </c>
    </row>
    <row r="2668" spans="1:33" x14ac:dyDescent="0.25">
      <c r="A2668" t="s">
        <v>3951</v>
      </c>
      <c r="B2668" t="s">
        <v>3966</v>
      </c>
      <c r="C2668" t="s">
        <v>3953</v>
      </c>
      <c r="D2668" t="s">
        <v>177</v>
      </c>
      <c r="E2668" t="s">
        <v>818</v>
      </c>
      <c r="F2668">
        <v>1761</v>
      </c>
      <c r="G2668">
        <v>172</v>
      </c>
      <c r="H2668" t="s">
        <v>38</v>
      </c>
      <c r="I2668" t="s">
        <v>39</v>
      </c>
      <c r="J2668" t="s">
        <v>2348</v>
      </c>
      <c r="K2668" t="s">
        <v>38</v>
      </c>
      <c r="L2668" t="s">
        <v>38</v>
      </c>
      <c r="M2668" t="s">
        <v>38</v>
      </c>
      <c r="N2668" t="s">
        <v>38</v>
      </c>
      <c r="O2668" t="s">
        <v>41</v>
      </c>
      <c r="P2668" t="s">
        <v>42</v>
      </c>
      <c r="Q2668" t="s">
        <v>43</v>
      </c>
      <c r="R2668" t="s">
        <v>3967</v>
      </c>
      <c r="S2668" t="s">
        <v>45</v>
      </c>
      <c r="T2668" t="s">
        <v>38</v>
      </c>
      <c r="U2668" t="s">
        <v>38</v>
      </c>
      <c r="V2668" t="s">
        <v>137</v>
      </c>
      <c r="W2668" t="s">
        <v>38</v>
      </c>
      <c r="X2668" t="s">
        <v>38</v>
      </c>
      <c r="Y2668" t="s">
        <v>3965</v>
      </c>
      <c r="Z2668" t="s">
        <v>42</v>
      </c>
      <c r="AA2668" t="s">
        <v>3967</v>
      </c>
      <c r="AB2668" t="s">
        <v>38</v>
      </c>
      <c r="AC2668" t="s">
        <v>45</v>
      </c>
      <c r="AD2668" t="s">
        <v>48</v>
      </c>
      <c r="AG2668" t="str">
        <f>IF(AD2668="United States", IFERROR(INDEX(Sheet2!$C:$C, MATCH(AE2668&amp;AF2668, Sheet2!$E:$E, 0)) &amp; ", " &amp; INDEX(Sheet2!$D:$D, MATCH(AE2668&amp;AF2668, Sheet2!$E:$E, 0)), ""), "-")</f>
        <v/>
      </c>
    </row>
    <row r="2669" spans="1:33" x14ac:dyDescent="0.25">
      <c r="A2669" t="s">
        <v>3951</v>
      </c>
      <c r="B2669" t="s">
        <v>3968</v>
      </c>
      <c r="C2669" t="s">
        <v>3953</v>
      </c>
      <c r="D2669" t="s">
        <v>463</v>
      </c>
      <c r="E2669" t="s">
        <v>38</v>
      </c>
      <c r="F2669">
        <v>1751</v>
      </c>
      <c r="G2669">
        <v>173</v>
      </c>
      <c r="H2669" t="s">
        <v>38</v>
      </c>
      <c r="I2669" t="s">
        <v>39</v>
      </c>
      <c r="J2669" t="s">
        <v>2348</v>
      </c>
      <c r="K2669" t="s">
        <v>38</v>
      </c>
      <c r="L2669" t="s">
        <v>38</v>
      </c>
      <c r="M2669" t="s">
        <v>38</v>
      </c>
      <c r="N2669" t="s">
        <v>38</v>
      </c>
      <c r="O2669" t="s">
        <v>41</v>
      </c>
      <c r="P2669" t="s">
        <v>42</v>
      </c>
      <c r="Q2669" t="s">
        <v>43</v>
      </c>
      <c r="R2669" t="s">
        <v>38</v>
      </c>
      <c r="S2669" t="s">
        <v>38</v>
      </c>
      <c r="T2669" t="s">
        <v>38</v>
      </c>
      <c r="U2669" t="s">
        <v>38</v>
      </c>
      <c r="V2669" t="s">
        <v>137</v>
      </c>
      <c r="W2669" t="s">
        <v>38</v>
      </c>
      <c r="X2669" t="s">
        <v>38</v>
      </c>
      <c r="Y2669" t="s">
        <v>3959</v>
      </c>
      <c r="Z2669" t="s">
        <v>42</v>
      </c>
      <c r="AA2669" t="s">
        <v>3969</v>
      </c>
      <c r="AB2669" t="s">
        <v>672</v>
      </c>
      <c r="AC2669" t="s">
        <v>673</v>
      </c>
      <c r="AD2669" t="s">
        <v>672</v>
      </c>
      <c r="AG2669" t="str">
        <f>IF(AD2669="United States", IFERROR(INDEX(Sheet2!$C:$C, MATCH(AE2669&amp;AF2669, Sheet2!$E:$E, 0)) &amp; ", " &amp; INDEX(Sheet2!$D:$D, MATCH(AE2669&amp;AF2669, Sheet2!$E:$E, 0)), ""), "-")</f>
        <v>-</v>
      </c>
    </row>
    <row r="2670" spans="1:33" x14ac:dyDescent="0.25">
      <c r="A2670" t="s">
        <v>3951</v>
      </c>
      <c r="B2670" t="s">
        <v>3970</v>
      </c>
      <c r="C2670" t="s">
        <v>3953</v>
      </c>
      <c r="D2670" t="s">
        <v>621</v>
      </c>
      <c r="E2670" t="s">
        <v>3241</v>
      </c>
      <c r="F2670">
        <v>1734</v>
      </c>
      <c r="G2670">
        <v>176</v>
      </c>
      <c r="H2670" t="s">
        <v>38</v>
      </c>
      <c r="I2670" t="s">
        <v>39</v>
      </c>
      <c r="J2670" t="s">
        <v>2348</v>
      </c>
      <c r="K2670" t="s">
        <v>38</v>
      </c>
      <c r="L2670" t="s">
        <v>38</v>
      </c>
      <c r="M2670" t="s">
        <v>38</v>
      </c>
      <c r="N2670" t="s">
        <v>38</v>
      </c>
      <c r="O2670" t="s">
        <v>41</v>
      </c>
      <c r="P2670" t="s">
        <v>42</v>
      </c>
      <c r="Q2670" t="s">
        <v>43</v>
      </c>
      <c r="R2670" t="s">
        <v>169</v>
      </c>
      <c r="S2670" t="s">
        <v>45</v>
      </c>
      <c r="T2670" t="s">
        <v>38</v>
      </c>
      <c r="U2670" t="s">
        <v>38</v>
      </c>
      <c r="V2670" t="s">
        <v>137</v>
      </c>
      <c r="W2670" t="s">
        <v>38</v>
      </c>
      <c r="X2670" t="s">
        <v>38</v>
      </c>
      <c r="Y2670" t="s">
        <v>2305</v>
      </c>
      <c r="Z2670" t="s">
        <v>42</v>
      </c>
      <c r="AA2670" t="s">
        <v>169</v>
      </c>
      <c r="AB2670" t="s">
        <v>38</v>
      </c>
      <c r="AC2670" t="s">
        <v>45</v>
      </c>
      <c r="AD2670" t="s">
        <v>48</v>
      </c>
      <c r="AG2670" t="str">
        <f>IF(AD2670="United States", IFERROR(INDEX(Sheet2!$C:$C, MATCH(AE2670&amp;AF2670, Sheet2!$E:$E, 0)) &amp; ", " &amp; INDEX(Sheet2!$D:$D, MATCH(AE2670&amp;AF2670, Sheet2!$E:$E, 0)), ""), "-")</f>
        <v/>
      </c>
    </row>
    <row r="2671" spans="1:33" x14ac:dyDescent="0.25">
      <c r="A2671" t="s">
        <v>3951</v>
      </c>
      <c r="B2671" t="s">
        <v>3971</v>
      </c>
      <c r="C2671" t="s">
        <v>3953</v>
      </c>
      <c r="D2671" t="s">
        <v>210</v>
      </c>
      <c r="E2671" t="s">
        <v>3938</v>
      </c>
      <c r="F2671">
        <v>1740</v>
      </c>
      <c r="G2671">
        <v>175</v>
      </c>
      <c r="H2671" t="s">
        <v>38</v>
      </c>
      <c r="I2671" t="s">
        <v>39</v>
      </c>
      <c r="J2671" t="s">
        <v>2348</v>
      </c>
      <c r="K2671" t="s">
        <v>38</v>
      </c>
      <c r="L2671" t="s">
        <v>38</v>
      </c>
      <c r="M2671" t="s">
        <v>38</v>
      </c>
      <c r="N2671" t="s">
        <v>38</v>
      </c>
      <c r="O2671" t="s">
        <v>41</v>
      </c>
      <c r="P2671" t="s">
        <v>42</v>
      </c>
      <c r="Q2671" t="s">
        <v>43</v>
      </c>
      <c r="R2671" t="s">
        <v>38</v>
      </c>
      <c r="S2671" t="s">
        <v>38</v>
      </c>
      <c r="T2671" t="s">
        <v>38</v>
      </c>
      <c r="U2671" t="s">
        <v>38</v>
      </c>
      <c r="V2671" t="s">
        <v>137</v>
      </c>
      <c r="W2671" t="s">
        <v>38</v>
      </c>
      <c r="X2671" t="s">
        <v>38</v>
      </c>
      <c r="Y2671" t="s">
        <v>3956</v>
      </c>
      <c r="Z2671" t="s">
        <v>42</v>
      </c>
      <c r="AA2671" t="s">
        <v>3972</v>
      </c>
      <c r="AB2671" t="s">
        <v>38</v>
      </c>
      <c r="AC2671" t="s">
        <v>3973</v>
      </c>
      <c r="AD2671" t="s">
        <v>48</v>
      </c>
      <c r="AG2671" t="str">
        <f>IF(AD2671="United States", IFERROR(INDEX(Sheet2!$C:$C, MATCH(AE2671&amp;AF2671, Sheet2!$E:$E, 0)) &amp; ", " &amp; INDEX(Sheet2!$D:$D, MATCH(AE2671&amp;AF2671, Sheet2!$E:$E, 0)), ""), "-")</f>
        <v/>
      </c>
    </row>
    <row r="2672" spans="1:33" x14ac:dyDescent="0.25">
      <c r="A2672" t="s">
        <v>3951</v>
      </c>
      <c r="B2672" t="s">
        <v>3974</v>
      </c>
      <c r="C2672" t="s">
        <v>3953</v>
      </c>
      <c r="D2672" t="s">
        <v>226</v>
      </c>
      <c r="E2672" t="s">
        <v>275</v>
      </c>
      <c r="F2672">
        <v>1758</v>
      </c>
      <c r="G2672">
        <v>166</v>
      </c>
      <c r="H2672" t="s">
        <v>38</v>
      </c>
      <c r="I2672" t="s">
        <v>39</v>
      </c>
      <c r="J2672" t="s">
        <v>2348</v>
      </c>
      <c r="K2672" t="s">
        <v>38</v>
      </c>
      <c r="L2672" t="s">
        <v>38</v>
      </c>
      <c r="M2672" t="s">
        <v>38</v>
      </c>
      <c r="N2672" t="s">
        <v>38</v>
      </c>
      <c r="O2672" t="s">
        <v>41</v>
      </c>
      <c r="P2672" t="s">
        <v>42</v>
      </c>
      <c r="Q2672" t="s">
        <v>43</v>
      </c>
      <c r="R2672" t="s">
        <v>354</v>
      </c>
      <c r="S2672" t="s">
        <v>201</v>
      </c>
      <c r="T2672" t="s">
        <v>38</v>
      </c>
      <c r="U2672" t="s">
        <v>38</v>
      </c>
      <c r="V2672" t="s">
        <v>137</v>
      </c>
      <c r="W2672" t="s">
        <v>38</v>
      </c>
      <c r="X2672" t="s">
        <v>38</v>
      </c>
      <c r="Y2672" t="s">
        <v>3954</v>
      </c>
      <c r="Z2672" t="s">
        <v>42</v>
      </c>
      <c r="AA2672" t="s">
        <v>354</v>
      </c>
      <c r="AB2672" t="s">
        <v>38</v>
      </c>
      <c r="AC2672" t="s">
        <v>201</v>
      </c>
      <c r="AD2672" t="s">
        <v>48</v>
      </c>
      <c r="AG2672" t="str">
        <f>IF(AD2672="United States", IFERROR(INDEX(Sheet2!$C:$C, MATCH(AE2672&amp;AF2672, Sheet2!$E:$E, 0)) &amp; ", " &amp; INDEX(Sheet2!$D:$D, MATCH(AE2672&amp;AF2672, Sheet2!$E:$E, 0)), ""), "-")</f>
        <v/>
      </c>
    </row>
    <row r="2673" spans="1:33" x14ac:dyDescent="0.25">
      <c r="A2673" t="s">
        <v>3951</v>
      </c>
      <c r="B2673" t="s">
        <v>3975</v>
      </c>
      <c r="C2673" t="s">
        <v>3953</v>
      </c>
      <c r="D2673" t="s">
        <v>36</v>
      </c>
      <c r="E2673" t="s">
        <v>3925</v>
      </c>
      <c r="F2673">
        <v>1751</v>
      </c>
      <c r="G2673">
        <v>171</v>
      </c>
      <c r="H2673" t="s">
        <v>38</v>
      </c>
      <c r="I2673" t="s">
        <v>39</v>
      </c>
      <c r="J2673" t="s">
        <v>2348</v>
      </c>
      <c r="K2673" t="s">
        <v>38</v>
      </c>
      <c r="L2673" t="s">
        <v>38</v>
      </c>
      <c r="M2673" t="s">
        <v>38</v>
      </c>
      <c r="N2673" t="s">
        <v>38</v>
      </c>
      <c r="O2673" t="s">
        <v>41</v>
      </c>
      <c r="P2673" t="s">
        <v>42</v>
      </c>
      <c r="Q2673" t="s">
        <v>43</v>
      </c>
      <c r="R2673" t="s">
        <v>354</v>
      </c>
      <c r="S2673" t="s">
        <v>201</v>
      </c>
      <c r="T2673" t="s">
        <v>38</v>
      </c>
      <c r="U2673" t="s">
        <v>38</v>
      </c>
      <c r="V2673" t="s">
        <v>137</v>
      </c>
      <c r="W2673" t="s">
        <v>38</v>
      </c>
      <c r="X2673" t="s">
        <v>38</v>
      </c>
      <c r="Y2673" t="s">
        <v>3954</v>
      </c>
      <c r="Z2673" t="s">
        <v>42</v>
      </c>
      <c r="AA2673" t="s">
        <v>354</v>
      </c>
      <c r="AB2673" t="s">
        <v>38</v>
      </c>
      <c r="AC2673" t="s">
        <v>201</v>
      </c>
      <c r="AD2673" t="s">
        <v>48</v>
      </c>
      <c r="AG2673" t="str">
        <f>IF(AD2673="United States", IFERROR(INDEX(Sheet2!$C:$C, MATCH(AE2673&amp;AF2673, Sheet2!$E:$E, 0)) &amp; ", " &amp; INDEX(Sheet2!$D:$D, MATCH(AE2673&amp;AF2673, Sheet2!$E:$E, 0)), ""), "-")</f>
        <v/>
      </c>
    </row>
    <row r="2674" spans="1:33" x14ac:dyDescent="0.25">
      <c r="A2674" t="s">
        <v>3951</v>
      </c>
      <c r="B2674" t="s">
        <v>3976</v>
      </c>
      <c r="C2674" t="s">
        <v>3953</v>
      </c>
      <c r="D2674" t="s">
        <v>774</v>
      </c>
      <c r="E2674" t="s">
        <v>1690</v>
      </c>
      <c r="F2674">
        <v>1745</v>
      </c>
      <c r="G2674">
        <v>165</v>
      </c>
      <c r="H2674" t="s">
        <v>38</v>
      </c>
      <c r="I2674" t="s">
        <v>39</v>
      </c>
      <c r="J2674" t="s">
        <v>2348</v>
      </c>
      <c r="K2674" t="s">
        <v>38</v>
      </c>
      <c r="L2674" t="s">
        <v>38</v>
      </c>
      <c r="M2674" t="s">
        <v>38</v>
      </c>
      <c r="N2674" t="s">
        <v>38</v>
      </c>
      <c r="O2674" t="s">
        <v>41</v>
      </c>
      <c r="P2674" t="s">
        <v>42</v>
      </c>
      <c r="Q2674" t="s">
        <v>43</v>
      </c>
      <c r="R2674" t="s">
        <v>169</v>
      </c>
      <c r="S2674" t="s">
        <v>45</v>
      </c>
      <c r="T2674" t="s">
        <v>38</v>
      </c>
      <c r="U2674" t="s">
        <v>38</v>
      </c>
      <c r="V2674" t="s">
        <v>137</v>
      </c>
      <c r="W2674" t="s">
        <v>38</v>
      </c>
      <c r="X2674" t="s">
        <v>38</v>
      </c>
      <c r="Y2674" t="s">
        <v>3956</v>
      </c>
      <c r="Z2674" t="s">
        <v>42</v>
      </c>
      <c r="AA2674" t="s">
        <v>169</v>
      </c>
      <c r="AB2674" t="s">
        <v>38</v>
      </c>
      <c r="AC2674" t="s">
        <v>45</v>
      </c>
      <c r="AD2674" t="s">
        <v>48</v>
      </c>
      <c r="AG2674" t="str">
        <f>IF(AD2674="United States", IFERROR(INDEX(Sheet2!$C:$C, MATCH(AE2674&amp;AF2674, Sheet2!$E:$E, 0)) &amp; ", " &amp; INDEX(Sheet2!$D:$D, MATCH(AE2674&amp;AF2674, Sheet2!$E:$E, 0)), ""), "-")</f>
        <v/>
      </c>
    </row>
    <row r="2675" spans="1:33" x14ac:dyDescent="0.25">
      <c r="A2675" t="s">
        <v>3951</v>
      </c>
      <c r="B2675" t="s">
        <v>3977</v>
      </c>
      <c r="C2675" t="s">
        <v>3953</v>
      </c>
      <c r="D2675" t="s">
        <v>334</v>
      </c>
      <c r="E2675" t="s">
        <v>3978</v>
      </c>
      <c r="F2675">
        <v>1759</v>
      </c>
      <c r="G2675">
        <v>154</v>
      </c>
      <c r="H2675" t="s">
        <v>38</v>
      </c>
      <c r="I2675" t="s">
        <v>39</v>
      </c>
      <c r="J2675" t="s">
        <v>2348</v>
      </c>
      <c r="K2675" t="s">
        <v>38</v>
      </c>
      <c r="L2675" t="s">
        <v>38</v>
      </c>
      <c r="M2675" t="s">
        <v>38</v>
      </c>
      <c r="N2675" t="s">
        <v>38</v>
      </c>
      <c r="O2675" t="s">
        <v>41</v>
      </c>
      <c r="P2675" t="s">
        <v>42</v>
      </c>
      <c r="Q2675" t="s">
        <v>43</v>
      </c>
      <c r="R2675" t="s">
        <v>38</v>
      </c>
      <c r="S2675" t="s">
        <v>38</v>
      </c>
      <c r="T2675" t="s">
        <v>38</v>
      </c>
      <c r="U2675" t="s">
        <v>38</v>
      </c>
      <c r="V2675" t="s">
        <v>137</v>
      </c>
      <c r="W2675" t="s">
        <v>38</v>
      </c>
      <c r="X2675" t="s">
        <v>38</v>
      </c>
      <c r="Y2675" t="s">
        <v>3956</v>
      </c>
      <c r="Z2675" t="s">
        <v>42</v>
      </c>
      <c r="AA2675" t="s">
        <v>155</v>
      </c>
      <c r="AB2675" t="s">
        <v>38</v>
      </c>
      <c r="AC2675" t="s">
        <v>155</v>
      </c>
      <c r="AD2675" t="s">
        <v>48</v>
      </c>
      <c r="AG2675" t="str">
        <f>IF(AD2675="United States", IFERROR(INDEX(Sheet2!$C:$C, MATCH(AE2675&amp;AF2675, Sheet2!$E:$E, 0)) &amp; ", " &amp; INDEX(Sheet2!$D:$D, MATCH(AE2675&amp;AF2675, Sheet2!$E:$E, 0)), ""), "-")</f>
        <v/>
      </c>
    </row>
    <row r="2676" spans="1:33" x14ac:dyDescent="0.25">
      <c r="A2676" t="s">
        <v>3951</v>
      </c>
      <c r="B2676" t="s">
        <v>3979</v>
      </c>
      <c r="C2676" t="s">
        <v>3953</v>
      </c>
      <c r="D2676" t="s">
        <v>3937</v>
      </c>
      <c r="E2676" t="s">
        <v>1342</v>
      </c>
      <c r="F2676">
        <v>1758</v>
      </c>
      <c r="G2676">
        <v>163</v>
      </c>
      <c r="H2676" t="s">
        <v>38</v>
      </c>
      <c r="I2676" t="s">
        <v>39</v>
      </c>
      <c r="J2676" t="s">
        <v>2348</v>
      </c>
      <c r="K2676" t="s">
        <v>38</v>
      </c>
      <c r="L2676" t="s">
        <v>38</v>
      </c>
      <c r="M2676" t="s">
        <v>38</v>
      </c>
      <c r="N2676" t="s">
        <v>38</v>
      </c>
      <c r="O2676" t="s">
        <v>41</v>
      </c>
      <c r="P2676" t="s">
        <v>42</v>
      </c>
      <c r="Q2676" t="s">
        <v>43</v>
      </c>
      <c r="R2676" t="s">
        <v>3980</v>
      </c>
      <c r="S2676" t="s">
        <v>201</v>
      </c>
      <c r="T2676" t="s">
        <v>38</v>
      </c>
      <c r="U2676" t="s">
        <v>38</v>
      </c>
      <c r="V2676" t="s">
        <v>137</v>
      </c>
      <c r="W2676" t="s">
        <v>38</v>
      </c>
      <c r="X2676" t="s">
        <v>38</v>
      </c>
      <c r="Y2676" t="s">
        <v>3954</v>
      </c>
      <c r="Z2676" t="s">
        <v>42</v>
      </c>
      <c r="AA2676" t="s">
        <v>354</v>
      </c>
      <c r="AB2676" t="s">
        <v>38</v>
      </c>
      <c r="AC2676" t="s">
        <v>201</v>
      </c>
      <c r="AD2676" t="s">
        <v>48</v>
      </c>
      <c r="AG2676" t="str">
        <f>IF(AD2676="United States", IFERROR(INDEX(Sheet2!$C:$C, MATCH(AE2676&amp;AF2676, Sheet2!$E:$E, 0)) &amp; ", " &amp; INDEX(Sheet2!$D:$D, MATCH(AE2676&amp;AF2676, Sheet2!$E:$E, 0)), ""), "-")</f>
        <v/>
      </c>
    </row>
    <row r="2677" spans="1:33" x14ac:dyDescent="0.25">
      <c r="A2677" t="s">
        <v>3951</v>
      </c>
      <c r="B2677" t="s">
        <v>3981</v>
      </c>
      <c r="C2677" t="s">
        <v>3953</v>
      </c>
      <c r="D2677" t="s">
        <v>190</v>
      </c>
      <c r="E2677" t="s">
        <v>1175</v>
      </c>
      <c r="F2677">
        <v>1758</v>
      </c>
      <c r="G2677">
        <v>162</v>
      </c>
      <c r="H2677" t="s">
        <v>38</v>
      </c>
      <c r="I2677" t="s">
        <v>39</v>
      </c>
      <c r="J2677" t="s">
        <v>2348</v>
      </c>
      <c r="K2677" t="s">
        <v>38</v>
      </c>
      <c r="L2677" t="s">
        <v>38</v>
      </c>
      <c r="M2677" t="s">
        <v>38</v>
      </c>
      <c r="N2677" t="s">
        <v>38</v>
      </c>
      <c r="O2677" t="s">
        <v>57</v>
      </c>
      <c r="P2677" t="s">
        <v>123</v>
      </c>
      <c r="Q2677" t="s">
        <v>124</v>
      </c>
      <c r="R2677" t="s">
        <v>38</v>
      </c>
      <c r="S2677" t="s">
        <v>38</v>
      </c>
      <c r="T2677" t="s">
        <v>38</v>
      </c>
      <c r="U2677" t="s">
        <v>38</v>
      </c>
      <c r="V2677" t="s">
        <v>137</v>
      </c>
      <c r="W2677" t="s">
        <v>38</v>
      </c>
      <c r="X2677" t="s">
        <v>38</v>
      </c>
      <c r="Y2677" t="s">
        <v>3963</v>
      </c>
      <c r="Z2677" t="s">
        <v>125</v>
      </c>
      <c r="AA2677" t="s">
        <v>3982</v>
      </c>
      <c r="AB2677" t="s">
        <v>38</v>
      </c>
      <c r="AC2677" t="s">
        <v>70</v>
      </c>
      <c r="AD2677" t="s">
        <v>48</v>
      </c>
      <c r="AG2677" t="str">
        <f>IF(AD2677="United States", IFERROR(INDEX(Sheet2!$C:$C, MATCH(AE2677&amp;AF2677, Sheet2!$E:$E, 0)) &amp; ", " &amp; INDEX(Sheet2!$D:$D, MATCH(AE2677&amp;AF2677, Sheet2!$E:$E, 0)), ""), "-")</f>
        <v/>
      </c>
    </row>
    <row r="2678" spans="1:33" x14ac:dyDescent="0.25">
      <c r="A2678" t="s">
        <v>3951</v>
      </c>
      <c r="B2678" t="s">
        <v>3983</v>
      </c>
      <c r="C2678" t="s">
        <v>3953</v>
      </c>
      <c r="D2678" t="s">
        <v>3984</v>
      </c>
      <c r="E2678" t="s">
        <v>1175</v>
      </c>
      <c r="F2678">
        <v>1758</v>
      </c>
      <c r="G2678">
        <v>161</v>
      </c>
      <c r="H2678" t="s">
        <v>38</v>
      </c>
      <c r="I2678" t="s">
        <v>39</v>
      </c>
      <c r="J2678" t="s">
        <v>2348</v>
      </c>
      <c r="K2678" t="s">
        <v>38</v>
      </c>
      <c r="L2678" t="s">
        <v>38</v>
      </c>
      <c r="M2678" t="s">
        <v>38</v>
      </c>
      <c r="N2678" t="s">
        <v>38</v>
      </c>
      <c r="O2678" t="s">
        <v>41</v>
      </c>
      <c r="P2678" t="s">
        <v>42</v>
      </c>
      <c r="Q2678" t="s">
        <v>43</v>
      </c>
      <c r="R2678" t="s">
        <v>38</v>
      </c>
      <c r="S2678" t="s">
        <v>38</v>
      </c>
      <c r="T2678" t="s">
        <v>38</v>
      </c>
      <c r="U2678" t="s">
        <v>38</v>
      </c>
      <c r="V2678" t="s">
        <v>137</v>
      </c>
      <c r="W2678" t="s">
        <v>38</v>
      </c>
      <c r="X2678" t="s">
        <v>38</v>
      </c>
      <c r="Y2678" t="s">
        <v>3963</v>
      </c>
      <c r="Z2678" t="s">
        <v>42</v>
      </c>
      <c r="AA2678" t="s">
        <v>3985</v>
      </c>
      <c r="AB2678" t="s">
        <v>38</v>
      </c>
      <c r="AC2678" t="s">
        <v>70</v>
      </c>
      <c r="AD2678" t="s">
        <v>48</v>
      </c>
      <c r="AG2678" t="str">
        <f>IF(AD2678="United States", IFERROR(INDEX(Sheet2!$C:$C, MATCH(AE2678&amp;AF2678, Sheet2!$E:$E, 0)) &amp; ", " &amp; INDEX(Sheet2!$D:$D, MATCH(AE2678&amp;AF2678, Sheet2!$E:$E, 0)), ""), "-")</f>
        <v/>
      </c>
    </row>
    <row r="2679" spans="1:33" x14ac:dyDescent="0.25">
      <c r="A2679" t="s">
        <v>3951</v>
      </c>
      <c r="B2679" t="s">
        <v>3986</v>
      </c>
      <c r="C2679" t="s">
        <v>3953</v>
      </c>
      <c r="D2679" t="s">
        <v>357</v>
      </c>
      <c r="E2679" t="s">
        <v>3930</v>
      </c>
      <c r="F2679">
        <v>1753</v>
      </c>
      <c r="G2679">
        <v>160</v>
      </c>
      <c r="H2679" t="s">
        <v>38</v>
      </c>
      <c r="I2679" t="s">
        <v>39</v>
      </c>
      <c r="J2679" t="s">
        <v>2348</v>
      </c>
      <c r="K2679" t="s">
        <v>38</v>
      </c>
      <c r="L2679" t="s">
        <v>38</v>
      </c>
      <c r="M2679" t="s">
        <v>38</v>
      </c>
      <c r="N2679" t="s">
        <v>38</v>
      </c>
      <c r="O2679" t="s">
        <v>41</v>
      </c>
      <c r="P2679" t="s">
        <v>42</v>
      </c>
      <c r="Q2679" t="s">
        <v>43</v>
      </c>
      <c r="R2679" t="s">
        <v>38</v>
      </c>
      <c r="S2679" t="s">
        <v>38</v>
      </c>
      <c r="T2679" t="s">
        <v>38</v>
      </c>
      <c r="U2679" t="s">
        <v>38</v>
      </c>
      <c r="V2679" t="s">
        <v>137</v>
      </c>
      <c r="W2679" t="s">
        <v>38</v>
      </c>
      <c r="X2679" t="s">
        <v>38</v>
      </c>
      <c r="Y2679" t="s">
        <v>3987</v>
      </c>
      <c r="Z2679" t="s">
        <v>42</v>
      </c>
      <c r="AA2679" t="s">
        <v>38</v>
      </c>
      <c r="AB2679" t="s">
        <v>38</v>
      </c>
      <c r="AC2679" t="s">
        <v>166</v>
      </c>
      <c r="AD2679" t="s">
        <v>48</v>
      </c>
      <c r="AG2679" t="str">
        <f>IF(AD2679="United States", IFERROR(INDEX(Sheet2!$C:$C, MATCH(AE2679&amp;AF2679, Sheet2!$E:$E, 0)) &amp; ", " &amp; INDEX(Sheet2!$D:$D, MATCH(AE2679&amp;AF2679, Sheet2!$E:$E, 0)), ""), "-")</f>
        <v/>
      </c>
    </row>
    <row r="2680" spans="1:33" x14ac:dyDescent="0.25">
      <c r="A2680" t="s">
        <v>3951</v>
      </c>
      <c r="B2680" t="s">
        <v>3988</v>
      </c>
      <c r="C2680" t="s">
        <v>3953</v>
      </c>
      <c r="D2680" t="s">
        <v>3931</v>
      </c>
      <c r="E2680" t="s">
        <v>986</v>
      </c>
      <c r="F2680">
        <v>1743</v>
      </c>
      <c r="G2680">
        <v>159</v>
      </c>
      <c r="H2680" t="s">
        <v>38</v>
      </c>
      <c r="I2680" t="s">
        <v>39</v>
      </c>
      <c r="J2680" t="s">
        <v>2348</v>
      </c>
      <c r="K2680" t="s">
        <v>38</v>
      </c>
      <c r="L2680" t="s">
        <v>38</v>
      </c>
      <c r="M2680" t="s">
        <v>38</v>
      </c>
      <c r="N2680" t="s">
        <v>38</v>
      </c>
      <c r="O2680" t="s">
        <v>41</v>
      </c>
      <c r="P2680" t="s">
        <v>42</v>
      </c>
      <c r="Q2680" t="s">
        <v>43</v>
      </c>
      <c r="R2680" t="s">
        <v>3989</v>
      </c>
      <c r="S2680" t="s">
        <v>201</v>
      </c>
      <c r="T2680" t="s">
        <v>38</v>
      </c>
      <c r="U2680" t="s">
        <v>38</v>
      </c>
      <c r="V2680" t="s">
        <v>137</v>
      </c>
      <c r="W2680" t="s">
        <v>38</v>
      </c>
      <c r="X2680" t="s">
        <v>38</v>
      </c>
      <c r="Y2680" t="s">
        <v>3987</v>
      </c>
      <c r="Z2680" t="s">
        <v>42</v>
      </c>
      <c r="AA2680" t="s">
        <v>3371</v>
      </c>
      <c r="AB2680" t="s">
        <v>38</v>
      </c>
      <c r="AC2680" t="s">
        <v>201</v>
      </c>
      <c r="AD2680" t="s">
        <v>48</v>
      </c>
      <c r="AG2680" t="str">
        <f>IF(AD2680="United States", IFERROR(INDEX(Sheet2!$C:$C, MATCH(AE2680&amp;AF2680, Sheet2!$E:$E, 0)) &amp; ", " &amp; INDEX(Sheet2!$D:$D, MATCH(AE2680&amp;AF2680, Sheet2!$E:$E, 0)), ""), "-")</f>
        <v/>
      </c>
    </row>
    <row r="2681" spans="1:33" x14ac:dyDescent="0.25">
      <c r="A2681" t="s">
        <v>3951</v>
      </c>
      <c r="B2681" t="s">
        <v>3990</v>
      </c>
      <c r="C2681" t="s">
        <v>3953</v>
      </c>
      <c r="D2681" t="s">
        <v>230</v>
      </c>
      <c r="E2681" t="s">
        <v>1310</v>
      </c>
      <c r="F2681">
        <v>1747</v>
      </c>
      <c r="G2681">
        <v>158</v>
      </c>
      <c r="H2681" t="s">
        <v>38</v>
      </c>
      <c r="I2681" t="s">
        <v>39</v>
      </c>
      <c r="J2681" t="s">
        <v>2348</v>
      </c>
      <c r="K2681" t="s">
        <v>38</v>
      </c>
      <c r="L2681" t="s">
        <v>38</v>
      </c>
      <c r="M2681" t="s">
        <v>38</v>
      </c>
      <c r="N2681" t="s">
        <v>38</v>
      </c>
      <c r="O2681" t="s">
        <v>41</v>
      </c>
      <c r="P2681" t="s">
        <v>42</v>
      </c>
      <c r="Q2681" t="s">
        <v>43</v>
      </c>
      <c r="R2681" t="s">
        <v>38</v>
      </c>
      <c r="S2681" t="s">
        <v>89</v>
      </c>
      <c r="T2681" t="s">
        <v>38</v>
      </c>
      <c r="U2681" t="s">
        <v>38</v>
      </c>
      <c r="V2681" t="s">
        <v>137</v>
      </c>
      <c r="W2681" t="s">
        <v>38</v>
      </c>
      <c r="X2681" t="s">
        <v>38</v>
      </c>
      <c r="Y2681" t="s">
        <v>3959</v>
      </c>
      <c r="Z2681" t="s">
        <v>42</v>
      </c>
      <c r="AA2681" t="s">
        <v>593</v>
      </c>
      <c r="AB2681" t="s">
        <v>89</v>
      </c>
      <c r="AC2681" t="s">
        <v>3991</v>
      </c>
      <c r="AD2681" t="s">
        <v>48</v>
      </c>
      <c r="AG2681" t="str">
        <f>IF(AD2681="United States", IFERROR(INDEX(Sheet2!$C:$C, MATCH(AE2681&amp;AF2681, Sheet2!$E:$E, 0)) &amp; ", " &amp; INDEX(Sheet2!$D:$D, MATCH(AE2681&amp;AF2681, Sheet2!$E:$E, 0)), ""), "-")</f>
        <v/>
      </c>
    </row>
    <row r="2682" spans="1:33" x14ac:dyDescent="0.25">
      <c r="A2682" t="s">
        <v>3951</v>
      </c>
      <c r="B2682" t="s">
        <v>3992</v>
      </c>
      <c r="C2682" t="s">
        <v>3953</v>
      </c>
      <c r="D2682" t="s">
        <v>3932</v>
      </c>
      <c r="E2682" t="s">
        <v>279</v>
      </c>
      <c r="F2682">
        <v>1757</v>
      </c>
      <c r="G2682">
        <v>157</v>
      </c>
      <c r="H2682" t="s">
        <v>38</v>
      </c>
      <c r="I2682" t="s">
        <v>39</v>
      </c>
      <c r="J2682" t="s">
        <v>2348</v>
      </c>
      <c r="K2682" t="s">
        <v>38</v>
      </c>
      <c r="L2682" t="s">
        <v>38</v>
      </c>
      <c r="M2682" t="s">
        <v>38</v>
      </c>
      <c r="N2682" t="s">
        <v>38</v>
      </c>
      <c r="O2682" t="s">
        <v>41</v>
      </c>
      <c r="P2682" t="s">
        <v>42</v>
      </c>
      <c r="Q2682" t="s">
        <v>43</v>
      </c>
      <c r="R2682" t="s">
        <v>38</v>
      </c>
      <c r="S2682" t="s">
        <v>38</v>
      </c>
      <c r="T2682" t="s">
        <v>38</v>
      </c>
      <c r="U2682" t="s">
        <v>38</v>
      </c>
      <c r="V2682" t="s">
        <v>137</v>
      </c>
      <c r="W2682" t="s">
        <v>38</v>
      </c>
      <c r="X2682" t="s">
        <v>38</v>
      </c>
      <c r="Y2682" t="s">
        <v>3993</v>
      </c>
      <c r="Z2682" t="s">
        <v>42</v>
      </c>
      <c r="AA2682" t="s">
        <v>38</v>
      </c>
      <c r="AB2682" t="s">
        <v>38</v>
      </c>
      <c r="AC2682" t="s">
        <v>38</v>
      </c>
      <c r="AD2682" t="s">
        <v>48</v>
      </c>
      <c r="AG2682" t="str">
        <f>IF(AD2682="United States", IFERROR(INDEX(Sheet2!$C:$C, MATCH(AE2682&amp;AF2682, Sheet2!$E:$E, 0)) &amp; ", " &amp; INDEX(Sheet2!$D:$D, MATCH(AE2682&amp;AF2682, Sheet2!$E:$E, 0)), ""), "-")</f>
        <v/>
      </c>
    </row>
    <row r="2683" spans="1:33" x14ac:dyDescent="0.25">
      <c r="A2683" t="s">
        <v>3951</v>
      </c>
      <c r="B2683" t="s">
        <v>3994</v>
      </c>
      <c r="C2683" t="s">
        <v>3953</v>
      </c>
      <c r="D2683" t="s">
        <v>101</v>
      </c>
      <c r="E2683" t="s">
        <v>3933</v>
      </c>
      <c r="F2683">
        <v>1753</v>
      </c>
      <c r="G2683">
        <v>156</v>
      </c>
      <c r="H2683" t="s">
        <v>38</v>
      </c>
      <c r="I2683" t="s">
        <v>39</v>
      </c>
      <c r="J2683" t="s">
        <v>2348</v>
      </c>
      <c r="K2683" t="s">
        <v>38</v>
      </c>
      <c r="L2683" t="s">
        <v>38</v>
      </c>
      <c r="M2683" t="s">
        <v>38</v>
      </c>
      <c r="N2683" t="s">
        <v>38</v>
      </c>
      <c r="O2683" t="s">
        <v>41</v>
      </c>
      <c r="P2683" t="s">
        <v>42</v>
      </c>
      <c r="Q2683" t="s">
        <v>43</v>
      </c>
      <c r="R2683" t="s">
        <v>38</v>
      </c>
      <c r="S2683" t="s">
        <v>38</v>
      </c>
      <c r="T2683" t="s">
        <v>38</v>
      </c>
      <c r="U2683" t="s">
        <v>38</v>
      </c>
      <c r="V2683" t="s">
        <v>137</v>
      </c>
      <c r="W2683" t="s">
        <v>38</v>
      </c>
      <c r="X2683" t="s">
        <v>38</v>
      </c>
      <c r="Y2683" t="s">
        <v>3993</v>
      </c>
      <c r="Z2683" t="s">
        <v>42</v>
      </c>
      <c r="AA2683" t="s">
        <v>38</v>
      </c>
      <c r="AB2683" t="s">
        <v>38</v>
      </c>
      <c r="AC2683" t="s">
        <v>38</v>
      </c>
      <c r="AD2683" t="s">
        <v>48</v>
      </c>
      <c r="AG2683" t="str">
        <f>IF(AD2683="United States", IFERROR(INDEX(Sheet2!$C:$C, MATCH(AE2683&amp;AF2683, Sheet2!$E:$E, 0)) &amp; ", " &amp; INDEX(Sheet2!$D:$D, MATCH(AE2683&amp;AF2683, Sheet2!$E:$E, 0)), ""), "-")</f>
        <v/>
      </c>
    </row>
    <row r="2684" spans="1:33" x14ac:dyDescent="0.25">
      <c r="A2684" t="s">
        <v>3951</v>
      </c>
      <c r="B2684" t="s">
        <v>3995</v>
      </c>
      <c r="C2684" t="s">
        <v>3953</v>
      </c>
      <c r="D2684" t="s">
        <v>200</v>
      </c>
      <c r="E2684" t="s">
        <v>1145</v>
      </c>
      <c r="F2684">
        <v>1760</v>
      </c>
      <c r="G2684">
        <v>155</v>
      </c>
      <c r="H2684" t="s">
        <v>38</v>
      </c>
      <c r="I2684" t="s">
        <v>39</v>
      </c>
      <c r="J2684" t="s">
        <v>2348</v>
      </c>
      <c r="K2684" t="s">
        <v>38</v>
      </c>
      <c r="L2684" t="s">
        <v>38</v>
      </c>
      <c r="M2684" t="s">
        <v>38</v>
      </c>
      <c r="N2684" t="s">
        <v>38</v>
      </c>
      <c r="O2684" t="s">
        <v>41</v>
      </c>
      <c r="P2684" t="s">
        <v>42</v>
      </c>
      <c r="Q2684" t="s">
        <v>43</v>
      </c>
      <c r="R2684" t="s">
        <v>3996</v>
      </c>
      <c r="S2684" t="s">
        <v>45</v>
      </c>
      <c r="T2684" t="s">
        <v>38</v>
      </c>
      <c r="U2684" t="s">
        <v>38</v>
      </c>
      <c r="V2684" t="s">
        <v>137</v>
      </c>
      <c r="W2684" t="s">
        <v>38</v>
      </c>
      <c r="X2684" t="s">
        <v>38</v>
      </c>
      <c r="Y2684" t="s">
        <v>3965</v>
      </c>
      <c r="Z2684" t="s">
        <v>42</v>
      </c>
      <c r="AA2684" t="s">
        <v>3997</v>
      </c>
      <c r="AB2684" t="s">
        <v>45</v>
      </c>
      <c r="AC2684" t="s">
        <v>89</v>
      </c>
      <c r="AD2684" t="s">
        <v>48</v>
      </c>
      <c r="AG2684" t="str">
        <f>IF(AD2684="United States", IFERROR(INDEX(Sheet2!$C:$C, MATCH(AE2684&amp;AF2684, Sheet2!$E:$E, 0)) &amp; ", " &amp; INDEX(Sheet2!$D:$D, MATCH(AE2684&amp;AF2684, Sheet2!$E:$E, 0)), ""), "-")</f>
        <v/>
      </c>
    </row>
    <row r="2685" spans="1:33" x14ac:dyDescent="0.25">
      <c r="A2685" t="s">
        <v>3951</v>
      </c>
      <c r="B2685" t="s">
        <v>3998</v>
      </c>
      <c r="C2685" t="s">
        <v>3953</v>
      </c>
      <c r="D2685" t="s">
        <v>36</v>
      </c>
      <c r="E2685" t="s">
        <v>3935</v>
      </c>
      <c r="F2685">
        <v>1756</v>
      </c>
      <c r="G2685">
        <v>153</v>
      </c>
      <c r="H2685" t="s">
        <v>38</v>
      </c>
      <c r="I2685" t="s">
        <v>39</v>
      </c>
      <c r="J2685" t="s">
        <v>2348</v>
      </c>
      <c r="K2685" t="s">
        <v>38</v>
      </c>
      <c r="L2685" t="s">
        <v>38</v>
      </c>
      <c r="M2685" t="s">
        <v>38</v>
      </c>
      <c r="N2685" t="s">
        <v>38</v>
      </c>
      <c r="O2685" t="s">
        <v>41</v>
      </c>
      <c r="P2685" t="s">
        <v>42</v>
      </c>
      <c r="Q2685" t="s">
        <v>43</v>
      </c>
      <c r="R2685" t="s">
        <v>38</v>
      </c>
      <c r="S2685" t="s">
        <v>38</v>
      </c>
      <c r="T2685" t="s">
        <v>38</v>
      </c>
      <c r="U2685" t="s">
        <v>38</v>
      </c>
      <c r="V2685" t="s">
        <v>137</v>
      </c>
      <c r="W2685" t="s">
        <v>38</v>
      </c>
      <c r="X2685" t="s">
        <v>38</v>
      </c>
      <c r="Y2685" t="s">
        <v>3993</v>
      </c>
      <c r="Z2685" t="s">
        <v>42</v>
      </c>
      <c r="AA2685" t="s">
        <v>38</v>
      </c>
      <c r="AB2685" t="s">
        <v>38</v>
      </c>
      <c r="AC2685" t="s">
        <v>562</v>
      </c>
      <c r="AD2685" t="s">
        <v>48</v>
      </c>
      <c r="AG2685" t="str">
        <f>IF(AD2685="United States", IFERROR(INDEX(Sheet2!$C:$C, MATCH(AE2685&amp;AF2685, Sheet2!$E:$E, 0)) &amp; ", " &amp; INDEX(Sheet2!$D:$D, MATCH(AE2685&amp;AF2685, Sheet2!$E:$E, 0)), ""), "-")</f>
        <v/>
      </c>
    </row>
    <row r="2686" spans="1:33" x14ac:dyDescent="0.25">
      <c r="A2686" t="s">
        <v>3951</v>
      </c>
      <c r="B2686" t="s">
        <v>3999</v>
      </c>
      <c r="C2686" t="s">
        <v>3953</v>
      </c>
      <c r="D2686" t="s">
        <v>113</v>
      </c>
      <c r="E2686" t="s">
        <v>3923</v>
      </c>
      <c r="F2686">
        <v>1749</v>
      </c>
      <c r="G2686">
        <v>152</v>
      </c>
      <c r="H2686" t="s">
        <v>38</v>
      </c>
      <c r="I2686" t="s">
        <v>39</v>
      </c>
      <c r="J2686" t="s">
        <v>2348</v>
      </c>
      <c r="K2686" t="s">
        <v>38</v>
      </c>
      <c r="L2686" t="s">
        <v>38</v>
      </c>
      <c r="M2686" t="s">
        <v>38</v>
      </c>
      <c r="N2686" t="s">
        <v>38</v>
      </c>
      <c r="O2686" t="s">
        <v>41</v>
      </c>
      <c r="P2686" t="s">
        <v>42</v>
      </c>
      <c r="Q2686" t="s">
        <v>43</v>
      </c>
      <c r="R2686" t="s">
        <v>38</v>
      </c>
      <c r="S2686" t="s">
        <v>89</v>
      </c>
      <c r="T2686" t="s">
        <v>38</v>
      </c>
      <c r="U2686" t="s">
        <v>38</v>
      </c>
      <c r="V2686" t="s">
        <v>137</v>
      </c>
      <c r="W2686" t="s">
        <v>38</v>
      </c>
      <c r="X2686" t="s">
        <v>38</v>
      </c>
      <c r="Y2686" t="s">
        <v>3959</v>
      </c>
      <c r="Z2686" t="s">
        <v>42</v>
      </c>
      <c r="AA2686" t="s">
        <v>672</v>
      </c>
      <c r="AB2686" t="s">
        <v>673</v>
      </c>
      <c r="AC2686" t="s">
        <v>89</v>
      </c>
      <c r="AD2686" t="s">
        <v>672</v>
      </c>
      <c r="AG2686" t="str">
        <f>IF(AD2686="United States", IFERROR(INDEX(Sheet2!$C:$C, MATCH(AE2686&amp;AF2686, Sheet2!$E:$E, 0)) &amp; ", " &amp; INDEX(Sheet2!$D:$D, MATCH(AE2686&amp;AF2686, Sheet2!$E:$E, 0)), ""), "-")</f>
        <v>-</v>
      </c>
    </row>
    <row r="2687" spans="1:33" x14ac:dyDescent="0.25">
      <c r="A2687" t="s">
        <v>3951</v>
      </c>
      <c r="B2687" t="s">
        <v>4000</v>
      </c>
      <c r="C2687" t="s">
        <v>3953</v>
      </c>
      <c r="D2687" t="s">
        <v>132</v>
      </c>
      <c r="E2687" t="s">
        <v>3949</v>
      </c>
      <c r="F2687">
        <v>1745</v>
      </c>
      <c r="G2687">
        <v>177</v>
      </c>
      <c r="H2687" t="s">
        <v>38</v>
      </c>
      <c r="I2687" t="s">
        <v>39</v>
      </c>
      <c r="J2687" t="s">
        <v>2348</v>
      </c>
      <c r="K2687" t="s">
        <v>38</v>
      </c>
      <c r="L2687" t="s">
        <v>38</v>
      </c>
      <c r="M2687" t="s">
        <v>38</v>
      </c>
      <c r="N2687" t="s">
        <v>38</v>
      </c>
      <c r="O2687" t="s">
        <v>41</v>
      </c>
      <c r="P2687" t="s">
        <v>42</v>
      </c>
      <c r="Q2687" t="s">
        <v>43</v>
      </c>
      <c r="R2687" t="s">
        <v>4001</v>
      </c>
      <c r="S2687" t="s">
        <v>201</v>
      </c>
      <c r="T2687" t="s">
        <v>38</v>
      </c>
      <c r="U2687" t="s">
        <v>38</v>
      </c>
      <c r="V2687" t="s">
        <v>137</v>
      </c>
      <c r="W2687" t="s">
        <v>38</v>
      </c>
      <c r="X2687" t="s">
        <v>38</v>
      </c>
      <c r="Y2687" t="s">
        <v>3954</v>
      </c>
      <c r="Z2687" t="s">
        <v>42</v>
      </c>
      <c r="AA2687" t="s">
        <v>4002</v>
      </c>
      <c r="AB2687" t="s">
        <v>38</v>
      </c>
      <c r="AC2687" t="s">
        <v>201</v>
      </c>
      <c r="AD2687" t="s">
        <v>48</v>
      </c>
      <c r="AG2687" t="str">
        <f>IF(AD2687="United States", IFERROR(INDEX(Sheet2!$C:$C, MATCH(AE2687&amp;AF2687, Sheet2!$E:$E, 0)) &amp; ", " &amp; INDEX(Sheet2!$D:$D, MATCH(AE2687&amp;AF2687, Sheet2!$E:$E, 0)), ""), "-")</f>
        <v/>
      </c>
    </row>
    <row r="2688" spans="1:33" x14ac:dyDescent="0.25">
      <c r="A2688" t="s">
        <v>3951</v>
      </c>
      <c r="B2688" t="s">
        <v>4003</v>
      </c>
      <c r="C2688" t="s">
        <v>3953</v>
      </c>
      <c r="D2688" t="s">
        <v>226</v>
      </c>
      <c r="E2688" t="s">
        <v>142</v>
      </c>
      <c r="F2688">
        <v>1754</v>
      </c>
      <c r="G2688">
        <v>164</v>
      </c>
      <c r="H2688" t="s">
        <v>38</v>
      </c>
      <c r="I2688" t="s">
        <v>39</v>
      </c>
      <c r="J2688" t="s">
        <v>2348</v>
      </c>
      <c r="K2688" t="s">
        <v>38</v>
      </c>
      <c r="L2688" t="s">
        <v>38</v>
      </c>
      <c r="M2688" t="s">
        <v>38</v>
      </c>
      <c r="N2688" t="s">
        <v>38</v>
      </c>
      <c r="O2688" t="s">
        <v>41</v>
      </c>
      <c r="P2688" t="s">
        <v>42</v>
      </c>
      <c r="Q2688" t="s">
        <v>43</v>
      </c>
      <c r="R2688" t="s">
        <v>4004</v>
      </c>
      <c r="S2688" t="s">
        <v>201</v>
      </c>
      <c r="T2688" t="s">
        <v>38</v>
      </c>
      <c r="U2688" t="s">
        <v>38</v>
      </c>
      <c r="V2688" t="s">
        <v>137</v>
      </c>
      <c r="W2688" t="s">
        <v>38</v>
      </c>
      <c r="X2688" t="s">
        <v>38</v>
      </c>
      <c r="Y2688" t="s">
        <v>38</v>
      </c>
      <c r="Z2688" t="s">
        <v>42</v>
      </c>
      <c r="AA2688" t="s">
        <v>38</v>
      </c>
      <c r="AB2688" t="s">
        <v>38</v>
      </c>
      <c r="AC2688" t="s">
        <v>201</v>
      </c>
      <c r="AD2688" t="s">
        <v>48</v>
      </c>
      <c r="AG2688" t="str">
        <f>IF(AD2688="United States", IFERROR(INDEX(Sheet2!$C:$C, MATCH(AE2688&amp;AF2688, Sheet2!$E:$E, 0)) &amp; ", " &amp; INDEX(Sheet2!$D:$D, MATCH(AE2688&amp;AF2688, Sheet2!$E:$E, 0)), ""), "-")</f>
        <v/>
      </c>
    </row>
    <row r="2689" spans="1:33" x14ac:dyDescent="0.25">
      <c r="A2689" t="s">
        <v>3951</v>
      </c>
      <c r="B2689" t="s">
        <v>4005</v>
      </c>
      <c r="C2689" t="s">
        <v>3953</v>
      </c>
      <c r="D2689" t="s">
        <v>63</v>
      </c>
      <c r="E2689" t="s">
        <v>3950</v>
      </c>
      <c r="F2689">
        <v>1745</v>
      </c>
      <c r="G2689">
        <v>178</v>
      </c>
      <c r="H2689" t="s">
        <v>38</v>
      </c>
      <c r="I2689" t="s">
        <v>39</v>
      </c>
      <c r="J2689" t="s">
        <v>2348</v>
      </c>
      <c r="K2689" t="s">
        <v>38</v>
      </c>
      <c r="L2689" t="s">
        <v>38</v>
      </c>
      <c r="M2689" t="s">
        <v>38</v>
      </c>
      <c r="N2689" t="s">
        <v>38</v>
      </c>
      <c r="O2689" t="s">
        <v>41</v>
      </c>
      <c r="P2689" t="s">
        <v>42</v>
      </c>
      <c r="Q2689" t="s">
        <v>43</v>
      </c>
      <c r="R2689" t="s">
        <v>38</v>
      </c>
      <c r="S2689" t="s">
        <v>38</v>
      </c>
      <c r="T2689" t="s">
        <v>38</v>
      </c>
      <c r="U2689" t="s">
        <v>38</v>
      </c>
      <c r="V2689" t="s">
        <v>137</v>
      </c>
      <c r="W2689" t="s">
        <v>38</v>
      </c>
      <c r="X2689" t="s">
        <v>38</v>
      </c>
      <c r="Y2689" t="s">
        <v>4006</v>
      </c>
      <c r="Z2689" t="s">
        <v>42</v>
      </c>
      <c r="AA2689" t="s">
        <v>38</v>
      </c>
      <c r="AB2689" t="s">
        <v>38</v>
      </c>
      <c r="AC2689" t="s">
        <v>2504</v>
      </c>
      <c r="AD2689" t="s">
        <v>48</v>
      </c>
      <c r="AG2689" t="str">
        <f>IF(AD2689="United States", IFERROR(INDEX(Sheet2!$C:$C, MATCH(AE2689&amp;AF2689, Sheet2!$E:$E, 0)) &amp; ", " &amp; INDEX(Sheet2!$D:$D, MATCH(AE2689&amp;AF2689, Sheet2!$E:$E, 0)), ""), "-")</f>
        <v/>
      </c>
    </row>
    <row r="2690" spans="1:33" x14ac:dyDescent="0.25">
      <c r="A2690" t="s">
        <v>3951</v>
      </c>
      <c r="B2690" t="s">
        <v>4007</v>
      </c>
      <c r="C2690" t="s">
        <v>3953</v>
      </c>
      <c r="D2690" t="s">
        <v>222</v>
      </c>
      <c r="E2690" t="s">
        <v>3978</v>
      </c>
      <c r="F2690">
        <v>1759</v>
      </c>
      <c r="G2690">
        <v>188</v>
      </c>
      <c r="H2690" t="s">
        <v>38</v>
      </c>
      <c r="I2690" t="s">
        <v>39</v>
      </c>
      <c r="J2690" t="s">
        <v>2348</v>
      </c>
      <c r="K2690" t="s">
        <v>38</v>
      </c>
      <c r="L2690" t="s">
        <v>38</v>
      </c>
      <c r="M2690" t="s">
        <v>38</v>
      </c>
      <c r="N2690" t="s">
        <v>38</v>
      </c>
      <c r="O2690" t="s">
        <v>57</v>
      </c>
      <c r="P2690" t="s">
        <v>125</v>
      </c>
      <c r="Q2690" t="s">
        <v>124</v>
      </c>
      <c r="R2690" t="s">
        <v>4008</v>
      </c>
      <c r="S2690" t="s">
        <v>153</v>
      </c>
      <c r="T2690" t="s">
        <v>38</v>
      </c>
      <c r="U2690" t="s">
        <v>38</v>
      </c>
      <c r="V2690" t="s">
        <v>137</v>
      </c>
      <c r="W2690" t="s">
        <v>38</v>
      </c>
      <c r="X2690" t="s">
        <v>38</v>
      </c>
      <c r="Y2690" t="s">
        <v>3956</v>
      </c>
      <c r="Z2690" t="s">
        <v>125</v>
      </c>
      <c r="AA2690" t="s">
        <v>38</v>
      </c>
      <c r="AB2690" t="s">
        <v>38</v>
      </c>
      <c r="AC2690" t="s">
        <v>153</v>
      </c>
      <c r="AD2690" t="s">
        <v>48</v>
      </c>
      <c r="AG2690" t="str">
        <f>IF(AD2690="United States", IFERROR(INDEX(Sheet2!$C:$C, MATCH(AE2690&amp;AF2690, Sheet2!$E:$E, 0)) &amp; ", " &amp; INDEX(Sheet2!$D:$D, MATCH(AE2690&amp;AF2690, Sheet2!$E:$E, 0)), ""), "-")</f>
        <v/>
      </c>
    </row>
    <row r="2691" spans="1:33" x14ac:dyDescent="0.25">
      <c r="A2691" t="s">
        <v>3951</v>
      </c>
      <c r="B2691" t="s">
        <v>4009</v>
      </c>
      <c r="C2691" t="s">
        <v>3953</v>
      </c>
      <c r="D2691" t="s">
        <v>1116</v>
      </c>
      <c r="E2691" t="s">
        <v>3948</v>
      </c>
      <c r="F2691">
        <v>1765</v>
      </c>
      <c r="G2691">
        <v>179</v>
      </c>
      <c r="H2691" t="s">
        <v>38</v>
      </c>
      <c r="I2691" t="s">
        <v>39</v>
      </c>
      <c r="J2691" t="s">
        <v>2348</v>
      </c>
      <c r="K2691" t="s">
        <v>38</v>
      </c>
      <c r="L2691" t="s">
        <v>38</v>
      </c>
      <c r="M2691" t="s">
        <v>38</v>
      </c>
      <c r="N2691" t="s">
        <v>38</v>
      </c>
      <c r="O2691" t="s">
        <v>57</v>
      </c>
      <c r="P2691" t="s">
        <v>42</v>
      </c>
      <c r="Q2691" t="s">
        <v>43</v>
      </c>
      <c r="R2691" t="s">
        <v>38</v>
      </c>
      <c r="S2691" t="s">
        <v>38</v>
      </c>
      <c r="T2691" t="s">
        <v>38</v>
      </c>
      <c r="U2691" t="s">
        <v>38</v>
      </c>
      <c r="V2691" t="s">
        <v>137</v>
      </c>
      <c r="W2691" t="s">
        <v>38</v>
      </c>
      <c r="X2691" t="s">
        <v>38</v>
      </c>
      <c r="Y2691" t="s">
        <v>4010</v>
      </c>
      <c r="Z2691" t="s">
        <v>42</v>
      </c>
      <c r="AA2691" t="s">
        <v>38</v>
      </c>
      <c r="AB2691" t="s">
        <v>38</v>
      </c>
      <c r="AC2691" t="s">
        <v>38</v>
      </c>
      <c r="AD2691" t="s">
        <v>48</v>
      </c>
      <c r="AG2691" t="str">
        <f>IF(AD2691="United States", IFERROR(INDEX(Sheet2!$C:$C, MATCH(AE2691&amp;AF2691, Sheet2!$E:$E, 0)) &amp; ", " &amp; INDEX(Sheet2!$D:$D, MATCH(AE2691&amp;AF2691, Sheet2!$E:$E, 0)), ""), "-")</f>
        <v/>
      </c>
    </row>
    <row r="2692" spans="1:33" x14ac:dyDescent="0.25">
      <c r="A2692" t="s">
        <v>3951</v>
      </c>
      <c r="B2692" t="s">
        <v>4011</v>
      </c>
      <c r="C2692" t="s">
        <v>3953</v>
      </c>
      <c r="D2692" t="s">
        <v>357</v>
      </c>
      <c r="E2692" t="s">
        <v>2429</v>
      </c>
      <c r="F2692">
        <v>1767</v>
      </c>
      <c r="G2692">
        <v>2688</v>
      </c>
      <c r="I2692" t="s">
        <v>39</v>
      </c>
      <c r="J2692" t="s">
        <v>2348</v>
      </c>
      <c r="O2692" t="s">
        <v>54</v>
      </c>
      <c r="P2692" t="s">
        <v>42</v>
      </c>
      <c r="Q2692" t="s">
        <v>43</v>
      </c>
      <c r="V2692" t="s">
        <v>137</v>
      </c>
      <c r="Y2692" t="s">
        <v>38</v>
      </c>
      <c r="Z2692" t="s">
        <v>42</v>
      </c>
      <c r="AA2692" t="s">
        <v>4012</v>
      </c>
      <c r="AB2692" t="s">
        <v>38</v>
      </c>
      <c r="AC2692" t="s">
        <v>292</v>
      </c>
      <c r="AD2692" t="s">
        <v>48</v>
      </c>
      <c r="AG2692" t="str">
        <f>IF(AD2692="United States", IFERROR(INDEX(Sheet2!$C:$C, MATCH(AE2692&amp;AF2692, Sheet2!$E:$E, 0)) &amp; ", " &amp; INDEX(Sheet2!$D:$D, MATCH(AE2692&amp;AF2692, Sheet2!$E:$E, 0)), ""), "-")</f>
        <v/>
      </c>
    </row>
    <row r="2693" spans="1:33" x14ac:dyDescent="0.25">
      <c r="A2693" t="s">
        <v>3951</v>
      </c>
      <c r="B2693" t="s">
        <v>4013</v>
      </c>
      <c r="C2693" t="s">
        <v>3953</v>
      </c>
      <c r="D2693" t="s">
        <v>245</v>
      </c>
      <c r="E2693" t="s">
        <v>1690</v>
      </c>
      <c r="F2693">
        <v>1759</v>
      </c>
      <c r="G2693">
        <v>204</v>
      </c>
      <c r="H2693" t="s">
        <v>38</v>
      </c>
      <c r="I2693" t="s">
        <v>39</v>
      </c>
      <c r="J2693" t="s">
        <v>2348</v>
      </c>
      <c r="K2693" t="s">
        <v>38</v>
      </c>
      <c r="L2693" t="s">
        <v>38</v>
      </c>
      <c r="M2693" t="s">
        <v>38</v>
      </c>
      <c r="N2693" t="s">
        <v>38</v>
      </c>
      <c r="O2693" t="s">
        <v>41</v>
      </c>
      <c r="P2693" t="s">
        <v>42</v>
      </c>
      <c r="Q2693" t="s">
        <v>43</v>
      </c>
      <c r="R2693" t="s">
        <v>4014</v>
      </c>
      <c r="S2693" t="s">
        <v>45</v>
      </c>
      <c r="T2693" t="s">
        <v>38</v>
      </c>
      <c r="U2693" t="s">
        <v>38</v>
      </c>
      <c r="V2693" t="s">
        <v>137</v>
      </c>
      <c r="W2693" t="s">
        <v>38</v>
      </c>
      <c r="X2693" t="s">
        <v>38</v>
      </c>
      <c r="Y2693" t="s">
        <v>3956</v>
      </c>
      <c r="Z2693" t="s">
        <v>42</v>
      </c>
      <c r="AA2693" t="s">
        <v>1887</v>
      </c>
      <c r="AB2693" t="s">
        <v>38</v>
      </c>
      <c r="AC2693" t="s">
        <v>45</v>
      </c>
      <c r="AD2693" t="s">
        <v>48</v>
      </c>
      <c r="AG2693" t="str">
        <f>IF(AD2693="United States", IFERROR(INDEX(Sheet2!$C:$C, MATCH(AE2693&amp;AF2693, Sheet2!$E:$E, 0)) &amp; ", " &amp; INDEX(Sheet2!$D:$D, MATCH(AE2693&amp;AF2693, Sheet2!$E:$E, 0)), ""), "-")</f>
        <v/>
      </c>
    </row>
    <row r="2694" spans="1:33" x14ac:dyDescent="0.25">
      <c r="A2694" t="s">
        <v>3951</v>
      </c>
      <c r="B2694" t="s">
        <v>4015</v>
      </c>
      <c r="C2694" t="s">
        <v>3953</v>
      </c>
      <c r="D2694" t="s">
        <v>245</v>
      </c>
      <c r="E2694" t="s">
        <v>38</v>
      </c>
      <c r="F2694">
        <v>1758</v>
      </c>
      <c r="G2694">
        <v>203</v>
      </c>
      <c r="H2694" t="s">
        <v>38</v>
      </c>
      <c r="I2694" t="s">
        <v>39</v>
      </c>
      <c r="J2694" t="s">
        <v>2348</v>
      </c>
      <c r="K2694" t="s">
        <v>38</v>
      </c>
      <c r="L2694" t="s">
        <v>38</v>
      </c>
      <c r="M2694" t="s">
        <v>38</v>
      </c>
      <c r="N2694" t="s">
        <v>38</v>
      </c>
      <c r="O2694" t="s">
        <v>57</v>
      </c>
      <c r="P2694" t="s">
        <v>42</v>
      </c>
      <c r="Q2694" t="s">
        <v>43</v>
      </c>
      <c r="R2694" t="s">
        <v>155</v>
      </c>
      <c r="S2694" t="s">
        <v>153</v>
      </c>
      <c r="T2694" t="s">
        <v>38</v>
      </c>
      <c r="U2694" t="s">
        <v>38</v>
      </c>
      <c r="V2694" t="s">
        <v>137</v>
      </c>
      <c r="W2694" t="s">
        <v>38</v>
      </c>
      <c r="X2694" t="s">
        <v>38</v>
      </c>
      <c r="Y2694" t="s">
        <v>4016</v>
      </c>
      <c r="Z2694" t="s">
        <v>42</v>
      </c>
      <c r="AA2694" t="s">
        <v>155</v>
      </c>
      <c r="AB2694" t="s">
        <v>38</v>
      </c>
      <c r="AC2694" t="s">
        <v>153</v>
      </c>
      <c r="AD2694" t="s">
        <v>48</v>
      </c>
      <c r="AG2694" t="str">
        <f>IF(AD2694="United States", IFERROR(INDEX(Sheet2!$C:$C, MATCH(AE2694&amp;AF2694, Sheet2!$E:$E, 0)) &amp; ", " &amp; INDEX(Sheet2!$D:$D, MATCH(AE2694&amp;AF2694, Sheet2!$E:$E, 0)), ""), "-")</f>
        <v/>
      </c>
    </row>
    <row r="2695" spans="1:33" x14ac:dyDescent="0.25">
      <c r="A2695" t="s">
        <v>3951</v>
      </c>
      <c r="B2695" t="s">
        <v>4017</v>
      </c>
      <c r="C2695" t="s">
        <v>3953</v>
      </c>
      <c r="D2695" t="s">
        <v>1195</v>
      </c>
      <c r="E2695" t="s">
        <v>38</v>
      </c>
      <c r="F2695">
        <v>1771</v>
      </c>
      <c r="G2695">
        <v>202</v>
      </c>
      <c r="H2695" t="s">
        <v>38</v>
      </c>
      <c r="I2695" t="s">
        <v>39</v>
      </c>
      <c r="J2695" t="s">
        <v>2348</v>
      </c>
      <c r="K2695" t="s">
        <v>38</v>
      </c>
      <c r="L2695" t="s">
        <v>38</v>
      </c>
      <c r="M2695" t="s">
        <v>38</v>
      </c>
      <c r="N2695" t="s">
        <v>38</v>
      </c>
      <c r="O2695" t="s">
        <v>74</v>
      </c>
      <c r="P2695" t="s">
        <v>42</v>
      </c>
      <c r="Q2695" t="s">
        <v>43</v>
      </c>
      <c r="R2695" t="s">
        <v>1485</v>
      </c>
      <c r="S2695" t="s">
        <v>45</v>
      </c>
      <c r="T2695" t="s">
        <v>38</v>
      </c>
      <c r="U2695" t="s">
        <v>38</v>
      </c>
      <c r="V2695" t="s">
        <v>137</v>
      </c>
      <c r="W2695" t="s">
        <v>38</v>
      </c>
      <c r="X2695" t="s">
        <v>38</v>
      </c>
      <c r="Y2695" t="s">
        <v>2305</v>
      </c>
      <c r="Z2695" t="s">
        <v>42</v>
      </c>
      <c r="AA2695" t="s">
        <v>1485</v>
      </c>
      <c r="AB2695" t="s">
        <v>38</v>
      </c>
      <c r="AC2695" t="s">
        <v>45</v>
      </c>
      <c r="AD2695" t="s">
        <v>48</v>
      </c>
      <c r="AG2695" t="str">
        <f>IF(AD2695="United States", IFERROR(INDEX(Sheet2!$C:$C, MATCH(AE2695&amp;AF2695, Sheet2!$E:$E, 0)) &amp; ", " &amp; INDEX(Sheet2!$D:$D, MATCH(AE2695&amp;AF2695, Sheet2!$E:$E, 0)), ""), "-")</f>
        <v/>
      </c>
    </row>
    <row r="2696" spans="1:33" x14ac:dyDescent="0.25">
      <c r="A2696" t="s">
        <v>3951</v>
      </c>
      <c r="B2696" t="s">
        <v>4018</v>
      </c>
      <c r="C2696" t="s">
        <v>3953</v>
      </c>
      <c r="D2696" t="s">
        <v>980</v>
      </c>
      <c r="E2696" t="s">
        <v>38</v>
      </c>
      <c r="F2696">
        <v>1749</v>
      </c>
      <c r="G2696">
        <v>201</v>
      </c>
      <c r="H2696" t="s">
        <v>38</v>
      </c>
      <c r="I2696" t="s">
        <v>39</v>
      </c>
      <c r="J2696" t="s">
        <v>2348</v>
      </c>
      <c r="K2696" t="s">
        <v>38</v>
      </c>
      <c r="L2696" t="s">
        <v>38</v>
      </c>
      <c r="M2696" t="s">
        <v>38</v>
      </c>
      <c r="N2696" t="s">
        <v>38</v>
      </c>
      <c r="O2696" t="s">
        <v>57</v>
      </c>
      <c r="P2696" t="s">
        <v>42</v>
      </c>
      <c r="Q2696" t="s">
        <v>43</v>
      </c>
      <c r="R2696" t="s">
        <v>1485</v>
      </c>
      <c r="S2696" t="s">
        <v>45</v>
      </c>
      <c r="T2696" t="s">
        <v>38</v>
      </c>
      <c r="U2696" t="s">
        <v>38</v>
      </c>
      <c r="V2696" t="s">
        <v>137</v>
      </c>
      <c r="W2696" t="s">
        <v>38</v>
      </c>
      <c r="X2696" t="s">
        <v>38</v>
      </c>
      <c r="Y2696" t="s">
        <v>2305</v>
      </c>
      <c r="Z2696" t="s">
        <v>42</v>
      </c>
      <c r="AA2696" t="s">
        <v>1485</v>
      </c>
      <c r="AB2696" t="s">
        <v>38</v>
      </c>
      <c r="AC2696" t="s">
        <v>45</v>
      </c>
      <c r="AD2696" t="s">
        <v>48</v>
      </c>
      <c r="AG2696" t="str">
        <f>IF(AD2696="United States", IFERROR(INDEX(Sheet2!$C:$C, MATCH(AE2696&amp;AF2696, Sheet2!$E:$E, 0)) &amp; ", " &amp; INDEX(Sheet2!$D:$D, MATCH(AE2696&amp;AF2696, Sheet2!$E:$E, 0)), ""), "-")</f>
        <v/>
      </c>
    </row>
    <row r="2697" spans="1:33" x14ac:dyDescent="0.25">
      <c r="A2697" t="s">
        <v>3951</v>
      </c>
      <c r="B2697" t="s">
        <v>4019</v>
      </c>
      <c r="C2697" t="s">
        <v>3953</v>
      </c>
      <c r="D2697" t="s">
        <v>245</v>
      </c>
      <c r="E2697" t="s">
        <v>38</v>
      </c>
      <c r="F2697">
        <v>1763</v>
      </c>
      <c r="G2697">
        <v>200</v>
      </c>
      <c r="H2697" t="s">
        <v>38</v>
      </c>
      <c r="I2697" t="s">
        <v>39</v>
      </c>
      <c r="J2697" t="s">
        <v>2348</v>
      </c>
      <c r="K2697" t="s">
        <v>38</v>
      </c>
      <c r="L2697" t="s">
        <v>38</v>
      </c>
      <c r="M2697" t="s">
        <v>38</v>
      </c>
      <c r="N2697" t="s">
        <v>38</v>
      </c>
      <c r="O2697" t="s">
        <v>57</v>
      </c>
      <c r="P2697" t="s">
        <v>42</v>
      </c>
      <c r="Q2697" t="s">
        <v>43</v>
      </c>
      <c r="R2697" t="s">
        <v>4020</v>
      </c>
      <c r="S2697" t="s">
        <v>165</v>
      </c>
      <c r="T2697" t="s">
        <v>38</v>
      </c>
      <c r="U2697" t="s">
        <v>38</v>
      </c>
      <c r="V2697" t="s">
        <v>137</v>
      </c>
      <c r="W2697" t="s">
        <v>38</v>
      </c>
      <c r="X2697" t="s">
        <v>38</v>
      </c>
      <c r="Y2697" t="s">
        <v>4021</v>
      </c>
      <c r="Z2697" t="s">
        <v>42</v>
      </c>
      <c r="AA2697" t="s">
        <v>38</v>
      </c>
      <c r="AB2697" t="s">
        <v>38</v>
      </c>
      <c r="AC2697" t="s">
        <v>165</v>
      </c>
      <c r="AD2697" t="s">
        <v>48</v>
      </c>
      <c r="AG2697" t="str">
        <f>IF(AD2697="United States", IFERROR(INDEX(Sheet2!$C:$C, MATCH(AE2697&amp;AF2697, Sheet2!$E:$E, 0)) &amp; ", " &amp; INDEX(Sheet2!$D:$D, MATCH(AE2697&amp;AF2697, Sheet2!$E:$E, 0)), ""), "-")</f>
        <v/>
      </c>
    </row>
    <row r="2698" spans="1:33" x14ac:dyDescent="0.25">
      <c r="A2698" t="s">
        <v>3951</v>
      </c>
      <c r="B2698" t="s">
        <v>4022</v>
      </c>
      <c r="C2698" t="s">
        <v>3953</v>
      </c>
      <c r="D2698" t="s">
        <v>1354</v>
      </c>
      <c r="E2698" t="s">
        <v>38</v>
      </c>
      <c r="F2698">
        <v>1766</v>
      </c>
      <c r="G2698">
        <v>199</v>
      </c>
      <c r="H2698" t="s">
        <v>38</v>
      </c>
      <c r="I2698" t="s">
        <v>39</v>
      </c>
      <c r="J2698" t="s">
        <v>2348</v>
      </c>
      <c r="K2698" t="s">
        <v>38</v>
      </c>
      <c r="L2698" t="s">
        <v>38</v>
      </c>
      <c r="M2698" t="s">
        <v>38</v>
      </c>
      <c r="N2698" t="s">
        <v>38</v>
      </c>
      <c r="O2698" t="s">
        <v>74</v>
      </c>
      <c r="P2698" t="s">
        <v>42</v>
      </c>
      <c r="Q2698" t="s">
        <v>43</v>
      </c>
      <c r="R2698" t="s">
        <v>38</v>
      </c>
      <c r="S2698" t="s">
        <v>38</v>
      </c>
      <c r="T2698" t="s">
        <v>38</v>
      </c>
      <c r="U2698" t="s">
        <v>38</v>
      </c>
      <c r="V2698" t="s">
        <v>137</v>
      </c>
      <c r="W2698" t="s">
        <v>38</v>
      </c>
      <c r="X2698" t="s">
        <v>38</v>
      </c>
      <c r="Y2698" t="s">
        <v>38</v>
      </c>
      <c r="Z2698" t="s">
        <v>42</v>
      </c>
      <c r="AA2698" t="s">
        <v>1354</v>
      </c>
      <c r="AB2698" t="s">
        <v>38</v>
      </c>
      <c r="AC2698" t="s">
        <v>1303</v>
      </c>
      <c r="AD2698" t="s">
        <v>48</v>
      </c>
      <c r="AG2698" t="str">
        <f>IF(AD2698="United States", IFERROR(INDEX(Sheet2!$C:$C, MATCH(AE2698&amp;AF2698, Sheet2!$E:$E, 0)) &amp; ", " &amp; INDEX(Sheet2!$D:$D, MATCH(AE2698&amp;AF2698, Sheet2!$E:$E, 0)), ""), "-")</f>
        <v/>
      </c>
    </row>
    <row r="2699" spans="1:33" x14ac:dyDescent="0.25">
      <c r="A2699" t="s">
        <v>3951</v>
      </c>
      <c r="B2699" t="s">
        <v>4023</v>
      </c>
      <c r="C2699" t="s">
        <v>3953</v>
      </c>
      <c r="D2699" t="s">
        <v>357</v>
      </c>
      <c r="E2699" t="s">
        <v>3924</v>
      </c>
      <c r="F2699">
        <v>1751</v>
      </c>
      <c r="G2699">
        <v>197</v>
      </c>
      <c r="H2699" t="s">
        <v>38</v>
      </c>
      <c r="I2699" t="s">
        <v>39</v>
      </c>
      <c r="J2699" t="s">
        <v>2348</v>
      </c>
      <c r="K2699" t="s">
        <v>38</v>
      </c>
      <c r="L2699" t="s">
        <v>38</v>
      </c>
      <c r="M2699" t="s">
        <v>38</v>
      </c>
      <c r="N2699" t="s">
        <v>38</v>
      </c>
      <c r="O2699" t="s">
        <v>41</v>
      </c>
      <c r="P2699" t="s">
        <v>42</v>
      </c>
      <c r="Q2699" t="s">
        <v>43</v>
      </c>
      <c r="R2699" t="s">
        <v>4024</v>
      </c>
      <c r="S2699" t="s">
        <v>45</v>
      </c>
      <c r="T2699" t="s">
        <v>38</v>
      </c>
      <c r="U2699" t="s">
        <v>38</v>
      </c>
      <c r="V2699" t="s">
        <v>137</v>
      </c>
      <c r="W2699" t="s">
        <v>38</v>
      </c>
      <c r="X2699" t="s">
        <v>38</v>
      </c>
      <c r="Y2699" t="s">
        <v>4025</v>
      </c>
      <c r="Z2699" t="s">
        <v>42</v>
      </c>
      <c r="AA2699" t="s">
        <v>4024</v>
      </c>
      <c r="AB2699" t="s">
        <v>38</v>
      </c>
      <c r="AC2699" t="s">
        <v>45</v>
      </c>
      <c r="AD2699" t="s">
        <v>48</v>
      </c>
      <c r="AG2699" t="str">
        <f>IF(AD2699="United States", IFERROR(INDEX(Sheet2!$C:$C, MATCH(AE2699&amp;AF2699, Sheet2!$E:$E, 0)) &amp; ", " &amp; INDEX(Sheet2!$D:$D, MATCH(AE2699&amp;AF2699, Sheet2!$E:$E, 0)), ""), "-")</f>
        <v/>
      </c>
    </row>
    <row r="2700" spans="1:33" x14ac:dyDescent="0.25">
      <c r="A2700" t="s">
        <v>3951</v>
      </c>
      <c r="B2700" t="s">
        <v>4026</v>
      </c>
      <c r="C2700" t="s">
        <v>3953</v>
      </c>
      <c r="D2700" t="s">
        <v>3802</v>
      </c>
      <c r="E2700" t="s">
        <v>38</v>
      </c>
      <c r="F2700">
        <v>1779</v>
      </c>
      <c r="G2700">
        <v>196</v>
      </c>
      <c r="H2700" t="s">
        <v>38</v>
      </c>
      <c r="I2700" t="s">
        <v>39</v>
      </c>
      <c r="J2700" t="s">
        <v>2348</v>
      </c>
      <c r="K2700" t="s">
        <v>38</v>
      </c>
      <c r="L2700" t="s">
        <v>38</v>
      </c>
      <c r="M2700" t="s">
        <v>38</v>
      </c>
      <c r="N2700" t="s">
        <v>38</v>
      </c>
      <c r="O2700" t="s">
        <v>54</v>
      </c>
      <c r="P2700" t="s">
        <v>125</v>
      </c>
      <c r="Q2700" t="s">
        <v>124</v>
      </c>
      <c r="R2700" t="s">
        <v>38</v>
      </c>
      <c r="S2700" t="s">
        <v>38</v>
      </c>
      <c r="T2700" t="s">
        <v>38</v>
      </c>
      <c r="U2700" t="s">
        <v>38</v>
      </c>
      <c r="V2700" t="s">
        <v>137</v>
      </c>
      <c r="W2700" t="s">
        <v>38</v>
      </c>
      <c r="X2700" t="s">
        <v>38</v>
      </c>
      <c r="Y2700" t="s">
        <v>4027</v>
      </c>
      <c r="Z2700" t="s">
        <v>125</v>
      </c>
      <c r="AA2700" t="s">
        <v>38</v>
      </c>
      <c r="AB2700" t="s">
        <v>38</v>
      </c>
      <c r="AC2700" t="s">
        <v>38</v>
      </c>
      <c r="AD2700" t="s">
        <v>48</v>
      </c>
      <c r="AG2700" t="str">
        <f>IF(AD2700="United States", IFERROR(INDEX(Sheet2!$C:$C, MATCH(AE2700&amp;AF2700, Sheet2!$E:$E, 0)) &amp; ", " &amp; INDEX(Sheet2!$D:$D, MATCH(AE2700&amp;AF2700, Sheet2!$E:$E, 0)), ""), "-")</f>
        <v/>
      </c>
    </row>
    <row r="2701" spans="1:33" x14ac:dyDescent="0.25">
      <c r="A2701" t="s">
        <v>3951</v>
      </c>
      <c r="B2701" t="s">
        <v>4028</v>
      </c>
      <c r="C2701" t="s">
        <v>3953</v>
      </c>
      <c r="D2701" t="s">
        <v>195</v>
      </c>
      <c r="E2701" t="s">
        <v>807</v>
      </c>
      <c r="F2701">
        <v>1763</v>
      </c>
      <c r="G2701">
        <v>195</v>
      </c>
      <c r="H2701" t="s">
        <v>38</v>
      </c>
      <c r="I2701" t="s">
        <v>39</v>
      </c>
      <c r="J2701" t="s">
        <v>2348</v>
      </c>
      <c r="K2701" t="s">
        <v>38</v>
      </c>
      <c r="L2701" t="s">
        <v>38</v>
      </c>
      <c r="M2701" t="s">
        <v>38</v>
      </c>
      <c r="N2701" t="s">
        <v>38</v>
      </c>
      <c r="O2701" t="s">
        <v>41</v>
      </c>
      <c r="P2701" t="s">
        <v>125</v>
      </c>
      <c r="Q2701" t="s">
        <v>124</v>
      </c>
      <c r="R2701" t="s">
        <v>354</v>
      </c>
      <c r="S2701" t="s">
        <v>201</v>
      </c>
      <c r="T2701" t="s">
        <v>38</v>
      </c>
      <c r="U2701" t="s">
        <v>38</v>
      </c>
      <c r="V2701" t="s">
        <v>137</v>
      </c>
      <c r="W2701" t="s">
        <v>38</v>
      </c>
      <c r="X2701" t="s">
        <v>38</v>
      </c>
      <c r="Y2701" t="s">
        <v>4029</v>
      </c>
      <c r="Z2701" t="s">
        <v>125</v>
      </c>
      <c r="AA2701" t="s">
        <v>354</v>
      </c>
      <c r="AB2701" t="s">
        <v>38</v>
      </c>
      <c r="AC2701" t="s">
        <v>201</v>
      </c>
      <c r="AD2701" t="s">
        <v>48</v>
      </c>
      <c r="AG2701" t="str">
        <f>IF(AD2701="United States", IFERROR(INDEX(Sheet2!$C:$C, MATCH(AE2701&amp;AF2701, Sheet2!$E:$E, 0)) &amp; ", " &amp; INDEX(Sheet2!$D:$D, MATCH(AE2701&amp;AF2701, Sheet2!$E:$E, 0)), ""), "-")</f>
        <v/>
      </c>
    </row>
    <row r="2702" spans="1:33" x14ac:dyDescent="0.25">
      <c r="A2702" t="s">
        <v>3951</v>
      </c>
      <c r="B2702" t="s">
        <v>4030</v>
      </c>
      <c r="C2702" t="s">
        <v>3953</v>
      </c>
      <c r="D2702" t="s">
        <v>210</v>
      </c>
      <c r="E2702" t="s">
        <v>1159</v>
      </c>
      <c r="F2702">
        <v>1780</v>
      </c>
      <c r="G2702">
        <v>194</v>
      </c>
      <c r="H2702" t="s">
        <v>38</v>
      </c>
      <c r="I2702" t="s">
        <v>39</v>
      </c>
      <c r="J2702" t="s">
        <v>2348</v>
      </c>
      <c r="K2702" t="s">
        <v>38</v>
      </c>
      <c r="L2702" t="s">
        <v>38</v>
      </c>
      <c r="M2702" t="s">
        <v>38</v>
      </c>
      <c r="N2702" t="s">
        <v>38</v>
      </c>
      <c r="O2702" t="s">
        <v>54</v>
      </c>
      <c r="P2702" t="s">
        <v>42</v>
      </c>
      <c r="Q2702" t="s">
        <v>43</v>
      </c>
      <c r="R2702" t="s">
        <v>38</v>
      </c>
      <c r="S2702" t="s">
        <v>38</v>
      </c>
      <c r="T2702" t="s">
        <v>38</v>
      </c>
      <c r="U2702" t="s">
        <v>38</v>
      </c>
      <c r="V2702" t="s">
        <v>137</v>
      </c>
      <c r="W2702" t="s">
        <v>38</v>
      </c>
      <c r="X2702" t="s">
        <v>38</v>
      </c>
      <c r="Y2702" t="s">
        <v>38</v>
      </c>
      <c r="Z2702" t="s">
        <v>42</v>
      </c>
      <c r="AA2702" t="s">
        <v>38</v>
      </c>
      <c r="AB2702" t="s">
        <v>38</v>
      </c>
      <c r="AC2702" t="s">
        <v>38</v>
      </c>
      <c r="AD2702" t="s">
        <v>48</v>
      </c>
      <c r="AG2702" t="str">
        <f>IF(AD2702="United States", IFERROR(INDEX(Sheet2!$C:$C, MATCH(AE2702&amp;AF2702, Sheet2!$E:$E, 0)) &amp; ", " &amp; INDEX(Sheet2!$D:$D, MATCH(AE2702&amp;AF2702, Sheet2!$E:$E, 0)), ""), "-")</f>
        <v/>
      </c>
    </row>
    <row r="2703" spans="1:33" x14ac:dyDescent="0.25">
      <c r="A2703" t="s">
        <v>3951</v>
      </c>
      <c r="B2703" t="s">
        <v>4031</v>
      </c>
      <c r="C2703" t="s">
        <v>3953</v>
      </c>
      <c r="D2703" t="s">
        <v>162</v>
      </c>
      <c r="E2703" t="s">
        <v>1159</v>
      </c>
      <c r="F2703">
        <v>1774</v>
      </c>
      <c r="G2703">
        <v>193</v>
      </c>
      <c r="H2703" t="s">
        <v>38</v>
      </c>
      <c r="I2703" t="s">
        <v>39</v>
      </c>
      <c r="J2703" t="s">
        <v>2348</v>
      </c>
      <c r="K2703" t="s">
        <v>38</v>
      </c>
      <c r="L2703" t="s">
        <v>38</v>
      </c>
      <c r="M2703" t="s">
        <v>38</v>
      </c>
      <c r="N2703" t="s">
        <v>38</v>
      </c>
      <c r="O2703" t="s">
        <v>54</v>
      </c>
      <c r="P2703" t="s">
        <v>42</v>
      </c>
      <c r="Q2703" t="s">
        <v>43</v>
      </c>
      <c r="R2703" t="s">
        <v>38</v>
      </c>
      <c r="S2703" t="s">
        <v>38</v>
      </c>
      <c r="T2703" t="s">
        <v>38</v>
      </c>
      <c r="U2703" t="s">
        <v>38</v>
      </c>
      <c r="V2703" t="s">
        <v>137</v>
      </c>
      <c r="W2703" t="s">
        <v>38</v>
      </c>
      <c r="X2703" t="s">
        <v>38</v>
      </c>
      <c r="Y2703" t="s">
        <v>38</v>
      </c>
      <c r="Z2703" t="s">
        <v>42</v>
      </c>
      <c r="AA2703" t="s">
        <v>38</v>
      </c>
      <c r="AB2703" t="s">
        <v>38</v>
      </c>
      <c r="AC2703" t="s">
        <v>38</v>
      </c>
      <c r="AD2703" t="s">
        <v>48</v>
      </c>
      <c r="AG2703" t="str">
        <f>IF(AD2703="United States", IFERROR(INDEX(Sheet2!$C:$C, MATCH(AE2703&amp;AF2703, Sheet2!$E:$E, 0)) &amp; ", " &amp; INDEX(Sheet2!$D:$D, MATCH(AE2703&amp;AF2703, Sheet2!$E:$E, 0)), ""), "-")</f>
        <v/>
      </c>
    </row>
    <row r="2704" spans="1:33" x14ac:dyDescent="0.25">
      <c r="A2704" t="s">
        <v>3951</v>
      </c>
      <c r="B2704" t="s">
        <v>4032</v>
      </c>
      <c r="C2704" t="s">
        <v>3953</v>
      </c>
      <c r="D2704" t="s">
        <v>3144</v>
      </c>
      <c r="E2704" t="s">
        <v>3936</v>
      </c>
      <c r="F2704">
        <v>1753</v>
      </c>
      <c r="G2704">
        <v>198</v>
      </c>
      <c r="H2704" t="s">
        <v>38</v>
      </c>
      <c r="I2704" t="s">
        <v>39</v>
      </c>
      <c r="J2704" t="s">
        <v>2348</v>
      </c>
      <c r="K2704" t="s">
        <v>38</v>
      </c>
      <c r="L2704" t="s">
        <v>38</v>
      </c>
      <c r="M2704" t="s">
        <v>38</v>
      </c>
      <c r="N2704" t="s">
        <v>38</v>
      </c>
      <c r="O2704" t="s">
        <v>57</v>
      </c>
      <c r="P2704" t="s">
        <v>42</v>
      </c>
      <c r="Q2704" t="s">
        <v>43</v>
      </c>
      <c r="R2704" t="s">
        <v>4033</v>
      </c>
      <c r="S2704" t="s">
        <v>153</v>
      </c>
      <c r="T2704" t="s">
        <v>38</v>
      </c>
      <c r="U2704" t="s">
        <v>38</v>
      </c>
      <c r="V2704" t="s">
        <v>137</v>
      </c>
      <c r="W2704" t="s">
        <v>38</v>
      </c>
      <c r="X2704" t="s">
        <v>38</v>
      </c>
      <c r="Y2704" t="s">
        <v>4025</v>
      </c>
      <c r="Z2704" t="s">
        <v>42</v>
      </c>
      <c r="AA2704" t="s">
        <v>4033</v>
      </c>
      <c r="AB2704" t="s">
        <v>38</v>
      </c>
      <c r="AC2704" t="s">
        <v>153</v>
      </c>
      <c r="AD2704" t="s">
        <v>48</v>
      </c>
      <c r="AG2704" t="str">
        <f>IF(AD2704="United States", IFERROR(INDEX(Sheet2!$C:$C, MATCH(AE2704&amp;AF2704, Sheet2!$E:$E, 0)) &amp; ", " &amp; INDEX(Sheet2!$D:$D, MATCH(AE2704&amp;AF2704, Sheet2!$E:$E, 0)), ""), "-")</f>
        <v/>
      </c>
    </row>
    <row r="2705" spans="1:33" x14ac:dyDescent="0.25">
      <c r="A2705" t="s">
        <v>3951</v>
      </c>
      <c r="B2705" t="s">
        <v>4034</v>
      </c>
      <c r="C2705" t="s">
        <v>3953</v>
      </c>
      <c r="D2705" t="s">
        <v>980</v>
      </c>
      <c r="E2705" t="s">
        <v>1159</v>
      </c>
      <c r="F2705">
        <v>1755</v>
      </c>
      <c r="G2705">
        <v>191</v>
      </c>
      <c r="H2705" t="s">
        <v>38</v>
      </c>
      <c r="I2705" t="s">
        <v>39</v>
      </c>
      <c r="J2705" t="s">
        <v>2348</v>
      </c>
      <c r="K2705" t="s">
        <v>38</v>
      </c>
      <c r="L2705" t="s">
        <v>38</v>
      </c>
      <c r="M2705" t="s">
        <v>38</v>
      </c>
      <c r="N2705" t="s">
        <v>38</v>
      </c>
      <c r="O2705" t="s">
        <v>57</v>
      </c>
      <c r="P2705" t="s">
        <v>125</v>
      </c>
      <c r="Q2705" t="s">
        <v>124</v>
      </c>
      <c r="R2705" t="s">
        <v>214</v>
      </c>
      <c r="S2705" t="s">
        <v>201</v>
      </c>
      <c r="T2705" t="s">
        <v>38</v>
      </c>
      <c r="U2705" t="s">
        <v>38</v>
      </c>
      <c r="V2705" t="s">
        <v>137</v>
      </c>
      <c r="W2705" t="s">
        <v>38</v>
      </c>
      <c r="X2705" t="s">
        <v>38</v>
      </c>
      <c r="Y2705" t="s">
        <v>4029</v>
      </c>
      <c r="Z2705" t="s">
        <v>125</v>
      </c>
      <c r="AA2705" t="s">
        <v>214</v>
      </c>
      <c r="AB2705" t="s">
        <v>38</v>
      </c>
      <c r="AC2705" t="s">
        <v>201</v>
      </c>
      <c r="AD2705" t="s">
        <v>48</v>
      </c>
      <c r="AG2705" t="str">
        <f>IF(AD2705="United States", IFERROR(INDEX(Sheet2!$C:$C, MATCH(AE2705&amp;AF2705, Sheet2!$E:$E, 0)) &amp; ", " &amp; INDEX(Sheet2!$D:$D, MATCH(AE2705&amp;AF2705, Sheet2!$E:$E, 0)), ""), "-")</f>
        <v/>
      </c>
    </row>
    <row r="2706" spans="1:33" x14ac:dyDescent="0.25">
      <c r="A2706" t="s">
        <v>3951</v>
      </c>
      <c r="B2706" t="s">
        <v>4035</v>
      </c>
      <c r="C2706" t="s">
        <v>3953</v>
      </c>
      <c r="D2706" t="s">
        <v>3939</v>
      </c>
      <c r="E2706" t="s">
        <v>1159</v>
      </c>
      <c r="F2706">
        <v>1772</v>
      </c>
      <c r="G2706">
        <v>192</v>
      </c>
      <c r="H2706" t="s">
        <v>38</v>
      </c>
      <c r="I2706" t="s">
        <v>39</v>
      </c>
      <c r="J2706" t="s">
        <v>2348</v>
      </c>
      <c r="K2706" t="s">
        <v>38</v>
      </c>
      <c r="L2706" t="s">
        <v>38</v>
      </c>
      <c r="M2706" t="s">
        <v>38</v>
      </c>
      <c r="N2706" t="s">
        <v>38</v>
      </c>
      <c r="O2706" t="s">
        <v>54</v>
      </c>
      <c r="P2706" t="s">
        <v>42</v>
      </c>
      <c r="Q2706" t="s">
        <v>43</v>
      </c>
      <c r="R2706" t="s">
        <v>38</v>
      </c>
      <c r="S2706" t="s">
        <v>38</v>
      </c>
      <c r="T2706" t="s">
        <v>38</v>
      </c>
      <c r="U2706" t="s">
        <v>38</v>
      </c>
      <c r="V2706" t="s">
        <v>137</v>
      </c>
      <c r="W2706" t="s">
        <v>38</v>
      </c>
      <c r="X2706" t="s">
        <v>38</v>
      </c>
      <c r="Y2706" t="s">
        <v>38</v>
      </c>
      <c r="Z2706" t="s">
        <v>42</v>
      </c>
      <c r="AA2706" t="s">
        <v>38</v>
      </c>
      <c r="AB2706" t="s">
        <v>38</v>
      </c>
      <c r="AC2706" t="s">
        <v>38</v>
      </c>
      <c r="AD2706" t="s">
        <v>48</v>
      </c>
      <c r="AG2706" t="str">
        <f>IF(AD2706="United States", IFERROR(INDEX(Sheet2!$C:$C, MATCH(AE2706&amp;AF2706, Sheet2!$E:$E, 0)) &amp; ", " &amp; INDEX(Sheet2!$D:$D, MATCH(AE2706&amp;AF2706, Sheet2!$E:$E, 0)), ""), "-")</f>
        <v/>
      </c>
    </row>
    <row r="2707" spans="1:33" x14ac:dyDescent="0.25">
      <c r="A2707" t="s">
        <v>3951</v>
      </c>
      <c r="B2707" t="s">
        <v>4036</v>
      </c>
      <c r="C2707" t="s">
        <v>3953</v>
      </c>
      <c r="D2707" t="s">
        <v>515</v>
      </c>
      <c r="E2707" t="s">
        <v>1342</v>
      </c>
      <c r="F2707">
        <v>1761</v>
      </c>
      <c r="G2707">
        <v>181</v>
      </c>
      <c r="H2707" t="s">
        <v>38</v>
      </c>
      <c r="I2707" t="s">
        <v>39</v>
      </c>
      <c r="J2707" t="s">
        <v>2348</v>
      </c>
      <c r="K2707" t="s">
        <v>38</v>
      </c>
      <c r="L2707" t="s">
        <v>38</v>
      </c>
      <c r="M2707" t="s">
        <v>38</v>
      </c>
      <c r="N2707" t="s">
        <v>38</v>
      </c>
      <c r="O2707" t="s">
        <v>57</v>
      </c>
      <c r="P2707" t="s">
        <v>42</v>
      </c>
      <c r="Q2707" t="s">
        <v>43</v>
      </c>
      <c r="R2707" t="s">
        <v>354</v>
      </c>
      <c r="S2707" t="s">
        <v>201</v>
      </c>
      <c r="T2707" t="s">
        <v>38</v>
      </c>
      <c r="U2707" t="s">
        <v>38</v>
      </c>
      <c r="V2707" t="s">
        <v>137</v>
      </c>
      <c r="W2707" t="s">
        <v>38</v>
      </c>
      <c r="X2707" t="s">
        <v>38</v>
      </c>
      <c r="Y2707" t="s">
        <v>4029</v>
      </c>
      <c r="Z2707" t="s">
        <v>42</v>
      </c>
      <c r="AA2707" t="s">
        <v>354</v>
      </c>
      <c r="AB2707" t="s">
        <v>38</v>
      </c>
      <c r="AC2707" t="s">
        <v>201</v>
      </c>
      <c r="AD2707" t="s">
        <v>48</v>
      </c>
      <c r="AG2707" t="str">
        <f>IF(AD2707="United States", IFERROR(INDEX(Sheet2!$C:$C, MATCH(AE2707&amp;AF2707, Sheet2!$E:$E, 0)) &amp; ", " &amp; INDEX(Sheet2!$D:$D, MATCH(AE2707&amp;AF2707, Sheet2!$E:$E, 0)), ""), "-")</f>
        <v/>
      </c>
    </row>
    <row r="2708" spans="1:33" x14ac:dyDescent="0.25">
      <c r="A2708" t="s">
        <v>3951</v>
      </c>
      <c r="B2708" t="s">
        <v>4037</v>
      </c>
      <c r="C2708" t="s">
        <v>3953</v>
      </c>
      <c r="D2708" t="s">
        <v>114</v>
      </c>
      <c r="E2708" t="s">
        <v>633</v>
      </c>
      <c r="F2708">
        <v>1745</v>
      </c>
      <c r="G2708">
        <v>182</v>
      </c>
      <c r="H2708" t="s">
        <v>38</v>
      </c>
      <c r="I2708" t="s">
        <v>39</v>
      </c>
      <c r="J2708" t="s">
        <v>2348</v>
      </c>
      <c r="K2708" t="s">
        <v>38</v>
      </c>
      <c r="L2708" t="s">
        <v>38</v>
      </c>
      <c r="M2708" t="s">
        <v>38</v>
      </c>
      <c r="N2708" t="s">
        <v>38</v>
      </c>
      <c r="O2708" t="s">
        <v>57</v>
      </c>
      <c r="P2708" t="s">
        <v>42</v>
      </c>
      <c r="Q2708" t="s">
        <v>43</v>
      </c>
      <c r="R2708" t="s">
        <v>677</v>
      </c>
      <c r="S2708" t="s">
        <v>201</v>
      </c>
      <c r="T2708" t="s">
        <v>38</v>
      </c>
      <c r="U2708" t="s">
        <v>38</v>
      </c>
      <c r="V2708" t="s">
        <v>137</v>
      </c>
      <c r="W2708" t="s">
        <v>38</v>
      </c>
      <c r="X2708" t="s">
        <v>38</v>
      </c>
      <c r="Y2708" t="s">
        <v>3963</v>
      </c>
      <c r="Z2708" t="s">
        <v>42</v>
      </c>
      <c r="AA2708" t="s">
        <v>677</v>
      </c>
      <c r="AB2708" t="s">
        <v>38</v>
      </c>
      <c r="AC2708" t="s">
        <v>201</v>
      </c>
      <c r="AD2708" t="s">
        <v>48</v>
      </c>
      <c r="AG2708" t="str">
        <f>IF(AD2708="United States", IFERROR(INDEX(Sheet2!$C:$C, MATCH(AE2708&amp;AF2708, Sheet2!$E:$E, 0)) &amp; ", " &amp; INDEX(Sheet2!$D:$D, MATCH(AE2708&amp;AF2708, Sheet2!$E:$E, 0)), ""), "-")</f>
        <v/>
      </c>
    </row>
    <row r="2709" spans="1:33" x14ac:dyDescent="0.25">
      <c r="A2709" t="s">
        <v>3951</v>
      </c>
      <c r="B2709" t="s">
        <v>4038</v>
      </c>
      <c r="C2709" t="s">
        <v>3953</v>
      </c>
      <c r="D2709" t="s">
        <v>114</v>
      </c>
      <c r="E2709" t="s">
        <v>818</v>
      </c>
      <c r="F2709">
        <v>1761</v>
      </c>
      <c r="G2709">
        <v>183</v>
      </c>
      <c r="H2709" t="s">
        <v>38</v>
      </c>
      <c r="I2709" t="s">
        <v>39</v>
      </c>
      <c r="J2709" t="s">
        <v>2348</v>
      </c>
      <c r="K2709" t="s">
        <v>38</v>
      </c>
      <c r="L2709" t="s">
        <v>38</v>
      </c>
      <c r="M2709" t="s">
        <v>38</v>
      </c>
      <c r="N2709" t="s">
        <v>38</v>
      </c>
      <c r="O2709" t="s">
        <v>57</v>
      </c>
      <c r="P2709" t="s">
        <v>42</v>
      </c>
      <c r="Q2709" t="s">
        <v>43</v>
      </c>
      <c r="R2709" t="s">
        <v>487</v>
      </c>
      <c r="S2709" t="s">
        <v>153</v>
      </c>
      <c r="T2709" t="s">
        <v>38</v>
      </c>
      <c r="U2709" t="s">
        <v>38</v>
      </c>
      <c r="V2709" t="s">
        <v>137</v>
      </c>
      <c r="W2709" t="s">
        <v>38</v>
      </c>
      <c r="X2709" t="s">
        <v>38</v>
      </c>
      <c r="Y2709" t="s">
        <v>4039</v>
      </c>
      <c r="Z2709" t="s">
        <v>42</v>
      </c>
      <c r="AA2709" t="s">
        <v>38</v>
      </c>
      <c r="AB2709" t="s">
        <v>38</v>
      </c>
      <c r="AC2709" t="s">
        <v>153</v>
      </c>
      <c r="AD2709" t="s">
        <v>48</v>
      </c>
      <c r="AG2709" t="str">
        <f>IF(AD2709="United States", IFERROR(INDEX(Sheet2!$C:$C, MATCH(AE2709&amp;AF2709, Sheet2!$E:$E, 0)) &amp; ", " &amp; INDEX(Sheet2!$D:$D, MATCH(AE2709&amp;AF2709, Sheet2!$E:$E, 0)), ""), "-")</f>
        <v/>
      </c>
    </row>
    <row r="2710" spans="1:33" x14ac:dyDescent="0.25">
      <c r="A2710" t="s">
        <v>3951</v>
      </c>
      <c r="B2710" t="s">
        <v>4040</v>
      </c>
      <c r="C2710" t="s">
        <v>3953</v>
      </c>
      <c r="D2710" t="s">
        <v>222</v>
      </c>
      <c r="E2710" t="s">
        <v>3945</v>
      </c>
      <c r="F2710">
        <v>1763</v>
      </c>
      <c r="G2710">
        <v>184</v>
      </c>
      <c r="H2710" t="s">
        <v>38</v>
      </c>
      <c r="I2710" t="s">
        <v>39</v>
      </c>
      <c r="J2710" t="s">
        <v>2348</v>
      </c>
      <c r="K2710" t="s">
        <v>38</v>
      </c>
      <c r="L2710" t="s">
        <v>38</v>
      </c>
      <c r="M2710" t="s">
        <v>38</v>
      </c>
      <c r="N2710" t="s">
        <v>38</v>
      </c>
      <c r="O2710" t="s">
        <v>74</v>
      </c>
      <c r="P2710" t="s">
        <v>42</v>
      </c>
      <c r="Q2710" t="s">
        <v>43</v>
      </c>
      <c r="R2710" t="s">
        <v>354</v>
      </c>
      <c r="S2710" t="s">
        <v>201</v>
      </c>
      <c r="T2710" t="s">
        <v>38</v>
      </c>
      <c r="U2710" t="s">
        <v>38</v>
      </c>
      <c r="V2710" t="s">
        <v>137</v>
      </c>
      <c r="W2710" t="s">
        <v>38</v>
      </c>
      <c r="X2710" t="s">
        <v>38</v>
      </c>
      <c r="Y2710" t="s">
        <v>4029</v>
      </c>
      <c r="Z2710" t="s">
        <v>42</v>
      </c>
      <c r="AA2710" t="s">
        <v>354</v>
      </c>
      <c r="AB2710" t="s">
        <v>38</v>
      </c>
      <c r="AC2710" t="s">
        <v>201</v>
      </c>
      <c r="AD2710" t="s">
        <v>48</v>
      </c>
      <c r="AG2710" t="str">
        <f>IF(AD2710="United States", IFERROR(INDEX(Sheet2!$C:$C, MATCH(AE2710&amp;AF2710, Sheet2!$E:$E, 0)) &amp; ", " &amp; INDEX(Sheet2!$D:$D, MATCH(AE2710&amp;AF2710, Sheet2!$E:$E, 0)), ""), "-")</f>
        <v/>
      </c>
    </row>
    <row r="2711" spans="1:33" x14ac:dyDescent="0.25">
      <c r="A2711" t="s">
        <v>3951</v>
      </c>
      <c r="B2711" t="s">
        <v>4041</v>
      </c>
      <c r="C2711" t="s">
        <v>3953</v>
      </c>
      <c r="D2711" t="s">
        <v>352</v>
      </c>
      <c r="E2711" t="s">
        <v>4042</v>
      </c>
      <c r="F2711">
        <v>1756</v>
      </c>
      <c r="G2711">
        <v>185</v>
      </c>
      <c r="H2711" t="s">
        <v>38</v>
      </c>
      <c r="I2711" t="s">
        <v>39</v>
      </c>
      <c r="J2711" t="s">
        <v>2348</v>
      </c>
      <c r="K2711" t="s">
        <v>38</v>
      </c>
      <c r="L2711" t="s">
        <v>38</v>
      </c>
      <c r="M2711" t="s">
        <v>38</v>
      </c>
      <c r="N2711" t="s">
        <v>38</v>
      </c>
      <c r="O2711" t="s">
        <v>57</v>
      </c>
      <c r="P2711" t="s">
        <v>42</v>
      </c>
      <c r="Q2711" t="s">
        <v>43</v>
      </c>
      <c r="R2711" t="s">
        <v>4043</v>
      </c>
      <c r="S2711" t="s">
        <v>201</v>
      </c>
      <c r="T2711" t="s">
        <v>38</v>
      </c>
      <c r="U2711" t="s">
        <v>38</v>
      </c>
      <c r="V2711" t="s">
        <v>137</v>
      </c>
      <c r="W2711" t="s">
        <v>38</v>
      </c>
      <c r="X2711" t="s">
        <v>38</v>
      </c>
      <c r="Y2711" t="s">
        <v>4029</v>
      </c>
      <c r="Z2711" t="s">
        <v>42</v>
      </c>
      <c r="AA2711" t="s">
        <v>38</v>
      </c>
      <c r="AB2711" t="s">
        <v>38</v>
      </c>
      <c r="AC2711" t="s">
        <v>201</v>
      </c>
      <c r="AD2711" t="s">
        <v>48</v>
      </c>
      <c r="AG2711" t="str">
        <f>IF(AD2711="United States", IFERROR(INDEX(Sheet2!$C:$C, MATCH(AE2711&amp;AF2711, Sheet2!$E:$E, 0)) &amp; ", " &amp; INDEX(Sheet2!$D:$D, MATCH(AE2711&amp;AF2711, Sheet2!$E:$E, 0)), ""), "-")</f>
        <v/>
      </c>
    </row>
    <row r="2712" spans="1:33" x14ac:dyDescent="0.25">
      <c r="A2712" t="s">
        <v>3951</v>
      </c>
      <c r="B2712" t="s">
        <v>4044</v>
      </c>
      <c r="C2712" t="s">
        <v>3953</v>
      </c>
      <c r="D2712" t="s">
        <v>72</v>
      </c>
      <c r="E2712" t="s">
        <v>3948</v>
      </c>
      <c r="F2712">
        <v>1768</v>
      </c>
      <c r="G2712">
        <v>180</v>
      </c>
      <c r="H2712" t="s">
        <v>38</v>
      </c>
      <c r="I2712" t="s">
        <v>39</v>
      </c>
      <c r="J2712" t="s">
        <v>2348</v>
      </c>
      <c r="K2712" t="s">
        <v>38</v>
      </c>
      <c r="L2712" t="s">
        <v>38</v>
      </c>
      <c r="M2712" t="s">
        <v>38</v>
      </c>
      <c r="N2712" t="s">
        <v>38</v>
      </c>
      <c r="O2712" t="s">
        <v>74</v>
      </c>
      <c r="P2712" t="s">
        <v>42</v>
      </c>
      <c r="Q2712" t="s">
        <v>43</v>
      </c>
      <c r="R2712" t="s">
        <v>38</v>
      </c>
      <c r="S2712" t="s">
        <v>38</v>
      </c>
      <c r="T2712" t="s">
        <v>38</v>
      </c>
      <c r="U2712" t="s">
        <v>38</v>
      </c>
      <c r="V2712" t="s">
        <v>137</v>
      </c>
      <c r="W2712" t="s">
        <v>38</v>
      </c>
      <c r="X2712" t="s">
        <v>38</v>
      </c>
      <c r="Y2712" t="s">
        <v>38</v>
      </c>
      <c r="Z2712" t="s">
        <v>42</v>
      </c>
      <c r="AA2712" t="s">
        <v>38</v>
      </c>
      <c r="AB2712" t="s">
        <v>38</v>
      </c>
      <c r="AC2712" t="s">
        <v>38</v>
      </c>
      <c r="AD2712" t="s">
        <v>48</v>
      </c>
      <c r="AG2712" t="str">
        <f>IF(AD2712="United States", IFERROR(INDEX(Sheet2!$C:$C, MATCH(AE2712&amp;AF2712, Sheet2!$E:$E, 0)) &amp; ", " &amp; INDEX(Sheet2!$D:$D, MATCH(AE2712&amp;AF2712, Sheet2!$E:$E, 0)), ""), "-")</f>
        <v/>
      </c>
    </row>
    <row r="2713" spans="1:33" x14ac:dyDescent="0.25">
      <c r="A2713" t="s">
        <v>3951</v>
      </c>
      <c r="B2713" t="s">
        <v>4045</v>
      </c>
      <c r="C2713" t="s">
        <v>3953</v>
      </c>
      <c r="D2713" t="s">
        <v>4046</v>
      </c>
      <c r="E2713" t="s">
        <v>38</v>
      </c>
      <c r="F2713">
        <v>1757</v>
      </c>
      <c r="G2713">
        <v>187</v>
      </c>
      <c r="H2713" t="s">
        <v>38</v>
      </c>
      <c r="I2713" t="s">
        <v>39</v>
      </c>
      <c r="J2713" t="s">
        <v>2348</v>
      </c>
      <c r="K2713" t="s">
        <v>38</v>
      </c>
      <c r="L2713" t="s">
        <v>38</v>
      </c>
      <c r="M2713" t="s">
        <v>38</v>
      </c>
      <c r="N2713" t="s">
        <v>38</v>
      </c>
      <c r="O2713" t="s">
        <v>57</v>
      </c>
      <c r="P2713" t="s">
        <v>42</v>
      </c>
      <c r="Q2713" t="s">
        <v>43</v>
      </c>
      <c r="R2713" t="s">
        <v>38</v>
      </c>
      <c r="S2713" t="s">
        <v>38</v>
      </c>
      <c r="T2713" t="s">
        <v>38</v>
      </c>
      <c r="U2713" t="s">
        <v>38</v>
      </c>
      <c r="V2713" t="s">
        <v>137</v>
      </c>
      <c r="W2713" t="s">
        <v>38</v>
      </c>
      <c r="X2713" t="s">
        <v>38</v>
      </c>
      <c r="Y2713" t="s">
        <v>3956</v>
      </c>
      <c r="Z2713" t="s">
        <v>42</v>
      </c>
      <c r="AA2713" t="s">
        <v>4046</v>
      </c>
      <c r="AB2713" t="s">
        <v>38</v>
      </c>
      <c r="AC2713" t="s">
        <v>155</v>
      </c>
      <c r="AD2713" t="s">
        <v>48</v>
      </c>
      <c r="AG2713" t="str">
        <f>IF(AD2713="United States", IFERROR(INDEX(Sheet2!$C:$C, MATCH(AE2713&amp;AF2713, Sheet2!$E:$E, 0)) &amp; ", " &amp; INDEX(Sheet2!$D:$D, MATCH(AE2713&amp;AF2713, Sheet2!$E:$E, 0)), ""), "-")</f>
        <v/>
      </c>
    </row>
    <row r="2714" spans="1:33" x14ac:dyDescent="0.25">
      <c r="A2714" t="s">
        <v>3951</v>
      </c>
      <c r="B2714" t="s">
        <v>4047</v>
      </c>
      <c r="C2714" t="s">
        <v>3953</v>
      </c>
      <c r="D2714" t="s">
        <v>3940</v>
      </c>
      <c r="E2714" t="s">
        <v>1641</v>
      </c>
      <c r="F2714">
        <v>1762</v>
      </c>
      <c r="G2714">
        <v>189</v>
      </c>
      <c r="H2714" t="s">
        <v>38</v>
      </c>
      <c r="I2714" t="s">
        <v>39</v>
      </c>
      <c r="J2714" t="s">
        <v>2348</v>
      </c>
      <c r="K2714" t="s">
        <v>38</v>
      </c>
      <c r="L2714" t="s">
        <v>38</v>
      </c>
      <c r="M2714" t="s">
        <v>38</v>
      </c>
      <c r="N2714" t="s">
        <v>38</v>
      </c>
      <c r="O2714" t="s">
        <v>57</v>
      </c>
      <c r="P2714" t="s">
        <v>125</v>
      </c>
      <c r="Q2714" t="s">
        <v>124</v>
      </c>
      <c r="R2714" t="s">
        <v>38</v>
      </c>
      <c r="S2714" t="s">
        <v>38</v>
      </c>
      <c r="T2714" t="s">
        <v>38</v>
      </c>
      <c r="U2714" t="s">
        <v>38</v>
      </c>
      <c r="V2714" t="s">
        <v>137</v>
      </c>
      <c r="W2714" t="s">
        <v>38</v>
      </c>
      <c r="X2714" t="s">
        <v>38</v>
      </c>
      <c r="Y2714" t="s">
        <v>3993</v>
      </c>
      <c r="Z2714" t="s">
        <v>125</v>
      </c>
      <c r="AA2714" t="s">
        <v>38</v>
      </c>
      <c r="AB2714" t="s">
        <v>38</v>
      </c>
      <c r="AC2714" t="s">
        <v>38</v>
      </c>
      <c r="AD2714" t="s">
        <v>48</v>
      </c>
      <c r="AG2714" t="str">
        <f>IF(AD2714="United States", IFERROR(INDEX(Sheet2!$C:$C, MATCH(AE2714&amp;AF2714, Sheet2!$E:$E, 0)) &amp; ", " &amp; INDEX(Sheet2!$D:$D, MATCH(AE2714&amp;AF2714, Sheet2!$E:$E, 0)), ""), "-")</f>
        <v/>
      </c>
    </row>
    <row r="2715" spans="1:33" x14ac:dyDescent="0.25">
      <c r="A2715" t="s">
        <v>3951</v>
      </c>
      <c r="B2715" t="s">
        <v>4048</v>
      </c>
      <c r="C2715" t="s">
        <v>3953</v>
      </c>
      <c r="D2715" t="s">
        <v>980</v>
      </c>
      <c r="E2715" t="s">
        <v>3933</v>
      </c>
      <c r="F2715">
        <v>1759</v>
      </c>
      <c r="G2715">
        <v>190</v>
      </c>
      <c r="H2715" t="s">
        <v>38</v>
      </c>
      <c r="I2715" t="s">
        <v>39</v>
      </c>
      <c r="J2715" t="s">
        <v>2348</v>
      </c>
      <c r="K2715" t="s">
        <v>38</v>
      </c>
      <c r="L2715" t="s">
        <v>38</v>
      </c>
      <c r="M2715" t="s">
        <v>38</v>
      </c>
      <c r="N2715" t="s">
        <v>38</v>
      </c>
      <c r="O2715" t="s">
        <v>57</v>
      </c>
      <c r="P2715" t="s">
        <v>42</v>
      </c>
      <c r="Q2715" t="s">
        <v>43</v>
      </c>
      <c r="R2715" t="s">
        <v>4049</v>
      </c>
      <c r="S2715" t="s">
        <v>45</v>
      </c>
      <c r="T2715" t="s">
        <v>38</v>
      </c>
      <c r="U2715" t="s">
        <v>38</v>
      </c>
      <c r="V2715" t="s">
        <v>137</v>
      </c>
      <c r="W2715" t="s">
        <v>38</v>
      </c>
      <c r="X2715" t="s">
        <v>38</v>
      </c>
      <c r="Y2715" t="s">
        <v>3993</v>
      </c>
      <c r="Z2715" t="s">
        <v>42</v>
      </c>
      <c r="AA2715" t="s">
        <v>38</v>
      </c>
      <c r="AB2715" t="s">
        <v>38</v>
      </c>
      <c r="AC2715" t="s">
        <v>45</v>
      </c>
      <c r="AD2715" t="s">
        <v>48</v>
      </c>
      <c r="AG2715" t="str">
        <f>IF(AD2715="United States", IFERROR(INDEX(Sheet2!$C:$C, MATCH(AE2715&amp;AF2715, Sheet2!$E:$E, 0)) &amp; ", " &amp; INDEX(Sheet2!$D:$D, MATCH(AE2715&amp;AF2715, Sheet2!$E:$E, 0)), ""), "-")</f>
        <v/>
      </c>
    </row>
    <row r="2716" spans="1:33" x14ac:dyDescent="0.25">
      <c r="A2716" t="s">
        <v>3951</v>
      </c>
      <c r="B2716" t="s">
        <v>4050</v>
      </c>
      <c r="C2716" t="s">
        <v>3953</v>
      </c>
      <c r="D2716" t="s">
        <v>3942</v>
      </c>
      <c r="E2716" t="s">
        <v>2404</v>
      </c>
      <c r="F2716">
        <v>1759</v>
      </c>
      <c r="G2716">
        <v>186</v>
      </c>
      <c r="H2716" t="s">
        <v>38</v>
      </c>
      <c r="I2716" t="s">
        <v>39</v>
      </c>
      <c r="J2716" t="s">
        <v>2348</v>
      </c>
      <c r="K2716" t="s">
        <v>38</v>
      </c>
      <c r="L2716" t="s">
        <v>38</v>
      </c>
      <c r="M2716" t="s">
        <v>38</v>
      </c>
      <c r="N2716" t="s">
        <v>38</v>
      </c>
      <c r="O2716" t="s">
        <v>57</v>
      </c>
      <c r="P2716" t="s">
        <v>42</v>
      </c>
      <c r="Q2716" t="s">
        <v>43</v>
      </c>
      <c r="R2716" t="s">
        <v>38</v>
      </c>
      <c r="S2716" t="s">
        <v>38</v>
      </c>
      <c r="T2716" t="s">
        <v>38</v>
      </c>
      <c r="U2716" t="s">
        <v>38</v>
      </c>
      <c r="V2716" t="s">
        <v>137</v>
      </c>
      <c r="W2716" t="s">
        <v>38</v>
      </c>
      <c r="X2716" t="s">
        <v>38</v>
      </c>
      <c r="Y2716" t="s">
        <v>3959</v>
      </c>
      <c r="Z2716" t="s">
        <v>42</v>
      </c>
      <c r="AA2716" t="s">
        <v>2504</v>
      </c>
      <c r="AB2716" t="s">
        <v>38</v>
      </c>
      <c r="AC2716" t="s">
        <v>340</v>
      </c>
      <c r="AD2716" t="s">
        <v>340</v>
      </c>
      <c r="AG2716" t="str">
        <f>IF(AD2716="United States", IFERROR(INDEX(Sheet2!$C:$C, MATCH(AE2716&amp;AF2716, Sheet2!$E:$E, 0)) &amp; ", " &amp; INDEX(Sheet2!$D:$D, MATCH(AE2716&amp;AF2716, Sheet2!$E:$E, 0)), ""), "50.7173862, -1.1734499")</f>
        <v>50.7173862, -1.1734499</v>
      </c>
    </row>
    <row r="2717" spans="1:33" x14ac:dyDescent="0.25">
      <c r="A2717" t="s">
        <v>4051</v>
      </c>
      <c r="B2717" t="s">
        <v>4052</v>
      </c>
      <c r="C2717" t="s">
        <v>4053</v>
      </c>
      <c r="D2717" t="s">
        <v>4054</v>
      </c>
      <c r="E2717" t="s">
        <v>38</v>
      </c>
      <c r="F2717">
        <v>1753</v>
      </c>
      <c r="G2717">
        <v>2140</v>
      </c>
      <c r="H2717" t="s">
        <v>1184</v>
      </c>
      <c r="I2717" t="s">
        <v>87</v>
      </c>
      <c r="J2717" t="s">
        <v>4055</v>
      </c>
      <c r="K2717" t="s">
        <v>38</v>
      </c>
      <c r="L2717" t="s">
        <v>38</v>
      </c>
      <c r="M2717" t="s">
        <v>38</v>
      </c>
      <c r="N2717" t="s">
        <v>38</v>
      </c>
      <c r="O2717" t="s">
        <v>57</v>
      </c>
      <c r="P2717" t="s">
        <v>42</v>
      </c>
      <c r="Q2717" t="s">
        <v>43</v>
      </c>
      <c r="R2717" t="s">
        <v>89</v>
      </c>
      <c r="S2717" t="s">
        <v>38</v>
      </c>
      <c r="T2717" t="s">
        <v>89</v>
      </c>
      <c r="U2717" t="s">
        <v>38</v>
      </c>
      <c r="V2717" t="s">
        <v>740</v>
      </c>
      <c r="W2717" t="s">
        <v>92</v>
      </c>
      <c r="X2717" t="s">
        <v>38</v>
      </c>
      <c r="Y2717" t="s">
        <v>38</v>
      </c>
      <c r="Z2717" t="s">
        <v>42</v>
      </c>
      <c r="AA2717" t="s">
        <v>38</v>
      </c>
      <c r="AB2717" t="s">
        <v>38</v>
      </c>
      <c r="AC2717" t="s">
        <v>4054</v>
      </c>
      <c r="AD2717" t="s">
        <v>48</v>
      </c>
      <c r="AG2717" t="str">
        <f>IF(AD2717="United States", IFERROR(INDEX(Sheet2!$C:$C, MATCH(AE2717&amp;AF2717, Sheet2!$E:$E, 0)) &amp; ", " &amp; INDEX(Sheet2!$D:$D, MATCH(AE2717&amp;AF2717, Sheet2!$E:$E, 0)), ""), "-")</f>
        <v/>
      </c>
    </row>
    <row r="2718" spans="1:33" x14ac:dyDescent="0.25">
      <c r="A2718" t="s">
        <v>4051</v>
      </c>
      <c r="B2718" t="s">
        <v>4056</v>
      </c>
      <c r="C2718" t="s">
        <v>4053</v>
      </c>
      <c r="D2718" t="s">
        <v>980</v>
      </c>
      <c r="E2718" t="s">
        <v>38</v>
      </c>
      <c r="F2718">
        <v>1768</v>
      </c>
      <c r="G2718">
        <v>2141</v>
      </c>
      <c r="H2718" t="s">
        <v>1184</v>
      </c>
      <c r="I2718" t="s">
        <v>87</v>
      </c>
      <c r="J2718" t="s">
        <v>4055</v>
      </c>
      <c r="K2718" t="s">
        <v>38</v>
      </c>
      <c r="L2718" t="s">
        <v>38</v>
      </c>
      <c r="M2718" t="s">
        <v>38</v>
      </c>
      <c r="N2718" t="s">
        <v>38</v>
      </c>
      <c r="O2718" t="s">
        <v>74</v>
      </c>
      <c r="P2718" t="s">
        <v>42</v>
      </c>
      <c r="Q2718" t="s">
        <v>43</v>
      </c>
      <c r="R2718" t="s">
        <v>89</v>
      </c>
      <c r="S2718" t="s">
        <v>38</v>
      </c>
      <c r="T2718" t="s">
        <v>89</v>
      </c>
      <c r="U2718" t="s">
        <v>38</v>
      </c>
      <c r="V2718" t="s">
        <v>740</v>
      </c>
      <c r="W2718" t="s">
        <v>92</v>
      </c>
      <c r="X2718" t="s">
        <v>38</v>
      </c>
      <c r="Y2718" t="s">
        <v>38</v>
      </c>
      <c r="Z2718" t="s">
        <v>42</v>
      </c>
      <c r="AA2718" t="s">
        <v>38</v>
      </c>
      <c r="AB2718" t="s">
        <v>38</v>
      </c>
      <c r="AC2718" t="s">
        <v>38</v>
      </c>
      <c r="AD2718" t="s">
        <v>48</v>
      </c>
      <c r="AG2718" t="str">
        <f>IF(AD2718="United States", IFERROR(INDEX(Sheet2!$C:$C, MATCH(AE2718&amp;AF2718, Sheet2!$E:$E, 0)) &amp; ", " &amp; INDEX(Sheet2!$D:$D, MATCH(AE2718&amp;AF2718, Sheet2!$E:$E, 0)), ""), "-")</f>
        <v/>
      </c>
    </row>
    <row r="2719" spans="1:33" x14ac:dyDescent="0.25">
      <c r="A2719" t="s">
        <v>4051</v>
      </c>
      <c r="B2719" t="s">
        <v>4057</v>
      </c>
      <c r="C2719" t="s">
        <v>4053</v>
      </c>
      <c r="D2719" t="s">
        <v>132</v>
      </c>
      <c r="E2719" t="s">
        <v>38</v>
      </c>
      <c r="F2719">
        <v>1764</v>
      </c>
      <c r="G2719">
        <v>2142</v>
      </c>
      <c r="H2719" t="s">
        <v>1184</v>
      </c>
      <c r="I2719" t="s">
        <v>87</v>
      </c>
      <c r="J2719" t="s">
        <v>4055</v>
      </c>
      <c r="K2719" t="s">
        <v>38</v>
      </c>
      <c r="L2719" t="s">
        <v>38</v>
      </c>
      <c r="M2719" t="s">
        <v>38</v>
      </c>
      <c r="N2719" t="s">
        <v>38</v>
      </c>
      <c r="O2719" t="s">
        <v>41</v>
      </c>
      <c r="P2719" t="s">
        <v>42</v>
      </c>
      <c r="Q2719" t="s">
        <v>43</v>
      </c>
      <c r="R2719" t="s">
        <v>89</v>
      </c>
      <c r="S2719" t="s">
        <v>38</v>
      </c>
      <c r="T2719" t="s">
        <v>89</v>
      </c>
      <c r="U2719" t="s">
        <v>38</v>
      </c>
      <c r="V2719" t="s">
        <v>740</v>
      </c>
      <c r="W2719" t="s">
        <v>92</v>
      </c>
      <c r="X2719" t="s">
        <v>38</v>
      </c>
      <c r="Y2719" t="s">
        <v>38</v>
      </c>
      <c r="Z2719" t="s">
        <v>42</v>
      </c>
      <c r="AA2719" t="s">
        <v>38</v>
      </c>
      <c r="AB2719" t="s">
        <v>38</v>
      </c>
      <c r="AC2719" t="s">
        <v>38</v>
      </c>
      <c r="AD2719" t="s">
        <v>48</v>
      </c>
      <c r="AG2719" t="str">
        <f>IF(AD2719="United States", IFERROR(INDEX(Sheet2!$C:$C, MATCH(AE2719&amp;AF2719, Sheet2!$E:$E, 0)) &amp; ", " &amp; INDEX(Sheet2!$D:$D, MATCH(AE2719&amp;AF2719, Sheet2!$E:$E, 0)), ""), "-")</f>
        <v/>
      </c>
    </row>
    <row r="2720" spans="1:33" x14ac:dyDescent="0.25">
      <c r="A2720" t="s">
        <v>4051</v>
      </c>
      <c r="B2720" t="s">
        <v>4058</v>
      </c>
      <c r="C2720" t="s">
        <v>4053</v>
      </c>
      <c r="D2720" t="s">
        <v>1003</v>
      </c>
      <c r="E2720" t="s">
        <v>38</v>
      </c>
      <c r="F2720">
        <v>1733</v>
      </c>
      <c r="G2720">
        <v>2143</v>
      </c>
      <c r="H2720" t="s">
        <v>1184</v>
      </c>
      <c r="I2720" t="s">
        <v>87</v>
      </c>
      <c r="J2720" t="s">
        <v>4055</v>
      </c>
      <c r="K2720" t="s">
        <v>38</v>
      </c>
      <c r="L2720" t="s">
        <v>38</v>
      </c>
      <c r="M2720" t="s">
        <v>38</v>
      </c>
      <c r="N2720" t="s">
        <v>38</v>
      </c>
      <c r="O2720" t="s">
        <v>57</v>
      </c>
      <c r="P2720" t="s">
        <v>42</v>
      </c>
      <c r="Q2720" t="s">
        <v>43</v>
      </c>
      <c r="R2720" t="s">
        <v>89</v>
      </c>
      <c r="S2720" t="s">
        <v>45</v>
      </c>
      <c r="T2720" t="s">
        <v>89</v>
      </c>
      <c r="U2720" t="s">
        <v>38</v>
      </c>
      <c r="V2720" t="s">
        <v>740</v>
      </c>
      <c r="W2720" t="s">
        <v>92</v>
      </c>
      <c r="X2720" t="s">
        <v>38</v>
      </c>
      <c r="Y2720" t="s">
        <v>4059</v>
      </c>
      <c r="Z2720" t="s">
        <v>42</v>
      </c>
      <c r="AA2720" t="s">
        <v>682</v>
      </c>
      <c r="AB2720" t="s">
        <v>38</v>
      </c>
      <c r="AC2720" t="s">
        <v>45</v>
      </c>
      <c r="AD2720" t="s">
        <v>48</v>
      </c>
      <c r="AG2720" t="str">
        <f>IF(AD2720="United States", IFERROR(INDEX(Sheet2!$C:$C, MATCH(AE2720&amp;AF2720, Sheet2!$E:$E, 0)) &amp; ", " &amp; INDEX(Sheet2!$D:$D, MATCH(AE2720&amp;AF2720, Sheet2!$E:$E, 0)), ""), "-")</f>
        <v/>
      </c>
    </row>
    <row r="2721" spans="1:33" x14ac:dyDescent="0.25">
      <c r="A2721" t="s">
        <v>4051</v>
      </c>
      <c r="B2721" t="s">
        <v>4060</v>
      </c>
      <c r="C2721" t="s">
        <v>4053</v>
      </c>
      <c r="D2721" t="s">
        <v>343</v>
      </c>
      <c r="E2721" t="s">
        <v>38</v>
      </c>
      <c r="F2721">
        <v>1768</v>
      </c>
      <c r="G2721">
        <v>2144</v>
      </c>
      <c r="H2721" t="s">
        <v>1184</v>
      </c>
      <c r="I2721" t="s">
        <v>87</v>
      </c>
      <c r="J2721" t="s">
        <v>4055</v>
      </c>
      <c r="K2721" t="s">
        <v>38</v>
      </c>
      <c r="L2721" t="s">
        <v>38</v>
      </c>
      <c r="M2721" t="s">
        <v>38</v>
      </c>
      <c r="N2721" t="s">
        <v>38</v>
      </c>
      <c r="O2721" t="s">
        <v>54</v>
      </c>
      <c r="P2721" t="s">
        <v>42</v>
      </c>
      <c r="Q2721" t="s">
        <v>43</v>
      </c>
      <c r="R2721" t="s">
        <v>89</v>
      </c>
      <c r="S2721" t="s">
        <v>38</v>
      </c>
      <c r="T2721" t="s">
        <v>89</v>
      </c>
      <c r="U2721" t="s">
        <v>38</v>
      </c>
      <c r="V2721" t="s">
        <v>740</v>
      </c>
      <c r="W2721" t="s">
        <v>92</v>
      </c>
      <c r="X2721" t="s">
        <v>38</v>
      </c>
      <c r="Y2721" t="s">
        <v>4061</v>
      </c>
      <c r="Z2721" t="s">
        <v>42</v>
      </c>
      <c r="AA2721" t="s">
        <v>38</v>
      </c>
      <c r="AB2721" t="s">
        <v>38</v>
      </c>
      <c r="AC2721" t="s">
        <v>38</v>
      </c>
      <c r="AD2721" t="s">
        <v>48</v>
      </c>
      <c r="AG2721" t="str">
        <f>IF(AD2721="United States", IFERROR(INDEX(Sheet2!$C:$C, MATCH(AE2721&amp;AF2721, Sheet2!$E:$E, 0)) &amp; ", " &amp; INDEX(Sheet2!$D:$D, MATCH(AE2721&amp;AF2721, Sheet2!$E:$E, 0)), ""), "-")</f>
        <v/>
      </c>
    </row>
    <row r="2722" spans="1:33" x14ac:dyDescent="0.25">
      <c r="A2722" t="s">
        <v>4051</v>
      </c>
      <c r="B2722" t="s">
        <v>4062</v>
      </c>
      <c r="C2722" t="s">
        <v>4053</v>
      </c>
      <c r="D2722" t="s">
        <v>256</v>
      </c>
      <c r="E2722" t="s">
        <v>38</v>
      </c>
      <c r="F2722">
        <v>1751</v>
      </c>
      <c r="G2722">
        <v>2145</v>
      </c>
      <c r="H2722" t="s">
        <v>1184</v>
      </c>
      <c r="I2722" t="s">
        <v>87</v>
      </c>
      <c r="J2722" t="s">
        <v>4055</v>
      </c>
      <c r="K2722" t="s">
        <v>38</v>
      </c>
      <c r="L2722" t="s">
        <v>38</v>
      </c>
      <c r="M2722" t="s">
        <v>38</v>
      </c>
      <c r="N2722" t="s">
        <v>38</v>
      </c>
      <c r="O2722" t="s">
        <v>57</v>
      </c>
      <c r="P2722" t="s">
        <v>42</v>
      </c>
      <c r="Q2722" t="s">
        <v>43</v>
      </c>
      <c r="R2722" t="s">
        <v>89</v>
      </c>
      <c r="S2722" t="s">
        <v>38</v>
      </c>
      <c r="T2722" t="s">
        <v>89</v>
      </c>
      <c r="U2722" t="s">
        <v>38</v>
      </c>
      <c r="V2722" t="s">
        <v>740</v>
      </c>
      <c r="W2722" t="s">
        <v>92</v>
      </c>
      <c r="X2722" t="s">
        <v>38</v>
      </c>
      <c r="Y2722" t="s">
        <v>4061</v>
      </c>
      <c r="Z2722" t="s">
        <v>42</v>
      </c>
      <c r="AA2722" t="s">
        <v>38</v>
      </c>
      <c r="AB2722" t="s">
        <v>38</v>
      </c>
      <c r="AC2722" t="s">
        <v>38</v>
      </c>
      <c r="AD2722" t="s">
        <v>48</v>
      </c>
      <c r="AG2722" t="str">
        <f>IF(AD2722="United States", IFERROR(INDEX(Sheet2!$C:$C, MATCH(AE2722&amp;AF2722, Sheet2!$E:$E, 0)) &amp; ", " &amp; INDEX(Sheet2!$D:$D, MATCH(AE2722&amp;AF2722, Sheet2!$E:$E, 0)), ""), "-")</f>
        <v/>
      </c>
    </row>
    <row r="2723" spans="1:33" x14ac:dyDescent="0.25">
      <c r="A2723" t="s">
        <v>4051</v>
      </c>
      <c r="B2723" t="s">
        <v>4063</v>
      </c>
      <c r="C2723" t="s">
        <v>4053</v>
      </c>
      <c r="D2723" t="s">
        <v>626</v>
      </c>
      <c r="E2723" t="s">
        <v>38</v>
      </c>
      <c r="F2723">
        <v>1763</v>
      </c>
      <c r="G2723">
        <v>2122</v>
      </c>
      <c r="H2723" t="s">
        <v>1184</v>
      </c>
      <c r="I2723" t="s">
        <v>87</v>
      </c>
      <c r="J2723" t="s">
        <v>4055</v>
      </c>
      <c r="K2723" t="s">
        <v>38</v>
      </c>
      <c r="L2723" t="s">
        <v>38</v>
      </c>
      <c r="M2723" t="s">
        <v>38</v>
      </c>
      <c r="N2723" t="s">
        <v>38</v>
      </c>
      <c r="O2723" t="s">
        <v>41</v>
      </c>
      <c r="P2723" t="s">
        <v>42</v>
      </c>
      <c r="Q2723" t="s">
        <v>43</v>
      </c>
      <c r="R2723" t="s">
        <v>89</v>
      </c>
      <c r="S2723" t="s">
        <v>38</v>
      </c>
      <c r="T2723" t="s">
        <v>89</v>
      </c>
      <c r="U2723" t="s">
        <v>38</v>
      </c>
      <c r="V2723" t="s">
        <v>740</v>
      </c>
      <c r="W2723" t="s">
        <v>92</v>
      </c>
      <c r="X2723" t="s">
        <v>38</v>
      </c>
      <c r="Y2723" t="s">
        <v>4064</v>
      </c>
      <c r="Z2723" t="s">
        <v>42</v>
      </c>
      <c r="AA2723" t="s">
        <v>38</v>
      </c>
      <c r="AB2723" t="s">
        <v>38</v>
      </c>
      <c r="AC2723" t="s">
        <v>38</v>
      </c>
      <c r="AD2723" t="s">
        <v>48</v>
      </c>
      <c r="AG2723" t="str">
        <f>IF(AD2723="United States", IFERROR(INDEX(Sheet2!$C:$C, MATCH(AE2723&amp;AF2723, Sheet2!$E:$E, 0)) &amp; ", " &amp; INDEX(Sheet2!$D:$D, MATCH(AE2723&amp;AF2723, Sheet2!$E:$E, 0)), ""), "-")</f>
        <v/>
      </c>
    </row>
    <row r="2724" spans="1:33" x14ac:dyDescent="0.25">
      <c r="A2724" t="s">
        <v>4051</v>
      </c>
      <c r="B2724" t="s">
        <v>4065</v>
      </c>
      <c r="C2724" t="s">
        <v>4053</v>
      </c>
      <c r="D2724" t="s">
        <v>256</v>
      </c>
      <c r="E2724" t="s">
        <v>38</v>
      </c>
      <c r="F2724">
        <v>1755</v>
      </c>
      <c r="G2724">
        <v>2121</v>
      </c>
      <c r="H2724" t="s">
        <v>1184</v>
      </c>
      <c r="I2724" t="s">
        <v>87</v>
      </c>
      <c r="J2724" t="s">
        <v>4055</v>
      </c>
      <c r="K2724" t="s">
        <v>38</v>
      </c>
      <c r="L2724" t="s">
        <v>38</v>
      </c>
      <c r="M2724" t="s">
        <v>38</v>
      </c>
      <c r="N2724" t="s">
        <v>38</v>
      </c>
      <c r="O2724" t="s">
        <v>57</v>
      </c>
      <c r="P2724" t="s">
        <v>42</v>
      </c>
      <c r="Q2724" t="s">
        <v>43</v>
      </c>
      <c r="R2724" t="s">
        <v>89</v>
      </c>
      <c r="S2724" t="s">
        <v>38</v>
      </c>
      <c r="T2724" t="s">
        <v>89</v>
      </c>
      <c r="U2724" t="s">
        <v>38</v>
      </c>
      <c r="V2724" t="s">
        <v>740</v>
      </c>
      <c r="W2724" t="s">
        <v>92</v>
      </c>
      <c r="X2724" t="s">
        <v>38</v>
      </c>
      <c r="Y2724" t="s">
        <v>4066</v>
      </c>
      <c r="Z2724" t="s">
        <v>42</v>
      </c>
      <c r="AA2724" t="s">
        <v>38</v>
      </c>
      <c r="AB2724" t="s">
        <v>38</v>
      </c>
      <c r="AC2724" t="s">
        <v>60</v>
      </c>
      <c r="AD2724" t="s">
        <v>48</v>
      </c>
      <c r="AG2724" t="str">
        <f>IF(AD2724="United States", IFERROR(INDEX(Sheet2!$C:$C, MATCH(AE2724&amp;AF2724, Sheet2!$E:$E, 0)) &amp; ", " &amp; INDEX(Sheet2!$D:$D, MATCH(AE2724&amp;AF2724, Sheet2!$E:$E, 0)), ""), "-")</f>
        <v/>
      </c>
    </row>
    <row r="2725" spans="1:33" x14ac:dyDescent="0.25">
      <c r="A2725" t="s">
        <v>4051</v>
      </c>
      <c r="B2725" t="s">
        <v>4067</v>
      </c>
      <c r="C2725" t="s">
        <v>4053</v>
      </c>
      <c r="D2725" t="s">
        <v>361</v>
      </c>
      <c r="E2725" t="s">
        <v>38</v>
      </c>
      <c r="F2725">
        <v>1755</v>
      </c>
      <c r="G2725">
        <v>2120</v>
      </c>
      <c r="H2725" t="s">
        <v>1184</v>
      </c>
      <c r="I2725" t="s">
        <v>87</v>
      </c>
      <c r="J2725" t="s">
        <v>4055</v>
      </c>
      <c r="K2725" t="s">
        <v>38</v>
      </c>
      <c r="L2725" t="s">
        <v>38</v>
      </c>
      <c r="M2725" t="s">
        <v>38</v>
      </c>
      <c r="N2725" t="s">
        <v>38</v>
      </c>
      <c r="O2725" t="s">
        <v>41</v>
      </c>
      <c r="P2725" t="s">
        <v>42</v>
      </c>
      <c r="Q2725" t="s">
        <v>43</v>
      </c>
      <c r="R2725" t="s">
        <v>89</v>
      </c>
      <c r="S2725" t="s">
        <v>153</v>
      </c>
      <c r="T2725" t="s">
        <v>89</v>
      </c>
      <c r="U2725" t="s">
        <v>38</v>
      </c>
      <c r="V2725" t="s">
        <v>740</v>
      </c>
      <c r="W2725" t="s">
        <v>92</v>
      </c>
      <c r="X2725" t="s">
        <v>38</v>
      </c>
      <c r="Y2725" t="s">
        <v>4068</v>
      </c>
      <c r="Z2725" t="s">
        <v>42</v>
      </c>
      <c r="AA2725" t="s">
        <v>4069</v>
      </c>
      <c r="AB2725" t="s">
        <v>38</v>
      </c>
      <c r="AC2725" t="s">
        <v>153</v>
      </c>
      <c r="AD2725" t="s">
        <v>48</v>
      </c>
      <c r="AG2725" t="str">
        <f>IF(AD2725="United States", IFERROR(INDEX(Sheet2!$C:$C, MATCH(AE2725&amp;AF2725, Sheet2!$E:$E, 0)) &amp; ", " &amp; INDEX(Sheet2!$D:$D, MATCH(AE2725&amp;AF2725, Sheet2!$E:$E, 0)), ""), "-")</f>
        <v/>
      </c>
    </row>
    <row r="2726" spans="1:33" x14ac:dyDescent="0.25">
      <c r="A2726" t="s">
        <v>4051</v>
      </c>
      <c r="B2726" t="s">
        <v>4070</v>
      </c>
      <c r="C2726" t="s">
        <v>4053</v>
      </c>
      <c r="D2726" t="s">
        <v>150</v>
      </c>
      <c r="E2726" t="s">
        <v>38</v>
      </c>
      <c r="F2726">
        <v>1731</v>
      </c>
      <c r="G2726">
        <v>2119</v>
      </c>
      <c r="H2726" t="s">
        <v>1184</v>
      </c>
      <c r="I2726" t="s">
        <v>87</v>
      </c>
      <c r="J2726" t="s">
        <v>4055</v>
      </c>
      <c r="K2726" t="s">
        <v>38</v>
      </c>
      <c r="L2726" t="s">
        <v>38</v>
      </c>
      <c r="M2726" t="s">
        <v>38</v>
      </c>
      <c r="N2726" t="s">
        <v>38</v>
      </c>
      <c r="O2726" t="s">
        <v>41</v>
      </c>
      <c r="P2726" t="s">
        <v>42</v>
      </c>
      <c r="Q2726" t="s">
        <v>43</v>
      </c>
      <c r="R2726" t="s">
        <v>89</v>
      </c>
      <c r="S2726" t="s">
        <v>165</v>
      </c>
      <c r="T2726" t="s">
        <v>89</v>
      </c>
      <c r="U2726" t="s">
        <v>38</v>
      </c>
      <c r="V2726" t="s">
        <v>740</v>
      </c>
      <c r="W2726" t="s">
        <v>92</v>
      </c>
      <c r="X2726" t="s">
        <v>38</v>
      </c>
      <c r="Y2726" t="s">
        <v>4068</v>
      </c>
      <c r="Z2726" t="s">
        <v>42</v>
      </c>
      <c r="AA2726" t="s">
        <v>166</v>
      </c>
      <c r="AB2726" t="s">
        <v>38</v>
      </c>
      <c r="AC2726" t="s">
        <v>165</v>
      </c>
      <c r="AD2726" t="s">
        <v>48</v>
      </c>
      <c r="AG2726" t="str">
        <f>IF(AD2726="United States", IFERROR(INDEX(Sheet2!$C:$C, MATCH(AE2726&amp;AF2726, Sheet2!$E:$E, 0)) &amp; ", " &amp; INDEX(Sheet2!$D:$D, MATCH(AE2726&amp;AF2726, Sheet2!$E:$E, 0)), ""), "-")</f>
        <v/>
      </c>
    </row>
    <row r="2727" spans="1:33" x14ac:dyDescent="0.25">
      <c r="A2727" t="s">
        <v>4051</v>
      </c>
      <c r="B2727" t="s">
        <v>4071</v>
      </c>
      <c r="C2727" t="s">
        <v>4053</v>
      </c>
      <c r="D2727" t="s">
        <v>1309</v>
      </c>
      <c r="E2727" t="s">
        <v>38</v>
      </c>
      <c r="F2727">
        <v>1753</v>
      </c>
      <c r="G2727">
        <v>2118</v>
      </c>
      <c r="H2727" t="s">
        <v>1184</v>
      </c>
      <c r="I2727" t="s">
        <v>87</v>
      </c>
      <c r="J2727" t="s">
        <v>4055</v>
      </c>
      <c r="K2727" t="s">
        <v>38</v>
      </c>
      <c r="L2727" t="s">
        <v>38</v>
      </c>
      <c r="M2727" t="s">
        <v>38</v>
      </c>
      <c r="N2727" t="s">
        <v>38</v>
      </c>
      <c r="O2727" t="s">
        <v>41</v>
      </c>
      <c r="P2727" t="s">
        <v>42</v>
      </c>
      <c r="Q2727" t="s">
        <v>43</v>
      </c>
      <c r="R2727" t="s">
        <v>89</v>
      </c>
      <c r="S2727" t="s">
        <v>38</v>
      </c>
      <c r="T2727" t="s">
        <v>89</v>
      </c>
      <c r="U2727" t="s">
        <v>38</v>
      </c>
      <c r="V2727" t="s">
        <v>740</v>
      </c>
      <c r="W2727" t="s">
        <v>92</v>
      </c>
      <c r="X2727" t="s">
        <v>38</v>
      </c>
      <c r="Y2727" t="s">
        <v>4072</v>
      </c>
      <c r="Z2727" t="s">
        <v>42</v>
      </c>
      <c r="AA2727" t="s">
        <v>38</v>
      </c>
      <c r="AB2727" t="s">
        <v>38</v>
      </c>
      <c r="AC2727" t="s">
        <v>38</v>
      </c>
      <c r="AD2727" t="s">
        <v>48</v>
      </c>
      <c r="AG2727" t="str">
        <f>IF(AD2727="United States", IFERROR(INDEX(Sheet2!$C:$C, MATCH(AE2727&amp;AF2727, Sheet2!$E:$E, 0)) &amp; ", " &amp; INDEX(Sheet2!$D:$D, MATCH(AE2727&amp;AF2727, Sheet2!$E:$E, 0)), ""), "-")</f>
        <v/>
      </c>
    </row>
    <row r="2728" spans="1:33" x14ac:dyDescent="0.25">
      <c r="A2728" t="s">
        <v>4051</v>
      </c>
      <c r="B2728" t="s">
        <v>4073</v>
      </c>
      <c r="C2728" t="s">
        <v>4053</v>
      </c>
      <c r="D2728" t="s">
        <v>1174</v>
      </c>
      <c r="E2728" t="s">
        <v>38</v>
      </c>
      <c r="F2728">
        <v>1760</v>
      </c>
      <c r="G2728">
        <v>2123</v>
      </c>
      <c r="H2728" t="s">
        <v>1184</v>
      </c>
      <c r="I2728" t="s">
        <v>87</v>
      </c>
      <c r="J2728" t="s">
        <v>4055</v>
      </c>
      <c r="K2728" t="s">
        <v>38</v>
      </c>
      <c r="L2728" t="s">
        <v>38</v>
      </c>
      <c r="M2728" t="s">
        <v>38</v>
      </c>
      <c r="N2728" t="s">
        <v>38</v>
      </c>
      <c r="O2728" t="s">
        <v>41</v>
      </c>
      <c r="P2728" t="s">
        <v>42</v>
      </c>
      <c r="Q2728" t="s">
        <v>43</v>
      </c>
      <c r="R2728" t="s">
        <v>89</v>
      </c>
      <c r="S2728" t="s">
        <v>153</v>
      </c>
      <c r="T2728" t="s">
        <v>89</v>
      </c>
      <c r="U2728" t="s">
        <v>38</v>
      </c>
      <c r="V2728" t="s">
        <v>740</v>
      </c>
      <c r="W2728" t="s">
        <v>92</v>
      </c>
      <c r="X2728" t="s">
        <v>38</v>
      </c>
      <c r="Y2728" t="s">
        <v>4074</v>
      </c>
      <c r="Z2728" t="s">
        <v>42</v>
      </c>
      <c r="AA2728" t="s">
        <v>155</v>
      </c>
      <c r="AB2728" t="s">
        <v>38</v>
      </c>
      <c r="AC2728" t="s">
        <v>153</v>
      </c>
      <c r="AD2728" t="s">
        <v>48</v>
      </c>
      <c r="AG2728" t="str">
        <f>IF(AD2728="United States", IFERROR(INDEX(Sheet2!$C:$C, MATCH(AE2728&amp;AF2728, Sheet2!$E:$E, 0)) &amp; ", " &amp; INDEX(Sheet2!$D:$D, MATCH(AE2728&amp;AF2728, Sheet2!$E:$E, 0)), ""), "-")</f>
        <v/>
      </c>
    </row>
    <row r="2729" spans="1:33" x14ac:dyDescent="0.25">
      <c r="A2729" t="s">
        <v>4051</v>
      </c>
      <c r="B2729" t="s">
        <v>4075</v>
      </c>
      <c r="C2729" t="s">
        <v>4053</v>
      </c>
      <c r="D2729" t="s">
        <v>834</v>
      </c>
      <c r="E2729" t="s">
        <v>1641</v>
      </c>
      <c r="F2729">
        <v>1743</v>
      </c>
      <c r="G2729">
        <v>2139</v>
      </c>
      <c r="H2729" t="s">
        <v>1184</v>
      </c>
      <c r="I2729" t="s">
        <v>87</v>
      </c>
      <c r="J2729" t="s">
        <v>4055</v>
      </c>
      <c r="K2729" t="s">
        <v>38</v>
      </c>
      <c r="L2729" t="s">
        <v>38</v>
      </c>
      <c r="M2729" t="s">
        <v>38</v>
      </c>
      <c r="N2729" t="s">
        <v>38</v>
      </c>
      <c r="O2729" t="s">
        <v>57</v>
      </c>
      <c r="P2729" t="s">
        <v>42</v>
      </c>
      <c r="Q2729" t="s">
        <v>43</v>
      </c>
      <c r="R2729" t="s">
        <v>89</v>
      </c>
      <c r="S2729" t="s">
        <v>201</v>
      </c>
      <c r="T2729" t="s">
        <v>89</v>
      </c>
      <c r="U2729" t="s">
        <v>38</v>
      </c>
      <c r="V2729" t="s">
        <v>740</v>
      </c>
      <c r="W2729" t="s">
        <v>92</v>
      </c>
      <c r="X2729" t="s">
        <v>38</v>
      </c>
      <c r="Y2729" t="s">
        <v>4076</v>
      </c>
      <c r="Z2729" t="s">
        <v>42</v>
      </c>
      <c r="AA2729" t="s">
        <v>265</v>
      </c>
      <c r="AB2729" t="s">
        <v>38</v>
      </c>
      <c r="AC2729" t="s">
        <v>201</v>
      </c>
      <c r="AD2729" t="s">
        <v>48</v>
      </c>
      <c r="AG2729" t="str">
        <f>IF(AD2729="United States", IFERROR(INDEX(Sheet2!$C:$C, MATCH(AE2729&amp;AF2729, Sheet2!$E:$E, 0)) &amp; ", " &amp; INDEX(Sheet2!$D:$D, MATCH(AE2729&amp;AF2729, Sheet2!$E:$E, 0)), ""), "-")</f>
        <v/>
      </c>
    </row>
    <row r="2730" spans="1:33" x14ac:dyDescent="0.25">
      <c r="A2730" t="s">
        <v>4051</v>
      </c>
      <c r="B2730" t="s">
        <v>4077</v>
      </c>
      <c r="C2730" t="s">
        <v>4053</v>
      </c>
      <c r="D2730" t="s">
        <v>104</v>
      </c>
      <c r="E2730" t="s">
        <v>1941</v>
      </c>
      <c r="F2730">
        <v>1733</v>
      </c>
      <c r="G2730">
        <v>2125</v>
      </c>
      <c r="H2730" t="s">
        <v>1184</v>
      </c>
      <c r="I2730" t="s">
        <v>87</v>
      </c>
      <c r="J2730" t="s">
        <v>4055</v>
      </c>
      <c r="K2730" t="s">
        <v>38</v>
      </c>
      <c r="L2730" t="s">
        <v>38</v>
      </c>
      <c r="M2730" t="s">
        <v>38</v>
      </c>
      <c r="N2730" t="s">
        <v>38</v>
      </c>
      <c r="O2730" t="s">
        <v>41</v>
      </c>
      <c r="P2730" t="s">
        <v>42</v>
      </c>
      <c r="Q2730" t="s">
        <v>43</v>
      </c>
      <c r="R2730" t="s">
        <v>89</v>
      </c>
      <c r="S2730" t="s">
        <v>45</v>
      </c>
      <c r="T2730" t="s">
        <v>89</v>
      </c>
      <c r="U2730" t="s">
        <v>38</v>
      </c>
      <c r="V2730" t="s">
        <v>740</v>
      </c>
      <c r="W2730" t="s">
        <v>92</v>
      </c>
      <c r="X2730" t="s">
        <v>38</v>
      </c>
      <c r="Y2730" t="s">
        <v>4059</v>
      </c>
      <c r="Z2730" t="s">
        <v>42</v>
      </c>
      <c r="AA2730" t="s">
        <v>169</v>
      </c>
      <c r="AB2730" t="s">
        <v>38</v>
      </c>
      <c r="AC2730" t="s">
        <v>45</v>
      </c>
      <c r="AD2730" t="s">
        <v>48</v>
      </c>
      <c r="AG2730" t="str">
        <f>IF(AD2730="United States", IFERROR(INDEX(Sheet2!$C:$C, MATCH(AE2730&amp;AF2730, Sheet2!$E:$E, 0)) &amp; ", " &amp; INDEX(Sheet2!$D:$D, MATCH(AE2730&amp;AF2730, Sheet2!$E:$E, 0)), ""), "-")</f>
        <v/>
      </c>
    </row>
    <row r="2731" spans="1:33" x14ac:dyDescent="0.25">
      <c r="A2731" t="s">
        <v>4051</v>
      </c>
      <c r="B2731" t="s">
        <v>4078</v>
      </c>
      <c r="C2731" t="s">
        <v>4053</v>
      </c>
      <c r="D2731" t="s">
        <v>63</v>
      </c>
      <c r="E2731" t="s">
        <v>4079</v>
      </c>
      <c r="F2731">
        <v>1763</v>
      </c>
      <c r="G2731">
        <v>2137</v>
      </c>
      <c r="H2731" t="s">
        <v>1184</v>
      </c>
      <c r="I2731" t="s">
        <v>87</v>
      </c>
      <c r="J2731" t="s">
        <v>4055</v>
      </c>
      <c r="K2731" t="s">
        <v>38</v>
      </c>
      <c r="L2731" t="s">
        <v>38</v>
      </c>
      <c r="M2731" t="s">
        <v>38</v>
      </c>
      <c r="N2731" t="s">
        <v>38</v>
      </c>
      <c r="O2731" t="s">
        <v>41</v>
      </c>
      <c r="P2731" t="s">
        <v>42</v>
      </c>
      <c r="Q2731" t="s">
        <v>43</v>
      </c>
      <c r="R2731" t="s">
        <v>89</v>
      </c>
      <c r="S2731" t="s">
        <v>201</v>
      </c>
      <c r="T2731" t="s">
        <v>89</v>
      </c>
      <c r="U2731" t="s">
        <v>38</v>
      </c>
      <c r="V2731" t="s">
        <v>740</v>
      </c>
      <c r="W2731" t="s">
        <v>92</v>
      </c>
      <c r="X2731" t="s">
        <v>38</v>
      </c>
      <c r="Y2731" t="s">
        <v>4068</v>
      </c>
      <c r="Z2731" t="s">
        <v>42</v>
      </c>
      <c r="AA2731" t="s">
        <v>265</v>
      </c>
      <c r="AB2731" t="s">
        <v>38</v>
      </c>
      <c r="AC2731" t="s">
        <v>201</v>
      </c>
      <c r="AD2731" t="s">
        <v>48</v>
      </c>
      <c r="AG2731" t="str">
        <f>IF(AD2731="United States", IFERROR(INDEX(Sheet2!$C:$C, MATCH(AE2731&amp;AF2731, Sheet2!$E:$E, 0)) &amp; ", " &amp; INDEX(Sheet2!$D:$D, MATCH(AE2731&amp;AF2731, Sheet2!$E:$E, 0)), ""), "-")</f>
        <v/>
      </c>
    </row>
    <row r="2732" spans="1:33" x14ac:dyDescent="0.25">
      <c r="A2732" t="s">
        <v>4051</v>
      </c>
      <c r="B2732" t="s">
        <v>4080</v>
      </c>
      <c r="C2732" t="s">
        <v>4053</v>
      </c>
      <c r="D2732" t="s">
        <v>797</v>
      </c>
      <c r="E2732" t="s">
        <v>4081</v>
      </c>
      <c r="F2732">
        <v>1748</v>
      </c>
      <c r="G2732">
        <v>2136</v>
      </c>
      <c r="H2732" t="s">
        <v>1184</v>
      </c>
      <c r="I2732" t="s">
        <v>87</v>
      </c>
      <c r="J2732" t="s">
        <v>4055</v>
      </c>
      <c r="K2732" t="s">
        <v>38</v>
      </c>
      <c r="L2732" t="s">
        <v>38</v>
      </c>
      <c r="M2732" t="s">
        <v>38</v>
      </c>
      <c r="N2732" t="s">
        <v>38</v>
      </c>
      <c r="O2732" t="s">
        <v>57</v>
      </c>
      <c r="P2732" t="s">
        <v>42</v>
      </c>
      <c r="Q2732" t="s">
        <v>43</v>
      </c>
      <c r="R2732" t="s">
        <v>89</v>
      </c>
      <c r="S2732" t="s">
        <v>38</v>
      </c>
      <c r="T2732" t="s">
        <v>89</v>
      </c>
      <c r="U2732" t="s">
        <v>38</v>
      </c>
      <c r="V2732" t="s">
        <v>740</v>
      </c>
      <c r="W2732" t="s">
        <v>92</v>
      </c>
      <c r="X2732" t="s">
        <v>38</v>
      </c>
      <c r="Y2732" t="s">
        <v>4068</v>
      </c>
      <c r="Z2732" t="s">
        <v>42</v>
      </c>
      <c r="AA2732" t="s">
        <v>38</v>
      </c>
      <c r="AB2732" t="s">
        <v>38</v>
      </c>
      <c r="AC2732" t="s">
        <v>166</v>
      </c>
      <c r="AD2732" t="s">
        <v>48</v>
      </c>
      <c r="AG2732" t="str">
        <f>IF(AD2732="United States", IFERROR(INDEX(Sheet2!$C:$C, MATCH(AE2732&amp;AF2732, Sheet2!$E:$E, 0)) &amp; ", " &amp; INDEX(Sheet2!$D:$D, MATCH(AE2732&amp;AF2732, Sheet2!$E:$E, 0)), ""), "-")</f>
        <v/>
      </c>
    </row>
    <row r="2733" spans="1:33" x14ac:dyDescent="0.25">
      <c r="A2733" t="s">
        <v>4051</v>
      </c>
      <c r="B2733" t="s">
        <v>4082</v>
      </c>
      <c r="C2733" t="s">
        <v>4053</v>
      </c>
      <c r="D2733" t="s">
        <v>1174</v>
      </c>
      <c r="E2733" t="s">
        <v>38</v>
      </c>
      <c r="F2733">
        <v>1780</v>
      </c>
      <c r="G2733">
        <v>2135</v>
      </c>
      <c r="H2733" t="s">
        <v>1184</v>
      </c>
      <c r="I2733" t="s">
        <v>87</v>
      </c>
      <c r="J2733" t="s">
        <v>4055</v>
      </c>
      <c r="K2733" t="s">
        <v>38</v>
      </c>
      <c r="L2733" t="s">
        <v>38</v>
      </c>
      <c r="M2733" t="s">
        <v>38</v>
      </c>
      <c r="N2733" t="s">
        <v>38</v>
      </c>
      <c r="O2733" t="s">
        <v>54</v>
      </c>
      <c r="P2733" t="s">
        <v>42</v>
      </c>
      <c r="Q2733" t="s">
        <v>43</v>
      </c>
      <c r="R2733" t="s">
        <v>89</v>
      </c>
      <c r="S2733" t="s">
        <v>38</v>
      </c>
      <c r="T2733" t="s">
        <v>89</v>
      </c>
      <c r="U2733" t="s">
        <v>38</v>
      </c>
      <c r="V2733" t="s">
        <v>740</v>
      </c>
      <c r="W2733" t="s">
        <v>92</v>
      </c>
      <c r="X2733" t="s">
        <v>38</v>
      </c>
      <c r="Y2733" t="s">
        <v>4083</v>
      </c>
      <c r="Z2733" t="s">
        <v>42</v>
      </c>
      <c r="AA2733" t="s">
        <v>38</v>
      </c>
      <c r="AB2733" t="s">
        <v>38</v>
      </c>
      <c r="AC2733" t="s">
        <v>38</v>
      </c>
      <c r="AD2733" t="s">
        <v>48</v>
      </c>
      <c r="AG2733" t="str">
        <f>IF(AD2733="United States", IFERROR(INDEX(Sheet2!$C:$C, MATCH(AE2733&amp;AF2733, Sheet2!$E:$E, 0)) &amp; ", " &amp; INDEX(Sheet2!$D:$D, MATCH(AE2733&amp;AF2733, Sheet2!$E:$E, 0)), ""), "-")</f>
        <v/>
      </c>
    </row>
    <row r="2734" spans="1:33" x14ac:dyDescent="0.25">
      <c r="A2734" t="s">
        <v>4051</v>
      </c>
      <c r="B2734" t="s">
        <v>4084</v>
      </c>
      <c r="C2734" t="s">
        <v>4053</v>
      </c>
      <c r="D2734" t="s">
        <v>3581</v>
      </c>
      <c r="E2734" t="s">
        <v>38</v>
      </c>
      <c r="F2734">
        <v>1766</v>
      </c>
      <c r="G2734">
        <v>2134</v>
      </c>
      <c r="H2734" t="s">
        <v>1184</v>
      </c>
      <c r="I2734" t="s">
        <v>87</v>
      </c>
      <c r="J2734" t="s">
        <v>4055</v>
      </c>
      <c r="K2734" t="s">
        <v>38</v>
      </c>
      <c r="L2734" t="s">
        <v>38</v>
      </c>
      <c r="M2734" t="s">
        <v>38</v>
      </c>
      <c r="N2734" t="s">
        <v>38</v>
      </c>
      <c r="O2734" t="s">
        <v>74</v>
      </c>
      <c r="P2734" t="s">
        <v>42</v>
      </c>
      <c r="Q2734" t="s">
        <v>43</v>
      </c>
      <c r="R2734" t="s">
        <v>89</v>
      </c>
      <c r="S2734" t="s">
        <v>38</v>
      </c>
      <c r="T2734" t="s">
        <v>89</v>
      </c>
      <c r="U2734" t="s">
        <v>38</v>
      </c>
      <c r="V2734" t="s">
        <v>740</v>
      </c>
      <c r="W2734" t="s">
        <v>92</v>
      </c>
      <c r="X2734" t="s">
        <v>38</v>
      </c>
      <c r="Y2734" t="s">
        <v>4083</v>
      </c>
      <c r="Z2734" t="s">
        <v>42</v>
      </c>
      <c r="AA2734" t="s">
        <v>38</v>
      </c>
      <c r="AB2734" t="s">
        <v>38</v>
      </c>
      <c r="AC2734" t="s">
        <v>4085</v>
      </c>
      <c r="AD2734" t="s">
        <v>48</v>
      </c>
      <c r="AG2734" t="str">
        <f>IF(AD2734="United States", IFERROR(INDEX(Sheet2!$C:$C, MATCH(AE2734&amp;AF2734, Sheet2!$E:$E, 0)) &amp; ", " &amp; INDEX(Sheet2!$D:$D, MATCH(AE2734&amp;AF2734, Sheet2!$E:$E, 0)), ""), "-")</f>
        <v/>
      </c>
    </row>
    <row r="2735" spans="1:33" x14ac:dyDescent="0.25">
      <c r="A2735" t="s">
        <v>4051</v>
      </c>
      <c r="B2735" t="s">
        <v>4086</v>
      </c>
      <c r="C2735" t="s">
        <v>4053</v>
      </c>
      <c r="D2735" t="s">
        <v>445</v>
      </c>
      <c r="E2735" t="s">
        <v>38</v>
      </c>
      <c r="F2735">
        <v>1753</v>
      </c>
      <c r="G2735">
        <v>2133</v>
      </c>
      <c r="H2735" t="s">
        <v>1184</v>
      </c>
      <c r="I2735" t="s">
        <v>87</v>
      </c>
      <c r="J2735" t="s">
        <v>4055</v>
      </c>
      <c r="K2735" t="s">
        <v>38</v>
      </c>
      <c r="L2735" t="s">
        <v>38</v>
      </c>
      <c r="M2735" t="s">
        <v>38</v>
      </c>
      <c r="N2735" t="s">
        <v>38</v>
      </c>
      <c r="O2735" t="s">
        <v>57</v>
      </c>
      <c r="P2735" t="s">
        <v>42</v>
      </c>
      <c r="Q2735" t="s">
        <v>43</v>
      </c>
      <c r="R2735" t="s">
        <v>89</v>
      </c>
      <c r="S2735" t="s">
        <v>38</v>
      </c>
      <c r="T2735" t="s">
        <v>89</v>
      </c>
      <c r="U2735" t="s">
        <v>38</v>
      </c>
      <c r="V2735" t="s">
        <v>740</v>
      </c>
      <c r="W2735" t="s">
        <v>92</v>
      </c>
      <c r="X2735" t="s">
        <v>38</v>
      </c>
      <c r="Y2735" t="s">
        <v>4083</v>
      </c>
      <c r="Z2735" t="s">
        <v>42</v>
      </c>
      <c r="AA2735" t="s">
        <v>38</v>
      </c>
      <c r="AB2735" t="s">
        <v>38</v>
      </c>
      <c r="AC2735" t="s">
        <v>38</v>
      </c>
      <c r="AD2735" t="s">
        <v>48</v>
      </c>
      <c r="AG2735" t="str">
        <f>IF(AD2735="United States", IFERROR(INDEX(Sheet2!$C:$C, MATCH(AE2735&amp;AF2735, Sheet2!$E:$E, 0)) &amp; ", " &amp; INDEX(Sheet2!$D:$D, MATCH(AE2735&amp;AF2735, Sheet2!$E:$E, 0)), ""), "-")</f>
        <v/>
      </c>
    </row>
    <row r="2736" spans="1:33" x14ac:dyDescent="0.25">
      <c r="A2736" t="s">
        <v>4051</v>
      </c>
      <c r="B2736" t="s">
        <v>4087</v>
      </c>
      <c r="C2736" t="s">
        <v>4053</v>
      </c>
      <c r="D2736" t="s">
        <v>352</v>
      </c>
      <c r="E2736" t="s">
        <v>38</v>
      </c>
      <c r="F2736">
        <v>1771</v>
      </c>
      <c r="G2736">
        <v>2132</v>
      </c>
      <c r="H2736" t="s">
        <v>1184</v>
      </c>
      <c r="I2736" t="s">
        <v>87</v>
      </c>
      <c r="J2736" t="s">
        <v>4055</v>
      </c>
      <c r="K2736" t="s">
        <v>38</v>
      </c>
      <c r="L2736" t="s">
        <v>38</v>
      </c>
      <c r="M2736" t="s">
        <v>38</v>
      </c>
      <c r="N2736" t="s">
        <v>38</v>
      </c>
      <c r="O2736" t="s">
        <v>74</v>
      </c>
      <c r="P2736" t="s">
        <v>42</v>
      </c>
      <c r="Q2736" t="s">
        <v>43</v>
      </c>
      <c r="R2736" t="s">
        <v>89</v>
      </c>
      <c r="S2736" t="s">
        <v>38</v>
      </c>
      <c r="T2736" t="s">
        <v>89</v>
      </c>
      <c r="U2736" t="s">
        <v>38</v>
      </c>
      <c r="V2736" t="s">
        <v>740</v>
      </c>
      <c r="W2736" t="s">
        <v>92</v>
      </c>
      <c r="X2736" t="s">
        <v>38</v>
      </c>
      <c r="Y2736" t="s">
        <v>4068</v>
      </c>
      <c r="Z2736" t="s">
        <v>42</v>
      </c>
      <c r="AA2736" t="s">
        <v>1735</v>
      </c>
      <c r="AB2736" t="s">
        <v>38</v>
      </c>
      <c r="AC2736" t="s">
        <v>166</v>
      </c>
      <c r="AD2736" t="s">
        <v>48</v>
      </c>
      <c r="AG2736" t="str">
        <f>IF(AD2736="United States", IFERROR(INDEX(Sheet2!$C:$C, MATCH(AE2736&amp;AF2736, Sheet2!$E:$E, 0)) &amp; ", " &amp; INDEX(Sheet2!$D:$D, MATCH(AE2736&amp;AF2736, Sheet2!$E:$E, 0)), ""), "-")</f>
        <v/>
      </c>
    </row>
    <row r="2737" spans="1:33" x14ac:dyDescent="0.25">
      <c r="A2737" t="s">
        <v>4051</v>
      </c>
      <c r="B2737" t="s">
        <v>4088</v>
      </c>
      <c r="C2737" t="s">
        <v>4053</v>
      </c>
      <c r="D2737" t="s">
        <v>1238</v>
      </c>
      <c r="E2737" t="s">
        <v>38</v>
      </c>
      <c r="F2737">
        <v>1769</v>
      </c>
      <c r="G2737">
        <v>2131</v>
      </c>
      <c r="H2737" t="s">
        <v>38</v>
      </c>
      <c r="I2737" t="s">
        <v>87</v>
      </c>
      <c r="J2737" t="s">
        <v>4055</v>
      </c>
      <c r="K2737" t="s">
        <v>38</v>
      </c>
      <c r="L2737" t="s">
        <v>38</v>
      </c>
      <c r="M2737" t="s">
        <v>38</v>
      </c>
      <c r="N2737" t="s">
        <v>38</v>
      </c>
      <c r="O2737" t="s">
        <v>74</v>
      </c>
      <c r="P2737" t="s">
        <v>42</v>
      </c>
      <c r="Q2737" t="s">
        <v>43</v>
      </c>
      <c r="R2737" t="s">
        <v>38</v>
      </c>
      <c r="S2737" t="s">
        <v>38</v>
      </c>
      <c r="T2737" t="s">
        <v>38</v>
      </c>
      <c r="U2737" t="s">
        <v>38</v>
      </c>
      <c r="V2737" t="s">
        <v>740</v>
      </c>
      <c r="W2737" t="s">
        <v>38</v>
      </c>
      <c r="X2737" t="s">
        <v>38</v>
      </c>
      <c r="Y2737" t="s">
        <v>4068</v>
      </c>
      <c r="Z2737" t="s">
        <v>42</v>
      </c>
      <c r="AA2737" t="s">
        <v>38</v>
      </c>
      <c r="AB2737" t="s">
        <v>38</v>
      </c>
      <c r="AC2737" t="s">
        <v>166</v>
      </c>
      <c r="AD2737" t="s">
        <v>48</v>
      </c>
      <c r="AG2737" t="str">
        <f>IF(AD2737="United States", IFERROR(INDEX(Sheet2!$C:$C, MATCH(AE2737&amp;AF2737, Sheet2!$E:$E, 0)) &amp; ", " &amp; INDEX(Sheet2!$D:$D, MATCH(AE2737&amp;AF2737, Sheet2!$E:$E, 0)), ""), "-")</f>
        <v/>
      </c>
    </row>
    <row r="2738" spans="1:33" x14ac:dyDescent="0.25">
      <c r="A2738" t="s">
        <v>4051</v>
      </c>
      <c r="B2738" t="s">
        <v>4089</v>
      </c>
      <c r="C2738" t="s">
        <v>4053</v>
      </c>
      <c r="D2738" t="s">
        <v>50</v>
      </c>
      <c r="E2738" t="s">
        <v>38</v>
      </c>
      <c r="F2738">
        <v>1773</v>
      </c>
      <c r="G2738">
        <v>2130</v>
      </c>
      <c r="H2738" t="s">
        <v>1184</v>
      </c>
      <c r="I2738" t="s">
        <v>87</v>
      </c>
      <c r="J2738" t="s">
        <v>4055</v>
      </c>
      <c r="K2738" t="s">
        <v>38</v>
      </c>
      <c r="L2738" t="s">
        <v>38</v>
      </c>
      <c r="M2738" t="s">
        <v>38</v>
      </c>
      <c r="N2738" t="s">
        <v>38</v>
      </c>
      <c r="O2738" t="s">
        <v>74</v>
      </c>
      <c r="P2738" t="s">
        <v>42</v>
      </c>
      <c r="Q2738" t="s">
        <v>43</v>
      </c>
      <c r="R2738" t="s">
        <v>89</v>
      </c>
      <c r="S2738" t="s">
        <v>38</v>
      </c>
      <c r="T2738" t="s">
        <v>89</v>
      </c>
      <c r="U2738" t="s">
        <v>38</v>
      </c>
      <c r="V2738" t="s">
        <v>740</v>
      </c>
      <c r="W2738" t="s">
        <v>92</v>
      </c>
      <c r="X2738" t="s">
        <v>38</v>
      </c>
      <c r="Y2738" t="s">
        <v>4072</v>
      </c>
      <c r="Z2738" t="s">
        <v>42</v>
      </c>
      <c r="AA2738" t="s">
        <v>38</v>
      </c>
      <c r="AB2738" t="s">
        <v>38</v>
      </c>
      <c r="AC2738" t="s">
        <v>38</v>
      </c>
      <c r="AD2738" t="s">
        <v>48</v>
      </c>
      <c r="AG2738" t="str">
        <f>IF(AD2738="United States", IFERROR(INDEX(Sheet2!$C:$C, MATCH(AE2738&amp;AF2738, Sheet2!$E:$E, 0)) &amp; ", " &amp; INDEX(Sheet2!$D:$D, MATCH(AE2738&amp;AF2738, Sheet2!$E:$E, 0)), ""), "-")</f>
        <v/>
      </c>
    </row>
    <row r="2739" spans="1:33" x14ac:dyDescent="0.25">
      <c r="A2739" t="s">
        <v>4051</v>
      </c>
      <c r="B2739" t="s">
        <v>4090</v>
      </c>
      <c r="C2739" t="s">
        <v>4053</v>
      </c>
      <c r="D2739" t="s">
        <v>1116</v>
      </c>
      <c r="E2739" t="s">
        <v>4091</v>
      </c>
      <c r="F2739">
        <v>1755</v>
      </c>
      <c r="G2739">
        <v>2129</v>
      </c>
      <c r="H2739" t="s">
        <v>1184</v>
      </c>
      <c r="I2739" t="s">
        <v>87</v>
      </c>
      <c r="J2739" t="s">
        <v>4055</v>
      </c>
      <c r="K2739" t="s">
        <v>38</v>
      </c>
      <c r="L2739" t="s">
        <v>38</v>
      </c>
      <c r="M2739" t="s">
        <v>38</v>
      </c>
      <c r="N2739" t="s">
        <v>38</v>
      </c>
      <c r="O2739" t="s">
        <v>41</v>
      </c>
      <c r="P2739" t="s">
        <v>42</v>
      </c>
      <c r="Q2739" t="s">
        <v>43</v>
      </c>
      <c r="R2739" t="s">
        <v>89</v>
      </c>
      <c r="S2739" t="s">
        <v>286</v>
      </c>
      <c r="T2739" t="s">
        <v>89</v>
      </c>
      <c r="U2739" t="s">
        <v>38</v>
      </c>
      <c r="V2739" t="s">
        <v>740</v>
      </c>
      <c r="W2739" t="s">
        <v>92</v>
      </c>
      <c r="X2739" t="s">
        <v>38</v>
      </c>
      <c r="Y2739" t="s">
        <v>4092</v>
      </c>
      <c r="Z2739" t="s">
        <v>42</v>
      </c>
      <c r="AA2739" t="s">
        <v>38</v>
      </c>
      <c r="AB2739" t="s">
        <v>38</v>
      </c>
      <c r="AC2739" t="s">
        <v>286</v>
      </c>
      <c r="AD2739" t="s">
        <v>48</v>
      </c>
      <c r="AG2739" t="str">
        <f>IF(AD2739="United States", IFERROR(INDEX(Sheet2!$C:$C, MATCH(AE2739&amp;AF2739, Sheet2!$E:$E, 0)) &amp; ", " &amp; INDEX(Sheet2!$D:$D, MATCH(AE2739&amp;AF2739, Sheet2!$E:$E, 0)), ""), "-")</f>
        <v/>
      </c>
    </row>
    <row r="2740" spans="1:33" x14ac:dyDescent="0.25">
      <c r="A2740" t="s">
        <v>4051</v>
      </c>
      <c r="B2740" t="s">
        <v>4093</v>
      </c>
      <c r="C2740" t="s">
        <v>4053</v>
      </c>
      <c r="D2740" t="s">
        <v>1174</v>
      </c>
      <c r="E2740" t="s">
        <v>133</v>
      </c>
      <c r="F2740">
        <v>1768</v>
      </c>
      <c r="G2740">
        <v>2128</v>
      </c>
      <c r="H2740" t="s">
        <v>1184</v>
      </c>
      <c r="I2740" t="s">
        <v>87</v>
      </c>
      <c r="J2740" t="s">
        <v>4055</v>
      </c>
      <c r="K2740" t="s">
        <v>38</v>
      </c>
      <c r="L2740" t="s">
        <v>38</v>
      </c>
      <c r="M2740" t="s">
        <v>38</v>
      </c>
      <c r="N2740" t="s">
        <v>38</v>
      </c>
      <c r="O2740" t="s">
        <v>54</v>
      </c>
      <c r="P2740" t="s">
        <v>42</v>
      </c>
      <c r="Q2740" t="s">
        <v>43</v>
      </c>
      <c r="R2740" t="s">
        <v>89</v>
      </c>
      <c r="S2740" t="s">
        <v>45</v>
      </c>
      <c r="T2740" t="s">
        <v>89</v>
      </c>
      <c r="U2740" t="s">
        <v>38</v>
      </c>
      <c r="V2740" t="s">
        <v>740</v>
      </c>
      <c r="W2740" t="s">
        <v>92</v>
      </c>
      <c r="X2740" t="s">
        <v>38</v>
      </c>
      <c r="Y2740" t="s">
        <v>2440</v>
      </c>
      <c r="Z2740" t="s">
        <v>42</v>
      </c>
      <c r="AA2740" t="s">
        <v>38</v>
      </c>
      <c r="AB2740" t="s">
        <v>38</v>
      </c>
      <c r="AC2740" t="s">
        <v>45</v>
      </c>
      <c r="AD2740" t="s">
        <v>48</v>
      </c>
      <c r="AG2740" t="str">
        <f>IF(AD2740="United States", IFERROR(INDEX(Sheet2!$C:$C, MATCH(AE2740&amp;AF2740, Sheet2!$E:$E, 0)) &amp; ", " &amp; INDEX(Sheet2!$D:$D, MATCH(AE2740&amp;AF2740, Sheet2!$E:$E, 0)), ""), "-")</f>
        <v/>
      </c>
    </row>
    <row r="2741" spans="1:33" x14ac:dyDescent="0.25">
      <c r="A2741" t="s">
        <v>4051</v>
      </c>
      <c r="B2741" t="s">
        <v>4094</v>
      </c>
      <c r="C2741" t="s">
        <v>4053</v>
      </c>
      <c r="D2741" t="s">
        <v>361</v>
      </c>
      <c r="E2741" t="s">
        <v>38</v>
      </c>
      <c r="F2741">
        <v>1723</v>
      </c>
      <c r="G2741">
        <v>2124</v>
      </c>
      <c r="H2741" t="s">
        <v>1184</v>
      </c>
      <c r="I2741" t="s">
        <v>87</v>
      </c>
      <c r="J2741" t="s">
        <v>4055</v>
      </c>
      <c r="K2741" t="s">
        <v>38</v>
      </c>
      <c r="L2741" t="s">
        <v>38</v>
      </c>
      <c r="M2741" t="s">
        <v>38</v>
      </c>
      <c r="N2741" t="s">
        <v>38</v>
      </c>
      <c r="O2741" t="s">
        <v>41</v>
      </c>
      <c r="P2741" t="s">
        <v>42</v>
      </c>
      <c r="Q2741" t="s">
        <v>43</v>
      </c>
      <c r="R2741" t="s">
        <v>89</v>
      </c>
      <c r="S2741" t="s">
        <v>201</v>
      </c>
      <c r="T2741" t="s">
        <v>89</v>
      </c>
      <c r="U2741" t="s">
        <v>38</v>
      </c>
      <c r="V2741" t="s">
        <v>740</v>
      </c>
      <c r="W2741" t="s">
        <v>92</v>
      </c>
      <c r="X2741" t="s">
        <v>38</v>
      </c>
      <c r="Y2741" t="s">
        <v>4068</v>
      </c>
      <c r="Z2741" t="s">
        <v>42</v>
      </c>
      <c r="AA2741" t="s">
        <v>38</v>
      </c>
      <c r="AB2741" t="s">
        <v>38</v>
      </c>
      <c r="AC2741" t="s">
        <v>201</v>
      </c>
      <c r="AD2741" t="s">
        <v>48</v>
      </c>
      <c r="AG2741" t="str">
        <f>IF(AD2741="United States", IFERROR(INDEX(Sheet2!$C:$C, MATCH(AE2741&amp;AF2741, Sheet2!$E:$E, 0)) &amp; ", " &amp; INDEX(Sheet2!$D:$D, MATCH(AE2741&amp;AF2741, Sheet2!$E:$E, 0)), ""), "-")</f>
        <v/>
      </c>
    </row>
    <row r="2742" spans="1:33" x14ac:dyDescent="0.25">
      <c r="A2742" t="s">
        <v>4051</v>
      </c>
      <c r="B2742" t="s">
        <v>4095</v>
      </c>
      <c r="C2742" t="s">
        <v>4053</v>
      </c>
      <c r="D2742" t="s">
        <v>357</v>
      </c>
      <c r="E2742" t="s">
        <v>4096</v>
      </c>
      <c r="F2742">
        <v>1758</v>
      </c>
      <c r="G2742">
        <v>2117</v>
      </c>
      <c r="H2742" t="s">
        <v>1184</v>
      </c>
      <c r="I2742" t="s">
        <v>87</v>
      </c>
      <c r="J2742" t="s">
        <v>4055</v>
      </c>
      <c r="K2742" t="s">
        <v>38</v>
      </c>
      <c r="L2742" t="s">
        <v>38</v>
      </c>
      <c r="M2742" t="s">
        <v>38</v>
      </c>
      <c r="N2742" t="s">
        <v>38</v>
      </c>
      <c r="O2742" t="s">
        <v>41</v>
      </c>
      <c r="P2742" t="s">
        <v>42</v>
      </c>
      <c r="Q2742" t="s">
        <v>43</v>
      </c>
      <c r="R2742" t="s">
        <v>89</v>
      </c>
      <c r="S2742" t="s">
        <v>201</v>
      </c>
      <c r="T2742" t="s">
        <v>89</v>
      </c>
      <c r="U2742" t="s">
        <v>38</v>
      </c>
      <c r="V2742" t="s">
        <v>740</v>
      </c>
      <c r="W2742" t="s">
        <v>92</v>
      </c>
      <c r="X2742" t="s">
        <v>38</v>
      </c>
      <c r="Y2742" t="s">
        <v>4097</v>
      </c>
      <c r="Z2742" t="s">
        <v>42</v>
      </c>
      <c r="AA2742" t="s">
        <v>4098</v>
      </c>
      <c r="AB2742" t="s">
        <v>38</v>
      </c>
      <c r="AC2742" t="s">
        <v>201</v>
      </c>
      <c r="AD2742" t="s">
        <v>48</v>
      </c>
      <c r="AG2742" t="str">
        <f>IF(AD2742="United States", IFERROR(INDEX(Sheet2!$C:$C, MATCH(AE2742&amp;AF2742, Sheet2!$E:$E, 0)) &amp; ", " &amp; INDEX(Sheet2!$D:$D, MATCH(AE2742&amp;AF2742, Sheet2!$E:$E, 0)), ""), "-")</f>
        <v/>
      </c>
    </row>
    <row r="2743" spans="1:33" x14ac:dyDescent="0.25">
      <c r="A2743" t="s">
        <v>4051</v>
      </c>
      <c r="B2743" t="s">
        <v>4099</v>
      </c>
      <c r="C2743" t="s">
        <v>4053</v>
      </c>
      <c r="D2743" t="s">
        <v>132</v>
      </c>
      <c r="E2743" t="s">
        <v>1606</v>
      </c>
      <c r="F2743">
        <v>1756</v>
      </c>
      <c r="G2743">
        <v>2138</v>
      </c>
      <c r="H2743" t="s">
        <v>1184</v>
      </c>
      <c r="I2743" t="s">
        <v>87</v>
      </c>
      <c r="J2743" t="s">
        <v>4055</v>
      </c>
      <c r="K2743" t="s">
        <v>38</v>
      </c>
      <c r="L2743" t="s">
        <v>38</v>
      </c>
      <c r="M2743" t="s">
        <v>38</v>
      </c>
      <c r="N2743" t="s">
        <v>38</v>
      </c>
      <c r="O2743" t="s">
        <v>41</v>
      </c>
      <c r="P2743" t="s">
        <v>42</v>
      </c>
      <c r="Q2743" t="s">
        <v>43</v>
      </c>
      <c r="R2743" t="s">
        <v>89</v>
      </c>
      <c r="S2743" t="s">
        <v>38</v>
      </c>
      <c r="T2743" t="s">
        <v>89</v>
      </c>
      <c r="U2743" t="s">
        <v>38</v>
      </c>
      <c r="V2743" t="s">
        <v>740</v>
      </c>
      <c r="W2743" t="s">
        <v>92</v>
      </c>
      <c r="X2743" t="s">
        <v>38</v>
      </c>
      <c r="Y2743" t="s">
        <v>4083</v>
      </c>
      <c r="Z2743" t="s">
        <v>42</v>
      </c>
      <c r="AA2743" t="s">
        <v>627</v>
      </c>
      <c r="AB2743" t="s">
        <v>38</v>
      </c>
      <c r="AC2743" t="s">
        <v>70</v>
      </c>
      <c r="AD2743" t="s">
        <v>48</v>
      </c>
      <c r="AG2743" t="str">
        <f>IF(AD2743="United States", IFERROR(INDEX(Sheet2!$C:$C, MATCH(AE2743&amp;AF2743, Sheet2!$E:$E, 0)) &amp; ", " &amp; INDEX(Sheet2!$D:$D, MATCH(AE2743&amp;AF2743, Sheet2!$E:$E, 0)), ""), "-")</f>
        <v/>
      </c>
    </row>
    <row r="2744" spans="1:33" x14ac:dyDescent="0.25">
      <c r="A2744" t="s">
        <v>4051</v>
      </c>
      <c r="B2744" t="s">
        <v>4100</v>
      </c>
      <c r="C2744" t="s">
        <v>4053</v>
      </c>
      <c r="D2744" t="s">
        <v>4101</v>
      </c>
      <c r="E2744" t="s">
        <v>1334</v>
      </c>
      <c r="F2744">
        <v>1763</v>
      </c>
      <c r="G2744">
        <v>2126</v>
      </c>
      <c r="H2744" t="s">
        <v>1184</v>
      </c>
      <c r="I2744" t="s">
        <v>87</v>
      </c>
      <c r="J2744" t="s">
        <v>4055</v>
      </c>
      <c r="K2744" t="s">
        <v>38</v>
      </c>
      <c r="L2744" t="s">
        <v>38</v>
      </c>
      <c r="M2744" t="s">
        <v>38</v>
      </c>
      <c r="N2744" t="s">
        <v>38</v>
      </c>
      <c r="O2744" t="s">
        <v>41</v>
      </c>
      <c r="P2744" t="s">
        <v>42</v>
      </c>
      <c r="Q2744" t="s">
        <v>43</v>
      </c>
      <c r="R2744" t="s">
        <v>89</v>
      </c>
      <c r="S2744" t="s">
        <v>38</v>
      </c>
      <c r="T2744" t="s">
        <v>89</v>
      </c>
      <c r="U2744" t="s">
        <v>38</v>
      </c>
      <c r="V2744" t="s">
        <v>740</v>
      </c>
      <c r="W2744" t="s">
        <v>92</v>
      </c>
      <c r="X2744" t="s">
        <v>38</v>
      </c>
      <c r="Y2744" t="s">
        <v>4083</v>
      </c>
      <c r="Z2744" t="s">
        <v>42</v>
      </c>
      <c r="AA2744" t="s">
        <v>38</v>
      </c>
      <c r="AB2744" t="s">
        <v>38</v>
      </c>
      <c r="AC2744" t="s">
        <v>38</v>
      </c>
      <c r="AD2744" t="s">
        <v>48</v>
      </c>
      <c r="AG2744" t="str">
        <f>IF(AD2744="United States", IFERROR(INDEX(Sheet2!$C:$C, MATCH(AE2744&amp;AF2744, Sheet2!$E:$E, 0)) &amp; ", " &amp; INDEX(Sheet2!$D:$D, MATCH(AE2744&amp;AF2744, Sheet2!$E:$E, 0)), ""), "-")</f>
        <v/>
      </c>
    </row>
    <row r="2745" spans="1:33" x14ac:dyDescent="0.25">
      <c r="A2745" t="s">
        <v>4051</v>
      </c>
      <c r="B2745" t="s">
        <v>4102</v>
      </c>
      <c r="C2745" t="s">
        <v>4053</v>
      </c>
      <c r="D2745" t="s">
        <v>569</v>
      </c>
      <c r="E2745" t="s">
        <v>4103</v>
      </c>
      <c r="F2745">
        <v>1765</v>
      </c>
      <c r="G2745">
        <v>2127</v>
      </c>
      <c r="H2745" t="s">
        <v>1184</v>
      </c>
      <c r="I2745" t="s">
        <v>87</v>
      </c>
      <c r="J2745" t="s">
        <v>4055</v>
      </c>
      <c r="K2745" t="s">
        <v>38</v>
      </c>
      <c r="L2745" t="s">
        <v>38</v>
      </c>
      <c r="M2745" t="s">
        <v>38</v>
      </c>
      <c r="N2745" t="s">
        <v>38</v>
      </c>
      <c r="O2745" t="s">
        <v>41</v>
      </c>
      <c r="P2745" t="s">
        <v>42</v>
      </c>
      <c r="Q2745" t="s">
        <v>43</v>
      </c>
      <c r="R2745" t="s">
        <v>89</v>
      </c>
      <c r="S2745" t="s">
        <v>38</v>
      </c>
      <c r="T2745" t="s">
        <v>89</v>
      </c>
      <c r="U2745" t="s">
        <v>38</v>
      </c>
      <c r="V2745" t="s">
        <v>740</v>
      </c>
      <c r="W2745" t="s">
        <v>92</v>
      </c>
      <c r="X2745" t="s">
        <v>38</v>
      </c>
      <c r="Y2745" t="s">
        <v>4092</v>
      </c>
      <c r="Z2745" t="s">
        <v>42</v>
      </c>
      <c r="AA2745" t="s">
        <v>38</v>
      </c>
      <c r="AB2745" t="s">
        <v>38</v>
      </c>
      <c r="AC2745" t="s">
        <v>38</v>
      </c>
      <c r="AD2745" t="s">
        <v>48</v>
      </c>
      <c r="AG2745" t="str">
        <f>IF(AD2745="United States", IFERROR(INDEX(Sheet2!$C:$C, MATCH(AE2745&amp;AF2745, Sheet2!$E:$E, 0)) &amp; ", " &amp; INDEX(Sheet2!$D:$D, MATCH(AE2745&amp;AF2745, Sheet2!$E:$E, 0)), ""), "-")</f>
        <v/>
      </c>
    </row>
    <row r="2746" spans="1:33" x14ac:dyDescent="0.25">
      <c r="A2746" t="s">
        <v>4104</v>
      </c>
      <c r="D2746" t="s">
        <v>186</v>
      </c>
      <c r="E2746" t="s">
        <v>187</v>
      </c>
      <c r="F2746" t="s">
        <v>38</v>
      </c>
      <c r="G2746">
        <v>886</v>
      </c>
      <c r="H2746">
        <v>39</v>
      </c>
      <c r="J2746" t="s">
        <v>4105</v>
      </c>
      <c r="O2746" t="s">
        <v>74</v>
      </c>
      <c r="R2746" t="s">
        <v>89</v>
      </c>
      <c r="T2746" t="s">
        <v>89</v>
      </c>
      <c r="V2746" t="s">
        <v>941</v>
      </c>
      <c r="W2746" t="s">
        <v>92</v>
      </c>
      <c r="Y2746" t="s">
        <v>38</v>
      </c>
      <c r="AA2746" t="s">
        <v>38</v>
      </c>
      <c r="AB2746" t="s">
        <v>38</v>
      </c>
      <c r="AC2746" t="s">
        <v>38</v>
      </c>
      <c r="AD2746" t="s">
        <v>48</v>
      </c>
      <c r="AG2746" t="str">
        <f>IF(AD2746="United States", IFERROR(INDEX(Sheet2!$C:$C, MATCH(AE2746&amp;AF2746, Sheet2!$E:$E, 0)) &amp; ", " &amp; INDEX(Sheet2!$D:$D, MATCH(AE2746&amp;AF2746, Sheet2!$E:$E, 0)), ""), "-")</f>
        <v/>
      </c>
    </row>
    <row r="2747" spans="1:33" x14ac:dyDescent="0.25">
      <c r="A2747" t="s">
        <v>4104</v>
      </c>
      <c r="D2747" t="s">
        <v>226</v>
      </c>
      <c r="E2747" t="s">
        <v>4106</v>
      </c>
      <c r="F2747">
        <v>1751</v>
      </c>
      <c r="G2747">
        <v>937</v>
      </c>
      <c r="H2747">
        <v>41</v>
      </c>
      <c r="J2747" t="s">
        <v>4105</v>
      </c>
      <c r="O2747" t="s">
        <v>41</v>
      </c>
      <c r="R2747" t="s">
        <v>89</v>
      </c>
      <c r="T2747" t="s">
        <v>89</v>
      </c>
      <c r="V2747" t="s">
        <v>4107</v>
      </c>
      <c r="W2747" t="s">
        <v>92</v>
      </c>
      <c r="Y2747" t="s">
        <v>38</v>
      </c>
      <c r="AA2747" t="s">
        <v>38</v>
      </c>
      <c r="AB2747" t="s">
        <v>38</v>
      </c>
      <c r="AC2747" t="s">
        <v>38</v>
      </c>
      <c r="AD2747" t="s">
        <v>48</v>
      </c>
      <c r="AG2747" t="str">
        <f>IF(AD2747="United States", IFERROR(INDEX(Sheet2!$C:$C, MATCH(AE2747&amp;AF2747, Sheet2!$E:$E, 0)) &amp; ", " &amp; INDEX(Sheet2!$D:$D, MATCH(AE2747&amp;AF2747, Sheet2!$E:$E, 0)), ""), "-")</f>
        <v/>
      </c>
    </row>
    <row r="2748" spans="1:33" x14ac:dyDescent="0.25">
      <c r="A2748" t="s">
        <v>4104</v>
      </c>
      <c r="B2748" t="s">
        <v>4108</v>
      </c>
      <c r="C2748" t="s">
        <v>4109</v>
      </c>
      <c r="D2748" t="s">
        <v>162</v>
      </c>
      <c r="E2748" t="s">
        <v>163</v>
      </c>
      <c r="F2748">
        <v>1772</v>
      </c>
      <c r="G2748">
        <v>806</v>
      </c>
      <c r="H2748" t="s">
        <v>269</v>
      </c>
      <c r="I2748" t="s">
        <v>39</v>
      </c>
      <c r="J2748" t="s">
        <v>4105</v>
      </c>
      <c r="K2748" t="s">
        <v>38</v>
      </c>
      <c r="L2748" t="s">
        <v>38</v>
      </c>
      <c r="M2748" t="s">
        <v>3013</v>
      </c>
      <c r="N2748" t="s">
        <v>298</v>
      </c>
      <c r="O2748" t="s">
        <v>54</v>
      </c>
      <c r="P2748" t="s">
        <v>42</v>
      </c>
      <c r="Q2748" t="s">
        <v>43</v>
      </c>
      <c r="R2748" t="s">
        <v>89</v>
      </c>
      <c r="S2748" t="s">
        <v>38</v>
      </c>
      <c r="T2748" t="s">
        <v>89</v>
      </c>
      <c r="U2748" t="s">
        <v>38</v>
      </c>
      <c r="V2748" t="s">
        <v>270</v>
      </c>
      <c r="W2748" t="s">
        <v>92</v>
      </c>
      <c r="X2748" t="s">
        <v>38</v>
      </c>
      <c r="Y2748" t="s">
        <v>4110</v>
      </c>
      <c r="Z2748" t="s">
        <v>42</v>
      </c>
      <c r="AA2748" t="s">
        <v>38</v>
      </c>
      <c r="AB2748" t="s">
        <v>38</v>
      </c>
      <c r="AC2748" t="s">
        <v>1171</v>
      </c>
      <c r="AD2748" t="s">
        <v>48</v>
      </c>
      <c r="AG2748" t="str">
        <f>IF(AD2748="United States", IFERROR(INDEX(Sheet2!$C:$C, MATCH(AE2748&amp;AF2748, Sheet2!$E:$E, 0)) &amp; ", " &amp; INDEX(Sheet2!$D:$D, MATCH(AE2748&amp;AF2748, Sheet2!$E:$E, 0)), ""), "-")</f>
        <v/>
      </c>
    </row>
    <row r="2749" spans="1:33" x14ac:dyDescent="0.25">
      <c r="A2749" t="s">
        <v>4104</v>
      </c>
      <c r="B2749" t="s">
        <v>4111</v>
      </c>
      <c r="C2749" t="s">
        <v>4112</v>
      </c>
      <c r="D2749" t="s">
        <v>210</v>
      </c>
      <c r="E2749" t="s">
        <v>793</v>
      </c>
      <c r="F2749">
        <v>1757</v>
      </c>
      <c r="G2749">
        <v>765</v>
      </c>
      <c r="H2749" t="s">
        <v>2179</v>
      </c>
      <c r="I2749" t="s">
        <v>39</v>
      </c>
      <c r="J2749" t="s">
        <v>4105</v>
      </c>
      <c r="K2749" t="s">
        <v>38</v>
      </c>
      <c r="L2749" t="s">
        <v>38</v>
      </c>
      <c r="M2749" t="s">
        <v>38</v>
      </c>
      <c r="N2749" t="s">
        <v>38</v>
      </c>
      <c r="O2749" t="s">
        <v>41</v>
      </c>
      <c r="P2749" t="s">
        <v>42</v>
      </c>
      <c r="Q2749" t="s">
        <v>43</v>
      </c>
      <c r="R2749" t="s">
        <v>89</v>
      </c>
      <c r="S2749" t="s">
        <v>45</v>
      </c>
      <c r="T2749" t="s">
        <v>89</v>
      </c>
      <c r="U2749" t="s">
        <v>38</v>
      </c>
      <c r="V2749" t="s">
        <v>270</v>
      </c>
      <c r="W2749" t="s">
        <v>92</v>
      </c>
      <c r="X2749" t="s">
        <v>38</v>
      </c>
      <c r="Y2749" t="s">
        <v>4105</v>
      </c>
      <c r="Z2749" t="s">
        <v>42</v>
      </c>
      <c r="AA2749" t="s">
        <v>169</v>
      </c>
      <c r="AB2749" t="s">
        <v>38</v>
      </c>
      <c r="AC2749" t="s">
        <v>45</v>
      </c>
      <c r="AD2749" t="s">
        <v>48</v>
      </c>
      <c r="AG2749" t="str">
        <f>IF(AD2749="United States", IFERROR(INDEX(Sheet2!$C:$C, MATCH(AE2749&amp;AF2749, Sheet2!$E:$E, 0)) &amp; ", " &amp; INDEX(Sheet2!$D:$D, MATCH(AE2749&amp;AF2749, Sheet2!$E:$E, 0)), ""), "-")</f>
        <v/>
      </c>
    </row>
    <row r="2750" spans="1:33" x14ac:dyDescent="0.25">
      <c r="A2750" t="s">
        <v>4104</v>
      </c>
      <c r="B2750" t="s">
        <v>4113</v>
      </c>
      <c r="C2750" t="s">
        <v>4112</v>
      </c>
      <c r="D2750" t="s">
        <v>210</v>
      </c>
      <c r="E2750" t="s">
        <v>4114</v>
      </c>
      <c r="F2750">
        <v>1780</v>
      </c>
      <c r="G2750">
        <v>764</v>
      </c>
      <c r="H2750" t="s">
        <v>2179</v>
      </c>
      <c r="I2750" t="s">
        <v>39</v>
      </c>
      <c r="J2750" t="s">
        <v>4105</v>
      </c>
      <c r="K2750" t="s">
        <v>38</v>
      </c>
      <c r="L2750" t="s">
        <v>38</v>
      </c>
      <c r="M2750" t="s">
        <v>38</v>
      </c>
      <c r="N2750" t="s">
        <v>38</v>
      </c>
      <c r="O2750" t="s">
        <v>54</v>
      </c>
      <c r="P2750" t="s">
        <v>42</v>
      </c>
      <c r="Q2750" t="s">
        <v>43</v>
      </c>
      <c r="R2750" t="s">
        <v>89</v>
      </c>
      <c r="S2750" t="s">
        <v>38</v>
      </c>
      <c r="T2750" t="s">
        <v>89</v>
      </c>
      <c r="U2750" t="s">
        <v>38</v>
      </c>
      <c r="V2750" t="s">
        <v>270</v>
      </c>
      <c r="W2750" t="s">
        <v>92</v>
      </c>
      <c r="X2750" t="s">
        <v>38</v>
      </c>
      <c r="Y2750" t="s">
        <v>38</v>
      </c>
      <c r="Z2750" t="s">
        <v>42</v>
      </c>
      <c r="AA2750" t="s">
        <v>38</v>
      </c>
      <c r="AB2750" t="s">
        <v>38</v>
      </c>
      <c r="AC2750" t="s">
        <v>38</v>
      </c>
      <c r="AD2750" t="s">
        <v>48</v>
      </c>
      <c r="AG2750" t="str">
        <f>IF(AD2750="United States", IFERROR(INDEX(Sheet2!$C:$C, MATCH(AE2750&amp;AF2750, Sheet2!$E:$E, 0)) &amp; ", " &amp; INDEX(Sheet2!$D:$D, MATCH(AE2750&amp;AF2750, Sheet2!$E:$E, 0)), ""), "-")</f>
        <v/>
      </c>
    </row>
    <row r="2751" spans="1:33" x14ac:dyDescent="0.25">
      <c r="A2751" t="s">
        <v>4104</v>
      </c>
      <c r="B2751" t="s">
        <v>4115</v>
      </c>
      <c r="C2751" t="s">
        <v>4112</v>
      </c>
      <c r="D2751" t="s">
        <v>245</v>
      </c>
      <c r="E2751" t="s">
        <v>793</v>
      </c>
      <c r="F2751">
        <v>1760</v>
      </c>
      <c r="G2751">
        <v>763</v>
      </c>
      <c r="H2751" t="s">
        <v>2179</v>
      </c>
      <c r="I2751" t="s">
        <v>39</v>
      </c>
      <c r="J2751" t="s">
        <v>4105</v>
      </c>
      <c r="K2751" t="s">
        <v>38</v>
      </c>
      <c r="L2751" t="s">
        <v>38</v>
      </c>
      <c r="M2751" t="s">
        <v>38</v>
      </c>
      <c r="N2751" t="s">
        <v>38</v>
      </c>
      <c r="O2751" t="s">
        <v>57</v>
      </c>
      <c r="P2751" t="s">
        <v>42</v>
      </c>
      <c r="Q2751" t="s">
        <v>43</v>
      </c>
      <c r="R2751" t="s">
        <v>89</v>
      </c>
      <c r="S2751" t="s">
        <v>153</v>
      </c>
      <c r="T2751" t="s">
        <v>89</v>
      </c>
      <c r="U2751" t="s">
        <v>38</v>
      </c>
      <c r="V2751" t="s">
        <v>270</v>
      </c>
      <c r="W2751" t="s">
        <v>92</v>
      </c>
      <c r="X2751" t="s">
        <v>38</v>
      </c>
      <c r="Y2751" t="s">
        <v>4105</v>
      </c>
      <c r="Z2751" t="s">
        <v>42</v>
      </c>
      <c r="AA2751" t="s">
        <v>4069</v>
      </c>
      <c r="AB2751" t="s">
        <v>38</v>
      </c>
      <c r="AC2751" t="s">
        <v>153</v>
      </c>
      <c r="AD2751" t="s">
        <v>48</v>
      </c>
      <c r="AG2751" t="str">
        <f>IF(AD2751="United States", IFERROR(INDEX(Sheet2!$C:$C, MATCH(AE2751&amp;AF2751, Sheet2!$E:$E, 0)) &amp; ", " &amp; INDEX(Sheet2!$D:$D, MATCH(AE2751&amp;AF2751, Sheet2!$E:$E, 0)), ""), "-")</f>
        <v/>
      </c>
    </row>
    <row r="2752" spans="1:33" x14ac:dyDescent="0.25">
      <c r="A2752" t="s">
        <v>4104</v>
      </c>
      <c r="B2752" t="s">
        <v>4116</v>
      </c>
      <c r="C2752" t="s">
        <v>4112</v>
      </c>
      <c r="D2752" t="s">
        <v>774</v>
      </c>
      <c r="E2752" t="s">
        <v>4117</v>
      </c>
      <c r="F2752">
        <v>1776</v>
      </c>
      <c r="G2752">
        <v>762</v>
      </c>
      <c r="H2752" t="s">
        <v>2179</v>
      </c>
      <c r="I2752" t="s">
        <v>39</v>
      </c>
      <c r="J2752" t="s">
        <v>4105</v>
      </c>
      <c r="K2752" t="s">
        <v>38</v>
      </c>
      <c r="L2752" t="s">
        <v>38</v>
      </c>
      <c r="M2752" t="s">
        <v>38</v>
      </c>
      <c r="N2752" t="s">
        <v>38</v>
      </c>
      <c r="O2752" t="s">
        <v>54</v>
      </c>
      <c r="P2752" t="s">
        <v>42</v>
      </c>
      <c r="Q2752" t="s">
        <v>43</v>
      </c>
      <c r="R2752" t="s">
        <v>89</v>
      </c>
      <c r="S2752" t="s">
        <v>417</v>
      </c>
      <c r="T2752" t="s">
        <v>89</v>
      </c>
      <c r="U2752" t="s">
        <v>38</v>
      </c>
      <c r="V2752" t="s">
        <v>270</v>
      </c>
      <c r="W2752" t="s">
        <v>92</v>
      </c>
      <c r="X2752" t="s">
        <v>38</v>
      </c>
      <c r="Y2752" t="s">
        <v>4118</v>
      </c>
      <c r="Z2752" t="s">
        <v>42</v>
      </c>
      <c r="AA2752" t="s">
        <v>4119</v>
      </c>
      <c r="AB2752" t="s">
        <v>417</v>
      </c>
      <c r="AC2752" t="s">
        <v>1727</v>
      </c>
      <c r="AD2752" t="s">
        <v>48</v>
      </c>
      <c r="AG2752" t="str">
        <f>IF(AD2752="United States", IFERROR(INDEX(Sheet2!$C:$C, MATCH(AE2752&amp;AF2752, Sheet2!$E:$E, 0)) &amp; ", " &amp; INDEX(Sheet2!$D:$D, MATCH(AE2752&amp;AF2752, Sheet2!$E:$E, 0)), ""), "-")</f>
        <v/>
      </c>
    </row>
    <row r="2753" spans="1:33" x14ac:dyDescent="0.25">
      <c r="A2753" t="s">
        <v>4104</v>
      </c>
      <c r="B2753" t="s">
        <v>4120</v>
      </c>
      <c r="C2753" t="s">
        <v>4112</v>
      </c>
      <c r="D2753" t="s">
        <v>1491</v>
      </c>
      <c r="E2753" t="s">
        <v>4117</v>
      </c>
      <c r="F2753">
        <v>1755</v>
      </c>
      <c r="G2753">
        <v>761</v>
      </c>
      <c r="H2753" t="s">
        <v>2179</v>
      </c>
      <c r="I2753" t="s">
        <v>39</v>
      </c>
      <c r="J2753" t="s">
        <v>4105</v>
      </c>
      <c r="K2753" t="s">
        <v>38</v>
      </c>
      <c r="L2753" t="s">
        <v>38</v>
      </c>
      <c r="M2753" t="s">
        <v>38</v>
      </c>
      <c r="N2753" t="s">
        <v>38</v>
      </c>
      <c r="O2753" t="s">
        <v>41</v>
      </c>
      <c r="P2753" t="s">
        <v>42</v>
      </c>
      <c r="Q2753" t="s">
        <v>43</v>
      </c>
      <c r="R2753" t="s">
        <v>89</v>
      </c>
      <c r="S2753" t="s">
        <v>417</v>
      </c>
      <c r="T2753" t="s">
        <v>89</v>
      </c>
      <c r="U2753" t="s">
        <v>38</v>
      </c>
      <c r="V2753" t="s">
        <v>270</v>
      </c>
      <c r="W2753" t="s">
        <v>92</v>
      </c>
      <c r="X2753" t="s">
        <v>38</v>
      </c>
      <c r="Y2753" t="s">
        <v>4118</v>
      </c>
      <c r="Z2753" t="s">
        <v>42</v>
      </c>
      <c r="AA2753" t="s">
        <v>4119</v>
      </c>
      <c r="AB2753" t="s">
        <v>417</v>
      </c>
      <c r="AC2753" t="s">
        <v>1727</v>
      </c>
      <c r="AD2753" t="s">
        <v>48</v>
      </c>
      <c r="AG2753" t="str">
        <f>IF(AD2753="United States", IFERROR(INDEX(Sheet2!$C:$C, MATCH(AE2753&amp;AF2753, Sheet2!$E:$E, 0)) &amp; ", " &amp; INDEX(Sheet2!$D:$D, MATCH(AE2753&amp;AF2753, Sheet2!$E:$E, 0)), ""), "-")</f>
        <v/>
      </c>
    </row>
    <row r="2754" spans="1:33" x14ac:dyDescent="0.25">
      <c r="A2754" t="s">
        <v>4104</v>
      </c>
      <c r="B2754" t="s">
        <v>4121</v>
      </c>
      <c r="C2754" t="s">
        <v>4109</v>
      </c>
      <c r="D2754" t="s">
        <v>3013</v>
      </c>
      <c r="E2754" t="s">
        <v>298</v>
      </c>
      <c r="F2754">
        <v>1756</v>
      </c>
      <c r="G2754">
        <v>805</v>
      </c>
      <c r="H2754" t="s">
        <v>269</v>
      </c>
      <c r="I2754" t="s">
        <v>39</v>
      </c>
      <c r="J2754" t="s">
        <v>4105</v>
      </c>
      <c r="K2754" t="s">
        <v>38</v>
      </c>
      <c r="L2754" t="s">
        <v>38</v>
      </c>
      <c r="M2754" t="s">
        <v>38</v>
      </c>
      <c r="N2754" t="s">
        <v>38</v>
      </c>
      <c r="O2754" t="s">
        <v>57</v>
      </c>
      <c r="P2754" t="s">
        <v>42</v>
      </c>
      <c r="Q2754" t="s">
        <v>43</v>
      </c>
      <c r="R2754" t="s">
        <v>89</v>
      </c>
      <c r="S2754" t="s">
        <v>89</v>
      </c>
      <c r="T2754" t="s">
        <v>89</v>
      </c>
      <c r="U2754" t="s">
        <v>38</v>
      </c>
      <c r="V2754" t="s">
        <v>270</v>
      </c>
      <c r="W2754" t="s">
        <v>92</v>
      </c>
      <c r="X2754" t="s">
        <v>38</v>
      </c>
      <c r="Y2754" t="s">
        <v>4110</v>
      </c>
      <c r="Z2754" t="s">
        <v>42</v>
      </c>
      <c r="AA2754" t="s">
        <v>180</v>
      </c>
      <c r="AB2754" t="s">
        <v>38</v>
      </c>
      <c r="AC2754" t="s">
        <v>89</v>
      </c>
      <c r="AD2754" t="s">
        <v>48</v>
      </c>
      <c r="AG2754" t="str">
        <f>IF(AD2754="United States", IFERROR(INDEX(Sheet2!$C:$C, MATCH(AE2754&amp;AF2754, Sheet2!$E:$E, 0)) &amp; ", " &amp; INDEX(Sheet2!$D:$D, MATCH(AE2754&amp;AF2754, Sheet2!$E:$E, 0)), ""), "-")</f>
        <v/>
      </c>
    </row>
    <row r="2755" spans="1:33" x14ac:dyDescent="0.25">
      <c r="A2755" t="s">
        <v>4122</v>
      </c>
      <c r="D2755" t="s">
        <v>132</v>
      </c>
      <c r="E2755" t="s">
        <v>4123</v>
      </c>
      <c r="F2755">
        <v>1755</v>
      </c>
      <c r="G2755">
        <v>1731</v>
      </c>
      <c r="H2755">
        <v>58</v>
      </c>
      <c r="J2755" t="s">
        <v>4124</v>
      </c>
      <c r="O2755" t="s">
        <v>41</v>
      </c>
      <c r="R2755" t="s">
        <v>89</v>
      </c>
      <c r="T2755" t="s">
        <v>89</v>
      </c>
      <c r="V2755" t="s">
        <v>1764</v>
      </c>
      <c r="W2755" t="s">
        <v>92</v>
      </c>
      <c r="Y2755" t="s">
        <v>38</v>
      </c>
      <c r="AA2755" t="s">
        <v>38</v>
      </c>
      <c r="AB2755" t="s">
        <v>38</v>
      </c>
      <c r="AC2755" t="s">
        <v>38</v>
      </c>
      <c r="AD2755" t="s">
        <v>48</v>
      </c>
      <c r="AG2755" t="str">
        <f>IF(AD2755="United States", IFERROR(INDEX(Sheet2!$C:$C, MATCH(AE2755&amp;AF2755, Sheet2!$E:$E, 0)) &amp; ", " &amp; INDEX(Sheet2!$D:$D, MATCH(AE2755&amp;AF2755, Sheet2!$E:$E, 0)), ""), "-")</f>
        <v/>
      </c>
    </row>
    <row r="2756" spans="1:33" x14ac:dyDescent="0.25">
      <c r="A2756" t="s">
        <v>4122</v>
      </c>
      <c r="D2756" t="s">
        <v>193</v>
      </c>
      <c r="E2756" t="s">
        <v>1858</v>
      </c>
      <c r="F2756">
        <v>1767</v>
      </c>
      <c r="G2756">
        <v>1732</v>
      </c>
      <c r="H2756">
        <v>58</v>
      </c>
      <c r="J2756" t="s">
        <v>4124</v>
      </c>
      <c r="O2756" t="s">
        <v>41</v>
      </c>
      <c r="R2756" t="s">
        <v>89</v>
      </c>
      <c r="T2756" t="s">
        <v>89</v>
      </c>
      <c r="V2756" t="s">
        <v>1764</v>
      </c>
      <c r="W2756" t="s">
        <v>92</v>
      </c>
      <c r="Y2756" t="s">
        <v>38</v>
      </c>
      <c r="AA2756" t="s">
        <v>38</v>
      </c>
      <c r="AB2756" t="s">
        <v>38</v>
      </c>
      <c r="AC2756" t="s">
        <v>38</v>
      </c>
      <c r="AD2756" t="s">
        <v>48</v>
      </c>
      <c r="AG2756" t="str">
        <f>IF(AD2756="United States", IFERROR(INDEX(Sheet2!$C:$C, MATCH(AE2756&amp;AF2756, Sheet2!$E:$E, 0)) &amp; ", " &amp; INDEX(Sheet2!$D:$D, MATCH(AE2756&amp;AF2756, Sheet2!$E:$E, 0)), ""), "-")</f>
        <v/>
      </c>
    </row>
    <row r="2757" spans="1:33" x14ac:dyDescent="0.25">
      <c r="A2757" t="s">
        <v>4125</v>
      </c>
      <c r="B2757" t="s">
        <v>4126</v>
      </c>
      <c r="C2757" t="s">
        <v>4127</v>
      </c>
      <c r="D2757" t="s">
        <v>193</v>
      </c>
      <c r="E2757" t="s">
        <v>1858</v>
      </c>
      <c r="F2757">
        <v>1767</v>
      </c>
      <c r="G2757">
        <v>1815</v>
      </c>
      <c r="H2757" t="s">
        <v>38</v>
      </c>
      <c r="I2757" t="s">
        <v>80</v>
      </c>
      <c r="J2757" t="s">
        <v>38</v>
      </c>
      <c r="K2757" t="s">
        <v>38</v>
      </c>
      <c r="L2757" t="s">
        <v>38</v>
      </c>
      <c r="M2757" t="s">
        <v>38</v>
      </c>
      <c r="N2757" t="s">
        <v>38</v>
      </c>
      <c r="O2757" t="s">
        <v>54</v>
      </c>
      <c r="P2757" t="s">
        <v>42</v>
      </c>
      <c r="Q2757" t="s">
        <v>43</v>
      </c>
      <c r="R2757" t="s">
        <v>38</v>
      </c>
      <c r="S2757" t="s">
        <v>38</v>
      </c>
      <c r="T2757" t="s">
        <v>38</v>
      </c>
      <c r="U2757" t="s">
        <v>38</v>
      </c>
      <c r="V2757" t="s">
        <v>38</v>
      </c>
      <c r="W2757" t="s">
        <v>38</v>
      </c>
      <c r="X2757" t="s">
        <v>38</v>
      </c>
      <c r="Y2757" t="s">
        <v>567</v>
      </c>
      <c r="Z2757" t="s">
        <v>42</v>
      </c>
      <c r="AA2757" t="s">
        <v>4128</v>
      </c>
      <c r="AB2757" t="s">
        <v>38</v>
      </c>
      <c r="AC2757" t="s">
        <v>67</v>
      </c>
      <c r="AD2757" t="s">
        <v>48</v>
      </c>
      <c r="AG2757" t="str">
        <f>IF(AD2757="United States", IFERROR(INDEX(Sheet2!$C:$C, MATCH(AE2757&amp;AF2757, Sheet2!$E:$E, 0)) &amp; ", " &amp; INDEX(Sheet2!$D:$D, MATCH(AE2757&amp;AF2757, Sheet2!$E:$E, 0)), ""), "-")</f>
        <v/>
      </c>
    </row>
    <row r="2758" spans="1:33" x14ac:dyDescent="0.25">
      <c r="A2758" t="s">
        <v>4125</v>
      </c>
      <c r="B2758" t="s">
        <v>4129</v>
      </c>
      <c r="C2758" t="s">
        <v>4127</v>
      </c>
      <c r="D2758" t="s">
        <v>132</v>
      </c>
      <c r="E2758" t="s">
        <v>4123</v>
      </c>
      <c r="F2758">
        <v>1755</v>
      </c>
      <c r="G2758">
        <v>1814</v>
      </c>
      <c r="H2758" t="s">
        <v>38</v>
      </c>
      <c r="I2758" t="s">
        <v>80</v>
      </c>
      <c r="J2758" t="s">
        <v>38</v>
      </c>
      <c r="K2758" t="s">
        <v>38</v>
      </c>
      <c r="L2758" t="s">
        <v>38</v>
      </c>
      <c r="M2758" t="s">
        <v>38</v>
      </c>
      <c r="N2758" t="s">
        <v>38</v>
      </c>
      <c r="O2758" t="s">
        <v>41</v>
      </c>
      <c r="P2758" t="s">
        <v>42</v>
      </c>
      <c r="Q2758" t="s">
        <v>43</v>
      </c>
      <c r="R2758" t="s">
        <v>4130</v>
      </c>
      <c r="S2758" t="s">
        <v>45</v>
      </c>
      <c r="T2758" t="s">
        <v>38</v>
      </c>
      <c r="U2758" t="s">
        <v>38</v>
      </c>
      <c r="V2758" t="s">
        <v>38</v>
      </c>
      <c r="W2758" t="s">
        <v>38</v>
      </c>
      <c r="X2758" t="s">
        <v>38</v>
      </c>
      <c r="Y2758" t="s">
        <v>38</v>
      </c>
      <c r="Z2758" t="s">
        <v>42</v>
      </c>
      <c r="AA2758" t="s">
        <v>2139</v>
      </c>
      <c r="AB2758" t="s">
        <v>4131</v>
      </c>
      <c r="AC2758" t="s">
        <v>45</v>
      </c>
      <c r="AD2758" t="s">
        <v>48</v>
      </c>
      <c r="AG2758" t="str">
        <f>IF(AD2758="United States", IFERROR(INDEX(Sheet2!$C:$C, MATCH(AE2758&amp;AF2758, Sheet2!$E:$E, 0)) &amp; ", " &amp; INDEX(Sheet2!$D:$D, MATCH(AE2758&amp;AF2758, Sheet2!$E:$E, 0)), ""), "-")</f>
        <v/>
      </c>
    </row>
    <row r="2759" spans="1:33" x14ac:dyDescent="0.25">
      <c r="A2759" t="s">
        <v>835</v>
      </c>
      <c r="B2759" t="s">
        <v>4132</v>
      </c>
      <c r="C2759" t="s">
        <v>4133</v>
      </c>
      <c r="D2759" t="s">
        <v>195</v>
      </c>
      <c r="E2759" t="s">
        <v>38</v>
      </c>
      <c r="F2759">
        <v>1773</v>
      </c>
      <c r="G2759">
        <v>747</v>
      </c>
      <c r="H2759" t="s">
        <v>4134</v>
      </c>
      <c r="I2759" t="s">
        <v>39</v>
      </c>
      <c r="J2759" t="s">
        <v>4135</v>
      </c>
      <c r="K2759" t="s">
        <v>38</v>
      </c>
      <c r="L2759" t="s">
        <v>38</v>
      </c>
      <c r="M2759" t="s">
        <v>38</v>
      </c>
      <c r="N2759" t="s">
        <v>38</v>
      </c>
      <c r="O2759" t="s">
        <v>54</v>
      </c>
      <c r="P2759" t="s">
        <v>42</v>
      </c>
      <c r="Q2759" t="s">
        <v>43</v>
      </c>
      <c r="R2759" t="s">
        <v>89</v>
      </c>
      <c r="S2759" t="s">
        <v>38</v>
      </c>
      <c r="T2759" t="s">
        <v>89</v>
      </c>
      <c r="U2759" t="s">
        <v>38</v>
      </c>
      <c r="V2759" t="s">
        <v>740</v>
      </c>
      <c r="W2759" t="s">
        <v>92</v>
      </c>
      <c r="X2759" t="s">
        <v>38</v>
      </c>
      <c r="Y2759" t="s">
        <v>4136</v>
      </c>
      <c r="Z2759" t="s">
        <v>42</v>
      </c>
      <c r="AA2759" t="s">
        <v>38</v>
      </c>
      <c r="AB2759" t="s">
        <v>38</v>
      </c>
      <c r="AC2759" t="s">
        <v>38</v>
      </c>
      <c r="AD2759" t="s">
        <v>48</v>
      </c>
      <c r="AG2759" t="str">
        <f>IF(AD2759="United States", IFERROR(INDEX(Sheet2!$C:$C, MATCH(AE2759&amp;AF2759, Sheet2!$E:$E, 0)) &amp; ", " &amp; INDEX(Sheet2!$D:$D, MATCH(AE2759&amp;AF2759, Sheet2!$E:$E, 0)), ""), "-")</f>
        <v/>
      </c>
    </row>
    <row r="2760" spans="1:33" x14ac:dyDescent="0.25">
      <c r="A2760" t="s">
        <v>835</v>
      </c>
      <c r="D2760" t="s">
        <v>4137</v>
      </c>
      <c r="E2760" t="s">
        <v>4138</v>
      </c>
      <c r="F2760" t="s">
        <v>38</v>
      </c>
      <c r="G2760">
        <v>829</v>
      </c>
      <c r="H2760">
        <v>37</v>
      </c>
      <c r="J2760" t="s">
        <v>4135</v>
      </c>
      <c r="O2760" t="s">
        <v>74</v>
      </c>
      <c r="R2760" t="s">
        <v>89</v>
      </c>
      <c r="T2760" t="s">
        <v>89</v>
      </c>
      <c r="V2760" t="s">
        <v>740</v>
      </c>
      <c r="W2760" t="s">
        <v>92</v>
      </c>
      <c r="Y2760" t="s">
        <v>38</v>
      </c>
      <c r="AA2760" t="s">
        <v>38</v>
      </c>
      <c r="AB2760" t="s">
        <v>38</v>
      </c>
      <c r="AC2760" t="s">
        <v>38</v>
      </c>
      <c r="AD2760" t="s">
        <v>48</v>
      </c>
      <c r="AG2760" t="str">
        <f>IF(AD2760="United States", IFERROR(INDEX(Sheet2!$C:$C, MATCH(AE2760&amp;AF2760, Sheet2!$E:$E, 0)) &amp; ", " &amp; INDEX(Sheet2!$D:$D, MATCH(AE2760&amp;AF2760, Sheet2!$E:$E, 0)), ""), "-")</f>
        <v/>
      </c>
    </row>
    <row r="2761" spans="1:33" x14ac:dyDescent="0.25">
      <c r="A2761" t="s">
        <v>835</v>
      </c>
      <c r="B2761" t="s">
        <v>4139</v>
      </c>
      <c r="C2761" t="s">
        <v>4140</v>
      </c>
      <c r="D2761" t="s">
        <v>132</v>
      </c>
      <c r="E2761" t="s">
        <v>37</v>
      </c>
      <c r="F2761">
        <v>1768</v>
      </c>
      <c r="G2761">
        <v>740</v>
      </c>
      <c r="H2761" t="s">
        <v>4134</v>
      </c>
      <c r="I2761" t="s">
        <v>39</v>
      </c>
      <c r="J2761" t="s">
        <v>4135</v>
      </c>
      <c r="K2761" t="s">
        <v>200</v>
      </c>
      <c r="L2761" t="s">
        <v>4141</v>
      </c>
      <c r="M2761" t="s">
        <v>38</v>
      </c>
      <c r="N2761" t="s">
        <v>38</v>
      </c>
      <c r="O2761" t="s">
        <v>54</v>
      </c>
      <c r="P2761" t="s">
        <v>42</v>
      </c>
      <c r="Q2761" t="s">
        <v>43</v>
      </c>
      <c r="R2761" t="s">
        <v>89</v>
      </c>
      <c r="S2761" t="s">
        <v>45</v>
      </c>
      <c r="T2761" t="s">
        <v>89</v>
      </c>
      <c r="U2761" t="s">
        <v>38</v>
      </c>
      <c r="V2761" t="s">
        <v>740</v>
      </c>
      <c r="W2761" t="s">
        <v>92</v>
      </c>
      <c r="X2761" t="s">
        <v>38</v>
      </c>
      <c r="Y2761" t="s">
        <v>4135</v>
      </c>
      <c r="Z2761" t="s">
        <v>42</v>
      </c>
      <c r="AA2761" t="s">
        <v>682</v>
      </c>
      <c r="AB2761" t="s">
        <v>38</v>
      </c>
      <c r="AC2761" t="s">
        <v>45</v>
      </c>
      <c r="AD2761" t="s">
        <v>48</v>
      </c>
      <c r="AG2761" t="str">
        <f>IF(AD2761="United States", IFERROR(INDEX(Sheet2!$C:$C, MATCH(AE2761&amp;AF2761, Sheet2!$E:$E, 0)) &amp; ", " &amp; INDEX(Sheet2!$D:$D, MATCH(AE2761&amp;AF2761, Sheet2!$E:$E, 0)), ""), "-")</f>
        <v/>
      </c>
    </row>
    <row r="2762" spans="1:33" x14ac:dyDescent="0.25">
      <c r="A2762" t="s">
        <v>835</v>
      </c>
      <c r="B2762" t="s">
        <v>4142</v>
      </c>
      <c r="C2762" t="s">
        <v>4140</v>
      </c>
      <c r="D2762" t="s">
        <v>1197</v>
      </c>
      <c r="E2762" t="s">
        <v>1337</v>
      </c>
      <c r="F2762">
        <v>1761</v>
      </c>
      <c r="G2762">
        <v>734</v>
      </c>
      <c r="H2762" t="s">
        <v>4134</v>
      </c>
      <c r="I2762" t="s">
        <v>39</v>
      </c>
      <c r="J2762" t="s">
        <v>4135</v>
      </c>
      <c r="K2762" t="s">
        <v>38</v>
      </c>
      <c r="L2762" t="s">
        <v>38</v>
      </c>
      <c r="M2762" t="s">
        <v>38</v>
      </c>
      <c r="N2762" t="s">
        <v>38</v>
      </c>
      <c r="O2762" t="s">
        <v>57</v>
      </c>
      <c r="P2762" t="s">
        <v>42</v>
      </c>
      <c r="Q2762" t="s">
        <v>43</v>
      </c>
      <c r="R2762" t="s">
        <v>89</v>
      </c>
      <c r="S2762" t="s">
        <v>201</v>
      </c>
      <c r="T2762" t="s">
        <v>89</v>
      </c>
      <c r="U2762" t="s">
        <v>38</v>
      </c>
      <c r="V2762" t="s">
        <v>740</v>
      </c>
      <c r="W2762" t="s">
        <v>92</v>
      </c>
      <c r="X2762" t="s">
        <v>38</v>
      </c>
      <c r="Y2762" t="s">
        <v>4143</v>
      </c>
      <c r="Z2762" t="s">
        <v>42</v>
      </c>
      <c r="AA2762" t="s">
        <v>846</v>
      </c>
      <c r="AB2762" t="s">
        <v>38</v>
      </c>
      <c r="AC2762" t="s">
        <v>201</v>
      </c>
      <c r="AD2762" t="s">
        <v>48</v>
      </c>
      <c r="AG2762" t="str">
        <f>IF(AD2762="United States", IFERROR(INDEX(Sheet2!$C:$C, MATCH(AE2762&amp;AF2762, Sheet2!$E:$E, 0)) &amp; ", " &amp; INDEX(Sheet2!$D:$D, MATCH(AE2762&amp;AF2762, Sheet2!$E:$E, 0)), ""), "-")</f>
        <v/>
      </c>
    </row>
    <row r="2763" spans="1:33" x14ac:dyDescent="0.25">
      <c r="A2763" t="s">
        <v>835</v>
      </c>
      <c r="B2763" t="s">
        <v>4144</v>
      </c>
      <c r="C2763" t="s">
        <v>4140</v>
      </c>
      <c r="D2763" t="s">
        <v>226</v>
      </c>
      <c r="E2763" t="s">
        <v>4145</v>
      </c>
      <c r="F2763">
        <v>1760</v>
      </c>
      <c r="G2763">
        <v>733</v>
      </c>
      <c r="H2763" t="s">
        <v>4134</v>
      </c>
      <c r="I2763" t="s">
        <v>39</v>
      </c>
      <c r="J2763" t="s">
        <v>4135</v>
      </c>
      <c r="K2763" t="s">
        <v>38</v>
      </c>
      <c r="L2763" t="s">
        <v>38</v>
      </c>
      <c r="M2763" t="s">
        <v>38</v>
      </c>
      <c r="N2763" t="s">
        <v>38</v>
      </c>
      <c r="O2763" t="s">
        <v>41</v>
      </c>
      <c r="P2763" t="s">
        <v>42</v>
      </c>
      <c r="Q2763" t="s">
        <v>43</v>
      </c>
      <c r="R2763" t="s">
        <v>89</v>
      </c>
      <c r="S2763" t="s">
        <v>45</v>
      </c>
      <c r="T2763" t="s">
        <v>89</v>
      </c>
      <c r="U2763" t="s">
        <v>38</v>
      </c>
      <c r="V2763" t="s">
        <v>740</v>
      </c>
      <c r="W2763" t="s">
        <v>92</v>
      </c>
      <c r="X2763" t="s">
        <v>38</v>
      </c>
      <c r="Y2763" t="s">
        <v>4146</v>
      </c>
      <c r="Z2763" t="s">
        <v>42</v>
      </c>
      <c r="AA2763" t="s">
        <v>38</v>
      </c>
      <c r="AB2763" t="s">
        <v>38</v>
      </c>
      <c r="AC2763" t="s">
        <v>45</v>
      </c>
      <c r="AD2763" t="s">
        <v>48</v>
      </c>
      <c r="AG2763" t="str">
        <f>IF(AD2763="United States", IFERROR(INDEX(Sheet2!$C:$C, MATCH(AE2763&amp;AF2763, Sheet2!$E:$E, 0)) &amp; ", " &amp; INDEX(Sheet2!$D:$D, MATCH(AE2763&amp;AF2763, Sheet2!$E:$E, 0)), ""), "-")</f>
        <v/>
      </c>
    </row>
    <row r="2764" spans="1:33" x14ac:dyDescent="0.25">
      <c r="A2764" t="s">
        <v>835</v>
      </c>
      <c r="B2764" t="s">
        <v>4147</v>
      </c>
      <c r="C2764" t="s">
        <v>4140</v>
      </c>
      <c r="D2764" t="s">
        <v>334</v>
      </c>
      <c r="E2764" t="s">
        <v>4148</v>
      </c>
      <c r="F2764">
        <v>1738</v>
      </c>
      <c r="G2764">
        <v>736</v>
      </c>
      <c r="H2764" t="s">
        <v>4134</v>
      </c>
      <c r="I2764" t="s">
        <v>39</v>
      </c>
      <c r="J2764" t="s">
        <v>4135</v>
      </c>
      <c r="K2764" t="s">
        <v>38</v>
      </c>
      <c r="L2764" t="s">
        <v>38</v>
      </c>
      <c r="M2764" t="s">
        <v>38</v>
      </c>
      <c r="N2764" t="s">
        <v>38</v>
      </c>
      <c r="O2764" t="s">
        <v>41</v>
      </c>
      <c r="P2764" t="s">
        <v>42</v>
      </c>
      <c r="Q2764" t="s">
        <v>43</v>
      </c>
      <c r="R2764" t="s">
        <v>89</v>
      </c>
      <c r="S2764" t="s">
        <v>38</v>
      </c>
      <c r="T2764" t="s">
        <v>89</v>
      </c>
      <c r="U2764" t="s">
        <v>38</v>
      </c>
      <c r="V2764" t="s">
        <v>740</v>
      </c>
      <c r="W2764" t="s">
        <v>92</v>
      </c>
      <c r="X2764" t="s">
        <v>38</v>
      </c>
      <c r="Y2764" t="s">
        <v>4143</v>
      </c>
      <c r="Z2764" t="s">
        <v>42</v>
      </c>
      <c r="AA2764" t="s">
        <v>38</v>
      </c>
      <c r="AB2764" t="s">
        <v>38</v>
      </c>
      <c r="AC2764" t="s">
        <v>846</v>
      </c>
      <c r="AD2764" t="s">
        <v>48</v>
      </c>
      <c r="AG2764" t="str">
        <f>IF(AD2764="United States", IFERROR(INDEX(Sheet2!$C:$C, MATCH(AE2764&amp;AF2764, Sheet2!$E:$E, 0)) &amp; ", " &amp; INDEX(Sheet2!$D:$D, MATCH(AE2764&amp;AF2764, Sheet2!$E:$E, 0)), ""), "-")</f>
        <v/>
      </c>
    </row>
    <row r="2765" spans="1:33" x14ac:dyDescent="0.25">
      <c r="A2765" t="s">
        <v>835</v>
      </c>
      <c r="B2765" t="s">
        <v>4149</v>
      </c>
      <c r="C2765" t="s">
        <v>4140</v>
      </c>
      <c r="D2765" t="s">
        <v>200</v>
      </c>
      <c r="E2765" t="s">
        <v>4141</v>
      </c>
      <c r="F2765">
        <v>1733</v>
      </c>
      <c r="G2765">
        <v>737</v>
      </c>
      <c r="H2765" t="s">
        <v>4134</v>
      </c>
      <c r="I2765" t="s">
        <v>39</v>
      </c>
      <c r="J2765" t="s">
        <v>4135</v>
      </c>
      <c r="K2765" t="s">
        <v>38</v>
      </c>
      <c r="L2765" t="s">
        <v>38</v>
      </c>
      <c r="M2765" t="s">
        <v>38</v>
      </c>
      <c r="N2765" t="s">
        <v>38</v>
      </c>
      <c r="O2765" t="s">
        <v>41</v>
      </c>
      <c r="P2765" t="s">
        <v>42</v>
      </c>
      <c r="Q2765" t="s">
        <v>43</v>
      </c>
      <c r="R2765" t="s">
        <v>89</v>
      </c>
      <c r="S2765" t="s">
        <v>201</v>
      </c>
      <c r="T2765" t="s">
        <v>89</v>
      </c>
      <c r="U2765" t="s">
        <v>38</v>
      </c>
      <c r="V2765" t="s">
        <v>740</v>
      </c>
      <c r="W2765" t="s">
        <v>92</v>
      </c>
      <c r="X2765" t="s">
        <v>38</v>
      </c>
      <c r="Y2765" t="s">
        <v>4143</v>
      </c>
      <c r="Z2765" t="s">
        <v>42</v>
      </c>
      <c r="AA2765" t="s">
        <v>4150</v>
      </c>
      <c r="AB2765" t="s">
        <v>38</v>
      </c>
      <c r="AC2765" t="s">
        <v>201</v>
      </c>
      <c r="AD2765" t="s">
        <v>48</v>
      </c>
      <c r="AG2765" t="str">
        <f>IF(AD2765="United States", IFERROR(INDEX(Sheet2!$C:$C, MATCH(AE2765&amp;AF2765, Sheet2!$E:$E, 0)) &amp; ", " &amp; INDEX(Sheet2!$D:$D, MATCH(AE2765&amp;AF2765, Sheet2!$E:$E, 0)), ""), "-")</f>
        <v/>
      </c>
    </row>
    <row r="2766" spans="1:33" x14ac:dyDescent="0.25">
      <c r="A2766" t="s">
        <v>835</v>
      </c>
      <c r="B2766" t="s">
        <v>4151</v>
      </c>
      <c r="C2766" t="s">
        <v>4140</v>
      </c>
      <c r="D2766" t="s">
        <v>4152</v>
      </c>
      <c r="E2766" t="s">
        <v>4153</v>
      </c>
      <c r="F2766">
        <v>1764</v>
      </c>
      <c r="G2766">
        <v>735</v>
      </c>
      <c r="H2766" t="s">
        <v>4134</v>
      </c>
      <c r="I2766" t="s">
        <v>39</v>
      </c>
      <c r="J2766" t="s">
        <v>4135</v>
      </c>
      <c r="K2766" t="s">
        <v>38</v>
      </c>
      <c r="L2766" t="s">
        <v>38</v>
      </c>
      <c r="M2766" t="s">
        <v>38</v>
      </c>
      <c r="N2766" t="s">
        <v>38</v>
      </c>
      <c r="O2766" t="s">
        <v>41</v>
      </c>
      <c r="P2766" t="s">
        <v>42</v>
      </c>
      <c r="Q2766" t="s">
        <v>43</v>
      </c>
      <c r="R2766" t="s">
        <v>89</v>
      </c>
      <c r="S2766" t="s">
        <v>201</v>
      </c>
      <c r="T2766" t="s">
        <v>89</v>
      </c>
      <c r="U2766" t="s">
        <v>38</v>
      </c>
      <c r="V2766" t="s">
        <v>740</v>
      </c>
      <c r="W2766" t="s">
        <v>92</v>
      </c>
      <c r="X2766" t="s">
        <v>38</v>
      </c>
      <c r="Y2766" t="s">
        <v>4143</v>
      </c>
      <c r="Z2766" t="s">
        <v>42</v>
      </c>
      <c r="AA2766" t="s">
        <v>38</v>
      </c>
      <c r="AB2766" t="s">
        <v>38</v>
      </c>
      <c r="AC2766" t="s">
        <v>201</v>
      </c>
      <c r="AD2766" t="s">
        <v>48</v>
      </c>
      <c r="AG2766" t="str">
        <f>IF(AD2766="United States", IFERROR(INDEX(Sheet2!$C:$C, MATCH(AE2766&amp;AF2766, Sheet2!$E:$E, 0)) &amp; ", " &amp; INDEX(Sheet2!$D:$D, MATCH(AE2766&amp;AF2766, Sheet2!$E:$E, 0)), ""), "-")</f>
        <v/>
      </c>
    </row>
    <row r="2767" spans="1:33" x14ac:dyDescent="0.25">
      <c r="A2767" t="s">
        <v>835</v>
      </c>
      <c r="B2767" t="s">
        <v>4154</v>
      </c>
      <c r="C2767" t="s">
        <v>4140</v>
      </c>
      <c r="D2767" t="s">
        <v>1197</v>
      </c>
      <c r="E2767" t="s">
        <v>4155</v>
      </c>
      <c r="F2767">
        <v>1739</v>
      </c>
      <c r="G2767">
        <v>739</v>
      </c>
      <c r="H2767" t="s">
        <v>4134</v>
      </c>
      <c r="I2767" t="s">
        <v>39</v>
      </c>
      <c r="J2767" t="s">
        <v>4135</v>
      </c>
      <c r="K2767" t="s">
        <v>38</v>
      </c>
      <c r="L2767" t="s">
        <v>38</v>
      </c>
      <c r="M2767" t="s">
        <v>38</v>
      </c>
      <c r="N2767" t="s">
        <v>38</v>
      </c>
      <c r="O2767" t="s">
        <v>57</v>
      </c>
      <c r="P2767" t="s">
        <v>42</v>
      </c>
      <c r="Q2767" t="s">
        <v>43</v>
      </c>
      <c r="R2767" t="s">
        <v>89</v>
      </c>
      <c r="S2767" t="s">
        <v>201</v>
      </c>
      <c r="T2767" t="s">
        <v>89</v>
      </c>
      <c r="U2767" t="s">
        <v>38</v>
      </c>
      <c r="V2767" t="s">
        <v>740</v>
      </c>
      <c r="W2767" t="s">
        <v>92</v>
      </c>
      <c r="X2767" t="s">
        <v>38</v>
      </c>
      <c r="Y2767" t="s">
        <v>4143</v>
      </c>
      <c r="Z2767" t="s">
        <v>42</v>
      </c>
      <c r="AA2767" t="s">
        <v>846</v>
      </c>
      <c r="AB2767" t="s">
        <v>38</v>
      </c>
      <c r="AC2767" t="s">
        <v>201</v>
      </c>
      <c r="AD2767" t="s">
        <v>48</v>
      </c>
      <c r="AG2767" t="str">
        <f>IF(AD2767="United States", IFERROR(INDEX(Sheet2!$C:$C, MATCH(AE2767&amp;AF2767, Sheet2!$E:$E, 0)) &amp; ", " &amp; INDEX(Sheet2!$D:$D, MATCH(AE2767&amp;AF2767, Sheet2!$E:$E, 0)), ""), "-")</f>
        <v/>
      </c>
    </row>
    <row r="2768" spans="1:33" x14ac:dyDescent="0.25">
      <c r="A2768" t="s">
        <v>835</v>
      </c>
      <c r="B2768" t="s">
        <v>4156</v>
      </c>
      <c r="C2768" t="s">
        <v>4133</v>
      </c>
      <c r="D2768" t="s">
        <v>4157</v>
      </c>
      <c r="E2768" t="s">
        <v>4158</v>
      </c>
      <c r="F2768">
        <v>1741</v>
      </c>
      <c r="G2768">
        <v>748</v>
      </c>
      <c r="H2768" t="s">
        <v>4134</v>
      </c>
      <c r="I2768" t="s">
        <v>39</v>
      </c>
      <c r="J2768" t="s">
        <v>4135</v>
      </c>
      <c r="K2768" t="s">
        <v>38</v>
      </c>
      <c r="L2768" t="s">
        <v>38</v>
      </c>
      <c r="M2768" t="s">
        <v>38</v>
      </c>
      <c r="N2768" t="s">
        <v>38</v>
      </c>
      <c r="O2768" t="s">
        <v>41</v>
      </c>
      <c r="P2768" t="s">
        <v>42</v>
      </c>
      <c r="Q2768" t="s">
        <v>43</v>
      </c>
      <c r="R2768" t="s">
        <v>89</v>
      </c>
      <c r="S2768" t="s">
        <v>165</v>
      </c>
      <c r="T2768" t="s">
        <v>89</v>
      </c>
      <c r="U2768" t="s">
        <v>38</v>
      </c>
      <c r="V2768" t="s">
        <v>740</v>
      </c>
      <c r="W2768" t="s">
        <v>92</v>
      </c>
      <c r="X2768" t="s">
        <v>38</v>
      </c>
      <c r="Y2768" t="s">
        <v>4159</v>
      </c>
      <c r="Z2768" t="s">
        <v>42</v>
      </c>
      <c r="AA2768" t="s">
        <v>38</v>
      </c>
      <c r="AB2768" t="s">
        <v>38</v>
      </c>
      <c r="AC2768" t="s">
        <v>165</v>
      </c>
      <c r="AD2768" t="s">
        <v>48</v>
      </c>
      <c r="AG2768" t="str">
        <f>IF(AD2768="United States", IFERROR(INDEX(Sheet2!$C:$C, MATCH(AE2768&amp;AF2768, Sheet2!$E:$E, 0)) &amp; ", " &amp; INDEX(Sheet2!$D:$D, MATCH(AE2768&amp;AF2768, Sheet2!$E:$E, 0)), ""), "-")</f>
        <v/>
      </c>
    </row>
    <row r="2769" spans="1:33" x14ac:dyDescent="0.25">
      <c r="A2769" t="s">
        <v>835</v>
      </c>
      <c r="B2769" t="s">
        <v>4160</v>
      </c>
      <c r="C2769" t="s">
        <v>4133</v>
      </c>
      <c r="D2769" t="s">
        <v>4161</v>
      </c>
      <c r="E2769" t="s">
        <v>4158</v>
      </c>
      <c r="F2769">
        <v>1748</v>
      </c>
      <c r="G2769">
        <v>749</v>
      </c>
      <c r="H2769" t="s">
        <v>4134</v>
      </c>
      <c r="I2769" t="s">
        <v>39</v>
      </c>
      <c r="J2769" t="s">
        <v>4135</v>
      </c>
      <c r="K2769" t="s">
        <v>38</v>
      </c>
      <c r="L2769" t="s">
        <v>38</v>
      </c>
      <c r="M2769" t="s">
        <v>38</v>
      </c>
      <c r="N2769" t="s">
        <v>38</v>
      </c>
      <c r="O2769" t="s">
        <v>57</v>
      </c>
      <c r="P2769" t="s">
        <v>42</v>
      </c>
      <c r="Q2769" t="s">
        <v>43</v>
      </c>
      <c r="R2769" t="s">
        <v>89</v>
      </c>
      <c r="S2769" t="s">
        <v>165</v>
      </c>
      <c r="T2769" t="s">
        <v>89</v>
      </c>
      <c r="U2769" t="s">
        <v>38</v>
      </c>
      <c r="V2769" t="s">
        <v>740</v>
      </c>
      <c r="W2769" t="s">
        <v>92</v>
      </c>
      <c r="X2769" t="s">
        <v>38</v>
      </c>
      <c r="Y2769" t="s">
        <v>4159</v>
      </c>
      <c r="Z2769" t="s">
        <v>42</v>
      </c>
      <c r="AA2769" t="s">
        <v>38</v>
      </c>
      <c r="AB2769" t="s">
        <v>38</v>
      </c>
      <c r="AC2769" t="s">
        <v>165</v>
      </c>
      <c r="AD2769" t="s">
        <v>48</v>
      </c>
      <c r="AG2769" t="str">
        <f>IF(AD2769="United States", IFERROR(INDEX(Sheet2!$C:$C, MATCH(AE2769&amp;AF2769, Sheet2!$E:$E, 0)) &amp; ", " &amp; INDEX(Sheet2!$D:$D, MATCH(AE2769&amp;AF2769, Sheet2!$E:$E, 0)), ""), "-")</f>
        <v/>
      </c>
    </row>
    <row r="2770" spans="1:33" x14ac:dyDescent="0.25">
      <c r="A2770" t="s">
        <v>835</v>
      </c>
      <c r="B2770" t="s">
        <v>4162</v>
      </c>
      <c r="C2770" t="s">
        <v>4133</v>
      </c>
      <c r="D2770" t="s">
        <v>235</v>
      </c>
      <c r="E2770" t="s">
        <v>4163</v>
      </c>
      <c r="F2770">
        <v>1776</v>
      </c>
      <c r="G2770">
        <v>750</v>
      </c>
      <c r="H2770" t="s">
        <v>4134</v>
      </c>
      <c r="I2770" t="s">
        <v>39</v>
      </c>
      <c r="J2770" t="s">
        <v>4135</v>
      </c>
      <c r="K2770" t="s">
        <v>38</v>
      </c>
      <c r="L2770" t="s">
        <v>38</v>
      </c>
      <c r="M2770" t="s">
        <v>38</v>
      </c>
      <c r="N2770" t="s">
        <v>38</v>
      </c>
      <c r="O2770" t="s">
        <v>54</v>
      </c>
      <c r="P2770" t="s">
        <v>42</v>
      </c>
      <c r="Q2770" t="s">
        <v>43</v>
      </c>
      <c r="R2770" t="s">
        <v>89</v>
      </c>
      <c r="S2770" t="s">
        <v>38</v>
      </c>
      <c r="T2770" t="s">
        <v>89</v>
      </c>
      <c r="U2770" t="s">
        <v>38</v>
      </c>
      <c r="V2770" t="s">
        <v>740</v>
      </c>
      <c r="W2770" t="s">
        <v>92</v>
      </c>
      <c r="X2770" t="s">
        <v>38</v>
      </c>
      <c r="Y2770" t="s">
        <v>38</v>
      </c>
      <c r="Z2770" t="s">
        <v>42</v>
      </c>
      <c r="AA2770" t="s">
        <v>38</v>
      </c>
      <c r="AB2770" t="s">
        <v>38</v>
      </c>
      <c r="AC2770" t="s">
        <v>55</v>
      </c>
      <c r="AD2770" t="s">
        <v>48</v>
      </c>
      <c r="AG2770" t="str">
        <f>IF(AD2770="United States", IFERROR(INDEX(Sheet2!$C:$C, MATCH(AE2770&amp;AF2770, Sheet2!$E:$E, 0)) &amp; ", " &amp; INDEX(Sheet2!$D:$D, MATCH(AE2770&amp;AF2770, Sheet2!$E:$E, 0)), ""), "-")</f>
        <v/>
      </c>
    </row>
    <row r="2771" spans="1:33" x14ac:dyDescent="0.25">
      <c r="A2771" t="s">
        <v>835</v>
      </c>
      <c r="B2771" t="s">
        <v>4164</v>
      </c>
      <c r="C2771" t="s">
        <v>4140</v>
      </c>
      <c r="D2771" t="s">
        <v>4165</v>
      </c>
      <c r="E2771" t="s">
        <v>4166</v>
      </c>
      <c r="F2771">
        <v>1769</v>
      </c>
      <c r="G2771">
        <v>738</v>
      </c>
      <c r="H2771" t="s">
        <v>4134</v>
      </c>
      <c r="I2771" t="s">
        <v>39</v>
      </c>
      <c r="J2771" t="s">
        <v>4135</v>
      </c>
      <c r="K2771" t="s">
        <v>38</v>
      </c>
      <c r="L2771" t="s">
        <v>38</v>
      </c>
      <c r="M2771" t="s">
        <v>38</v>
      </c>
      <c r="N2771" t="s">
        <v>38</v>
      </c>
      <c r="O2771" t="s">
        <v>54</v>
      </c>
      <c r="P2771" t="s">
        <v>42</v>
      </c>
      <c r="Q2771" t="s">
        <v>43</v>
      </c>
      <c r="R2771" t="s">
        <v>89</v>
      </c>
      <c r="S2771" t="s">
        <v>201</v>
      </c>
      <c r="T2771" t="s">
        <v>89</v>
      </c>
      <c r="U2771" t="s">
        <v>38</v>
      </c>
      <c r="V2771" t="s">
        <v>740</v>
      </c>
      <c r="W2771" t="s">
        <v>92</v>
      </c>
      <c r="X2771" t="s">
        <v>38</v>
      </c>
      <c r="Y2771" t="s">
        <v>4143</v>
      </c>
      <c r="Z2771" t="s">
        <v>42</v>
      </c>
      <c r="AA2771" t="s">
        <v>846</v>
      </c>
      <c r="AB2771" t="s">
        <v>38</v>
      </c>
      <c r="AC2771" t="s">
        <v>201</v>
      </c>
      <c r="AD2771" t="s">
        <v>48</v>
      </c>
      <c r="AG2771" t="str">
        <f>IF(AD2771="United States", IFERROR(INDEX(Sheet2!$C:$C, MATCH(AE2771&amp;AF2771, Sheet2!$E:$E, 0)) &amp; ", " &amp; INDEX(Sheet2!$D:$D, MATCH(AE2771&amp;AF2771, Sheet2!$E:$E, 0)), ""), "-")</f>
        <v/>
      </c>
    </row>
    <row r="2772" spans="1:33" x14ac:dyDescent="0.25">
      <c r="A2772" t="s">
        <v>835</v>
      </c>
      <c r="B2772" t="s">
        <v>4167</v>
      </c>
      <c r="C2772" t="s">
        <v>4133</v>
      </c>
      <c r="D2772" t="s">
        <v>458</v>
      </c>
      <c r="E2772" t="s">
        <v>38</v>
      </c>
      <c r="F2772">
        <v>1758</v>
      </c>
      <c r="G2772">
        <v>751</v>
      </c>
      <c r="H2772" t="s">
        <v>4134</v>
      </c>
      <c r="I2772" t="s">
        <v>39</v>
      </c>
      <c r="J2772" t="s">
        <v>4135</v>
      </c>
      <c r="K2772" t="s">
        <v>38</v>
      </c>
      <c r="L2772" t="s">
        <v>38</v>
      </c>
      <c r="M2772" t="s">
        <v>38</v>
      </c>
      <c r="N2772" t="s">
        <v>38</v>
      </c>
      <c r="O2772" t="s">
        <v>41</v>
      </c>
      <c r="P2772" t="s">
        <v>42</v>
      </c>
      <c r="Q2772" t="s">
        <v>43</v>
      </c>
      <c r="R2772" t="s">
        <v>89</v>
      </c>
      <c r="S2772" t="s">
        <v>89</v>
      </c>
      <c r="T2772" t="s">
        <v>89</v>
      </c>
      <c r="U2772" t="s">
        <v>38</v>
      </c>
      <c r="V2772" t="s">
        <v>740</v>
      </c>
      <c r="W2772" t="s">
        <v>92</v>
      </c>
      <c r="X2772" t="s">
        <v>38</v>
      </c>
      <c r="Y2772" t="s">
        <v>4159</v>
      </c>
      <c r="Z2772" t="s">
        <v>42</v>
      </c>
      <c r="AA2772" t="s">
        <v>4168</v>
      </c>
      <c r="AB2772" t="s">
        <v>38</v>
      </c>
      <c r="AC2772" t="s">
        <v>89</v>
      </c>
      <c r="AD2772" t="s">
        <v>48</v>
      </c>
      <c r="AG2772" t="str">
        <f>IF(AD2772="United States", IFERROR(INDEX(Sheet2!$C:$C, MATCH(AE2772&amp;AF2772, Sheet2!$E:$E, 0)) &amp; ", " &amp; INDEX(Sheet2!$D:$D, MATCH(AE2772&amp;AF2772, Sheet2!$E:$E, 0)), ""), "-")</f>
        <v/>
      </c>
    </row>
    <row r="2773" spans="1:33" x14ac:dyDescent="0.25">
      <c r="A2773" t="s">
        <v>835</v>
      </c>
      <c r="B2773" t="s">
        <v>4169</v>
      </c>
      <c r="C2773" t="s">
        <v>4133</v>
      </c>
      <c r="D2773" t="s">
        <v>1778</v>
      </c>
      <c r="E2773" t="s">
        <v>1779</v>
      </c>
      <c r="F2773">
        <v>1768</v>
      </c>
      <c r="G2773">
        <v>2698</v>
      </c>
      <c r="I2773" t="s">
        <v>39</v>
      </c>
      <c r="J2773" t="s">
        <v>4135</v>
      </c>
      <c r="M2773" t="s">
        <v>578</v>
      </c>
      <c r="N2773" t="s">
        <v>1780</v>
      </c>
      <c r="O2773" t="s">
        <v>74</v>
      </c>
      <c r="P2773" t="s">
        <v>42</v>
      </c>
      <c r="Q2773" t="s">
        <v>43</v>
      </c>
      <c r="R2773" t="s">
        <v>1781</v>
      </c>
      <c r="S2773" t="s">
        <v>89</v>
      </c>
      <c r="V2773" t="s">
        <v>740</v>
      </c>
      <c r="Y2773" t="s">
        <v>38</v>
      </c>
      <c r="Z2773" t="s">
        <v>42</v>
      </c>
      <c r="AA2773" t="s">
        <v>1782</v>
      </c>
      <c r="AB2773" t="s">
        <v>1783</v>
      </c>
      <c r="AC2773" t="s">
        <v>89</v>
      </c>
      <c r="AD2773" t="s">
        <v>48</v>
      </c>
      <c r="AG2773" t="str">
        <f>IF(AD2773="United States", IFERROR(INDEX(Sheet2!$C:$C, MATCH(AE2773&amp;AF2773, Sheet2!$E:$E, 0)) &amp; ", " &amp; INDEX(Sheet2!$D:$D, MATCH(AE2773&amp;AF2773, Sheet2!$E:$E, 0)), ""), "-")</f>
        <v/>
      </c>
    </row>
    <row r="2774" spans="1:33" x14ac:dyDescent="0.25">
      <c r="A2774" t="s">
        <v>835</v>
      </c>
      <c r="B2774" t="s">
        <v>4170</v>
      </c>
      <c r="C2774" t="s">
        <v>4133</v>
      </c>
      <c r="D2774" t="s">
        <v>556</v>
      </c>
      <c r="E2774" t="s">
        <v>38</v>
      </c>
      <c r="F2774">
        <v>1748</v>
      </c>
      <c r="G2774">
        <v>752</v>
      </c>
      <c r="H2774" t="s">
        <v>4134</v>
      </c>
      <c r="I2774" t="s">
        <v>39</v>
      </c>
      <c r="J2774" t="s">
        <v>4135</v>
      </c>
      <c r="K2774" t="s">
        <v>38</v>
      </c>
      <c r="L2774" t="s">
        <v>38</v>
      </c>
      <c r="M2774" t="s">
        <v>38</v>
      </c>
      <c r="N2774" t="s">
        <v>38</v>
      </c>
      <c r="O2774" t="s">
        <v>41</v>
      </c>
      <c r="P2774" t="s">
        <v>42</v>
      </c>
      <c r="Q2774" t="s">
        <v>43</v>
      </c>
      <c r="R2774" t="s">
        <v>89</v>
      </c>
      <c r="S2774" t="s">
        <v>38</v>
      </c>
      <c r="T2774" t="s">
        <v>89</v>
      </c>
      <c r="U2774" t="s">
        <v>38</v>
      </c>
      <c r="V2774" t="s">
        <v>740</v>
      </c>
      <c r="W2774" t="s">
        <v>92</v>
      </c>
      <c r="X2774" t="s">
        <v>38</v>
      </c>
      <c r="Y2774" t="s">
        <v>4171</v>
      </c>
      <c r="Z2774" t="s">
        <v>42</v>
      </c>
      <c r="AA2774" t="s">
        <v>38</v>
      </c>
      <c r="AB2774" t="s">
        <v>38</v>
      </c>
      <c r="AC2774" t="s">
        <v>38</v>
      </c>
      <c r="AD2774" t="s">
        <v>48</v>
      </c>
      <c r="AG2774" t="str">
        <f>IF(AD2774="United States", IFERROR(INDEX(Sheet2!$C:$C, MATCH(AE2774&amp;AF2774, Sheet2!$E:$E, 0)) &amp; ", " &amp; INDEX(Sheet2!$D:$D, MATCH(AE2774&amp;AF2774, Sheet2!$E:$E, 0)), ""), "-")</f>
        <v/>
      </c>
    </row>
    <row r="2775" spans="1:33" x14ac:dyDescent="0.25">
      <c r="A2775" t="s">
        <v>835</v>
      </c>
      <c r="B2775" t="s">
        <v>4172</v>
      </c>
      <c r="C2775" t="s">
        <v>4133</v>
      </c>
      <c r="D2775" t="s">
        <v>4173</v>
      </c>
      <c r="E2775" t="s">
        <v>4174</v>
      </c>
      <c r="F2775">
        <v>1775</v>
      </c>
      <c r="G2775">
        <v>753</v>
      </c>
      <c r="H2775" t="s">
        <v>38</v>
      </c>
      <c r="I2775" t="s">
        <v>39</v>
      </c>
      <c r="J2775" t="s">
        <v>4135</v>
      </c>
      <c r="K2775" t="s">
        <v>38</v>
      </c>
      <c r="L2775" t="s">
        <v>38</v>
      </c>
      <c r="M2775" t="s">
        <v>38</v>
      </c>
      <c r="N2775" t="s">
        <v>38</v>
      </c>
      <c r="O2775" t="s">
        <v>54</v>
      </c>
      <c r="P2775" t="s">
        <v>42</v>
      </c>
      <c r="Q2775" t="s">
        <v>43</v>
      </c>
      <c r="R2775" t="s">
        <v>38</v>
      </c>
      <c r="S2775" t="s">
        <v>38</v>
      </c>
      <c r="T2775" t="s">
        <v>38</v>
      </c>
      <c r="U2775" t="s">
        <v>38</v>
      </c>
      <c r="V2775" t="s">
        <v>740</v>
      </c>
      <c r="W2775" t="s">
        <v>38</v>
      </c>
      <c r="X2775" t="s">
        <v>38</v>
      </c>
      <c r="Y2775" t="s">
        <v>38</v>
      </c>
      <c r="Z2775" t="s">
        <v>42</v>
      </c>
      <c r="AA2775" t="s">
        <v>38</v>
      </c>
      <c r="AB2775" t="s">
        <v>38</v>
      </c>
      <c r="AC2775" t="s">
        <v>38</v>
      </c>
      <c r="AD2775" t="s">
        <v>48</v>
      </c>
      <c r="AG2775" t="str">
        <f>IF(AD2775="United States", IFERROR(INDEX(Sheet2!$C:$C, MATCH(AE2775&amp;AF2775, Sheet2!$E:$E, 0)) &amp; ", " &amp; INDEX(Sheet2!$D:$D, MATCH(AE2775&amp;AF2775, Sheet2!$E:$E, 0)), ""), "-")</f>
        <v/>
      </c>
    </row>
    <row r="2776" spans="1:33" x14ac:dyDescent="0.25">
      <c r="A2776" t="s">
        <v>1746</v>
      </c>
      <c r="D2776" t="s">
        <v>4175</v>
      </c>
      <c r="E2776" t="s">
        <v>531</v>
      </c>
      <c r="F2776">
        <v>1758</v>
      </c>
      <c r="G2776">
        <v>63</v>
      </c>
      <c r="H2776">
        <v>18</v>
      </c>
      <c r="J2776" t="s">
        <v>4176</v>
      </c>
      <c r="O2776" t="s">
        <v>57</v>
      </c>
      <c r="R2776" t="s">
        <v>89</v>
      </c>
      <c r="T2776" t="s">
        <v>89</v>
      </c>
      <c r="U2776" t="s">
        <v>301</v>
      </c>
      <c r="V2776" t="s">
        <v>111</v>
      </c>
      <c r="W2776" t="s">
        <v>92</v>
      </c>
      <c r="X2776" t="s">
        <v>302</v>
      </c>
      <c r="Y2776" t="s">
        <v>38</v>
      </c>
      <c r="AA2776" t="s">
        <v>38</v>
      </c>
      <c r="AB2776" t="s">
        <v>38</v>
      </c>
      <c r="AC2776" t="s">
        <v>38</v>
      </c>
      <c r="AD2776" t="s">
        <v>48</v>
      </c>
      <c r="AG2776" t="str">
        <f>IF(AD2776="United States", IFERROR(INDEX(Sheet2!$C:$C, MATCH(AE2776&amp;AF2776, Sheet2!$E:$E, 0)) &amp; ", " &amp; INDEX(Sheet2!$D:$D, MATCH(AE2776&amp;AF2776, Sheet2!$E:$E, 0)), ""), "-")</f>
        <v/>
      </c>
    </row>
    <row r="2777" spans="1:33" x14ac:dyDescent="0.25">
      <c r="A2777" t="s">
        <v>1746</v>
      </c>
      <c r="D2777" t="s">
        <v>181</v>
      </c>
      <c r="E2777" t="s">
        <v>359</v>
      </c>
      <c r="F2777" t="s">
        <v>38</v>
      </c>
      <c r="G2777">
        <v>65</v>
      </c>
      <c r="H2777">
        <v>18</v>
      </c>
      <c r="J2777" t="s">
        <v>4176</v>
      </c>
      <c r="O2777" t="s">
        <v>183</v>
      </c>
      <c r="R2777" t="s">
        <v>89</v>
      </c>
      <c r="T2777" t="s">
        <v>89</v>
      </c>
      <c r="U2777" t="s">
        <v>301</v>
      </c>
      <c r="V2777" t="s">
        <v>111</v>
      </c>
      <c r="W2777" t="s">
        <v>92</v>
      </c>
      <c r="X2777" t="s">
        <v>302</v>
      </c>
      <c r="Y2777" t="s">
        <v>38</v>
      </c>
      <c r="AA2777" t="s">
        <v>38</v>
      </c>
      <c r="AB2777" t="s">
        <v>38</v>
      </c>
      <c r="AC2777" t="s">
        <v>38</v>
      </c>
      <c r="AD2777" t="s">
        <v>48</v>
      </c>
      <c r="AG2777" t="str">
        <f>IF(AD2777="United States", IFERROR(INDEX(Sheet2!$C:$C, MATCH(AE2777&amp;AF2777, Sheet2!$E:$E, 0)) &amp; ", " &amp; INDEX(Sheet2!$D:$D, MATCH(AE2777&amp;AF2777, Sheet2!$E:$E, 0)), ""), "-")</f>
        <v/>
      </c>
    </row>
    <row r="2778" spans="1:33" x14ac:dyDescent="0.25">
      <c r="A2778" t="s">
        <v>1746</v>
      </c>
      <c r="D2778" t="s">
        <v>4177</v>
      </c>
      <c r="E2778" t="s">
        <v>2426</v>
      </c>
      <c r="F2778">
        <v>1755</v>
      </c>
      <c r="G2778">
        <v>74</v>
      </c>
      <c r="H2778">
        <v>18</v>
      </c>
      <c r="J2778" t="s">
        <v>4176</v>
      </c>
      <c r="O2778" t="s">
        <v>57</v>
      </c>
      <c r="R2778" t="s">
        <v>89</v>
      </c>
      <c r="T2778" t="s">
        <v>89</v>
      </c>
      <c r="U2778" t="s">
        <v>301</v>
      </c>
      <c r="V2778" t="s">
        <v>111</v>
      </c>
      <c r="W2778" t="s">
        <v>92</v>
      </c>
      <c r="X2778" t="s">
        <v>302</v>
      </c>
      <c r="Y2778" t="s">
        <v>38</v>
      </c>
      <c r="AA2778" t="s">
        <v>38</v>
      </c>
      <c r="AB2778" t="s">
        <v>38</v>
      </c>
      <c r="AC2778" t="s">
        <v>38</v>
      </c>
      <c r="AD2778" t="s">
        <v>48</v>
      </c>
      <c r="AG2778" t="str">
        <f>IF(AD2778="United States", IFERROR(INDEX(Sheet2!$C:$C, MATCH(AE2778&amp;AF2778, Sheet2!$E:$E, 0)) &amp; ", " &amp; INDEX(Sheet2!$D:$D, MATCH(AE2778&amp;AF2778, Sheet2!$E:$E, 0)), ""), "-")</f>
        <v/>
      </c>
    </row>
    <row r="2779" spans="1:33" x14ac:dyDescent="0.25">
      <c r="A2779" t="s">
        <v>1746</v>
      </c>
      <c r="B2779" t="s">
        <v>4178</v>
      </c>
      <c r="C2779" t="s">
        <v>4179</v>
      </c>
      <c r="D2779" t="s">
        <v>1274</v>
      </c>
      <c r="E2779" t="s">
        <v>38</v>
      </c>
      <c r="F2779" t="s">
        <v>38</v>
      </c>
      <c r="G2779">
        <v>1981</v>
      </c>
      <c r="H2779" t="s">
        <v>78</v>
      </c>
      <c r="I2779" t="s">
        <v>80</v>
      </c>
      <c r="J2779" t="s">
        <v>38</v>
      </c>
      <c r="K2779" t="s">
        <v>38</v>
      </c>
      <c r="L2779" t="s">
        <v>38</v>
      </c>
      <c r="M2779" t="s">
        <v>38</v>
      </c>
      <c r="N2779" t="s">
        <v>38</v>
      </c>
      <c r="O2779" t="s">
        <v>54</v>
      </c>
      <c r="P2779" t="s">
        <v>42</v>
      </c>
      <c r="Q2779" t="s">
        <v>43</v>
      </c>
      <c r="R2779" t="s">
        <v>89</v>
      </c>
      <c r="S2779" t="s">
        <v>38</v>
      </c>
      <c r="T2779" t="s">
        <v>89</v>
      </c>
      <c r="U2779" t="s">
        <v>301</v>
      </c>
      <c r="V2779" t="s">
        <v>91</v>
      </c>
      <c r="W2779" t="s">
        <v>92</v>
      </c>
      <c r="X2779" t="s">
        <v>302</v>
      </c>
      <c r="Y2779" t="s">
        <v>4180</v>
      </c>
      <c r="Z2779" t="s">
        <v>42</v>
      </c>
      <c r="AA2779" t="s">
        <v>1274</v>
      </c>
      <c r="AB2779" t="s">
        <v>38</v>
      </c>
      <c r="AC2779" t="s">
        <v>60</v>
      </c>
      <c r="AD2779" t="s">
        <v>48</v>
      </c>
      <c r="AG2779" t="str">
        <f>IF(AD2779="United States", IFERROR(INDEX(Sheet2!$C:$C, MATCH(AE2779&amp;AF2779, Sheet2!$E:$E, 0)) &amp; ", " &amp; INDEX(Sheet2!$D:$D, MATCH(AE2779&amp;AF2779, Sheet2!$E:$E, 0)), ""), "-")</f>
        <v/>
      </c>
    </row>
    <row r="2780" spans="1:33" x14ac:dyDescent="0.25">
      <c r="A2780" t="s">
        <v>1746</v>
      </c>
      <c r="B2780" t="s">
        <v>4181</v>
      </c>
      <c r="C2780" t="s">
        <v>4179</v>
      </c>
      <c r="D2780" t="s">
        <v>1954</v>
      </c>
      <c r="E2780" t="s">
        <v>38</v>
      </c>
      <c r="F2780">
        <v>1757</v>
      </c>
      <c r="G2780">
        <v>1980</v>
      </c>
      <c r="H2780" t="s">
        <v>398</v>
      </c>
      <c r="I2780" t="s">
        <v>80</v>
      </c>
      <c r="J2780" t="s">
        <v>38</v>
      </c>
      <c r="K2780" t="s">
        <v>38</v>
      </c>
      <c r="L2780" t="s">
        <v>38</v>
      </c>
      <c r="M2780" t="s">
        <v>38</v>
      </c>
      <c r="N2780" t="s">
        <v>38</v>
      </c>
      <c r="O2780" t="s">
        <v>57</v>
      </c>
      <c r="P2780" t="s">
        <v>42</v>
      </c>
      <c r="Q2780" t="s">
        <v>43</v>
      </c>
      <c r="R2780" t="s">
        <v>89</v>
      </c>
      <c r="S2780" t="s">
        <v>38</v>
      </c>
      <c r="T2780" t="s">
        <v>89</v>
      </c>
      <c r="U2780" t="s">
        <v>301</v>
      </c>
      <c r="V2780" t="s">
        <v>91</v>
      </c>
      <c r="W2780" t="s">
        <v>92</v>
      </c>
      <c r="X2780" t="s">
        <v>302</v>
      </c>
      <c r="Y2780" t="s">
        <v>4180</v>
      </c>
      <c r="Z2780" t="s">
        <v>42</v>
      </c>
      <c r="AA2780" t="s">
        <v>38</v>
      </c>
      <c r="AB2780" t="s">
        <v>38</v>
      </c>
      <c r="AC2780" t="s">
        <v>60</v>
      </c>
      <c r="AD2780" t="s">
        <v>48</v>
      </c>
      <c r="AG2780" t="str">
        <f>IF(AD2780="United States", IFERROR(INDEX(Sheet2!$C:$C, MATCH(AE2780&amp;AF2780, Sheet2!$E:$E, 0)) &amp; ", " &amp; INDEX(Sheet2!$D:$D, MATCH(AE2780&amp;AF2780, Sheet2!$E:$E, 0)), ""), "-")</f>
        <v/>
      </c>
    </row>
    <row r="2781" spans="1:33" x14ac:dyDescent="0.25">
      <c r="A2781" t="s">
        <v>1746</v>
      </c>
      <c r="D2781" t="s">
        <v>181</v>
      </c>
      <c r="E2781" t="s">
        <v>4182</v>
      </c>
      <c r="F2781" t="s">
        <v>38</v>
      </c>
      <c r="G2781">
        <v>75</v>
      </c>
      <c r="H2781">
        <v>18</v>
      </c>
      <c r="J2781" t="s">
        <v>4176</v>
      </c>
      <c r="O2781" t="s">
        <v>74</v>
      </c>
      <c r="R2781" t="s">
        <v>89</v>
      </c>
      <c r="T2781" t="s">
        <v>89</v>
      </c>
      <c r="U2781" t="s">
        <v>301</v>
      </c>
      <c r="V2781" t="s">
        <v>111</v>
      </c>
      <c r="W2781" t="s">
        <v>92</v>
      </c>
      <c r="X2781" t="s">
        <v>302</v>
      </c>
      <c r="Y2781" t="s">
        <v>38</v>
      </c>
      <c r="AA2781" t="s">
        <v>38</v>
      </c>
      <c r="AB2781" t="s">
        <v>38</v>
      </c>
      <c r="AC2781" t="s">
        <v>38</v>
      </c>
      <c r="AD2781" t="s">
        <v>48</v>
      </c>
      <c r="AG2781" t="str">
        <f>IF(AD2781="United States", IFERROR(INDEX(Sheet2!$C:$C, MATCH(AE2781&amp;AF2781, Sheet2!$E:$E, 0)) &amp; ", " &amp; INDEX(Sheet2!$D:$D, MATCH(AE2781&amp;AF2781, Sheet2!$E:$E, 0)), ""), "-")</f>
        <v/>
      </c>
    </row>
    <row r="2782" spans="1:33" x14ac:dyDescent="0.25">
      <c r="A2782" t="s">
        <v>1746</v>
      </c>
      <c r="B2782" t="s">
        <v>4183</v>
      </c>
      <c r="C2782" t="s">
        <v>4184</v>
      </c>
      <c r="D2782" t="s">
        <v>245</v>
      </c>
      <c r="E2782" t="s">
        <v>3547</v>
      </c>
      <c r="F2782" t="s">
        <v>38</v>
      </c>
      <c r="G2782">
        <v>2700</v>
      </c>
      <c r="I2782" t="s">
        <v>39</v>
      </c>
      <c r="J2782" t="s">
        <v>38</v>
      </c>
      <c r="O2782" t="s">
        <v>41</v>
      </c>
      <c r="P2782" t="s">
        <v>42</v>
      </c>
      <c r="Q2782" t="s">
        <v>43</v>
      </c>
      <c r="V2782" t="s">
        <v>137</v>
      </c>
      <c r="Y2782" t="s">
        <v>38</v>
      </c>
      <c r="Z2782" t="s">
        <v>42</v>
      </c>
      <c r="AA2782" t="s">
        <v>38</v>
      </c>
      <c r="AB2782" t="s">
        <v>38</v>
      </c>
      <c r="AC2782" t="s">
        <v>38</v>
      </c>
      <c r="AD2782" t="s">
        <v>48</v>
      </c>
      <c r="AG2782" t="str">
        <f>IF(AD2782="United States", IFERROR(INDEX(Sheet2!$C:$C, MATCH(AE2782&amp;AF2782, Sheet2!$E:$E, 0)) &amp; ", " &amp; INDEX(Sheet2!$D:$D, MATCH(AE2782&amp;AF2782, Sheet2!$E:$E, 0)), ""), "-")</f>
        <v/>
      </c>
    </row>
    <row r="2783" spans="1:33" x14ac:dyDescent="0.25">
      <c r="A2783" t="s">
        <v>1746</v>
      </c>
      <c r="D2783" t="s">
        <v>181</v>
      </c>
      <c r="E2783" t="s">
        <v>359</v>
      </c>
      <c r="F2783" t="s">
        <v>38</v>
      </c>
      <c r="G2783">
        <v>64</v>
      </c>
      <c r="H2783">
        <v>18</v>
      </c>
      <c r="J2783" t="s">
        <v>4176</v>
      </c>
      <c r="O2783" t="s">
        <v>183</v>
      </c>
      <c r="R2783" t="s">
        <v>89</v>
      </c>
      <c r="T2783" t="s">
        <v>89</v>
      </c>
      <c r="U2783" t="s">
        <v>301</v>
      </c>
      <c r="V2783" t="s">
        <v>111</v>
      </c>
      <c r="W2783" t="s">
        <v>92</v>
      </c>
      <c r="X2783" t="s">
        <v>302</v>
      </c>
      <c r="Y2783" t="s">
        <v>38</v>
      </c>
      <c r="AA2783" t="s">
        <v>38</v>
      </c>
      <c r="AB2783" t="s">
        <v>38</v>
      </c>
      <c r="AC2783" t="s">
        <v>38</v>
      </c>
      <c r="AD2783" t="s">
        <v>48</v>
      </c>
      <c r="AG2783" t="str">
        <f>IF(AD2783="United States", IFERROR(INDEX(Sheet2!$C:$C, MATCH(AE2783&amp;AF2783, Sheet2!$E:$E, 0)) &amp; ", " &amp; INDEX(Sheet2!$D:$D, MATCH(AE2783&amp;AF2783, Sheet2!$E:$E, 0)), ""), "-")</f>
        <v/>
      </c>
    </row>
    <row r="2784" spans="1:33" x14ac:dyDescent="0.25">
      <c r="A2784" t="s">
        <v>1746</v>
      </c>
      <c r="B2784" t="s">
        <v>4185</v>
      </c>
      <c r="C2784" t="s">
        <v>4179</v>
      </c>
      <c r="D2784" t="s">
        <v>552</v>
      </c>
      <c r="E2784" t="s">
        <v>1084</v>
      </c>
      <c r="F2784">
        <v>1747</v>
      </c>
      <c r="G2784">
        <v>1982</v>
      </c>
      <c r="H2784" t="s">
        <v>398</v>
      </c>
      <c r="I2784" t="s">
        <v>80</v>
      </c>
      <c r="J2784" t="s">
        <v>38</v>
      </c>
      <c r="K2784" t="s">
        <v>38</v>
      </c>
      <c r="L2784" t="s">
        <v>38</v>
      </c>
      <c r="M2784" t="s">
        <v>1954</v>
      </c>
      <c r="N2784" t="s">
        <v>38</v>
      </c>
      <c r="O2784" t="s">
        <v>41</v>
      </c>
      <c r="P2784" t="s">
        <v>42</v>
      </c>
      <c r="Q2784" t="s">
        <v>43</v>
      </c>
      <c r="R2784" t="s">
        <v>89</v>
      </c>
      <c r="S2784" t="s">
        <v>45</v>
      </c>
      <c r="T2784" t="s">
        <v>89</v>
      </c>
      <c r="U2784" t="s">
        <v>301</v>
      </c>
      <c r="V2784" t="s">
        <v>91</v>
      </c>
      <c r="W2784" t="s">
        <v>92</v>
      </c>
      <c r="X2784" t="s">
        <v>302</v>
      </c>
      <c r="Y2784" t="s">
        <v>4186</v>
      </c>
      <c r="Z2784" t="s">
        <v>42</v>
      </c>
      <c r="AA2784" t="s">
        <v>1898</v>
      </c>
      <c r="AB2784" t="s">
        <v>38</v>
      </c>
      <c r="AC2784" t="s">
        <v>45</v>
      </c>
      <c r="AD2784" t="s">
        <v>48</v>
      </c>
      <c r="AG2784" t="str">
        <f>IF(AD2784="United States", IFERROR(INDEX(Sheet2!$C:$C, MATCH(AE2784&amp;AF2784, Sheet2!$E:$E, 0)) &amp; ", " &amp; INDEX(Sheet2!$D:$D, MATCH(AE2784&amp;AF2784, Sheet2!$E:$E, 0)), ""), "-")</f>
        <v/>
      </c>
    </row>
    <row r="2785" spans="1:33" x14ac:dyDescent="0.25">
      <c r="A2785" t="s">
        <v>1746</v>
      </c>
      <c r="B2785" t="s">
        <v>4187</v>
      </c>
      <c r="C2785" t="s">
        <v>4188</v>
      </c>
      <c r="D2785" t="s">
        <v>226</v>
      </c>
      <c r="E2785" t="s">
        <v>3179</v>
      </c>
      <c r="F2785">
        <v>1753</v>
      </c>
      <c r="G2785">
        <v>828</v>
      </c>
      <c r="H2785" t="s">
        <v>269</v>
      </c>
      <c r="I2785" t="s">
        <v>39</v>
      </c>
      <c r="J2785" t="s">
        <v>4176</v>
      </c>
      <c r="K2785" t="s">
        <v>38</v>
      </c>
      <c r="L2785" t="s">
        <v>38</v>
      </c>
      <c r="M2785" t="s">
        <v>38</v>
      </c>
      <c r="N2785" t="s">
        <v>38</v>
      </c>
      <c r="O2785" t="s">
        <v>41</v>
      </c>
      <c r="P2785" t="s">
        <v>42</v>
      </c>
      <c r="Q2785" t="s">
        <v>43</v>
      </c>
      <c r="R2785" t="s">
        <v>89</v>
      </c>
      <c r="S2785" t="s">
        <v>38</v>
      </c>
      <c r="T2785" t="s">
        <v>89</v>
      </c>
      <c r="U2785" t="s">
        <v>301</v>
      </c>
      <c r="V2785" t="s">
        <v>137</v>
      </c>
      <c r="W2785" t="s">
        <v>92</v>
      </c>
      <c r="X2785" t="s">
        <v>302</v>
      </c>
      <c r="Y2785" t="s">
        <v>4189</v>
      </c>
      <c r="Z2785" t="s">
        <v>42</v>
      </c>
      <c r="AA2785" t="s">
        <v>38</v>
      </c>
      <c r="AB2785" t="s">
        <v>38</v>
      </c>
      <c r="AC2785" t="s">
        <v>38</v>
      </c>
      <c r="AD2785" t="s">
        <v>48</v>
      </c>
      <c r="AG2785" t="str">
        <f>IF(AD2785="United States", IFERROR(INDEX(Sheet2!$C:$C, MATCH(AE2785&amp;AF2785, Sheet2!$E:$E, 0)) &amp; ", " &amp; INDEX(Sheet2!$D:$D, MATCH(AE2785&amp;AF2785, Sheet2!$E:$E, 0)), ""), "-")</f>
        <v/>
      </c>
    </row>
    <row r="2786" spans="1:33" x14ac:dyDescent="0.25">
      <c r="A2786" t="s">
        <v>1746</v>
      </c>
      <c r="B2786" t="s">
        <v>4190</v>
      </c>
      <c r="C2786" t="s">
        <v>4188</v>
      </c>
      <c r="D2786" t="s">
        <v>357</v>
      </c>
      <c r="E2786" t="s">
        <v>2085</v>
      </c>
      <c r="F2786">
        <v>1739</v>
      </c>
      <c r="G2786">
        <v>833</v>
      </c>
      <c r="H2786" t="s">
        <v>173</v>
      </c>
      <c r="I2786" t="s">
        <v>39</v>
      </c>
      <c r="J2786" t="s">
        <v>4176</v>
      </c>
      <c r="K2786" t="s">
        <v>4191</v>
      </c>
      <c r="L2786" t="s">
        <v>4192</v>
      </c>
      <c r="M2786" t="s">
        <v>38</v>
      </c>
      <c r="N2786" t="s">
        <v>38</v>
      </c>
      <c r="O2786" t="s">
        <v>41</v>
      </c>
      <c r="P2786" t="s">
        <v>42</v>
      </c>
      <c r="Q2786" t="s">
        <v>43</v>
      </c>
      <c r="R2786" t="s">
        <v>89</v>
      </c>
      <c r="S2786" t="s">
        <v>38</v>
      </c>
      <c r="T2786" t="s">
        <v>89</v>
      </c>
      <c r="U2786" t="s">
        <v>301</v>
      </c>
      <c r="V2786" t="s">
        <v>137</v>
      </c>
      <c r="W2786" t="s">
        <v>92</v>
      </c>
      <c r="X2786" t="s">
        <v>302</v>
      </c>
      <c r="Y2786" t="s">
        <v>4176</v>
      </c>
      <c r="Z2786" t="s">
        <v>42</v>
      </c>
      <c r="AA2786" t="s">
        <v>4193</v>
      </c>
      <c r="AB2786" t="s">
        <v>38</v>
      </c>
      <c r="AC2786" t="s">
        <v>340</v>
      </c>
      <c r="AD2786" t="s">
        <v>340</v>
      </c>
      <c r="AG2786" t="str">
        <f>IF(AD2786="United States", IFERROR(INDEX(Sheet2!$C:$C, MATCH(AE2786&amp;AF2786, Sheet2!$E:$E, 0)) &amp; ", " &amp; INDEX(Sheet2!$D:$D, MATCH(AE2786&amp;AF2786, Sheet2!$E:$E, 0)), ""), "54.5475312, -3.5908432")</f>
        <v>54.5475312, -3.5908432</v>
      </c>
    </row>
    <row r="2787" spans="1:33" x14ac:dyDescent="0.25">
      <c r="A2787" t="s">
        <v>1746</v>
      </c>
      <c r="B2787" t="s">
        <v>4194</v>
      </c>
      <c r="C2787" t="s">
        <v>4188</v>
      </c>
      <c r="D2787" t="s">
        <v>162</v>
      </c>
      <c r="E2787" t="s">
        <v>38</v>
      </c>
      <c r="F2787">
        <v>1774</v>
      </c>
      <c r="G2787">
        <v>832</v>
      </c>
      <c r="H2787" t="s">
        <v>269</v>
      </c>
      <c r="I2787" t="s">
        <v>39</v>
      </c>
      <c r="J2787" t="s">
        <v>4176</v>
      </c>
      <c r="K2787" t="s">
        <v>38</v>
      </c>
      <c r="L2787" t="s">
        <v>38</v>
      </c>
      <c r="M2787" t="s">
        <v>38</v>
      </c>
      <c r="N2787" t="s">
        <v>38</v>
      </c>
      <c r="O2787" t="s">
        <v>74</v>
      </c>
      <c r="P2787" t="s">
        <v>42</v>
      </c>
      <c r="Q2787" t="s">
        <v>43</v>
      </c>
      <c r="R2787" t="s">
        <v>89</v>
      </c>
      <c r="S2787" t="s">
        <v>38</v>
      </c>
      <c r="T2787" t="s">
        <v>89</v>
      </c>
      <c r="U2787" t="s">
        <v>301</v>
      </c>
      <c r="V2787" t="s">
        <v>137</v>
      </c>
      <c r="W2787" t="s">
        <v>92</v>
      </c>
      <c r="X2787" t="s">
        <v>302</v>
      </c>
      <c r="Y2787" t="s">
        <v>4195</v>
      </c>
      <c r="Z2787" t="s">
        <v>42</v>
      </c>
      <c r="AA2787" t="s">
        <v>162</v>
      </c>
      <c r="AB2787" t="s">
        <v>38</v>
      </c>
      <c r="AC2787" t="s">
        <v>166</v>
      </c>
      <c r="AD2787" t="s">
        <v>48</v>
      </c>
      <c r="AG2787" t="str">
        <f>IF(AD2787="United States", IFERROR(INDEX(Sheet2!$C:$C, MATCH(AE2787&amp;AF2787, Sheet2!$E:$E, 0)) &amp; ", " &amp; INDEX(Sheet2!$D:$D, MATCH(AE2787&amp;AF2787, Sheet2!$E:$E, 0)), ""), "-")</f>
        <v/>
      </c>
    </row>
    <row r="2788" spans="1:33" x14ac:dyDescent="0.25">
      <c r="A2788" t="s">
        <v>1746</v>
      </c>
      <c r="B2788" t="s">
        <v>4196</v>
      </c>
      <c r="C2788" t="s">
        <v>4188</v>
      </c>
      <c r="D2788" t="s">
        <v>4191</v>
      </c>
      <c r="E2788" t="s">
        <v>4192</v>
      </c>
      <c r="F2788">
        <v>1738</v>
      </c>
      <c r="G2788">
        <v>831</v>
      </c>
      <c r="H2788" t="s">
        <v>269</v>
      </c>
      <c r="I2788" t="s">
        <v>39</v>
      </c>
      <c r="J2788" t="s">
        <v>4176</v>
      </c>
      <c r="K2788" t="s">
        <v>38</v>
      </c>
      <c r="L2788" t="s">
        <v>38</v>
      </c>
      <c r="M2788" t="s">
        <v>38</v>
      </c>
      <c r="N2788" t="s">
        <v>38</v>
      </c>
      <c r="O2788" t="s">
        <v>41</v>
      </c>
      <c r="P2788" t="s">
        <v>42</v>
      </c>
      <c r="Q2788" t="s">
        <v>43</v>
      </c>
      <c r="R2788" t="s">
        <v>89</v>
      </c>
      <c r="S2788" t="s">
        <v>45</v>
      </c>
      <c r="T2788" t="s">
        <v>89</v>
      </c>
      <c r="U2788" t="s">
        <v>301</v>
      </c>
      <c r="V2788" t="s">
        <v>137</v>
      </c>
      <c r="W2788" t="s">
        <v>92</v>
      </c>
      <c r="X2788" t="s">
        <v>302</v>
      </c>
      <c r="Y2788" t="s">
        <v>4197</v>
      </c>
      <c r="Z2788" t="s">
        <v>42</v>
      </c>
      <c r="AA2788" t="s">
        <v>169</v>
      </c>
      <c r="AB2788" t="s">
        <v>38</v>
      </c>
      <c r="AC2788" t="s">
        <v>45</v>
      </c>
      <c r="AD2788" t="s">
        <v>48</v>
      </c>
      <c r="AG2788" t="str">
        <f>IF(AD2788="United States", IFERROR(INDEX(Sheet2!$C:$C, MATCH(AE2788&amp;AF2788, Sheet2!$E:$E, 0)) &amp; ", " &amp; INDEX(Sheet2!$D:$D, MATCH(AE2788&amp;AF2788, Sheet2!$E:$E, 0)), ""), "-")</f>
        <v/>
      </c>
    </row>
    <row r="2789" spans="1:33" x14ac:dyDescent="0.25">
      <c r="A2789" t="s">
        <v>1746</v>
      </c>
      <c r="B2789" t="s">
        <v>4198</v>
      </c>
      <c r="C2789" t="s">
        <v>4188</v>
      </c>
      <c r="D2789" t="s">
        <v>867</v>
      </c>
      <c r="E2789" t="s">
        <v>868</v>
      </c>
      <c r="F2789">
        <v>1758</v>
      </c>
      <c r="G2789">
        <v>830</v>
      </c>
      <c r="H2789" t="s">
        <v>269</v>
      </c>
      <c r="I2789" t="s">
        <v>39</v>
      </c>
      <c r="J2789" t="s">
        <v>4176</v>
      </c>
      <c r="K2789" t="s">
        <v>38</v>
      </c>
      <c r="L2789" t="s">
        <v>38</v>
      </c>
      <c r="M2789" t="s">
        <v>38</v>
      </c>
      <c r="N2789" t="s">
        <v>38</v>
      </c>
      <c r="O2789" t="s">
        <v>41</v>
      </c>
      <c r="P2789" t="s">
        <v>42</v>
      </c>
      <c r="Q2789" t="s">
        <v>43</v>
      </c>
      <c r="R2789" t="s">
        <v>89</v>
      </c>
      <c r="S2789" t="s">
        <v>45</v>
      </c>
      <c r="T2789" t="s">
        <v>89</v>
      </c>
      <c r="U2789" t="s">
        <v>301</v>
      </c>
      <c r="V2789" t="s">
        <v>137</v>
      </c>
      <c r="W2789" t="s">
        <v>92</v>
      </c>
      <c r="X2789" t="s">
        <v>302</v>
      </c>
      <c r="Y2789" t="s">
        <v>4199</v>
      </c>
      <c r="Z2789" t="s">
        <v>42</v>
      </c>
      <c r="AA2789" t="s">
        <v>169</v>
      </c>
      <c r="AB2789" t="s">
        <v>38</v>
      </c>
      <c r="AC2789" t="s">
        <v>45</v>
      </c>
      <c r="AD2789" t="s">
        <v>48</v>
      </c>
      <c r="AG2789" t="str">
        <f>IF(AD2789="United States", IFERROR(INDEX(Sheet2!$C:$C, MATCH(AE2789&amp;AF2789, Sheet2!$E:$E, 0)) &amp; ", " &amp; INDEX(Sheet2!$D:$D, MATCH(AE2789&amp;AF2789, Sheet2!$E:$E, 0)), ""), "-")</f>
        <v/>
      </c>
    </row>
    <row r="2790" spans="1:33" x14ac:dyDescent="0.25">
      <c r="A2790" t="s">
        <v>1746</v>
      </c>
      <c r="B2790" t="s">
        <v>4200</v>
      </c>
      <c r="C2790" t="s">
        <v>4188</v>
      </c>
      <c r="D2790" t="s">
        <v>62</v>
      </c>
      <c r="E2790" t="s">
        <v>4054</v>
      </c>
      <c r="F2790">
        <v>1761</v>
      </c>
      <c r="G2790">
        <v>829</v>
      </c>
      <c r="H2790" t="s">
        <v>173</v>
      </c>
      <c r="I2790" t="s">
        <v>39</v>
      </c>
      <c r="J2790" t="s">
        <v>4176</v>
      </c>
      <c r="K2790" t="s">
        <v>38</v>
      </c>
      <c r="L2790" t="s">
        <v>38</v>
      </c>
      <c r="M2790" t="s">
        <v>38</v>
      </c>
      <c r="N2790" t="s">
        <v>38</v>
      </c>
      <c r="O2790" t="s">
        <v>41</v>
      </c>
      <c r="P2790" t="s">
        <v>42</v>
      </c>
      <c r="Q2790" t="s">
        <v>43</v>
      </c>
      <c r="R2790" t="s">
        <v>89</v>
      </c>
      <c r="S2790" t="s">
        <v>45</v>
      </c>
      <c r="T2790" t="s">
        <v>89</v>
      </c>
      <c r="U2790" t="s">
        <v>301</v>
      </c>
      <c r="V2790" t="s">
        <v>137</v>
      </c>
      <c r="W2790" t="s">
        <v>92</v>
      </c>
      <c r="X2790" t="s">
        <v>302</v>
      </c>
      <c r="Y2790" t="s">
        <v>4201</v>
      </c>
      <c r="Z2790" t="s">
        <v>42</v>
      </c>
      <c r="AA2790" t="s">
        <v>4202</v>
      </c>
      <c r="AB2790" t="s">
        <v>38</v>
      </c>
      <c r="AC2790" t="s">
        <v>45</v>
      </c>
      <c r="AD2790" t="s">
        <v>48</v>
      </c>
      <c r="AG2790" t="str">
        <f>IF(AD2790="United States", IFERROR(INDEX(Sheet2!$C:$C, MATCH(AE2790&amp;AF2790, Sheet2!$E:$E, 0)) &amp; ", " &amp; INDEX(Sheet2!$D:$D, MATCH(AE2790&amp;AF2790, Sheet2!$E:$E, 0)), ""), "-")</f>
        <v/>
      </c>
    </row>
    <row r="2791" spans="1:33" x14ac:dyDescent="0.25">
      <c r="A2791" t="s">
        <v>1746</v>
      </c>
      <c r="B2791" t="s">
        <v>4203</v>
      </c>
      <c r="C2791" t="s">
        <v>4188</v>
      </c>
      <c r="D2791" t="s">
        <v>220</v>
      </c>
      <c r="E2791" t="s">
        <v>4204</v>
      </c>
      <c r="F2791">
        <v>1733</v>
      </c>
      <c r="G2791">
        <v>827</v>
      </c>
      <c r="H2791" t="s">
        <v>269</v>
      </c>
      <c r="I2791" t="s">
        <v>39</v>
      </c>
      <c r="J2791" t="s">
        <v>4176</v>
      </c>
      <c r="K2791" t="s">
        <v>38</v>
      </c>
      <c r="L2791" t="s">
        <v>38</v>
      </c>
      <c r="M2791" t="s">
        <v>38</v>
      </c>
      <c r="N2791" t="s">
        <v>38</v>
      </c>
      <c r="O2791" t="s">
        <v>41</v>
      </c>
      <c r="P2791" t="s">
        <v>42</v>
      </c>
      <c r="Q2791" t="s">
        <v>43</v>
      </c>
      <c r="R2791" t="s">
        <v>89</v>
      </c>
      <c r="S2791" t="s">
        <v>38</v>
      </c>
      <c r="T2791" t="s">
        <v>89</v>
      </c>
      <c r="U2791" t="s">
        <v>301</v>
      </c>
      <c r="V2791" t="s">
        <v>137</v>
      </c>
      <c r="W2791" t="s">
        <v>92</v>
      </c>
      <c r="X2791" t="s">
        <v>302</v>
      </c>
      <c r="Y2791" t="s">
        <v>4189</v>
      </c>
      <c r="Z2791" t="s">
        <v>42</v>
      </c>
      <c r="AA2791" t="s">
        <v>1813</v>
      </c>
      <c r="AB2791" t="s">
        <v>38</v>
      </c>
      <c r="AC2791" t="s">
        <v>2580</v>
      </c>
      <c r="AD2791" t="s">
        <v>48</v>
      </c>
      <c r="AG2791" t="str">
        <f>IF(AD2791="United States", IFERROR(INDEX(Sheet2!$C:$C, MATCH(AE2791&amp;AF2791, Sheet2!$E:$E, 0)) &amp; ", " &amp; INDEX(Sheet2!$D:$D, MATCH(AE2791&amp;AF2791, Sheet2!$E:$E, 0)), ""), "-")</f>
        <v/>
      </c>
    </row>
    <row r="2792" spans="1:33" x14ac:dyDescent="0.25">
      <c r="A2792" t="s">
        <v>1746</v>
      </c>
      <c r="B2792" t="s">
        <v>4205</v>
      </c>
      <c r="C2792" t="s">
        <v>4188</v>
      </c>
      <c r="D2792" t="s">
        <v>3013</v>
      </c>
      <c r="E2792" t="s">
        <v>38</v>
      </c>
      <c r="F2792">
        <v>1763</v>
      </c>
      <c r="G2792">
        <v>826</v>
      </c>
      <c r="H2792" t="s">
        <v>269</v>
      </c>
      <c r="I2792" t="s">
        <v>39</v>
      </c>
      <c r="J2792" t="s">
        <v>4176</v>
      </c>
      <c r="K2792" t="s">
        <v>38</v>
      </c>
      <c r="L2792" t="s">
        <v>38</v>
      </c>
      <c r="M2792" t="s">
        <v>38</v>
      </c>
      <c r="N2792" t="s">
        <v>38</v>
      </c>
      <c r="O2792" t="s">
        <v>57</v>
      </c>
      <c r="P2792" t="s">
        <v>42</v>
      </c>
      <c r="Q2792" t="s">
        <v>43</v>
      </c>
      <c r="R2792" t="s">
        <v>89</v>
      </c>
      <c r="S2792" t="s">
        <v>38</v>
      </c>
      <c r="T2792" t="s">
        <v>89</v>
      </c>
      <c r="U2792" t="s">
        <v>301</v>
      </c>
      <c r="V2792" t="s">
        <v>137</v>
      </c>
      <c r="W2792" t="s">
        <v>92</v>
      </c>
      <c r="X2792" t="s">
        <v>302</v>
      </c>
      <c r="Y2792" t="s">
        <v>4206</v>
      </c>
      <c r="Z2792" t="s">
        <v>42</v>
      </c>
      <c r="AA2792" t="s">
        <v>38</v>
      </c>
      <c r="AB2792" t="s">
        <v>38</v>
      </c>
      <c r="AC2792" t="s">
        <v>38</v>
      </c>
      <c r="AD2792" t="s">
        <v>48</v>
      </c>
      <c r="AG2792" t="str">
        <f>IF(AD2792="United States", IFERROR(INDEX(Sheet2!$C:$C, MATCH(AE2792&amp;AF2792, Sheet2!$E:$E, 0)) &amp; ", " &amp; INDEX(Sheet2!$D:$D, MATCH(AE2792&amp;AF2792, Sheet2!$E:$E, 0)), ""), "-")</f>
        <v/>
      </c>
    </row>
    <row r="2793" spans="1:33" x14ac:dyDescent="0.25">
      <c r="A2793" t="s">
        <v>1746</v>
      </c>
      <c r="B2793" t="s">
        <v>4207</v>
      </c>
      <c r="C2793" t="s">
        <v>4179</v>
      </c>
      <c r="D2793" t="s">
        <v>352</v>
      </c>
      <c r="E2793" t="s">
        <v>1084</v>
      </c>
      <c r="F2793">
        <v>1759</v>
      </c>
      <c r="G2793">
        <v>1983</v>
      </c>
      <c r="H2793" t="s">
        <v>398</v>
      </c>
      <c r="I2793" t="s">
        <v>80</v>
      </c>
      <c r="J2793" t="s">
        <v>38</v>
      </c>
      <c r="K2793" t="s">
        <v>38</v>
      </c>
      <c r="L2793" t="s">
        <v>38</v>
      </c>
      <c r="M2793" t="s">
        <v>1954</v>
      </c>
      <c r="N2793" t="s">
        <v>38</v>
      </c>
      <c r="O2793" t="s">
        <v>57</v>
      </c>
      <c r="P2793" t="s">
        <v>42</v>
      </c>
      <c r="Q2793" t="s">
        <v>43</v>
      </c>
      <c r="R2793" t="s">
        <v>89</v>
      </c>
      <c r="S2793" t="s">
        <v>1063</v>
      </c>
      <c r="T2793" t="s">
        <v>89</v>
      </c>
      <c r="U2793" t="s">
        <v>301</v>
      </c>
      <c r="V2793" t="s">
        <v>91</v>
      </c>
      <c r="W2793" t="s">
        <v>92</v>
      </c>
      <c r="X2793" t="s">
        <v>302</v>
      </c>
      <c r="Y2793" t="s">
        <v>4186</v>
      </c>
      <c r="Z2793" t="s">
        <v>42</v>
      </c>
      <c r="AA2793" t="s">
        <v>38</v>
      </c>
      <c r="AB2793" t="s">
        <v>38</v>
      </c>
      <c r="AC2793" t="s">
        <v>1063</v>
      </c>
      <c r="AD2793" t="s">
        <v>48</v>
      </c>
      <c r="AG2793" t="str">
        <f>IF(AD2793="United States", IFERROR(INDEX(Sheet2!$C:$C, MATCH(AE2793&amp;AF2793, Sheet2!$E:$E, 0)) &amp; ", " &amp; INDEX(Sheet2!$D:$D, MATCH(AE2793&amp;AF2793, Sheet2!$E:$E, 0)), ""), "-")</f>
        <v/>
      </c>
    </row>
    <row r="2794" spans="1:33" x14ac:dyDescent="0.25">
      <c r="A2794" t="s">
        <v>1746</v>
      </c>
      <c r="B2794" t="s">
        <v>4208</v>
      </c>
      <c r="C2794" t="s">
        <v>4184</v>
      </c>
      <c r="D2794" t="s">
        <v>3675</v>
      </c>
      <c r="E2794" t="s">
        <v>3547</v>
      </c>
      <c r="F2794">
        <v>1775</v>
      </c>
      <c r="G2794">
        <v>779</v>
      </c>
      <c r="H2794" t="s">
        <v>2179</v>
      </c>
      <c r="I2794" t="s">
        <v>39</v>
      </c>
      <c r="J2794" t="s">
        <v>38</v>
      </c>
      <c r="K2794" t="s">
        <v>38</v>
      </c>
      <c r="L2794" t="s">
        <v>38</v>
      </c>
      <c r="M2794" t="s">
        <v>38</v>
      </c>
      <c r="N2794" t="s">
        <v>38</v>
      </c>
      <c r="O2794" t="s">
        <v>54</v>
      </c>
      <c r="P2794" t="s">
        <v>42</v>
      </c>
      <c r="Q2794" t="s">
        <v>43</v>
      </c>
      <c r="R2794" t="s">
        <v>89</v>
      </c>
      <c r="S2794" t="s">
        <v>38</v>
      </c>
      <c r="T2794" t="s">
        <v>89</v>
      </c>
      <c r="U2794" t="s">
        <v>301</v>
      </c>
      <c r="V2794" t="s">
        <v>137</v>
      </c>
      <c r="W2794" t="s">
        <v>92</v>
      </c>
      <c r="X2794" t="s">
        <v>302</v>
      </c>
      <c r="Y2794" t="s">
        <v>38</v>
      </c>
      <c r="Z2794" t="s">
        <v>42</v>
      </c>
      <c r="AA2794" t="s">
        <v>38</v>
      </c>
      <c r="AB2794" t="s">
        <v>38</v>
      </c>
      <c r="AC2794" t="s">
        <v>38</v>
      </c>
      <c r="AD2794" t="s">
        <v>48</v>
      </c>
      <c r="AG2794" t="str">
        <f>IF(AD2794="United States", IFERROR(INDEX(Sheet2!$C:$C, MATCH(AE2794&amp;AF2794, Sheet2!$E:$E, 0)) &amp; ", " &amp; INDEX(Sheet2!$D:$D, MATCH(AE2794&amp;AF2794, Sheet2!$E:$E, 0)), ""), "-")</f>
        <v/>
      </c>
    </row>
    <row r="2795" spans="1:33" x14ac:dyDescent="0.25">
      <c r="A2795" t="s">
        <v>1746</v>
      </c>
      <c r="B2795" t="s">
        <v>4209</v>
      </c>
      <c r="C2795" t="s">
        <v>4184</v>
      </c>
      <c r="D2795" t="s">
        <v>222</v>
      </c>
      <c r="E2795" t="s">
        <v>3547</v>
      </c>
      <c r="F2795">
        <v>1738</v>
      </c>
      <c r="G2795">
        <v>778</v>
      </c>
      <c r="H2795" t="s">
        <v>2179</v>
      </c>
      <c r="I2795" t="s">
        <v>39</v>
      </c>
      <c r="J2795" t="s">
        <v>38</v>
      </c>
      <c r="K2795" t="s">
        <v>38</v>
      </c>
      <c r="L2795" t="s">
        <v>38</v>
      </c>
      <c r="M2795" t="s">
        <v>38</v>
      </c>
      <c r="N2795" t="s">
        <v>38</v>
      </c>
      <c r="O2795" t="s">
        <v>57</v>
      </c>
      <c r="P2795" t="s">
        <v>42</v>
      </c>
      <c r="Q2795" t="s">
        <v>43</v>
      </c>
      <c r="R2795" t="s">
        <v>89</v>
      </c>
      <c r="S2795" t="s">
        <v>45</v>
      </c>
      <c r="T2795" t="s">
        <v>89</v>
      </c>
      <c r="U2795" t="s">
        <v>301</v>
      </c>
      <c r="V2795" t="s">
        <v>137</v>
      </c>
      <c r="W2795" t="s">
        <v>92</v>
      </c>
      <c r="X2795" t="s">
        <v>302</v>
      </c>
      <c r="Y2795" t="s">
        <v>4210</v>
      </c>
      <c r="Z2795" t="s">
        <v>42</v>
      </c>
      <c r="AA2795" t="s">
        <v>1059</v>
      </c>
      <c r="AB2795" t="s">
        <v>38</v>
      </c>
      <c r="AC2795" t="s">
        <v>45</v>
      </c>
      <c r="AD2795" t="s">
        <v>48</v>
      </c>
      <c r="AG2795" t="str">
        <f>IF(AD2795="United States", IFERROR(INDEX(Sheet2!$C:$C, MATCH(AE2795&amp;AF2795, Sheet2!$E:$E, 0)) &amp; ", " &amp; INDEX(Sheet2!$D:$D, MATCH(AE2795&amp;AF2795, Sheet2!$E:$E, 0)), ""), "-")</f>
        <v/>
      </c>
    </row>
    <row r="2796" spans="1:33" x14ac:dyDescent="0.25">
      <c r="A2796" t="s">
        <v>1746</v>
      </c>
      <c r="B2796" t="s">
        <v>4211</v>
      </c>
      <c r="C2796" t="s">
        <v>4179</v>
      </c>
      <c r="D2796" t="s">
        <v>1129</v>
      </c>
      <c r="E2796" t="s">
        <v>38</v>
      </c>
      <c r="F2796">
        <v>1756</v>
      </c>
      <c r="G2796">
        <v>1979</v>
      </c>
      <c r="H2796" t="s">
        <v>398</v>
      </c>
      <c r="I2796" t="s">
        <v>80</v>
      </c>
      <c r="J2796" t="s">
        <v>38</v>
      </c>
      <c r="K2796" t="s">
        <v>38</v>
      </c>
      <c r="L2796" t="s">
        <v>38</v>
      </c>
      <c r="M2796" t="s">
        <v>38</v>
      </c>
      <c r="N2796" t="s">
        <v>38</v>
      </c>
      <c r="O2796" t="s">
        <v>41</v>
      </c>
      <c r="P2796" t="s">
        <v>42</v>
      </c>
      <c r="Q2796" t="s">
        <v>43</v>
      </c>
      <c r="R2796" t="s">
        <v>89</v>
      </c>
      <c r="S2796" t="s">
        <v>38</v>
      </c>
      <c r="T2796" t="s">
        <v>89</v>
      </c>
      <c r="U2796" t="s">
        <v>301</v>
      </c>
      <c r="V2796" t="s">
        <v>91</v>
      </c>
      <c r="W2796" t="s">
        <v>92</v>
      </c>
      <c r="X2796" t="s">
        <v>302</v>
      </c>
      <c r="Y2796" t="s">
        <v>4180</v>
      </c>
      <c r="Z2796" t="s">
        <v>42</v>
      </c>
      <c r="AA2796" t="s">
        <v>1129</v>
      </c>
      <c r="AB2796" t="s">
        <v>38</v>
      </c>
      <c r="AC2796" t="s">
        <v>60</v>
      </c>
      <c r="AD2796" t="s">
        <v>48</v>
      </c>
      <c r="AG2796" t="str">
        <f>IF(AD2796="United States", IFERROR(INDEX(Sheet2!$C:$C, MATCH(AE2796&amp;AF2796, Sheet2!$E:$E, 0)) &amp; ", " &amp; INDEX(Sheet2!$D:$D, MATCH(AE2796&amp;AF2796, Sheet2!$E:$E, 0)), ""), "-")</f>
        <v/>
      </c>
    </row>
    <row r="2797" spans="1:33" x14ac:dyDescent="0.25">
      <c r="A2797" t="s">
        <v>1746</v>
      </c>
      <c r="B2797" t="s">
        <v>4212</v>
      </c>
      <c r="C2797" t="s">
        <v>4213</v>
      </c>
      <c r="D2797" t="s">
        <v>4182</v>
      </c>
      <c r="E2797" t="s">
        <v>4214</v>
      </c>
      <c r="F2797">
        <v>1755</v>
      </c>
      <c r="G2797">
        <v>64</v>
      </c>
      <c r="H2797" t="s">
        <v>78</v>
      </c>
      <c r="I2797" t="s">
        <v>39</v>
      </c>
      <c r="J2797" t="s">
        <v>4215</v>
      </c>
      <c r="K2797" t="s">
        <v>4216</v>
      </c>
      <c r="L2797" t="s">
        <v>4217</v>
      </c>
      <c r="M2797" t="s">
        <v>38</v>
      </c>
      <c r="N2797" t="s">
        <v>38</v>
      </c>
      <c r="O2797" t="s">
        <v>54</v>
      </c>
      <c r="P2797" t="s">
        <v>42</v>
      </c>
      <c r="Q2797" t="s">
        <v>43</v>
      </c>
      <c r="R2797" t="s">
        <v>89</v>
      </c>
      <c r="S2797" t="s">
        <v>153</v>
      </c>
      <c r="T2797" t="s">
        <v>89</v>
      </c>
      <c r="U2797" t="s">
        <v>301</v>
      </c>
      <c r="V2797" t="s">
        <v>91</v>
      </c>
      <c r="W2797" t="s">
        <v>92</v>
      </c>
      <c r="X2797" t="s">
        <v>302</v>
      </c>
      <c r="Y2797" t="s">
        <v>38</v>
      </c>
      <c r="Z2797" t="s">
        <v>42</v>
      </c>
      <c r="AA2797" t="s">
        <v>38</v>
      </c>
      <c r="AB2797" t="s">
        <v>38</v>
      </c>
      <c r="AC2797" t="s">
        <v>153</v>
      </c>
      <c r="AD2797" t="s">
        <v>48</v>
      </c>
      <c r="AG2797" t="str">
        <f>IF(AD2797="United States", IFERROR(INDEX(Sheet2!$C:$C, MATCH(AE2797&amp;AF2797, Sheet2!$E:$E, 0)) &amp; ", " &amp; INDEX(Sheet2!$D:$D, MATCH(AE2797&amp;AF2797, Sheet2!$E:$E, 0)), ""), "-")</f>
        <v/>
      </c>
    </row>
    <row r="2798" spans="1:33" x14ac:dyDescent="0.25">
      <c r="A2798" t="s">
        <v>1746</v>
      </c>
      <c r="B2798" t="s">
        <v>4218</v>
      </c>
      <c r="C2798" t="s">
        <v>4179</v>
      </c>
      <c r="D2798" t="s">
        <v>220</v>
      </c>
      <c r="E2798" t="s">
        <v>4219</v>
      </c>
      <c r="F2798">
        <v>1777</v>
      </c>
      <c r="G2798">
        <v>1984</v>
      </c>
      <c r="H2798" t="s">
        <v>269</v>
      </c>
      <c r="I2798" t="s">
        <v>80</v>
      </c>
      <c r="J2798" t="s">
        <v>38</v>
      </c>
      <c r="K2798" t="s">
        <v>38</v>
      </c>
      <c r="L2798" t="s">
        <v>38</v>
      </c>
      <c r="M2798" t="s">
        <v>38</v>
      </c>
      <c r="N2798" t="s">
        <v>38</v>
      </c>
      <c r="O2798" t="s">
        <v>54</v>
      </c>
      <c r="P2798" t="s">
        <v>42</v>
      </c>
      <c r="Q2798" t="s">
        <v>43</v>
      </c>
      <c r="R2798" t="s">
        <v>89</v>
      </c>
      <c r="S2798" t="s">
        <v>38</v>
      </c>
      <c r="T2798" t="s">
        <v>89</v>
      </c>
      <c r="U2798" t="s">
        <v>301</v>
      </c>
      <c r="V2798" t="s">
        <v>91</v>
      </c>
      <c r="W2798" t="s">
        <v>92</v>
      </c>
      <c r="X2798" t="s">
        <v>302</v>
      </c>
      <c r="Y2798" t="s">
        <v>4220</v>
      </c>
      <c r="Z2798" t="s">
        <v>42</v>
      </c>
      <c r="AA2798" t="s">
        <v>38</v>
      </c>
      <c r="AB2798" t="s">
        <v>38</v>
      </c>
      <c r="AC2798" t="s">
        <v>155</v>
      </c>
      <c r="AD2798" t="s">
        <v>48</v>
      </c>
      <c r="AG2798" t="str">
        <f>IF(AD2798="United States", IFERROR(INDEX(Sheet2!$C:$C, MATCH(AE2798&amp;AF2798, Sheet2!$E:$E, 0)) &amp; ", " &amp; INDEX(Sheet2!$D:$D, MATCH(AE2798&amp;AF2798, Sheet2!$E:$E, 0)), ""), "-")</f>
        <v/>
      </c>
    </row>
    <row r="2799" spans="1:33" x14ac:dyDescent="0.25">
      <c r="A2799" t="s">
        <v>1746</v>
      </c>
      <c r="B2799" t="s">
        <v>4221</v>
      </c>
      <c r="C2799" t="s">
        <v>4213</v>
      </c>
      <c r="D2799" t="s">
        <v>1354</v>
      </c>
      <c r="E2799" t="s">
        <v>38</v>
      </c>
      <c r="F2799">
        <v>1717</v>
      </c>
      <c r="G2799">
        <v>65</v>
      </c>
      <c r="H2799" t="s">
        <v>78</v>
      </c>
      <c r="I2799" t="s">
        <v>39</v>
      </c>
      <c r="J2799" t="s">
        <v>4215</v>
      </c>
      <c r="K2799" t="s">
        <v>38</v>
      </c>
      <c r="L2799" t="s">
        <v>38</v>
      </c>
      <c r="M2799" t="s">
        <v>38</v>
      </c>
      <c r="N2799" t="s">
        <v>38</v>
      </c>
      <c r="O2799" t="s">
        <v>41</v>
      </c>
      <c r="P2799" t="s">
        <v>42</v>
      </c>
      <c r="Q2799" t="s">
        <v>43</v>
      </c>
      <c r="R2799" t="s">
        <v>89</v>
      </c>
      <c r="S2799" t="s">
        <v>38</v>
      </c>
      <c r="T2799" t="s">
        <v>89</v>
      </c>
      <c r="U2799" t="s">
        <v>301</v>
      </c>
      <c r="V2799" t="s">
        <v>91</v>
      </c>
      <c r="W2799" t="s">
        <v>92</v>
      </c>
      <c r="X2799" t="s">
        <v>302</v>
      </c>
      <c r="Y2799" t="s">
        <v>38</v>
      </c>
      <c r="Z2799" t="s">
        <v>42</v>
      </c>
      <c r="AA2799" t="s">
        <v>1354</v>
      </c>
      <c r="AB2799" t="s">
        <v>2579</v>
      </c>
      <c r="AC2799" t="s">
        <v>70</v>
      </c>
      <c r="AD2799" t="s">
        <v>48</v>
      </c>
      <c r="AG2799" t="str">
        <f>IF(AD2799="United States", IFERROR(INDEX(Sheet2!$C:$C, MATCH(AE2799&amp;AF2799, Sheet2!$E:$E, 0)) &amp; ", " &amp; INDEX(Sheet2!$D:$D, MATCH(AE2799&amp;AF2799, Sheet2!$E:$E, 0)), ""), "-")</f>
        <v/>
      </c>
    </row>
    <row r="2800" spans="1:33" x14ac:dyDescent="0.25">
      <c r="A2800" t="s">
        <v>1746</v>
      </c>
      <c r="B2800" t="s">
        <v>4222</v>
      </c>
      <c r="C2800" t="s">
        <v>4188</v>
      </c>
      <c r="D2800" t="s">
        <v>4223</v>
      </c>
      <c r="E2800" t="s">
        <v>2178</v>
      </c>
      <c r="F2800">
        <v>1753</v>
      </c>
      <c r="G2800">
        <v>858</v>
      </c>
      <c r="H2800" t="s">
        <v>610</v>
      </c>
      <c r="I2800" t="s">
        <v>80</v>
      </c>
      <c r="J2800" t="s">
        <v>4176</v>
      </c>
      <c r="K2800" t="s">
        <v>38</v>
      </c>
      <c r="L2800" t="s">
        <v>38</v>
      </c>
      <c r="M2800" t="s">
        <v>38</v>
      </c>
      <c r="N2800" t="s">
        <v>38</v>
      </c>
      <c r="O2800" t="s">
        <v>41</v>
      </c>
      <c r="P2800" t="s">
        <v>42</v>
      </c>
      <c r="Q2800" t="s">
        <v>43</v>
      </c>
      <c r="R2800" t="s">
        <v>89</v>
      </c>
      <c r="S2800" t="s">
        <v>45</v>
      </c>
      <c r="T2800" t="s">
        <v>89</v>
      </c>
      <c r="U2800" t="s">
        <v>301</v>
      </c>
      <c r="V2800" t="s">
        <v>137</v>
      </c>
      <c r="W2800" t="s">
        <v>92</v>
      </c>
      <c r="X2800" t="s">
        <v>302</v>
      </c>
      <c r="Y2800" t="s">
        <v>4224</v>
      </c>
      <c r="Z2800" t="s">
        <v>42</v>
      </c>
      <c r="AA2800" t="s">
        <v>169</v>
      </c>
      <c r="AB2800" t="s">
        <v>38</v>
      </c>
      <c r="AC2800" t="s">
        <v>45</v>
      </c>
      <c r="AD2800" t="s">
        <v>48</v>
      </c>
      <c r="AG2800" t="str">
        <f>IF(AD2800="United States", IFERROR(INDEX(Sheet2!$C:$C, MATCH(AE2800&amp;AF2800, Sheet2!$E:$E, 0)) &amp; ", " &amp; INDEX(Sheet2!$D:$D, MATCH(AE2800&amp;AF2800, Sheet2!$E:$E, 0)), ""), "-")</f>
        <v/>
      </c>
    </row>
    <row r="2801" spans="1:33" x14ac:dyDescent="0.25">
      <c r="A2801" t="s">
        <v>1746</v>
      </c>
      <c r="B2801" t="s">
        <v>4225</v>
      </c>
      <c r="C2801" t="s">
        <v>4213</v>
      </c>
      <c r="D2801" t="s">
        <v>359</v>
      </c>
      <c r="E2801" t="s">
        <v>4226</v>
      </c>
      <c r="F2801">
        <v>1781</v>
      </c>
      <c r="G2801">
        <v>55</v>
      </c>
      <c r="H2801" t="s">
        <v>78</v>
      </c>
      <c r="I2801" t="s">
        <v>39</v>
      </c>
      <c r="J2801" t="s">
        <v>4215</v>
      </c>
      <c r="K2801" t="s">
        <v>38</v>
      </c>
      <c r="L2801" t="s">
        <v>38</v>
      </c>
      <c r="M2801" t="s">
        <v>38</v>
      </c>
      <c r="N2801" t="s">
        <v>38</v>
      </c>
      <c r="O2801" t="s">
        <v>74</v>
      </c>
      <c r="P2801" t="s">
        <v>42</v>
      </c>
      <c r="Q2801" t="s">
        <v>43</v>
      </c>
      <c r="R2801" t="s">
        <v>89</v>
      </c>
      <c r="S2801" t="s">
        <v>38</v>
      </c>
      <c r="T2801" t="s">
        <v>89</v>
      </c>
      <c r="U2801" t="s">
        <v>301</v>
      </c>
      <c r="V2801" t="s">
        <v>91</v>
      </c>
      <c r="W2801" t="s">
        <v>92</v>
      </c>
      <c r="X2801" t="s">
        <v>302</v>
      </c>
      <c r="Y2801" t="s">
        <v>38</v>
      </c>
      <c r="Z2801" t="s">
        <v>42</v>
      </c>
      <c r="AA2801" t="s">
        <v>38</v>
      </c>
      <c r="AB2801" t="s">
        <v>38</v>
      </c>
      <c r="AC2801" t="s">
        <v>38</v>
      </c>
      <c r="AD2801" t="s">
        <v>48</v>
      </c>
      <c r="AG2801" t="str">
        <f>IF(AD2801="United States", IFERROR(INDEX(Sheet2!$C:$C, MATCH(AE2801&amp;AF2801, Sheet2!$E:$E, 0)) &amp; ", " &amp; INDEX(Sheet2!$D:$D, MATCH(AE2801&amp;AF2801, Sheet2!$E:$E, 0)), ""), "-")</f>
        <v/>
      </c>
    </row>
    <row r="2802" spans="1:33" x14ac:dyDescent="0.25">
      <c r="A2802" t="s">
        <v>1746</v>
      </c>
      <c r="B2802" t="s">
        <v>4227</v>
      </c>
      <c r="C2802" t="s">
        <v>4213</v>
      </c>
      <c r="D2802" t="s">
        <v>803</v>
      </c>
      <c r="E2802" t="s">
        <v>710</v>
      </c>
      <c r="F2802">
        <v>1765</v>
      </c>
      <c r="G2802">
        <v>56</v>
      </c>
      <c r="H2802" t="s">
        <v>78</v>
      </c>
      <c r="I2802" t="s">
        <v>39</v>
      </c>
      <c r="J2802" t="s">
        <v>4215</v>
      </c>
      <c r="K2802" t="s">
        <v>38</v>
      </c>
      <c r="L2802" t="s">
        <v>38</v>
      </c>
      <c r="M2802" t="s">
        <v>38</v>
      </c>
      <c r="N2802" t="s">
        <v>38</v>
      </c>
      <c r="O2802" t="s">
        <v>57</v>
      </c>
      <c r="P2802" t="s">
        <v>42</v>
      </c>
      <c r="Q2802" t="s">
        <v>43</v>
      </c>
      <c r="R2802" t="s">
        <v>89</v>
      </c>
      <c r="S2802" t="s">
        <v>38</v>
      </c>
      <c r="T2802" t="s">
        <v>89</v>
      </c>
      <c r="U2802" t="s">
        <v>301</v>
      </c>
      <c r="V2802" t="s">
        <v>91</v>
      </c>
      <c r="W2802" t="s">
        <v>92</v>
      </c>
      <c r="X2802" t="s">
        <v>302</v>
      </c>
      <c r="Y2802" t="s">
        <v>4228</v>
      </c>
      <c r="Z2802" t="s">
        <v>42</v>
      </c>
      <c r="AA2802" t="s">
        <v>38</v>
      </c>
      <c r="AB2802" t="s">
        <v>38</v>
      </c>
      <c r="AC2802" t="s">
        <v>3835</v>
      </c>
      <c r="AD2802" t="s">
        <v>48</v>
      </c>
      <c r="AG2802" t="str">
        <f>IF(AD2802="United States", IFERROR(INDEX(Sheet2!$C:$C, MATCH(AE2802&amp;AF2802, Sheet2!$E:$E, 0)) &amp; ", " &amp; INDEX(Sheet2!$D:$D, MATCH(AE2802&amp;AF2802, Sheet2!$E:$E, 0)), ""), "-")</f>
        <v/>
      </c>
    </row>
    <row r="2803" spans="1:33" x14ac:dyDescent="0.25">
      <c r="A2803" t="s">
        <v>1746</v>
      </c>
      <c r="B2803" t="s">
        <v>4229</v>
      </c>
      <c r="C2803" t="s">
        <v>4213</v>
      </c>
      <c r="D2803" t="s">
        <v>357</v>
      </c>
      <c r="E2803" t="s">
        <v>4230</v>
      </c>
      <c r="F2803">
        <v>1739</v>
      </c>
      <c r="G2803">
        <v>57</v>
      </c>
      <c r="H2803" t="s">
        <v>173</v>
      </c>
      <c r="I2803" t="s">
        <v>39</v>
      </c>
      <c r="J2803" t="s">
        <v>4215</v>
      </c>
      <c r="K2803" t="s">
        <v>38</v>
      </c>
      <c r="L2803" t="s">
        <v>38</v>
      </c>
      <c r="M2803" t="s">
        <v>38</v>
      </c>
      <c r="N2803" t="s">
        <v>38</v>
      </c>
      <c r="O2803" t="s">
        <v>41</v>
      </c>
      <c r="P2803" t="s">
        <v>42</v>
      </c>
      <c r="Q2803" t="s">
        <v>43</v>
      </c>
      <c r="R2803" t="s">
        <v>89</v>
      </c>
      <c r="S2803" t="s">
        <v>45</v>
      </c>
      <c r="T2803" t="s">
        <v>89</v>
      </c>
      <c r="U2803" t="s">
        <v>301</v>
      </c>
      <c r="V2803" t="s">
        <v>91</v>
      </c>
      <c r="W2803" t="s">
        <v>92</v>
      </c>
      <c r="X2803" t="s">
        <v>302</v>
      </c>
      <c r="Y2803" t="s">
        <v>4231</v>
      </c>
      <c r="Z2803" t="s">
        <v>42</v>
      </c>
      <c r="AA2803" t="s">
        <v>89</v>
      </c>
      <c r="AB2803" t="s">
        <v>38</v>
      </c>
      <c r="AC2803" t="s">
        <v>45</v>
      </c>
      <c r="AD2803" t="s">
        <v>48</v>
      </c>
      <c r="AG2803" t="str">
        <f>IF(AD2803="United States", IFERROR(INDEX(Sheet2!$C:$C, MATCH(AE2803&amp;AF2803, Sheet2!$E:$E, 0)) &amp; ", " &amp; INDEX(Sheet2!$D:$D, MATCH(AE2803&amp;AF2803, Sheet2!$E:$E, 0)), ""), "-")</f>
        <v/>
      </c>
    </row>
    <row r="2804" spans="1:33" x14ac:dyDescent="0.25">
      <c r="A2804" t="s">
        <v>1746</v>
      </c>
      <c r="B2804" t="s">
        <v>4232</v>
      </c>
      <c r="C2804" t="s">
        <v>4213</v>
      </c>
      <c r="D2804" t="s">
        <v>150</v>
      </c>
      <c r="E2804" t="s">
        <v>38</v>
      </c>
      <c r="F2804">
        <v>1756</v>
      </c>
      <c r="G2804">
        <v>58</v>
      </c>
      <c r="H2804" t="s">
        <v>78</v>
      </c>
      <c r="I2804" t="s">
        <v>39</v>
      </c>
      <c r="J2804" t="s">
        <v>4215</v>
      </c>
      <c r="K2804" t="s">
        <v>38</v>
      </c>
      <c r="L2804" t="s">
        <v>38</v>
      </c>
      <c r="M2804" t="s">
        <v>38</v>
      </c>
      <c r="N2804" t="s">
        <v>38</v>
      </c>
      <c r="O2804" t="s">
        <v>41</v>
      </c>
      <c r="P2804" t="s">
        <v>42</v>
      </c>
      <c r="Q2804" t="s">
        <v>43</v>
      </c>
      <c r="R2804" t="s">
        <v>89</v>
      </c>
      <c r="S2804" t="s">
        <v>38</v>
      </c>
      <c r="T2804" t="s">
        <v>89</v>
      </c>
      <c r="U2804" t="s">
        <v>301</v>
      </c>
      <c r="V2804" t="s">
        <v>91</v>
      </c>
      <c r="W2804" t="s">
        <v>92</v>
      </c>
      <c r="X2804" t="s">
        <v>302</v>
      </c>
      <c r="Y2804" t="s">
        <v>4233</v>
      </c>
      <c r="Z2804" t="s">
        <v>42</v>
      </c>
      <c r="AA2804" t="s">
        <v>38</v>
      </c>
      <c r="AB2804" t="s">
        <v>38</v>
      </c>
      <c r="AC2804" t="s">
        <v>38</v>
      </c>
      <c r="AD2804" t="s">
        <v>48</v>
      </c>
      <c r="AG2804" t="str">
        <f>IF(AD2804="United States", IFERROR(INDEX(Sheet2!$C:$C, MATCH(AE2804&amp;AF2804, Sheet2!$E:$E, 0)) &amp; ", " &amp; INDEX(Sheet2!$D:$D, MATCH(AE2804&amp;AF2804, Sheet2!$E:$E, 0)), ""), "-")</f>
        <v/>
      </c>
    </row>
    <row r="2805" spans="1:33" x14ac:dyDescent="0.25">
      <c r="A2805" t="s">
        <v>1746</v>
      </c>
      <c r="B2805" t="s">
        <v>4234</v>
      </c>
      <c r="C2805" t="s">
        <v>4213</v>
      </c>
      <c r="D2805" t="s">
        <v>334</v>
      </c>
      <c r="E2805" t="s">
        <v>4235</v>
      </c>
      <c r="F2805">
        <v>1747</v>
      </c>
      <c r="G2805">
        <v>59</v>
      </c>
      <c r="H2805" t="s">
        <v>78</v>
      </c>
      <c r="I2805" t="s">
        <v>39</v>
      </c>
      <c r="J2805" t="s">
        <v>4215</v>
      </c>
      <c r="K2805" t="s">
        <v>38</v>
      </c>
      <c r="L2805" t="s">
        <v>38</v>
      </c>
      <c r="M2805" t="s">
        <v>38</v>
      </c>
      <c r="N2805" t="s">
        <v>38</v>
      </c>
      <c r="O2805" t="s">
        <v>41</v>
      </c>
      <c r="P2805" t="s">
        <v>42</v>
      </c>
      <c r="Q2805" t="s">
        <v>43</v>
      </c>
      <c r="R2805" t="s">
        <v>89</v>
      </c>
      <c r="S2805" t="s">
        <v>38</v>
      </c>
      <c r="T2805" t="s">
        <v>89</v>
      </c>
      <c r="U2805" t="s">
        <v>301</v>
      </c>
      <c r="V2805" t="s">
        <v>91</v>
      </c>
      <c r="W2805" t="s">
        <v>92</v>
      </c>
      <c r="X2805" t="s">
        <v>302</v>
      </c>
      <c r="Y2805" t="s">
        <v>4236</v>
      </c>
      <c r="Z2805" t="s">
        <v>42</v>
      </c>
      <c r="AA2805" t="s">
        <v>38</v>
      </c>
      <c r="AB2805" t="s">
        <v>38</v>
      </c>
      <c r="AC2805" t="s">
        <v>2580</v>
      </c>
      <c r="AD2805" t="s">
        <v>48</v>
      </c>
      <c r="AG2805" t="str">
        <f>IF(AD2805="United States", IFERROR(INDEX(Sheet2!$C:$C, MATCH(AE2805&amp;AF2805, Sheet2!$E:$E, 0)) &amp; ", " &amp; INDEX(Sheet2!$D:$D, MATCH(AE2805&amp;AF2805, Sheet2!$E:$E, 0)), ""), "-")</f>
        <v/>
      </c>
    </row>
    <row r="2806" spans="1:33" x14ac:dyDescent="0.25">
      <c r="A2806" t="s">
        <v>1746</v>
      </c>
      <c r="B2806" t="s">
        <v>4237</v>
      </c>
      <c r="C2806" t="s">
        <v>4213</v>
      </c>
      <c r="D2806" t="s">
        <v>1274</v>
      </c>
      <c r="E2806" t="s">
        <v>4235</v>
      </c>
      <c r="F2806">
        <v>1743</v>
      </c>
      <c r="G2806">
        <v>60</v>
      </c>
      <c r="H2806" t="s">
        <v>78</v>
      </c>
      <c r="I2806" t="s">
        <v>39</v>
      </c>
      <c r="J2806" t="s">
        <v>4215</v>
      </c>
      <c r="K2806" t="s">
        <v>38</v>
      </c>
      <c r="L2806" t="s">
        <v>38</v>
      </c>
      <c r="M2806" t="s">
        <v>38</v>
      </c>
      <c r="N2806" t="s">
        <v>38</v>
      </c>
      <c r="O2806" t="s">
        <v>57</v>
      </c>
      <c r="P2806" t="s">
        <v>42</v>
      </c>
      <c r="Q2806" t="s">
        <v>43</v>
      </c>
      <c r="R2806" t="s">
        <v>89</v>
      </c>
      <c r="S2806" t="s">
        <v>38</v>
      </c>
      <c r="T2806" t="s">
        <v>89</v>
      </c>
      <c r="U2806" t="s">
        <v>301</v>
      </c>
      <c r="V2806" t="s">
        <v>91</v>
      </c>
      <c r="W2806" t="s">
        <v>92</v>
      </c>
      <c r="X2806" t="s">
        <v>302</v>
      </c>
      <c r="Y2806" t="s">
        <v>4236</v>
      </c>
      <c r="Z2806" t="s">
        <v>42</v>
      </c>
      <c r="AA2806" t="s">
        <v>38</v>
      </c>
      <c r="AB2806" t="s">
        <v>38</v>
      </c>
      <c r="AC2806" t="s">
        <v>2580</v>
      </c>
      <c r="AD2806" t="s">
        <v>48</v>
      </c>
      <c r="AG2806" t="str">
        <f>IF(AD2806="United States", IFERROR(INDEX(Sheet2!$C:$C, MATCH(AE2806&amp;AF2806, Sheet2!$E:$E, 0)) &amp; ", " &amp; INDEX(Sheet2!$D:$D, MATCH(AE2806&amp;AF2806, Sheet2!$E:$E, 0)), ""), "-")</f>
        <v/>
      </c>
    </row>
    <row r="2807" spans="1:33" x14ac:dyDescent="0.25">
      <c r="A2807" t="s">
        <v>1746</v>
      </c>
      <c r="B2807" t="s">
        <v>4238</v>
      </c>
      <c r="C2807" t="s">
        <v>4213</v>
      </c>
      <c r="D2807" t="s">
        <v>980</v>
      </c>
      <c r="E2807" t="s">
        <v>4235</v>
      </c>
      <c r="F2807">
        <v>1778</v>
      </c>
      <c r="G2807">
        <v>61</v>
      </c>
      <c r="H2807" t="s">
        <v>78</v>
      </c>
      <c r="I2807" t="s">
        <v>39</v>
      </c>
      <c r="J2807" t="s">
        <v>4215</v>
      </c>
      <c r="K2807" t="s">
        <v>38</v>
      </c>
      <c r="L2807" t="s">
        <v>38</v>
      </c>
      <c r="M2807" t="s">
        <v>38</v>
      </c>
      <c r="N2807" t="s">
        <v>38</v>
      </c>
      <c r="O2807" t="s">
        <v>54</v>
      </c>
      <c r="P2807" t="s">
        <v>42</v>
      </c>
      <c r="Q2807" t="s">
        <v>43</v>
      </c>
      <c r="R2807" t="s">
        <v>89</v>
      </c>
      <c r="S2807" t="s">
        <v>38</v>
      </c>
      <c r="T2807" t="s">
        <v>89</v>
      </c>
      <c r="U2807" t="s">
        <v>301</v>
      </c>
      <c r="V2807" t="s">
        <v>91</v>
      </c>
      <c r="W2807" t="s">
        <v>92</v>
      </c>
      <c r="X2807" t="s">
        <v>302</v>
      </c>
      <c r="Y2807" t="s">
        <v>4236</v>
      </c>
      <c r="Z2807" t="s">
        <v>42</v>
      </c>
      <c r="AA2807" t="s">
        <v>38</v>
      </c>
      <c r="AB2807" t="s">
        <v>38</v>
      </c>
      <c r="AC2807" t="s">
        <v>2580</v>
      </c>
      <c r="AD2807" t="s">
        <v>48</v>
      </c>
      <c r="AG2807" t="str">
        <f>IF(AD2807="United States", IFERROR(INDEX(Sheet2!$C:$C, MATCH(AE2807&amp;AF2807, Sheet2!$E:$E, 0)) &amp; ", " &amp; INDEX(Sheet2!$D:$D, MATCH(AE2807&amp;AF2807, Sheet2!$E:$E, 0)), ""), "-")</f>
        <v/>
      </c>
    </row>
    <row r="2808" spans="1:33" x14ac:dyDescent="0.25">
      <c r="A2808" t="s">
        <v>1746</v>
      </c>
      <c r="B2808" t="s">
        <v>4239</v>
      </c>
      <c r="C2808" t="s">
        <v>4213</v>
      </c>
      <c r="D2808" t="s">
        <v>927</v>
      </c>
      <c r="E2808" t="s">
        <v>1147</v>
      </c>
      <c r="F2808">
        <v>1751</v>
      </c>
      <c r="G2808">
        <v>62</v>
      </c>
      <c r="H2808" t="s">
        <v>78</v>
      </c>
      <c r="I2808" t="s">
        <v>39</v>
      </c>
      <c r="J2808" t="s">
        <v>4215</v>
      </c>
      <c r="K2808" t="s">
        <v>38</v>
      </c>
      <c r="L2808" t="s">
        <v>38</v>
      </c>
      <c r="M2808" t="s">
        <v>38</v>
      </c>
      <c r="N2808" t="s">
        <v>38</v>
      </c>
      <c r="O2808" t="s">
        <v>41</v>
      </c>
      <c r="P2808" t="s">
        <v>42</v>
      </c>
      <c r="Q2808" t="s">
        <v>43</v>
      </c>
      <c r="R2808" t="s">
        <v>89</v>
      </c>
      <c r="S2808" t="s">
        <v>38</v>
      </c>
      <c r="T2808" t="s">
        <v>89</v>
      </c>
      <c r="U2808" t="s">
        <v>301</v>
      </c>
      <c r="V2808" t="s">
        <v>91</v>
      </c>
      <c r="W2808" t="s">
        <v>92</v>
      </c>
      <c r="X2808" t="s">
        <v>302</v>
      </c>
      <c r="Y2808" t="s">
        <v>38</v>
      </c>
      <c r="Z2808" t="s">
        <v>42</v>
      </c>
      <c r="AA2808" t="s">
        <v>4240</v>
      </c>
      <c r="AB2808" t="s">
        <v>38</v>
      </c>
      <c r="AC2808" t="s">
        <v>70</v>
      </c>
      <c r="AD2808" t="s">
        <v>48</v>
      </c>
      <c r="AG2808" t="str">
        <f>IF(AD2808="United States", IFERROR(INDEX(Sheet2!$C:$C, MATCH(AE2808&amp;AF2808, Sheet2!$E:$E, 0)) &amp; ", " &amp; INDEX(Sheet2!$D:$D, MATCH(AE2808&amp;AF2808, Sheet2!$E:$E, 0)), ""), "-")</f>
        <v/>
      </c>
    </row>
    <row r="2809" spans="1:33" x14ac:dyDescent="0.25">
      <c r="A2809" t="s">
        <v>1746</v>
      </c>
      <c r="B2809" t="s">
        <v>4241</v>
      </c>
      <c r="C2809" t="s">
        <v>4179</v>
      </c>
      <c r="D2809" t="s">
        <v>626</v>
      </c>
      <c r="E2809" t="s">
        <v>226</v>
      </c>
      <c r="F2809">
        <v>1762</v>
      </c>
      <c r="G2809">
        <v>1988</v>
      </c>
      <c r="H2809" t="s">
        <v>398</v>
      </c>
      <c r="I2809" t="s">
        <v>80</v>
      </c>
      <c r="J2809" t="s">
        <v>38</v>
      </c>
      <c r="K2809" t="s">
        <v>38</v>
      </c>
      <c r="L2809" t="s">
        <v>38</v>
      </c>
      <c r="M2809" t="s">
        <v>38</v>
      </c>
      <c r="N2809" t="s">
        <v>38</v>
      </c>
      <c r="O2809" t="s">
        <v>41</v>
      </c>
      <c r="P2809" t="s">
        <v>42</v>
      </c>
      <c r="Q2809" t="s">
        <v>43</v>
      </c>
      <c r="R2809" t="s">
        <v>89</v>
      </c>
      <c r="S2809" t="s">
        <v>38</v>
      </c>
      <c r="T2809" t="s">
        <v>89</v>
      </c>
      <c r="U2809" t="s">
        <v>301</v>
      </c>
      <c r="V2809" t="s">
        <v>91</v>
      </c>
      <c r="W2809" t="s">
        <v>92</v>
      </c>
      <c r="X2809" t="s">
        <v>302</v>
      </c>
      <c r="Y2809" t="s">
        <v>4242</v>
      </c>
      <c r="Z2809" t="s">
        <v>42</v>
      </c>
      <c r="AA2809" t="s">
        <v>38</v>
      </c>
      <c r="AB2809" t="s">
        <v>38</v>
      </c>
      <c r="AC2809" t="s">
        <v>38</v>
      </c>
      <c r="AD2809" t="s">
        <v>48</v>
      </c>
      <c r="AG2809" t="str">
        <f>IF(AD2809="United States", IFERROR(INDEX(Sheet2!$C:$C, MATCH(AE2809&amp;AF2809, Sheet2!$E:$E, 0)) &amp; ", " &amp; INDEX(Sheet2!$D:$D, MATCH(AE2809&amp;AF2809, Sheet2!$E:$E, 0)), ""), "-")</f>
        <v/>
      </c>
    </row>
    <row r="2810" spans="1:33" x14ac:dyDescent="0.25">
      <c r="A2810" t="s">
        <v>1746</v>
      </c>
      <c r="B2810" t="s">
        <v>4243</v>
      </c>
      <c r="C2810" t="s">
        <v>4179</v>
      </c>
      <c r="D2810" t="s">
        <v>4244</v>
      </c>
      <c r="E2810" t="s">
        <v>38</v>
      </c>
      <c r="F2810">
        <v>1765</v>
      </c>
      <c r="G2810">
        <v>2033</v>
      </c>
      <c r="H2810" t="s">
        <v>38</v>
      </c>
      <c r="I2810" t="s">
        <v>80</v>
      </c>
      <c r="J2810" t="s">
        <v>38</v>
      </c>
      <c r="K2810" t="s">
        <v>38</v>
      </c>
      <c r="L2810" t="s">
        <v>38</v>
      </c>
      <c r="M2810" t="s">
        <v>38</v>
      </c>
      <c r="N2810" t="s">
        <v>38</v>
      </c>
      <c r="O2810" t="s">
        <v>57</v>
      </c>
      <c r="P2810" t="s">
        <v>42</v>
      </c>
      <c r="Q2810" t="s">
        <v>43</v>
      </c>
      <c r="R2810" t="s">
        <v>38</v>
      </c>
      <c r="S2810" t="s">
        <v>38</v>
      </c>
      <c r="T2810" t="s">
        <v>38</v>
      </c>
      <c r="U2810" t="s">
        <v>38</v>
      </c>
      <c r="V2810" t="s">
        <v>91</v>
      </c>
      <c r="W2810" t="s">
        <v>38</v>
      </c>
      <c r="X2810" t="s">
        <v>38</v>
      </c>
      <c r="Y2810" t="s">
        <v>4242</v>
      </c>
      <c r="Z2810" t="s">
        <v>42</v>
      </c>
      <c r="AA2810" t="s">
        <v>2528</v>
      </c>
      <c r="AB2810" t="s">
        <v>38</v>
      </c>
      <c r="AC2810" t="s">
        <v>60</v>
      </c>
      <c r="AD2810" t="s">
        <v>48</v>
      </c>
      <c r="AG2810" t="str">
        <f>IF(AD2810="United States", IFERROR(INDEX(Sheet2!$C:$C, MATCH(AE2810&amp;AF2810, Sheet2!$E:$E, 0)) &amp; ", " &amp; INDEX(Sheet2!$D:$D, MATCH(AE2810&amp;AF2810, Sheet2!$E:$E, 0)), ""), "-")</f>
        <v/>
      </c>
    </row>
    <row r="2811" spans="1:33" x14ac:dyDescent="0.25">
      <c r="A2811" t="s">
        <v>1746</v>
      </c>
      <c r="B2811" t="s">
        <v>4245</v>
      </c>
      <c r="C2811" t="s">
        <v>4179</v>
      </c>
      <c r="D2811" t="s">
        <v>1174</v>
      </c>
      <c r="E2811" t="s">
        <v>38</v>
      </c>
      <c r="F2811">
        <v>1767</v>
      </c>
      <c r="G2811">
        <v>2031</v>
      </c>
      <c r="H2811" t="s">
        <v>596</v>
      </c>
      <c r="I2811" t="s">
        <v>80</v>
      </c>
      <c r="J2811" t="s">
        <v>38</v>
      </c>
      <c r="K2811" t="s">
        <v>38</v>
      </c>
      <c r="L2811" t="s">
        <v>38</v>
      </c>
      <c r="M2811" t="s">
        <v>38</v>
      </c>
      <c r="N2811" t="s">
        <v>38</v>
      </c>
      <c r="O2811" t="s">
        <v>54</v>
      </c>
      <c r="P2811" t="s">
        <v>42</v>
      </c>
      <c r="Q2811" t="s">
        <v>43</v>
      </c>
      <c r="R2811" t="s">
        <v>89</v>
      </c>
      <c r="S2811" t="s">
        <v>153</v>
      </c>
      <c r="T2811" t="s">
        <v>89</v>
      </c>
      <c r="U2811" t="s">
        <v>301</v>
      </c>
      <c r="V2811" t="s">
        <v>91</v>
      </c>
      <c r="W2811" t="s">
        <v>92</v>
      </c>
      <c r="X2811" t="s">
        <v>302</v>
      </c>
      <c r="Y2811" t="s">
        <v>4242</v>
      </c>
      <c r="Z2811" t="s">
        <v>42</v>
      </c>
      <c r="AA2811" t="s">
        <v>4246</v>
      </c>
      <c r="AB2811" t="s">
        <v>38</v>
      </c>
      <c r="AC2811" t="s">
        <v>153</v>
      </c>
      <c r="AD2811" t="s">
        <v>48</v>
      </c>
      <c r="AG2811" t="str">
        <f>IF(AD2811="United States", IFERROR(INDEX(Sheet2!$C:$C, MATCH(AE2811&amp;AF2811, Sheet2!$E:$E, 0)) &amp; ", " &amp; INDEX(Sheet2!$D:$D, MATCH(AE2811&amp;AF2811, Sheet2!$E:$E, 0)), ""), "-")</f>
        <v/>
      </c>
    </row>
    <row r="2812" spans="1:33" x14ac:dyDescent="0.25">
      <c r="A2812" t="s">
        <v>1746</v>
      </c>
      <c r="B2812" t="s">
        <v>4247</v>
      </c>
      <c r="C2812" t="s">
        <v>4213</v>
      </c>
      <c r="D2812" t="s">
        <v>140</v>
      </c>
      <c r="E2812" t="s">
        <v>2962</v>
      </c>
      <c r="F2812">
        <v>1753</v>
      </c>
      <c r="G2812">
        <v>70</v>
      </c>
      <c r="H2812" t="s">
        <v>78</v>
      </c>
      <c r="I2812" t="s">
        <v>39</v>
      </c>
      <c r="J2812" t="s">
        <v>4215</v>
      </c>
      <c r="K2812" t="s">
        <v>38</v>
      </c>
      <c r="L2812" t="s">
        <v>38</v>
      </c>
      <c r="M2812" t="s">
        <v>38</v>
      </c>
      <c r="N2812" t="s">
        <v>38</v>
      </c>
      <c r="O2812" t="s">
        <v>57</v>
      </c>
      <c r="P2812" t="s">
        <v>42</v>
      </c>
      <c r="Q2812" t="s">
        <v>43</v>
      </c>
      <c r="R2812" t="s">
        <v>89</v>
      </c>
      <c r="S2812" t="s">
        <v>201</v>
      </c>
      <c r="T2812" t="s">
        <v>89</v>
      </c>
      <c r="U2812" t="s">
        <v>301</v>
      </c>
      <c r="V2812" t="s">
        <v>91</v>
      </c>
      <c r="W2812" t="s">
        <v>92</v>
      </c>
      <c r="X2812" t="s">
        <v>302</v>
      </c>
      <c r="Y2812" t="s">
        <v>585</v>
      </c>
      <c r="Z2812" t="s">
        <v>42</v>
      </c>
      <c r="AA2812" t="s">
        <v>265</v>
      </c>
      <c r="AB2812" t="s">
        <v>38</v>
      </c>
      <c r="AC2812" t="s">
        <v>201</v>
      </c>
      <c r="AD2812" t="s">
        <v>48</v>
      </c>
      <c r="AG2812" t="str">
        <f>IF(AD2812="United States", IFERROR(INDEX(Sheet2!$C:$C, MATCH(AE2812&amp;AF2812, Sheet2!$E:$E, 0)) &amp; ", " &amp; INDEX(Sheet2!$D:$D, MATCH(AE2812&amp;AF2812, Sheet2!$E:$E, 0)), ""), "-")</f>
        <v/>
      </c>
    </row>
    <row r="2813" spans="1:33" x14ac:dyDescent="0.25">
      <c r="A2813" t="s">
        <v>1746</v>
      </c>
      <c r="B2813" t="s">
        <v>4248</v>
      </c>
      <c r="C2813" t="s">
        <v>4213</v>
      </c>
      <c r="D2813" t="s">
        <v>463</v>
      </c>
      <c r="E2813" t="s">
        <v>4249</v>
      </c>
      <c r="F2813">
        <v>1761</v>
      </c>
      <c r="G2813">
        <v>69</v>
      </c>
      <c r="H2813" t="s">
        <v>78</v>
      </c>
      <c r="I2813" t="s">
        <v>39</v>
      </c>
      <c r="J2813" t="s">
        <v>4215</v>
      </c>
      <c r="K2813" t="s">
        <v>38</v>
      </c>
      <c r="L2813" t="s">
        <v>38</v>
      </c>
      <c r="M2813" t="s">
        <v>38</v>
      </c>
      <c r="N2813" t="s">
        <v>38</v>
      </c>
      <c r="O2813" t="s">
        <v>41</v>
      </c>
      <c r="P2813" t="s">
        <v>42</v>
      </c>
      <c r="Q2813" t="s">
        <v>43</v>
      </c>
      <c r="R2813" t="s">
        <v>89</v>
      </c>
      <c r="S2813" t="s">
        <v>38</v>
      </c>
      <c r="T2813" t="s">
        <v>89</v>
      </c>
      <c r="U2813" t="s">
        <v>301</v>
      </c>
      <c r="V2813" t="s">
        <v>91</v>
      </c>
      <c r="W2813" t="s">
        <v>92</v>
      </c>
      <c r="X2813" t="s">
        <v>302</v>
      </c>
      <c r="Y2813" t="s">
        <v>4231</v>
      </c>
      <c r="Z2813" t="s">
        <v>42</v>
      </c>
      <c r="AA2813" t="s">
        <v>672</v>
      </c>
      <c r="AB2813" t="s">
        <v>38</v>
      </c>
      <c r="AC2813" t="s">
        <v>673</v>
      </c>
      <c r="AD2813" t="s">
        <v>672</v>
      </c>
      <c r="AG2813" t="str">
        <f>IF(AD2813="United States", IFERROR(INDEX(Sheet2!$C:$C, MATCH(AE2813&amp;AF2813, Sheet2!$E:$E, 0)) &amp; ", " &amp; INDEX(Sheet2!$D:$D, MATCH(AE2813&amp;AF2813, Sheet2!$E:$E, 0)), ""), "18.1850507, -77.3947693")</f>
        <v>18.1850507, -77.3947693</v>
      </c>
    </row>
    <row r="2814" spans="1:33" x14ac:dyDescent="0.25">
      <c r="A2814" t="s">
        <v>1746</v>
      </c>
      <c r="B2814" t="s">
        <v>4250</v>
      </c>
      <c r="C2814" t="s">
        <v>4188</v>
      </c>
      <c r="D2814" t="s">
        <v>4251</v>
      </c>
      <c r="E2814" t="s">
        <v>4252</v>
      </c>
      <c r="F2814">
        <v>1758</v>
      </c>
      <c r="G2814">
        <v>1135</v>
      </c>
      <c r="H2814" t="s">
        <v>610</v>
      </c>
      <c r="I2814" t="s">
        <v>80</v>
      </c>
      <c r="J2814" t="s">
        <v>4176</v>
      </c>
      <c r="K2814" t="s">
        <v>38</v>
      </c>
      <c r="L2814" t="s">
        <v>38</v>
      </c>
      <c r="M2814" t="s">
        <v>38</v>
      </c>
      <c r="N2814" t="s">
        <v>38</v>
      </c>
      <c r="O2814" t="s">
        <v>41</v>
      </c>
      <c r="P2814" t="s">
        <v>42</v>
      </c>
      <c r="Q2814" t="s">
        <v>43</v>
      </c>
      <c r="R2814" t="s">
        <v>89</v>
      </c>
      <c r="S2814" t="s">
        <v>45</v>
      </c>
      <c r="T2814" t="s">
        <v>89</v>
      </c>
      <c r="U2814" t="s">
        <v>301</v>
      </c>
      <c r="V2814" t="s">
        <v>137</v>
      </c>
      <c r="W2814" t="s">
        <v>92</v>
      </c>
      <c r="X2814" t="s">
        <v>302</v>
      </c>
      <c r="Y2814" t="s">
        <v>4224</v>
      </c>
      <c r="Z2814" t="s">
        <v>42</v>
      </c>
      <c r="AA2814" t="s">
        <v>169</v>
      </c>
      <c r="AB2814" t="s">
        <v>38</v>
      </c>
      <c r="AC2814" t="s">
        <v>45</v>
      </c>
      <c r="AD2814" t="s">
        <v>48</v>
      </c>
      <c r="AG2814" t="str">
        <f>IF(AD2814="United States", IFERROR(INDEX(Sheet2!$C:$C, MATCH(AE2814&amp;AF2814, Sheet2!$E:$E, 0)) &amp; ", " &amp; INDEX(Sheet2!$D:$D, MATCH(AE2814&amp;AF2814, Sheet2!$E:$E, 0)), ""), "-")</f>
        <v/>
      </c>
    </row>
    <row r="2815" spans="1:33" x14ac:dyDescent="0.25">
      <c r="A2815" t="s">
        <v>1746</v>
      </c>
      <c r="B2815" t="s">
        <v>4222</v>
      </c>
      <c r="C2815" t="s">
        <v>4188</v>
      </c>
      <c r="D2815" t="s">
        <v>4223</v>
      </c>
      <c r="E2815" t="s">
        <v>2178</v>
      </c>
      <c r="F2815">
        <v>1753</v>
      </c>
      <c r="G2815">
        <v>1134</v>
      </c>
      <c r="H2815" t="s">
        <v>610</v>
      </c>
      <c r="I2815" t="s">
        <v>80</v>
      </c>
      <c r="J2815" t="s">
        <v>4176</v>
      </c>
      <c r="K2815" t="s">
        <v>38</v>
      </c>
      <c r="L2815" t="s">
        <v>38</v>
      </c>
      <c r="M2815" t="s">
        <v>38</v>
      </c>
      <c r="N2815" t="s">
        <v>38</v>
      </c>
      <c r="O2815" t="s">
        <v>41</v>
      </c>
      <c r="P2815" t="s">
        <v>42</v>
      </c>
      <c r="Q2815" t="s">
        <v>43</v>
      </c>
      <c r="R2815" t="s">
        <v>89</v>
      </c>
      <c r="S2815" t="s">
        <v>45</v>
      </c>
      <c r="T2815" t="s">
        <v>89</v>
      </c>
      <c r="U2815" t="s">
        <v>301</v>
      </c>
      <c r="V2815" t="s">
        <v>137</v>
      </c>
      <c r="W2815" t="s">
        <v>92</v>
      </c>
      <c r="X2815" t="s">
        <v>302</v>
      </c>
      <c r="Y2815" t="s">
        <v>4224</v>
      </c>
      <c r="Z2815" t="s">
        <v>42</v>
      </c>
      <c r="AA2815" t="s">
        <v>169</v>
      </c>
      <c r="AB2815" t="s">
        <v>38</v>
      </c>
      <c r="AC2815" t="s">
        <v>45</v>
      </c>
      <c r="AD2815" t="s">
        <v>48</v>
      </c>
      <c r="AG2815" t="str">
        <f>IF(AD2815="United States", IFERROR(INDEX(Sheet2!$C:$C, MATCH(AE2815&amp;AF2815, Sheet2!$E:$E, 0)) &amp; ", " &amp; INDEX(Sheet2!$D:$D, MATCH(AE2815&amp;AF2815, Sheet2!$E:$E, 0)), ""), "-")</f>
        <v/>
      </c>
    </row>
    <row r="2816" spans="1:33" x14ac:dyDescent="0.25">
      <c r="A2816" t="s">
        <v>1746</v>
      </c>
      <c r="B2816" t="s">
        <v>4253</v>
      </c>
      <c r="C2816" t="s">
        <v>4213</v>
      </c>
      <c r="D2816" t="s">
        <v>4216</v>
      </c>
      <c r="E2816" t="s">
        <v>4217</v>
      </c>
      <c r="F2816">
        <v>1718</v>
      </c>
      <c r="G2816">
        <v>63</v>
      </c>
      <c r="H2816" t="s">
        <v>38</v>
      </c>
      <c r="I2816" t="s">
        <v>39</v>
      </c>
      <c r="J2816" t="s">
        <v>4215</v>
      </c>
      <c r="K2816" t="s">
        <v>38</v>
      </c>
      <c r="L2816" t="s">
        <v>38</v>
      </c>
      <c r="M2816" t="s">
        <v>38</v>
      </c>
      <c r="N2816" t="s">
        <v>38</v>
      </c>
      <c r="O2816" t="s">
        <v>41</v>
      </c>
      <c r="P2816" t="s">
        <v>42</v>
      </c>
      <c r="Q2816" t="s">
        <v>43</v>
      </c>
      <c r="R2816" t="s">
        <v>4254</v>
      </c>
      <c r="S2816" t="s">
        <v>153</v>
      </c>
      <c r="T2816" t="s">
        <v>38</v>
      </c>
      <c r="U2816" t="s">
        <v>38</v>
      </c>
      <c r="V2816" t="s">
        <v>91</v>
      </c>
      <c r="W2816" t="s">
        <v>38</v>
      </c>
      <c r="X2816" t="s">
        <v>38</v>
      </c>
      <c r="Y2816" t="s">
        <v>38</v>
      </c>
      <c r="Z2816" t="s">
        <v>42</v>
      </c>
      <c r="AA2816" t="s">
        <v>38</v>
      </c>
      <c r="AB2816" t="s">
        <v>38</v>
      </c>
      <c r="AC2816" t="s">
        <v>153</v>
      </c>
      <c r="AD2816" t="s">
        <v>48</v>
      </c>
      <c r="AG2816" t="str">
        <f>IF(AD2816="United States", IFERROR(INDEX(Sheet2!$C:$C, MATCH(AE2816&amp;AF2816, Sheet2!$E:$E, 0)) &amp; ", " &amp; INDEX(Sheet2!$D:$D, MATCH(AE2816&amp;AF2816, Sheet2!$E:$E, 0)), ""), "-")</f>
        <v/>
      </c>
    </row>
    <row r="2817" spans="1:33" x14ac:dyDescent="0.25">
      <c r="A2817" t="s">
        <v>1746</v>
      </c>
      <c r="B2817" t="s">
        <v>4255</v>
      </c>
      <c r="C2817" t="s">
        <v>4213</v>
      </c>
      <c r="D2817" t="s">
        <v>3227</v>
      </c>
      <c r="E2817" t="s">
        <v>4256</v>
      </c>
      <c r="F2817">
        <v>1748</v>
      </c>
      <c r="G2817">
        <v>67</v>
      </c>
      <c r="H2817" t="s">
        <v>78</v>
      </c>
      <c r="I2817" t="s">
        <v>39</v>
      </c>
      <c r="J2817" t="s">
        <v>4215</v>
      </c>
      <c r="K2817" t="s">
        <v>38</v>
      </c>
      <c r="L2817" t="s">
        <v>38</v>
      </c>
      <c r="M2817" t="s">
        <v>38</v>
      </c>
      <c r="N2817" t="s">
        <v>38</v>
      </c>
      <c r="O2817" t="s">
        <v>41</v>
      </c>
      <c r="P2817" t="s">
        <v>42</v>
      </c>
      <c r="Q2817" t="s">
        <v>43</v>
      </c>
      <c r="R2817" t="s">
        <v>89</v>
      </c>
      <c r="S2817" t="s">
        <v>45</v>
      </c>
      <c r="T2817" t="s">
        <v>89</v>
      </c>
      <c r="U2817" t="s">
        <v>301</v>
      </c>
      <c r="V2817" t="s">
        <v>91</v>
      </c>
      <c r="W2817" t="s">
        <v>92</v>
      </c>
      <c r="X2817" t="s">
        <v>302</v>
      </c>
      <c r="Y2817" t="s">
        <v>4257</v>
      </c>
      <c r="Z2817" t="s">
        <v>42</v>
      </c>
      <c r="AA2817" t="s">
        <v>169</v>
      </c>
      <c r="AB2817" t="s">
        <v>38</v>
      </c>
      <c r="AC2817" t="s">
        <v>45</v>
      </c>
      <c r="AD2817" t="s">
        <v>48</v>
      </c>
      <c r="AG2817" t="str">
        <f>IF(AD2817="United States", IFERROR(INDEX(Sheet2!$C:$C, MATCH(AE2817&amp;AF2817, Sheet2!$E:$E, 0)) &amp; ", " &amp; INDEX(Sheet2!$D:$D, MATCH(AE2817&amp;AF2817, Sheet2!$E:$E, 0)), ""), "-")</f>
        <v/>
      </c>
    </row>
    <row r="2818" spans="1:33" x14ac:dyDescent="0.25">
      <c r="A2818" t="s">
        <v>1746</v>
      </c>
      <c r="B2818" t="s">
        <v>4258</v>
      </c>
      <c r="C2818" t="s">
        <v>4213</v>
      </c>
      <c r="D2818" t="s">
        <v>1116</v>
      </c>
      <c r="E2818" t="s">
        <v>38</v>
      </c>
      <c r="F2818">
        <v>1779</v>
      </c>
      <c r="G2818">
        <v>66</v>
      </c>
      <c r="H2818" t="s">
        <v>78</v>
      </c>
      <c r="I2818" t="s">
        <v>39</v>
      </c>
      <c r="J2818" t="s">
        <v>4215</v>
      </c>
      <c r="K2818" t="s">
        <v>38</v>
      </c>
      <c r="L2818" t="s">
        <v>38</v>
      </c>
      <c r="M2818" t="s">
        <v>38</v>
      </c>
      <c r="N2818" t="s">
        <v>38</v>
      </c>
      <c r="O2818" t="s">
        <v>54</v>
      </c>
      <c r="P2818" t="s">
        <v>42</v>
      </c>
      <c r="Q2818" t="s">
        <v>43</v>
      </c>
      <c r="R2818" t="s">
        <v>89</v>
      </c>
      <c r="S2818" t="s">
        <v>38</v>
      </c>
      <c r="T2818" t="s">
        <v>89</v>
      </c>
      <c r="U2818" t="s">
        <v>301</v>
      </c>
      <c r="V2818" t="s">
        <v>91</v>
      </c>
      <c r="W2818" t="s">
        <v>92</v>
      </c>
      <c r="X2818" t="s">
        <v>302</v>
      </c>
      <c r="Y2818" t="s">
        <v>38</v>
      </c>
      <c r="Z2818" t="s">
        <v>42</v>
      </c>
      <c r="AA2818" t="s">
        <v>2579</v>
      </c>
      <c r="AB2818" t="s">
        <v>38</v>
      </c>
      <c r="AC2818" t="s">
        <v>70</v>
      </c>
      <c r="AD2818" t="s">
        <v>48</v>
      </c>
      <c r="AG2818" t="str">
        <f>IF(AD2818="United States", IFERROR(INDEX(Sheet2!$C:$C, MATCH(AE2818&amp;AF2818, Sheet2!$E:$E, 0)) &amp; ", " &amp; INDEX(Sheet2!$D:$D, MATCH(AE2818&amp;AF2818, Sheet2!$E:$E, 0)), ""), "-")</f>
        <v/>
      </c>
    </row>
    <row r="2819" spans="1:33" x14ac:dyDescent="0.25">
      <c r="A2819" t="s">
        <v>1746</v>
      </c>
      <c r="B2819" t="s">
        <v>4259</v>
      </c>
      <c r="C2819" t="s">
        <v>4179</v>
      </c>
      <c r="D2819" t="s">
        <v>195</v>
      </c>
      <c r="E2819" t="s">
        <v>38</v>
      </c>
      <c r="F2819">
        <v>1765</v>
      </c>
      <c r="G2819">
        <v>2032</v>
      </c>
      <c r="H2819" t="s">
        <v>596</v>
      </c>
      <c r="I2819" t="s">
        <v>80</v>
      </c>
      <c r="J2819" t="s">
        <v>38</v>
      </c>
      <c r="K2819" t="s">
        <v>38</v>
      </c>
      <c r="L2819" t="s">
        <v>38</v>
      </c>
      <c r="M2819" t="s">
        <v>38</v>
      </c>
      <c r="N2819" t="s">
        <v>38</v>
      </c>
      <c r="O2819" t="s">
        <v>41</v>
      </c>
      <c r="P2819" t="s">
        <v>42</v>
      </c>
      <c r="Q2819" t="s">
        <v>43</v>
      </c>
      <c r="R2819" t="s">
        <v>89</v>
      </c>
      <c r="S2819" t="s">
        <v>153</v>
      </c>
      <c r="T2819" t="s">
        <v>89</v>
      </c>
      <c r="U2819" t="s">
        <v>301</v>
      </c>
      <c r="V2819" t="s">
        <v>91</v>
      </c>
      <c r="W2819" t="s">
        <v>92</v>
      </c>
      <c r="X2819" t="s">
        <v>302</v>
      </c>
      <c r="Y2819" t="s">
        <v>4260</v>
      </c>
      <c r="Z2819" t="s">
        <v>42</v>
      </c>
      <c r="AA2819" t="s">
        <v>38</v>
      </c>
      <c r="AB2819" t="s">
        <v>38</v>
      </c>
      <c r="AC2819" t="s">
        <v>153</v>
      </c>
      <c r="AD2819" t="s">
        <v>48</v>
      </c>
      <c r="AG2819" t="str">
        <f>IF(AD2819="United States", IFERROR(INDEX(Sheet2!$C:$C, MATCH(AE2819&amp;AF2819, Sheet2!$E:$E, 0)) &amp; ", " &amp; INDEX(Sheet2!$D:$D, MATCH(AE2819&amp;AF2819, Sheet2!$E:$E, 0)), ""), "-")</f>
        <v/>
      </c>
    </row>
    <row r="2820" spans="1:33" x14ac:dyDescent="0.25">
      <c r="A2820" t="s">
        <v>1746</v>
      </c>
      <c r="B2820" t="s">
        <v>4261</v>
      </c>
      <c r="C2820" t="s">
        <v>4179</v>
      </c>
      <c r="D2820" t="s">
        <v>132</v>
      </c>
      <c r="E2820" t="s">
        <v>2943</v>
      </c>
      <c r="F2820">
        <v>1753</v>
      </c>
      <c r="G2820">
        <v>1985</v>
      </c>
      <c r="H2820" t="s">
        <v>173</v>
      </c>
      <c r="I2820" t="s">
        <v>80</v>
      </c>
      <c r="J2820" t="s">
        <v>38</v>
      </c>
      <c r="K2820" t="s">
        <v>38</v>
      </c>
      <c r="L2820" t="s">
        <v>38</v>
      </c>
      <c r="M2820" t="s">
        <v>38</v>
      </c>
      <c r="N2820" t="s">
        <v>38</v>
      </c>
      <c r="O2820" t="s">
        <v>41</v>
      </c>
      <c r="P2820" t="s">
        <v>42</v>
      </c>
      <c r="Q2820" t="s">
        <v>43</v>
      </c>
      <c r="R2820" t="s">
        <v>89</v>
      </c>
      <c r="S2820" t="s">
        <v>153</v>
      </c>
      <c r="T2820" t="s">
        <v>89</v>
      </c>
      <c r="U2820" t="s">
        <v>301</v>
      </c>
      <c r="V2820" t="s">
        <v>91</v>
      </c>
      <c r="W2820" t="s">
        <v>92</v>
      </c>
      <c r="X2820" t="s">
        <v>302</v>
      </c>
      <c r="Y2820" t="s">
        <v>4262</v>
      </c>
      <c r="Z2820" t="s">
        <v>42</v>
      </c>
      <c r="AA2820" t="s">
        <v>155</v>
      </c>
      <c r="AB2820" t="s">
        <v>38</v>
      </c>
      <c r="AC2820" t="s">
        <v>153</v>
      </c>
      <c r="AD2820" t="s">
        <v>48</v>
      </c>
      <c r="AG2820" t="str">
        <f>IF(AD2820="United States", IFERROR(INDEX(Sheet2!$C:$C, MATCH(AE2820&amp;AF2820, Sheet2!$E:$E, 0)) &amp; ", " &amp; INDEX(Sheet2!$D:$D, MATCH(AE2820&amp;AF2820, Sheet2!$E:$E, 0)), ""), "-")</f>
        <v/>
      </c>
    </row>
    <row r="2821" spans="1:33" x14ac:dyDescent="0.25">
      <c r="A2821" t="s">
        <v>1746</v>
      </c>
      <c r="B2821" t="s">
        <v>4263</v>
      </c>
      <c r="C2821" t="s">
        <v>4213</v>
      </c>
      <c r="D2821" t="s">
        <v>463</v>
      </c>
      <c r="E2821" t="s">
        <v>2962</v>
      </c>
      <c r="F2821">
        <v>1753</v>
      </c>
      <c r="G2821">
        <v>68</v>
      </c>
      <c r="H2821" t="s">
        <v>78</v>
      </c>
      <c r="I2821" t="s">
        <v>39</v>
      </c>
      <c r="J2821" t="s">
        <v>4215</v>
      </c>
      <c r="K2821" t="s">
        <v>38</v>
      </c>
      <c r="L2821" t="s">
        <v>38</v>
      </c>
      <c r="M2821" t="s">
        <v>38</v>
      </c>
      <c r="N2821" t="s">
        <v>38</v>
      </c>
      <c r="O2821" t="s">
        <v>41</v>
      </c>
      <c r="P2821" t="s">
        <v>42</v>
      </c>
      <c r="Q2821" t="s">
        <v>43</v>
      </c>
      <c r="R2821" t="s">
        <v>89</v>
      </c>
      <c r="S2821" t="s">
        <v>201</v>
      </c>
      <c r="T2821" t="s">
        <v>89</v>
      </c>
      <c r="U2821" t="s">
        <v>301</v>
      </c>
      <c r="V2821" t="s">
        <v>91</v>
      </c>
      <c r="W2821" t="s">
        <v>92</v>
      </c>
      <c r="X2821" t="s">
        <v>302</v>
      </c>
      <c r="Y2821" t="s">
        <v>585</v>
      </c>
      <c r="Z2821" t="s">
        <v>42</v>
      </c>
      <c r="AA2821" t="s">
        <v>265</v>
      </c>
      <c r="AB2821" t="s">
        <v>201</v>
      </c>
      <c r="AC2821" t="s">
        <v>332</v>
      </c>
      <c r="AD2821" t="s">
        <v>48</v>
      </c>
      <c r="AG2821" t="str">
        <f>IF(AD2821="United States", IFERROR(INDEX(Sheet2!$C:$C, MATCH(AE2821&amp;AF2821, Sheet2!$E:$E, 0)) &amp; ", " &amp; INDEX(Sheet2!$D:$D, MATCH(AE2821&amp;AF2821, Sheet2!$E:$E, 0)), ""), "-")</f>
        <v/>
      </c>
    </row>
    <row r="2822" spans="1:33" x14ac:dyDescent="0.25">
      <c r="A2822" t="s">
        <v>1746</v>
      </c>
      <c r="D2822" t="s">
        <v>200</v>
      </c>
      <c r="E2822" t="s">
        <v>191</v>
      </c>
      <c r="F2822">
        <v>1759</v>
      </c>
      <c r="G2822">
        <v>1879</v>
      </c>
      <c r="H2822">
        <v>61</v>
      </c>
      <c r="J2822" t="s">
        <v>4176</v>
      </c>
      <c r="O2822" t="s">
        <v>41</v>
      </c>
      <c r="R2822" t="s">
        <v>89</v>
      </c>
      <c r="T2822" t="s">
        <v>89</v>
      </c>
      <c r="U2822" t="s">
        <v>301</v>
      </c>
      <c r="W2822" t="s">
        <v>92</v>
      </c>
      <c r="X2822" t="s">
        <v>302</v>
      </c>
      <c r="Y2822" t="s">
        <v>38</v>
      </c>
      <c r="AA2822" t="s">
        <v>38</v>
      </c>
      <c r="AB2822" t="s">
        <v>38</v>
      </c>
      <c r="AC2822" t="s">
        <v>38</v>
      </c>
      <c r="AD2822" t="s">
        <v>48</v>
      </c>
      <c r="AG2822" t="str">
        <f>IF(AD2822="United States", IFERROR(INDEX(Sheet2!$C:$C, MATCH(AE2822&amp;AF2822, Sheet2!$E:$E, 0)) &amp; ", " &amp; INDEX(Sheet2!$D:$D, MATCH(AE2822&amp;AF2822, Sheet2!$E:$E, 0)), ""), "-")</f>
        <v/>
      </c>
    </row>
    <row r="2823" spans="1:33" x14ac:dyDescent="0.25">
      <c r="A2823" t="s">
        <v>1746</v>
      </c>
      <c r="D2823" t="s">
        <v>1966</v>
      </c>
      <c r="E2823" t="s">
        <v>4264</v>
      </c>
      <c r="F2823">
        <v>1757</v>
      </c>
      <c r="G2823">
        <v>1919</v>
      </c>
      <c r="H2823">
        <v>62</v>
      </c>
      <c r="J2823" t="s">
        <v>4176</v>
      </c>
      <c r="O2823" t="s">
        <v>41</v>
      </c>
      <c r="R2823" t="s">
        <v>89</v>
      </c>
      <c r="T2823" t="s">
        <v>89</v>
      </c>
      <c r="U2823" t="s">
        <v>301</v>
      </c>
      <c r="V2823" t="s">
        <v>111</v>
      </c>
      <c r="W2823" t="s">
        <v>92</v>
      </c>
      <c r="X2823" t="s">
        <v>302</v>
      </c>
      <c r="Y2823" t="s">
        <v>38</v>
      </c>
      <c r="AA2823" t="s">
        <v>38</v>
      </c>
      <c r="AB2823" t="s">
        <v>38</v>
      </c>
      <c r="AC2823" t="s">
        <v>38</v>
      </c>
      <c r="AD2823" t="s">
        <v>48</v>
      </c>
      <c r="AG2823" t="str">
        <f>IF(AD2823="United States", IFERROR(INDEX(Sheet2!$C:$C, MATCH(AE2823&amp;AF2823, Sheet2!$E:$E, 0)) &amp; ", " &amp; INDEX(Sheet2!$D:$D, MATCH(AE2823&amp;AF2823, Sheet2!$E:$E, 0)), ""), "-")</f>
        <v/>
      </c>
    </row>
    <row r="2824" spans="1:33" x14ac:dyDescent="0.25">
      <c r="A2824" t="s">
        <v>1746</v>
      </c>
      <c r="B2824" t="s">
        <v>4265</v>
      </c>
      <c r="C2824" t="s">
        <v>4179</v>
      </c>
      <c r="D2824" t="s">
        <v>626</v>
      </c>
      <c r="E2824" t="s">
        <v>4266</v>
      </c>
      <c r="F2824">
        <v>1753</v>
      </c>
      <c r="G2824">
        <v>1987</v>
      </c>
      <c r="H2824" t="s">
        <v>398</v>
      </c>
      <c r="I2824" t="s">
        <v>80</v>
      </c>
      <c r="J2824" t="s">
        <v>38</v>
      </c>
      <c r="K2824" t="s">
        <v>38</v>
      </c>
      <c r="L2824" t="s">
        <v>38</v>
      </c>
      <c r="M2824" t="s">
        <v>38</v>
      </c>
      <c r="N2824" t="s">
        <v>38</v>
      </c>
      <c r="O2824" t="s">
        <v>41</v>
      </c>
      <c r="P2824" t="s">
        <v>42</v>
      </c>
      <c r="Q2824" t="s">
        <v>43</v>
      </c>
      <c r="R2824" t="s">
        <v>89</v>
      </c>
      <c r="S2824" t="s">
        <v>153</v>
      </c>
      <c r="T2824" t="s">
        <v>89</v>
      </c>
      <c r="U2824" t="s">
        <v>301</v>
      </c>
      <c r="V2824" t="s">
        <v>91</v>
      </c>
      <c r="W2824" t="s">
        <v>92</v>
      </c>
      <c r="X2824" t="s">
        <v>302</v>
      </c>
      <c r="Y2824" t="s">
        <v>38</v>
      </c>
      <c r="Z2824" t="s">
        <v>42</v>
      </c>
      <c r="AA2824" t="s">
        <v>4267</v>
      </c>
      <c r="AB2824" t="s">
        <v>155</v>
      </c>
      <c r="AC2824" t="s">
        <v>153</v>
      </c>
      <c r="AD2824" t="s">
        <v>48</v>
      </c>
      <c r="AG2824" t="str">
        <f>IF(AD2824="United States", IFERROR(INDEX(Sheet2!$C:$C, MATCH(AE2824&amp;AF2824, Sheet2!$E:$E, 0)) &amp; ", " &amp; INDEX(Sheet2!$D:$D, MATCH(AE2824&amp;AF2824, Sheet2!$E:$E, 0)), ""), "-")</f>
        <v/>
      </c>
    </row>
    <row r="2825" spans="1:33" x14ac:dyDescent="0.25">
      <c r="A2825" t="s">
        <v>1746</v>
      </c>
      <c r="B2825" t="s">
        <v>4268</v>
      </c>
      <c r="C2825" t="s">
        <v>4179</v>
      </c>
      <c r="D2825" t="s">
        <v>210</v>
      </c>
      <c r="E2825" t="s">
        <v>986</v>
      </c>
      <c r="F2825">
        <v>1763</v>
      </c>
      <c r="G2825">
        <v>1986</v>
      </c>
      <c r="H2825" t="s">
        <v>398</v>
      </c>
      <c r="I2825" t="s">
        <v>80</v>
      </c>
      <c r="J2825" t="s">
        <v>38</v>
      </c>
      <c r="K2825" t="s">
        <v>38</v>
      </c>
      <c r="L2825" t="s">
        <v>38</v>
      </c>
      <c r="M2825" t="s">
        <v>38</v>
      </c>
      <c r="N2825" t="s">
        <v>38</v>
      </c>
      <c r="O2825" t="s">
        <v>41</v>
      </c>
      <c r="P2825" t="s">
        <v>42</v>
      </c>
      <c r="Q2825" t="s">
        <v>43</v>
      </c>
      <c r="R2825" t="s">
        <v>89</v>
      </c>
      <c r="S2825" t="s">
        <v>45</v>
      </c>
      <c r="T2825" t="s">
        <v>89</v>
      </c>
      <c r="U2825" t="s">
        <v>301</v>
      </c>
      <c r="V2825" t="s">
        <v>91</v>
      </c>
      <c r="W2825" t="s">
        <v>92</v>
      </c>
      <c r="X2825" t="s">
        <v>302</v>
      </c>
      <c r="Y2825" t="s">
        <v>4269</v>
      </c>
      <c r="Z2825" t="s">
        <v>42</v>
      </c>
      <c r="AA2825" t="s">
        <v>169</v>
      </c>
      <c r="AB2825" t="s">
        <v>38</v>
      </c>
      <c r="AC2825" t="s">
        <v>45</v>
      </c>
      <c r="AD2825" t="s">
        <v>48</v>
      </c>
      <c r="AG2825" t="str">
        <f>IF(AD2825="United States", IFERROR(INDEX(Sheet2!$C:$C, MATCH(AE2825&amp;AF2825, Sheet2!$E:$E, 0)) &amp; ", " &amp; INDEX(Sheet2!$D:$D, MATCH(AE2825&amp;AF2825, Sheet2!$E:$E, 0)), ""), "-")</f>
        <v/>
      </c>
    </row>
    <row r="2826" spans="1:33" x14ac:dyDescent="0.25">
      <c r="A2826" t="s">
        <v>1746</v>
      </c>
      <c r="B2826" t="s">
        <v>4270</v>
      </c>
      <c r="C2826" t="s">
        <v>4179</v>
      </c>
      <c r="D2826" t="s">
        <v>4271</v>
      </c>
      <c r="E2826" t="s">
        <v>79</v>
      </c>
      <c r="F2826">
        <v>1770</v>
      </c>
      <c r="G2826">
        <v>2722</v>
      </c>
      <c r="I2826" t="s">
        <v>80</v>
      </c>
      <c r="J2826" t="s">
        <v>38</v>
      </c>
      <c r="O2826" t="s">
        <v>54</v>
      </c>
      <c r="P2826" t="s">
        <v>42</v>
      </c>
      <c r="Q2826" t="s">
        <v>43</v>
      </c>
      <c r="V2826" t="s">
        <v>91</v>
      </c>
      <c r="Y2826" t="s">
        <v>38</v>
      </c>
      <c r="Z2826" t="s">
        <v>42</v>
      </c>
      <c r="AA2826" t="s">
        <v>38</v>
      </c>
      <c r="AB2826" t="s">
        <v>38</v>
      </c>
      <c r="AC2826" t="s">
        <v>38</v>
      </c>
      <c r="AD2826" t="s">
        <v>48</v>
      </c>
      <c r="AG2826" t="str">
        <f>IF(AD2826="United States", IFERROR(INDEX(Sheet2!$C:$C, MATCH(AE2826&amp;AF2826, Sheet2!$E:$E, 0)) &amp; ", " &amp; INDEX(Sheet2!$D:$D, MATCH(AE2826&amp;AF2826, Sheet2!$E:$E, 0)), ""), "-")</f>
        <v/>
      </c>
    </row>
    <row r="2827" spans="1:33" x14ac:dyDescent="0.25">
      <c r="A2827" t="s">
        <v>1746</v>
      </c>
      <c r="B2827" t="s">
        <v>4250</v>
      </c>
      <c r="C2827" t="s">
        <v>4188</v>
      </c>
      <c r="D2827" t="s">
        <v>4251</v>
      </c>
      <c r="E2827" t="s">
        <v>4252</v>
      </c>
      <c r="F2827">
        <v>1758</v>
      </c>
      <c r="G2827">
        <v>859</v>
      </c>
      <c r="H2827" t="s">
        <v>610</v>
      </c>
      <c r="I2827" t="s">
        <v>80</v>
      </c>
      <c r="J2827" t="s">
        <v>4176</v>
      </c>
      <c r="K2827" t="s">
        <v>38</v>
      </c>
      <c r="L2827" t="s">
        <v>38</v>
      </c>
      <c r="M2827" t="s">
        <v>38</v>
      </c>
      <c r="N2827" t="s">
        <v>38</v>
      </c>
      <c r="O2827" t="s">
        <v>41</v>
      </c>
      <c r="P2827" t="s">
        <v>42</v>
      </c>
      <c r="Q2827" t="s">
        <v>43</v>
      </c>
      <c r="R2827" t="s">
        <v>89</v>
      </c>
      <c r="S2827" t="s">
        <v>45</v>
      </c>
      <c r="T2827" t="s">
        <v>89</v>
      </c>
      <c r="U2827" t="s">
        <v>301</v>
      </c>
      <c r="V2827" t="s">
        <v>137</v>
      </c>
      <c r="W2827" t="s">
        <v>92</v>
      </c>
      <c r="X2827" t="s">
        <v>302</v>
      </c>
      <c r="Y2827" t="s">
        <v>4224</v>
      </c>
      <c r="Z2827" t="s">
        <v>42</v>
      </c>
      <c r="AA2827" t="s">
        <v>169</v>
      </c>
      <c r="AB2827" t="s">
        <v>38</v>
      </c>
      <c r="AC2827" t="s">
        <v>45</v>
      </c>
      <c r="AD2827" t="s">
        <v>48</v>
      </c>
      <c r="AG2827" t="str">
        <f>IF(AD2827="United States", IFERROR(INDEX(Sheet2!$C:$C, MATCH(AE2827&amp;AF2827, Sheet2!$E:$E, 0)) &amp; ", " &amp; INDEX(Sheet2!$D:$D, MATCH(AE2827&amp;AF2827, Sheet2!$E:$E, 0)), ""), "-")</f>
        <v/>
      </c>
    </row>
    <row r="2828" spans="1:33" x14ac:dyDescent="0.25">
      <c r="A2828" t="s">
        <v>114</v>
      </c>
      <c r="B2828" t="s">
        <v>4272</v>
      </c>
      <c r="C2828" t="s">
        <v>4273</v>
      </c>
      <c r="D2828" t="s">
        <v>120</v>
      </c>
      <c r="E2828" t="s">
        <v>38</v>
      </c>
      <c r="F2828">
        <v>1764</v>
      </c>
      <c r="G2828">
        <v>504</v>
      </c>
      <c r="H2828" t="s">
        <v>4274</v>
      </c>
      <c r="I2828" t="s">
        <v>39</v>
      </c>
      <c r="J2828" t="s">
        <v>4275</v>
      </c>
      <c r="K2828" t="s">
        <v>38</v>
      </c>
      <c r="L2828" t="s">
        <v>38</v>
      </c>
      <c r="M2828" t="s">
        <v>38</v>
      </c>
      <c r="N2828" t="s">
        <v>38</v>
      </c>
      <c r="O2828" t="s">
        <v>41</v>
      </c>
      <c r="P2828" t="s">
        <v>42</v>
      </c>
      <c r="Q2828" t="s">
        <v>43</v>
      </c>
      <c r="R2828" t="s">
        <v>89</v>
      </c>
      <c r="S2828" t="s">
        <v>153</v>
      </c>
      <c r="T2828" t="s">
        <v>89</v>
      </c>
      <c r="U2828" t="s">
        <v>4276</v>
      </c>
      <c r="V2828" t="s">
        <v>137</v>
      </c>
      <c r="W2828" t="s">
        <v>92</v>
      </c>
      <c r="X2828" t="s">
        <v>93</v>
      </c>
      <c r="Y2828" t="s">
        <v>4277</v>
      </c>
      <c r="Z2828" t="s">
        <v>42</v>
      </c>
      <c r="AA2828" t="s">
        <v>120</v>
      </c>
      <c r="AB2828" t="s">
        <v>155</v>
      </c>
      <c r="AC2828" t="s">
        <v>153</v>
      </c>
      <c r="AD2828" t="s">
        <v>48</v>
      </c>
      <c r="AG2828" t="str">
        <f>IF(AD2828="United States", IFERROR(INDEX(Sheet2!$C:$C, MATCH(AE2828&amp;AF2828, Sheet2!$E:$E, 0)) &amp; ", " &amp; INDEX(Sheet2!$D:$D, MATCH(AE2828&amp;AF2828, Sheet2!$E:$E, 0)), ""), "-")</f>
        <v/>
      </c>
    </row>
    <row r="2829" spans="1:33" x14ac:dyDescent="0.25">
      <c r="A2829" t="s">
        <v>114</v>
      </c>
      <c r="B2829" t="s">
        <v>4278</v>
      </c>
      <c r="C2829" t="s">
        <v>4279</v>
      </c>
      <c r="D2829" t="s">
        <v>343</v>
      </c>
      <c r="E2829" t="s">
        <v>38</v>
      </c>
      <c r="F2829">
        <v>1771</v>
      </c>
      <c r="G2829">
        <v>2177</v>
      </c>
      <c r="H2829" t="s">
        <v>38</v>
      </c>
      <c r="I2829" t="s">
        <v>87</v>
      </c>
      <c r="J2829" t="s">
        <v>4280</v>
      </c>
      <c r="K2829" t="s">
        <v>38</v>
      </c>
      <c r="L2829" t="s">
        <v>38</v>
      </c>
      <c r="M2829" t="s">
        <v>38</v>
      </c>
      <c r="N2829" t="s">
        <v>38</v>
      </c>
      <c r="O2829" t="s">
        <v>54</v>
      </c>
      <c r="P2829" t="s">
        <v>42</v>
      </c>
      <c r="Q2829" t="s">
        <v>43</v>
      </c>
      <c r="R2829" t="s">
        <v>38</v>
      </c>
      <c r="S2829" t="s">
        <v>38</v>
      </c>
      <c r="T2829" t="s">
        <v>38</v>
      </c>
      <c r="U2829" t="s">
        <v>38</v>
      </c>
      <c r="V2829" t="s">
        <v>137</v>
      </c>
      <c r="W2829" t="s">
        <v>38</v>
      </c>
      <c r="X2829" t="s">
        <v>38</v>
      </c>
      <c r="Y2829" t="s">
        <v>4281</v>
      </c>
      <c r="Z2829" t="s">
        <v>42</v>
      </c>
      <c r="AA2829" t="s">
        <v>38</v>
      </c>
      <c r="AB2829" t="s">
        <v>38</v>
      </c>
      <c r="AC2829" t="s">
        <v>38</v>
      </c>
      <c r="AD2829" t="s">
        <v>48</v>
      </c>
      <c r="AG2829" t="str">
        <f>IF(AD2829="United States", IFERROR(INDEX(Sheet2!$C:$C, MATCH(AE2829&amp;AF2829, Sheet2!$E:$E, 0)) &amp; ", " &amp; INDEX(Sheet2!$D:$D, MATCH(AE2829&amp;AF2829, Sheet2!$E:$E, 0)), ""), "-")</f>
        <v/>
      </c>
    </row>
    <row r="2830" spans="1:33" x14ac:dyDescent="0.25">
      <c r="A2830" t="s">
        <v>114</v>
      </c>
      <c r="B2830" t="s">
        <v>4282</v>
      </c>
      <c r="C2830" t="s">
        <v>4279</v>
      </c>
      <c r="D2830" t="s">
        <v>352</v>
      </c>
      <c r="E2830" t="s">
        <v>38</v>
      </c>
      <c r="F2830">
        <v>1763</v>
      </c>
      <c r="G2830">
        <v>2176</v>
      </c>
      <c r="H2830" t="s">
        <v>4274</v>
      </c>
      <c r="I2830" t="s">
        <v>87</v>
      </c>
      <c r="J2830" t="s">
        <v>4280</v>
      </c>
      <c r="K2830" t="s">
        <v>38</v>
      </c>
      <c r="L2830" t="s">
        <v>38</v>
      </c>
      <c r="M2830" t="s">
        <v>38</v>
      </c>
      <c r="N2830" t="s">
        <v>38</v>
      </c>
      <c r="O2830" t="s">
        <v>57</v>
      </c>
      <c r="P2830" t="s">
        <v>42</v>
      </c>
      <c r="Q2830" t="s">
        <v>43</v>
      </c>
      <c r="R2830" t="s">
        <v>89</v>
      </c>
      <c r="S2830" t="s">
        <v>38</v>
      </c>
      <c r="T2830" t="s">
        <v>89</v>
      </c>
      <c r="U2830" t="s">
        <v>4276</v>
      </c>
      <c r="V2830" t="s">
        <v>137</v>
      </c>
      <c r="W2830" t="s">
        <v>92</v>
      </c>
      <c r="X2830" t="s">
        <v>93</v>
      </c>
      <c r="Y2830" t="s">
        <v>4283</v>
      </c>
      <c r="Z2830" t="s">
        <v>42</v>
      </c>
      <c r="AA2830" t="s">
        <v>38</v>
      </c>
      <c r="AB2830" t="s">
        <v>38</v>
      </c>
      <c r="AC2830" t="s">
        <v>38</v>
      </c>
      <c r="AD2830" t="s">
        <v>48</v>
      </c>
      <c r="AG2830" t="str">
        <f>IF(AD2830="United States", IFERROR(INDEX(Sheet2!$C:$C, MATCH(AE2830&amp;AF2830, Sheet2!$E:$E, 0)) &amp; ", " &amp; INDEX(Sheet2!$D:$D, MATCH(AE2830&amp;AF2830, Sheet2!$E:$E, 0)), ""), "-")</f>
        <v/>
      </c>
    </row>
    <row r="2831" spans="1:33" x14ac:dyDescent="0.25">
      <c r="A2831" t="s">
        <v>114</v>
      </c>
      <c r="D2831" t="s">
        <v>4284</v>
      </c>
      <c r="E2831" t="s">
        <v>187</v>
      </c>
      <c r="F2831">
        <v>1773</v>
      </c>
      <c r="G2831">
        <v>548</v>
      </c>
      <c r="H2831">
        <v>29</v>
      </c>
      <c r="J2831" t="s">
        <v>4275</v>
      </c>
      <c r="O2831" t="s">
        <v>74</v>
      </c>
      <c r="R2831" t="s">
        <v>89</v>
      </c>
      <c r="T2831" t="s">
        <v>89</v>
      </c>
      <c r="U2831" t="s">
        <v>4276</v>
      </c>
      <c r="V2831" t="s">
        <v>137</v>
      </c>
      <c r="W2831" t="s">
        <v>92</v>
      </c>
      <c r="X2831" t="s">
        <v>93</v>
      </c>
      <c r="Y2831" t="s">
        <v>38</v>
      </c>
      <c r="AA2831" t="s">
        <v>38</v>
      </c>
      <c r="AB2831" t="s">
        <v>38</v>
      </c>
      <c r="AC2831" t="s">
        <v>38</v>
      </c>
      <c r="AD2831" t="s">
        <v>48</v>
      </c>
      <c r="AG2831" t="str">
        <f>IF(AD2831="United States", IFERROR(INDEX(Sheet2!$C:$C, MATCH(AE2831&amp;AF2831, Sheet2!$E:$E, 0)) &amp; ", " &amp; INDEX(Sheet2!$D:$D, MATCH(AE2831&amp;AF2831, Sheet2!$E:$E, 0)), ""), "-")</f>
        <v/>
      </c>
    </row>
    <row r="2832" spans="1:33" x14ac:dyDescent="0.25">
      <c r="A2832" t="s">
        <v>114</v>
      </c>
      <c r="D2832" t="s">
        <v>4285</v>
      </c>
      <c r="E2832" t="s">
        <v>185</v>
      </c>
      <c r="F2832">
        <v>1760</v>
      </c>
      <c r="G2832">
        <v>551</v>
      </c>
      <c r="H2832">
        <v>29</v>
      </c>
      <c r="J2832" t="s">
        <v>4275</v>
      </c>
      <c r="O2832" t="s">
        <v>57</v>
      </c>
      <c r="R2832" t="s">
        <v>89</v>
      </c>
      <c r="T2832" t="s">
        <v>89</v>
      </c>
      <c r="U2832" t="s">
        <v>4276</v>
      </c>
      <c r="V2832" t="s">
        <v>137</v>
      </c>
      <c r="W2832" t="s">
        <v>92</v>
      </c>
      <c r="X2832" t="s">
        <v>93</v>
      </c>
      <c r="Y2832" t="s">
        <v>38</v>
      </c>
      <c r="AA2832" t="s">
        <v>38</v>
      </c>
      <c r="AB2832" t="s">
        <v>38</v>
      </c>
      <c r="AC2832" t="s">
        <v>38</v>
      </c>
      <c r="AD2832" t="s">
        <v>48</v>
      </c>
      <c r="AG2832" t="str">
        <f>IF(AD2832="United States", IFERROR(INDEX(Sheet2!$C:$C, MATCH(AE2832&amp;AF2832, Sheet2!$E:$E, 0)) &amp; ", " &amp; INDEX(Sheet2!$D:$D, MATCH(AE2832&amp;AF2832, Sheet2!$E:$E, 0)), ""), "-")</f>
        <v/>
      </c>
    </row>
    <row r="2833" spans="1:33" x14ac:dyDescent="0.25">
      <c r="A2833" t="s">
        <v>114</v>
      </c>
      <c r="D2833" t="s">
        <v>181</v>
      </c>
      <c r="E2833" t="s">
        <v>4286</v>
      </c>
      <c r="F2833" t="s">
        <v>38</v>
      </c>
      <c r="G2833">
        <v>552</v>
      </c>
      <c r="H2833">
        <v>29</v>
      </c>
      <c r="J2833" t="s">
        <v>4275</v>
      </c>
      <c r="O2833" t="s">
        <v>183</v>
      </c>
      <c r="R2833" t="s">
        <v>89</v>
      </c>
      <c r="T2833" t="s">
        <v>89</v>
      </c>
      <c r="U2833" t="s">
        <v>4276</v>
      </c>
      <c r="V2833" t="s">
        <v>137</v>
      </c>
      <c r="W2833" t="s">
        <v>92</v>
      </c>
      <c r="X2833" t="s">
        <v>93</v>
      </c>
      <c r="Y2833" t="s">
        <v>38</v>
      </c>
      <c r="AA2833" t="s">
        <v>38</v>
      </c>
      <c r="AB2833" t="s">
        <v>38</v>
      </c>
      <c r="AC2833" t="s">
        <v>38</v>
      </c>
      <c r="AD2833" t="s">
        <v>48</v>
      </c>
      <c r="AG2833" t="str">
        <f>IF(AD2833="United States", IFERROR(INDEX(Sheet2!$C:$C, MATCH(AE2833&amp;AF2833, Sheet2!$E:$E, 0)) &amp; ", " &amp; INDEX(Sheet2!$D:$D, MATCH(AE2833&amp;AF2833, Sheet2!$E:$E, 0)), ""), "-")</f>
        <v/>
      </c>
    </row>
    <row r="2834" spans="1:33" x14ac:dyDescent="0.25">
      <c r="A2834" t="s">
        <v>114</v>
      </c>
      <c r="D2834" t="s">
        <v>181</v>
      </c>
      <c r="E2834" t="s">
        <v>4286</v>
      </c>
      <c r="F2834" t="s">
        <v>38</v>
      </c>
      <c r="G2834">
        <v>553</v>
      </c>
      <c r="H2834">
        <v>29</v>
      </c>
      <c r="J2834" t="s">
        <v>4275</v>
      </c>
      <c r="O2834" t="s">
        <v>183</v>
      </c>
      <c r="R2834" t="s">
        <v>89</v>
      </c>
      <c r="T2834" t="s">
        <v>89</v>
      </c>
      <c r="U2834" t="s">
        <v>4276</v>
      </c>
      <c r="V2834" t="s">
        <v>137</v>
      </c>
      <c r="W2834" t="s">
        <v>92</v>
      </c>
      <c r="X2834" t="s">
        <v>93</v>
      </c>
      <c r="Y2834" t="s">
        <v>38</v>
      </c>
      <c r="AA2834" t="s">
        <v>38</v>
      </c>
      <c r="AB2834" t="s">
        <v>38</v>
      </c>
      <c r="AC2834" t="s">
        <v>38</v>
      </c>
      <c r="AD2834" t="s">
        <v>48</v>
      </c>
      <c r="AG2834" t="str">
        <f>IF(AD2834="United States", IFERROR(INDEX(Sheet2!$C:$C, MATCH(AE2834&amp;AF2834, Sheet2!$E:$E, 0)) &amp; ", " &amp; INDEX(Sheet2!$D:$D, MATCH(AE2834&amp;AF2834, Sheet2!$E:$E, 0)), ""), "-")</f>
        <v/>
      </c>
    </row>
    <row r="2835" spans="1:33" x14ac:dyDescent="0.25">
      <c r="A2835" t="s">
        <v>114</v>
      </c>
      <c r="B2835" t="s">
        <v>4287</v>
      </c>
      <c r="C2835" t="s">
        <v>4288</v>
      </c>
      <c r="D2835" t="s">
        <v>980</v>
      </c>
      <c r="E2835" t="s">
        <v>4289</v>
      </c>
      <c r="F2835">
        <v>1737</v>
      </c>
      <c r="G2835">
        <v>868</v>
      </c>
      <c r="H2835" t="s">
        <v>610</v>
      </c>
      <c r="I2835" t="s">
        <v>80</v>
      </c>
      <c r="J2835" t="s">
        <v>38</v>
      </c>
      <c r="K2835" t="s">
        <v>38</v>
      </c>
      <c r="L2835" t="s">
        <v>38</v>
      </c>
      <c r="M2835" t="s">
        <v>38</v>
      </c>
      <c r="N2835" t="s">
        <v>38</v>
      </c>
      <c r="O2835" t="s">
        <v>57</v>
      </c>
      <c r="P2835" t="s">
        <v>42</v>
      </c>
      <c r="Q2835" t="s">
        <v>43</v>
      </c>
      <c r="R2835" t="s">
        <v>89</v>
      </c>
      <c r="S2835" t="s">
        <v>153</v>
      </c>
      <c r="T2835" t="s">
        <v>89</v>
      </c>
      <c r="U2835" t="s">
        <v>4276</v>
      </c>
      <c r="V2835" t="s">
        <v>38</v>
      </c>
      <c r="W2835" t="s">
        <v>92</v>
      </c>
      <c r="X2835" t="s">
        <v>93</v>
      </c>
      <c r="Y2835" t="s">
        <v>4290</v>
      </c>
      <c r="Z2835" t="s">
        <v>42</v>
      </c>
      <c r="AA2835" t="s">
        <v>38</v>
      </c>
      <c r="AB2835" t="s">
        <v>38</v>
      </c>
      <c r="AC2835" t="s">
        <v>38</v>
      </c>
      <c r="AD2835" t="s">
        <v>48</v>
      </c>
      <c r="AG2835" t="str">
        <f>IF(AD2835="United States", IFERROR(INDEX(Sheet2!$C:$C, MATCH(AE2835&amp;AF2835, Sheet2!$E:$E, 0)) &amp; ", " &amp; INDEX(Sheet2!$D:$D, MATCH(AE2835&amp;AF2835, Sheet2!$E:$E, 0)), ""), "-")</f>
        <v/>
      </c>
    </row>
    <row r="2836" spans="1:33" x14ac:dyDescent="0.25">
      <c r="A2836" t="s">
        <v>114</v>
      </c>
      <c r="D2836" t="s">
        <v>190</v>
      </c>
      <c r="E2836" t="s">
        <v>4291</v>
      </c>
      <c r="F2836">
        <v>1775</v>
      </c>
      <c r="G2836">
        <v>949</v>
      </c>
      <c r="H2836">
        <v>41</v>
      </c>
      <c r="J2836" t="s">
        <v>4292</v>
      </c>
      <c r="O2836" t="s">
        <v>74</v>
      </c>
      <c r="R2836" t="s">
        <v>89</v>
      </c>
      <c r="T2836" t="s">
        <v>89</v>
      </c>
      <c r="U2836" t="s">
        <v>4276</v>
      </c>
      <c r="V2836" t="s">
        <v>705</v>
      </c>
      <c r="W2836" t="s">
        <v>92</v>
      </c>
      <c r="X2836" t="s">
        <v>93</v>
      </c>
      <c r="Y2836" t="s">
        <v>38</v>
      </c>
      <c r="AA2836" t="s">
        <v>38</v>
      </c>
      <c r="AB2836" t="s">
        <v>38</v>
      </c>
      <c r="AC2836" t="s">
        <v>38</v>
      </c>
      <c r="AD2836" t="s">
        <v>48</v>
      </c>
      <c r="AG2836" t="str">
        <f>IF(AD2836="United States", IFERROR(INDEX(Sheet2!$C:$C, MATCH(AE2836&amp;AF2836, Sheet2!$E:$E, 0)) &amp; ", " &amp; INDEX(Sheet2!$D:$D, MATCH(AE2836&amp;AF2836, Sheet2!$E:$E, 0)), ""), "-")</f>
        <v/>
      </c>
    </row>
    <row r="2837" spans="1:33" x14ac:dyDescent="0.25">
      <c r="A2837" t="s">
        <v>114</v>
      </c>
      <c r="B2837" t="s">
        <v>4293</v>
      </c>
      <c r="C2837" t="s">
        <v>4279</v>
      </c>
      <c r="D2837" t="s">
        <v>193</v>
      </c>
      <c r="E2837" t="s">
        <v>38</v>
      </c>
      <c r="F2837">
        <v>1753</v>
      </c>
      <c r="G2837">
        <v>2178</v>
      </c>
      <c r="H2837" t="s">
        <v>38</v>
      </c>
      <c r="I2837" t="s">
        <v>87</v>
      </c>
      <c r="J2837" t="s">
        <v>4280</v>
      </c>
      <c r="K2837" t="s">
        <v>38</v>
      </c>
      <c r="L2837" t="s">
        <v>38</v>
      </c>
      <c r="M2837" t="s">
        <v>38</v>
      </c>
      <c r="N2837" t="s">
        <v>38</v>
      </c>
      <c r="O2837" t="s">
        <v>41</v>
      </c>
      <c r="P2837" t="s">
        <v>42</v>
      </c>
      <c r="Q2837" t="s">
        <v>43</v>
      </c>
      <c r="R2837" t="s">
        <v>38</v>
      </c>
      <c r="S2837" t="s">
        <v>38</v>
      </c>
      <c r="T2837" t="s">
        <v>38</v>
      </c>
      <c r="U2837" t="s">
        <v>38</v>
      </c>
      <c r="V2837" t="s">
        <v>137</v>
      </c>
      <c r="W2837" t="s">
        <v>38</v>
      </c>
      <c r="X2837" t="s">
        <v>38</v>
      </c>
      <c r="Y2837" t="s">
        <v>4294</v>
      </c>
      <c r="Z2837" t="s">
        <v>42</v>
      </c>
      <c r="AA2837" t="s">
        <v>38</v>
      </c>
      <c r="AB2837" t="s">
        <v>38</v>
      </c>
      <c r="AC2837" t="s">
        <v>38</v>
      </c>
      <c r="AD2837" t="s">
        <v>48</v>
      </c>
      <c r="AG2837" t="str">
        <f>IF(AD2837="United States", IFERROR(INDEX(Sheet2!$C:$C, MATCH(AE2837&amp;AF2837, Sheet2!$E:$E, 0)) &amp; ", " &amp; INDEX(Sheet2!$D:$D, MATCH(AE2837&amp;AF2837, Sheet2!$E:$E, 0)), ""), "-")</f>
        <v/>
      </c>
    </row>
    <row r="2838" spans="1:33" x14ac:dyDescent="0.25">
      <c r="A2838" t="s">
        <v>114</v>
      </c>
      <c r="B2838" t="s">
        <v>4295</v>
      </c>
      <c r="C2838" t="s">
        <v>4279</v>
      </c>
      <c r="D2838" t="s">
        <v>106</v>
      </c>
      <c r="E2838" t="s">
        <v>38</v>
      </c>
      <c r="F2838">
        <v>1743</v>
      </c>
      <c r="G2838">
        <v>2179</v>
      </c>
      <c r="H2838" t="s">
        <v>4274</v>
      </c>
      <c r="I2838" t="s">
        <v>87</v>
      </c>
      <c r="J2838" t="s">
        <v>4280</v>
      </c>
      <c r="K2838" t="s">
        <v>38</v>
      </c>
      <c r="L2838" t="s">
        <v>38</v>
      </c>
      <c r="M2838" t="s">
        <v>38</v>
      </c>
      <c r="N2838" t="s">
        <v>38</v>
      </c>
      <c r="O2838" t="s">
        <v>41</v>
      </c>
      <c r="P2838" t="s">
        <v>42</v>
      </c>
      <c r="Q2838" t="s">
        <v>43</v>
      </c>
      <c r="R2838" t="s">
        <v>89</v>
      </c>
      <c r="S2838" t="s">
        <v>38</v>
      </c>
      <c r="T2838" t="s">
        <v>89</v>
      </c>
      <c r="U2838" t="s">
        <v>4276</v>
      </c>
      <c r="V2838" t="s">
        <v>137</v>
      </c>
      <c r="W2838" t="s">
        <v>92</v>
      </c>
      <c r="X2838" t="s">
        <v>93</v>
      </c>
      <c r="Y2838" t="s">
        <v>4294</v>
      </c>
      <c r="Z2838" t="s">
        <v>42</v>
      </c>
      <c r="AA2838" t="s">
        <v>38</v>
      </c>
      <c r="AB2838" t="s">
        <v>38</v>
      </c>
      <c r="AC2838" t="s">
        <v>38</v>
      </c>
      <c r="AD2838" t="s">
        <v>48</v>
      </c>
      <c r="AG2838" t="str">
        <f>IF(AD2838="United States", IFERROR(INDEX(Sheet2!$C:$C, MATCH(AE2838&amp;AF2838, Sheet2!$E:$E, 0)) &amp; ", " &amp; INDEX(Sheet2!$D:$D, MATCH(AE2838&amp;AF2838, Sheet2!$E:$E, 0)), ""), "-")</f>
        <v/>
      </c>
    </row>
    <row r="2839" spans="1:33" x14ac:dyDescent="0.25">
      <c r="A2839" t="s">
        <v>114</v>
      </c>
      <c r="B2839" t="s">
        <v>4296</v>
      </c>
      <c r="C2839" t="s">
        <v>4279</v>
      </c>
      <c r="D2839" t="s">
        <v>1238</v>
      </c>
      <c r="F2839" t="s">
        <v>38</v>
      </c>
      <c r="G2839">
        <v>2725</v>
      </c>
      <c r="I2839" t="s">
        <v>87</v>
      </c>
      <c r="J2839" t="s">
        <v>4280</v>
      </c>
      <c r="O2839" t="s">
        <v>41</v>
      </c>
      <c r="P2839" t="s">
        <v>42</v>
      </c>
      <c r="Q2839" t="s">
        <v>43</v>
      </c>
      <c r="V2839" t="s">
        <v>137</v>
      </c>
      <c r="Y2839" t="s">
        <v>4283</v>
      </c>
      <c r="Z2839" t="s">
        <v>42</v>
      </c>
      <c r="AA2839" t="s">
        <v>38</v>
      </c>
      <c r="AB2839" t="s">
        <v>38</v>
      </c>
      <c r="AC2839" t="s">
        <v>38</v>
      </c>
      <c r="AD2839" t="s">
        <v>48</v>
      </c>
      <c r="AG2839" t="str">
        <f>IF(AD2839="United States", IFERROR(INDEX(Sheet2!$C:$C, MATCH(AE2839&amp;AF2839, Sheet2!$E:$E, 0)) &amp; ", " &amp; INDEX(Sheet2!$D:$D, MATCH(AE2839&amp;AF2839, Sheet2!$E:$E, 0)), ""), "-")</f>
        <v/>
      </c>
    </row>
    <row r="2840" spans="1:33" x14ac:dyDescent="0.25">
      <c r="A2840" t="s">
        <v>114</v>
      </c>
      <c r="B2840" t="s">
        <v>4287</v>
      </c>
      <c r="C2840" t="s">
        <v>4288</v>
      </c>
      <c r="D2840" t="s">
        <v>980</v>
      </c>
      <c r="E2840" t="s">
        <v>4289</v>
      </c>
      <c r="F2840">
        <v>1737</v>
      </c>
      <c r="G2840">
        <v>1144</v>
      </c>
      <c r="H2840" t="s">
        <v>610</v>
      </c>
      <c r="I2840" t="s">
        <v>80</v>
      </c>
      <c r="J2840" t="s">
        <v>38</v>
      </c>
      <c r="K2840" t="s">
        <v>38</v>
      </c>
      <c r="L2840" t="s">
        <v>38</v>
      </c>
      <c r="M2840" t="s">
        <v>38</v>
      </c>
      <c r="N2840" t="s">
        <v>38</v>
      </c>
      <c r="O2840" t="s">
        <v>57</v>
      </c>
      <c r="P2840" t="s">
        <v>42</v>
      </c>
      <c r="Q2840" t="s">
        <v>43</v>
      </c>
      <c r="R2840" t="s">
        <v>89</v>
      </c>
      <c r="S2840" t="s">
        <v>153</v>
      </c>
      <c r="T2840" t="s">
        <v>89</v>
      </c>
      <c r="U2840" t="s">
        <v>4276</v>
      </c>
      <c r="V2840" t="s">
        <v>38</v>
      </c>
      <c r="W2840" t="s">
        <v>92</v>
      </c>
      <c r="X2840" t="s">
        <v>93</v>
      </c>
      <c r="Y2840" t="s">
        <v>4290</v>
      </c>
      <c r="Z2840" t="s">
        <v>42</v>
      </c>
      <c r="AA2840" t="s">
        <v>38</v>
      </c>
      <c r="AB2840" t="s">
        <v>38</v>
      </c>
      <c r="AC2840" t="s">
        <v>38</v>
      </c>
      <c r="AD2840" t="s">
        <v>48</v>
      </c>
      <c r="AG2840" t="str">
        <f>IF(AD2840="United States", IFERROR(INDEX(Sheet2!$C:$C, MATCH(AE2840&amp;AF2840, Sheet2!$E:$E, 0)) &amp; ", " &amp; INDEX(Sheet2!$D:$D, MATCH(AE2840&amp;AF2840, Sheet2!$E:$E, 0)), ""), "-")</f>
        <v/>
      </c>
    </row>
    <row r="2841" spans="1:33" x14ac:dyDescent="0.25">
      <c r="A2841" t="s">
        <v>114</v>
      </c>
      <c r="B2841" t="s">
        <v>4297</v>
      </c>
      <c r="C2841" t="s">
        <v>4288</v>
      </c>
      <c r="D2841" t="s">
        <v>113</v>
      </c>
      <c r="E2841" t="s">
        <v>787</v>
      </c>
      <c r="F2841">
        <v>1760</v>
      </c>
      <c r="G2841">
        <v>867</v>
      </c>
      <c r="H2841" t="s">
        <v>4274</v>
      </c>
      <c r="I2841" t="s">
        <v>80</v>
      </c>
      <c r="J2841" t="s">
        <v>38</v>
      </c>
      <c r="K2841" t="s">
        <v>38</v>
      </c>
      <c r="L2841" t="s">
        <v>38</v>
      </c>
      <c r="M2841" t="s">
        <v>38</v>
      </c>
      <c r="N2841" t="s">
        <v>38</v>
      </c>
      <c r="O2841" t="s">
        <v>41</v>
      </c>
      <c r="P2841" t="s">
        <v>42</v>
      </c>
      <c r="Q2841" t="s">
        <v>43</v>
      </c>
      <c r="R2841" t="s">
        <v>89</v>
      </c>
      <c r="S2841" t="s">
        <v>38</v>
      </c>
      <c r="T2841" t="s">
        <v>89</v>
      </c>
      <c r="U2841" t="s">
        <v>4276</v>
      </c>
      <c r="V2841" t="s">
        <v>38</v>
      </c>
      <c r="W2841" t="s">
        <v>92</v>
      </c>
      <c r="X2841" t="s">
        <v>93</v>
      </c>
      <c r="Y2841" t="s">
        <v>4298</v>
      </c>
      <c r="Z2841" t="s">
        <v>42</v>
      </c>
      <c r="AA2841" t="s">
        <v>38</v>
      </c>
      <c r="AB2841" t="s">
        <v>38</v>
      </c>
      <c r="AC2841" t="s">
        <v>128</v>
      </c>
      <c r="AD2841" t="s">
        <v>48</v>
      </c>
      <c r="AG2841" t="str">
        <f>IF(AD2841="United States", IFERROR(INDEX(Sheet2!$C:$C, MATCH(AE2841&amp;AF2841, Sheet2!$E:$E, 0)) &amp; ", " &amp; INDEX(Sheet2!$D:$D, MATCH(AE2841&amp;AF2841, Sheet2!$E:$E, 0)), ""), "-")</f>
        <v/>
      </c>
    </row>
    <row r="2842" spans="1:33" x14ac:dyDescent="0.25">
      <c r="A2842" t="s">
        <v>114</v>
      </c>
      <c r="D2842" t="s">
        <v>4299</v>
      </c>
      <c r="E2842" t="s">
        <v>185</v>
      </c>
      <c r="F2842">
        <v>1745</v>
      </c>
      <c r="G2842">
        <v>547</v>
      </c>
      <c r="H2842">
        <v>29</v>
      </c>
      <c r="J2842" t="s">
        <v>4275</v>
      </c>
      <c r="O2842" t="s">
        <v>57</v>
      </c>
      <c r="R2842" t="s">
        <v>89</v>
      </c>
      <c r="T2842" t="s">
        <v>89</v>
      </c>
      <c r="U2842" t="s">
        <v>4276</v>
      </c>
      <c r="V2842" t="s">
        <v>137</v>
      </c>
      <c r="W2842" t="s">
        <v>92</v>
      </c>
      <c r="X2842" t="s">
        <v>93</v>
      </c>
      <c r="Y2842" t="s">
        <v>38</v>
      </c>
      <c r="AA2842" t="s">
        <v>38</v>
      </c>
      <c r="AB2842" t="s">
        <v>38</v>
      </c>
      <c r="AC2842" t="s">
        <v>38</v>
      </c>
      <c r="AD2842" t="s">
        <v>48</v>
      </c>
      <c r="AG2842" t="str">
        <f>IF(AD2842="United States", IFERROR(INDEX(Sheet2!$C:$C, MATCH(AE2842&amp;AF2842, Sheet2!$E:$E, 0)) &amp; ", " &amp; INDEX(Sheet2!$D:$D, MATCH(AE2842&amp;AF2842, Sheet2!$E:$E, 0)), ""), "-")</f>
        <v/>
      </c>
    </row>
    <row r="2843" spans="1:33" x14ac:dyDescent="0.25">
      <c r="A2843" t="s">
        <v>114</v>
      </c>
      <c r="B2843" t="s">
        <v>4300</v>
      </c>
      <c r="C2843" t="s">
        <v>4301</v>
      </c>
      <c r="D2843" t="s">
        <v>106</v>
      </c>
      <c r="E2843" t="s">
        <v>38</v>
      </c>
      <c r="F2843">
        <v>1763</v>
      </c>
      <c r="G2843">
        <v>2491</v>
      </c>
      <c r="H2843" t="s">
        <v>4274</v>
      </c>
      <c r="I2843" t="s">
        <v>87</v>
      </c>
      <c r="J2843" t="s">
        <v>38</v>
      </c>
      <c r="K2843" t="s">
        <v>38</v>
      </c>
      <c r="L2843" t="s">
        <v>38</v>
      </c>
      <c r="M2843" t="s">
        <v>38</v>
      </c>
      <c r="N2843" t="s">
        <v>38</v>
      </c>
      <c r="O2843" t="s">
        <v>41</v>
      </c>
      <c r="P2843" t="s">
        <v>42</v>
      </c>
      <c r="Q2843" t="s">
        <v>43</v>
      </c>
      <c r="R2843" t="s">
        <v>89</v>
      </c>
      <c r="S2843" t="s">
        <v>45</v>
      </c>
      <c r="T2843" t="s">
        <v>89</v>
      </c>
      <c r="U2843" t="s">
        <v>4276</v>
      </c>
      <c r="V2843" t="s">
        <v>38</v>
      </c>
      <c r="W2843" t="s">
        <v>92</v>
      </c>
      <c r="X2843" t="s">
        <v>93</v>
      </c>
      <c r="Y2843" t="s">
        <v>38</v>
      </c>
      <c r="Z2843" t="s">
        <v>42</v>
      </c>
      <c r="AA2843" t="s">
        <v>169</v>
      </c>
      <c r="AB2843" t="s">
        <v>38</v>
      </c>
      <c r="AC2843" t="s">
        <v>45</v>
      </c>
      <c r="AD2843" t="s">
        <v>48</v>
      </c>
      <c r="AG2843" t="str">
        <f>IF(AD2843="United States", IFERROR(INDEX(Sheet2!$C:$C, MATCH(AE2843&amp;AF2843, Sheet2!$E:$E, 0)) &amp; ", " &amp; INDEX(Sheet2!$D:$D, MATCH(AE2843&amp;AF2843, Sheet2!$E:$E, 0)), ""), "-")</f>
        <v/>
      </c>
    </row>
    <row r="2844" spans="1:33" x14ac:dyDescent="0.25">
      <c r="A2844" t="s">
        <v>114</v>
      </c>
      <c r="D2844" t="s">
        <v>181</v>
      </c>
      <c r="E2844" t="s">
        <v>72</v>
      </c>
      <c r="F2844" t="s">
        <v>38</v>
      </c>
      <c r="G2844">
        <v>545</v>
      </c>
      <c r="H2844">
        <v>29</v>
      </c>
      <c r="J2844" t="s">
        <v>4275</v>
      </c>
      <c r="O2844" t="s">
        <v>183</v>
      </c>
      <c r="R2844" t="s">
        <v>89</v>
      </c>
      <c r="T2844" t="s">
        <v>89</v>
      </c>
      <c r="U2844" t="s">
        <v>4276</v>
      </c>
      <c r="V2844" t="s">
        <v>137</v>
      </c>
      <c r="W2844" t="s">
        <v>92</v>
      </c>
      <c r="X2844" t="s">
        <v>93</v>
      </c>
      <c r="Y2844" t="s">
        <v>38</v>
      </c>
      <c r="AA2844" t="s">
        <v>38</v>
      </c>
      <c r="AB2844" t="s">
        <v>38</v>
      </c>
      <c r="AC2844" t="s">
        <v>38</v>
      </c>
      <c r="AD2844" t="s">
        <v>48</v>
      </c>
      <c r="AG2844" t="str">
        <f>IF(AD2844="United States", IFERROR(INDEX(Sheet2!$C:$C, MATCH(AE2844&amp;AF2844, Sheet2!$E:$E, 0)) &amp; ", " &amp; INDEX(Sheet2!$D:$D, MATCH(AE2844&amp;AF2844, Sheet2!$E:$E, 0)), ""), "-")</f>
        <v/>
      </c>
    </row>
    <row r="2845" spans="1:33" x14ac:dyDescent="0.25">
      <c r="A2845" t="s">
        <v>114</v>
      </c>
      <c r="B2845" t="s">
        <v>4297</v>
      </c>
      <c r="C2845" t="s">
        <v>4288</v>
      </c>
      <c r="D2845" t="s">
        <v>113</v>
      </c>
      <c r="E2845" t="s">
        <v>787</v>
      </c>
      <c r="F2845">
        <v>1760</v>
      </c>
      <c r="G2845">
        <v>1143</v>
      </c>
      <c r="H2845" t="s">
        <v>4274</v>
      </c>
      <c r="I2845" t="s">
        <v>80</v>
      </c>
      <c r="J2845" t="s">
        <v>38</v>
      </c>
      <c r="K2845" t="s">
        <v>38</v>
      </c>
      <c r="L2845" t="s">
        <v>38</v>
      </c>
      <c r="M2845" t="s">
        <v>38</v>
      </c>
      <c r="N2845" t="s">
        <v>38</v>
      </c>
      <c r="O2845" t="s">
        <v>41</v>
      </c>
      <c r="P2845" t="s">
        <v>42</v>
      </c>
      <c r="Q2845" t="s">
        <v>43</v>
      </c>
      <c r="R2845" t="s">
        <v>89</v>
      </c>
      <c r="S2845" t="s">
        <v>38</v>
      </c>
      <c r="T2845" t="s">
        <v>89</v>
      </c>
      <c r="U2845" t="s">
        <v>4276</v>
      </c>
      <c r="V2845" t="s">
        <v>38</v>
      </c>
      <c r="W2845" t="s">
        <v>92</v>
      </c>
      <c r="X2845" t="s">
        <v>93</v>
      </c>
      <c r="Y2845" t="s">
        <v>4298</v>
      </c>
      <c r="Z2845" t="s">
        <v>42</v>
      </c>
      <c r="AA2845" t="s">
        <v>38</v>
      </c>
      <c r="AB2845" t="s">
        <v>38</v>
      </c>
      <c r="AC2845" t="s">
        <v>128</v>
      </c>
      <c r="AD2845" t="s">
        <v>48</v>
      </c>
      <c r="AG2845" t="str">
        <f>IF(AD2845="United States", IFERROR(INDEX(Sheet2!$C:$C, MATCH(AE2845&amp;AF2845, Sheet2!$E:$E, 0)) &amp; ", " &amp; INDEX(Sheet2!$D:$D, MATCH(AE2845&amp;AF2845, Sheet2!$E:$E, 0)), ""), "-")</f>
        <v/>
      </c>
    </row>
    <row r="2846" spans="1:33" x14ac:dyDescent="0.25">
      <c r="A2846" t="s">
        <v>114</v>
      </c>
      <c r="D2846" t="s">
        <v>181</v>
      </c>
      <c r="E2846" t="s">
        <v>72</v>
      </c>
      <c r="F2846" t="s">
        <v>38</v>
      </c>
      <c r="G2846">
        <v>544</v>
      </c>
      <c r="H2846">
        <v>29</v>
      </c>
      <c r="J2846" t="s">
        <v>4275</v>
      </c>
      <c r="O2846" t="s">
        <v>183</v>
      </c>
      <c r="R2846" t="s">
        <v>89</v>
      </c>
      <c r="T2846" t="s">
        <v>89</v>
      </c>
      <c r="U2846" t="s">
        <v>4276</v>
      </c>
      <c r="V2846" t="s">
        <v>137</v>
      </c>
      <c r="W2846" t="s">
        <v>92</v>
      </c>
      <c r="X2846" t="s">
        <v>93</v>
      </c>
      <c r="Y2846" t="s">
        <v>38</v>
      </c>
      <c r="AA2846" t="s">
        <v>38</v>
      </c>
      <c r="AB2846" t="s">
        <v>38</v>
      </c>
      <c r="AC2846" t="s">
        <v>38</v>
      </c>
      <c r="AD2846" t="s">
        <v>48</v>
      </c>
      <c r="AG2846" t="str">
        <f>IF(AD2846="United States", IFERROR(INDEX(Sheet2!$C:$C, MATCH(AE2846&amp;AF2846, Sheet2!$E:$E, 0)) &amp; ", " &amp; INDEX(Sheet2!$D:$D, MATCH(AE2846&amp;AF2846, Sheet2!$E:$E, 0)), ""), "-")</f>
        <v/>
      </c>
    </row>
    <row r="2847" spans="1:33" x14ac:dyDescent="0.25">
      <c r="A2847" t="s">
        <v>114</v>
      </c>
      <c r="D2847" t="s">
        <v>307</v>
      </c>
      <c r="E2847" t="s">
        <v>185</v>
      </c>
      <c r="F2847">
        <v>1760</v>
      </c>
      <c r="G2847">
        <v>543</v>
      </c>
      <c r="H2847">
        <v>29</v>
      </c>
      <c r="J2847" t="s">
        <v>4275</v>
      </c>
      <c r="O2847" t="s">
        <v>57</v>
      </c>
      <c r="R2847" t="s">
        <v>89</v>
      </c>
      <c r="T2847" t="s">
        <v>89</v>
      </c>
      <c r="U2847" t="s">
        <v>4276</v>
      </c>
      <c r="V2847" t="s">
        <v>137</v>
      </c>
      <c r="W2847" t="s">
        <v>92</v>
      </c>
      <c r="X2847" t="s">
        <v>93</v>
      </c>
      <c r="Y2847" t="s">
        <v>38</v>
      </c>
      <c r="AA2847" t="s">
        <v>38</v>
      </c>
      <c r="AB2847" t="s">
        <v>38</v>
      </c>
      <c r="AC2847" t="s">
        <v>38</v>
      </c>
      <c r="AD2847" t="s">
        <v>48</v>
      </c>
      <c r="AG2847" t="str">
        <f>IF(AD2847="United States", IFERROR(INDEX(Sheet2!$C:$C, MATCH(AE2847&amp;AF2847, Sheet2!$E:$E, 0)) &amp; ", " &amp; INDEX(Sheet2!$D:$D, MATCH(AE2847&amp;AF2847, Sheet2!$E:$E, 0)), ""), "-")</f>
        <v/>
      </c>
    </row>
    <row r="2848" spans="1:33" x14ac:dyDescent="0.25">
      <c r="A2848" t="s">
        <v>114</v>
      </c>
      <c r="B2848" t="s">
        <v>4302</v>
      </c>
      <c r="C2848" t="s">
        <v>4303</v>
      </c>
      <c r="D2848" t="s">
        <v>455</v>
      </c>
      <c r="E2848" t="s">
        <v>38</v>
      </c>
      <c r="F2848">
        <v>1767</v>
      </c>
      <c r="G2848">
        <v>2244</v>
      </c>
      <c r="H2848" t="s">
        <v>86</v>
      </c>
      <c r="I2848" t="s">
        <v>87</v>
      </c>
      <c r="J2848" t="s">
        <v>4304</v>
      </c>
      <c r="K2848" t="s">
        <v>38</v>
      </c>
      <c r="L2848" t="s">
        <v>38</v>
      </c>
      <c r="M2848" t="s">
        <v>38</v>
      </c>
      <c r="N2848" t="s">
        <v>38</v>
      </c>
      <c r="O2848" t="s">
        <v>74</v>
      </c>
      <c r="P2848" t="s">
        <v>42</v>
      </c>
      <c r="Q2848" t="s">
        <v>43</v>
      </c>
      <c r="R2848" t="s">
        <v>89</v>
      </c>
      <c r="S2848" t="s">
        <v>38</v>
      </c>
      <c r="T2848" t="s">
        <v>89</v>
      </c>
      <c r="U2848" t="s">
        <v>4276</v>
      </c>
      <c r="V2848" t="s">
        <v>91</v>
      </c>
      <c r="W2848" t="s">
        <v>92</v>
      </c>
      <c r="X2848" t="s">
        <v>93</v>
      </c>
      <c r="Y2848" t="s">
        <v>4305</v>
      </c>
      <c r="Z2848" t="s">
        <v>42</v>
      </c>
      <c r="AA2848" t="s">
        <v>38</v>
      </c>
      <c r="AB2848" t="s">
        <v>38</v>
      </c>
      <c r="AC2848" t="s">
        <v>38</v>
      </c>
      <c r="AD2848" t="s">
        <v>48</v>
      </c>
      <c r="AG2848" t="str">
        <f>IF(AD2848="United States", IFERROR(INDEX(Sheet2!$C:$C, MATCH(AE2848&amp;AF2848, Sheet2!$E:$E, 0)) &amp; ", " &amp; INDEX(Sheet2!$D:$D, MATCH(AE2848&amp;AF2848, Sheet2!$E:$E, 0)), ""), "-")</f>
        <v/>
      </c>
    </row>
    <row r="2849" spans="1:33" x14ac:dyDescent="0.25">
      <c r="A2849" t="s">
        <v>114</v>
      </c>
      <c r="D2849" t="s">
        <v>181</v>
      </c>
      <c r="E2849" t="s">
        <v>4306</v>
      </c>
      <c r="F2849" t="s">
        <v>38</v>
      </c>
      <c r="G2849">
        <v>523</v>
      </c>
      <c r="H2849">
        <v>28</v>
      </c>
      <c r="J2849" t="s">
        <v>4275</v>
      </c>
      <c r="O2849" t="s">
        <v>183</v>
      </c>
      <c r="R2849" t="s">
        <v>89</v>
      </c>
      <c r="T2849" t="s">
        <v>89</v>
      </c>
      <c r="U2849" t="s">
        <v>4276</v>
      </c>
      <c r="V2849" t="s">
        <v>137</v>
      </c>
      <c r="W2849" t="s">
        <v>92</v>
      </c>
      <c r="X2849" t="s">
        <v>93</v>
      </c>
      <c r="Y2849" t="s">
        <v>38</v>
      </c>
      <c r="AA2849" t="s">
        <v>38</v>
      </c>
      <c r="AB2849" t="s">
        <v>38</v>
      </c>
      <c r="AC2849" t="s">
        <v>38</v>
      </c>
      <c r="AD2849" t="s">
        <v>48</v>
      </c>
      <c r="AG2849" t="str">
        <f>IF(AD2849="United States", IFERROR(INDEX(Sheet2!$C:$C, MATCH(AE2849&amp;AF2849, Sheet2!$E:$E, 0)) &amp; ", " &amp; INDEX(Sheet2!$D:$D, MATCH(AE2849&amp;AF2849, Sheet2!$E:$E, 0)), ""), "-")</f>
        <v/>
      </c>
    </row>
    <row r="2850" spans="1:33" x14ac:dyDescent="0.25">
      <c r="A2850" t="s">
        <v>114</v>
      </c>
      <c r="B2850" t="s">
        <v>4307</v>
      </c>
      <c r="C2850" t="s">
        <v>4279</v>
      </c>
      <c r="D2850" t="s">
        <v>106</v>
      </c>
      <c r="E2850" t="s">
        <v>38</v>
      </c>
      <c r="F2850">
        <v>1748</v>
      </c>
      <c r="G2850">
        <v>2180</v>
      </c>
      <c r="H2850" t="s">
        <v>4274</v>
      </c>
      <c r="I2850" t="s">
        <v>87</v>
      </c>
      <c r="J2850" t="s">
        <v>4280</v>
      </c>
      <c r="K2850" t="s">
        <v>38</v>
      </c>
      <c r="L2850" t="s">
        <v>38</v>
      </c>
      <c r="M2850" t="s">
        <v>38</v>
      </c>
      <c r="N2850" t="s">
        <v>38</v>
      </c>
      <c r="O2850" t="s">
        <v>41</v>
      </c>
      <c r="P2850" t="s">
        <v>42</v>
      </c>
      <c r="Q2850" t="s">
        <v>43</v>
      </c>
      <c r="R2850" t="s">
        <v>89</v>
      </c>
      <c r="S2850" t="s">
        <v>38</v>
      </c>
      <c r="T2850" t="s">
        <v>89</v>
      </c>
      <c r="U2850" t="s">
        <v>4276</v>
      </c>
      <c r="V2850" t="s">
        <v>137</v>
      </c>
      <c r="W2850" t="s">
        <v>92</v>
      </c>
      <c r="X2850" t="s">
        <v>93</v>
      </c>
      <c r="Y2850" t="s">
        <v>4294</v>
      </c>
      <c r="Z2850" t="s">
        <v>42</v>
      </c>
      <c r="AA2850" t="s">
        <v>38</v>
      </c>
      <c r="AB2850" t="s">
        <v>38</v>
      </c>
      <c r="AC2850" t="s">
        <v>38</v>
      </c>
      <c r="AD2850" t="s">
        <v>48</v>
      </c>
      <c r="AG2850" t="str">
        <f>IF(AD2850="United States", IFERROR(INDEX(Sheet2!$C:$C, MATCH(AE2850&amp;AF2850, Sheet2!$E:$E, 0)) &amp; ", " &amp; INDEX(Sheet2!$D:$D, MATCH(AE2850&amp;AF2850, Sheet2!$E:$E, 0)), ""), "-")</f>
        <v/>
      </c>
    </row>
    <row r="2851" spans="1:33" x14ac:dyDescent="0.25">
      <c r="A2851" t="s">
        <v>114</v>
      </c>
      <c r="B2851" t="s">
        <v>4308</v>
      </c>
      <c r="C2851" t="s">
        <v>4273</v>
      </c>
      <c r="D2851" t="s">
        <v>1989</v>
      </c>
      <c r="E2851" t="s">
        <v>38</v>
      </c>
      <c r="F2851">
        <v>1764</v>
      </c>
      <c r="G2851">
        <v>505</v>
      </c>
      <c r="H2851" t="s">
        <v>4274</v>
      </c>
      <c r="I2851" t="s">
        <v>39</v>
      </c>
      <c r="J2851" t="s">
        <v>4275</v>
      </c>
      <c r="K2851" t="s">
        <v>38</v>
      </c>
      <c r="L2851" t="s">
        <v>38</v>
      </c>
      <c r="M2851" t="s">
        <v>38</v>
      </c>
      <c r="N2851" t="s">
        <v>38</v>
      </c>
      <c r="O2851" t="s">
        <v>41</v>
      </c>
      <c r="P2851" t="s">
        <v>42</v>
      </c>
      <c r="Q2851" t="s">
        <v>43</v>
      </c>
      <c r="R2851" t="s">
        <v>89</v>
      </c>
      <c r="S2851" t="s">
        <v>153</v>
      </c>
      <c r="T2851" t="s">
        <v>89</v>
      </c>
      <c r="U2851" t="s">
        <v>4276</v>
      </c>
      <c r="V2851" t="s">
        <v>137</v>
      </c>
      <c r="W2851" t="s">
        <v>92</v>
      </c>
      <c r="X2851" t="s">
        <v>93</v>
      </c>
      <c r="Y2851" t="s">
        <v>4309</v>
      </c>
      <c r="Z2851" t="s">
        <v>42</v>
      </c>
      <c r="AA2851" t="s">
        <v>1989</v>
      </c>
      <c r="AB2851" t="s">
        <v>155</v>
      </c>
      <c r="AC2851" t="s">
        <v>153</v>
      </c>
      <c r="AD2851" t="s">
        <v>48</v>
      </c>
      <c r="AG2851" t="str">
        <f>IF(AD2851="United States", IFERROR(INDEX(Sheet2!$C:$C, MATCH(AE2851&amp;AF2851, Sheet2!$E:$E, 0)) &amp; ", " &amp; INDEX(Sheet2!$D:$D, MATCH(AE2851&amp;AF2851, Sheet2!$E:$E, 0)), ""), "-")</f>
        <v/>
      </c>
    </row>
    <row r="2852" spans="1:33" x14ac:dyDescent="0.25">
      <c r="A2852" t="s">
        <v>114</v>
      </c>
      <c r="B2852" t="s">
        <v>4310</v>
      </c>
      <c r="C2852" t="s">
        <v>4273</v>
      </c>
      <c r="D2852" t="s">
        <v>2124</v>
      </c>
      <c r="E2852" t="s">
        <v>4311</v>
      </c>
      <c r="F2852">
        <v>1770</v>
      </c>
      <c r="G2852">
        <v>507</v>
      </c>
      <c r="H2852" t="s">
        <v>4274</v>
      </c>
      <c r="I2852" t="s">
        <v>39</v>
      </c>
      <c r="J2852" t="s">
        <v>4275</v>
      </c>
      <c r="K2852" t="s">
        <v>38</v>
      </c>
      <c r="L2852" t="s">
        <v>38</v>
      </c>
      <c r="M2852" t="s">
        <v>38</v>
      </c>
      <c r="N2852" t="s">
        <v>38</v>
      </c>
      <c r="O2852" t="s">
        <v>74</v>
      </c>
      <c r="P2852" t="s">
        <v>42</v>
      </c>
      <c r="Q2852" t="s">
        <v>43</v>
      </c>
      <c r="R2852" t="s">
        <v>89</v>
      </c>
      <c r="S2852" t="s">
        <v>38</v>
      </c>
      <c r="T2852" t="s">
        <v>89</v>
      </c>
      <c r="U2852" t="s">
        <v>4276</v>
      </c>
      <c r="V2852" t="s">
        <v>137</v>
      </c>
      <c r="W2852" t="s">
        <v>92</v>
      </c>
      <c r="X2852" t="s">
        <v>93</v>
      </c>
      <c r="Y2852" t="s">
        <v>38</v>
      </c>
      <c r="Z2852" t="s">
        <v>42</v>
      </c>
      <c r="AA2852" t="s">
        <v>38</v>
      </c>
      <c r="AB2852" t="s">
        <v>38</v>
      </c>
      <c r="AC2852" t="s">
        <v>38</v>
      </c>
      <c r="AD2852" t="s">
        <v>48</v>
      </c>
      <c r="AG2852" t="str">
        <f>IF(AD2852="United States", IFERROR(INDEX(Sheet2!$C:$C, MATCH(AE2852&amp;AF2852, Sheet2!$E:$E, 0)) &amp; ", " &amp; INDEX(Sheet2!$D:$D, MATCH(AE2852&amp;AF2852, Sheet2!$E:$E, 0)), ""), "-")</f>
        <v/>
      </c>
    </row>
    <row r="2853" spans="1:33" x14ac:dyDescent="0.25">
      <c r="A2853" t="s">
        <v>114</v>
      </c>
      <c r="B2853" t="s">
        <v>4312</v>
      </c>
      <c r="C2853" t="s">
        <v>4273</v>
      </c>
      <c r="D2853" t="s">
        <v>4313</v>
      </c>
      <c r="E2853" t="s">
        <v>4314</v>
      </c>
      <c r="F2853">
        <v>1765</v>
      </c>
      <c r="G2853">
        <v>475</v>
      </c>
      <c r="H2853" t="s">
        <v>4315</v>
      </c>
      <c r="I2853" t="s">
        <v>39</v>
      </c>
      <c r="J2853" t="s">
        <v>4275</v>
      </c>
      <c r="K2853" t="s">
        <v>38</v>
      </c>
      <c r="L2853" t="s">
        <v>38</v>
      </c>
      <c r="M2853" t="s">
        <v>38</v>
      </c>
      <c r="N2853" t="s">
        <v>38</v>
      </c>
      <c r="O2853" t="s">
        <v>74</v>
      </c>
      <c r="P2853" t="s">
        <v>42</v>
      </c>
      <c r="Q2853" t="s">
        <v>43</v>
      </c>
      <c r="R2853" t="s">
        <v>89</v>
      </c>
      <c r="S2853" t="s">
        <v>45</v>
      </c>
      <c r="T2853" t="s">
        <v>89</v>
      </c>
      <c r="U2853" t="s">
        <v>4276</v>
      </c>
      <c r="V2853" t="s">
        <v>137</v>
      </c>
      <c r="W2853" t="s">
        <v>92</v>
      </c>
      <c r="X2853" t="s">
        <v>93</v>
      </c>
      <c r="Y2853" t="s">
        <v>4316</v>
      </c>
      <c r="Z2853" t="s">
        <v>42</v>
      </c>
      <c r="AA2853" t="s">
        <v>55</v>
      </c>
      <c r="AB2853" t="s">
        <v>4317</v>
      </c>
      <c r="AC2853" t="s">
        <v>45</v>
      </c>
      <c r="AD2853" t="s">
        <v>48</v>
      </c>
      <c r="AG2853" t="str">
        <f>IF(AD2853="United States", IFERROR(INDEX(Sheet2!$C:$C, MATCH(AE2853&amp;AF2853, Sheet2!$E:$E, 0)) &amp; ", " &amp; INDEX(Sheet2!$D:$D, MATCH(AE2853&amp;AF2853, Sheet2!$E:$E, 0)), ""), "-")</f>
        <v/>
      </c>
    </row>
    <row r="2854" spans="1:33" x14ac:dyDescent="0.25">
      <c r="A2854" t="s">
        <v>114</v>
      </c>
      <c r="B2854" t="s">
        <v>4318</v>
      </c>
      <c r="C2854" t="s">
        <v>4273</v>
      </c>
      <c r="D2854" t="s">
        <v>352</v>
      </c>
      <c r="E2854" t="s">
        <v>4319</v>
      </c>
      <c r="F2854">
        <v>1769</v>
      </c>
      <c r="G2854">
        <v>503</v>
      </c>
      <c r="H2854" t="s">
        <v>4274</v>
      </c>
      <c r="I2854" t="s">
        <v>39</v>
      </c>
      <c r="J2854" t="s">
        <v>4275</v>
      </c>
      <c r="K2854" t="s">
        <v>38</v>
      </c>
      <c r="L2854" t="s">
        <v>38</v>
      </c>
      <c r="M2854" t="s">
        <v>38</v>
      </c>
      <c r="N2854" t="s">
        <v>38</v>
      </c>
      <c r="O2854" t="s">
        <v>74</v>
      </c>
      <c r="P2854" t="s">
        <v>42</v>
      </c>
      <c r="Q2854" t="s">
        <v>43</v>
      </c>
      <c r="R2854" t="s">
        <v>89</v>
      </c>
      <c r="S2854" t="s">
        <v>38</v>
      </c>
      <c r="T2854" t="s">
        <v>89</v>
      </c>
      <c r="U2854" t="s">
        <v>4276</v>
      </c>
      <c r="V2854" t="s">
        <v>137</v>
      </c>
      <c r="W2854" t="s">
        <v>92</v>
      </c>
      <c r="X2854" t="s">
        <v>93</v>
      </c>
      <c r="Y2854" t="s">
        <v>4277</v>
      </c>
      <c r="Z2854" t="s">
        <v>42</v>
      </c>
      <c r="AA2854" t="s">
        <v>38</v>
      </c>
      <c r="AB2854" t="s">
        <v>38</v>
      </c>
      <c r="AC2854" t="s">
        <v>593</v>
      </c>
      <c r="AD2854" t="s">
        <v>48</v>
      </c>
      <c r="AG2854" t="str">
        <f>IF(AD2854="United States", IFERROR(INDEX(Sheet2!$C:$C, MATCH(AE2854&amp;AF2854, Sheet2!$E:$E, 0)) &amp; ", " &amp; INDEX(Sheet2!$D:$D, MATCH(AE2854&amp;AF2854, Sheet2!$E:$E, 0)), ""), "-")</f>
        <v/>
      </c>
    </row>
    <row r="2855" spans="1:33" x14ac:dyDescent="0.25">
      <c r="A2855" t="s">
        <v>114</v>
      </c>
      <c r="B2855" t="s">
        <v>4320</v>
      </c>
      <c r="C2855" t="s">
        <v>4273</v>
      </c>
      <c r="D2855" t="s">
        <v>50</v>
      </c>
      <c r="E2855" t="s">
        <v>38</v>
      </c>
      <c r="F2855">
        <v>1765</v>
      </c>
      <c r="G2855">
        <v>502</v>
      </c>
      <c r="H2855" t="s">
        <v>4274</v>
      </c>
      <c r="I2855" t="s">
        <v>39</v>
      </c>
      <c r="J2855" t="s">
        <v>4275</v>
      </c>
      <c r="K2855" t="s">
        <v>38</v>
      </c>
      <c r="L2855" t="s">
        <v>38</v>
      </c>
      <c r="M2855" t="s">
        <v>38</v>
      </c>
      <c r="N2855" t="s">
        <v>38</v>
      </c>
      <c r="O2855" t="s">
        <v>41</v>
      </c>
      <c r="P2855" t="s">
        <v>42</v>
      </c>
      <c r="Q2855" t="s">
        <v>43</v>
      </c>
      <c r="R2855" t="s">
        <v>89</v>
      </c>
      <c r="S2855" t="s">
        <v>153</v>
      </c>
      <c r="T2855" t="s">
        <v>89</v>
      </c>
      <c r="U2855" t="s">
        <v>4276</v>
      </c>
      <c r="V2855" t="s">
        <v>137</v>
      </c>
      <c r="W2855" t="s">
        <v>92</v>
      </c>
      <c r="X2855" t="s">
        <v>93</v>
      </c>
      <c r="Y2855" t="s">
        <v>4277</v>
      </c>
      <c r="Z2855" t="s">
        <v>42</v>
      </c>
      <c r="AA2855" t="s">
        <v>155</v>
      </c>
      <c r="AB2855" t="s">
        <v>38</v>
      </c>
      <c r="AC2855" t="s">
        <v>153</v>
      </c>
      <c r="AD2855" t="s">
        <v>48</v>
      </c>
      <c r="AG2855" t="str">
        <f>IF(AD2855="United States", IFERROR(INDEX(Sheet2!$C:$C, MATCH(AE2855&amp;AF2855, Sheet2!$E:$E, 0)) &amp; ", " &amp; INDEX(Sheet2!$D:$D, MATCH(AE2855&amp;AF2855, Sheet2!$E:$E, 0)), ""), "-")</f>
        <v/>
      </c>
    </row>
    <row r="2856" spans="1:33" x14ac:dyDescent="0.25">
      <c r="A2856" t="s">
        <v>114</v>
      </c>
      <c r="B2856" t="s">
        <v>4321</v>
      </c>
      <c r="C2856" t="s">
        <v>4273</v>
      </c>
      <c r="D2856" t="s">
        <v>222</v>
      </c>
      <c r="E2856" t="s">
        <v>38</v>
      </c>
      <c r="F2856">
        <v>1763</v>
      </c>
      <c r="G2856">
        <v>501</v>
      </c>
      <c r="H2856" t="s">
        <v>4274</v>
      </c>
      <c r="I2856" t="s">
        <v>39</v>
      </c>
      <c r="J2856" t="s">
        <v>4275</v>
      </c>
      <c r="K2856" t="s">
        <v>38</v>
      </c>
      <c r="L2856" t="s">
        <v>38</v>
      </c>
      <c r="M2856" t="s">
        <v>38</v>
      </c>
      <c r="N2856" t="s">
        <v>38</v>
      </c>
      <c r="O2856" t="s">
        <v>57</v>
      </c>
      <c r="P2856" t="s">
        <v>42</v>
      </c>
      <c r="Q2856" t="s">
        <v>43</v>
      </c>
      <c r="R2856" t="s">
        <v>89</v>
      </c>
      <c r="S2856" t="s">
        <v>45</v>
      </c>
      <c r="T2856" t="s">
        <v>89</v>
      </c>
      <c r="U2856" t="s">
        <v>4276</v>
      </c>
      <c r="V2856" t="s">
        <v>137</v>
      </c>
      <c r="W2856" t="s">
        <v>92</v>
      </c>
      <c r="X2856" t="s">
        <v>93</v>
      </c>
      <c r="Y2856" t="s">
        <v>4322</v>
      </c>
      <c r="Z2856" t="s">
        <v>42</v>
      </c>
      <c r="AA2856" t="s">
        <v>4323</v>
      </c>
      <c r="AB2856" t="s">
        <v>38</v>
      </c>
      <c r="AC2856" t="s">
        <v>45</v>
      </c>
      <c r="AD2856" t="s">
        <v>48</v>
      </c>
      <c r="AG2856" t="str">
        <f>IF(AD2856="United States", IFERROR(INDEX(Sheet2!$C:$C, MATCH(AE2856&amp;AF2856, Sheet2!$E:$E, 0)) &amp; ", " &amp; INDEX(Sheet2!$D:$D, MATCH(AE2856&amp;AF2856, Sheet2!$E:$E, 0)), ""), "-")</f>
        <v/>
      </c>
    </row>
    <row r="2857" spans="1:33" x14ac:dyDescent="0.25">
      <c r="A2857" t="s">
        <v>114</v>
      </c>
      <c r="B2857" t="s">
        <v>4324</v>
      </c>
      <c r="C2857" t="s">
        <v>4273</v>
      </c>
      <c r="D2857" t="s">
        <v>4286</v>
      </c>
      <c r="E2857" t="s">
        <v>164</v>
      </c>
      <c r="F2857">
        <v>1760</v>
      </c>
      <c r="G2857">
        <v>500</v>
      </c>
      <c r="H2857" t="s">
        <v>4274</v>
      </c>
      <c r="I2857" t="s">
        <v>39</v>
      </c>
      <c r="J2857" t="s">
        <v>4275</v>
      </c>
      <c r="K2857" t="s">
        <v>210</v>
      </c>
      <c r="L2857" t="s">
        <v>4325</v>
      </c>
      <c r="M2857" t="s">
        <v>38</v>
      </c>
      <c r="N2857" t="s">
        <v>38</v>
      </c>
      <c r="O2857" t="s">
        <v>74</v>
      </c>
      <c r="P2857" t="s">
        <v>42</v>
      </c>
      <c r="Q2857" t="s">
        <v>43</v>
      </c>
      <c r="R2857" t="s">
        <v>89</v>
      </c>
      <c r="S2857" t="s">
        <v>165</v>
      </c>
      <c r="T2857" t="s">
        <v>89</v>
      </c>
      <c r="U2857" t="s">
        <v>4276</v>
      </c>
      <c r="V2857" t="s">
        <v>137</v>
      </c>
      <c r="W2857" t="s">
        <v>92</v>
      </c>
      <c r="X2857" t="s">
        <v>93</v>
      </c>
      <c r="Y2857" t="s">
        <v>4326</v>
      </c>
      <c r="Z2857" t="s">
        <v>42</v>
      </c>
      <c r="AA2857" t="s">
        <v>166</v>
      </c>
      <c r="AB2857" t="s">
        <v>38</v>
      </c>
      <c r="AC2857" t="s">
        <v>165</v>
      </c>
      <c r="AD2857" t="s">
        <v>48</v>
      </c>
      <c r="AG2857" t="str">
        <f>IF(AD2857="United States", IFERROR(INDEX(Sheet2!$C:$C, MATCH(AE2857&amp;AF2857, Sheet2!$E:$E, 0)) &amp; ", " &amp; INDEX(Sheet2!$D:$D, MATCH(AE2857&amp;AF2857, Sheet2!$E:$E, 0)), ""), "-")</f>
        <v/>
      </c>
    </row>
    <row r="2858" spans="1:33" x14ac:dyDescent="0.25">
      <c r="A2858" t="s">
        <v>114</v>
      </c>
      <c r="B2858" t="s">
        <v>4327</v>
      </c>
      <c r="C2858" t="s">
        <v>4273</v>
      </c>
      <c r="D2858" t="s">
        <v>210</v>
      </c>
      <c r="E2858" t="s">
        <v>4325</v>
      </c>
      <c r="F2858">
        <v>1757</v>
      </c>
      <c r="G2858">
        <v>499</v>
      </c>
      <c r="H2858" t="s">
        <v>4274</v>
      </c>
      <c r="I2858" t="s">
        <v>39</v>
      </c>
      <c r="J2858" t="s">
        <v>4275</v>
      </c>
      <c r="K2858" t="s">
        <v>38</v>
      </c>
      <c r="L2858" t="s">
        <v>38</v>
      </c>
      <c r="M2858" t="s">
        <v>38</v>
      </c>
      <c r="N2858" t="s">
        <v>38</v>
      </c>
      <c r="O2858" t="s">
        <v>41</v>
      </c>
      <c r="P2858" t="s">
        <v>42</v>
      </c>
      <c r="Q2858" t="s">
        <v>43</v>
      </c>
      <c r="R2858" t="s">
        <v>89</v>
      </c>
      <c r="S2858" t="s">
        <v>165</v>
      </c>
      <c r="T2858" t="s">
        <v>89</v>
      </c>
      <c r="U2858" t="s">
        <v>4276</v>
      </c>
      <c r="V2858" t="s">
        <v>137</v>
      </c>
      <c r="W2858" t="s">
        <v>92</v>
      </c>
      <c r="X2858" t="s">
        <v>93</v>
      </c>
      <c r="Y2858" t="s">
        <v>4326</v>
      </c>
      <c r="Z2858" t="s">
        <v>42</v>
      </c>
      <c r="AA2858" t="s">
        <v>166</v>
      </c>
      <c r="AB2858" t="s">
        <v>38</v>
      </c>
      <c r="AC2858" t="s">
        <v>165</v>
      </c>
      <c r="AD2858" t="s">
        <v>48</v>
      </c>
      <c r="AG2858" t="str">
        <f>IF(AD2858="United States", IFERROR(INDEX(Sheet2!$C:$C, MATCH(AE2858&amp;AF2858, Sheet2!$E:$E, 0)) &amp; ", " &amp; INDEX(Sheet2!$D:$D, MATCH(AE2858&amp;AF2858, Sheet2!$E:$E, 0)), ""), "-")</f>
        <v/>
      </c>
    </row>
    <row r="2859" spans="1:33" x14ac:dyDescent="0.25">
      <c r="A2859" t="s">
        <v>114</v>
      </c>
      <c r="B2859" t="s">
        <v>4328</v>
      </c>
      <c r="C2859" t="s">
        <v>4273</v>
      </c>
      <c r="D2859" t="s">
        <v>106</v>
      </c>
      <c r="E2859" t="s">
        <v>4325</v>
      </c>
      <c r="F2859">
        <v>1757</v>
      </c>
      <c r="G2859">
        <v>498</v>
      </c>
      <c r="H2859" t="s">
        <v>4274</v>
      </c>
      <c r="I2859" t="s">
        <v>39</v>
      </c>
      <c r="J2859" t="s">
        <v>4275</v>
      </c>
      <c r="K2859" t="s">
        <v>38</v>
      </c>
      <c r="L2859" t="s">
        <v>38</v>
      </c>
      <c r="M2859" t="s">
        <v>38</v>
      </c>
      <c r="N2859" t="s">
        <v>38</v>
      </c>
      <c r="O2859" t="s">
        <v>41</v>
      </c>
      <c r="P2859" t="s">
        <v>42</v>
      </c>
      <c r="Q2859" t="s">
        <v>43</v>
      </c>
      <c r="R2859" t="s">
        <v>89</v>
      </c>
      <c r="S2859" t="s">
        <v>165</v>
      </c>
      <c r="T2859" t="s">
        <v>89</v>
      </c>
      <c r="U2859" t="s">
        <v>4276</v>
      </c>
      <c r="V2859" t="s">
        <v>137</v>
      </c>
      <c r="W2859" t="s">
        <v>92</v>
      </c>
      <c r="X2859" t="s">
        <v>93</v>
      </c>
      <c r="Y2859" t="s">
        <v>4326</v>
      </c>
      <c r="Z2859" t="s">
        <v>42</v>
      </c>
      <c r="AA2859" t="s">
        <v>166</v>
      </c>
      <c r="AB2859" t="s">
        <v>38</v>
      </c>
      <c r="AC2859" t="s">
        <v>165</v>
      </c>
      <c r="AD2859" t="s">
        <v>48</v>
      </c>
      <c r="AG2859" t="str">
        <f>IF(AD2859="United States", IFERROR(INDEX(Sheet2!$C:$C, MATCH(AE2859&amp;AF2859, Sheet2!$E:$E, 0)) &amp; ", " &amp; INDEX(Sheet2!$D:$D, MATCH(AE2859&amp;AF2859, Sheet2!$E:$E, 0)), ""), "-")</f>
        <v/>
      </c>
    </row>
    <row r="2860" spans="1:33" x14ac:dyDescent="0.25">
      <c r="A2860" t="s">
        <v>114</v>
      </c>
      <c r="B2860" t="s">
        <v>4329</v>
      </c>
      <c r="C2860" t="s">
        <v>4273</v>
      </c>
      <c r="D2860" t="s">
        <v>98</v>
      </c>
      <c r="E2860" t="s">
        <v>675</v>
      </c>
      <c r="F2860">
        <v>1773</v>
      </c>
      <c r="G2860">
        <v>497</v>
      </c>
      <c r="H2860" t="s">
        <v>4274</v>
      </c>
      <c r="I2860" t="s">
        <v>39</v>
      </c>
      <c r="J2860" t="s">
        <v>4275</v>
      </c>
      <c r="K2860" t="s">
        <v>36</v>
      </c>
      <c r="L2860" t="s">
        <v>4330</v>
      </c>
      <c r="M2860" t="s">
        <v>114</v>
      </c>
      <c r="N2860" t="s">
        <v>4331</v>
      </c>
      <c r="O2860" t="s">
        <v>74</v>
      </c>
      <c r="P2860" t="s">
        <v>42</v>
      </c>
      <c r="Q2860" t="s">
        <v>43</v>
      </c>
      <c r="R2860" t="s">
        <v>89</v>
      </c>
      <c r="S2860" t="s">
        <v>153</v>
      </c>
      <c r="T2860" t="s">
        <v>89</v>
      </c>
      <c r="U2860" t="s">
        <v>4276</v>
      </c>
      <c r="V2860" t="s">
        <v>137</v>
      </c>
      <c r="W2860" t="s">
        <v>92</v>
      </c>
      <c r="X2860" t="s">
        <v>93</v>
      </c>
      <c r="Y2860" t="s">
        <v>2874</v>
      </c>
      <c r="Z2860" t="s">
        <v>42</v>
      </c>
      <c r="AA2860" t="s">
        <v>155</v>
      </c>
      <c r="AB2860" t="s">
        <v>38</v>
      </c>
      <c r="AC2860" t="s">
        <v>153</v>
      </c>
      <c r="AD2860" t="s">
        <v>48</v>
      </c>
      <c r="AG2860" t="str">
        <f>IF(AD2860="United States", IFERROR(INDEX(Sheet2!$C:$C, MATCH(AE2860&amp;AF2860, Sheet2!$E:$E, 0)) &amp; ", " &amp; INDEX(Sheet2!$D:$D, MATCH(AE2860&amp;AF2860, Sheet2!$E:$E, 0)), ""), "-")</f>
        <v/>
      </c>
    </row>
    <row r="2861" spans="1:33" x14ac:dyDescent="0.25">
      <c r="A2861" t="s">
        <v>114</v>
      </c>
      <c r="B2861" t="s">
        <v>4332</v>
      </c>
      <c r="C2861" t="s">
        <v>4273</v>
      </c>
      <c r="D2861" t="s">
        <v>114</v>
      </c>
      <c r="E2861" t="s">
        <v>4331</v>
      </c>
      <c r="F2861">
        <v>1745</v>
      </c>
      <c r="G2861">
        <v>496</v>
      </c>
      <c r="H2861" t="s">
        <v>4274</v>
      </c>
      <c r="I2861" t="s">
        <v>39</v>
      </c>
      <c r="J2861" t="s">
        <v>4275</v>
      </c>
      <c r="K2861" t="s">
        <v>38</v>
      </c>
      <c r="L2861" t="s">
        <v>38</v>
      </c>
      <c r="M2861" t="s">
        <v>38</v>
      </c>
      <c r="N2861" t="s">
        <v>38</v>
      </c>
      <c r="O2861" t="s">
        <v>57</v>
      </c>
      <c r="P2861" t="s">
        <v>42</v>
      </c>
      <c r="Q2861" t="s">
        <v>124</v>
      </c>
      <c r="R2861" t="s">
        <v>89</v>
      </c>
      <c r="S2861" t="s">
        <v>153</v>
      </c>
      <c r="T2861" t="s">
        <v>89</v>
      </c>
      <c r="U2861" t="s">
        <v>4276</v>
      </c>
      <c r="V2861" t="s">
        <v>137</v>
      </c>
      <c r="W2861" t="s">
        <v>92</v>
      </c>
      <c r="X2861" t="s">
        <v>93</v>
      </c>
      <c r="Y2861" t="s">
        <v>2874</v>
      </c>
      <c r="Z2861" t="s">
        <v>42</v>
      </c>
      <c r="AA2861" t="s">
        <v>38</v>
      </c>
      <c r="AB2861" t="s">
        <v>38</v>
      </c>
      <c r="AC2861" t="s">
        <v>153</v>
      </c>
      <c r="AD2861" t="s">
        <v>48</v>
      </c>
      <c r="AG2861" t="str">
        <f>IF(AD2861="United States", IFERROR(INDEX(Sheet2!$C:$C, MATCH(AE2861&amp;AF2861, Sheet2!$E:$E, 0)) &amp; ", " &amp; INDEX(Sheet2!$D:$D, MATCH(AE2861&amp;AF2861, Sheet2!$E:$E, 0)), ""), "-")</f>
        <v/>
      </c>
    </row>
    <row r="2862" spans="1:33" x14ac:dyDescent="0.25">
      <c r="A2862" t="s">
        <v>114</v>
      </c>
      <c r="B2862" t="s">
        <v>4333</v>
      </c>
      <c r="C2862" t="s">
        <v>4273</v>
      </c>
      <c r="D2862" t="s">
        <v>36</v>
      </c>
      <c r="E2862" t="s">
        <v>4330</v>
      </c>
      <c r="F2862">
        <v>1745</v>
      </c>
      <c r="G2862">
        <v>495</v>
      </c>
      <c r="H2862" t="s">
        <v>4274</v>
      </c>
      <c r="I2862" t="s">
        <v>39</v>
      </c>
      <c r="J2862" t="s">
        <v>4275</v>
      </c>
      <c r="K2862" t="s">
        <v>38</v>
      </c>
      <c r="L2862" t="s">
        <v>38</v>
      </c>
      <c r="M2862" t="s">
        <v>38</v>
      </c>
      <c r="N2862" t="s">
        <v>38</v>
      </c>
      <c r="O2862" t="s">
        <v>41</v>
      </c>
      <c r="P2862" t="s">
        <v>42</v>
      </c>
      <c r="Q2862" t="s">
        <v>43</v>
      </c>
      <c r="R2862" t="s">
        <v>89</v>
      </c>
      <c r="S2862" t="s">
        <v>153</v>
      </c>
      <c r="T2862" t="s">
        <v>89</v>
      </c>
      <c r="U2862" t="s">
        <v>4276</v>
      </c>
      <c r="V2862" t="s">
        <v>137</v>
      </c>
      <c r="W2862" t="s">
        <v>92</v>
      </c>
      <c r="X2862" t="s">
        <v>93</v>
      </c>
      <c r="Y2862" t="s">
        <v>2874</v>
      </c>
      <c r="Z2862" t="s">
        <v>42</v>
      </c>
      <c r="AA2862" t="s">
        <v>155</v>
      </c>
      <c r="AB2862" t="s">
        <v>38</v>
      </c>
      <c r="AC2862" t="s">
        <v>153</v>
      </c>
      <c r="AD2862" t="s">
        <v>48</v>
      </c>
      <c r="AG2862" t="str">
        <f>IF(AD2862="United States", IFERROR(INDEX(Sheet2!$C:$C, MATCH(AE2862&amp;AF2862, Sheet2!$E:$E, 0)) &amp; ", " &amp; INDEX(Sheet2!$D:$D, MATCH(AE2862&amp;AF2862, Sheet2!$E:$E, 0)), ""), "-")</f>
        <v/>
      </c>
    </row>
    <row r="2863" spans="1:33" x14ac:dyDescent="0.25">
      <c r="A2863" t="s">
        <v>114</v>
      </c>
      <c r="B2863" t="s">
        <v>4334</v>
      </c>
      <c r="C2863" t="s">
        <v>4273</v>
      </c>
      <c r="D2863" t="s">
        <v>72</v>
      </c>
      <c r="E2863" t="s">
        <v>164</v>
      </c>
      <c r="F2863">
        <v>1762</v>
      </c>
      <c r="G2863">
        <v>494</v>
      </c>
      <c r="H2863" t="s">
        <v>4274</v>
      </c>
      <c r="I2863" t="s">
        <v>39</v>
      </c>
      <c r="J2863" t="s">
        <v>4275</v>
      </c>
      <c r="K2863" t="s">
        <v>150</v>
      </c>
      <c r="L2863" t="s">
        <v>38</v>
      </c>
      <c r="M2863" t="s">
        <v>38</v>
      </c>
      <c r="N2863" t="s">
        <v>38</v>
      </c>
      <c r="O2863" t="s">
        <v>74</v>
      </c>
      <c r="P2863" t="s">
        <v>42</v>
      </c>
      <c r="Q2863" t="s">
        <v>43</v>
      </c>
      <c r="R2863" t="s">
        <v>89</v>
      </c>
      <c r="S2863" t="s">
        <v>45</v>
      </c>
      <c r="T2863" t="s">
        <v>89</v>
      </c>
      <c r="U2863" t="s">
        <v>4276</v>
      </c>
      <c r="V2863" t="s">
        <v>137</v>
      </c>
      <c r="W2863" t="s">
        <v>92</v>
      </c>
      <c r="X2863" t="s">
        <v>93</v>
      </c>
      <c r="Y2863" t="s">
        <v>711</v>
      </c>
      <c r="Z2863" t="s">
        <v>42</v>
      </c>
      <c r="AA2863" t="s">
        <v>247</v>
      </c>
      <c r="AB2863" t="s">
        <v>38</v>
      </c>
      <c r="AC2863" t="s">
        <v>45</v>
      </c>
      <c r="AD2863" t="s">
        <v>48</v>
      </c>
      <c r="AG2863" t="str">
        <f>IF(AD2863="United States", IFERROR(INDEX(Sheet2!$C:$C, MATCH(AE2863&amp;AF2863, Sheet2!$E:$E, 0)) &amp; ", " &amp; INDEX(Sheet2!$D:$D, MATCH(AE2863&amp;AF2863, Sheet2!$E:$E, 0)), ""), "-")</f>
        <v/>
      </c>
    </row>
    <row r="2864" spans="1:33" x14ac:dyDescent="0.25">
      <c r="A2864" t="s">
        <v>114</v>
      </c>
      <c r="B2864" t="s">
        <v>4335</v>
      </c>
      <c r="C2864" t="s">
        <v>4273</v>
      </c>
      <c r="D2864" t="s">
        <v>150</v>
      </c>
      <c r="E2864" t="s">
        <v>38</v>
      </c>
      <c r="F2864">
        <v>1757</v>
      </c>
      <c r="G2864">
        <v>493</v>
      </c>
      <c r="H2864" t="s">
        <v>4274</v>
      </c>
      <c r="I2864" t="s">
        <v>39</v>
      </c>
      <c r="J2864" t="s">
        <v>4275</v>
      </c>
      <c r="K2864" t="s">
        <v>38</v>
      </c>
      <c r="L2864" t="s">
        <v>38</v>
      </c>
      <c r="M2864" t="s">
        <v>38</v>
      </c>
      <c r="N2864" t="s">
        <v>38</v>
      </c>
      <c r="O2864" t="s">
        <v>41</v>
      </c>
      <c r="P2864" t="s">
        <v>42</v>
      </c>
      <c r="Q2864" t="s">
        <v>43</v>
      </c>
      <c r="R2864" t="s">
        <v>89</v>
      </c>
      <c r="S2864" t="s">
        <v>45</v>
      </c>
      <c r="T2864" t="s">
        <v>89</v>
      </c>
      <c r="U2864" t="s">
        <v>4276</v>
      </c>
      <c r="V2864" t="s">
        <v>137</v>
      </c>
      <c r="W2864" t="s">
        <v>92</v>
      </c>
      <c r="X2864" t="s">
        <v>93</v>
      </c>
      <c r="Y2864" t="s">
        <v>711</v>
      </c>
      <c r="Z2864" t="s">
        <v>42</v>
      </c>
      <c r="AA2864" t="s">
        <v>247</v>
      </c>
      <c r="AB2864" t="s">
        <v>38</v>
      </c>
      <c r="AC2864" t="s">
        <v>45</v>
      </c>
      <c r="AD2864" t="s">
        <v>48</v>
      </c>
      <c r="AG2864" t="str">
        <f>IF(AD2864="United States", IFERROR(INDEX(Sheet2!$C:$C, MATCH(AE2864&amp;AF2864, Sheet2!$E:$E, 0)) &amp; ", " &amp; INDEX(Sheet2!$D:$D, MATCH(AE2864&amp;AF2864, Sheet2!$E:$E, 0)), ""), "-")</f>
        <v/>
      </c>
    </row>
    <row r="2865" spans="1:33" x14ac:dyDescent="0.25">
      <c r="A2865" t="s">
        <v>114</v>
      </c>
      <c r="B2865" t="s">
        <v>4336</v>
      </c>
      <c r="C2865" t="s">
        <v>4273</v>
      </c>
      <c r="D2865" t="s">
        <v>245</v>
      </c>
      <c r="E2865" t="s">
        <v>2192</v>
      </c>
      <c r="F2865">
        <v>1763</v>
      </c>
      <c r="G2865">
        <v>492</v>
      </c>
      <c r="H2865" t="s">
        <v>4274</v>
      </c>
      <c r="I2865" t="s">
        <v>39</v>
      </c>
      <c r="J2865" t="s">
        <v>4275</v>
      </c>
      <c r="K2865" t="s">
        <v>38</v>
      </c>
      <c r="L2865" t="s">
        <v>38</v>
      </c>
      <c r="M2865" t="s">
        <v>38</v>
      </c>
      <c r="N2865" t="s">
        <v>38</v>
      </c>
      <c r="O2865" t="s">
        <v>57</v>
      </c>
      <c r="P2865" t="s">
        <v>42</v>
      </c>
      <c r="Q2865" t="s">
        <v>43</v>
      </c>
      <c r="R2865" t="s">
        <v>89</v>
      </c>
      <c r="S2865" t="s">
        <v>153</v>
      </c>
      <c r="T2865" t="s">
        <v>89</v>
      </c>
      <c r="U2865" t="s">
        <v>4276</v>
      </c>
      <c r="V2865" t="s">
        <v>137</v>
      </c>
      <c r="W2865" t="s">
        <v>92</v>
      </c>
      <c r="X2865" t="s">
        <v>93</v>
      </c>
      <c r="Y2865" t="s">
        <v>4337</v>
      </c>
      <c r="Z2865" t="s">
        <v>42</v>
      </c>
      <c r="AA2865" t="s">
        <v>38</v>
      </c>
      <c r="AB2865" t="s">
        <v>38</v>
      </c>
      <c r="AC2865" t="s">
        <v>153</v>
      </c>
      <c r="AD2865" t="s">
        <v>48</v>
      </c>
      <c r="AG2865" t="str">
        <f>IF(AD2865="United States", IFERROR(INDEX(Sheet2!$C:$C, MATCH(AE2865&amp;AF2865, Sheet2!$E:$E, 0)) &amp; ", " &amp; INDEX(Sheet2!$D:$D, MATCH(AE2865&amp;AF2865, Sheet2!$E:$E, 0)), ""), "-")</f>
        <v/>
      </c>
    </row>
    <row r="2866" spans="1:33" x14ac:dyDescent="0.25">
      <c r="A2866" t="s">
        <v>114</v>
      </c>
      <c r="B2866" t="s">
        <v>4338</v>
      </c>
      <c r="C2866" t="s">
        <v>4273</v>
      </c>
      <c r="D2866" t="s">
        <v>513</v>
      </c>
      <c r="E2866" t="s">
        <v>2192</v>
      </c>
      <c r="F2866">
        <v>1763</v>
      </c>
      <c r="G2866">
        <v>491</v>
      </c>
      <c r="H2866" t="s">
        <v>4274</v>
      </c>
      <c r="I2866" t="s">
        <v>39</v>
      </c>
      <c r="J2866" t="s">
        <v>4275</v>
      </c>
      <c r="K2866" t="s">
        <v>38</v>
      </c>
      <c r="L2866" t="s">
        <v>38</v>
      </c>
      <c r="M2866" t="s">
        <v>38</v>
      </c>
      <c r="N2866" t="s">
        <v>38</v>
      </c>
      <c r="O2866" t="s">
        <v>41</v>
      </c>
      <c r="P2866" t="s">
        <v>42</v>
      </c>
      <c r="Q2866" t="s">
        <v>43</v>
      </c>
      <c r="R2866" t="s">
        <v>89</v>
      </c>
      <c r="S2866" t="s">
        <v>153</v>
      </c>
      <c r="T2866" t="s">
        <v>89</v>
      </c>
      <c r="U2866" t="s">
        <v>4276</v>
      </c>
      <c r="V2866" t="s">
        <v>137</v>
      </c>
      <c r="W2866" t="s">
        <v>92</v>
      </c>
      <c r="X2866" t="s">
        <v>93</v>
      </c>
      <c r="Y2866" t="s">
        <v>4337</v>
      </c>
      <c r="Z2866" t="s">
        <v>42</v>
      </c>
      <c r="AA2866" t="s">
        <v>38</v>
      </c>
      <c r="AB2866" t="s">
        <v>38</v>
      </c>
      <c r="AC2866" t="s">
        <v>153</v>
      </c>
      <c r="AD2866" t="s">
        <v>48</v>
      </c>
      <c r="AG2866" t="str">
        <f>IF(AD2866="United States", IFERROR(INDEX(Sheet2!$C:$C, MATCH(AE2866&amp;AF2866, Sheet2!$E:$E, 0)) &amp; ", " &amp; INDEX(Sheet2!$D:$D, MATCH(AE2866&amp;AF2866, Sheet2!$E:$E, 0)), ""), "-")</f>
        <v/>
      </c>
    </row>
    <row r="2867" spans="1:33" x14ac:dyDescent="0.25">
      <c r="A2867" t="s">
        <v>114</v>
      </c>
      <c r="B2867" t="s">
        <v>4339</v>
      </c>
      <c r="C2867" t="s">
        <v>4273</v>
      </c>
      <c r="D2867" t="s">
        <v>569</v>
      </c>
      <c r="E2867" t="s">
        <v>1879</v>
      </c>
      <c r="F2867">
        <v>1754</v>
      </c>
      <c r="G2867">
        <v>474</v>
      </c>
      <c r="H2867" t="s">
        <v>4315</v>
      </c>
      <c r="I2867" t="s">
        <v>39</v>
      </c>
      <c r="J2867" t="s">
        <v>4275</v>
      </c>
      <c r="K2867" t="s">
        <v>38</v>
      </c>
      <c r="L2867" t="s">
        <v>38</v>
      </c>
      <c r="M2867" t="s">
        <v>38</v>
      </c>
      <c r="N2867" t="s">
        <v>38</v>
      </c>
      <c r="O2867" t="s">
        <v>41</v>
      </c>
      <c r="P2867" t="s">
        <v>42</v>
      </c>
      <c r="Q2867" t="s">
        <v>43</v>
      </c>
      <c r="R2867" t="s">
        <v>89</v>
      </c>
      <c r="S2867" t="s">
        <v>38</v>
      </c>
      <c r="T2867" t="s">
        <v>89</v>
      </c>
      <c r="U2867" t="s">
        <v>4276</v>
      </c>
      <c r="V2867" t="s">
        <v>137</v>
      </c>
      <c r="W2867" t="s">
        <v>92</v>
      </c>
      <c r="X2867" t="s">
        <v>93</v>
      </c>
      <c r="Y2867" t="s">
        <v>4316</v>
      </c>
      <c r="Z2867" t="s">
        <v>42</v>
      </c>
      <c r="AA2867" t="s">
        <v>38</v>
      </c>
      <c r="AB2867" t="s">
        <v>38</v>
      </c>
      <c r="AC2867" t="s">
        <v>3512</v>
      </c>
      <c r="AD2867" t="s">
        <v>48</v>
      </c>
      <c r="AG2867" t="str">
        <f>IF(AD2867="United States", IFERROR(INDEX(Sheet2!$C:$C, MATCH(AE2867&amp;AF2867, Sheet2!$E:$E, 0)) &amp; ", " &amp; INDEX(Sheet2!$D:$D, MATCH(AE2867&amp;AF2867, Sheet2!$E:$E, 0)), ""), "-")</f>
        <v/>
      </c>
    </row>
    <row r="2868" spans="1:33" x14ac:dyDescent="0.25">
      <c r="A2868" t="s">
        <v>114</v>
      </c>
      <c r="B2868" t="s">
        <v>4340</v>
      </c>
      <c r="C2868" t="s">
        <v>4273</v>
      </c>
      <c r="D2868" t="s">
        <v>1164</v>
      </c>
      <c r="E2868" t="s">
        <v>4341</v>
      </c>
      <c r="F2868">
        <v>1747</v>
      </c>
      <c r="G2868">
        <v>484</v>
      </c>
      <c r="H2868" t="s">
        <v>38</v>
      </c>
      <c r="I2868" t="s">
        <v>39</v>
      </c>
      <c r="J2868" t="s">
        <v>4275</v>
      </c>
      <c r="K2868" t="s">
        <v>38</v>
      </c>
      <c r="L2868" t="s">
        <v>38</v>
      </c>
      <c r="M2868" t="s">
        <v>38</v>
      </c>
      <c r="N2868" t="s">
        <v>38</v>
      </c>
      <c r="O2868" t="s">
        <v>57</v>
      </c>
      <c r="P2868" t="s">
        <v>42</v>
      </c>
      <c r="Q2868" t="s">
        <v>43</v>
      </c>
      <c r="R2868" t="s">
        <v>4342</v>
      </c>
      <c r="S2868" t="s">
        <v>45</v>
      </c>
      <c r="T2868" t="s">
        <v>38</v>
      </c>
      <c r="U2868" t="s">
        <v>38</v>
      </c>
      <c r="V2868" t="s">
        <v>137</v>
      </c>
      <c r="W2868" t="s">
        <v>38</v>
      </c>
      <c r="X2868" t="s">
        <v>38</v>
      </c>
      <c r="Y2868" t="s">
        <v>4343</v>
      </c>
      <c r="Z2868" t="s">
        <v>42</v>
      </c>
      <c r="AA2868" t="s">
        <v>4344</v>
      </c>
      <c r="AB2868" t="s">
        <v>38</v>
      </c>
      <c r="AC2868" t="s">
        <v>45</v>
      </c>
      <c r="AD2868" t="s">
        <v>48</v>
      </c>
      <c r="AG2868" t="str">
        <f>IF(AD2868="United States", IFERROR(INDEX(Sheet2!$C:$C, MATCH(AE2868&amp;AF2868, Sheet2!$E:$E, 0)) &amp; ", " &amp; INDEX(Sheet2!$D:$D, MATCH(AE2868&amp;AF2868, Sheet2!$E:$E, 0)), ""), "-")</f>
        <v/>
      </c>
    </row>
    <row r="2869" spans="1:33" x14ac:dyDescent="0.25">
      <c r="A2869" t="s">
        <v>114</v>
      </c>
      <c r="B2869" t="s">
        <v>4345</v>
      </c>
      <c r="C2869" t="s">
        <v>4273</v>
      </c>
      <c r="D2869" t="s">
        <v>113</v>
      </c>
      <c r="E2869" t="s">
        <v>4103</v>
      </c>
      <c r="F2869">
        <v>1760</v>
      </c>
      <c r="G2869">
        <v>489</v>
      </c>
      <c r="H2869" t="s">
        <v>4274</v>
      </c>
      <c r="I2869" t="s">
        <v>39</v>
      </c>
      <c r="J2869" t="s">
        <v>4275</v>
      </c>
      <c r="K2869" t="s">
        <v>38</v>
      </c>
      <c r="L2869" t="s">
        <v>38</v>
      </c>
      <c r="M2869" t="s">
        <v>38</v>
      </c>
      <c r="N2869" t="s">
        <v>38</v>
      </c>
      <c r="O2869" t="s">
        <v>41</v>
      </c>
      <c r="P2869" t="s">
        <v>42</v>
      </c>
      <c r="Q2869" t="s">
        <v>43</v>
      </c>
      <c r="R2869" t="s">
        <v>89</v>
      </c>
      <c r="S2869" t="s">
        <v>38</v>
      </c>
      <c r="T2869" t="s">
        <v>89</v>
      </c>
      <c r="U2869" t="s">
        <v>4276</v>
      </c>
      <c r="V2869" t="s">
        <v>137</v>
      </c>
      <c r="W2869" t="s">
        <v>92</v>
      </c>
      <c r="X2869" t="s">
        <v>93</v>
      </c>
      <c r="Y2869" t="s">
        <v>4346</v>
      </c>
      <c r="Z2869" t="s">
        <v>42</v>
      </c>
      <c r="AA2869" t="s">
        <v>38</v>
      </c>
      <c r="AB2869" t="s">
        <v>38</v>
      </c>
      <c r="AC2869" t="s">
        <v>60</v>
      </c>
      <c r="AD2869" t="s">
        <v>48</v>
      </c>
      <c r="AG2869" t="str">
        <f>IF(AD2869="United States", IFERROR(INDEX(Sheet2!$C:$C, MATCH(AE2869&amp;AF2869, Sheet2!$E:$E, 0)) &amp; ", " &amp; INDEX(Sheet2!$D:$D, MATCH(AE2869&amp;AF2869, Sheet2!$E:$E, 0)), ""), "-")</f>
        <v/>
      </c>
    </row>
    <row r="2870" spans="1:33" x14ac:dyDescent="0.25">
      <c r="A2870" t="s">
        <v>114</v>
      </c>
      <c r="B2870" t="s">
        <v>4347</v>
      </c>
      <c r="C2870" t="s">
        <v>4273</v>
      </c>
      <c r="D2870" t="s">
        <v>226</v>
      </c>
      <c r="E2870" t="s">
        <v>1143</v>
      </c>
      <c r="F2870">
        <v>1741</v>
      </c>
      <c r="G2870">
        <v>476</v>
      </c>
      <c r="H2870" t="s">
        <v>4315</v>
      </c>
      <c r="I2870" t="s">
        <v>39</v>
      </c>
      <c r="J2870" t="s">
        <v>4275</v>
      </c>
      <c r="K2870" t="s">
        <v>38</v>
      </c>
      <c r="L2870" t="s">
        <v>38</v>
      </c>
      <c r="M2870" t="s">
        <v>38</v>
      </c>
      <c r="N2870" t="s">
        <v>38</v>
      </c>
      <c r="O2870" t="s">
        <v>41</v>
      </c>
      <c r="P2870" t="s">
        <v>42</v>
      </c>
      <c r="Q2870" t="s">
        <v>43</v>
      </c>
      <c r="R2870" t="s">
        <v>89</v>
      </c>
      <c r="S2870" t="s">
        <v>45</v>
      </c>
      <c r="T2870" t="s">
        <v>89</v>
      </c>
      <c r="U2870" t="s">
        <v>4276</v>
      </c>
      <c r="V2870" t="s">
        <v>137</v>
      </c>
      <c r="W2870" t="s">
        <v>92</v>
      </c>
      <c r="X2870" t="s">
        <v>93</v>
      </c>
      <c r="Y2870" t="s">
        <v>4348</v>
      </c>
      <c r="Z2870" t="s">
        <v>42</v>
      </c>
      <c r="AA2870" t="s">
        <v>169</v>
      </c>
      <c r="AB2870" t="s">
        <v>38</v>
      </c>
      <c r="AC2870" t="s">
        <v>45</v>
      </c>
      <c r="AD2870" t="s">
        <v>48</v>
      </c>
      <c r="AG2870" t="str">
        <f>IF(AD2870="United States", IFERROR(INDEX(Sheet2!$C:$C, MATCH(AE2870&amp;AF2870, Sheet2!$E:$E, 0)) &amp; ", " &amp; INDEX(Sheet2!$D:$D, MATCH(AE2870&amp;AF2870, Sheet2!$E:$E, 0)), ""), "-")</f>
        <v/>
      </c>
    </row>
    <row r="2871" spans="1:33" x14ac:dyDescent="0.25">
      <c r="A2871" t="s">
        <v>114</v>
      </c>
      <c r="B2871" t="s">
        <v>4349</v>
      </c>
      <c r="C2871" t="s">
        <v>4273</v>
      </c>
      <c r="D2871" t="s">
        <v>1274</v>
      </c>
      <c r="E2871" t="s">
        <v>1143</v>
      </c>
      <c r="F2871">
        <v>1754</v>
      </c>
      <c r="G2871">
        <v>477</v>
      </c>
      <c r="H2871" t="s">
        <v>4315</v>
      </c>
      <c r="I2871" t="s">
        <v>39</v>
      </c>
      <c r="J2871" t="s">
        <v>4275</v>
      </c>
      <c r="K2871" t="s">
        <v>38</v>
      </c>
      <c r="L2871" t="s">
        <v>38</v>
      </c>
      <c r="M2871" t="s">
        <v>38</v>
      </c>
      <c r="N2871" t="s">
        <v>38</v>
      </c>
      <c r="O2871" t="s">
        <v>57</v>
      </c>
      <c r="P2871" t="s">
        <v>42</v>
      </c>
      <c r="Q2871" t="s">
        <v>43</v>
      </c>
      <c r="R2871" t="s">
        <v>89</v>
      </c>
      <c r="S2871" t="s">
        <v>45</v>
      </c>
      <c r="T2871" t="s">
        <v>89</v>
      </c>
      <c r="U2871" t="s">
        <v>4276</v>
      </c>
      <c r="V2871" t="s">
        <v>137</v>
      </c>
      <c r="W2871" t="s">
        <v>92</v>
      </c>
      <c r="X2871" t="s">
        <v>93</v>
      </c>
      <c r="Y2871" t="s">
        <v>4348</v>
      </c>
      <c r="Z2871" t="s">
        <v>42</v>
      </c>
      <c r="AA2871" t="s">
        <v>169</v>
      </c>
      <c r="AB2871" t="s">
        <v>38</v>
      </c>
      <c r="AC2871" t="s">
        <v>45</v>
      </c>
      <c r="AD2871" t="s">
        <v>48</v>
      </c>
      <c r="AG2871" t="str">
        <f>IF(AD2871="United States", IFERROR(INDEX(Sheet2!$C:$C, MATCH(AE2871&amp;AF2871, Sheet2!$E:$E, 0)) &amp; ", " &amp; INDEX(Sheet2!$D:$D, MATCH(AE2871&amp;AF2871, Sheet2!$E:$E, 0)), ""), "-")</f>
        <v/>
      </c>
    </row>
    <row r="2872" spans="1:33" x14ac:dyDescent="0.25">
      <c r="A2872" t="s">
        <v>114</v>
      </c>
      <c r="B2872" t="s">
        <v>4350</v>
      </c>
      <c r="C2872" t="s">
        <v>4273</v>
      </c>
      <c r="D2872" t="s">
        <v>4351</v>
      </c>
      <c r="E2872" t="s">
        <v>4352</v>
      </c>
      <c r="F2872">
        <v>1760</v>
      </c>
      <c r="G2872">
        <v>478</v>
      </c>
      <c r="H2872" t="s">
        <v>38</v>
      </c>
      <c r="I2872" t="s">
        <v>39</v>
      </c>
      <c r="J2872" t="s">
        <v>4275</v>
      </c>
      <c r="K2872" t="s">
        <v>38</v>
      </c>
      <c r="L2872" t="s">
        <v>38</v>
      </c>
      <c r="M2872" t="s">
        <v>38</v>
      </c>
      <c r="N2872" t="s">
        <v>38</v>
      </c>
      <c r="O2872" t="s">
        <v>41</v>
      </c>
      <c r="P2872" t="s">
        <v>42</v>
      </c>
      <c r="Q2872" t="s">
        <v>43</v>
      </c>
      <c r="R2872" t="s">
        <v>38</v>
      </c>
      <c r="S2872" t="s">
        <v>38</v>
      </c>
      <c r="T2872" t="s">
        <v>38</v>
      </c>
      <c r="U2872" t="s">
        <v>38</v>
      </c>
      <c r="V2872" t="s">
        <v>137</v>
      </c>
      <c r="W2872" t="s">
        <v>38</v>
      </c>
      <c r="X2872" t="s">
        <v>38</v>
      </c>
      <c r="Y2872" t="s">
        <v>4353</v>
      </c>
      <c r="Z2872" t="s">
        <v>42</v>
      </c>
      <c r="AA2872" t="s">
        <v>4150</v>
      </c>
      <c r="AB2872" t="s">
        <v>38</v>
      </c>
      <c r="AC2872" t="s">
        <v>70</v>
      </c>
      <c r="AD2872" t="s">
        <v>48</v>
      </c>
      <c r="AG2872" t="str">
        <f>IF(AD2872="United States", IFERROR(INDEX(Sheet2!$C:$C, MATCH(AE2872&amp;AF2872, Sheet2!$E:$E, 0)) &amp; ", " &amp; INDEX(Sheet2!$D:$D, MATCH(AE2872&amp;AF2872, Sheet2!$E:$E, 0)), ""), "-")</f>
        <v/>
      </c>
    </row>
    <row r="2873" spans="1:33" x14ac:dyDescent="0.25">
      <c r="A2873" t="s">
        <v>114</v>
      </c>
      <c r="B2873" t="s">
        <v>4354</v>
      </c>
      <c r="C2873" t="s">
        <v>4273</v>
      </c>
      <c r="D2873" t="s">
        <v>2751</v>
      </c>
      <c r="E2873" t="s">
        <v>4352</v>
      </c>
      <c r="F2873">
        <v>1762</v>
      </c>
      <c r="G2873">
        <v>479</v>
      </c>
      <c r="H2873" t="s">
        <v>38</v>
      </c>
      <c r="I2873" t="s">
        <v>39</v>
      </c>
      <c r="J2873" t="s">
        <v>4275</v>
      </c>
      <c r="K2873" t="s">
        <v>38</v>
      </c>
      <c r="L2873" t="s">
        <v>38</v>
      </c>
      <c r="M2873" t="s">
        <v>38</v>
      </c>
      <c r="N2873" t="s">
        <v>38</v>
      </c>
      <c r="O2873" t="s">
        <v>57</v>
      </c>
      <c r="P2873" t="s">
        <v>42</v>
      </c>
      <c r="Q2873" t="s">
        <v>43</v>
      </c>
      <c r="R2873" t="s">
        <v>38</v>
      </c>
      <c r="S2873" t="s">
        <v>38</v>
      </c>
      <c r="T2873" t="s">
        <v>38</v>
      </c>
      <c r="U2873" t="s">
        <v>38</v>
      </c>
      <c r="V2873" t="s">
        <v>137</v>
      </c>
      <c r="W2873" t="s">
        <v>38</v>
      </c>
      <c r="X2873" t="s">
        <v>38</v>
      </c>
      <c r="Y2873" t="s">
        <v>4353</v>
      </c>
      <c r="Z2873" t="s">
        <v>42</v>
      </c>
      <c r="AA2873" t="s">
        <v>4150</v>
      </c>
      <c r="AB2873" t="s">
        <v>38</v>
      </c>
      <c r="AC2873" t="s">
        <v>70</v>
      </c>
      <c r="AD2873" t="s">
        <v>48</v>
      </c>
      <c r="AG2873" t="str">
        <f>IF(AD2873="United States", IFERROR(INDEX(Sheet2!$C:$C, MATCH(AE2873&amp;AF2873, Sheet2!$E:$E, 0)) &amp; ", " &amp; INDEX(Sheet2!$D:$D, MATCH(AE2873&amp;AF2873, Sheet2!$E:$E, 0)), ""), "-")</f>
        <v/>
      </c>
    </row>
    <row r="2874" spans="1:33" x14ac:dyDescent="0.25">
      <c r="A2874" t="s">
        <v>114</v>
      </c>
      <c r="B2874" t="s">
        <v>4355</v>
      </c>
      <c r="C2874" t="s">
        <v>4273</v>
      </c>
      <c r="D2874" t="s">
        <v>357</v>
      </c>
      <c r="E2874" t="s">
        <v>158</v>
      </c>
      <c r="F2874">
        <v>1747</v>
      </c>
      <c r="G2874">
        <v>480</v>
      </c>
      <c r="H2874" t="s">
        <v>4274</v>
      </c>
      <c r="I2874" t="s">
        <v>39</v>
      </c>
      <c r="J2874" t="s">
        <v>4275</v>
      </c>
      <c r="K2874" t="s">
        <v>38</v>
      </c>
      <c r="L2874" t="s">
        <v>38</v>
      </c>
      <c r="M2874" t="s">
        <v>38</v>
      </c>
      <c r="N2874" t="s">
        <v>38</v>
      </c>
      <c r="O2874" t="s">
        <v>41</v>
      </c>
      <c r="P2874" t="s">
        <v>42</v>
      </c>
      <c r="Q2874" t="s">
        <v>43</v>
      </c>
      <c r="R2874" t="s">
        <v>89</v>
      </c>
      <c r="S2874" t="s">
        <v>38</v>
      </c>
      <c r="T2874" t="s">
        <v>89</v>
      </c>
      <c r="U2874" t="s">
        <v>4276</v>
      </c>
      <c r="V2874" t="s">
        <v>137</v>
      </c>
      <c r="W2874" t="s">
        <v>92</v>
      </c>
      <c r="X2874" t="s">
        <v>93</v>
      </c>
      <c r="Y2874" t="s">
        <v>4356</v>
      </c>
      <c r="Z2874" t="s">
        <v>42</v>
      </c>
      <c r="AA2874" t="s">
        <v>4357</v>
      </c>
      <c r="AB2874" t="s">
        <v>38</v>
      </c>
      <c r="AC2874" t="s">
        <v>233</v>
      </c>
      <c r="AD2874" t="s">
        <v>48</v>
      </c>
      <c r="AG2874" t="str">
        <f>IF(AD2874="United States", IFERROR(INDEX(Sheet2!$C:$C, MATCH(AE2874&amp;AF2874, Sheet2!$E:$E, 0)) &amp; ", " &amp; INDEX(Sheet2!$D:$D, MATCH(AE2874&amp;AF2874, Sheet2!$E:$E, 0)), ""), "-")</f>
        <v/>
      </c>
    </row>
    <row r="2875" spans="1:33" x14ac:dyDescent="0.25">
      <c r="A2875" t="s">
        <v>114</v>
      </c>
      <c r="B2875" t="s">
        <v>4358</v>
      </c>
      <c r="C2875" t="s">
        <v>4273</v>
      </c>
      <c r="D2875" t="s">
        <v>50</v>
      </c>
      <c r="E2875" t="s">
        <v>4359</v>
      </c>
      <c r="F2875">
        <v>1737</v>
      </c>
      <c r="G2875">
        <v>481</v>
      </c>
      <c r="H2875" t="s">
        <v>4274</v>
      </c>
      <c r="I2875" t="s">
        <v>39</v>
      </c>
      <c r="J2875" t="s">
        <v>4275</v>
      </c>
      <c r="K2875" t="s">
        <v>38</v>
      </c>
      <c r="L2875" t="s">
        <v>38</v>
      </c>
      <c r="M2875" t="s">
        <v>2751</v>
      </c>
      <c r="N2875" t="s">
        <v>4352</v>
      </c>
      <c r="O2875" t="s">
        <v>74</v>
      </c>
      <c r="P2875" t="s">
        <v>42</v>
      </c>
      <c r="Q2875" t="s">
        <v>43</v>
      </c>
      <c r="R2875" t="s">
        <v>89</v>
      </c>
      <c r="S2875" t="s">
        <v>45</v>
      </c>
      <c r="T2875" t="s">
        <v>89</v>
      </c>
      <c r="U2875" t="s">
        <v>4276</v>
      </c>
      <c r="V2875" t="s">
        <v>137</v>
      </c>
      <c r="W2875" t="s">
        <v>92</v>
      </c>
      <c r="X2875" t="s">
        <v>93</v>
      </c>
      <c r="Y2875" t="s">
        <v>4360</v>
      </c>
      <c r="Z2875" t="s">
        <v>42</v>
      </c>
      <c r="AA2875" t="s">
        <v>4361</v>
      </c>
      <c r="AB2875" t="s">
        <v>38</v>
      </c>
      <c r="AC2875" t="s">
        <v>45</v>
      </c>
      <c r="AD2875" t="s">
        <v>48</v>
      </c>
      <c r="AG2875" t="str">
        <f>IF(AD2875="United States", IFERROR(INDEX(Sheet2!$C:$C, MATCH(AE2875&amp;AF2875, Sheet2!$E:$E, 0)) &amp; ", " &amp; INDEX(Sheet2!$D:$D, MATCH(AE2875&amp;AF2875, Sheet2!$E:$E, 0)), ""), "-")</f>
        <v/>
      </c>
    </row>
    <row r="2876" spans="1:33" x14ac:dyDescent="0.25">
      <c r="A2876" t="s">
        <v>114</v>
      </c>
      <c r="B2876" t="s">
        <v>4362</v>
      </c>
      <c r="C2876" t="s">
        <v>4273</v>
      </c>
      <c r="D2876" t="s">
        <v>162</v>
      </c>
      <c r="E2876" t="s">
        <v>4103</v>
      </c>
      <c r="F2876">
        <v>1760</v>
      </c>
      <c r="G2876">
        <v>490</v>
      </c>
      <c r="H2876" t="s">
        <v>4274</v>
      </c>
      <c r="I2876" t="s">
        <v>39</v>
      </c>
      <c r="J2876" t="s">
        <v>4275</v>
      </c>
      <c r="K2876" t="s">
        <v>38</v>
      </c>
      <c r="L2876" t="s">
        <v>38</v>
      </c>
      <c r="M2876" t="s">
        <v>38</v>
      </c>
      <c r="N2876" t="s">
        <v>38</v>
      </c>
      <c r="O2876" t="s">
        <v>57</v>
      </c>
      <c r="P2876" t="s">
        <v>42</v>
      </c>
      <c r="Q2876" t="s">
        <v>43</v>
      </c>
      <c r="R2876" t="s">
        <v>89</v>
      </c>
      <c r="S2876" t="s">
        <v>38</v>
      </c>
      <c r="T2876" t="s">
        <v>89</v>
      </c>
      <c r="U2876" t="s">
        <v>4276</v>
      </c>
      <c r="V2876" t="s">
        <v>137</v>
      </c>
      <c r="W2876" t="s">
        <v>92</v>
      </c>
      <c r="X2876" t="s">
        <v>93</v>
      </c>
      <c r="Y2876" t="s">
        <v>4346</v>
      </c>
      <c r="Z2876" t="s">
        <v>42</v>
      </c>
      <c r="AA2876" t="s">
        <v>4363</v>
      </c>
      <c r="AB2876" t="s">
        <v>38</v>
      </c>
      <c r="AC2876" t="s">
        <v>60</v>
      </c>
      <c r="AD2876" t="s">
        <v>48</v>
      </c>
      <c r="AG2876" t="str">
        <f>IF(AD2876="United States", IFERROR(INDEX(Sheet2!$C:$C, MATCH(AE2876&amp;AF2876, Sheet2!$E:$E, 0)) &amp; ", " &amp; INDEX(Sheet2!$D:$D, MATCH(AE2876&amp;AF2876, Sheet2!$E:$E, 0)), ""), "-")</f>
        <v/>
      </c>
    </row>
    <row r="2877" spans="1:33" x14ac:dyDescent="0.25">
      <c r="A2877" t="s">
        <v>114</v>
      </c>
      <c r="B2877" t="s">
        <v>4364</v>
      </c>
      <c r="C2877" t="s">
        <v>4273</v>
      </c>
      <c r="D2877" t="s">
        <v>50</v>
      </c>
      <c r="E2877" t="s">
        <v>3564</v>
      </c>
      <c r="F2877">
        <v>1748</v>
      </c>
      <c r="G2877">
        <v>482</v>
      </c>
      <c r="H2877" t="s">
        <v>4274</v>
      </c>
      <c r="I2877" t="s">
        <v>39</v>
      </c>
      <c r="J2877" t="s">
        <v>4275</v>
      </c>
      <c r="K2877" t="s">
        <v>38</v>
      </c>
      <c r="L2877" t="s">
        <v>38</v>
      </c>
      <c r="M2877" t="s">
        <v>38</v>
      </c>
      <c r="N2877" t="s">
        <v>38</v>
      </c>
      <c r="O2877" t="s">
        <v>57</v>
      </c>
      <c r="P2877" t="s">
        <v>42</v>
      </c>
      <c r="Q2877" t="s">
        <v>43</v>
      </c>
      <c r="R2877" t="s">
        <v>89</v>
      </c>
      <c r="S2877" t="s">
        <v>45</v>
      </c>
      <c r="T2877" t="s">
        <v>89</v>
      </c>
      <c r="U2877" t="s">
        <v>4276</v>
      </c>
      <c r="V2877" t="s">
        <v>137</v>
      </c>
      <c r="W2877" t="s">
        <v>92</v>
      </c>
      <c r="X2877" t="s">
        <v>93</v>
      </c>
      <c r="Y2877" t="s">
        <v>4356</v>
      </c>
      <c r="Z2877" t="s">
        <v>42</v>
      </c>
      <c r="AA2877" t="s">
        <v>4357</v>
      </c>
      <c r="AB2877" t="s">
        <v>38</v>
      </c>
      <c r="AC2877" t="s">
        <v>45</v>
      </c>
      <c r="AD2877" t="s">
        <v>48</v>
      </c>
      <c r="AG2877" t="str">
        <f>IF(AD2877="United States", IFERROR(INDEX(Sheet2!$C:$C, MATCH(AE2877&amp;AF2877, Sheet2!$E:$E, 0)) &amp; ", " &amp; INDEX(Sheet2!$D:$D, MATCH(AE2877&amp;AF2877, Sheet2!$E:$E, 0)), ""), "-")</f>
        <v/>
      </c>
    </row>
    <row r="2878" spans="1:33" x14ac:dyDescent="0.25">
      <c r="A2878" t="s">
        <v>114</v>
      </c>
      <c r="B2878" t="s">
        <v>4365</v>
      </c>
      <c r="C2878" t="s">
        <v>4273</v>
      </c>
      <c r="D2878" t="s">
        <v>72</v>
      </c>
      <c r="E2878" t="s">
        <v>38</v>
      </c>
      <c r="F2878">
        <v>1769</v>
      </c>
      <c r="G2878">
        <v>506</v>
      </c>
      <c r="H2878" t="s">
        <v>4274</v>
      </c>
      <c r="I2878" t="s">
        <v>39</v>
      </c>
      <c r="J2878" t="s">
        <v>4275</v>
      </c>
      <c r="K2878" t="s">
        <v>38</v>
      </c>
      <c r="L2878" t="s">
        <v>38</v>
      </c>
      <c r="M2878" t="s">
        <v>38</v>
      </c>
      <c r="N2878" t="s">
        <v>38</v>
      </c>
      <c r="O2878" t="s">
        <v>74</v>
      </c>
      <c r="P2878" t="s">
        <v>42</v>
      </c>
      <c r="Q2878" t="s">
        <v>43</v>
      </c>
      <c r="R2878" t="s">
        <v>89</v>
      </c>
      <c r="S2878" t="s">
        <v>153</v>
      </c>
      <c r="T2878" t="s">
        <v>89</v>
      </c>
      <c r="U2878" t="s">
        <v>4276</v>
      </c>
      <c r="V2878" t="s">
        <v>137</v>
      </c>
      <c r="W2878" t="s">
        <v>92</v>
      </c>
      <c r="X2878" t="s">
        <v>93</v>
      </c>
      <c r="Y2878" t="s">
        <v>4366</v>
      </c>
      <c r="Z2878" t="s">
        <v>42</v>
      </c>
      <c r="AA2878" t="s">
        <v>155</v>
      </c>
      <c r="AB2878" t="s">
        <v>38</v>
      </c>
      <c r="AC2878" t="s">
        <v>153</v>
      </c>
      <c r="AD2878" t="s">
        <v>48</v>
      </c>
      <c r="AG2878" t="str">
        <f>IF(AD2878="United States", IFERROR(INDEX(Sheet2!$C:$C, MATCH(AE2878&amp;AF2878, Sheet2!$E:$E, 0)) &amp; ", " &amp; INDEX(Sheet2!$D:$D, MATCH(AE2878&amp;AF2878, Sheet2!$E:$E, 0)), ""), "-")</f>
        <v/>
      </c>
    </row>
    <row r="2879" spans="1:33" x14ac:dyDescent="0.25">
      <c r="A2879" t="s">
        <v>114</v>
      </c>
      <c r="B2879" t="s">
        <v>4367</v>
      </c>
      <c r="C2879" t="s">
        <v>4273</v>
      </c>
      <c r="D2879" t="s">
        <v>210</v>
      </c>
      <c r="E2879" t="s">
        <v>275</v>
      </c>
      <c r="F2879">
        <v>1734</v>
      </c>
      <c r="G2879">
        <v>485</v>
      </c>
      <c r="H2879" t="s">
        <v>4274</v>
      </c>
      <c r="I2879" t="s">
        <v>39</v>
      </c>
      <c r="J2879" t="s">
        <v>4275</v>
      </c>
      <c r="K2879" t="s">
        <v>38</v>
      </c>
      <c r="L2879" t="s">
        <v>38</v>
      </c>
      <c r="M2879" t="s">
        <v>38</v>
      </c>
      <c r="N2879" t="s">
        <v>38</v>
      </c>
      <c r="O2879" t="s">
        <v>41</v>
      </c>
      <c r="P2879" t="s">
        <v>42</v>
      </c>
      <c r="Q2879" t="s">
        <v>43</v>
      </c>
      <c r="R2879" t="s">
        <v>89</v>
      </c>
      <c r="S2879" t="s">
        <v>38</v>
      </c>
      <c r="T2879" t="s">
        <v>89</v>
      </c>
      <c r="U2879" t="s">
        <v>4276</v>
      </c>
      <c r="V2879" t="s">
        <v>137</v>
      </c>
      <c r="W2879" t="s">
        <v>92</v>
      </c>
      <c r="X2879" t="s">
        <v>93</v>
      </c>
      <c r="Y2879" t="s">
        <v>4368</v>
      </c>
      <c r="Z2879" t="s">
        <v>42</v>
      </c>
      <c r="AA2879" t="s">
        <v>38</v>
      </c>
      <c r="AB2879" t="s">
        <v>38</v>
      </c>
      <c r="AC2879" t="s">
        <v>1824</v>
      </c>
      <c r="AD2879" t="s">
        <v>48</v>
      </c>
      <c r="AG2879" t="str">
        <f>IF(AD2879="United States", IFERROR(INDEX(Sheet2!$C:$C, MATCH(AE2879&amp;AF2879, Sheet2!$E:$E, 0)) &amp; ", " &amp; INDEX(Sheet2!$D:$D, MATCH(AE2879&amp;AF2879, Sheet2!$E:$E, 0)), ""), "-")</f>
        <v/>
      </c>
    </row>
    <row r="2880" spans="1:33" x14ac:dyDescent="0.25">
      <c r="A2880" t="s">
        <v>114</v>
      </c>
      <c r="B2880" t="s">
        <v>4369</v>
      </c>
      <c r="C2880" t="s">
        <v>4273</v>
      </c>
      <c r="D2880" t="s">
        <v>1592</v>
      </c>
      <c r="E2880" t="s">
        <v>1559</v>
      </c>
      <c r="F2880">
        <v>1757</v>
      </c>
      <c r="G2880">
        <v>486</v>
      </c>
      <c r="H2880" t="s">
        <v>4274</v>
      </c>
      <c r="I2880" t="s">
        <v>39</v>
      </c>
      <c r="J2880" t="s">
        <v>4275</v>
      </c>
      <c r="K2880" t="s">
        <v>38</v>
      </c>
      <c r="L2880" t="s">
        <v>38</v>
      </c>
      <c r="M2880" t="s">
        <v>38</v>
      </c>
      <c r="N2880" t="s">
        <v>38</v>
      </c>
      <c r="O2880" t="s">
        <v>41</v>
      </c>
      <c r="P2880" t="s">
        <v>42</v>
      </c>
      <c r="Q2880" t="s">
        <v>43</v>
      </c>
      <c r="R2880" t="s">
        <v>89</v>
      </c>
      <c r="S2880" t="s">
        <v>45</v>
      </c>
      <c r="T2880" t="s">
        <v>89</v>
      </c>
      <c r="U2880" t="s">
        <v>4276</v>
      </c>
      <c r="V2880" t="s">
        <v>137</v>
      </c>
      <c r="W2880" t="s">
        <v>92</v>
      </c>
      <c r="X2880" t="s">
        <v>93</v>
      </c>
      <c r="Y2880" t="s">
        <v>4370</v>
      </c>
      <c r="Z2880" t="s">
        <v>42</v>
      </c>
      <c r="AA2880" t="s">
        <v>241</v>
      </c>
      <c r="AB2880" t="s">
        <v>38</v>
      </c>
      <c r="AC2880" t="s">
        <v>45</v>
      </c>
      <c r="AD2880" t="s">
        <v>48</v>
      </c>
      <c r="AG2880" t="str">
        <f>IF(AD2880="United States", IFERROR(INDEX(Sheet2!$C:$C, MATCH(AE2880&amp;AF2880, Sheet2!$E:$E, 0)) &amp; ", " &amp; INDEX(Sheet2!$D:$D, MATCH(AE2880&amp;AF2880, Sheet2!$E:$E, 0)), ""), "-")</f>
        <v/>
      </c>
    </row>
    <row r="2881" spans="1:33" x14ac:dyDescent="0.25">
      <c r="A2881" t="s">
        <v>114</v>
      </c>
      <c r="B2881" t="s">
        <v>4371</v>
      </c>
      <c r="C2881" t="s">
        <v>4273</v>
      </c>
      <c r="D2881" t="s">
        <v>226</v>
      </c>
      <c r="E2881" t="s">
        <v>4311</v>
      </c>
      <c r="F2881">
        <v>1741</v>
      </c>
      <c r="G2881">
        <v>487</v>
      </c>
      <c r="H2881" t="s">
        <v>4315</v>
      </c>
      <c r="I2881" t="s">
        <v>39</v>
      </c>
      <c r="J2881" t="s">
        <v>4275</v>
      </c>
      <c r="K2881" t="s">
        <v>38</v>
      </c>
      <c r="L2881" t="s">
        <v>38</v>
      </c>
      <c r="M2881" t="s">
        <v>38</v>
      </c>
      <c r="N2881" t="s">
        <v>38</v>
      </c>
      <c r="O2881" t="s">
        <v>41</v>
      </c>
      <c r="P2881" t="s">
        <v>42</v>
      </c>
      <c r="Q2881" t="s">
        <v>43</v>
      </c>
      <c r="R2881" t="s">
        <v>89</v>
      </c>
      <c r="S2881" t="s">
        <v>45</v>
      </c>
      <c r="T2881" t="s">
        <v>89</v>
      </c>
      <c r="U2881" t="s">
        <v>4276</v>
      </c>
      <c r="V2881" t="s">
        <v>137</v>
      </c>
      <c r="W2881" t="s">
        <v>92</v>
      </c>
      <c r="X2881" t="s">
        <v>93</v>
      </c>
      <c r="Y2881" t="s">
        <v>4372</v>
      </c>
      <c r="Z2881" t="s">
        <v>42</v>
      </c>
      <c r="AA2881" t="s">
        <v>1153</v>
      </c>
      <c r="AB2881" t="s">
        <v>38</v>
      </c>
      <c r="AC2881" t="s">
        <v>45</v>
      </c>
      <c r="AD2881" t="s">
        <v>48</v>
      </c>
      <c r="AG2881" t="str">
        <f>IF(AD2881="United States", IFERROR(INDEX(Sheet2!$C:$C, MATCH(AE2881&amp;AF2881, Sheet2!$E:$E, 0)) &amp; ", " &amp; INDEX(Sheet2!$D:$D, MATCH(AE2881&amp;AF2881, Sheet2!$E:$E, 0)), ""), "-")</f>
        <v/>
      </c>
    </row>
    <row r="2882" spans="1:33" x14ac:dyDescent="0.25">
      <c r="A2882" t="s">
        <v>114</v>
      </c>
      <c r="B2882" t="s">
        <v>4373</v>
      </c>
      <c r="C2882" t="s">
        <v>4273</v>
      </c>
      <c r="D2882" t="s">
        <v>4374</v>
      </c>
      <c r="E2882" t="s">
        <v>4375</v>
      </c>
      <c r="F2882">
        <v>1753</v>
      </c>
      <c r="G2882">
        <v>488</v>
      </c>
      <c r="H2882" t="s">
        <v>4274</v>
      </c>
      <c r="I2882" t="s">
        <v>39</v>
      </c>
      <c r="J2882" t="s">
        <v>4275</v>
      </c>
      <c r="K2882" t="s">
        <v>38</v>
      </c>
      <c r="L2882" t="s">
        <v>38</v>
      </c>
      <c r="M2882" t="s">
        <v>38</v>
      </c>
      <c r="N2882" t="s">
        <v>38</v>
      </c>
      <c r="O2882" t="s">
        <v>41</v>
      </c>
      <c r="P2882" t="s">
        <v>42</v>
      </c>
      <c r="Q2882" t="s">
        <v>43</v>
      </c>
      <c r="R2882" t="s">
        <v>89</v>
      </c>
      <c r="S2882" t="s">
        <v>45</v>
      </c>
      <c r="T2882" t="s">
        <v>89</v>
      </c>
      <c r="U2882" t="s">
        <v>4276</v>
      </c>
      <c r="V2882" t="s">
        <v>137</v>
      </c>
      <c r="W2882" t="s">
        <v>92</v>
      </c>
      <c r="X2882" t="s">
        <v>93</v>
      </c>
      <c r="Y2882" t="s">
        <v>711</v>
      </c>
      <c r="Z2882" t="s">
        <v>42</v>
      </c>
      <c r="AA2882" t="s">
        <v>247</v>
      </c>
      <c r="AB2882" t="s">
        <v>38</v>
      </c>
      <c r="AC2882" t="s">
        <v>45</v>
      </c>
      <c r="AD2882" t="s">
        <v>48</v>
      </c>
      <c r="AG2882" t="str">
        <f>IF(AD2882="United States", IFERROR(INDEX(Sheet2!$C:$C, MATCH(AE2882&amp;AF2882, Sheet2!$E:$E, 0)) &amp; ", " &amp; INDEX(Sheet2!$D:$D, MATCH(AE2882&amp;AF2882, Sheet2!$E:$E, 0)), ""), "-")</f>
        <v/>
      </c>
    </row>
    <row r="2883" spans="1:33" x14ac:dyDescent="0.25">
      <c r="A2883" t="s">
        <v>114</v>
      </c>
      <c r="B2883" t="s">
        <v>4376</v>
      </c>
      <c r="C2883" t="s">
        <v>4273</v>
      </c>
      <c r="D2883" t="s">
        <v>357</v>
      </c>
      <c r="E2883" t="s">
        <v>4341</v>
      </c>
      <c r="F2883">
        <v>1758</v>
      </c>
      <c r="G2883">
        <v>483</v>
      </c>
      <c r="H2883" t="s">
        <v>4274</v>
      </c>
      <c r="I2883" t="s">
        <v>39</v>
      </c>
      <c r="J2883" t="s">
        <v>4275</v>
      </c>
      <c r="K2883" t="s">
        <v>38</v>
      </c>
      <c r="L2883" t="s">
        <v>38</v>
      </c>
      <c r="M2883" t="s">
        <v>38</v>
      </c>
      <c r="N2883" t="s">
        <v>38</v>
      </c>
      <c r="O2883" t="s">
        <v>41</v>
      </c>
      <c r="P2883" t="s">
        <v>42</v>
      </c>
      <c r="Q2883" t="s">
        <v>43</v>
      </c>
      <c r="R2883" t="s">
        <v>89</v>
      </c>
      <c r="S2883" t="s">
        <v>38</v>
      </c>
      <c r="T2883" t="s">
        <v>89</v>
      </c>
      <c r="U2883" t="s">
        <v>4276</v>
      </c>
      <c r="V2883" t="s">
        <v>137</v>
      </c>
      <c r="W2883" t="s">
        <v>92</v>
      </c>
      <c r="X2883" t="s">
        <v>93</v>
      </c>
      <c r="Y2883" t="s">
        <v>4343</v>
      </c>
      <c r="Z2883" t="s">
        <v>42</v>
      </c>
      <c r="AA2883" t="s">
        <v>38</v>
      </c>
      <c r="AB2883" t="s">
        <v>38</v>
      </c>
      <c r="AC2883" t="s">
        <v>38</v>
      </c>
      <c r="AD2883" t="s">
        <v>48</v>
      </c>
      <c r="AG2883" t="str">
        <f>IF(AD2883="United States", IFERROR(INDEX(Sheet2!$C:$C, MATCH(AE2883&amp;AF2883, Sheet2!$E:$E, 0)) &amp; ", " &amp; INDEX(Sheet2!$D:$D, MATCH(AE2883&amp;AF2883, Sheet2!$E:$E, 0)), ""), "-")</f>
        <v/>
      </c>
    </row>
    <row r="2884" spans="1:33" x14ac:dyDescent="0.25">
      <c r="A2884" t="s">
        <v>604</v>
      </c>
      <c r="B2884" t="s">
        <v>4377</v>
      </c>
      <c r="C2884" t="s">
        <v>4378</v>
      </c>
      <c r="D2884" t="s">
        <v>980</v>
      </c>
      <c r="E2884" t="s">
        <v>38</v>
      </c>
      <c r="F2884">
        <v>1769</v>
      </c>
      <c r="G2884">
        <v>2066</v>
      </c>
      <c r="H2884" t="s">
        <v>1096</v>
      </c>
      <c r="I2884" t="s">
        <v>87</v>
      </c>
      <c r="J2884" t="s">
        <v>4379</v>
      </c>
      <c r="K2884" t="s">
        <v>38</v>
      </c>
      <c r="L2884" t="s">
        <v>38</v>
      </c>
      <c r="M2884" t="s">
        <v>38</v>
      </c>
      <c r="N2884" t="s">
        <v>38</v>
      </c>
      <c r="O2884" t="s">
        <v>74</v>
      </c>
      <c r="P2884" t="s">
        <v>42</v>
      </c>
      <c r="Q2884" t="s">
        <v>43</v>
      </c>
      <c r="R2884" t="s">
        <v>89</v>
      </c>
      <c r="S2884" t="s">
        <v>38</v>
      </c>
      <c r="T2884" t="s">
        <v>89</v>
      </c>
      <c r="U2884" t="s">
        <v>90</v>
      </c>
      <c r="V2884" t="s">
        <v>91</v>
      </c>
      <c r="W2884" t="s">
        <v>92</v>
      </c>
      <c r="X2884" t="s">
        <v>93</v>
      </c>
      <c r="Y2884" t="s">
        <v>4380</v>
      </c>
      <c r="Z2884" t="s">
        <v>42</v>
      </c>
      <c r="AA2884" t="s">
        <v>38</v>
      </c>
      <c r="AB2884" t="s">
        <v>38</v>
      </c>
      <c r="AC2884" t="s">
        <v>38</v>
      </c>
      <c r="AD2884" t="s">
        <v>48</v>
      </c>
      <c r="AG2884" t="str">
        <f>IF(AD2884="United States", IFERROR(INDEX(Sheet2!$C:$C, MATCH(AE2884&amp;AF2884, Sheet2!$E:$E, 0)) &amp; ", " &amp; INDEX(Sheet2!$D:$D, MATCH(AE2884&amp;AF2884, Sheet2!$E:$E, 0)), ""), "-")</f>
        <v/>
      </c>
    </row>
    <row r="2885" spans="1:33" x14ac:dyDescent="0.25">
      <c r="A2885" t="s">
        <v>604</v>
      </c>
      <c r="B2885" t="s">
        <v>4381</v>
      </c>
      <c r="C2885" t="s">
        <v>4378</v>
      </c>
      <c r="D2885" t="s">
        <v>455</v>
      </c>
      <c r="E2885" t="s">
        <v>38</v>
      </c>
      <c r="F2885">
        <v>1761</v>
      </c>
      <c r="G2885">
        <v>2067</v>
      </c>
      <c r="H2885" t="s">
        <v>1096</v>
      </c>
      <c r="I2885" t="s">
        <v>87</v>
      </c>
      <c r="J2885" t="s">
        <v>4379</v>
      </c>
      <c r="K2885" t="s">
        <v>38</v>
      </c>
      <c r="L2885" t="s">
        <v>38</v>
      </c>
      <c r="M2885" t="s">
        <v>38</v>
      </c>
      <c r="N2885" t="s">
        <v>38</v>
      </c>
      <c r="O2885" t="s">
        <v>57</v>
      </c>
      <c r="P2885" t="s">
        <v>42</v>
      </c>
      <c r="Q2885" t="s">
        <v>43</v>
      </c>
      <c r="R2885" t="s">
        <v>89</v>
      </c>
      <c r="S2885" t="s">
        <v>38</v>
      </c>
      <c r="T2885" t="s">
        <v>89</v>
      </c>
      <c r="U2885" t="s">
        <v>90</v>
      </c>
      <c r="V2885" t="s">
        <v>91</v>
      </c>
      <c r="W2885" t="s">
        <v>92</v>
      </c>
      <c r="X2885" t="s">
        <v>93</v>
      </c>
      <c r="Y2885" t="s">
        <v>4382</v>
      </c>
      <c r="Z2885" t="s">
        <v>42</v>
      </c>
      <c r="AA2885" t="s">
        <v>38</v>
      </c>
      <c r="AB2885" t="s">
        <v>38</v>
      </c>
      <c r="AC2885" t="s">
        <v>38</v>
      </c>
      <c r="AD2885" t="s">
        <v>48</v>
      </c>
      <c r="AG2885" t="str">
        <f>IF(AD2885="United States", IFERROR(INDEX(Sheet2!$C:$C, MATCH(AE2885&amp;AF2885, Sheet2!$E:$E, 0)) &amp; ", " &amp; INDEX(Sheet2!$D:$D, MATCH(AE2885&amp;AF2885, Sheet2!$E:$E, 0)), ""), "-")</f>
        <v/>
      </c>
    </row>
    <row r="2886" spans="1:33" x14ac:dyDescent="0.25">
      <c r="A2886" t="s">
        <v>604</v>
      </c>
      <c r="B2886" t="s">
        <v>4383</v>
      </c>
      <c r="C2886" t="s">
        <v>4378</v>
      </c>
      <c r="D2886" t="s">
        <v>193</v>
      </c>
      <c r="E2886" t="s">
        <v>38</v>
      </c>
      <c r="F2886">
        <v>1771</v>
      </c>
      <c r="G2886">
        <v>2065</v>
      </c>
      <c r="H2886" t="s">
        <v>1096</v>
      </c>
      <c r="I2886" t="s">
        <v>87</v>
      </c>
      <c r="J2886" t="s">
        <v>4379</v>
      </c>
      <c r="K2886" t="s">
        <v>38</v>
      </c>
      <c r="L2886" t="s">
        <v>38</v>
      </c>
      <c r="M2886" t="s">
        <v>38</v>
      </c>
      <c r="N2886" t="s">
        <v>38</v>
      </c>
      <c r="O2886" t="s">
        <v>54</v>
      </c>
      <c r="P2886" t="s">
        <v>42</v>
      </c>
      <c r="Q2886" t="s">
        <v>43</v>
      </c>
      <c r="R2886" t="s">
        <v>89</v>
      </c>
      <c r="S2886" t="s">
        <v>38</v>
      </c>
      <c r="T2886" t="s">
        <v>89</v>
      </c>
      <c r="U2886" t="s">
        <v>90</v>
      </c>
      <c r="V2886" t="s">
        <v>91</v>
      </c>
      <c r="W2886" t="s">
        <v>92</v>
      </c>
      <c r="X2886" t="s">
        <v>93</v>
      </c>
      <c r="Y2886" t="s">
        <v>4384</v>
      </c>
      <c r="Z2886" t="s">
        <v>42</v>
      </c>
      <c r="AA2886" t="s">
        <v>38</v>
      </c>
      <c r="AB2886" t="s">
        <v>38</v>
      </c>
      <c r="AC2886" t="s">
        <v>38</v>
      </c>
      <c r="AD2886" t="s">
        <v>48</v>
      </c>
      <c r="AG2886" t="str">
        <f>IF(AD2886="United States", IFERROR(INDEX(Sheet2!$C:$C, MATCH(AE2886&amp;AF2886, Sheet2!$E:$E, 0)) &amp; ", " &amp; INDEX(Sheet2!$D:$D, MATCH(AE2886&amp;AF2886, Sheet2!$E:$E, 0)), ""), "-")</f>
        <v/>
      </c>
    </row>
    <row r="2887" spans="1:33" x14ac:dyDescent="0.25">
      <c r="A2887" t="s">
        <v>938</v>
      </c>
      <c r="B2887" t="s">
        <v>4385</v>
      </c>
      <c r="C2887" t="s">
        <v>4386</v>
      </c>
      <c r="D2887" t="s">
        <v>63</v>
      </c>
      <c r="E2887" t="s">
        <v>38</v>
      </c>
      <c r="F2887">
        <v>1757</v>
      </c>
      <c r="G2887">
        <v>2189</v>
      </c>
      <c r="H2887" t="s">
        <v>2600</v>
      </c>
      <c r="I2887" t="s">
        <v>87</v>
      </c>
      <c r="J2887" t="s">
        <v>38</v>
      </c>
      <c r="K2887" t="s">
        <v>38</v>
      </c>
      <c r="L2887" t="s">
        <v>38</v>
      </c>
      <c r="M2887" t="s">
        <v>38</v>
      </c>
      <c r="N2887" t="s">
        <v>38</v>
      </c>
      <c r="O2887" t="s">
        <v>41</v>
      </c>
      <c r="P2887" t="s">
        <v>42</v>
      </c>
      <c r="Q2887" t="s">
        <v>43</v>
      </c>
      <c r="R2887" t="s">
        <v>89</v>
      </c>
      <c r="S2887" t="s">
        <v>38</v>
      </c>
      <c r="T2887" t="s">
        <v>89</v>
      </c>
      <c r="U2887" t="s">
        <v>38</v>
      </c>
      <c r="V2887" t="s">
        <v>38</v>
      </c>
      <c r="W2887" t="s">
        <v>92</v>
      </c>
      <c r="X2887" t="s">
        <v>38</v>
      </c>
      <c r="Y2887" t="s">
        <v>4387</v>
      </c>
      <c r="Z2887" t="s">
        <v>42</v>
      </c>
      <c r="AA2887" t="s">
        <v>38</v>
      </c>
      <c r="AB2887" t="s">
        <v>38</v>
      </c>
      <c r="AC2887" t="s">
        <v>38</v>
      </c>
      <c r="AD2887" t="s">
        <v>48</v>
      </c>
      <c r="AG2887" t="str">
        <f>IF(AD2887="United States", IFERROR(INDEX(Sheet2!$C:$C, MATCH(AE2887&amp;AF2887, Sheet2!$E:$E, 0)) &amp; ", " &amp; INDEX(Sheet2!$D:$D, MATCH(AE2887&amp;AF2887, Sheet2!$E:$E, 0)), ""), "-")</f>
        <v/>
      </c>
    </row>
    <row r="2888" spans="1:33" x14ac:dyDescent="0.25">
      <c r="A2888" t="s">
        <v>938</v>
      </c>
      <c r="B2888" t="s">
        <v>4388</v>
      </c>
      <c r="C2888" t="s">
        <v>4386</v>
      </c>
      <c r="D2888" t="s">
        <v>4389</v>
      </c>
      <c r="E2888" t="s">
        <v>38</v>
      </c>
      <c r="F2888">
        <v>1757</v>
      </c>
      <c r="G2888">
        <v>2187</v>
      </c>
      <c r="H2888" t="s">
        <v>2600</v>
      </c>
      <c r="I2888" t="s">
        <v>87</v>
      </c>
      <c r="J2888" t="s">
        <v>38</v>
      </c>
      <c r="K2888" t="s">
        <v>38</v>
      </c>
      <c r="L2888" t="s">
        <v>38</v>
      </c>
      <c r="M2888" t="s">
        <v>38</v>
      </c>
      <c r="N2888" t="s">
        <v>38</v>
      </c>
      <c r="O2888" t="s">
        <v>41</v>
      </c>
      <c r="P2888" t="s">
        <v>42</v>
      </c>
      <c r="Q2888" t="s">
        <v>43</v>
      </c>
      <c r="R2888" t="s">
        <v>89</v>
      </c>
      <c r="S2888" t="s">
        <v>38</v>
      </c>
      <c r="T2888" t="s">
        <v>89</v>
      </c>
      <c r="U2888" t="s">
        <v>38</v>
      </c>
      <c r="V2888" t="s">
        <v>38</v>
      </c>
      <c r="W2888" t="s">
        <v>92</v>
      </c>
      <c r="X2888" t="s">
        <v>38</v>
      </c>
      <c r="Y2888" t="s">
        <v>4390</v>
      </c>
      <c r="Z2888" t="s">
        <v>42</v>
      </c>
      <c r="AA2888" t="s">
        <v>4391</v>
      </c>
      <c r="AB2888" t="s">
        <v>38</v>
      </c>
      <c r="AC2888" t="s">
        <v>148</v>
      </c>
      <c r="AD2888" t="s">
        <v>48</v>
      </c>
      <c r="AG2888" t="str">
        <f>IF(AD2888="United States", IFERROR(INDEX(Sheet2!$C:$C, MATCH(AE2888&amp;AF2888, Sheet2!$E:$E, 0)) &amp; ", " &amp; INDEX(Sheet2!$D:$D, MATCH(AE2888&amp;AF2888, Sheet2!$E:$E, 0)), ""), "-")</f>
        <v/>
      </c>
    </row>
    <row r="2889" spans="1:33" x14ac:dyDescent="0.25">
      <c r="A2889" t="s">
        <v>938</v>
      </c>
      <c r="B2889" t="s">
        <v>4392</v>
      </c>
      <c r="C2889" t="s">
        <v>4386</v>
      </c>
      <c r="D2889" t="s">
        <v>114</v>
      </c>
      <c r="E2889" t="s">
        <v>129</v>
      </c>
      <c r="F2889">
        <v>1761</v>
      </c>
      <c r="G2889">
        <v>2188</v>
      </c>
      <c r="H2889" t="s">
        <v>2600</v>
      </c>
      <c r="I2889" t="s">
        <v>87</v>
      </c>
      <c r="J2889" t="s">
        <v>38</v>
      </c>
      <c r="K2889" t="s">
        <v>38</v>
      </c>
      <c r="L2889" t="s">
        <v>38</v>
      </c>
      <c r="M2889" t="s">
        <v>38</v>
      </c>
      <c r="N2889" t="s">
        <v>38</v>
      </c>
      <c r="O2889" t="s">
        <v>57</v>
      </c>
      <c r="P2889" t="s">
        <v>42</v>
      </c>
      <c r="Q2889" t="s">
        <v>43</v>
      </c>
      <c r="R2889" t="s">
        <v>89</v>
      </c>
      <c r="S2889" t="s">
        <v>38</v>
      </c>
      <c r="T2889" t="s">
        <v>89</v>
      </c>
      <c r="U2889" t="s">
        <v>38</v>
      </c>
      <c r="V2889" t="s">
        <v>38</v>
      </c>
      <c r="W2889" t="s">
        <v>92</v>
      </c>
      <c r="X2889" t="s">
        <v>38</v>
      </c>
      <c r="Y2889" t="s">
        <v>4390</v>
      </c>
      <c r="Z2889" t="s">
        <v>42</v>
      </c>
      <c r="AA2889" t="s">
        <v>4393</v>
      </c>
      <c r="AB2889" t="s">
        <v>38</v>
      </c>
      <c r="AC2889" t="s">
        <v>4394</v>
      </c>
      <c r="AD2889" t="s">
        <v>48</v>
      </c>
      <c r="AG2889" t="str">
        <f>IF(AD2889="United States", IFERROR(INDEX(Sheet2!$C:$C, MATCH(AE2889&amp;AF2889, Sheet2!$E:$E, 0)) &amp; ", " &amp; INDEX(Sheet2!$D:$D, MATCH(AE2889&amp;AF2889, Sheet2!$E:$E, 0)), ""), "-")</f>
        <v/>
      </c>
    </row>
    <row r="2890" spans="1:33" x14ac:dyDescent="0.25">
      <c r="A2890" t="s">
        <v>938</v>
      </c>
      <c r="B2890" t="s">
        <v>4395</v>
      </c>
      <c r="C2890" t="s">
        <v>4386</v>
      </c>
      <c r="D2890" t="s">
        <v>1964</v>
      </c>
      <c r="E2890" t="s">
        <v>38</v>
      </c>
      <c r="F2890">
        <v>1751</v>
      </c>
      <c r="G2890">
        <v>2190</v>
      </c>
      <c r="H2890" t="s">
        <v>2600</v>
      </c>
      <c r="I2890" t="s">
        <v>87</v>
      </c>
      <c r="J2890" t="s">
        <v>38</v>
      </c>
      <c r="K2890" t="s">
        <v>38</v>
      </c>
      <c r="L2890" t="s">
        <v>38</v>
      </c>
      <c r="M2890" t="s">
        <v>38</v>
      </c>
      <c r="N2890" t="s">
        <v>38</v>
      </c>
      <c r="O2890" t="s">
        <v>57</v>
      </c>
      <c r="P2890" t="s">
        <v>42</v>
      </c>
      <c r="Q2890" t="s">
        <v>43</v>
      </c>
      <c r="R2890" t="s">
        <v>89</v>
      </c>
      <c r="S2890" t="s">
        <v>38</v>
      </c>
      <c r="T2890" t="s">
        <v>89</v>
      </c>
      <c r="U2890" t="s">
        <v>38</v>
      </c>
      <c r="V2890" t="s">
        <v>38</v>
      </c>
      <c r="W2890" t="s">
        <v>92</v>
      </c>
      <c r="X2890" t="s">
        <v>38</v>
      </c>
      <c r="Y2890" t="s">
        <v>4387</v>
      </c>
      <c r="Z2890" t="s">
        <v>42</v>
      </c>
      <c r="AA2890" t="s">
        <v>38</v>
      </c>
      <c r="AB2890" t="s">
        <v>38</v>
      </c>
      <c r="AC2890" t="s">
        <v>38</v>
      </c>
      <c r="AD2890" t="s">
        <v>48</v>
      </c>
      <c r="AG2890" t="str">
        <f>IF(AD2890="United States", IFERROR(INDEX(Sheet2!$C:$C, MATCH(AE2890&amp;AF2890, Sheet2!$E:$E, 0)) &amp; ", " &amp; INDEX(Sheet2!$D:$D, MATCH(AE2890&amp;AF2890, Sheet2!$E:$E, 0)), ""), "-")</f>
        <v/>
      </c>
    </row>
    <row r="2891" spans="1:33" x14ac:dyDescent="0.25">
      <c r="A2891" t="s">
        <v>938</v>
      </c>
      <c r="B2891" t="s">
        <v>4396</v>
      </c>
      <c r="C2891" t="s">
        <v>4386</v>
      </c>
      <c r="D2891" t="s">
        <v>106</v>
      </c>
      <c r="E2891" t="s">
        <v>38</v>
      </c>
      <c r="F2891">
        <v>1781</v>
      </c>
      <c r="G2891">
        <v>2191</v>
      </c>
      <c r="H2891" t="s">
        <v>2600</v>
      </c>
      <c r="I2891" t="s">
        <v>87</v>
      </c>
      <c r="J2891" t="s">
        <v>38</v>
      </c>
      <c r="K2891" t="s">
        <v>38</v>
      </c>
      <c r="L2891" t="s">
        <v>38</v>
      </c>
      <c r="M2891" t="s">
        <v>38</v>
      </c>
      <c r="N2891" t="s">
        <v>38</v>
      </c>
      <c r="O2891" t="s">
        <v>54</v>
      </c>
      <c r="P2891" t="s">
        <v>42</v>
      </c>
      <c r="Q2891" t="s">
        <v>43</v>
      </c>
      <c r="R2891" t="s">
        <v>89</v>
      </c>
      <c r="S2891" t="s">
        <v>38</v>
      </c>
      <c r="T2891" t="s">
        <v>89</v>
      </c>
      <c r="U2891" t="s">
        <v>38</v>
      </c>
      <c r="V2891" t="s">
        <v>38</v>
      </c>
      <c r="W2891" t="s">
        <v>92</v>
      </c>
      <c r="X2891" t="s">
        <v>38</v>
      </c>
      <c r="Y2891" t="s">
        <v>4387</v>
      </c>
      <c r="Z2891" t="s">
        <v>42</v>
      </c>
      <c r="AA2891" t="s">
        <v>38</v>
      </c>
      <c r="AB2891" t="s">
        <v>38</v>
      </c>
      <c r="AC2891" t="s">
        <v>38</v>
      </c>
      <c r="AD2891" t="s">
        <v>48</v>
      </c>
      <c r="AG2891" t="str">
        <f>IF(AD2891="United States", IFERROR(INDEX(Sheet2!$C:$C, MATCH(AE2891&amp;AF2891, Sheet2!$E:$E, 0)) &amp; ", " &amp; INDEX(Sheet2!$D:$D, MATCH(AE2891&amp;AF2891, Sheet2!$E:$E, 0)), ""), "-")</f>
        <v/>
      </c>
    </row>
    <row r="2892" spans="1:33" x14ac:dyDescent="0.25">
      <c r="A2892" t="s">
        <v>938</v>
      </c>
      <c r="B2892" t="s">
        <v>4397</v>
      </c>
      <c r="C2892" t="s">
        <v>4386</v>
      </c>
      <c r="D2892" t="s">
        <v>352</v>
      </c>
      <c r="E2892" t="s">
        <v>38</v>
      </c>
      <c r="F2892">
        <v>1761</v>
      </c>
      <c r="G2892">
        <v>2192</v>
      </c>
      <c r="H2892" t="s">
        <v>2600</v>
      </c>
      <c r="I2892" t="s">
        <v>87</v>
      </c>
      <c r="J2892" t="s">
        <v>38</v>
      </c>
      <c r="K2892" t="s">
        <v>38</v>
      </c>
      <c r="L2892" t="s">
        <v>38</v>
      </c>
      <c r="M2892" t="s">
        <v>38</v>
      </c>
      <c r="N2892" t="s">
        <v>38</v>
      </c>
      <c r="O2892" t="s">
        <v>57</v>
      </c>
      <c r="P2892" t="s">
        <v>42</v>
      </c>
      <c r="Q2892" t="s">
        <v>43</v>
      </c>
      <c r="R2892" t="s">
        <v>89</v>
      </c>
      <c r="S2892" t="s">
        <v>38</v>
      </c>
      <c r="T2892" t="s">
        <v>89</v>
      </c>
      <c r="U2892" t="s">
        <v>38</v>
      </c>
      <c r="V2892" t="s">
        <v>38</v>
      </c>
      <c r="W2892" t="s">
        <v>92</v>
      </c>
      <c r="X2892" t="s">
        <v>38</v>
      </c>
      <c r="Y2892" t="s">
        <v>4398</v>
      </c>
      <c r="Z2892" t="s">
        <v>42</v>
      </c>
      <c r="AA2892" t="s">
        <v>38</v>
      </c>
      <c r="AB2892" t="s">
        <v>38</v>
      </c>
      <c r="AC2892" t="s">
        <v>38</v>
      </c>
      <c r="AD2892" t="s">
        <v>48</v>
      </c>
      <c r="AG2892" t="str">
        <f>IF(AD2892="United States", IFERROR(INDEX(Sheet2!$C:$C, MATCH(AE2892&amp;AF2892, Sheet2!$E:$E, 0)) &amp; ", " &amp; INDEX(Sheet2!$D:$D, MATCH(AE2892&amp;AF2892, Sheet2!$E:$E, 0)), ""), "-")</f>
        <v/>
      </c>
    </row>
    <row r="2893" spans="1:33" x14ac:dyDescent="0.25">
      <c r="A2893" t="s">
        <v>938</v>
      </c>
      <c r="B2893" t="s">
        <v>4399</v>
      </c>
      <c r="C2893" t="s">
        <v>4386</v>
      </c>
      <c r="D2893" t="s">
        <v>222</v>
      </c>
      <c r="E2893" t="s">
        <v>38</v>
      </c>
      <c r="F2893">
        <v>1755</v>
      </c>
      <c r="G2893">
        <v>2194</v>
      </c>
      <c r="H2893" t="s">
        <v>2600</v>
      </c>
      <c r="I2893" t="s">
        <v>87</v>
      </c>
      <c r="J2893" t="s">
        <v>38</v>
      </c>
      <c r="K2893" t="s">
        <v>38</v>
      </c>
      <c r="L2893" t="s">
        <v>38</v>
      </c>
      <c r="M2893" t="s">
        <v>38</v>
      </c>
      <c r="N2893" t="s">
        <v>38</v>
      </c>
      <c r="O2893" t="s">
        <v>57</v>
      </c>
      <c r="P2893" t="s">
        <v>42</v>
      </c>
      <c r="Q2893" t="s">
        <v>43</v>
      </c>
      <c r="R2893" t="s">
        <v>89</v>
      </c>
      <c r="S2893" t="s">
        <v>38</v>
      </c>
      <c r="T2893" t="s">
        <v>89</v>
      </c>
      <c r="U2893" t="s">
        <v>38</v>
      </c>
      <c r="V2893" t="s">
        <v>38</v>
      </c>
      <c r="W2893" t="s">
        <v>92</v>
      </c>
      <c r="X2893" t="s">
        <v>38</v>
      </c>
      <c r="Y2893" t="s">
        <v>4400</v>
      </c>
      <c r="Z2893" t="s">
        <v>42</v>
      </c>
      <c r="AA2893" t="s">
        <v>38</v>
      </c>
      <c r="AB2893" t="s">
        <v>38</v>
      </c>
      <c r="AC2893" t="s">
        <v>38</v>
      </c>
      <c r="AD2893" t="s">
        <v>48</v>
      </c>
      <c r="AG2893" t="str">
        <f>IF(AD2893="United States", IFERROR(INDEX(Sheet2!$C:$C, MATCH(AE2893&amp;AF2893, Sheet2!$E:$E, 0)) &amp; ", " &amp; INDEX(Sheet2!$D:$D, MATCH(AE2893&amp;AF2893, Sheet2!$E:$E, 0)), ""), "-")</f>
        <v/>
      </c>
    </row>
    <row r="2894" spans="1:33" x14ac:dyDescent="0.25">
      <c r="A2894" t="s">
        <v>938</v>
      </c>
      <c r="B2894" t="s">
        <v>4401</v>
      </c>
      <c r="C2894" t="s">
        <v>4386</v>
      </c>
      <c r="D2894" t="s">
        <v>458</v>
      </c>
      <c r="E2894" t="s">
        <v>38</v>
      </c>
      <c r="F2894">
        <v>1781</v>
      </c>
      <c r="G2894">
        <v>2195</v>
      </c>
      <c r="H2894" t="s">
        <v>2600</v>
      </c>
      <c r="I2894" t="s">
        <v>87</v>
      </c>
      <c r="J2894" t="s">
        <v>38</v>
      </c>
      <c r="K2894" t="s">
        <v>38</v>
      </c>
      <c r="L2894" t="s">
        <v>38</v>
      </c>
      <c r="M2894" t="s">
        <v>38</v>
      </c>
      <c r="N2894" t="s">
        <v>38</v>
      </c>
      <c r="O2894" t="s">
        <v>54</v>
      </c>
      <c r="P2894" t="s">
        <v>42</v>
      </c>
      <c r="Q2894" t="s">
        <v>43</v>
      </c>
      <c r="R2894" t="s">
        <v>89</v>
      </c>
      <c r="S2894" t="s">
        <v>38</v>
      </c>
      <c r="T2894" t="s">
        <v>89</v>
      </c>
      <c r="U2894" t="s">
        <v>38</v>
      </c>
      <c r="V2894" t="s">
        <v>38</v>
      </c>
      <c r="W2894" t="s">
        <v>92</v>
      </c>
      <c r="X2894" t="s">
        <v>38</v>
      </c>
      <c r="Y2894" t="s">
        <v>4400</v>
      </c>
      <c r="Z2894" t="s">
        <v>42</v>
      </c>
      <c r="AA2894" t="s">
        <v>38</v>
      </c>
      <c r="AB2894" t="s">
        <v>38</v>
      </c>
      <c r="AC2894" t="s">
        <v>38</v>
      </c>
      <c r="AD2894" t="s">
        <v>48</v>
      </c>
      <c r="AG2894" t="str">
        <f>IF(AD2894="United States", IFERROR(INDEX(Sheet2!$C:$C, MATCH(AE2894&amp;AF2894, Sheet2!$E:$E, 0)) &amp; ", " &amp; INDEX(Sheet2!$D:$D, MATCH(AE2894&amp;AF2894, Sheet2!$E:$E, 0)), ""), "-")</f>
        <v/>
      </c>
    </row>
    <row r="2895" spans="1:33" x14ac:dyDescent="0.25">
      <c r="A2895" t="s">
        <v>938</v>
      </c>
      <c r="B2895" t="s">
        <v>4402</v>
      </c>
      <c r="C2895" t="s">
        <v>4386</v>
      </c>
      <c r="D2895" t="s">
        <v>4403</v>
      </c>
      <c r="E2895" t="s">
        <v>38</v>
      </c>
      <c r="F2895">
        <v>1761</v>
      </c>
      <c r="G2895">
        <v>2196</v>
      </c>
      <c r="H2895" t="s">
        <v>2600</v>
      </c>
      <c r="I2895" t="s">
        <v>87</v>
      </c>
      <c r="J2895" t="s">
        <v>38</v>
      </c>
      <c r="K2895" t="s">
        <v>38</v>
      </c>
      <c r="L2895" t="s">
        <v>38</v>
      </c>
      <c r="M2895" t="s">
        <v>38</v>
      </c>
      <c r="N2895" t="s">
        <v>38</v>
      </c>
      <c r="O2895" t="s">
        <v>41</v>
      </c>
      <c r="P2895" t="s">
        <v>42</v>
      </c>
      <c r="Q2895" t="s">
        <v>43</v>
      </c>
      <c r="R2895" t="s">
        <v>89</v>
      </c>
      <c r="S2895" t="s">
        <v>38</v>
      </c>
      <c r="T2895" t="s">
        <v>89</v>
      </c>
      <c r="U2895" t="s">
        <v>38</v>
      </c>
      <c r="V2895" t="s">
        <v>38</v>
      </c>
      <c r="W2895" t="s">
        <v>92</v>
      </c>
      <c r="X2895" t="s">
        <v>38</v>
      </c>
      <c r="Y2895" t="s">
        <v>4404</v>
      </c>
      <c r="Z2895" t="s">
        <v>42</v>
      </c>
      <c r="AA2895" t="s">
        <v>38</v>
      </c>
      <c r="AB2895" t="s">
        <v>38</v>
      </c>
      <c r="AC2895" t="s">
        <v>4405</v>
      </c>
      <c r="AD2895" t="s">
        <v>48</v>
      </c>
      <c r="AG2895" t="str">
        <f>IF(AD2895="United States", IFERROR(INDEX(Sheet2!$C:$C, MATCH(AE2895&amp;AF2895, Sheet2!$E:$E, 0)) &amp; ", " &amp; INDEX(Sheet2!$D:$D, MATCH(AE2895&amp;AF2895, Sheet2!$E:$E, 0)), ""), "-")</f>
        <v/>
      </c>
    </row>
    <row r="2896" spans="1:33" x14ac:dyDescent="0.25">
      <c r="A2896" t="s">
        <v>938</v>
      </c>
      <c r="B2896" t="s">
        <v>4406</v>
      </c>
      <c r="C2896" t="s">
        <v>4386</v>
      </c>
      <c r="D2896" t="s">
        <v>106</v>
      </c>
      <c r="E2896" t="s">
        <v>38</v>
      </c>
      <c r="F2896">
        <v>1761</v>
      </c>
      <c r="G2896">
        <v>2197</v>
      </c>
      <c r="H2896" t="s">
        <v>2600</v>
      </c>
      <c r="I2896" t="s">
        <v>87</v>
      </c>
      <c r="J2896" t="s">
        <v>38</v>
      </c>
      <c r="K2896" t="s">
        <v>38</v>
      </c>
      <c r="L2896" t="s">
        <v>38</v>
      </c>
      <c r="M2896" t="s">
        <v>38</v>
      </c>
      <c r="N2896" t="s">
        <v>38</v>
      </c>
      <c r="O2896" t="s">
        <v>41</v>
      </c>
      <c r="P2896" t="s">
        <v>42</v>
      </c>
      <c r="Q2896" t="s">
        <v>43</v>
      </c>
      <c r="R2896" t="s">
        <v>89</v>
      </c>
      <c r="S2896" t="s">
        <v>38</v>
      </c>
      <c r="T2896" t="s">
        <v>89</v>
      </c>
      <c r="U2896" t="s">
        <v>38</v>
      </c>
      <c r="V2896" t="s">
        <v>38</v>
      </c>
      <c r="W2896" t="s">
        <v>92</v>
      </c>
      <c r="X2896" t="s">
        <v>38</v>
      </c>
      <c r="Y2896" t="s">
        <v>4404</v>
      </c>
      <c r="Z2896" t="s">
        <v>42</v>
      </c>
      <c r="AA2896" t="s">
        <v>38</v>
      </c>
      <c r="AB2896" t="s">
        <v>38</v>
      </c>
      <c r="AC2896" t="s">
        <v>38</v>
      </c>
      <c r="AD2896" t="s">
        <v>48</v>
      </c>
      <c r="AG2896" t="str">
        <f>IF(AD2896="United States", IFERROR(INDEX(Sheet2!$C:$C, MATCH(AE2896&amp;AF2896, Sheet2!$E:$E, 0)) &amp; ", " &amp; INDEX(Sheet2!$D:$D, MATCH(AE2896&amp;AF2896, Sheet2!$E:$E, 0)), ""), "-")</f>
        <v/>
      </c>
    </row>
    <row r="2897" spans="1:33" x14ac:dyDescent="0.25">
      <c r="A2897" t="s">
        <v>938</v>
      </c>
      <c r="B2897" t="s">
        <v>4407</v>
      </c>
      <c r="C2897" t="s">
        <v>4386</v>
      </c>
      <c r="D2897" t="s">
        <v>190</v>
      </c>
      <c r="E2897" t="s">
        <v>38</v>
      </c>
      <c r="F2897">
        <v>1743</v>
      </c>
      <c r="G2897">
        <v>2193</v>
      </c>
      <c r="H2897" t="s">
        <v>2600</v>
      </c>
      <c r="I2897" t="s">
        <v>87</v>
      </c>
      <c r="J2897" t="s">
        <v>38</v>
      </c>
      <c r="K2897" t="s">
        <v>38</v>
      </c>
      <c r="L2897" t="s">
        <v>38</v>
      </c>
      <c r="M2897" t="s">
        <v>38</v>
      </c>
      <c r="N2897" t="s">
        <v>38</v>
      </c>
      <c r="O2897" t="s">
        <v>57</v>
      </c>
      <c r="P2897" t="s">
        <v>42</v>
      </c>
      <c r="Q2897" t="s">
        <v>43</v>
      </c>
      <c r="R2897" t="s">
        <v>89</v>
      </c>
      <c r="S2897" t="s">
        <v>38</v>
      </c>
      <c r="T2897" t="s">
        <v>89</v>
      </c>
      <c r="U2897" t="s">
        <v>38</v>
      </c>
      <c r="V2897" t="s">
        <v>38</v>
      </c>
      <c r="W2897" t="s">
        <v>92</v>
      </c>
      <c r="X2897" t="s">
        <v>38</v>
      </c>
      <c r="Y2897" t="s">
        <v>4408</v>
      </c>
      <c r="Z2897" t="s">
        <v>42</v>
      </c>
      <c r="AA2897" t="s">
        <v>38</v>
      </c>
      <c r="AB2897" t="s">
        <v>38</v>
      </c>
      <c r="AC2897" t="s">
        <v>38</v>
      </c>
      <c r="AD2897" t="s">
        <v>48</v>
      </c>
      <c r="AG2897" t="str">
        <f>IF(AD2897="United States", IFERROR(INDEX(Sheet2!$C:$C, MATCH(AE2897&amp;AF2897, Sheet2!$E:$E, 0)) &amp; ", " &amp; INDEX(Sheet2!$D:$D, MATCH(AE2897&amp;AF2897, Sheet2!$E:$E, 0)), ""), "-")</f>
        <v/>
      </c>
    </row>
    <row r="2898" spans="1:33" x14ac:dyDescent="0.25">
      <c r="A2898" t="s">
        <v>4409</v>
      </c>
      <c r="B2898" t="s">
        <v>4410</v>
      </c>
      <c r="C2898" t="s">
        <v>4411</v>
      </c>
      <c r="D2898" t="s">
        <v>2376</v>
      </c>
      <c r="E2898" t="s">
        <v>227</v>
      </c>
      <c r="F2898">
        <v>1771</v>
      </c>
      <c r="G2898">
        <v>2733</v>
      </c>
      <c r="I2898" t="s">
        <v>87</v>
      </c>
      <c r="J2898" t="s">
        <v>4412</v>
      </c>
      <c r="O2898" t="s">
        <v>54</v>
      </c>
      <c r="P2898" t="s">
        <v>42</v>
      </c>
      <c r="Q2898" t="s">
        <v>43</v>
      </c>
      <c r="R2898" t="s">
        <v>4413</v>
      </c>
      <c r="S2898" t="s">
        <v>153</v>
      </c>
      <c r="V2898" t="s">
        <v>597</v>
      </c>
      <c r="Y2898" t="s">
        <v>4414</v>
      </c>
      <c r="Z2898" t="s">
        <v>42</v>
      </c>
      <c r="AA2898" t="s">
        <v>38</v>
      </c>
      <c r="AB2898" t="s">
        <v>38</v>
      </c>
      <c r="AC2898" t="s">
        <v>153</v>
      </c>
      <c r="AD2898" t="s">
        <v>48</v>
      </c>
      <c r="AG2898" t="str">
        <f>IF(AD2898="United States", IFERROR(INDEX(Sheet2!$C:$C, MATCH(AE2898&amp;AF2898, Sheet2!$E:$E, 0)) &amp; ", " &amp; INDEX(Sheet2!$D:$D, MATCH(AE2898&amp;AF2898, Sheet2!$E:$E, 0)), ""), "-")</f>
        <v/>
      </c>
    </row>
    <row r="2899" spans="1:33" x14ac:dyDescent="0.25">
      <c r="A2899" t="s">
        <v>4409</v>
      </c>
      <c r="B2899" t="s">
        <v>4415</v>
      </c>
      <c r="C2899" t="s">
        <v>4411</v>
      </c>
      <c r="D2899" t="s">
        <v>556</v>
      </c>
      <c r="E2899" t="s">
        <v>38</v>
      </c>
      <c r="F2899">
        <v>1758</v>
      </c>
      <c r="G2899">
        <v>2276</v>
      </c>
      <c r="H2899" t="s">
        <v>38</v>
      </c>
      <c r="I2899" t="s">
        <v>87</v>
      </c>
      <c r="J2899" t="s">
        <v>4412</v>
      </c>
      <c r="K2899" t="s">
        <v>38</v>
      </c>
      <c r="L2899" t="s">
        <v>38</v>
      </c>
      <c r="M2899" t="s">
        <v>38</v>
      </c>
      <c r="N2899" t="s">
        <v>38</v>
      </c>
      <c r="O2899" t="s">
        <v>41</v>
      </c>
      <c r="P2899" t="s">
        <v>42</v>
      </c>
      <c r="Q2899" t="s">
        <v>43</v>
      </c>
      <c r="R2899" t="s">
        <v>487</v>
      </c>
      <c r="S2899" t="s">
        <v>153</v>
      </c>
      <c r="T2899" t="s">
        <v>38</v>
      </c>
      <c r="U2899" t="s">
        <v>38</v>
      </c>
      <c r="V2899" t="s">
        <v>597</v>
      </c>
      <c r="W2899" t="s">
        <v>38</v>
      </c>
      <c r="X2899" t="s">
        <v>38</v>
      </c>
      <c r="Y2899" t="s">
        <v>4416</v>
      </c>
      <c r="Z2899" t="s">
        <v>42</v>
      </c>
      <c r="AA2899" t="s">
        <v>38</v>
      </c>
      <c r="AB2899" t="s">
        <v>38</v>
      </c>
      <c r="AC2899" t="s">
        <v>153</v>
      </c>
      <c r="AD2899" t="s">
        <v>48</v>
      </c>
      <c r="AG2899" t="str">
        <f>IF(AD2899="United States", IFERROR(INDEX(Sheet2!$C:$C, MATCH(AE2899&amp;AF2899, Sheet2!$E:$E, 0)) &amp; ", " &amp; INDEX(Sheet2!$D:$D, MATCH(AE2899&amp;AF2899, Sheet2!$E:$E, 0)), ""), "-")</f>
        <v/>
      </c>
    </row>
    <row r="2900" spans="1:33" x14ac:dyDescent="0.25">
      <c r="A2900" t="s">
        <v>4409</v>
      </c>
      <c r="B2900" t="s">
        <v>4417</v>
      </c>
      <c r="C2900" t="s">
        <v>4411</v>
      </c>
      <c r="D2900" t="s">
        <v>245</v>
      </c>
      <c r="E2900" t="s">
        <v>38</v>
      </c>
      <c r="F2900">
        <v>1746</v>
      </c>
      <c r="G2900">
        <v>2275</v>
      </c>
      <c r="H2900" t="s">
        <v>38</v>
      </c>
      <c r="I2900" t="s">
        <v>87</v>
      </c>
      <c r="J2900" t="s">
        <v>4412</v>
      </c>
      <c r="K2900" t="s">
        <v>38</v>
      </c>
      <c r="L2900" t="s">
        <v>38</v>
      </c>
      <c r="M2900" t="s">
        <v>38</v>
      </c>
      <c r="N2900" t="s">
        <v>38</v>
      </c>
      <c r="O2900" t="s">
        <v>57</v>
      </c>
      <c r="P2900" t="s">
        <v>42</v>
      </c>
      <c r="Q2900" t="s">
        <v>43</v>
      </c>
      <c r="R2900" t="s">
        <v>487</v>
      </c>
      <c r="S2900" t="s">
        <v>153</v>
      </c>
      <c r="T2900" t="s">
        <v>38</v>
      </c>
      <c r="U2900" t="s">
        <v>38</v>
      </c>
      <c r="V2900" t="s">
        <v>597</v>
      </c>
      <c r="W2900" t="s">
        <v>38</v>
      </c>
      <c r="X2900" t="s">
        <v>38</v>
      </c>
      <c r="Y2900" t="s">
        <v>4416</v>
      </c>
      <c r="Z2900" t="s">
        <v>42</v>
      </c>
      <c r="AA2900" t="s">
        <v>38</v>
      </c>
      <c r="AB2900" t="s">
        <v>38</v>
      </c>
      <c r="AC2900" t="s">
        <v>153</v>
      </c>
      <c r="AD2900" t="s">
        <v>48</v>
      </c>
      <c r="AG2900" t="str">
        <f>IF(AD2900="United States", IFERROR(INDEX(Sheet2!$C:$C, MATCH(AE2900&amp;AF2900, Sheet2!$E:$E, 0)) &amp; ", " &amp; INDEX(Sheet2!$D:$D, MATCH(AE2900&amp;AF2900, Sheet2!$E:$E, 0)), ""), "-")</f>
        <v/>
      </c>
    </row>
    <row r="2901" spans="1:33" x14ac:dyDescent="0.25">
      <c r="A2901" t="s">
        <v>4409</v>
      </c>
      <c r="B2901" t="s">
        <v>4418</v>
      </c>
      <c r="C2901" t="s">
        <v>4411</v>
      </c>
      <c r="D2901" t="s">
        <v>177</v>
      </c>
      <c r="E2901" t="s">
        <v>38</v>
      </c>
      <c r="F2901">
        <v>1762</v>
      </c>
      <c r="G2901">
        <v>2274</v>
      </c>
      <c r="H2901" t="s">
        <v>38</v>
      </c>
      <c r="I2901" t="s">
        <v>87</v>
      </c>
      <c r="J2901" t="s">
        <v>4412</v>
      </c>
      <c r="K2901" t="s">
        <v>38</v>
      </c>
      <c r="L2901" t="s">
        <v>38</v>
      </c>
      <c r="M2901" t="s">
        <v>38</v>
      </c>
      <c r="N2901" t="s">
        <v>38</v>
      </c>
      <c r="O2901" t="s">
        <v>41</v>
      </c>
      <c r="P2901" t="s">
        <v>42</v>
      </c>
      <c r="Q2901" t="s">
        <v>43</v>
      </c>
      <c r="R2901" t="s">
        <v>38</v>
      </c>
      <c r="S2901" t="s">
        <v>38</v>
      </c>
      <c r="T2901" t="s">
        <v>38</v>
      </c>
      <c r="U2901" t="s">
        <v>38</v>
      </c>
      <c r="V2901" t="s">
        <v>597</v>
      </c>
      <c r="W2901" t="s">
        <v>38</v>
      </c>
      <c r="X2901" t="s">
        <v>38</v>
      </c>
      <c r="Y2901" t="s">
        <v>4419</v>
      </c>
      <c r="Z2901" t="s">
        <v>42</v>
      </c>
      <c r="AA2901" t="s">
        <v>38</v>
      </c>
      <c r="AB2901" t="s">
        <v>38</v>
      </c>
      <c r="AC2901" t="s">
        <v>155</v>
      </c>
      <c r="AD2901" t="s">
        <v>48</v>
      </c>
      <c r="AG2901" t="str">
        <f>IF(AD2901="United States", IFERROR(INDEX(Sheet2!$C:$C, MATCH(AE2901&amp;AF2901, Sheet2!$E:$E, 0)) &amp; ", " &amp; INDEX(Sheet2!$D:$D, MATCH(AE2901&amp;AF2901, Sheet2!$E:$E, 0)), ""), "-")</f>
        <v/>
      </c>
    </row>
    <row r="2902" spans="1:33" x14ac:dyDescent="0.25">
      <c r="A2902" t="s">
        <v>4409</v>
      </c>
      <c r="B2902" t="s">
        <v>4420</v>
      </c>
      <c r="C2902" t="s">
        <v>4411</v>
      </c>
      <c r="D2902" t="s">
        <v>1886</v>
      </c>
      <c r="E2902" t="s">
        <v>38</v>
      </c>
      <c r="F2902">
        <v>1758</v>
      </c>
      <c r="G2902">
        <v>2273</v>
      </c>
      <c r="H2902" t="s">
        <v>38</v>
      </c>
      <c r="I2902" t="s">
        <v>87</v>
      </c>
      <c r="J2902" t="s">
        <v>4412</v>
      </c>
      <c r="K2902" t="s">
        <v>36</v>
      </c>
      <c r="L2902" t="s">
        <v>2905</v>
      </c>
      <c r="M2902" t="s">
        <v>38</v>
      </c>
      <c r="N2902" t="s">
        <v>38</v>
      </c>
      <c r="O2902" t="s">
        <v>41</v>
      </c>
      <c r="P2902" t="s">
        <v>42</v>
      </c>
      <c r="Q2902" t="s">
        <v>43</v>
      </c>
      <c r="R2902" t="s">
        <v>38</v>
      </c>
      <c r="S2902" t="s">
        <v>286</v>
      </c>
      <c r="T2902" t="s">
        <v>38</v>
      </c>
      <c r="U2902" t="s">
        <v>38</v>
      </c>
      <c r="V2902" t="s">
        <v>597</v>
      </c>
      <c r="W2902" t="s">
        <v>38</v>
      </c>
      <c r="X2902" t="s">
        <v>38</v>
      </c>
      <c r="Y2902" t="s">
        <v>4421</v>
      </c>
      <c r="Z2902" t="s">
        <v>42</v>
      </c>
      <c r="AA2902" t="s">
        <v>38</v>
      </c>
      <c r="AB2902" t="s">
        <v>38</v>
      </c>
      <c r="AC2902" t="s">
        <v>286</v>
      </c>
      <c r="AD2902" t="s">
        <v>48</v>
      </c>
      <c r="AG2902" t="str">
        <f>IF(AD2902="United States", IFERROR(INDEX(Sheet2!$C:$C, MATCH(AE2902&amp;AF2902, Sheet2!$E:$E, 0)) &amp; ", " &amp; INDEX(Sheet2!$D:$D, MATCH(AE2902&amp;AF2902, Sheet2!$E:$E, 0)), ""), "-")</f>
        <v/>
      </c>
    </row>
    <row r="2903" spans="1:33" x14ac:dyDescent="0.25">
      <c r="A2903" t="s">
        <v>4409</v>
      </c>
      <c r="B2903" t="s">
        <v>4422</v>
      </c>
      <c r="C2903" t="s">
        <v>4411</v>
      </c>
      <c r="D2903" t="s">
        <v>1003</v>
      </c>
      <c r="E2903" t="s">
        <v>38</v>
      </c>
      <c r="F2903">
        <v>1767</v>
      </c>
      <c r="G2903">
        <v>2272</v>
      </c>
      <c r="H2903" t="s">
        <v>38</v>
      </c>
      <c r="I2903" t="s">
        <v>87</v>
      </c>
      <c r="J2903" t="s">
        <v>4412</v>
      </c>
      <c r="K2903" t="s">
        <v>38</v>
      </c>
      <c r="L2903" t="s">
        <v>38</v>
      </c>
      <c r="M2903" t="s">
        <v>38</v>
      </c>
      <c r="N2903" t="s">
        <v>38</v>
      </c>
      <c r="O2903" t="s">
        <v>74</v>
      </c>
      <c r="P2903" t="s">
        <v>42</v>
      </c>
      <c r="Q2903" t="s">
        <v>43</v>
      </c>
      <c r="R2903" t="s">
        <v>487</v>
      </c>
      <c r="S2903" t="s">
        <v>153</v>
      </c>
      <c r="T2903" t="s">
        <v>38</v>
      </c>
      <c r="U2903" t="s">
        <v>38</v>
      </c>
      <c r="V2903" t="s">
        <v>597</v>
      </c>
      <c r="W2903" t="s">
        <v>38</v>
      </c>
      <c r="X2903" t="s">
        <v>38</v>
      </c>
      <c r="Y2903" t="s">
        <v>4414</v>
      </c>
      <c r="Z2903" t="s">
        <v>42</v>
      </c>
      <c r="AA2903" t="s">
        <v>38</v>
      </c>
      <c r="AB2903" t="s">
        <v>38</v>
      </c>
      <c r="AC2903" t="s">
        <v>153</v>
      </c>
      <c r="AD2903" t="s">
        <v>48</v>
      </c>
      <c r="AG2903" t="str">
        <f>IF(AD2903="United States", IFERROR(INDEX(Sheet2!$C:$C, MATCH(AE2903&amp;AF2903, Sheet2!$E:$E, 0)) &amp; ", " &amp; INDEX(Sheet2!$D:$D, MATCH(AE2903&amp;AF2903, Sheet2!$E:$E, 0)), ""), "-")</f>
        <v/>
      </c>
    </row>
    <row r="2904" spans="1:33" x14ac:dyDescent="0.25">
      <c r="A2904" t="s">
        <v>4423</v>
      </c>
      <c r="D2904" t="s">
        <v>1003</v>
      </c>
      <c r="E2904" t="s">
        <v>38</v>
      </c>
      <c r="F2904">
        <v>1767</v>
      </c>
      <c r="G2904">
        <v>2238</v>
      </c>
      <c r="H2904">
        <v>71</v>
      </c>
      <c r="J2904" t="s">
        <v>4424</v>
      </c>
      <c r="O2904" t="s">
        <v>57</v>
      </c>
      <c r="R2904" t="s">
        <v>89</v>
      </c>
      <c r="T2904" t="s">
        <v>89</v>
      </c>
      <c r="V2904" t="s">
        <v>597</v>
      </c>
      <c r="W2904" t="s">
        <v>92</v>
      </c>
      <c r="Y2904" t="s">
        <v>38</v>
      </c>
      <c r="AA2904" t="s">
        <v>38</v>
      </c>
      <c r="AB2904" t="s">
        <v>38</v>
      </c>
      <c r="AC2904" t="s">
        <v>38</v>
      </c>
      <c r="AD2904" t="s">
        <v>48</v>
      </c>
      <c r="AG2904" t="str">
        <f>IF(AD2904="United States", IFERROR(INDEX(Sheet2!$C:$C, MATCH(AE2904&amp;AF2904, Sheet2!$E:$E, 0)) &amp; ", " &amp; INDEX(Sheet2!$D:$D, MATCH(AE2904&amp;AF2904, Sheet2!$E:$E, 0)), ""), "-")</f>
        <v/>
      </c>
    </row>
    <row r="2905" spans="1:33" x14ac:dyDescent="0.25">
      <c r="A2905" t="s">
        <v>4423</v>
      </c>
      <c r="D2905" t="s">
        <v>2376</v>
      </c>
      <c r="E2905" t="s">
        <v>227</v>
      </c>
      <c r="F2905">
        <v>1771</v>
      </c>
      <c r="G2905">
        <v>2239</v>
      </c>
      <c r="H2905">
        <v>71</v>
      </c>
      <c r="J2905" t="s">
        <v>4424</v>
      </c>
      <c r="O2905" t="s">
        <v>54</v>
      </c>
      <c r="R2905" t="s">
        <v>89</v>
      </c>
      <c r="T2905" t="s">
        <v>89</v>
      </c>
      <c r="V2905" t="s">
        <v>597</v>
      </c>
      <c r="W2905" t="s">
        <v>92</v>
      </c>
      <c r="Y2905" t="s">
        <v>38</v>
      </c>
      <c r="AA2905" t="s">
        <v>38</v>
      </c>
      <c r="AB2905" t="s">
        <v>38</v>
      </c>
      <c r="AC2905" t="s">
        <v>38</v>
      </c>
      <c r="AD2905" t="s">
        <v>48</v>
      </c>
      <c r="AG2905" t="str">
        <f>IF(AD2905="United States", IFERROR(INDEX(Sheet2!$C:$C, MATCH(AE2905&amp;AF2905, Sheet2!$E:$E, 0)) &amp; ", " &amp; INDEX(Sheet2!$D:$D, MATCH(AE2905&amp;AF2905, Sheet2!$E:$E, 0)), ""), "-")</f>
        <v/>
      </c>
    </row>
    <row r="2906" spans="1:33" x14ac:dyDescent="0.25">
      <c r="A2906" t="s">
        <v>4423</v>
      </c>
      <c r="D2906" t="s">
        <v>556</v>
      </c>
      <c r="E2906" t="s">
        <v>38</v>
      </c>
      <c r="F2906">
        <v>1758</v>
      </c>
      <c r="G2906">
        <v>2243</v>
      </c>
      <c r="H2906">
        <v>71</v>
      </c>
      <c r="J2906" t="s">
        <v>4424</v>
      </c>
      <c r="O2906" t="s">
        <v>41</v>
      </c>
      <c r="R2906" t="s">
        <v>89</v>
      </c>
      <c r="T2906" t="s">
        <v>89</v>
      </c>
      <c r="V2906" t="s">
        <v>597</v>
      </c>
      <c r="W2906" t="s">
        <v>92</v>
      </c>
      <c r="Y2906" t="s">
        <v>38</v>
      </c>
      <c r="AA2906" t="s">
        <v>38</v>
      </c>
      <c r="AB2906" t="s">
        <v>38</v>
      </c>
      <c r="AC2906" t="s">
        <v>38</v>
      </c>
      <c r="AD2906" t="s">
        <v>48</v>
      </c>
      <c r="AG2906" t="str">
        <f>IF(AD2906="United States", IFERROR(INDEX(Sheet2!$C:$C, MATCH(AE2906&amp;AF2906, Sheet2!$E:$E, 0)) &amp; ", " &amp; INDEX(Sheet2!$D:$D, MATCH(AE2906&amp;AF2906, Sheet2!$E:$E, 0)), ""), "-")</f>
        <v/>
      </c>
    </row>
    <row r="2907" spans="1:33" x14ac:dyDescent="0.25">
      <c r="A2907" t="s">
        <v>4423</v>
      </c>
      <c r="D2907" t="s">
        <v>245</v>
      </c>
      <c r="E2907" t="s">
        <v>38</v>
      </c>
      <c r="F2907">
        <v>1746</v>
      </c>
      <c r="G2907">
        <v>2242</v>
      </c>
      <c r="H2907">
        <v>71</v>
      </c>
      <c r="J2907" t="s">
        <v>4424</v>
      </c>
      <c r="O2907" t="s">
        <v>57</v>
      </c>
      <c r="R2907" t="s">
        <v>89</v>
      </c>
      <c r="T2907" t="s">
        <v>89</v>
      </c>
      <c r="V2907" t="s">
        <v>597</v>
      </c>
      <c r="W2907" t="s">
        <v>92</v>
      </c>
      <c r="Y2907" t="s">
        <v>38</v>
      </c>
      <c r="AA2907" t="s">
        <v>38</v>
      </c>
      <c r="AB2907" t="s">
        <v>38</v>
      </c>
      <c r="AC2907" t="s">
        <v>38</v>
      </c>
      <c r="AD2907" t="s">
        <v>48</v>
      </c>
      <c r="AG2907" t="str">
        <f>IF(AD2907="United States", IFERROR(INDEX(Sheet2!$C:$C, MATCH(AE2907&amp;AF2907, Sheet2!$E:$E, 0)) &amp; ", " &amp; INDEX(Sheet2!$D:$D, MATCH(AE2907&amp;AF2907, Sheet2!$E:$E, 0)), ""), "-")</f>
        <v/>
      </c>
    </row>
    <row r="2908" spans="1:33" x14ac:dyDescent="0.25">
      <c r="A2908" t="s">
        <v>4423</v>
      </c>
      <c r="D2908" t="s">
        <v>177</v>
      </c>
      <c r="E2908" t="s">
        <v>38</v>
      </c>
      <c r="F2908">
        <v>1762</v>
      </c>
      <c r="G2908">
        <v>2241</v>
      </c>
      <c r="H2908">
        <v>71</v>
      </c>
      <c r="J2908" t="s">
        <v>4424</v>
      </c>
      <c r="O2908" t="s">
        <v>41</v>
      </c>
      <c r="R2908" t="s">
        <v>89</v>
      </c>
      <c r="T2908" t="s">
        <v>89</v>
      </c>
      <c r="V2908" t="s">
        <v>597</v>
      </c>
      <c r="W2908" t="s">
        <v>92</v>
      </c>
      <c r="Y2908" t="s">
        <v>38</v>
      </c>
      <c r="AA2908" t="s">
        <v>38</v>
      </c>
      <c r="AB2908" t="s">
        <v>38</v>
      </c>
      <c r="AC2908" t="s">
        <v>38</v>
      </c>
      <c r="AD2908" t="s">
        <v>48</v>
      </c>
      <c r="AG2908" t="str">
        <f>IF(AD2908="United States", IFERROR(INDEX(Sheet2!$C:$C, MATCH(AE2908&amp;AF2908, Sheet2!$E:$E, 0)) &amp; ", " &amp; INDEX(Sheet2!$D:$D, MATCH(AE2908&amp;AF2908, Sheet2!$E:$E, 0)), ""), "-")</f>
        <v/>
      </c>
    </row>
    <row r="2909" spans="1:33" x14ac:dyDescent="0.25">
      <c r="A2909" t="s">
        <v>4423</v>
      </c>
      <c r="D2909" t="s">
        <v>1886</v>
      </c>
      <c r="E2909" t="s">
        <v>38</v>
      </c>
      <c r="F2909">
        <v>1758</v>
      </c>
      <c r="G2909">
        <v>2240</v>
      </c>
      <c r="H2909">
        <v>71</v>
      </c>
      <c r="J2909" t="s">
        <v>4424</v>
      </c>
      <c r="O2909" t="s">
        <v>41</v>
      </c>
      <c r="R2909" t="s">
        <v>89</v>
      </c>
      <c r="T2909" t="s">
        <v>89</v>
      </c>
      <c r="V2909" t="s">
        <v>597</v>
      </c>
      <c r="W2909" t="s">
        <v>92</v>
      </c>
      <c r="Y2909" t="s">
        <v>38</v>
      </c>
      <c r="AA2909" t="s">
        <v>38</v>
      </c>
      <c r="AB2909" t="s">
        <v>38</v>
      </c>
      <c r="AC2909" t="s">
        <v>38</v>
      </c>
      <c r="AD2909" t="s">
        <v>48</v>
      </c>
      <c r="AG2909" t="str">
        <f>IF(AD2909="United States", IFERROR(INDEX(Sheet2!$C:$C, MATCH(AE2909&amp;AF2909, Sheet2!$E:$E, 0)) &amp; ", " &amp; INDEX(Sheet2!$D:$D, MATCH(AE2909&amp;AF2909, Sheet2!$E:$E, 0)), ""), "-")</f>
        <v/>
      </c>
    </row>
    <row r="2910" spans="1:33" x14ac:dyDescent="0.25">
      <c r="A2910" t="s">
        <v>4425</v>
      </c>
      <c r="B2910" t="s">
        <v>4426</v>
      </c>
      <c r="C2910" t="s">
        <v>4427</v>
      </c>
      <c r="D2910" t="s">
        <v>4428</v>
      </c>
      <c r="E2910" t="s">
        <v>4429</v>
      </c>
      <c r="F2910">
        <v>1762</v>
      </c>
      <c r="G2910">
        <v>2713</v>
      </c>
      <c r="I2910" t="s">
        <v>80</v>
      </c>
      <c r="J2910" t="s">
        <v>38</v>
      </c>
      <c r="O2910" t="s">
        <v>41</v>
      </c>
      <c r="P2910" t="s">
        <v>42</v>
      </c>
      <c r="Q2910" t="s">
        <v>43</v>
      </c>
      <c r="V2910" t="s">
        <v>4430</v>
      </c>
      <c r="Y2910" t="s">
        <v>38</v>
      </c>
      <c r="Z2910" t="s">
        <v>42</v>
      </c>
      <c r="AA2910" t="s">
        <v>38</v>
      </c>
      <c r="AB2910" t="s">
        <v>38</v>
      </c>
      <c r="AC2910" t="s">
        <v>38</v>
      </c>
      <c r="AD2910" t="s">
        <v>48</v>
      </c>
      <c r="AG2910" t="str">
        <f>IF(AD2910="United States", IFERROR(INDEX(Sheet2!$C:$C, MATCH(AE2910&amp;AF2910, Sheet2!$E:$E, 0)) &amp; ", " &amp; INDEX(Sheet2!$D:$D, MATCH(AE2910&amp;AF2910, Sheet2!$E:$E, 0)), ""), "-")</f>
        <v/>
      </c>
    </row>
    <row r="2911" spans="1:33" x14ac:dyDescent="0.25">
      <c r="A2911" t="s">
        <v>4425</v>
      </c>
      <c r="B2911" t="s">
        <v>4431</v>
      </c>
      <c r="C2911" t="s">
        <v>4427</v>
      </c>
      <c r="D2911" t="s">
        <v>120</v>
      </c>
      <c r="E2911" t="s">
        <v>38</v>
      </c>
      <c r="F2911">
        <v>1759</v>
      </c>
      <c r="G2911">
        <v>1826</v>
      </c>
      <c r="H2911" t="s">
        <v>4432</v>
      </c>
      <c r="I2911" t="s">
        <v>80</v>
      </c>
      <c r="J2911" t="s">
        <v>38</v>
      </c>
      <c r="K2911" t="s">
        <v>38</v>
      </c>
      <c r="L2911" t="s">
        <v>38</v>
      </c>
      <c r="M2911" t="s">
        <v>38</v>
      </c>
      <c r="N2911" t="s">
        <v>38</v>
      </c>
      <c r="O2911" t="s">
        <v>41</v>
      </c>
      <c r="P2911" t="s">
        <v>42</v>
      </c>
      <c r="Q2911" t="s">
        <v>43</v>
      </c>
      <c r="R2911" t="s">
        <v>89</v>
      </c>
      <c r="S2911" t="s">
        <v>153</v>
      </c>
      <c r="T2911" t="s">
        <v>89</v>
      </c>
      <c r="U2911" t="s">
        <v>38</v>
      </c>
      <c r="V2911" t="s">
        <v>38</v>
      </c>
      <c r="W2911" t="s">
        <v>92</v>
      </c>
      <c r="X2911" t="s">
        <v>38</v>
      </c>
      <c r="Y2911" t="s">
        <v>4433</v>
      </c>
      <c r="Z2911" t="s">
        <v>42</v>
      </c>
      <c r="AA2911" t="s">
        <v>120</v>
      </c>
      <c r="AB2911" t="s">
        <v>155</v>
      </c>
      <c r="AC2911" t="s">
        <v>153</v>
      </c>
      <c r="AD2911" t="s">
        <v>48</v>
      </c>
      <c r="AG2911" t="str">
        <f>IF(AD2911="United States", IFERROR(INDEX(Sheet2!$C:$C, MATCH(AE2911&amp;AF2911, Sheet2!$E:$E, 0)) &amp; ", " &amp; INDEX(Sheet2!$D:$D, MATCH(AE2911&amp;AF2911, Sheet2!$E:$E, 0)), ""), "-")</f>
        <v/>
      </c>
    </row>
    <row r="2912" spans="1:33" x14ac:dyDescent="0.25">
      <c r="A2912" t="s">
        <v>4425</v>
      </c>
      <c r="B2912" t="s">
        <v>4434</v>
      </c>
      <c r="C2912" t="s">
        <v>4427</v>
      </c>
      <c r="D2912" t="s">
        <v>200</v>
      </c>
      <c r="F2912">
        <v>1757</v>
      </c>
      <c r="G2912">
        <v>2712</v>
      </c>
      <c r="I2912" t="s">
        <v>80</v>
      </c>
      <c r="J2912" t="s">
        <v>38</v>
      </c>
      <c r="O2912" t="s">
        <v>41</v>
      </c>
      <c r="P2912" t="s">
        <v>42</v>
      </c>
      <c r="Q2912" t="s">
        <v>43</v>
      </c>
      <c r="R2912" t="s">
        <v>4435</v>
      </c>
      <c r="S2912" t="s">
        <v>153</v>
      </c>
      <c r="V2912" t="s">
        <v>4430</v>
      </c>
      <c r="Y2912" t="s">
        <v>4433</v>
      </c>
      <c r="Z2912" t="s">
        <v>42</v>
      </c>
      <c r="AA2912" t="s">
        <v>4436</v>
      </c>
      <c r="AB2912" t="s">
        <v>38</v>
      </c>
      <c r="AC2912" t="s">
        <v>153</v>
      </c>
      <c r="AD2912" t="s">
        <v>48</v>
      </c>
      <c r="AG2912" t="str">
        <f>IF(AD2912="United States", IFERROR(INDEX(Sheet2!$C:$C, MATCH(AE2912&amp;AF2912, Sheet2!$E:$E, 0)) &amp; ", " &amp; INDEX(Sheet2!$D:$D, MATCH(AE2912&amp;AF2912, Sheet2!$E:$E, 0)), ""), "-")</f>
        <v/>
      </c>
    </row>
    <row r="2913" spans="1:33" x14ac:dyDescent="0.25">
      <c r="A2913" t="s">
        <v>4425</v>
      </c>
      <c r="B2913" t="s">
        <v>4437</v>
      </c>
      <c r="C2913" t="s">
        <v>4427</v>
      </c>
      <c r="D2913" t="s">
        <v>72</v>
      </c>
      <c r="E2913" t="s">
        <v>38</v>
      </c>
      <c r="F2913">
        <v>1757</v>
      </c>
      <c r="G2913">
        <v>1828</v>
      </c>
      <c r="H2913" t="s">
        <v>4432</v>
      </c>
      <c r="I2913" t="s">
        <v>80</v>
      </c>
      <c r="J2913" t="s">
        <v>38</v>
      </c>
      <c r="K2913" t="s">
        <v>38</v>
      </c>
      <c r="L2913" t="s">
        <v>38</v>
      </c>
      <c r="M2913" t="s">
        <v>38</v>
      </c>
      <c r="N2913" t="s">
        <v>38</v>
      </c>
      <c r="O2913" t="s">
        <v>57</v>
      </c>
      <c r="P2913" t="s">
        <v>42</v>
      </c>
      <c r="Q2913" t="s">
        <v>43</v>
      </c>
      <c r="R2913" t="s">
        <v>89</v>
      </c>
      <c r="S2913" t="s">
        <v>153</v>
      </c>
      <c r="T2913" t="s">
        <v>89</v>
      </c>
      <c r="U2913" t="s">
        <v>38</v>
      </c>
      <c r="V2913" t="s">
        <v>38</v>
      </c>
      <c r="W2913" t="s">
        <v>92</v>
      </c>
      <c r="X2913" t="s">
        <v>38</v>
      </c>
      <c r="Y2913" t="s">
        <v>4433</v>
      </c>
      <c r="Z2913" t="s">
        <v>42</v>
      </c>
      <c r="AA2913" t="s">
        <v>38</v>
      </c>
      <c r="AB2913" t="s">
        <v>38</v>
      </c>
      <c r="AC2913" t="s">
        <v>153</v>
      </c>
      <c r="AD2913" t="s">
        <v>48</v>
      </c>
      <c r="AG2913" t="str">
        <f>IF(AD2913="United States", IFERROR(INDEX(Sheet2!$C:$C, MATCH(AE2913&amp;AF2913, Sheet2!$E:$E, 0)) &amp; ", " &amp; INDEX(Sheet2!$D:$D, MATCH(AE2913&amp;AF2913, Sheet2!$E:$E, 0)), ""), "-")</f>
        <v/>
      </c>
    </row>
    <row r="2914" spans="1:33" x14ac:dyDescent="0.25">
      <c r="A2914" t="s">
        <v>4425</v>
      </c>
      <c r="B2914" t="s">
        <v>4438</v>
      </c>
      <c r="C2914" t="s">
        <v>4427</v>
      </c>
      <c r="D2914" t="s">
        <v>3042</v>
      </c>
      <c r="E2914" t="s">
        <v>38</v>
      </c>
      <c r="F2914">
        <v>1759</v>
      </c>
      <c r="G2914">
        <v>1827</v>
      </c>
      <c r="H2914" t="s">
        <v>4432</v>
      </c>
      <c r="I2914" t="s">
        <v>80</v>
      </c>
      <c r="J2914" t="s">
        <v>38</v>
      </c>
      <c r="K2914" t="s">
        <v>38</v>
      </c>
      <c r="L2914" t="s">
        <v>38</v>
      </c>
      <c r="M2914" t="s">
        <v>38</v>
      </c>
      <c r="N2914" t="s">
        <v>38</v>
      </c>
      <c r="O2914" t="s">
        <v>41</v>
      </c>
      <c r="P2914" t="s">
        <v>42</v>
      </c>
      <c r="Q2914" t="s">
        <v>43</v>
      </c>
      <c r="R2914" t="s">
        <v>89</v>
      </c>
      <c r="S2914" t="s">
        <v>165</v>
      </c>
      <c r="T2914" t="s">
        <v>89</v>
      </c>
      <c r="U2914" t="s">
        <v>38</v>
      </c>
      <c r="V2914" t="s">
        <v>38</v>
      </c>
      <c r="W2914" t="s">
        <v>92</v>
      </c>
      <c r="X2914" t="s">
        <v>38</v>
      </c>
      <c r="Y2914" t="s">
        <v>4433</v>
      </c>
      <c r="Z2914" t="s">
        <v>42</v>
      </c>
      <c r="AA2914" t="s">
        <v>38</v>
      </c>
      <c r="AB2914" t="s">
        <v>38</v>
      </c>
      <c r="AC2914" t="s">
        <v>165</v>
      </c>
      <c r="AD2914" t="s">
        <v>48</v>
      </c>
      <c r="AG2914" t="str">
        <f>IF(AD2914="United States", IFERROR(INDEX(Sheet2!$C:$C, MATCH(AE2914&amp;AF2914, Sheet2!$E:$E, 0)) &amp; ", " &amp; INDEX(Sheet2!$D:$D, MATCH(AE2914&amp;AF2914, Sheet2!$E:$E, 0)), ""), "-")</f>
        <v/>
      </c>
    </row>
    <row r="2915" spans="1:33" x14ac:dyDescent="0.25">
      <c r="A2915" t="s">
        <v>4425</v>
      </c>
      <c r="B2915" t="s">
        <v>4439</v>
      </c>
      <c r="C2915" t="s">
        <v>4427</v>
      </c>
      <c r="D2915" t="s">
        <v>113</v>
      </c>
      <c r="E2915" t="s">
        <v>38</v>
      </c>
      <c r="F2915">
        <v>1781</v>
      </c>
      <c r="G2915">
        <v>1829</v>
      </c>
      <c r="H2915" t="s">
        <v>4432</v>
      </c>
      <c r="I2915" t="s">
        <v>80</v>
      </c>
      <c r="J2915" t="s">
        <v>38</v>
      </c>
      <c r="K2915" t="s">
        <v>38</v>
      </c>
      <c r="L2915" t="s">
        <v>38</v>
      </c>
      <c r="M2915" t="s">
        <v>38</v>
      </c>
      <c r="N2915" t="s">
        <v>38</v>
      </c>
      <c r="O2915" t="s">
        <v>54</v>
      </c>
      <c r="P2915" t="s">
        <v>42</v>
      </c>
      <c r="Q2915" t="s">
        <v>43</v>
      </c>
      <c r="R2915" t="s">
        <v>89</v>
      </c>
      <c r="S2915" t="s">
        <v>38</v>
      </c>
      <c r="T2915" t="s">
        <v>89</v>
      </c>
      <c r="U2915" t="s">
        <v>38</v>
      </c>
      <c r="V2915" t="s">
        <v>38</v>
      </c>
      <c r="W2915" t="s">
        <v>92</v>
      </c>
      <c r="X2915" t="s">
        <v>38</v>
      </c>
      <c r="Y2915" t="s">
        <v>38</v>
      </c>
      <c r="Z2915" t="s">
        <v>42</v>
      </c>
      <c r="AA2915" t="s">
        <v>38</v>
      </c>
      <c r="AB2915" t="s">
        <v>38</v>
      </c>
      <c r="AC2915" t="s">
        <v>38</v>
      </c>
      <c r="AD2915" t="s">
        <v>48</v>
      </c>
      <c r="AG2915" t="str">
        <f>IF(AD2915="United States", IFERROR(INDEX(Sheet2!$C:$C, MATCH(AE2915&amp;AF2915, Sheet2!$E:$E, 0)) &amp; ", " &amp; INDEX(Sheet2!$D:$D, MATCH(AE2915&amp;AF2915, Sheet2!$E:$E, 0)), ""), "-")</f>
        <v/>
      </c>
    </row>
    <row r="2916" spans="1:33" x14ac:dyDescent="0.25">
      <c r="A2916" t="s">
        <v>4440</v>
      </c>
      <c r="B2916" t="s">
        <v>4441</v>
      </c>
      <c r="C2916" t="s">
        <v>4442</v>
      </c>
      <c r="D2916" t="s">
        <v>1230</v>
      </c>
      <c r="E2916" t="s">
        <v>38</v>
      </c>
      <c r="F2916">
        <v>1767</v>
      </c>
      <c r="G2916">
        <v>1825</v>
      </c>
      <c r="H2916" t="s">
        <v>313</v>
      </c>
      <c r="I2916" t="s">
        <v>80</v>
      </c>
      <c r="J2916" t="s">
        <v>38</v>
      </c>
      <c r="K2916" t="s">
        <v>38</v>
      </c>
      <c r="L2916" t="s">
        <v>38</v>
      </c>
      <c r="M2916" t="s">
        <v>4443</v>
      </c>
      <c r="N2916" t="s">
        <v>979</v>
      </c>
      <c r="O2916" t="s">
        <v>74</v>
      </c>
      <c r="P2916" t="s">
        <v>42</v>
      </c>
      <c r="Q2916" t="s">
        <v>43</v>
      </c>
      <c r="R2916" t="s">
        <v>89</v>
      </c>
      <c r="S2916" t="s">
        <v>38</v>
      </c>
      <c r="T2916" t="s">
        <v>89</v>
      </c>
      <c r="U2916" t="s">
        <v>38</v>
      </c>
      <c r="V2916" t="s">
        <v>38</v>
      </c>
      <c r="W2916" t="s">
        <v>92</v>
      </c>
      <c r="X2916" t="s">
        <v>38</v>
      </c>
      <c r="Y2916" t="s">
        <v>1994</v>
      </c>
      <c r="Z2916" t="s">
        <v>42</v>
      </c>
      <c r="AA2916" t="s">
        <v>38</v>
      </c>
      <c r="AB2916" t="s">
        <v>38</v>
      </c>
      <c r="AC2916" t="s">
        <v>4444</v>
      </c>
      <c r="AD2916" t="s">
        <v>48</v>
      </c>
      <c r="AG2916" t="str">
        <f>IF(AD2916="United States", IFERROR(INDEX(Sheet2!$C:$C, MATCH(AE2916&amp;AF2916, Sheet2!$E:$E, 0)) &amp; ", " &amp; INDEX(Sheet2!$D:$D, MATCH(AE2916&amp;AF2916, Sheet2!$E:$E, 0)), ""), "-")</f>
        <v/>
      </c>
    </row>
    <row r="2917" spans="1:33" x14ac:dyDescent="0.25">
      <c r="A2917" t="s">
        <v>4440</v>
      </c>
      <c r="B2917" t="s">
        <v>4445</v>
      </c>
      <c r="C2917" t="s">
        <v>4442</v>
      </c>
      <c r="D2917" t="s">
        <v>204</v>
      </c>
      <c r="E2917" t="s">
        <v>38</v>
      </c>
      <c r="F2917">
        <v>1769</v>
      </c>
      <c r="G2917">
        <v>1824</v>
      </c>
      <c r="H2917" t="s">
        <v>38</v>
      </c>
      <c r="I2917" t="s">
        <v>80</v>
      </c>
      <c r="J2917" t="s">
        <v>38</v>
      </c>
      <c r="K2917" t="s">
        <v>38</v>
      </c>
      <c r="L2917" t="s">
        <v>38</v>
      </c>
      <c r="M2917" t="s">
        <v>38</v>
      </c>
      <c r="N2917" t="s">
        <v>38</v>
      </c>
      <c r="O2917" t="s">
        <v>54</v>
      </c>
      <c r="P2917" t="s">
        <v>42</v>
      </c>
      <c r="Q2917" t="s">
        <v>43</v>
      </c>
      <c r="R2917" t="s">
        <v>38</v>
      </c>
      <c r="S2917" t="s">
        <v>38</v>
      </c>
      <c r="T2917" t="s">
        <v>38</v>
      </c>
      <c r="U2917" t="s">
        <v>38</v>
      </c>
      <c r="V2917" t="s">
        <v>38</v>
      </c>
      <c r="W2917" t="s">
        <v>38</v>
      </c>
      <c r="X2917" t="s">
        <v>38</v>
      </c>
      <c r="Y2917" t="s">
        <v>1994</v>
      </c>
      <c r="Z2917" t="s">
        <v>42</v>
      </c>
      <c r="AA2917" t="s">
        <v>38</v>
      </c>
      <c r="AB2917" t="s">
        <v>38</v>
      </c>
      <c r="AC2917" t="s">
        <v>4444</v>
      </c>
      <c r="AD2917" t="s">
        <v>48</v>
      </c>
      <c r="AG2917" t="str">
        <f>IF(AD2917="United States", IFERROR(INDEX(Sheet2!$C:$C, MATCH(AE2917&amp;AF2917, Sheet2!$E:$E, 0)) &amp; ", " &amp; INDEX(Sheet2!$D:$D, MATCH(AE2917&amp;AF2917, Sheet2!$E:$E, 0)), ""), "-")</f>
        <v/>
      </c>
    </row>
    <row r="2918" spans="1:33" x14ac:dyDescent="0.25">
      <c r="A2918" t="s">
        <v>535</v>
      </c>
      <c r="B2918" t="s">
        <v>4446</v>
      </c>
      <c r="C2918" t="s">
        <v>4447</v>
      </c>
      <c r="D2918" t="s">
        <v>210</v>
      </c>
      <c r="E2918" t="s">
        <v>38</v>
      </c>
      <c r="F2918">
        <v>1770</v>
      </c>
      <c r="G2918">
        <v>2490</v>
      </c>
      <c r="H2918" t="s">
        <v>536</v>
      </c>
      <c r="I2918" t="s">
        <v>87</v>
      </c>
      <c r="J2918" t="s">
        <v>38</v>
      </c>
      <c r="K2918" t="s">
        <v>38</v>
      </c>
      <c r="L2918" t="s">
        <v>38</v>
      </c>
      <c r="M2918" t="s">
        <v>38</v>
      </c>
      <c r="N2918" t="s">
        <v>38</v>
      </c>
      <c r="O2918" t="s">
        <v>54</v>
      </c>
      <c r="P2918" t="s">
        <v>42</v>
      </c>
      <c r="Q2918" t="s">
        <v>43</v>
      </c>
      <c r="R2918" t="s">
        <v>89</v>
      </c>
      <c r="S2918" t="s">
        <v>153</v>
      </c>
      <c r="T2918" t="s">
        <v>89</v>
      </c>
      <c r="U2918" t="s">
        <v>38</v>
      </c>
      <c r="V2918" t="s">
        <v>38</v>
      </c>
      <c r="W2918" t="s">
        <v>92</v>
      </c>
      <c r="X2918" t="s">
        <v>38</v>
      </c>
      <c r="Y2918" t="s">
        <v>38</v>
      </c>
      <c r="Z2918" t="s">
        <v>42</v>
      </c>
      <c r="AA2918" t="s">
        <v>155</v>
      </c>
      <c r="AB2918" t="s">
        <v>38</v>
      </c>
      <c r="AC2918" t="s">
        <v>153</v>
      </c>
      <c r="AD2918" t="s">
        <v>48</v>
      </c>
      <c r="AG2918" t="str">
        <f>IF(AD2918="United States", IFERROR(INDEX(Sheet2!$C:$C, MATCH(AE2918&amp;AF2918, Sheet2!$E:$E, 0)) &amp; ", " &amp; INDEX(Sheet2!$D:$D, MATCH(AE2918&amp;AF2918, Sheet2!$E:$E, 0)), ""), "-")</f>
        <v/>
      </c>
    </row>
    <row r="2919" spans="1:33" x14ac:dyDescent="0.25">
      <c r="A2919" t="s">
        <v>4448</v>
      </c>
      <c r="B2919" t="s">
        <v>4449</v>
      </c>
      <c r="C2919" t="s">
        <v>4450</v>
      </c>
      <c r="D2919" t="s">
        <v>1954</v>
      </c>
      <c r="E2919" t="s">
        <v>4451</v>
      </c>
      <c r="F2919">
        <v>1759</v>
      </c>
      <c r="G2919">
        <v>1966</v>
      </c>
      <c r="H2919" t="s">
        <v>398</v>
      </c>
      <c r="I2919" t="s">
        <v>80</v>
      </c>
      <c r="J2919" t="s">
        <v>38</v>
      </c>
      <c r="K2919" t="s">
        <v>38</v>
      </c>
      <c r="L2919" t="s">
        <v>38</v>
      </c>
      <c r="M2919" t="s">
        <v>38</v>
      </c>
      <c r="N2919" t="s">
        <v>38</v>
      </c>
      <c r="O2919" t="s">
        <v>57</v>
      </c>
      <c r="P2919" t="s">
        <v>42</v>
      </c>
      <c r="Q2919" t="s">
        <v>43</v>
      </c>
      <c r="R2919" t="s">
        <v>89</v>
      </c>
      <c r="S2919" t="s">
        <v>38</v>
      </c>
      <c r="T2919" t="s">
        <v>89</v>
      </c>
      <c r="U2919" t="s">
        <v>136</v>
      </c>
      <c r="V2919" t="s">
        <v>91</v>
      </c>
      <c r="W2919" t="s">
        <v>92</v>
      </c>
      <c r="X2919" t="s">
        <v>93</v>
      </c>
      <c r="Y2919" t="s">
        <v>4452</v>
      </c>
      <c r="Z2919" t="s">
        <v>42</v>
      </c>
      <c r="AA2919" t="s">
        <v>38</v>
      </c>
      <c r="AB2919" t="s">
        <v>38</v>
      </c>
      <c r="AC2919" t="s">
        <v>233</v>
      </c>
      <c r="AD2919" t="s">
        <v>48</v>
      </c>
      <c r="AG2919" t="str">
        <f>IF(AD2919="United States", IFERROR(INDEX(Sheet2!$C:$C, MATCH(AE2919&amp;AF2919, Sheet2!$E:$E, 0)) &amp; ", " &amp; INDEX(Sheet2!$D:$D, MATCH(AE2919&amp;AF2919, Sheet2!$E:$E, 0)), ""), "-")</f>
        <v/>
      </c>
    </row>
    <row r="2920" spans="1:33" x14ac:dyDescent="0.25">
      <c r="A2920" t="s">
        <v>4448</v>
      </c>
      <c r="B2920" t="s">
        <v>4453</v>
      </c>
      <c r="C2920" t="s">
        <v>4454</v>
      </c>
      <c r="D2920" t="s">
        <v>774</v>
      </c>
      <c r="E2920" t="s">
        <v>4455</v>
      </c>
      <c r="F2920">
        <v>1781</v>
      </c>
      <c r="G2920">
        <v>837</v>
      </c>
      <c r="H2920" t="s">
        <v>298</v>
      </c>
      <c r="I2920" t="s">
        <v>39</v>
      </c>
      <c r="J2920" t="s">
        <v>4456</v>
      </c>
      <c r="K2920" t="s">
        <v>38</v>
      </c>
      <c r="L2920" t="s">
        <v>38</v>
      </c>
      <c r="M2920" t="s">
        <v>38</v>
      </c>
      <c r="N2920" t="s">
        <v>38</v>
      </c>
      <c r="O2920" t="s">
        <v>54</v>
      </c>
      <c r="P2920" t="s">
        <v>42</v>
      </c>
      <c r="Q2920" t="s">
        <v>43</v>
      </c>
      <c r="R2920" t="s">
        <v>89</v>
      </c>
      <c r="S2920" t="s">
        <v>153</v>
      </c>
      <c r="T2920" t="s">
        <v>89</v>
      </c>
      <c r="U2920" t="s">
        <v>136</v>
      </c>
      <c r="V2920" t="s">
        <v>46</v>
      </c>
      <c r="W2920" t="s">
        <v>92</v>
      </c>
      <c r="X2920" t="s">
        <v>93</v>
      </c>
      <c r="Y2920" t="s">
        <v>4456</v>
      </c>
      <c r="Z2920" t="s">
        <v>42</v>
      </c>
      <c r="AA2920" t="s">
        <v>1909</v>
      </c>
      <c r="AB2920" t="s">
        <v>38</v>
      </c>
      <c r="AC2920" t="s">
        <v>153</v>
      </c>
      <c r="AD2920" t="s">
        <v>48</v>
      </c>
      <c r="AG2920" t="str">
        <f>IF(AD2920="United States", IFERROR(INDEX(Sheet2!$C:$C, MATCH(AE2920&amp;AF2920, Sheet2!$E:$E, 0)) &amp; ", " &amp; INDEX(Sheet2!$D:$D, MATCH(AE2920&amp;AF2920, Sheet2!$E:$E, 0)), ""), "-")</f>
        <v/>
      </c>
    </row>
    <row r="2921" spans="1:33" x14ac:dyDescent="0.25">
      <c r="A2921" t="s">
        <v>4448</v>
      </c>
      <c r="B2921" t="s">
        <v>4457</v>
      </c>
      <c r="C2921" t="s">
        <v>4454</v>
      </c>
      <c r="D2921" t="s">
        <v>63</v>
      </c>
      <c r="E2921" t="s">
        <v>4458</v>
      </c>
      <c r="F2921">
        <v>1768</v>
      </c>
      <c r="G2921">
        <v>836</v>
      </c>
      <c r="H2921" t="s">
        <v>634</v>
      </c>
      <c r="I2921" t="s">
        <v>39</v>
      </c>
      <c r="J2921" t="s">
        <v>4456</v>
      </c>
      <c r="K2921" t="s">
        <v>38</v>
      </c>
      <c r="L2921" t="s">
        <v>38</v>
      </c>
      <c r="M2921" t="s">
        <v>38</v>
      </c>
      <c r="N2921" t="s">
        <v>38</v>
      </c>
      <c r="O2921" t="s">
        <v>54</v>
      </c>
      <c r="P2921" t="s">
        <v>42</v>
      </c>
      <c r="Q2921" t="s">
        <v>43</v>
      </c>
      <c r="R2921" t="s">
        <v>89</v>
      </c>
      <c r="S2921" t="s">
        <v>45</v>
      </c>
      <c r="T2921" t="s">
        <v>89</v>
      </c>
      <c r="U2921" t="s">
        <v>136</v>
      </c>
      <c r="V2921" t="s">
        <v>46</v>
      </c>
      <c r="W2921" t="s">
        <v>92</v>
      </c>
      <c r="X2921" t="s">
        <v>93</v>
      </c>
      <c r="Y2921" t="s">
        <v>4459</v>
      </c>
      <c r="Z2921" t="s">
        <v>42</v>
      </c>
      <c r="AA2921" t="s">
        <v>1059</v>
      </c>
      <c r="AB2921" t="s">
        <v>38</v>
      </c>
      <c r="AC2921" t="s">
        <v>45</v>
      </c>
      <c r="AD2921" t="s">
        <v>48</v>
      </c>
      <c r="AG2921" t="str">
        <f>IF(AD2921="United States", IFERROR(INDEX(Sheet2!$C:$C, MATCH(AE2921&amp;AF2921, Sheet2!$E:$E, 0)) &amp; ", " &amp; INDEX(Sheet2!$D:$D, MATCH(AE2921&amp;AF2921, Sheet2!$E:$E, 0)), ""), "-")</f>
        <v/>
      </c>
    </row>
    <row r="2922" spans="1:33" x14ac:dyDescent="0.25">
      <c r="A2922" t="s">
        <v>4448</v>
      </c>
      <c r="B2922" t="s">
        <v>4460</v>
      </c>
      <c r="C2922" t="s">
        <v>4454</v>
      </c>
      <c r="D2922" t="s">
        <v>1164</v>
      </c>
      <c r="E2922" t="s">
        <v>635</v>
      </c>
      <c r="F2922">
        <v>1759</v>
      </c>
      <c r="G2922">
        <v>835</v>
      </c>
      <c r="H2922" t="s">
        <v>634</v>
      </c>
      <c r="I2922" t="s">
        <v>39</v>
      </c>
      <c r="J2922" t="s">
        <v>4456</v>
      </c>
      <c r="K2922" t="s">
        <v>38</v>
      </c>
      <c r="L2922" t="s">
        <v>38</v>
      </c>
      <c r="M2922" t="s">
        <v>38</v>
      </c>
      <c r="N2922" t="s">
        <v>38</v>
      </c>
      <c r="O2922" t="s">
        <v>57</v>
      </c>
      <c r="P2922" t="s">
        <v>42</v>
      </c>
      <c r="Q2922" t="s">
        <v>43</v>
      </c>
      <c r="R2922" t="s">
        <v>89</v>
      </c>
      <c r="S2922" t="s">
        <v>89</v>
      </c>
      <c r="T2922" t="s">
        <v>89</v>
      </c>
      <c r="U2922" t="s">
        <v>136</v>
      </c>
      <c r="V2922" t="s">
        <v>46</v>
      </c>
      <c r="W2922" t="s">
        <v>92</v>
      </c>
      <c r="X2922" t="s">
        <v>93</v>
      </c>
      <c r="Y2922" t="s">
        <v>4461</v>
      </c>
      <c r="Z2922" t="s">
        <v>42</v>
      </c>
      <c r="AA2922" t="s">
        <v>38</v>
      </c>
      <c r="AB2922" t="s">
        <v>38</v>
      </c>
      <c r="AC2922" t="s">
        <v>89</v>
      </c>
      <c r="AD2922" t="s">
        <v>48</v>
      </c>
      <c r="AG2922" t="str">
        <f>IF(AD2922="United States", IFERROR(INDEX(Sheet2!$C:$C, MATCH(AE2922&amp;AF2922, Sheet2!$E:$E, 0)) &amp; ", " &amp; INDEX(Sheet2!$D:$D, MATCH(AE2922&amp;AF2922, Sheet2!$E:$E, 0)), ""), "-")</f>
        <v/>
      </c>
    </row>
    <row r="2923" spans="1:33" x14ac:dyDescent="0.25">
      <c r="A2923" t="s">
        <v>4448</v>
      </c>
      <c r="B2923" t="s">
        <v>4462</v>
      </c>
      <c r="C2923" t="s">
        <v>4454</v>
      </c>
      <c r="D2923" t="s">
        <v>210</v>
      </c>
      <c r="E2923" t="s">
        <v>635</v>
      </c>
      <c r="F2923">
        <v>1758</v>
      </c>
      <c r="G2923">
        <v>834</v>
      </c>
      <c r="H2923" t="s">
        <v>1810</v>
      </c>
      <c r="I2923" t="s">
        <v>39</v>
      </c>
      <c r="J2923" t="s">
        <v>4456</v>
      </c>
      <c r="K2923" t="s">
        <v>38</v>
      </c>
      <c r="L2923" t="s">
        <v>38</v>
      </c>
      <c r="M2923" t="s">
        <v>38</v>
      </c>
      <c r="N2923" t="s">
        <v>38</v>
      </c>
      <c r="O2923" t="s">
        <v>41</v>
      </c>
      <c r="P2923" t="s">
        <v>42</v>
      </c>
      <c r="Q2923" t="s">
        <v>43</v>
      </c>
      <c r="R2923" t="s">
        <v>89</v>
      </c>
      <c r="S2923" t="s">
        <v>38</v>
      </c>
      <c r="T2923" t="s">
        <v>89</v>
      </c>
      <c r="U2923" t="s">
        <v>136</v>
      </c>
      <c r="V2923" t="s">
        <v>46</v>
      </c>
      <c r="W2923" t="s">
        <v>92</v>
      </c>
      <c r="X2923" t="s">
        <v>93</v>
      </c>
      <c r="Y2923" t="s">
        <v>4461</v>
      </c>
      <c r="Z2923" t="s">
        <v>42</v>
      </c>
      <c r="AA2923" t="s">
        <v>38</v>
      </c>
      <c r="AB2923" t="s">
        <v>38</v>
      </c>
      <c r="AC2923" t="s">
        <v>233</v>
      </c>
      <c r="AD2923" t="s">
        <v>48</v>
      </c>
      <c r="AG2923" t="str">
        <f>IF(AD2923="United States", IFERROR(INDEX(Sheet2!$C:$C, MATCH(AE2923&amp;AF2923, Sheet2!$E:$E, 0)) &amp; ", " &amp; INDEX(Sheet2!$D:$D, MATCH(AE2923&amp;AF2923, Sheet2!$E:$E, 0)), ""), "-")</f>
        <v/>
      </c>
    </row>
    <row r="2924" spans="1:33" x14ac:dyDescent="0.25">
      <c r="A2924" t="s">
        <v>4448</v>
      </c>
      <c r="B2924" t="s">
        <v>4463</v>
      </c>
      <c r="C2924" t="s">
        <v>4464</v>
      </c>
      <c r="D2924" t="s">
        <v>210</v>
      </c>
      <c r="E2924" t="s">
        <v>2885</v>
      </c>
      <c r="F2924">
        <v>1738</v>
      </c>
      <c r="G2924">
        <v>580</v>
      </c>
      <c r="H2924" t="s">
        <v>1810</v>
      </c>
      <c r="I2924" t="s">
        <v>39</v>
      </c>
      <c r="J2924" t="s">
        <v>4456</v>
      </c>
      <c r="K2924" t="s">
        <v>38</v>
      </c>
      <c r="L2924" t="s">
        <v>38</v>
      </c>
      <c r="M2924" t="s">
        <v>38</v>
      </c>
      <c r="N2924" t="s">
        <v>38</v>
      </c>
      <c r="O2924" t="s">
        <v>41</v>
      </c>
      <c r="P2924" t="s">
        <v>42</v>
      </c>
      <c r="Q2924" t="s">
        <v>43</v>
      </c>
      <c r="R2924" t="s">
        <v>89</v>
      </c>
      <c r="S2924" t="s">
        <v>201</v>
      </c>
      <c r="T2924" t="s">
        <v>89</v>
      </c>
      <c r="U2924" t="s">
        <v>136</v>
      </c>
      <c r="V2924" t="s">
        <v>137</v>
      </c>
      <c r="W2924" t="s">
        <v>92</v>
      </c>
      <c r="X2924" t="s">
        <v>93</v>
      </c>
      <c r="Y2924" t="s">
        <v>4465</v>
      </c>
      <c r="Z2924" t="s">
        <v>42</v>
      </c>
      <c r="AA2924" t="s">
        <v>4466</v>
      </c>
      <c r="AB2924" t="s">
        <v>38</v>
      </c>
      <c r="AC2924" t="s">
        <v>201</v>
      </c>
      <c r="AD2924" t="s">
        <v>48</v>
      </c>
      <c r="AG2924" t="str">
        <f>IF(AD2924="United States", IFERROR(INDEX(Sheet2!$C:$C, MATCH(AE2924&amp;AF2924, Sheet2!$E:$E, 0)) &amp; ", " &amp; INDEX(Sheet2!$D:$D, MATCH(AE2924&amp;AF2924, Sheet2!$E:$E, 0)), ""), "-")</f>
        <v/>
      </c>
    </row>
    <row r="2925" spans="1:33" x14ac:dyDescent="0.25">
      <c r="A2925" t="s">
        <v>4448</v>
      </c>
      <c r="B2925" t="s">
        <v>4467</v>
      </c>
      <c r="C2925" t="s">
        <v>4464</v>
      </c>
      <c r="D2925" t="s">
        <v>222</v>
      </c>
      <c r="E2925" t="s">
        <v>4468</v>
      </c>
      <c r="F2925">
        <v>1743</v>
      </c>
      <c r="G2925">
        <v>581</v>
      </c>
      <c r="H2925" t="s">
        <v>1810</v>
      </c>
      <c r="I2925" t="s">
        <v>39</v>
      </c>
      <c r="J2925" t="s">
        <v>4456</v>
      </c>
      <c r="K2925" t="s">
        <v>38</v>
      </c>
      <c r="L2925" t="s">
        <v>38</v>
      </c>
      <c r="M2925" t="s">
        <v>38</v>
      </c>
      <c r="N2925" t="s">
        <v>38</v>
      </c>
      <c r="O2925" t="s">
        <v>74</v>
      </c>
      <c r="P2925" t="s">
        <v>42</v>
      </c>
      <c r="Q2925" t="s">
        <v>43</v>
      </c>
      <c r="R2925" t="s">
        <v>89</v>
      </c>
      <c r="S2925" t="s">
        <v>89</v>
      </c>
      <c r="T2925" t="s">
        <v>89</v>
      </c>
      <c r="U2925" t="s">
        <v>136</v>
      </c>
      <c r="V2925" t="s">
        <v>137</v>
      </c>
      <c r="W2925" t="s">
        <v>92</v>
      </c>
      <c r="X2925" t="s">
        <v>93</v>
      </c>
      <c r="Y2925" t="s">
        <v>4465</v>
      </c>
      <c r="Z2925" t="s">
        <v>42</v>
      </c>
      <c r="AA2925" t="s">
        <v>38</v>
      </c>
      <c r="AB2925" t="s">
        <v>38</v>
      </c>
      <c r="AC2925" t="s">
        <v>89</v>
      </c>
      <c r="AD2925" t="s">
        <v>48</v>
      </c>
      <c r="AG2925" t="str">
        <f>IF(AD2925="United States", IFERROR(INDEX(Sheet2!$C:$C, MATCH(AE2925&amp;AF2925, Sheet2!$E:$E, 0)) &amp; ", " &amp; INDEX(Sheet2!$D:$D, MATCH(AE2925&amp;AF2925, Sheet2!$E:$E, 0)), ""), "-")</f>
        <v/>
      </c>
    </row>
    <row r="2926" spans="1:33" x14ac:dyDescent="0.25">
      <c r="A2926" t="s">
        <v>4448</v>
      </c>
      <c r="B2926" t="s">
        <v>4469</v>
      </c>
      <c r="C2926" t="s">
        <v>4464</v>
      </c>
      <c r="D2926" t="s">
        <v>132</v>
      </c>
      <c r="E2926" t="s">
        <v>4470</v>
      </c>
      <c r="F2926">
        <v>1762</v>
      </c>
      <c r="G2926">
        <v>582</v>
      </c>
      <c r="H2926" t="s">
        <v>1810</v>
      </c>
      <c r="I2926" t="s">
        <v>39</v>
      </c>
      <c r="J2926" t="s">
        <v>4456</v>
      </c>
      <c r="K2926" t="s">
        <v>38</v>
      </c>
      <c r="L2926" t="s">
        <v>38</v>
      </c>
      <c r="M2926" t="s">
        <v>38</v>
      </c>
      <c r="N2926" t="s">
        <v>38</v>
      </c>
      <c r="O2926" t="s">
        <v>41</v>
      </c>
      <c r="P2926" t="s">
        <v>42</v>
      </c>
      <c r="Q2926" t="s">
        <v>43</v>
      </c>
      <c r="R2926" t="s">
        <v>89</v>
      </c>
      <c r="S2926" t="s">
        <v>38</v>
      </c>
      <c r="T2926" t="s">
        <v>89</v>
      </c>
      <c r="U2926" t="s">
        <v>136</v>
      </c>
      <c r="V2926" t="s">
        <v>137</v>
      </c>
      <c r="W2926" t="s">
        <v>92</v>
      </c>
      <c r="X2926" t="s">
        <v>93</v>
      </c>
      <c r="Y2926" t="s">
        <v>4471</v>
      </c>
      <c r="Z2926" t="s">
        <v>42</v>
      </c>
      <c r="AA2926" t="s">
        <v>38</v>
      </c>
      <c r="AB2926" t="s">
        <v>38</v>
      </c>
      <c r="AC2926" t="s">
        <v>120</v>
      </c>
      <c r="AD2926" t="s">
        <v>48</v>
      </c>
      <c r="AG2926" t="str">
        <f>IF(AD2926="United States", IFERROR(INDEX(Sheet2!$C:$C, MATCH(AE2926&amp;AF2926, Sheet2!$E:$E, 0)) &amp; ", " &amp; INDEX(Sheet2!$D:$D, MATCH(AE2926&amp;AF2926, Sheet2!$E:$E, 0)), ""), "-")</f>
        <v/>
      </c>
    </row>
    <row r="2927" spans="1:33" x14ac:dyDescent="0.25">
      <c r="A2927" t="s">
        <v>4448</v>
      </c>
      <c r="B2927" t="s">
        <v>4472</v>
      </c>
      <c r="C2927" t="s">
        <v>4464</v>
      </c>
      <c r="D2927" t="s">
        <v>245</v>
      </c>
      <c r="E2927" t="s">
        <v>4473</v>
      </c>
      <c r="F2927">
        <v>1758</v>
      </c>
      <c r="G2927">
        <v>584</v>
      </c>
      <c r="H2927" t="s">
        <v>1810</v>
      </c>
      <c r="I2927" t="s">
        <v>39</v>
      </c>
      <c r="J2927" t="s">
        <v>4456</v>
      </c>
      <c r="K2927" t="s">
        <v>38</v>
      </c>
      <c r="L2927" t="s">
        <v>38</v>
      </c>
      <c r="M2927" t="s">
        <v>38</v>
      </c>
      <c r="N2927" t="s">
        <v>38</v>
      </c>
      <c r="O2927" t="s">
        <v>74</v>
      </c>
      <c r="P2927" t="s">
        <v>42</v>
      </c>
      <c r="Q2927" t="s">
        <v>43</v>
      </c>
      <c r="R2927" t="s">
        <v>89</v>
      </c>
      <c r="S2927" t="s">
        <v>286</v>
      </c>
      <c r="T2927" t="s">
        <v>89</v>
      </c>
      <c r="U2927" t="s">
        <v>136</v>
      </c>
      <c r="V2927" t="s">
        <v>137</v>
      </c>
      <c r="W2927" t="s">
        <v>92</v>
      </c>
      <c r="X2927" t="s">
        <v>93</v>
      </c>
      <c r="Y2927" t="s">
        <v>4474</v>
      </c>
      <c r="Z2927" t="s">
        <v>42</v>
      </c>
      <c r="AA2927" t="s">
        <v>38</v>
      </c>
      <c r="AB2927" t="s">
        <v>38</v>
      </c>
      <c r="AC2927" t="s">
        <v>286</v>
      </c>
      <c r="AD2927" t="s">
        <v>48</v>
      </c>
      <c r="AG2927" t="str">
        <f>IF(AD2927="United States", IFERROR(INDEX(Sheet2!$C:$C, MATCH(AE2927&amp;AF2927, Sheet2!$E:$E, 0)) &amp; ", " &amp; INDEX(Sheet2!$D:$D, MATCH(AE2927&amp;AF2927, Sheet2!$E:$E, 0)), ""), "-")</f>
        <v/>
      </c>
    </row>
    <row r="2928" spans="1:33" x14ac:dyDescent="0.25">
      <c r="A2928" t="s">
        <v>4448</v>
      </c>
      <c r="B2928" t="s">
        <v>4475</v>
      </c>
      <c r="C2928" t="s">
        <v>4464</v>
      </c>
      <c r="D2928" t="s">
        <v>1997</v>
      </c>
      <c r="E2928" t="s">
        <v>4476</v>
      </c>
      <c r="F2928">
        <v>1753</v>
      </c>
      <c r="G2928">
        <v>585</v>
      </c>
      <c r="H2928" t="s">
        <v>1810</v>
      </c>
      <c r="I2928" t="s">
        <v>39</v>
      </c>
      <c r="J2928" t="s">
        <v>4456</v>
      </c>
      <c r="K2928" t="s">
        <v>38</v>
      </c>
      <c r="L2928" t="s">
        <v>38</v>
      </c>
      <c r="M2928" t="s">
        <v>38</v>
      </c>
      <c r="N2928" t="s">
        <v>38</v>
      </c>
      <c r="O2928" t="s">
        <v>41</v>
      </c>
      <c r="P2928" t="s">
        <v>42</v>
      </c>
      <c r="Q2928" t="s">
        <v>43</v>
      </c>
      <c r="R2928" t="s">
        <v>89</v>
      </c>
      <c r="S2928" t="s">
        <v>38</v>
      </c>
      <c r="T2928" t="s">
        <v>89</v>
      </c>
      <c r="U2928" t="s">
        <v>136</v>
      </c>
      <c r="V2928" t="s">
        <v>137</v>
      </c>
      <c r="W2928" t="s">
        <v>92</v>
      </c>
      <c r="X2928" t="s">
        <v>93</v>
      </c>
      <c r="Y2928" t="s">
        <v>4477</v>
      </c>
      <c r="Z2928" t="s">
        <v>42</v>
      </c>
      <c r="AA2928" t="s">
        <v>166</v>
      </c>
      <c r="AB2928" t="s">
        <v>4478</v>
      </c>
      <c r="AC2928" t="s">
        <v>672</v>
      </c>
      <c r="AD2928" t="s">
        <v>672</v>
      </c>
      <c r="AG2928" t="str">
        <f>IF(AD2928="United States", IFERROR(INDEX(Sheet2!$C:$C, MATCH(AE2928&amp;AF2928, Sheet2!$E:$E, 0)) &amp; ", " &amp; INDEX(Sheet2!$D:$D, MATCH(AE2928&amp;AF2928, Sheet2!$E:$E, 0)), ""), "-")</f>
        <v>-</v>
      </c>
    </row>
    <row r="2929" spans="1:33" x14ac:dyDescent="0.25">
      <c r="A2929" t="s">
        <v>4448</v>
      </c>
      <c r="B2929" t="s">
        <v>4479</v>
      </c>
      <c r="C2929" t="s">
        <v>4450</v>
      </c>
      <c r="D2929" t="s">
        <v>1174</v>
      </c>
      <c r="E2929" t="s">
        <v>4480</v>
      </c>
      <c r="F2929">
        <v>1753</v>
      </c>
      <c r="G2929">
        <v>1963</v>
      </c>
      <c r="H2929" t="s">
        <v>398</v>
      </c>
      <c r="I2929" t="s">
        <v>80</v>
      </c>
      <c r="J2929" t="s">
        <v>38</v>
      </c>
      <c r="K2929" t="s">
        <v>38</v>
      </c>
      <c r="L2929" t="s">
        <v>38</v>
      </c>
      <c r="M2929" t="s">
        <v>38</v>
      </c>
      <c r="N2929" t="s">
        <v>38</v>
      </c>
      <c r="O2929" t="s">
        <v>41</v>
      </c>
      <c r="P2929" t="s">
        <v>42</v>
      </c>
      <c r="Q2929" t="s">
        <v>43</v>
      </c>
      <c r="R2929" t="s">
        <v>89</v>
      </c>
      <c r="S2929" t="s">
        <v>153</v>
      </c>
      <c r="T2929" t="s">
        <v>89</v>
      </c>
      <c r="U2929" t="s">
        <v>136</v>
      </c>
      <c r="V2929" t="s">
        <v>91</v>
      </c>
      <c r="W2929" t="s">
        <v>92</v>
      </c>
      <c r="X2929" t="s">
        <v>93</v>
      </c>
      <c r="Y2929" t="s">
        <v>4481</v>
      </c>
      <c r="Z2929" t="s">
        <v>42</v>
      </c>
      <c r="AA2929" t="s">
        <v>4482</v>
      </c>
      <c r="AB2929" t="s">
        <v>38</v>
      </c>
      <c r="AC2929" t="s">
        <v>153</v>
      </c>
      <c r="AD2929" t="s">
        <v>48</v>
      </c>
      <c r="AG2929" t="str">
        <f>IF(AD2929="United States", IFERROR(INDEX(Sheet2!$C:$C, MATCH(AE2929&amp;AF2929, Sheet2!$E:$E, 0)) &amp; ", " &amp; INDEX(Sheet2!$D:$D, MATCH(AE2929&amp;AF2929, Sheet2!$E:$E, 0)), ""), "-")</f>
        <v/>
      </c>
    </row>
    <row r="2930" spans="1:33" x14ac:dyDescent="0.25">
      <c r="A2930" t="s">
        <v>4448</v>
      </c>
      <c r="B2930" t="s">
        <v>4483</v>
      </c>
      <c r="C2930" t="s">
        <v>4450</v>
      </c>
      <c r="D2930" t="s">
        <v>1164</v>
      </c>
      <c r="E2930" t="s">
        <v>4480</v>
      </c>
      <c r="F2930">
        <v>1754</v>
      </c>
      <c r="G2930">
        <v>1964</v>
      </c>
      <c r="H2930" t="s">
        <v>634</v>
      </c>
      <c r="I2930" t="s">
        <v>80</v>
      </c>
      <c r="J2930" t="s">
        <v>38</v>
      </c>
      <c r="K2930" t="s">
        <v>38</v>
      </c>
      <c r="L2930" t="s">
        <v>38</v>
      </c>
      <c r="M2930" t="s">
        <v>38</v>
      </c>
      <c r="N2930" t="s">
        <v>38</v>
      </c>
      <c r="O2930" t="s">
        <v>57</v>
      </c>
      <c r="P2930" t="s">
        <v>42</v>
      </c>
      <c r="Q2930" t="s">
        <v>43</v>
      </c>
      <c r="R2930" t="s">
        <v>89</v>
      </c>
      <c r="S2930" t="s">
        <v>153</v>
      </c>
      <c r="T2930" t="s">
        <v>89</v>
      </c>
      <c r="U2930" t="s">
        <v>136</v>
      </c>
      <c r="V2930" t="s">
        <v>91</v>
      </c>
      <c r="W2930" t="s">
        <v>92</v>
      </c>
      <c r="X2930" t="s">
        <v>93</v>
      </c>
      <c r="Y2930" t="s">
        <v>4481</v>
      </c>
      <c r="Z2930" t="s">
        <v>42</v>
      </c>
      <c r="AA2930" t="s">
        <v>4482</v>
      </c>
      <c r="AB2930" t="s">
        <v>153</v>
      </c>
      <c r="AC2930" t="s">
        <v>155</v>
      </c>
      <c r="AD2930" t="s">
        <v>48</v>
      </c>
      <c r="AG2930" t="str">
        <f>IF(AD2930="United States", IFERROR(INDEX(Sheet2!$C:$C, MATCH(AE2930&amp;AF2930, Sheet2!$E:$E, 0)) &amp; ", " &amp; INDEX(Sheet2!$D:$D, MATCH(AE2930&amp;AF2930, Sheet2!$E:$E, 0)), ""), "-")</f>
        <v/>
      </c>
    </row>
    <row r="2931" spans="1:33" x14ac:dyDescent="0.25">
      <c r="A2931" t="s">
        <v>4448</v>
      </c>
      <c r="B2931" t="s">
        <v>4484</v>
      </c>
      <c r="C2931" t="s">
        <v>4485</v>
      </c>
      <c r="D2931" t="s">
        <v>1491</v>
      </c>
      <c r="E2931" t="s">
        <v>38</v>
      </c>
      <c r="F2931">
        <v>1775</v>
      </c>
      <c r="G2931">
        <v>440</v>
      </c>
      <c r="H2931" t="s">
        <v>4315</v>
      </c>
      <c r="I2931" t="s">
        <v>39</v>
      </c>
      <c r="J2931" t="s">
        <v>4456</v>
      </c>
      <c r="K2931" t="s">
        <v>38</v>
      </c>
      <c r="L2931" t="s">
        <v>38</v>
      </c>
      <c r="M2931" t="s">
        <v>38</v>
      </c>
      <c r="N2931" t="s">
        <v>38</v>
      </c>
      <c r="O2931" t="s">
        <v>54</v>
      </c>
      <c r="P2931" t="s">
        <v>42</v>
      </c>
      <c r="Q2931" t="s">
        <v>43</v>
      </c>
      <c r="R2931" t="s">
        <v>89</v>
      </c>
      <c r="S2931" t="s">
        <v>38</v>
      </c>
      <c r="T2931" t="s">
        <v>89</v>
      </c>
      <c r="U2931" t="s">
        <v>136</v>
      </c>
      <c r="V2931" t="s">
        <v>137</v>
      </c>
      <c r="W2931" t="s">
        <v>92</v>
      </c>
      <c r="X2931" t="s">
        <v>93</v>
      </c>
      <c r="Y2931" t="s">
        <v>38</v>
      </c>
      <c r="Z2931" t="s">
        <v>42</v>
      </c>
      <c r="AA2931" t="s">
        <v>38</v>
      </c>
      <c r="AB2931" t="s">
        <v>38</v>
      </c>
      <c r="AC2931" t="s">
        <v>38</v>
      </c>
      <c r="AD2931" t="s">
        <v>48</v>
      </c>
      <c r="AG2931" t="str">
        <f>IF(AD2931="United States", IFERROR(INDEX(Sheet2!$C:$C, MATCH(AE2931&amp;AF2931, Sheet2!$E:$E, 0)) &amp; ", " &amp; INDEX(Sheet2!$D:$D, MATCH(AE2931&amp;AF2931, Sheet2!$E:$E, 0)), ""), "-")</f>
        <v/>
      </c>
    </row>
    <row r="2932" spans="1:33" x14ac:dyDescent="0.25">
      <c r="A2932" t="s">
        <v>4448</v>
      </c>
      <c r="B2932" t="s">
        <v>4486</v>
      </c>
      <c r="C2932" t="s">
        <v>4450</v>
      </c>
      <c r="D2932" t="s">
        <v>36</v>
      </c>
      <c r="E2932" t="s">
        <v>4451</v>
      </c>
      <c r="F2932">
        <v>1756</v>
      </c>
      <c r="G2932">
        <v>1965</v>
      </c>
      <c r="H2932" t="s">
        <v>298</v>
      </c>
      <c r="I2932" t="s">
        <v>80</v>
      </c>
      <c r="J2932" t="s">
        <v>38</v>
      </c>
      <c r="K2932" t="s">
        <v>38</v>
      </c>
      <c r="L2932" t="s">
        <v>38</v>
      </c>
      <c r="M2932" t="s">
        <v>38</v>
      </c>
      <c r="N2932" t="s">
        <v>38</v>
      </c>
      <c r="O2932" t="s">
        <v>41</v>
      </c>
      <c r="P2932" t="s">
        <v>42</v>
      </c>
      <c r="Q2932" t="s">
        <v>43</v>
      </c>
      <c r="R2932" t="s">
        <v>89</v>
      </c>
      <c r="S2932" t="s">
        <v>38</v>
      </c>
      <c r="T2932" t="s">
        <v>89</v>
      </c>
      <c r="U2932" t="s">
        <v>136</v>
      </c>
      <c r="V2932" t="s">
        <v>91</v>
      </c>
      <c r="W2932" t="s">
        <v>92</v>
      </c>
      <c r="X2932" t="s">
        <v>93</v>
      </c>
      <c r="Y2932" t="s">
        <v>4452</v>
      </c>
      <c r="Z2932" t="s">
        <v>42</v>
      </c>
      <c r="AA2932" t="s">
        <v>4487</v>
      </c>
      <c r="AB2932" t="s">
        <v>38</v>
      </c>
      <c r="AC2932" t="s">
        <v>70</v>
      </c>
      <c r="AD2932" t="s">
        <v>48</v>
      </c>
      <c r="AG2932" t="str">
        <f>IF(AD2932="United States", IFERROR(INDEX(Sheet2!$C:$C, MATCH(AE2932&amp;AF2932, Sheet2!$E:$E, 0)) &amp; ", " &amp; INDEX(Sheet2!$D:$D, MATCH(AE2932&amp;AF2932, Sheet2!$E:$E, 0)), ""), "-")</f>
        <v/>
      </c>
    </row>
    <row r="2933" spans="1:33" x14ac:dyDescent="0.25">
      <c r="A2933" t="s">
        <v>4448</v>
      </c>
      <c r="D2933" t="s">
        <v>4488</v>
      </c>
      <c r="E2933" t="s">
        <v>2953</v>
      </c>
      <c r="F2933">
        <v>1743</v>
      </c>
      <c r="G2933">
        <v>640</v>
      </c>
      <c r="H2933">
        <v>31</v>
      </c>
      <c r="J2933" t="s">
        <v>4456</v>
      </c>
      <c r="O2933" t="s">
        <v>57</v>
      </c>
      <c r="R2933" t="s">
        <v>89</v>
      </c>
      <c r="T2933" t="s">
        <v>89</v>
      </c>
      <c r="U2933" t="s">
        <v>136</v>
      </c>
      <c r="V2933" t="s">
        <v>137</v>
      </c>
      <c r="W2933" t="s">
        <v>92</v>
      </c>
      <c r="X2933" t="s">
        <v>93</v>
      </c>
      <c r="Y2933" t="s">
        <v>38</v>
      </c>
      <c r="AA2933" t="s">
        <v>38</v>
      </c>
      <c r="AB2933" t="s">
        <v>38</v>
      </c>
      <c r="AC2933" t="s">
        <v>38</v>
      </c>
      <c r="AD2933" t="s">
        <v>48</v>
      </c>
      <c r="AG2933" t="str">
        <f>IF(AD2933="United States", IFERROR(INDEX(Sheet2!$C:$C, MATCH(AE2933&amp;AF2933, Sheet2!$E:$E, 0)) &amp; ", " &amp; INDEX(Sheet2!$D:$D, MATCH(AE2933&amp;AF2933, Sheet2!$E:$E, 0)), ""), "-")</f>
        <v/>
      </c>
    </row>
    <row r="2934" spans="1:33" x14ac:dyDescent="0.25">
      <c r="A2934" t="s">
        <v>4448</v>
      </c>
      <c r="B2934" t="s">
        <v>4489</v>
      </c>
      <c r="C2934" t="s">
        <v>4464</v>
      </c>
      <c r="D2934" t="s">
        <v>1491</v>
      </c>
      <c r="E2934" t="s">
        <v>1175</v>
      </c>
      <c r="F2934">
        <v>1756</v>
      </c>
      <c r="G2934">
        <v>583</v>
      </c>
      <c r="H2934" t="s">
        <v>4315</v>
      </c>
      <c r="I2934" t="s">
        <v>39</v>
      </c>
      <c r="J2934" t="s">
        <v>4456</v>
      </c>
      <c r="K2934" t="s">
        <v>38</v>
      </c>
      <c r="L2934" t="s">
        <v>38</v>
      </c>
      <c r="M2934" t="s">
        <v>38</v>
      </c>
      <c r="N2934" t="s">
        <v>38</v>
      </c>
      <c r="O2934" t="s">
        <v>41</v>
      </c>
      <c r="P2934" t="s">
        <v>42</v>
      </c>
      <c r="Q2934" t="s">
        <v>43</v>
      </c>
      <c r="R2934" t="s">
        <v>89</v>
      </c>
      <c r="S2934" t="s">
        <v>286</v>
      </c>
      <c r="T2934" t="s">
        <v>89</v>
      </c>
      <c r="U2934" t="s">
        <v>136</v>
      </c>
      <c r="V2934" t="s">
        <v>137</v>
      </c>
      <c r="W2934" t="s">
        <v>92</v>
      </c>
      <c r="X2934" t="s">
        <v>93</v>
      </c>
      <c r="Y2934" t="s">
        <v>4474</v>
      </c>
      <c r="Z2934" t="s">
        <v>42</v>
      </c>
      <c r="AA2934" t="s">
        <v>38</v>
      </c>
      <c r="AB2934" t="s">
        <v>38</v>
      </c>
      <c r="AC2934" t="s">
        <v>286</v>
      </c>
      <c r="AD2934" t="s">
        <v>48</v>
      </c>
      <c r="AG2934" t="str">
        <f>IF(AD2934="United States", IFERROR(INDEX(Sheet2!$C:$C, MATCH(AE2934&amp;AF2934, Sheet2!$E:$E, 0)) &amp; ", " &amp; INDEX(Sheet2!$D:$D, MATCH(AE2934&amp;AF2934, Sheet2!$E:$E, 0)), ""), "-")</f>
        <v/>
      </c>
    </row>
    <row r="2935" spans="1:33" x14ac:dyDescent="0.25">
      <c r="A2935" t="s">
        <v>4448</v>
      </c>
      <c r="D2935" t="s">
        <v>181</v>
      </c>
      <c r="E2935" t="s">
        <v>222</v>
      </c>
      <c r="F2935" t="s">
        <v>38</v>
      </c>
      <c r="G2935">
        <v>641</v>
      </c>
      <c r="H2935">
        <v>31</v>
      </c>
      <c r="J2935" t="s">
        <v>4456</v>
      </c>
      <c r="O2935" t="s">
        <v>54</v>
      </c>
      <c r="R2935" t="s">
        <v>89</v>
      </c>
      <c r="T2935" t="s">
        <v>89</v>
      </c>
      <c r="U2935" t="s">
        <v>136</v>
      </c>
      <c r="V2935" t="s">
        <v>137</v>
      </c>
      <c r="W2935" t="s">
        <v>92</v>
      </c>
      <c r="X2935" t="s">
        <v>93</v>
      </c>
      <c r="Y2935" t="s">
        <v>38</v>
      </c>
      <c r="AA2935" t="s">
        <v>38</v>
      </c>
      <c r="AB2935" t="s">
        <v>38</v>
      </c>
      <c r="AC2935" t="s">
        <v>38</v>
      </c>
      <c r="AD2935" t="s">
        <v>48</v>
      </c>
      <c r="AG2935" t="str">
        <f>IF(AD2935="United States", IFERROR(INDEX(Sheet2!$C:$C, MATCH(AE2935&amp;AF2935, Sheet2!$E:$E, 0)) &amp; ", " &amp; INDEX(Sheet2!$D:$D, MATCH(AE2935&amp;AF2935, Sheet2!$E:$E, 0)), ""), "-")</f>
        <v/>
      </c>
    </row>
    <row r="2936" spans="1:33" x14ac:dyDescent="0.25">
      <c r="A2936" t="s">
        <v>4448</v>
      </c>
      <c r="B2936" t="s">
        <v>4490</v>
      </c>
      <c r="C2936" t="s">
        <v>4485</v>
      </c>
      <c r="D2936" t="s">
        <v>256</v>
      </c>
      <c r="E2936" t="s">
        <v>38</v>
      </c>
      <c r="F2936">
        <v>1755</v>
      </c>
      <c r="G2936">
        <v>439</v>
      </c>
      <c r="H2936" t="s">
        <v>4315</v>
      </c>
      <c r="I2936" t="s">
        <v>39</v>
      </c>
      <c r="J2936" t="s">
        <v>4456</v>
      </c>
      <c r="K2936" t="s">
        <v>38</v>
      </c>
      <c r="L2936" t="s">
        <v>38</v>
      </c>
      <c r="M2936" t="s">
        <v>38</v>
      </c>
      <c r="N2936" t="s">
        <v>38</v>
      </c>
      <c r="O2936" t="s">
        <v>57</v>
      </c>
      <c r="P2936" t="s">
        <v>42</v>
      </c>
      <c r="Q2936" t="s">
        <v>43</v>
      </c>
      <c r="R2936" t="s">
        <v>89</v>
      </c>
      <c r="S2936" t="s">
        <v>38</v>
      </c>
      <c r="T2936" t="s">
        <v>89</v>
      </c>
      <c r="U2936" t="s">
        <v>136</v>
      </c>
      <c r="V2936" t="s">
        <v>137</v>
      </c>
      <c r="W2936" t="s">
        <v>92</v>
      </c>
      <c r="X2936" t="s">
        <v>93</v>
      </c>
      <c r="Y2936" t="s">
        <v>38</v>
      </c>
      <c r="Z2936" t="s">
        <v>42</v>
      </c>
      <c r="AA2936" t="s">
        <v>38</v>
      </c>
      <c r="AB2936" t="s">
        <v>38</v>
      </c>
      <c r="AC2936" t="s">
        <v>38</v>
      </c>
      <c r="AD2936" t="s">
        <v>48</v>
      </c>
      <c r="AG2936" t="str">
        <f>IF(AD2936="United States", IFERROR(INDEX(Sheet2!$C:$C, MATCH(AE2936&amp;AF2936, Sheet2!$E:$E, 0)) &amp; ", " &amp; INDEX(Sheet2!$D:$D, MATCH(AE2936&amp;AF2936, Sheet2!$E:$E, 0)), ""), "-")</f>
        <v/>
      </c>
    </row>
    <row r="2937" spans="1:33" x14ac:dyDescent="0.25">
      <c r="A2937" t="s">
        <v>4448</v>
      </c>
      <c r="B2937" t="s">
        <v>4491</v>
      </c>
      <c r="C2937" t="s">
        <v>4485</v>
      </c>
      <c r="D2937" t="s">
        <v>4492</v>
      </c>
      <c r="E2937" t="s">
        <v>38</v>
      </c>
      <c r="F2937">
        <v>1764</v>
      </c>
      <c r="G2937">
        <v>442</v>
      </c>
      <c r="H2937" t="s">
        <v>4315</v>
      </c>
      <c r="I2937" t="s">
        <v>39</v>
      </c>
      <c r="J2937" t="s">
        <v>4456</v>
      </c>
      <c r="K2937" t="s">
        <v>38</v>
      </c>
      <c r="L2937" t="s">
        <v>38</v>
      </c>
      <c r="M2937" t="s">
        <v>38</v>
      </c>
      <c r="N2937" t="s">
        <v>38</v>
      </c>
      <c r="O2937" t="s">
        <v>57</v>
      </c>
      <c r="P2937" t="s">
        <v>42</v>
      </c>
      <c r="Q2937" t="s">
        <v>43</v>
      </c>
      <c r="R2937" t="s">
        <v>89</v>
      </c>
      <c r="S2937" t="s">
        <v>38</v>
      </c>
      <c r="T2937" t="s">
        <v>89</v>
      </c>
      <c r="U2937" t="s">
        <v>136</v>
      </c>
      <c r="V2937" t="s">
        <v>137</v>
      </c>
      <c r="W2937" t="s">
        <v>92</v>
      </c>
      <c r="X2937" t="s">
        <v>93</v>
      </c>
      <c r="Y2937" t="s">
        <v>4493</v>
      </c>
      <c r="Z2937" t="s">
        <v>42</v>
      </c>
      <c r="AA2937" t="s">
        <v>38</v>
      </c>
      <c r="AB2937" t="s">
        <v>38</v>
      </c>
      <c r="AC2937" t="s">
        <v>60</v>
      </c>
      <c r="AD2937" t="s">
        <v>48</v>
      </c>
      <c r="AG2937" t="str">
        <f>IF(AD2937="United States", IFERROR(INDEX(Sheet2!$C:$C, MATCH(AE2937&amp;AF2937, Sheet2!$E:$E, 0)) &amp; ", " &amp; INDEX(Sheet2!$D:$D, MATCH(AE2937&amp;AF2937, Sheet2!$E:$E, 0)), ""), "-")</f>
        <v/>
      </c>
    </row>
    <row r="2938" spans="1:33" x14ac:dyDescent="0.25">
      <c r="A2938" t="s">
        <v>4448</v>
      </c>
      <c r="B2938" t="s">
        <v>4494</v>
      </c>
      <c r="C2938" t="s">
        <v>4485</v>
      </c>
      <c r="D2938" t="s">
        <v>834</v>
      </c>
      <c r="E2938" t="s">
        <v>4495</v>
      </c>
      <c r="F2938">
        <v>1738</v>
      </c>
      <c r="G2938">
        <v>437</v>
      </c>
      <c r="H2938" t="s">
        <v>298</v>
      </c>
      <c r="I2938" t="s">
        <v>39</v>
      </c>
      <c r="J2938" t="s">
        <v>4456</v>
      </c>
      <c r="K2938" t="s">
        <v>38</v>
      </c>
      <c r="L2938" t="s">
        <v>38</v>
      </c>
      <c r="M2938" t="s">
        <v>38</v>
      </c>
      <c r="N2938" t="s">
        <v>38</v>
      </c>
      <c r="O2938" t="s">
        <v>74</v>
      </c>
      <c r="P2938" t="s">
        <v>42</v>
      </c>
      <c r="Q2938" t="s">
        <v>43</v>
      </c>
      <c r="R2938" t="s">
        <v>89</v>
      </c>
      <c r="S2938" t="s">
        <v>45</v>
      </c>
      <c r="T2938" t="s">
        <v>89</v>
      </c>
      <c r="U2938" t="s">
        <v>136</v>
      </c>
      <c r="V2938" t="s">
        <v>137</v>
      </c>
      <c r="W2938" t="s">
        <v>92</v>
      </c>
      <c r="X2938" t="s">
        <v>93</v>
      </c>
      <c r="Y2938" t="s">
        <v>4496</v>
      </c>
      <c r="Z2938" t="s">
        <v>42</v>
      </c>
      <c r="AA2938" t="s">
        <v>38</v>
      </c>
      <c r="AB2938" t="s">
        <v>38</v>
      </c>
      <c r="AC2938" t="s">
        <v>45</v>
      </c>
      <c r="AD2938" t="s">
        <v>48</v>
      </c>
      <c r="AG2938" t="str">
        <f>IF(AD2938="United States", IFERROR(INDEX(Sheet2!$C:$C, MATCH(AE2938&amp;AF2938, Sheet2!$E:$E, 0)) &amp; ", " &amp; INDEX(Sheet2!$D:$D, MATCH(AE2938&amp;AF2938, Sheet2!$E:$E, 0)), ""), "-")</f>
        <v/>
      </c>
    </row>
    <row r="2939" spans="1:33" x14ac:dyDescent="0.25">
      <c r="A2939" t="s">
        <v>4448</v>
      </c>
      <c r="B2939" t="s">
        <v>4497</v>
      </c>
      <c r="C2939" t="s">
        <v>4485</v>
      </c>
      <c r="D2939" t="s">
        <v>2376</v>
      </c>
      <c r="E2939" t="s">
        <v>4498</v>
      </c>
      <c r="F2939">
        <v>1735</v>
      </c>
      <c r="G2939">
        <v>436</v>
      </c>
      <c r="H2939" t="s">
        <v>298</v>
      </c>
      <c r="I2939" t="s">
        <v>39</v>
      </c>
      <c r="J2939" t="s">
        <v>4456</v>
      </c>
      <c r="K2939" t="s">
        <v>38</v>
      </c>
      <c r="L2939" t="s">
        <v>38</v>
      </c>
      <c r="M2939" t="s">
        <v>38</v>
      </c>
      <c r="N2939" t="s">
        <v>38</v>
      </c>
      <c r="O2939" t="s">
        <v>41</v>
      </c>
      <c r="P2939" t="s">
        <v>42</v>
      </c>
      <c r="Q2939" t="s">
        <v>43</v>
      </c>
      <c r="R2939" t="s">
        <v>89</v>
      </c>
      <c r="S2939" t="s">
        <v>45</v>
      </c>
      <c r="T2939" t="s">
        <v>89</v>
      </c>
      <c r="U2939" t="s">
        <v>136</v>
      </c>
      <c r="V2939" t="s">
        <v>137</v>
      </c>
      <c r="W2939" t="s">
        <v>92</v>
      </c>
      <c r="X2939" t="s">
        <v>93</v>
      </c>
      <c r="Y2939" t="s">
        <v>4496</v>
      </c>
      <c r="Z2939" t="s">
        <v>42</v>
      </c>
      <c r="AA2939" t="s">
        <v>45</v>
      </c>
      <c r="AB2939" t="s">
        <v>38</v>
      </c>
      <c r="AC2939" t="s">
        <v>45</v>
      </c>
      <c r="AD2939" t="s">
        <v>48</v>
      </c>
      <c r="AG2939" t="str">
        <f>IF(AD2939="United States", IFERROR(INDEX(Sheet2!$C:$C, MATCH(AE2939&amp;AF2939, Sheet2!$E:$E, 0)) &amp; ", " &amp; INDEX(Sheet2!$D:$D, MATCH(AE2939&amp;AF2939, Sheet2!$E:$E, 0)), ""), "-")</f>
        <v/>
      </c>
    </row>
    <row r="2940" spans="1:33" x14ac:dyDescent="0.25">
      <c r="A2940" t="s">
        <v>4448</v>
      </c>
      <c r="B2940" t="s">
        <v>4499</v>
      </c>
      <c r="C2940" t="s">
        <v>4485</v>
      </c>
      <c r="D2940" t="s">
        <v>1122</v>
      </c>
      <c r="E2940" t="s">
        <v>4249</v>
      </c>
      <c r="F2940">
        <v>1743</v>
      </c>
      <c r="G2940">
        <v>438</v>
      </c>
      <c r="H2940" t="s">
        <v>298</v>
      </c>
      <c r="I2940" t="s">
        <v>39</v>
      </c>
      <c r="J2940" t="s">
        <v>4456</v>
      </c>
      <c r="K2940" t="s">
        <v>38</v>
      </c>
      <c r="L2940" t="s">
        <v>38</v>
      </c>
      <c r="M2940" t="s">
        <v>38</v>
      </c>
      <c r="N2940" t="s">
        <v>38</v>
      </c>
      <c r="O2940" t="s">
        <v>41</v>
      </c>
      <c r="P2940" t="s">
        <v>42</v>
      </c>
      <c r="Q2940" t="s">
        <v>43</v>
      </c>
      <c r="R2940" t="s">
        <v>89</v>
      </c>
      <c r="S2940" t="s">
        <v>38</v>
      </c>
      <c r="T2940" t="s">
        <v>89</v>
      </c>
      <c r="U2940" t="s">
        <v>136</v>
      </c>
      <c r="V2940" t="s">
        <v>137</v>
      </c>
      <c r="W2940" t="s">
        <v>92</v>
      </c>
      <c r="X2940" t="s">
        <v>93</v>
      </c>
      <c r="Y2940" t="s">
        <v>4500</v>
      </c>
      <c r="Z2940" t="s">
        <v>42</v>
      </c>
      <c r="AA2940" t="s">
        <v>1735</v>
      </c>
      <c r="AB2940" t="s">
        <v>38</v>
      </c>
      <c r="AC2940" t="s">
        <v>70</v>
      </c>
      <c r="AD2940" t="s">
        <v>48</v>
      </c>
      <c r="AG2940" t="str">
        <f>IF(AD2940="United States", IFERROR(INDEX(Sheet2!$C:$C, MATCH(AE2940&amp;AF2940, Sheet2!$E:$E, 0)) &amp; ", " &amp; INDEX(Sheet2!$D:$D, MATCH(AE2940&amp;AF2940, Sheet2!$E:$E, 0)), ""), "-")</f>
        <v/>
      </c>
    </row>
    <row r="2941" spans="1:33" x14ac:dyDescent="0.25">
      <c r="A2941" t="s">
        <v>4448</v>
      </c>
      <c r="B2941" t="s">
        <v>4501</v>
      </c>
      <c r="C2941" t="s">
        <v>4485</v>
      </c>
      <c r="D2941" t="s">
        <v>285</v>
      </c>
      <c r="E2941" t="s">
        <v>104</v>
      </c>
      <c r="F2941">
        <v>1774</v>
      </c>
      <c r="G2941">
        <v>441</v>
      </c>
      <c r="H2941" t="s">
        <v>4315</v>
      </c>
      <c r="I2941" t="s">
        <v>39</v>
      </c>
      <c r="J2941" t="s">
        <v>4456</v>
      </c>
      <c r="K2941" t="s">
        <v>38</v>
      </c>
      <c r="L2941" t="s">
        <v>38</v>
      </c>
      <c r="M2941" t="s">
        <v>38</v>
      </c>
      <c r="N2941" t="s">
        <v>38</v>
      </c>
      <c r="O2941" t="s">
        <v>74</v>
      </c>
      <c r="P2941" t="s">
        <v>42</v>
      </c>
      <c r="Q2941" t="s">
        <v>43</v>
      </c>
      <c r="R2941" t="s">
        <v>89</v>
      </c>
      <c r="S2941" t="s">
        <v>38</v>
      </c>
      <c r="T2941" t="s">
        <v>89</v>
      </c>
      <c r="U2941" t="s">
        <v>136</v>
      </c>
      <c r="V2941" t="s">
        <v>137</v>
      </c>
      <c r="W2941" t="s">
        <v>92</v>
      </c>
      <c r="X2941" t="s">
        <v>93</v>
      </c>
      <c r="Y2941" t="s">
        <v>4500</v>
      </c>
      <c r="Z2941" t="s">
        <v>42</v>
      </c>
      <c r="AA2941" t="s">
        <v>38</v>
      </c>
      <c r="AB2941" t="s">
        <v>38</v>
      </c>
      <c r="AC2941" t="s">
        <v>38</v>
      </c>
      <c r="AD2941" t="s">
        <v>48</v>
      </c>
      <c r="AG2941" t="str">
        <f>IF(AD2941="United States", IFERROR(INDEX(Sheet2!$C:$C, MATCH(AE2941&amp;AF2941, Sheet2!$E:$E, 0)) &amp; ", " &amp; INDEX(Sheet2!$D:$D, MATCH(AE2941&amp;AF2941, Sheet2!$E:$E, 0)), ""), "-")</f>
        <v/>
      </c>
    </row>
    <row r="2942" spans="1:33" x14ac:dyDescent="0.25">
      <c r="A2942" t="s">
        <v>245</v>
      </c>
      <c r="B2942" t="s">
        <v>4502</v>
      </c>
      <c r="C2942" t="s">
        <v>4503</v>
      </c>
      <c r="D2942" t="s">
        <v>394</v>
      </c>
      <c r="E2942" t="s">
        <v>38</v>
      </c>
      <c r="F2942">
        <v>1774</v>
      </c>
      <c r="G2942">
        <v>1167</v>
      </c>
      <c r="H2942" t="s">
        <v>2270</v>
      </c>
      <c r="I2942" t="s">
        <v>80</v>
      </c>
      <c r="J2942" t="s">
        <v>4504</v>
      </c>
      <c r="K2942" t="s">
        <v>38</v>
      </c>
      <c r="L2942" t="s">
        <v>38</v>
      </c>
      <c r="M2942" t="s">
        <v>38</v>
      </c>
      <c r="N2942" t="s">
        <v>38</v>
      </c>
      <c r="O2942" t="s">
        <v>54</v>
      </c>
      <c r="P2942" t="s">
        <v>42</v>
      </c>
      <c r="Q2942" t="s">
        <v>43</v>
      </c>
      <c r="R2942" t="s">
        <v>89</v>
      </c>
      <c r="S2942" t="s">
        <v>38</v>
      </c>
      <c r="T2942" t="s">
        <v>89</v>
      </c>
      <c r="U2942" t="s">
        <v>90</v>
      </c>
      <c r="V2942" t="s">
        <v>597</v>
      </c>
      <c r="W2942" t="s">
        <v>92</v>
      </c>
      <c r="X2942" t="s">
        <v>93</v>
      </c>
      <c r="Y2942" t="s">
        <v>4505</v>
      </c>
      <c r="Z2942" t="s">
        <v>42</v>
      </c>
      <c r="AA2942" t="s">
        <v>38</v>
      </c>
      <c r="AB2942" t="s">
        <v>38</v>
      </c>
      <c r="AC2942" t="s">
        <v>597</v>
      </c>
      <c r="AD2942" t="s">
        <v>48</v>
      </c>
      <c r="AG2942" t="str">
        <f>IF(AD2942="United States", IFERROR(INDEX(Sheet2!$C:$C, MATCH(AE2942&amp;AF2942, Sheet2!$E:$E, 0)) &amp; ", " &amp; INDEX(Sheet2!$D:$D, MATCH(AE2942&amp;AF2942, Sheet2!$E:$E, 0)), ""), "-")</f>
        <v/>
      </c>
    </row>
    <row r="2943" spans="1:33" x14ac:dyDescent="0.25">
      <c r="A2943" t="s">
        <v>245</v>
      </c>
      <c r="B2943" t="s">
        <v>4506</v>
      </c>
      <c r="C2943" t="s">
        <v>4503</v>
      </c>
      <c r="D2943" t="s">
        <v>927</v>
      </c>
      <c r="E2943" t="s">
        <v>38</v>
      </c>
      <c r="F2943">
        <v>1771</v>
      </c>
      <c r="G2943">
        <v>1166</v>
      </c>
      <c r="H2943" t="s">
        <v>2270</v>
      </c>
      <c r="I2943" t="s">
        <v>80</v>
      </c>
      <c r="J2943" t="s">
        <v>4504</v>
      </c>
      <c r="K2943" t="s">
        <v>38</v>
      </c>
      <c r="L2943" t="s">
        <v>38</v>
      </c>
      <c r="M2943" t="s">
        <v>38</v>
      </c>
      <c r="N2943" t="s">
        <v>38</v>
      </c>
      <c r="O2943" t="s">
        <v>54</v>
      </c>
      <c r="P2943" t="s">
        <v>42</v>
      </c>
      <c r="Q2943" t="s">
        <v>43</v>
      </c>
      <c r="R2943" t="s">
        <v>89</v>
      </c>
      <c r="S2943" t="s">
        <v>45</v>
      </c>
      <c r="T2943" t="s">
        <v>89</v>
      </c>
      <c r="U2943" t="s">
        <v>90</v>
      </c>
      <c r="V2943" t="s">
        <v>597</v>
      </c>
      <c r="W2943" t="s">
        <v>92</v>
      </c>
      <c r="X2943" t="s">
        <v>93</v>
      </c>
      <c r="Y2943" t="s">
        <v>4507</v>
      </c>
      <c r="Z2943" t="s">
        <v>42</v>
      </c>
      <c r="AA2943" t="s">
        <v>1105</v>
      </c>
      <c r="AB2943" t="s">
        <v>38</v>
      </c>
      <c r="AC2943" t="s">
        <v>45</v>
      </c>
      <c r="AD2943" t="s">
        <v>48</v>
      </c>
      <c r="AG2943" t="str">
        <f>IF(AD2943="United States", IFERROR(INDEX(Sheet2!$C:$C, MATCH(AE2943&amp;AF2943, Sheet2!$E:$E, 0)) &amp; ", " &amp; INDEX(Sheet2!$D:$D, MATCH(AE2943&amp;AF2943, Sheet2!$E:$E, 0)), ""), "-")</f>
        <v/>
      </c>
    </row>
    <row r="2944" spans="1:33" x14ac:dyDescent="0.25">
      <c r="A2944" t="s">
        <v>245</v>
      </c>
      <c r="B2944" t="s">
        <v>4508</v>
      </c>
      <c r="C2944" t="s">
        <v>4503</v>
      </c>
      <c r="D2944" t="s">
        <v>4509</v>
      </c>
      <c r="E2944" t="s">
        <v>986</v>
      </c>
      <c r="F2944">
        <v>1759</v>
      </c>
      <c r="G2944">
        <v>1165</v>
      </c>
      <c r="H2944" t="s">
        <v>38</v>
      </c>
      <c r="I2944" t="s">
        <v>80</v>
      </c>
      <c r="J2944" t="s">
        <v>4504</v>
      </c>
      <c r="K2944" t="s">
        <v>38</v>
      </c>
      <c r="L2944" t="s">
        <v>38</v>
      </c>
      <c r="M2944" t="s">
        <v>38</v>
      </c>
      <c r="N2944" t="s">
        <v>38</v>
      </c>
      <c r="O2944" t="s">
        <v>57</v>
      </c>
      <c r="P2944" t="s">
        <v>42</v>
      </c>
      <c r="Q2944" t="s">
        <v>43</v>
      </c>
      <c r="R2944" t="s">
        <v>4510</v>
      </c>
      <c r="S2944" t="s">
        <v>45</v>
      </c>
      <c r="T2944" t="s">
        <v>38</v>
      </c>
      <c r="U2944" t="s">
        <v>38</v>
      </c>
      <c r="V2944" t="s">
        <v>597</v>
      </c>
      <c r="W2944" t="s">
        <v>38</v>
      </c>
      <c r="X2944" t="s">
        <v>38</v>
      </c>
      <c r="Y2944" t="s">
        <v>4507</v>
      </c>
      <c r="Z2944" t="s">
        <v>42</v>
      </c>
      <c r="AA2944" t="s">
        <v>4511</v>
      </c>
      <c r="AB2944" t="s">
        <v>38</v>
      </c>
      <c r="AC2944" t="s">
        <v>45</v>
      </c>
      <c r="AD2944" t="s">
        <v>48</v>
      </c>
      <c r="AG2944" t="str">
        <f>IF(AD2944="United States", IFERROR(INDEX(Sheet2!$C:$C, MATCH(AE2944&amp;AF2944, Sheet2!$E:$E, 0)) &amp; ", " &amp; INDEX(Sheet2!$D:$D, MATCH(AE2944&amp;AF2944, Sheet2!$E:$E, 0)), ""), "-")</f>
        <v/>
      </c>
    </row>
    <row r="2945" spans="1:33" x14ac:dyDescent="0.25">
      <c r="A2945" t="s">
        <v>245</v>
      </c>
      <c r="B2945" t="s">
        <v>4512</v>
      </c>
      <c r="C2945" t="s">
        <v>4503</v>
      </c>
      <c r="D2945" t="s">
        <v>36</v>
      </c>
      <c r="E2945" t="s">
        <v>523</v>
      </c>
      <c r="F2945">
        <v>1760</v>
      </c>
      <c r="G2945">
        <v>1169</v>
      </c>
      <c r="H2945" t="s">
        <v>2270</v>
      </c>
      <c r="I2945" t="s">
        <v>80</v>
      </c>
      <c r="J2945" t="s">
        <v>4504</v>
      </c>
      <c r="K2945" t="s">
        <v>38</v>
      </c>
      <c r="L2945" t="s">
        <v>38</v>
      </c>
      <c r="M2945" t="s">
        <v>38</v>
      </c>
      <c r="N2945" t="s">
        <v>38</v>
      </c>
      <c r="O2945" t="s">
        <v>41</v>
      </c>
      <c r="P2945" t="s">
        <v>42</v>
      </c>
      <c r="Q2945" t="s">
        <v>43</v>
      </c>
      <c r="R2945" t="s">
        <v>89</v>
      </c>
      <c r="S2945" t="s">
        <v>38</v>
      </c>
      <c r="T2945" t="s">
        <v>89</v>
      </c>
      <c r="U2945" t="s">
        <v>90</v>
      </c>
      <c r="V2945" t="s">
        <v>597</v>
      </c>
      <c r="W2945" t="s">
        <v>92</v>
      </c>
      <c r="X2945" t="s">
        <v>93</v>
      </c>
      <c r="Y2945" t="s">
        <v>4504</v>
      </c>
      <c r="Z2945" t="s">
        <v>42</v>
      </c>
      <c r="AA2945" t="s">
        <v>38</v>
      </c>
      <c r="AB2945" t="s">
        <v>38</v>
      </c>
      <c r="AC2945" t="s">
        <v>1600</v>
      </c>
      <c r="AD2945" t="s">
        <v>48</v>
      </c>
      <c r="AG2945" t="str">
        <f>IF(AD2945="United States", IFERROR(INDEX(Sheet2!$C:$C, MATCH(AE2945&amp;AF2945, Sheet2!$E:$E, 0)) &amp; ", " &amp; INDEX(Sheet2!$D:$D, MATCH(AE2945&amp;AF2945, Sheet2!$E:$E, 0)), ""), "-")</f>
        <v/>
      </c>
    </row>
    <row r="2946" spans="1:33" x14ac:dyDescent="0.25">
      <c r="A2946" t="s">
        <v>245</v>
      </c>
      <c r="B2946" t="s">
        <v>4513</v>
      </c>
      <c r="C2946" t="s">
        <v>4514</v>
      </c>
      <c r="D2946" t="s">
        <v>2697</v>
      </c>
      <c r="E2946" t="s">
        <v>38</v>
      </c>
      <c r="F2946">
        <v>1723</v>
      </c>
      <c r="G2946">
        <v>2059</v>
      </c>
      <c r="H2946" t="s">
        <v>38</v>
      </c>
      <c r="I2946" t="s">
        <v>87</v>
      </c>
      <c r="J2946" t="s">
        <v>4515</v>
      </c>
      <c r="K2946" t="s">
        <v>38</v>
      </c>
      <c r="L2946" t="s">
        <v>38</v>
      </c>
      <c r="M2946" t="s">
        <v>38</v>
      </c>
      <c r="N2946" t="s">
        <v>38</v>
      </c>
      <c r="O2946" t="s">
        <v>41</v>
      </c>
      <c r="P2946" t="s">
        <v>42</v>
      </c>
      <c r="Q2946" t="s">
        <v>124</v>
      </c>
      <c r="R2946" t="s">
        <v>38</v>
      </c>
      <c r="S2946" t="s">
        <v>38</v>
      </c>
      <c r="T2946" t="s">
        <v>38</v>
      </c>
      <c r="U2946" t="s">
        <v>38</v>
      </c>
      <c r="V2946" t="s">
        <v>91</v>
      </c>
      <c r="W2946" t="s">
        <v>38</v>
      </c>
      <c r="X2946" t="s">
        <v>38</v>
      </c>
      <c r="Y2946" t="s">
        <v>4516</v>
      </c>
      <c r="Z2946" t="s">
        <v>42</v>
      </c>
      <c r="AA2946" t="s">
        <v>38</v>
      </c>
      <c r="AB2946" t="s">
        <v>38</v>
      </c>
      <c r="AC2946" t="s">
        <v>2697</v>
      </c>
      <c r="AD2946" t="s">
        <v>48</v>
      </c>
      <c r="AG2946" t="str">
        <f>IF(AD2946="United States", IFERROR(INDEX(Sheet2!$C:$C, MATCH(AE2946&amp;AF2946, Sheet2!$E:$E, 0)) &amp; ", " &amp; INDEX(Sheet2!$D:$D, MATCH(AE2946&amp;AF2946, Sheet2!$E:$E, 0)), ""), "-")</f>
        <v/>
      </c>
    </row>
    <row r="2947" spans="1:33" x14ac:dyDescent="0.25">
      <c r="A2947" t="s">
        <v>245</v>
      </c>
      <c r="B2947" t="s">
        <v>4517</v>
      </c>
      <c r="C2947" t="s">
        <v>4514</v>
      </c>
      <c r="D2947" t="s">
        <v>807</v>
      </c>
      <c r="E2947" t="s">
        <v>38</v>
      </c>
      <c r="F2947">
        <v>1743</v>
      </c>
      <c r="G2947">
        <v>2058</v>
      </c>
      <c r="H2947" t="s">
        <v>38</v>
      </c>
      <c r="I2947" t="s">
        <v>87</v>
      </c>
      <c r="J2947" t="s">
        <v>4515</v>
      </c>
      <c r="K2947" t="s">
        <v>38</v>
      </c>
      <c r="L2947" t="s">
        <v>38</v>
      </c>
      <c r="M2947" t="s">
        <v>38</v>
      </c>
      <c r="N2947" t="s">
        <v>38</v>
      </c>
      <c r="O2947" t="s">
        <v>41</v>
      </c>
      <c r="P2947" t="s">
        <v>42</v>
      </c>
      <c r="Q2947" t="s">
        <v>43</v>
      </c>
      <c r="R2947" t="s">
        <v>38</v>
      </c>
      <c r="S2947" t="s">
        <v>38</v>
      </c>
      <c r="T2947" t="s">
        <v>38</v>
      </c>
      <c r="U2947" t="s">
        <v>38</v>
      </c>
      <c r="V2947" t="s">
        <v>91</v>
      </c>
      <c r="W2947" t="s">
        <v>38</v>
      </c>
      <c r="X2947" t="s">
        <v>38</v>
      </c>
      <c r="Y2947" t="s">
        <v>4518</v>
      </c>
      <c r="Z2947" t="s">
        <v>42</v>
      </c>
      <c r="AA2947" t="s">
        <v>59</v>
      </c>
      <c r="AB2947" t="s">
        <v>38</v>
      </c>
      <c r="AC2947" t="s">
        <v>60</v>
      </c>
      <c r="AD2947" t="s">
        <v>48</v>
      </c>
      <c r="AG2947" t="str">
        <f>IF(AD2947="United States", IFERROR(INDEX(Sheet2!$C:$C, MATCH(AE2947&amp;AF2947, Sheet2!$E:$E, 0)) &amp; ", " &amp; INDEX(Sheet2!$D:$D, MATCH(AE2947&amp;AF2947, Sheet2!$E:$E, 0)), ""), "-")</f>
        <v/>
      </c>
    </row>
    <row r="2948" spans="1:33" x14ac:dyDescent="0.25">
      <c r="A2948" t="s">
        <v>245</v>
      </c>
      <c r="B2948" t="s">
        <v>4519</v>
      </c>
      <c r="C2948" t="s">
        <v>4514</v>
      </c>
      <c r="D2948" t="s">
        <v>235</v>
      </c>
      <c r="E2948" t="s">
        <v>246</v>
      </c>
      <c r="F2948">
        <v>1733</v>
      </c>
      <c r="G2948">
        <v>2057</v>
      </c>
      <c r="H2948" t="s">
        <v>1096</v>
      </c>
      <c r="I2948" t="s">
        <v>87</v>
      </c>
      <c r="J2948" t="s">
        <v>4515</v>
      </c>
      <c r="K2948" t="s">
        <v>38</v>
      </c>
      <c r="L2948" t="s">
        <v>38</v>
      </c>
      <c r="M2948" t="s">
        <v>38</v>
      </c>
      <c r="N2948" t="s">
        <v>38</v>
      </c>
      <c r="O2948" t="s">
        <v>74</v>
      </c>
      <c r="P2948" t="s">
        <v>42</v>
      </c>
      <c r="Q2948" t="s">
        <v>43</v>
      </c>
      <c r="R2948" t="s">
        <v>89</v>
      </c>
      <c r="S2948" t="s">
        <v>45</v>
      </c>
      <c r="T2948" t="s">
        <v>89</v>
      </c>
      <c r="U2948" t="s">
        <v>90</v>
      </c>
      <c r="V2948" t="s">
        <v>91</v>
      </c>
      <c r="W2948" t="s">
        <v>92</v>
      </c>
      <c r="X2948" t="s">
        <v>93</v>
      </c>
      <c r="Y2948" t="s">
        <v>4520</v>
      </c>
      <c r="Z2948" t="s">
        <v>42</v>
      </c>
      <c r="AA2948" t="s">
        <v>2254</v>
      </c>
      <c r="AB2948" t="s">
        <v>38</v>
      </c>
      <c r="AC2948" t="s">
        <v>45</v>
      </c>
      <c r="AD2948" t="s">
        <v>48</v>
      </c>
      <c r="AG2948" t="str">
        <f>IF(AD2948="United States", IFERROR(INDEX(Sheet2!$C:$C, MATCH(AE2948&amp;AF2948, Sheet2!$E:$E, 0)) &amp; ", " &amp; INDEX(Sheet2!$D:$D, MATCH(AE2948&amp;AF2948, Sheet2!$E:$E, 0)), ""), "-")</f>
        <v/>
      </c>
    </row>
    <row r="2949" spans="1:33" x14ac:dyDescent="0.25">
      <c r="A2949" t="s">
        <v>245</v>
      </c>
      <c r="B2949" t="s">
        <v>4521</v>
      </c>
      <c r="C2949" t="s">
        <v>4514</v>
      </c>
      <c r="D2949" t="s">
        <v>210</v>
      </c>
      <c r="E2949" t="s">
        <v>246</v>
      </c>
      <c r="F2949">
        <v>1749</v>
      </c>
      <c r="G2949">
        <v>2056</v>
      </c>
      <c r="H2949" t="s">
        <v>1810</v>
      </c>
      <c r="I2949" t="s">
        <v>87</v>
      </c>
      <c r="J2949" t="s">
        <v>4515</v>
      </c>
      <c r="K2949" t="s">
        <v>38</v>
      </c>
      <c r="L2949" t="s">
        <v>38</v>
      </c>
      <c r="M2949" t="s">
        <v>38</v>
      </c>
      <c r="N2949" t="s">
        <v>38</v>
      </c>
      <c r="O2949" t="s">
        <v>41</v>
      </c>
      <c r="P2949" t="s">
        <v>42</v>
      </c>
      <c r="Q2949" t="s">
        <v>43</v>
      </c>
      <c r="R2949" t="s">
        <v>89</v>
      </c>
      <c r="S2949" t="s">
        <v>45</v>
      </c>
      <c r="T2949" t="s">
        <v>89</v>
      </c>
      <c r="U2949" t="s">
        <v>90</v>
      </c>
      <c r="V2949" t="s">
        <v>91</v>
      </c>
      <c r="W2949" t="s">
        <v>92</v>
      </c>
      <c r="X2949" t="s">
        <v>93</v>
      </c>
      <c r="Y2949" t="s">
        <v>4520</v>
      </c>
      <c r="Z2949" t="s">
        <v>42</v>
      </c>
      <c r="AA2949" t="s">
        <v>241</v>
      </c>
      <c r="AB2949" t="s">
        <v>38</v>
      </c>
      <c r="AC2949" t="s">
        <v>45</v>
      </c>
      <c r="AD2949" t="s">
        <v>48</v>
      </c>
      <c r="AG2949" t="str">
        <f>IF(AD2949="United States", IFERROR(INDEX(Sheet2!$C:$C, MATCH(AE2949&amp;AF2949, Sheet2!$E:$E, 0)) &amp; ", " &amp; INDEX(Sheet2!$D:$D, MATCH(AE2949&amp;AF2949, Sheet2!$E:$E, 0)), ""), "-")</f>
        <v/>
      </c>
    </row>
    <row r="2950" spans="1:33" x14ac:dyDescent="0.25">
      <c r="A2950" t="s">
        <v>245</v>
      </c>
      <c r="B2950" t="s">
        <v>4522</v>
      </c>
      <c r="C2950" t="s">
        <v>4514</v>
      </c>
      <c r="D2950" t="s">
        <v>2411</v>
      </c>
      <c r="E2950" t="s">
        <v>774</v>
      </c>
      <c r="F2950">
        <v>1743</v>
      </c>
      <c r="G2950">
        <v>2055</v>
      </c>
      <c r="H2950" t="s">
        <v>1096</v>
      </c>
      <c r="I2950" t="s">
        <v>87</v>
      </c>
      <c r="J2950" t="s">
        <v>4515</v>
      </c>
      <c r="K2950" t="s">
        <v>38</v>
      </c>
      <c r="L2950" t="s">
        <v>38</v>
      </c>
      <c r="M2950" t="s">
        <v>38</v>
      </c>
      <c r="N2950" t="s">
        <v>38</v>
      </c>
      <c r="O2950" t="s">
        <v>41</v>
      </c>
      <c r="P2950" t="s">
        <v>42</v>
      </c>
      <c r="Q2950" t="s">
        <v>43</v>
      </c>
      <c r="R2950" t="s">
        <v>89</v>
      </c>
      <c r="S2950" t="s">
        <v>45</v>
      </c>
      <c r="T2950" t="s">
        <v>89</v>
      </c>
      <c r="U2950" t="s">
        <v>90</v>
      </c>
      <c r="V2950" t="s">
        <v>91</v>
      </c>
      <c r="W2950" t="s">
        <v>92</v>
      </c>
      <c r="X2950" t="s">
        <v>93</v>
      </c>
      <c r="Y2950" t="s">
        <v>4523</v>
      </c>
      <c r="Z2950" t="s">
        <v>42</v>
      </c>
      <c r="AA2950" t="s">
        <v>4524</v>
      </c>
      <c r="AB2950" t="s">
        <v>38</v>
      </c>
      <c r="AC2950" t="s">
        <v>45</v>
      </c>
      <c r="AD2950" t="s">
        <v>48</v>
      </c>
      <c r="AG2950" t="str">
        <f>IF(AD2950="United States", IFERROR(INDEX(Sheet2!$C:$C, MATCH(AE2950&amp;AF2950, Sheet2!$E:$E, 0)) &amp; ", " &amp; INDEX(Sheet2!$D:$D, MATCH(AE2950&amp;AF2950, Sheet2!$E:$E, 0)), ""), "-")</f>
        <v/>
      </c>
    </row>
    <row r="2951" spans="1:33" x14ac:dyDescent="0.25">
      <c r="A2951" t="s">
        <v>245</v>
      </c>
      <c r="B2951" t="s">
        <v>4525</v>
      </c>
      <c r="C2951" t="s">
        <v>4503</v>
      </c>
      <c r="D2951" t="s">
        <v>1126</v>
      </c>
      <c r="E2951" t="s">
        <v>1084</v>
      </c>
      <c r="F2951">
        <v>1760</v>
      </c>
      <c r="G2951">
        <v>892</v>
      </c>
      <c r="H2951" t="s">
        <v>2270</v>
      </c>
      <c r="I2951" t="s">
        <v>80</v>
      </c>
      <c r="J2951" t="s">
        <v>4504</v>
      </c>
      <c r="K2951" t="s">
        <v>38</v>
      </c>
      <c r="L2951" t="s">
        <v>38</v>
      </c>
      <c r="M2951" t="s">
        <v>38</v>
      </c>
      <c r="N2951" t="s">
        <v>38</v>
      </c>
      <c r="O2951" t="s">
        <v>41</v>
      </c>
      <c r="P2951" t="s">
        <v>42</v>
      </c>
      <c r="Q2951" t="s">
        <v>43</v>
      </c>
      <c r="R2951" t="s">
        <v>89</v>
      </c>
      <c r="S2951" t="s">
        <v>165</v>
      </c>
      <c r="T2951" t="s">
        <v>89</v>
      </c>
      <c r="U2951" t="s">
        <v>90</v>
      </c>
      <c r="V2951" t="s">
        <v>597</v>
      </c>
      <c r="W2951" t="s">
        <v>92</v>
      </c>
      <c r="X2951" t="s">
        <v>93</v>
      </c>
      <c r="Y2951" t="s">
        <v>4505</v>
      </c>
      <c r="Z2951" t="s">
        <v>42</v>
      </c>
      <c r="AA2951" t="s">
        <v>365</v>
      </c>
      <c r="AB2951" t="s">
        <v>38</v>
      </c>
      <c r="AC2951" t="s">
        <v>165</v>
      </c>
      <c r="AD2951" t="s">
        <v>48</v>
      </c>
      <c r="AG2951" t="str">
        <f>IF(AD2951="United States", IFERROR(INDEX(Sheet2!$C:$C, MATCH(AE2951&amp;AF2951, Sheet2!$E:$E, 0)) &amp; ", " &amp; INDEX(Sheet2!$D:$D, MATCH(AE2951&amp;AF2951, Sheet2!$E:$E, 0)), ""), "-")</f>
        <v/>
      </c>
    </row>
    <row r="2952" spans="1:33" x14ac:dyDescent="0.25">
      <c r="A2952" t="s">
        <v>245</v>
      </c>
      <c r="B2952" t="s">
        <v>4526</v>
      </c>
      <c r="C2952" t="s">
        <v>4514</v>
      </c>
      <c r="D2952" t="s">
        <v>210</v>
      </c>
      <c r="E2952" t="s">
        <v>4527</v>
      </c>
      <c r="F2952" t="s">
        <v>38</v>
      </c>
      <c r="G2952">
        <v>2723</v>
      </c>
      <c r="I2952" t="s">
        <v>87</v>
      </c>
      <c r="J2952" t="s">
        <v>4515</v>
      </c>
      <c r="O2952" t="s">
        <v>41</v>
      </c>
      <c r="P2952" t="s">
        <v>42</v>
      </c>
      <c r="Q2952" t="s">
        <v>43</v>
      </c>
      <c r="V2952" t="s">
        <v>91</v>
      </c>
      <c r="Y2952" t="s">
        <v>38</v>
      </c>
      <c r="Z2952" t="s">
        <v>42</v>
      </c>
      <c r="AA2952" t="s">
        <v>38</v>
      </c>
      <c r="AB2952" t="s">
        <v>38</v>
      </c>
      <c r="AC2952" t="s">
        <v>38</v>
      </c>
      <c r="AD2952" t="s">
        <v>48</v>
      </c>
      <c r="AG2952" t="str">
        <f>IF(AD2952="United States", IFERROR(INDEX(Sheet2!$C:$C, MATCH(AE2952&amp;AF2952, Sheet2!$E:$E, 0)) &amp; ", " &amp; INDEX(Sheet2!$D:$D, MATCH(AE2952&amp;AF2952, Sheet2!$E:$E, 0)), ""), "-")</f>
        <v/>
      </c>
    </row>
    <row r="2953" spans="1:33" x14ac:dyDescent="0.25">
      <c r="A2953" t="s">
        <v>245</v>
      </c>
      <c r="B2953" t="s">
        <v>4525</v>
      </c>
      <c r="C2953" t="s">
        <v>4503</v>
      </c>
      <c r="D2953" t="s">
        <v>1126</v>
      </c>
      <c r="E2953" t="s">
        <v>1084</v>
      </c>
      <c r="F2953">
        <v>1760</v>
      </c>
      <c r="G2953">
        <v>1168</v>
      </c>
      <c r="H2953" t="s">
        <v>2270</v>
      </c>
      <c r="I2953" t="s">
        <v>80</v>
      </c>
      <c r="J2953" t="s">
        <v>4504</v>
      </c>
      <c r="K2953" t="s">
        <v>38</v>
      </c>
      <c r="L2953" t="s">
        <v>38</v>
      </c>
      <c r="M2953" t="s">
        <v>38</v>
      </c>
      <c r="N2953" t="s">
        <v>38</v>
      </c>
      <c r="O2953" t="s">
        <v>41</v>
      </c>
      <c r="P2953" t="s">
        <v>42</v>
      </c>
      <c r="Q2953" t="s">
        <v>43</v>
      </c>
      <c r="R2953" t="s">
        <v>89</v>
      </c>
      <c r="S2953" t="s">
        <v>165</v>
      </c>
      <c r="T2953" t="s">
        <v>89</v>
      </c>
      <c r="U2953" t="s">
        <v>90</v>
      </c>
      <c r="V2953" t="s">
        <v>597</v>
      </c>
      <c r="W2953" t="s">
        <v>92</v>
      </c>
      <c r="X2953" t="s">
        <v>93</v>
      </c>
      <c r="Y2953" t="s">
        <v>4505</v>
      </c>
      <c r="Z2953" t="s">
        <v>42</v>
      </c>
      <c r="AA2953" t="s">
        <v>365</v>
      </c>
      <c r="AB2953" t="s">
        <v>38</v>
      </c>
      <c r="AC2953" t="s">
        <v>165</v>
      </c>
      <c r="AD2953" t="s">
        <v>48</v>
      </c>
      <c r="AG2953" t="str">
        <f>IF(AD2953="United States", IFERROR(INDEX(Sheet2!$C:$C, MATCH(AE2953&amp;AF2953, Sheet2!$E:$E, 0)) &amp; ", " &amp; INDEX(Sheet2!$D:$D, MATCH(AE2953&amp;AF2953, Sheet2!$E:$E, 0)), ""), "-")</f>
        <v/>
      </c>
    </row>
    <row r="2954" spans="1:33" x14ac:dyDescent="0.25">
      <c r="A2954" t="s">
        <v>245</v>
      </c>
      <c r="B2954" t="s">
        <v>4528</v>
      </c>
      <c r="C2954" t="s">
        <v>4514</v>
      </c>
      <c r="D2954" t="s">
        <v>204</v>
      </c>
      <c r="E2954" t="s">
        <v>38</v>
      </c>
      <c r="F2954">
        <v>1758</v>
      </c>
      <c r="G2954">
        <v>2060</v>
      </c>
      <c r="H2954" t="s">
        <v>38</v>
      </c>
      <c r="I2954" t="s">
        <v>87</v>
      </c>
      <c r="J2954" t="s">
        <v>4515</v>
      </c>
      <c r="K2954" t="s">
        <v>38</v>
      </c>
      <c r="L2954" t="s">
        <v>38</v>
      </c>
      <c r="M2954" t="s">
        <v>38</v>
      </c>
      <c r="N2954" t="s">
        <v>38</v>
      </c>
      <c r="O2954" t="s">
        <v>41</v>
      </c>
      <c r="P2954" t="s">
        <v>42</v>
      </c>
      <c r="Q2954" t="s">
        <v>43</v>
      </c>
      <c r="R2954" t="s">
        <v>38</v>
      </c>
      <c r="S2954" t="s">
        <v>38</v>
      </c>
      <c r="T2954" t="s">
        <v>38</v>
      </c>
      <c r="U2954" t="s">
        <v>38</v>
      </c>
      <c r="V2954" t="s">
        <v>91</v>
      </c>
      <c r="W2954" t="s">
        <v>38</v>
      </c>
      <c r="X2954" t="s">
        <v>38</v>
      </c>
      <c r="Y2954" t="s">
        <v>4529</v>
      </c>
      <c r="Z2954" t="s">
        <v>42</v>
      </c>
      <c r="AA2954" t="s">
        <v>38</v>
      </c>
      <c r="AB2954" t="s">
        <v>38</v>
      </c>
      <c r="AC2954" t="s">
        <v>38</v>
      </c>
      <c r="AD2954" t="s">
        <v>48</v>
      </c>
      <c r="AG2954" t="str">
        <f>IF(AD2954="United States", IFERROR(INDEX(Sheet2!$C:$C, MATCH(AE2954&amp;AF2954, Sheet2!$E:$E, 0)) &amp; ", " &amp; INDEX(Sheet2!$D:$D, MATCH(AE2954&amp;AF2954, Sheet2!$E:$E, 0)), ""), "-")</f>
        <v/>
      </c>
    </row>
    <row r="2955" spans="1:33" x14ac:dyDescent="0.25">
      <c r="A2955" t="s">
        <v>245</v>
      </c>
      <c r="B2955" t="s">
        <v>4530</v>
      </c>
      <c r="C2955" t="s">
        <v>4514</v>
      </c>
      <c r="D2955" t="s">
        <v>1515</v>
      </c>
      <c r="E2955" t="s">
        <v>38</v>
      </c>
      <c r="F2955">
        <v>1738</v>
      </c>
      <c r="G2955">
        <v>2050</v>
      </c>
      <c r="H2955" t="s">
        <v>1096</v>
      </c>
      <c r="I2955" t="s">
        <v>87</v>
      </c>
      <c r="J2955" t="s">
        <v>4515</v>
      </c>
      <c r="K2955" t="s">
        <v>38</v>
      </c>
      <c r="L2955" t="s">
        <v>38</v>
      </c>
      <c r="M2955" t="s">
        <v>38</v>
      </c>
      <c r="N2955" t="s">
        <v>38</v>
      </c>
      <c r="O2955" t="s">
        <v>41</v>
      </c>
      <c r="P2955" t="s">
        <v>42</v>
      </c>
      <c r="Q2955" t="s">
        <v>43</v>
      </c>
      <c r="R2955" t="s">
        <v>89</v>
      </c>
      <c r="S2955" t="s">
        <v>38</v>
      </c>
      <c r="T2955" t="s">
        <v>89</v>
      </c>
      <c r="U2955" t="s">
        <v>90</v>
      </c>
      <c r="V2955" t="s">
        <v>91</v>
      </c>
      <c r="W2955" t="s">
        <v>92</v>
      </c>
      <c r="X2955" t="s">
        <v>93</v>
      </c>
      <c r="Y2955" t="s">
        <v>4531</v>
      </c>
      <c r="Z2955" t="s">
        <v>42</v>
      </c>
      <c r="AA2955" t="s">
        <v>38</v>
      </c>
      <c r="AB2955" t="s">
        <v>38</v>
      </c>
      <c r="AC2955" t="s">
        <v>38</v>
      </c>
      <c r="AD2955" t="s">
        <v>48</v>
      </c>
      <c r="AG2955" t="str">
        <f>IF(AD2955="United States", IFERROR(INDEX(Sheet2!$C:$C, MATCH(AE2955&amp;AF2955, Sheet2!$E:$E, 0)) &amp; ", " &amp; INDEX(Sheet2!$D:$D, MATCH(AE2955&amp;AF2955, Sheet2!$E:$E, 0)), ""), "-")</f>
        <v/>
      </c>
    </row>
    <row r="2956" spans="1:33" x14ac:dyDescent="0.25">
      <c r="A2956" t="s">
        <v>245</v>
      </c>
      <c r="B2956" t="s">
        <v>4532</v>
      </c>
      <c r="C2956" t="s">
        <v>4514</v>
      </c>
      <c r="D2956" t="s">
        <v>106</v>
      </c>
      <c r="E2956" t="s">
        <v>38</v>
      </c>
      <c r="F2956">
        <v>1768</v>
      </c>
      <c r="G2956">
        <v>2052</v>
      </c>
      <c r="H2956" t="s">
        <v>1096</v>
      </c>
      <c r="I2956" t="s">
        <v>87</v>
      </c>
      <c r="J2956" t="s">
        <v>4515</v>
      </c>
      <c r="K2956" t="s">
        <v>38</v>
      </c>
      <c r="L2956" t="s">
        <v>38</v>
      </c>
      <c r="M2956" t="s">
        <v>38</v>
      </c>
      <c r="N2956" t="s">
        <v>38</v>
      </c>
      <c r="O2956" t="s">
        <v>54</v>
      </c>
      <c r="P2956" t="s">
        <v>42</v>
      </c>
      <c r="Q2956" t="s">
        <v>43</v>
      </c>
      <c r="R2956" t="s">
        <v>89</v>
      </c>
      <c r="S2956" t="s">
        <v>38</v>
      </c>
      <c r="T2956" t="s">
        <v>89</v>
      </c>
      <c r="U2956" t="s">
        <v>90</v>
      </c>
      <c r="V2956" t="s">
        <v>91</v>
      </c>
      <c r="W2956" t="s">
        <v>92</v>
      </c>
      <c r="X2956" t="s">
        <v>93</v>
      </c>
      <c r="Y2956" t="s">
        <v>4531</v>
      </c>
      <c r="Z2956" t="s">
        <v>42</v>
      </c>
      <c r="AA2956" t="s">
        <v>38</v>
      </c>
      <c r="AB2956" t="s">
        <v>38</v>
      </c>
      <c r="AC2956" t="s">
        <v>38</v>
      </c>
      <c r="AD2956" t="s">
        <v>48</v>
      </c>
      <c r="AG2956" t="str">
        <f>IF(AD2956="United States", IFERROR(INDEX(Sheet2!$C:$C, MATCH(AE2956&amp;AF2956, Sheet2!$E:$E, 0)) &amp; ", " &amp; INDEX(Sheet2!$D:$D, MATCH(AE2956&amp;AF2956, Sheet2!$E:$E, 0)), ""), "-")</f>
        <v/>
      </c>
    </row>
    <row r="2957" spans="1:33" x14ac:dyDescent="0.25">
      <c r="A2957" t="s">
        <v>245</v>
      </c>
      <c r="B2957" t="s">
        <v>4512</v>
      </c>
      <c r="C2957" t="s">
        <v>4503</v>
      </c>
      <c r="D2957" t="s">
        <v>36</v>
      </c>
      <c r="E2957" t="s">
        <v>523</v>
      </c>
      <c r="F2957">
        <v>1760</v>
      </c>
      <c r="G2957">
        <v>893</v>
      </c>
      <c r="H2957" t="s">
        <v>2270</v>
      </c>
      <c r="I2957" t="s">
        <v>80</v>
      </c>
      <c r="J2957" t="s">
        <v>4504</v>
      </c>
      <c r="K2957" t="s">
        <v>38</v>
      </c>
      <c r="L2957" t="s">
        <v>38</v>
      </c>
      <c r="M2957" t="s">
        <v>38</v>
      </c>
      <c r="N2957" t="s">
        <v>38</v>
      </c>
      <c r="O2957" t="s">
        <v>41</v>
      </c>
      <c r="P2957" t="s">
        <v>42</v>
      </c>
      <c r="Q2957" t="s">
        <v>43</v>
      </c>
      <c r="R2957" t="s">
        <v>89</v>
      </c>
      <c r="S2957" t="s">
        <v>38</v>
      </c>
      <c r="T2957" t="s">
        <v>89</v>
      </c>
      <c r="U2957" t="s">
        <v>90</v>
      </c>
      <c r="V2957" t="s">
        <v>597</v>
      </c>
      <c r="W2957" t="s">
        <v>92</v>
      </c>
      <c r="X2957" t="s">
        <v>93</v>
      </c>
      <c r="Y2957" t="s">
        <v>4504</v>
      </c>
      <c r="Z2957" t="s">
        <v>42</v>
      </c>
      <c r="AA2957" t="s">
        <v>38</v>
      </c>
      <c r="AB2957" t="s">
        <v>38</v>
      </c>
      <c r="AC2957" t="s">
        <v>1600</v>
      </c>
      <c r="AD2957" t="s">
        <v>48</v>
      </c>
      <c r="AG2957" t="str">
        <f>IF(AD2957="United States", IFERROR(INDEX(Sheet2!$C:$C, MATCH(AE2957&amp;AF2957, Sheet2!$E:$E, 0)) &amp; ", " &amp; INDEX(Sheet2!$D:$D, MATCH(AE2957&amp;AF2957, Sheet2!$E:$E, 0)), ""), "-")</f>
        <v/>
      </c>
    </row>
    <row r="2958" spans="1:33" x14ac:dyDescent="0.25">
      <c r="A2958" t="s">
        <v>245</v>
      </c>
      <c r="B2958" t="s">
        <v>4533</v>
      </c>
      <c r="C2958" t="s">
        <v>4534</v>
      </c>
      <c r="D2958" t="s">
        <v>210</v>
      </c>
      <c r="E2958" t="s">
        <v>615</v>
      </c>
      <c r="F2958">
        <v>1752</v>
      </c>
      <c r="G2958">
        <v>586</v>
      </c>
      <c r="H2958" t="s">
        <v>1810</v>
      </c>
      <c r="I2958" t="s">
        <v>39</v>
      </c>
      <c r="J2958" t="s">
        <v>4535</v>
      </c>
      <c r="K2958" t="s">
        <v>38</v>
      </c>
      <c r="L2958" t="s">
        <v>38</v>
      </c>
      <c r="M2958" t="s">
        <v>38</v>
      </c>
      <c r="N2958" t="s">
        <v>38</v>
      </c>
      <c r="O2958" t="s">
        <v>41</v>
      </c>
      <c r="P2958" t="s">
        <v>42</v>
      </c>
      <c r="Q2958" t="s">
        <v>43</v>
      </c>
      <c r="R2958" t="s">
        <v>89</v>
      </c>
      <c r="S2958" t="s">
        <v>38</v>
      </c>
      <c r="T2958" t="s">
        <v>89</v>
      </c>
      <c r="U2958" t="s">
        <v>90</v>
      </c>
      <c r="V2958" t="s">
        <v>137</v>
      </c>
      <c r="W2958" t="s">
        <v>92</v>
      </c>
      <c r="X2958" t="s">
        <v>93</v>
      </c>
      <c r="Y2958" t="s">
        <v>4536</v>
      </c>
      <c r="Z2958" t="s">
        <v>42</v>
      </c>
      <c r="AA2958" t="s">
        <v>38</v>
      </c>
      <c r="AB2958" t="s">
        <v>38</v>
      </c>
      <c r="AC2958" t="s">
        <v>1662</v>
      </c>
      <c r="AD2958" t="s">
        <v>48</v>
      </c>
      <c r="AG2958" t="str">
        <f>IF(AD2958="United States", IFERROR(INDEX(Sheet2!$C:$C, MATCH(AE2958&amp;AF2958, Sheet2!$E:$E, 0)) &amp; ", " &amp; INDEX(Sheet2!$D:$D, MATCH(AE2958&amp;AF2958, Sheet2!$E:$E, 0)), ""), "-")</f>
        <v/>
      </c>
    </row>
    <row r="2959" spans="1:33" x14ac:dyDescent="0.25">
      <c r="A2959" t="s">
        <v>245</v>
      </c>
      <c r="B2959" t="s">
        <v>4537</v>
      </c>
      <c r="C2959" t="s">
        <v>4534</v>
      </c>
      <c r="D2959" t="s">
        <v>230</v>
      </c>
      <c r="E2959" t="s">
        <v>4538</v>
      </c>
      <c r="F2959">
        <v>1762</v>
      </c>
      <c r="G2959">
        <v>587</v>
      </c>
      <c r="H2959" t="s">
        <v>1810</v>
      </c>
      <c r="I2959" t="s">
        <v>39</v>
      </c>
      <c r="J2959" t="s">
        <v>4535</v>
      </c>
      <c r="K2959" t="s">
        <v>38</v>
      </c>
      <c r="L2959" t="s">
        <v>38</v>
      </c>
      <c r="M2959" t="s">
        <v>38</v>
      </c>
      <c r="N2959" t="s">
        <v>38</v>
      </c>
      <c r="O2959" t="s">
        <v>41</v>
      </c>
      <c r="P2959" t="s">
        <v>42</v>
      </c>
      <c r="Q2959" t="s">
        <v>43</v>
      </c>
      <c r="R2959" t="s">
        <v>89</v>
      </c>
      <c r="S2959" t="s">
        <v>153</v>
      </c>
      <c r="T2959" t="s">
        <v>89</v>
      </c>
      <c r="U2959" t="s">
        <v>90</v>
      </c>
      <c r="V2959" t="s">
        <v>137</v>
      </c>
      <c r="W2959" t="s">
        <v>92</v>
      </c>
      <c r="X2959" t="s">
        <v>93</v>
      </c>
      <c r="Y2959" t="s">
        <v>4536</v>
      </c>
      <c r="Z2959" t="s">
        <v>42</v>
      </c>
      <c r="AA2959" t="s">
        <v>155</v>
      </c>
      <c r="AB2959" t="s">
        <v>38</v>
      </c>
      <c r="AC2959" t="s">
        <v>153</v>
      </c>
      <c r="AD2959" t="s">
        <v>48</v>
      </c>
      <c r="AG2959" t="str">
        <f>IF(AD2959="United States", IFERROR(INDEX(Sheet2!$C:$C, MATCH(AE2959&amp;AF2959, Sheet2!$E:$E, 0)) &amp; ", " &amp; INDEX(Sheet2!$D:$D, MATCH(AE2959&amp;AF2959, Sheet2!$E:$E, 0)), ""), "-")</f>
        <v/>
      </c>
    </row>
    <row r="2960" spans="1:33" x14ac:dyDescent="0.25">
      <c r="A2960" t="s">
        <v>245</v>
      </c>
      <c r="B2960" t="s">
        <v>4506</v>
      </c>
      <c r="C2960" t="s">
        <v>4503</v>
      </c>
      <c r="D2960" t="s">
        <v>927</v>
      </c>
      <c r="E2960" t="s">
        <v>38</v>
      </c>
      <c r="F2960">
        <v>1771</v>
      </c>
      <c r="G2960">
        <v>890</v>
      </c>
      <c r="H2960" t="s">
        <v>2270</v>
      </c>
      <c r="I2960" t="s">
        <v>80</v>
      </c>
      <c r="J2960" t="s">
        <v>4504</v>
      </c>
      <c r="K2960" t="s">
        <v>38</v>
      </c>
      <c r="L2960" t="s">
        <v>38</v>
      </c>
      <c r="M2960" t="s">
        <v>38</v>
      </c>
      <c r="N2960" t="s">
        <v>38</v>
      </c>
      <c r="O2960" t="s">
        <v>54</v>
      </c>
      <c r="P2960" t="s">
        <v>42</v>
      </c>
      <c r="Q2960" t="s">
        <v>43</v>
      </c>
      <c r="R2960" t="s">
        <v>89</v>
      </c>
      <c r="S2960" t="s">
        <v>45</v>
      </c>
      <c r="T2960" t="s">
        <v>89</v>
      </c>
      <c r="U2960" t="s">
        <v>90</v>
      </c>
      <c r="V2960" t="s">
        <v>597</v>
      </c>
      <c r="W2960" t="s">
        <v>92</v>
      </c>
      <c r="X2960" t="s">
        <v>93</v>
      </c>
      <c r="Y2960" t="s">
        <v>4507</v>
      </c>
      <c r="Z2960" t="s">
        <v>42</v>
      </c>
      <c r="AA2960" t="s">
        <v>1105</v>
      </c>
      <c r="AB2960" t="s">
        <v>38</v>
      </c>
      <c r="AC2960" t="s">
        <v>45</v>
      </c>
      <c r="AD2960" t="s">
        <v>48</v>
      </c>
      <c r="AG2960" t="str">
        <f>IF(AD2960="United States", IFERROR(INDEX(Sheet2!$C:$C, MATCH(AE2960&amp;AF2960, Sheet2!$E:$E, 0)) &amp; ", " &amp; INDEX(Sheet2!$D:$D, MATCH(AE2960&amp;AF2960, Sheet2!$E:$E, 0)), ""), "-")</f>
        <v/>
      </c>
    </row>
    <row r="2961" spans="1:33" x14ac:dyDescent="0.25">
      <c r="A2961" t="s">
        <v>245</v>
      </c>
      <c r="B2961" t="s">
        <v>4508</v>
      </c>
      <c r="C2961" t="s">
        <v>4503</v>
      </c>
      <c r="D2961" t="s">
        <v>4509</v>
      </c>
      <c r="E2961" t="s">
        <v>986</v>
      </c>
      <c r="F2961">
        <v>1759</v>
      </c>
      <c r="G2961">
        <v>889</v>
      </c>
      <c r="H2961" t="s">
        <v>38</v>
      </c>
      <c r="I2961" t="s">
        <v>80</v>
      </c>
      <c r="J2961" t="s">
        <v>4504</v>
      </c>
      <c r="K2961" t="s">
        <v>38</v>
      </c>
      <c r="L2961" t="s">
        <v>38</v>
      </c>
      <c r="M2961" t="s">
        <v>38</v>
      </c>
      <c r="N2961" t="s">
        <v>38</v>
      </c>
      <c r="O2961" t="s">
        <v>57</v>
      </c>
      <c r="P2961" t="s">
        <v>42</v>
      </c>
      <c r="Q2961" t="s">
        <v>43</v>
      </c>
      <c r="R2961" t="s">
        <v>4510</v>
      </c>
      <c r="S2961" t="s">
        <v>45</v>
      </c>
      <c r="T2961" t="s">
        <v>38</v>
      </c>
      <c r="U2961" t="s">
        <v>38</v>
      </c>
      <c r="V2961" t="s">
        <v>597</v>
      </c>
      <c r="W2961" t="s">
        <v>38</v>
      </c>
      <c r="X2961" t="s">
        <v>38</v>
      </c>
      <c r="Y2961" t="s">
        <v>4507</v>
      </c>
      <c r="Z2961" t="s">
        <v>42</v>
      </c>
      <c r="AA2961" t="s">
        <v>4511</v>
      </c>
      <c r="AB2961" t="s">
        <v>38</v>
      </c>
      <c r="AC2961" t="s">
        <v>45</v>
      </c>
      <c r="AD2961" t="s">
        <v>48</v>
      </c>
      <c r="AG2961" t="str">
        <f>IF(AD2961="United States", IFERROR(INDEX(Sheet2!$C:$C, MATCH(AE2961&amp;AF2961, Sheet2!$E:$E, 0)) &amp; ", " &amp; INDEX(Sheet2!$D:$D, MATCH(AE2961&amp;AF2961, Sheet2!$E:$E, 0)), ""), "-")</f>
        <v/>
      </c>
    </row>
    <row r="2962" spans="1:33" x14ac:dyDescent="0.25">
      <c r="A2962" t="s">
        <v>245</v>
      </c>
      <c r="B2962" t="s">
        <v>4539</v>
      </c>
      <c r="C2962" t="s">
        <v>4534</v>
      </c>
      <c r="D2962" t="s">
        <v>210</v>
      </c>
      <c r="E2962" t="s">
        <v>3446</v>
      </c>
      <c r="F2962">
        <v>1740</v>
      </c>
      <c r="G2962">
        <v>588</v>
      </c>
      <c r="H2962" t="s">
        <v>1810</v>
      </c>
      <c r="I2962" t="s">
        <v>39</v>
      </c>
      <c r="J2962" t="s">
        <v>4535</v>
      </c>
      <c r="K2962" t="s">
        <v>38</v>
      </c>
      <c r="L2962" t="s">
        <v>38</v>
      </c>
      <c r="M2962" t="s">
        <v>38</v>
      </c>
      <c r="N2962" t="s">
        <v>38</v>
      </c>
      <c r="O2962" t="s">
        <v>41</v>
      </c>
      <c r="P2962" t="s">
        <v>42</v>
      </c>
      <c r="Q2962" t="s">
        <v>43</v>
      </c>
      <c r="R2962" t="s">
        <v>89</v>
      </c>
      <c r="S2962" t="s">
        <v>165</v>
      </c>
      <c r="T2962" t="s">
        <v>89</v>
      </c>
      <c r="U2962" t="s">
        <v>90</v>
      </c>
      <c r="V2962" t="s">
        <v>137</v>
      </c>
      <c r="W2962" t="s">
        <v>92</v>
      </c>
      <c r="X2962" t="s">
        <v>93</v>
      </c>
      <c r="Y2962" t="s">
        <v>4536</v>
      </c>
      <c r="Z2962" t="s">
        <v>42</v>
      </c>
      <c r="AA2962" t="s">
        <v>166</v>
      </c>
      <c r="AB2962" t="s">
        <v>38</v>
      </c>
      <c r="AC2962" t="s">
        <v>165</v>
      </c>
      <c r="AD2962" t="s">
        <v>48</v>
      </c>
      <c r="AG2962" t="str">
        <f>IF(AD2962="United States", IFERROR(INDEX(Sheet2!$C:$C, MATCH(AE2962&amp;AF2962, Sheet2!$E:$E, 0)) &amp; ", " &amp; INDEX(Sheet2!$D:$D, MATCH(AE2962&amp;AF2962, Sheet2!$E:$E, 0)), ""), "-")</f>
        <v/>
      </c>
    </row>
    <row r="2963" spans="1:33" x14ac:dyDescent="0.25">
      <c r="A2963" t="s">
        <v>245</v>
      </c>
      <c r="B2963" t="s">
        <v>4540</v>
      </c>
      <c r="C2963" t="s">
        <v>4514</v>
      </c>
      <c r="D2963" t="s">
        <v>4541</v>
      </c>
      <c r="E2963" t="s">
        <v>38</v>
      </c>
      <c r="F2963">
        <v>1772</v>
      </c>
      <c r="G2963">
        <v>2053</v>
      </c>
      <c r="H2963" t="s">
        <v>1096</v>
      </c>
      <c r="I2963" t="s">
        <v>87</v>
      </c>
      <c r="J2963" t="s">
        <v>4515</v>
      </c>
      <c r="K2963" t="s">
        <v>38</v>
      </c>
      <c r="L2963" t="s">
        <v>38</v>
      </c>
      <c r="M2963" t="s">
        <v>38</v>
      </c>
      <c r="N2963" t="s">
        <v>38</v>
      </c>
      <c r="O2963" t="s">
        <v>54</v>
      </c>
      <c r="P2963" t="s">
        <v>42</v>
      </c>
      <c r="Q2963" t="s">
        <v>43</v>
      </c>
      <c r="R2963" t="s">
        <v>89</v>
      </c>
      <c r="S2963" t="s">
        <v>38</v>
      </c>
      <c r="T2963" t="s">
        <v>89</v>
      </c>
      <c r="U2963" t="s">
        <v>90</v>
      </c>
      <c r="V2963" t="s">
        <v>91</v>
      </c>
      <c r="W2963" t="s">
        <v>92</v>
      </c>
      <c r="X2963" t="s">
        <v>93</v>
      </c>
      <c r="Y2963" t="s">
        <v>4531</v>
      </c>
      <c r="Z2963" t="s">
        <v>42</v>
      </c>
      <c r="AA2963" t="s">
        <v>38</v>
      </c>
      <c r="AB2963" t="s">
        <v>38</v>
      </c>
      <c r="AC2963" t="s">
        <v>4541</v>
      </c>
      <c r="AD2963" t="s">
        <v>48</v>
      </c>
      <c r="AG2963" t="str">
        <f>IF(AD2963="United States", IFERROR(INDEX(Sheet2!$C:$C, MATCH(AE2963&amp;AF2963, Sheet2!$E:$E, 0)) &amp; ", " &amp; INDEX(Sheet2!$D:$D, MATCH(AE2963&amp;AF2963, Sheet2!$E:$E, 0)), ""), "-")</f>
        <v/>
      </c>
    </row>
    <row r="2964" spans="1:33" x14ac:dyDescent="0.25">
      <c r="A2964" t="s">
        <v>245</v>
      </c>
      <c r="B2964" t="s">
        <v>4542</v>
      </c>
      <c r="C2964" t="s">
        <v>4543</v>
      </c>
      <c r="D2964" t="s">
        <v>220</v>
      </c>
      <c r="E2964" t="s">
        <v>38</v>
      </c>
      <c r="F2964">
        <v>1761</v>
      </c>
      <c r="G2964">
        <v>2043</v>
      </c>
      <c r="H2964" t="s">
        <v>1096</v>
      </c>
      <c r="I2964" t="s">
        <v>87</v>
      </c>
      <c r="J2964" t="s">
        <v>4544</v>
      </c>
      <c r="K2964" t="s">
        <v>38</v>
      </c>
      <c r="L2964" t="s">
        <v>38</v>
      </c>
      <c r="M2964" t="s">
        <v>38</v>
      </c>
      <c r="N2964" t="s">
        <v>38</v>
      </c>
      <c r="O2964" t="s">
        <v>41</v>
      </c>
      <c r="P2964" t="s">
        <v>42</v>
      </c>
      <c r="Q2964" t="s">
        <v>43</v>
      </c>
      <c r="R2964" t="s">
        <v>89</v>
      </c>
      <c r="S2964" t="s">
        <v>38</v>
      </c>
      <c r="T2964" t="s">
        <v>89</v>
      </c>
      <c r="U2964" t="s">
        <v>90</v>
      </c>
      <c r="V2964" t="s">
        <v>740</v>
      </c>
      <c r="W2964" t="s">
        <v>92</v>
      </c>
      <c r="X2964" t="s">
        <v>93</v>
      </c>
      <c r="Y2964" t="s">
        <v>4545</v>
      </c>
      <c r="Z2964" t="s">
        <v>42</v>
      </c>
      <c r="AA2964" t="s">
        <v>38</v>
      </c>
      <c r="AB2964" t="s">
        <v>38</v>
      </c>
      <c r="AC2964" t="s">
        <v>38</v>
      </c>
      <c r="AD2964" t="s">
        <v>48</v>
      </c>
      <c r="AG2964" t="str">
        <f>IF(AD2964="United States", IFERROR(INDEX(Sheet2!$C:$C, MATCH(AE2964&amp;AF2964, Sheet2!$E:$E, 0)) &amp; ", " &amp; INDEX(Sheet2!$D:$D, MATCH(AE2964&amp;AF2964, Sheet2!$E:$E, 0)), ""), "-")</f>
        <v/>
      </c>
    </row>
    <row r="2965" spans="1:33" x14ac:dyDescent="0.25">
      <c r="A2965" t="s">
        <v>245</v>
      </c>
      <c r="B2965" t="s">
        <v>4546</v>
      </c>
      <c r="C2965" t="s">
        <v>4543</v>
      </c>
      <c r="D2965" t="s">
        <v>772</v>
      </c>
      <c r="E2965" t="s">
        <v>38</v>
      </c>
      <c r="F2965">
        <v>1779</v>
      </c>
      <c r="G2965">
        <v>2045</v>
      </c>
      <c r="H2965" t="s">
        <v>1096</v>
      </c>
      <c r="I2965" t="s">
        <v>87</v>
      </c>
      <c r="J2965" t="s">
        <v>4544</v>
      </c>
      <c r="K2965" t="s">
        <v>38</v>
      </c>
      <c r="L2965" t="s">
        <v>38</v>
      </c>
      <c r="M2965" t="s">
        <v>38</v>
      </c>
      <c r="N2965" t="s">
        <v>38</v>
      </c>
      <c r="O2965" t="s">
        <v>54</v>
      </c>
      <c r="P2965" t="s">
        <v>42</v>
      </c>
      <c r="Q2965" t="s">
        <v>43</v>
      </c>
      <c r="R2965" t="s">
        <v>89</v>
      </c>
      <c r="S2965" t="s">
        <v>38</v>
      </c>
      <c r="T2965" t="s">
        <v>89</v>
      </c>
      <c r="U2965" t="s">
        <v>90</v>
      </c>
      <c r="V2965" t="s">
        <v>740</v>
      </c>
      <c r="W2965" t="s">
        <v>92</v>
      </c>
      <c r="X2965" t="s">
        <v>93</v>
      </c>
      <c r="Y2965" t="s">
        <v>4547</v>
      </c>
      <c r="Z2965" t="s">
        <v>42</v>
      </c>
      <c r="AA2965" t="s">
        <v>59</v>
      </c>
      <c r="AB2965" t="s">
        <v>38</v>
      </c>
      <c r="AC2965" t="s">
        <v>60</v>
      </c>
      <c r="AD2965" t="s">
        <v>48</v>
      </c>
      <c r="AG2965" t="str">
        <f>IF(AD2965="United States", IFERROR(INDEX(Sheet2!$C:$C, MATCH(AE2965&amp;AF2965, Sheet2!$E:$E, 0)) &amp; ", " &amp; INDEX(Sheet2!$D:$D, MATCH(AE2965&amp;AF2965, Sheet2!$E:$E, 0)), ""), "-")</f>
        <v/>
      </c>
    </row>
    <row r="2966" spans="1:33" x14ac:dyDescent="0.25">
      <c r="A2966" t="s">
        <v>245</v>
      </c>
      <c r="B2966" t="s">
        <v>4548</v>
      </c>
      <c r="C2966" t="s">
        <v>4543</v>
      </c>
      <c r="D2966" t="s">
        <v>835</v>
      </c>
      <c r="E2966" t="s">
        <v>38</v>
      </c>
      <c r="F2966">
        <v>1763</v>
      </c>
      <c r="G2966">
        <v>2046</v>
      </c>
      <c r="H2966" t="s">
        <v>1096</v>
      </c>
      <c r="I2966" t="s">
        <v>87</v>
      </c>
      <c r="J2966" t="s">
        <v>4544</v>
      </c>
      <c r="K2966" t="s">
        <v>38</v>
      </c>
      <c r="L2966" t="s">
        <v>38</v>
      </c>
      <c r="M2966" t="s">
        <v>38</v>
      </c>
      <c r="N2966" t="s">
        <v>38</v>
      </c>
      <c r="O2966" t="s">
        <v>57</v>
      </c>
      <c r="P2966" t="s">
        <v>42</v>
      </c>
      <c r="Q2966" t="s">
        <v>43</v>
      </c>
      <c r="R2966" t="s">
        <v>89</v>
      </c>
      <c r="S2966" t="s">
        <v>153</v>
      </c>
      <c r="T2966" t="s">
        <v>89</v>
      </c>
      <c r="U2966" t="s">
        <v>90</v>
      </c>
      <c r="V2966" t="s">
        <v>740</v>
      </c>
      <c r="W2966" t="s">
        <v>92</v>
      </c>
      <c r="X2966" t="s">
        <v>93</v>
      </c>
      <c r="Y2966" t="s">
        <v>4549</v>
      </c>
      <c r="Z2966" t="s">
        <v>42</v>
      </c>
      <c r="AA2966" t="s">
        <v>155</v>
      </c>
      <c r="AB2966" t="s">
        <v>38</v>
      </c>
      <c r="AC2966" t="s">
        <v>153</v>
      </c>
      <c r="AD2966" t="s">
        <v>48</v>
      </c>
      <c r="AG2966" t="str">
        <f>IF(AD2966="United States", IFERROR(INDEX(Sheet2!$C:$C, MATCH(AE2966&amp;AF2966, Sheet2!$E:$E, 0)) &amp; ", " &amp; INDEX(Sheet2!$D:$D, MATCH(AE2966&amp;AF2966, Sheet2!$E:$E, 0)), ""), "-")</f>
        <v/>
      </c>
    </row>
    <row r="2967" spans="1:33" x14ac:dyDescent="0.25">
      <c r="A2967" t="s">
        <v>245</v>
      </c>
      <c r="B2967" t="s">
        <v>4550</v>
      </c>
      <c r="C2967" t="s">
        <v>4543</v>
      </c>
      <c r="D2967" t="s">
        <v>200</v>
      </c>
      <c r="E2967" t="s">
        <v>38</v>
      </c>
      <c r="F2967">
        <v>1743</v>
      </c>
      <c r="G2967">
        <v>2047</v>
      </c>
      <c r="H2967" t="s">
        <v>1096</v>
      </c>
      <c r="I2967" t="s">
        <v>87</v>
      </c>
      <c r="J2967" t="s">
        <v>4544</v>
      </c>
      <c r="K2967" t="s">
        <v>38</v>
      </c>
      <c r="L2967" t="s">
        <v>38</v>
      </c>
      <c r="M2967" t="s">
        <v>38</v>
      </c>
      <c r="N2967" t="s">
        <v>38</v>
      </c>
      <c r="O2967" t="s">
        <v>41</v>
      </c>
      <c r="P2967" t="s">
        <v>42</v>
      </c>
      <c r="Q2967" t="s">
        <v>43</v>
      </c>
      <c r="R2967" t="s">
        <v>89</v>
      </c>
      <c r="S2967" t="s">
        <v>45</v>
      </c>
      <c r="T2967" t="s">
        <v>89</v>
      </c>
      <c r="U2967" t="s">
        <v>90</v>
      </c>
      <c r="V2967" t="s">
        <v>740</v>
      </c>
      <c r="W2967" t="s">
        <v>92</v>
      </c>
      <c r="X2967" t="s">
        <v>93</v>
      </c>
      <c r="Y2967" t="s">
        <v>4547</v>
      </c>
      <c r="Z2967" t="s">
        <v>42</v>
      </c>
      <c r="AA2967" t="s">
        <v>1244</v>
      </c>
      <c r="AB2967" t="s">
        <v>38</v>
      </c>
      <c r="AC2967" t="s">
        <v>45</v>
      </c>
      <c r="AD2967" t="s">
        <v>48</v>
      </c>
      <c r="AG2967" t="str">
        <f>IF(AD2967="United States", IFERROR(INDEX(Sheet2!$C:$C, MATCH(AE2967&amp;AF2967, Sheet2!$E:$E, 0)) &amp; ", " &amp; INDEX(Sheet2!$D:$D, MATCH(AE2967&amp;AF2967, Sheet2!$E:$E, 0)), ""), "-")</f>
        <v/>
      </c>
    </row>
    <row r="2968" spans="1:33" x14ac:dyDescent="0.25">
      <c r="A2968" t="s">
        <v>245</v>
      </c>
      <c r="B2968" t="s">
        <v>4551</v>
      </c>
      <c r="C2968" t="s">
        <v>4543</v>
      </c>
      <c r="D2968" t="s">
        <v>104</v>
      </c>
      <c r="E2968" t="s">
        <v>38</v>
      </c>
      <c r="F2968">
        <v>1751</v>
      </c>
      <c r="G2968">
        <v>2048</v>
      </c>
      <c r="H2968" t="s">
        <v>1096</v>
      </c>
      <c r="I2968" t="s">
        <v>87</v>
      </c>
      <c r="J2968" t="s">
        <v>4544</v>
      </c>
      <c r="K2968" t="s">
        <v>38</v>
      </c>
      <c r="L2968" t="s">
        <v>38</v>
      </c>
      <c r="M2968" t="s">
        <v>38</v>
      </c>
      <c r="N2968" t="s">
        <v>38</v>
      </c>
      <c r="O2968" t="s">
        <v>54</v>
      </c>
      <c r="P2968" t="s">
        <v>42</v>
      </c>
      <c r="Q2968" t="s">
        <v>43</v>
      </c>
      <c r="R2968" t="s">
        <v>89</v>
      </c>
      <c r="S2968" t="s">
        <v>38</v>
      </c>
      <c r="T2968" t="s">
        <v>89</v>
      </c>
      <c r="U2968" t="s">
        <v>90</v>
      </c>
      <c r="V2968" t="s">
        <v>740</v>
      </c>
      <c r="W2968" t="s">
        <v>92</v>
      </c>
      <c r="X2968" t="s">
        <v>93</v>
      </c>
      <c r="Y2968" t="s">
        <v>4552</v>
      </c>
      <c r="Z2968" t="s">
        <v>42</v>
      </c>
      <c r="AA2968" t="s">
        <v>38</v>
      </c>
      <c r="AB2968" t="s">
        <v>38</v>
      </c>
      <c r="AC2968" t="s">
        <v>104</v>
      </c>
      <c r="AD2968" t="s">
        <v>48</v>
      </c>
      <c r="AG2968" t="str">
        <f>IF(AD2968="United States", IFERROR(INDEX(Sheet2!$C:$C, MATCH(AE2968&amp;AF2968, Sheet2!$E:$E, 0)) &amp; ", " &amp; INDEX(Sheet2!$D:$D, MATCH(AE2968&amp;AF2968, Sheet2!$E:$E, 0)), ""), "-")</f>
        <v/>
      </c>
    </row>
    <row r="2969" spans="1:33" x14ac:dyDescent="0.25">
      <c r="A2969" t="s">
        <v>245</v>
      </c>
      <c r="B2969" t="s">
        <v>4553</v>
      </c>
      <c r="C2969" t="s">
        <v>4543</v>
      </c>
      <c r="D2969" t="s">
        <v>4554</v>
      </c>
      <c r="E2969" t="s">
        <v>4555</v>
      </c>
      <c r="F2969">
        <v>1776</v>
      </c>
      <c r="G2969">
        <v>2049</v>
      </c>
      <c r="H2969" t="s">
        <v>1096</v>
      </c>
      <c r="I2969" t="s">
        <v>87</v>
      </c>
      <c r="J2969" t="s">
        <v>4544</v>
      </c>
      <c r="K2969" t="s">
        <v>38</v>
      </c>
      <c r="L2969" t="s">
        <v>38</v>
      </c>
      <c r="M2969" t="s">
        <v>38</v>
      </c>
      <c r="N2969" t="s">
        <v>38</v>
      </c>
      <c r="O2969" t="s">
        <v>74</v>
      </c>
      <c r="P2969" t="s">
        <v>42</v>
      </c>
      <c r="Q2969" t="s">
        <v>43</v>
      </c>
      <c r="R2969" t="s">
        <v>89</v>
      </c>
      <c r="S2969" t="s">
        <v>38</v>
      </c>
      <c r="T2969" t="s">
        <v>89</v>
      </c>
      <c r="U2969" t="s">
        <v>90</v>
      </c>
      <c r="V2969" t="s">
        <v>740</v>
      </c>
      <c r="W2969" t="s">
        <v>92</v>
      </c>
      <c r="X2969" t="s">
        <v>93</v>
      </c>
      <c r="Y2969" t="s">
        <v>4556</v>
      </c>
      <c r="Z2969" t="s">
        <v>42</v>
      </c>
      <c r="AA2969" t="s">
        <v>38</v>
      </c>
      <c r="AB2969" t="s">
        <v>38</v>
      </c>
      <c r="AC2969" t="s">
        <v>38</v>
      </c>
      <c r="AD2969" t="s">
        <v>48</v>
      </c>
      <c r="AG2969" t="str">
        <f>IF(AD2969="United States", IFERROR(INDEX(Sheet2!$C:$C, MATCH(AE2969&amp;AF2969, Sheet2!$E:$E, 0)) &amp; ", " &amp; INDEX(Sheet2!$D:$D, MATCH(AE2969&amp;AF2969, Sheet2!$E:$E, 0)), ""), "-")</f>
        <v/>
      </c>
    </row>
    <row r="2970" spans="1:33" x14ac:dyDescent="0.25">
      <c r="A2970" t="s">
        <v>245</v>
      </c>
      <c r="B2970" t="s">
        <v>4557</v>
      </c>
      <c r="C2970" t="s">
        <v>4514</v>
      </c>
      <c r="D2970" t="s">
        <v>783</v>
      </c>
      <c r="E2970" t="s">
        <v>38</v>
      </c>
      <c r="F2970">
        <v>1767</v>
      </c>
      <c r="G2970">
        <v>2051</v>
      </c>
      <c r="H2970" t="s">
        <v>1096</v>
      </c>
      <c r="I2970" t="s">
        <v>87</v>
      </c>
      <c r="J2970" t="s">
        <v>4515</v>
      </c>
      <c r="K2970" t="s">
        <v>38</v>
      </c>
      <c r="L2970" t="s">
        <v>38</v>
      </c>
      <c r="M2970" t="s">
        <v>38</v>
      </c>
      <c r="N2970" t="s">
        <v>38</v>
      </c>
      <c r="O2970" t="s">
        <v>74</v>
      </c>
      <c r="P2970" t="s">
        <v>42</v>
      </c>
      <c r="Q2970" t="s">
        <v>43</v>
      </c>
      <c r="R2970" t="s">
        <v>89</v>
      </c>
      <c r="S2970" t="s">
        <v>38</v>
      </c>
      <c r="T2970" t="s">
        <v>89</v>
      </c>
      <c r="U2970" t="s">
        <v>90</v>
      </c>
      <c r="V2970" t="s">
        <v>91</v>
      </c>
      <c r="W2970" t="s">
        <v>92</v>
      </c>
      <c r="X2970" t="s">
        <v>93</v>
      </c>
      <c r="Y2970" t="s">
        <v>4531</v>
      </c>
      <c r="Z2970" t="s">
        <v>42</v>
      </c>
      <c r="AA2970" t="s">
        <v>38</v>
      </c>
      <c r="AB2970" t="s">
        <v>38</v>
      </c>
      <c r="AC2970" t="s">
        <v>38</v>
      </c>
      <c r="AD2970" t="s">
        <v>48</v>
      </c>
      <c r="AG2970" t="str">
        <f>IF(AD2970="United States", IFERROR(INDEX(Sheet2!$C:$C, MATCH(AE2970&amp;AF2970, Sheet2!$E:$E, 0)) &amp; ", " &amp; INDEX(Sheet2!$D:$D, MATCH(AE2970&amp;AF2970, Sheet2!$E:$E, 0)), ""), "-")</f>
        <v/>
      </c>
    </row>
    <row r="2971" spans="1:33" x14ac:dyDescent="0.25">
      <c r="A2971" t="s">
        <v>245</v>
      </c>
      <c r="B2971" t="s">
        <v>4558</v>
      </c>
      <c r="C2971" t="s">
        <v>4543</v>
      </c>
      <c r="D2971" t="s">
        <v>650</v>
      </c>
      <c r="E2971" t="s">
        <v>4559</v>
      </c>
      <c r="F2971">
        <v>1762</v>
      </c>
      <c r="G2971">
        <v>2044</v>
      </c>
      <c r="H2971" t="s">
        <v>1096</v>
      </c>
      <c r="I2971" t="s">
        <v>87</v>
      </c>
      <c r="J2971" t="s">
        <v>4544</v>
      </c>
      <c r="K2971" t="s">
        <v>38</v>
      </c>
      <c r="L2971" t="s">
        <v>38</v>
      </c>
      <c r="M2971" t="s">
        <v>38</v>
      </c>
      <c r="N2971" t="s">
        <v>38</v>
      </c>
      <c r="O2971" t="s">
        <v>57</v>
      </c>
      <c r="P2971" t="s">
        <v>42</v>
      </c>
      <c r="Q2971" t="s">
        <v>43</v>
      </c>
      <c r="R2971" t="s">
        <v>89</v>
      </c>
      <c r="S2971" t="s">
        <v>38</v>
      </c>
      <c r="T2971" t="s">
        <v>89</v>
      </c>
      <c r="U2971" t="s">
        <v>90</v>
      </c>
      <c r="V2971" t="s">
        <v>740</v>
      </c>
      <c r="W2971" t="s">
        <v>92</v>
      </c>
      <c r="X2971" t="s">
        <v>93</v>
      </c>
      <c r="Y2971" t="s">
        <v>4547</v>
      </c>
      <c r="Z2971" t="s">
        <v>42</v>
      </c>
      <c r="AA2971" t="s">
        <v>59</v>
      </c>
      <c r="AB2971" t="s">
        <v>38</v>
      </c>
      <c r="AC2971" t="s">
        <v>60</v>
      </c>
      <c r="AD2971" t="s">
        <v>48</v>
      </c>
      <c r="AG2971" t="str">
        <f>IF(AD2971="United States", IFERROR(INDEX(Sheet2!$C:$C, MATCH(AE2971&amp;AF2971, Sheet2!$E:$E, 0)) &amp; ", " &amp; INDEX(Sheet2!$D:$D, MATCH(AE2971&amp;AF2971, Sheet2!$E:$E, 0)), ""), "-")</f>
        <v/>
      </c>
    </row>
    <row r="2972" spans="1:33" x14ac:dyDescent="0.25">
      <c r="A2972" t="s">
        <v>245</v>
      </c>
      <c r="B2972" t="s">
        <v>4560</v>
      </c>
      <c r="C2972" t="s">
        <v>4514</v>
      </c>
      <c r="D2972" t="s">
        <v>4561</v>
      </c>
      <c r="E2972" t="s">
        <v>38</v>
      </c>
      <c r="F2972">
        <v>1775</v>
      </c>
      <c r="G2972">
        <v>2054</v>
      </c>
      <c r="H2972" t="s">
        <v>1096</v>
      </c>
      <c r="I2972" t="s">
        <v>87</v>
      </c>
      <c r="J2972" t="s">
        <v>4515</v>
      </c>
      <c r="K2972" t="s">
        <v>38</v>
      </c>
      <c r="L2972" t="s">
        <v>38</v>
      </c>
      <c r="M2972" t="s">
        <v>38</v>
      </c>
      <c r="N2972" t="s">
        <v>38</v>
      </c>
      <c r="O2972" t="s">
        <v>54</v>
      </c>
      <c r="P2972" t="s">
        <v>42</v>
      </c>
      <c r="Q2972" t="s">
        <v>43</v>
      </c>
      <c r="R2972" t="s">
        <v>89</v>
      </c>
      <c r="S2972" t="s">
        <v>38</v>
      </c>
      <c r="T2972" t="s">
        <v>89</v>
      </c>
      <c r="U2972" t="s">
        <v>90</v>
      </c>
      <c r="V2972" t="s">
        <v>91</v>
      </c>
      <c r="W2972" t="s">
        <v>92</v>
      </c>
      <c r="X2972" t="s">
        <v>93</v>
      </c>
      <c r="Y2972" t="s">
        <v>4531</v>
      </c>
      <c r="Z2972" t="s">
        <v>42</v>
      </c>
      <c r="AA2972" t="s">
        <v>38</v>
      </c>
      <c r="AB2972" t="s">
        <v>38</v>
      </c>
      <c r="AC2972" t="s">
        <v>38</v>
      </c>
      <c r="AD2972" t="s">
        <v>48</v>
      </c>
      <c r="AG2972" t="str">
        <f>IF(AD2972="United States", IFERROR(INDEX(Sheet2!$C:$C, MATCH(AE2972&amp;AF2972, Sheet2!$E:$E, 0)) &amp; ", " &amp; INDEX(Sheet2!$D:$D, MATCH(AE2972&amp;AF2972, Sheet2!$E:$E, 0)), ""), "-")</f>
        <v/>
      </c>
    </row>
    <row r="2973" spans="1:33" x14ac:dyDescent="0.25">
      <c r="A2973" t="s">
        <v>245</v>
      </c>
      <c r="B2973" t="s">
        <v>4502</v>
      </c>
      <c r="C2973" t="s">
        <v>4503</v>
      </c>
      <c r="D2973" t="s">
        <v>394</v>
      </c>
      <c r="E2973" t="s">
        <v>38</v>
      </c>
      <c r="F2973">
        <v>1774</v>
      </c>
      <c r="G2973">
        <v>891</v>
      </c>
      <c r="H2973" t="s">
        <v>2270</v>
      </c>
      <c r="I2973" t="s">
        <v>80</v>
      </c>
      <c r="J2973" t="s">
        <v>4504</v>
      </c>
      <c r="K2973" t="s">
        <v>38</v>
      </c>
      <c r="L2973" t="s">
        <v>38</v>
      </c>
      <c r="M2973" t="s">
        <v>38</v>
      </c>
      <c r="N2973" t="s">
        <v>38</v>
      </c>
      <c r="O2973" t="s">
        <v>54</v>
      </c>
      <c r="P2973" t="s">
        <v>42</v>
      </c>
      <c r="Q2973" t="s">
        <v>43</v>
      </c>
      <c r="R2973" t="s">
        <v>89</v>
      </c>
      <c r="S2973" t="s">
        <v>38</v>
      </c>
      <c r="T2973" t="s">
        <v>89</v>
      </c>
      <c r="U2973" t="s">
        <v>90</v>
      </c>
      <c r="V2973" t="s">
        <v>597</v>
      </c>
      <c r="W2973" t="s">
        <v>92</v>
      </c>
      <c r="X2973" t="s">
        <v>93</v>
      </c>
      <c r="Y2973" t="s">
        <v>4505</v>
      </c>
      <c r="Z2973" t="s">
        <v>42</v>
      </c>
      <c r="AA2973" t="s">
        <v>38</v>
      </c>
      <c r="AB2973" t="s">
        <v>38</v>
      </c>
      <c r="AC2973" t="s">
        <v>597</v>
      </c>
      <c r="AD2973" t="s">
        <v>48</v>
      </c>
      <c r="AG2973" t="str">
        <f>IF(AD2973="United States", IFERROR(INDEX(Sheet2!$C:$C, MATCH(AE2973&amp;AF2973, Sheet2!$E:$E, 0)) &amp; ", " &amp; INDEX(Sheet2!$D:$D, MATCH(AE2973&amp;AF2973, Sheet2!$E:$E, 0)), ""), "-")</f>
        <v/>
      </c>
    </row>
    <row r="2974" spans="1:33" x14ac:dyDescent="0.25">
      <c r="A2974" t="s">
        <v>245</v>
      </c>
      <c r="D2974" t="s">
        <v>181</v>
      </c>
      <c r="E2974" t="s">
        <v>2286</v>
      </c>
      <c r="F2974">
        <v>1780</v>
      </c>
      <c r="G2974">
        <v>2059</v>
      </c>
      <c r="H2974">
        <v>66</v>
      </c>
      <c r="J2974" t="s">
        <v>2698</v>
      </c>
      <c r="O2974" t="s">
        <v>74</v>
      </c>
      <c r="R2974" t="s">
        <v>89</v>
      </c>
      <c r="T2974" t="s">
        <v>89</v>
      </c>
      <c r="U2974" t="s">
        <v>90</v>
      </c>
      <c r="V2974" t="s">
        <v>1045</v>
      </c>
      <c r="W2974" t="s">
        <v>92</v>
      </c>
      <c r="X2974" t="s">
        <v>93</v>
      </c>
      <c r="Y2974" t="s">
        <v>38</v>
      </c>
      <c r="AA2974" t="s">
        <v>38</v>
      </c>
      <c r="AB2974" t="s">
        <v>38</v>
      </c>
      <c r="AC2974" t="s">
        <v>38</v>
      </c>
      <c r="AD2974" t="s">
        <v>48</v>
      </c>
      <c r="AG2974" t="str">
        <f>IF(AD2974="United States", IFERROR(INDEX(Sheet2!$C:$C, MATCH(AE2974&amp;AF2974, Sheet2!$E:$E, 0)) &amp; ", " &amp; INDEX(Sheet2!$D:$D, MATCH(AE2974&amp;AF2974, Sheet2!$E:$E, 0)), ""), "-")</f>
        <v/>
      </c>
    </row>
    <row r="2975" spans="1:33" x14ac:dyDescent="0.25">
      <c r="A2975" t="s">
        <v>245</v>
      </c>
      <c r="D2975" t="s">
        <v>4562</v>
      </c>
      <c r="E2975" t="s">
        <v>104</v>
      </c>
      <c r="F2975" t="s">
        <v>38</v>
      </c>
      <c r="G2975">
        <v>1989</v>
      </c>
      <c r="H2975">
        <v>65</v>
      </c>
      <c r="J2975" t="s">
        <v>4563</v>
      </c>
      <c r="O2975" t="s">
        <v>57</v>
      </c>
      <c r="R2975" t="s">
        <v>89</v>
      </c>
      <c r="T2975" t="s">
        <v>89</v>
      </c>
      <c r="U2975" t="s">
        <v>90</v>
      </c>
      <c r="V2975" t="s">
        <v>1045</v>
      </c>
      <c r="W2975" t="s">
        <v>92</v>
      </c>
      <c r="X2975" t="s">
        <v>93</v>
      </c>
      <c r="Y2975" t="s">
        <v>38</v>
      </c>
      <c r="AA2975" t="s">
        <v>38</v>
      </c>
      <c r="AB2975" t="s">
        <v>38</v>
      </c>
      <c r="AC2975" t="s">
        <v>38</v>
      </c>
      <c r="AD2975" t="s">
        <v>48</v>
      </c>
      <c r="AG2975" t="str">
        <f>IF(AD2975="United States", IFERROR(INDEX(Sheet2!$C:$C, MATCH(AE2975&amp;AF2975, Sheet2!$E:$E, 0)) &amp; ", " &amp; INDEX(Sheet2!$D:$D, MATCH(AE2975&amp;AF2975, Sheet2!$E:$E, 0)), ""), "-")</f>
        <v/>
      </c>
    </row>
    <row r="2976" spans="1:33" x14ac:dyDescent="0.25">
      <c r="A2976" t="s">
        <v>245</v>
      </c>
      <c r="D2976" t="s">
        <v>181</v>
      </c>
      <c r="E2976" t="s">
        <v>104</v>
      </c>
      <c r="F2976" t="s">
        <v>38</v>
      </c>
      <c r="G2976">
        <v>1990</v>
      </c>
      <c r="H2976">
        <v>65</v>
      </c>
      <c r="J2976" t="s">
        <v>4563</v>
      </c>
      <c r="O2976" t="s">
        <v>183</v>
      </c>
      <c r="R2976" t="s">
        <v>89</v>
      </c>
      <c r="T2976" t="s">
        <v>89</v>
      </c>
      <c r="U2976" t="s">
        <v>90</v>
      </c>
      <c r="V2976" t="s">
        <v>1045</v>
      </c>
      <c r="W2976" t="s">
        <v>92</v>
      </c>
      <c r="X2976" t="s">
        <v>93</v>
      </c>
      <c r="Y2976" t="s">
        <v>38</v>
      </c>
      <c r="AA2976" t="s">
        <v>38</v>
      </c>
      <c r="AB2976" t="s">
        <v>38</v>
      </c>
      <c r="AC2976" t="s">
        <v>38</v>
      </c>
      <c r="AD2976" t="s">
        <v>48</v>
      </c>
      <c r="AG2976" t="str">
        <f>IF(AD2976="United States", IFERROR(INDEX(Sheet2!$C:$C, MATCH(AE2976&amp;AF2976, Sheet2!$E:$E, 0)) &amp; ", " &amp; INDEX(Sheet2!$D:$D, MATCH(AE2976&amp;AF2976, Sheet2!$E:$E, 0)), ""), "-")</f>
        <v/>
      </c>
    </row>
    <row r="2977" spans="1:33" x14ac:dyDescent="0.25">
      <c r="A2977" t="s">
        <v>245</v>
      </c>
      <c r="D2977" t="s">
        <v>181</v>
      </c>
      <c r="E2977" t="s">
        <v>104</v>
      </c>
      <c r="F2977" t="s">
        <v>38</v>
      </c>
      <c r="G2977">
        <v>1991</v>
      </c>
      <c r="H2977">
        <v>65</v>
      </c>
      <c r="J2977" t="s">
        <v>4563</v>
      </c>
      <c r="O2977" t="s">
        <v>183</v>
      </c>
      <c r="R2977" t="s">
        <v>89</v>
      </c>
      <c r="T2977" t="s">
        <v>89</v>
      </c>
      <c r="U2977" t="s">
        <v>90</v>
      </c>
      <c r="V2977" t="s">
        <v>1045</v>
      </c>
      <c r="W2977" t="s">
        <v>92</v>
      </c>
      <c r="X2977" t="s">
        <v>93</v>
      </c>
      <c r="Y2977" t="s">
        <v>38</v>
      </c>
      <c r="AA2977" t="s">
        <v>38</v>
      </c>
      <c r="AB2977" t="s">
        <v>38</v>
      </c>
      <c r="AC2977" t="s">
        <v>38</v>
      </c>
      <c r="AD2977" t="s">
        <v>48</v>
      </c>
      <c r="AG2977" t="str">
        <f>IF(AD2977="United States", IFERROR(INDEX(Sheet2!$C:$C, MATCH(AE2977&amp;AF2977, Sheet2!$E:$E, 0)) &amp; ", " &amp; INDEX(Sheet2!$D:$D, MATCH(AE2977&amp;AF2977, Sheet2!$E:$E, 0)), ""), "-")</f>
        <v/>
      </c>
    </row>
    <row r="2978" spans="1:33" x14ac:dyDescent="0.25">
      <c r="A2978" t="s">
        <v>4564</v>
      </c>
      <c r="B2978" t="s">
        <v>4565</v>
      </c>
      <c r="C2978" t="s">
        <v>4566</v>
      </c>
      <c r="D2978" t="s">
        <v>195</v>
      </c>
      <c r="E2978" t="s">
        <v>37</v>
      </c>
      <c r="F2978">
        <v>1734</v>
      </c>
      <c r="G2978">
        <v>1844</v>
      </c>
      <c r="H2978" t="s">
        <v>4432</v>
      </c>
      <c r="I2978" t="s">
        <v>80</v>
      </c>
      <c r="J2978" t="s">
        <v>38</v>
      </c>
      <c r="K2978" t="s">
        <v>626</v>
      </c>
      <c r="L2978" t="s">
        <v>1900</v>
      </c>
      <c r="M2978" t="s">
        <v>38</v>
      </c>
      <c r="N2978" t="s">
        <v>38</v>
      </c>
      <c r="O2978" t="s">
        <v>41</v>
      </c>
      <c r="P2978" t="s">
        <v>42</v>
      </c>
      <c r="Q2978" t="s">
        <v>43</v>
      </c>
      <c r="R2978" t="s">
        <v>4567</v>
      </c>
      <c r="S2978" t="s">
        <v>1063</v>
      </c>
      <c r="T2978" t="s">
        <v>4567</v>
      </c>
      <c r="U2978" t="s">
        <v>4568</v>
      </c>
      <c r="V2978" t="s">
        <v>38</v>
      </c>
      <c r="W2978" t="s">
        <v>92</v>
      </c>
      <c r="X2978" t="s">
        <v>302</v>
      </c>
      <c r="Y2978" t="s">
        <v>4569</v>
      </c>
      <c r="Z2978" t="s">
        <v>42</v>
      </c>
      <c r="AA2978" t="s">
        <v>38</v>
      </c>
      <c r="AB2978" t="s">
        <v>38</v>
      </c>
      <c r="AC2978" t="s">
        <v>1063</v>
      </c>
      <c r="AD2978" t="s">
        <v>48</v>
      </c>
      <c r="AG2978" t="str">
        <f>IF(AD2978="United States", IFERROR(INDEX(Sheet2!$C:$C, MATCH(AE2978&amp;AF2978, Sheet2!$E:$E, 0)) &amp; ", " &amp; INDEX(Sheet2!$D:$D, MATCH(AE2978&amp;AF2978, Sheet2!$E:$E, 0)), ""), "-")</f>
        <v/>
      </c>
    </row>
    <row r="2979" spans="1:33" x14ac:dyDescent="0.25">
      <c r="A2979" t="s">
        <v>4564</v>
      </c>
      <c r="B2979" t="s">
        <v>4570</v>
      </c>
      <c r="C2979" t="s">
        <v>4566</v>
      </c>
      <c r="D2979" t="s">
        <v>72</v>
      </c>
      <c r="E2979" t="s">
        <v>37</v>
      </c>
      <c r="F2979">
        <v>1743</v>
      </c>
      <c r="G2979">
        <v>1855</v>
      </c>
      <c r="H2979" t="s">
        <v>4432</v>
      </c>
      <c r="I2979" t="s">
        <v>80</v>
      </c>
      <c r="J2979" t="s">
        <v>38</v>
      </c>
      <c r="K2979" t="s">
        <v>38</v>
      </c>
      <c r="L2979" t="s">
        <v>38</v>
      </c>
      <c r="M2979" t="s">
        <v>38</v>
      </c>
      <c r="N2979" t="s">
        <v>38</v>
      </c>
      <c r="O2979" t="s">
        <v>57</v>
      </c>
      <c r="P2979" t="s">
        <v>42</v>
      </c>
      <c r="Q2979" t="s">
        <v>43</v>
      </c>
      <c r="R2979" t="s">
        <v>4567</v>
      </c>
      <c r="S2979" t="s">
        <v>45</v>
      </c>
      <c r="T2979" t="s">
        <v>4567</v>
      </c>
      <c r="U2979" t="s">
        <v>4568</v>
      </c>
      <c r="V2979" t="s">
        <v>38</v>
      </c>
      <c r="W2979" t="s">
        <v>92</v>
      </c>
      <c r="X2979" t="s">
        <v>302</v>
      </c>
      <c r="Y2979" t="s">
        <v>4569</v>
      </c>
      <c r="Z2979" t="s">
        <v>42</v>
      </c>
      <c r="AA2979" t="s">
        <v>247</v>
      </c>
      <c r="AB2979" t="s">
        <v>38</v>
      </c>
      <c r="AC2979" t="s">
        <v>45</v>
      </c>
      <c r="AD2979" t="s">
        <v>48</v>
      </c>
      <c r="AG2979" t="str">
        <f>IF(AD2979="United States", IFERROR(INDEX(Sheet2!$C:$C, MATCH(AE2979&amp;AF2979, Sheet2!$E:$E, 0)) &amp; ", " &amp; INDEX(Sheet2!$D:$D, MATCH(AE2979&amp;AF2979, Sheet2!$E:$E, 0)), ""), "-")</f>
        <v/>
      </c>
    </row>
    <row r="2980" spans="1:33" x14ac:dyDescent="0.25">
      <c r="A2980" t="s">
        <v>4564</v>
      </c>
      <c r="B2980" t="s">
        <v>4571</v>
      </c>
      <c r="C2980" t="s">
        <v>4566</v>
      </c>
      <c r="D2980" t="s">
        <v>101</v>
      </c>
      <c r="E2980" t="s">
        <v>37</v>
      </c>
      <c r="F2980">
        <v>1734</v>
      </c>
      <c r="G2980">
        <v>1854</v>
      </c>
      <c r="H2980" t="s">
        <v>4432</v>
      </c>
      <c r="I2980" t="s">
        <v>80</v>
      </c>
      <c r="J2980" t="s">
        <v>38</v>
      </c>
      <c r="K2980" t="s">
        <v>38</v>
      </c>
      <c r="L2980" t="s">
        <v>38</v>
      </c>
      <c r="M2980" t="s">
        <v>38</v>
      </c>
      <c r="N2980" t="s">
        <v>38</v>
      </c>
      <c r="O2980" t="s">
        <v>41</v>
      </c>
      <c r="P2980" t="s">
        <v>42</v>
      </c>
      <c r="Q2980" t="s">
        <v>43</v>
      </c>
      <c r="R2980" t="s">
        <v>4567</v>
      </c>
      <c r="S2980" t="s">
        <v>1063</v>
      </c>
      <c r="T2980" t="s">
        <v>4567</v>
      </c>
      <c r="U2980" t="s">
        <v>4568</v>
      </c>
      <c r="V2980" t="s">
        <v>38</v>
      </c>
      <c r="W2980" t="s">
        <v>92</v>
      </c>
      <c r="X2980" t="s">
        <v>302</v>
      </c>
      <c r="Y2980" t="s">
        <v>4569</v>
      </c>
      <c r="Z2980" t="s">
        <v>42</v>
      </c>
      <c r="AA2980" t="s">
        <v>4572</v>
      </c>
      <c r="AB2980" t="s">
        <v>38</v>
      </c>
      <c r="AC2980" t="s">
        <v>1063</v>
      </c>
      <c r="AD2980" t="s">
        <v>48</v>
      </c>
      <c r="AG2980" t="str">
        <f>IF(AD2980="United States", IFERROR(INDEX(Sheet2!$C:$C, MATCH(AE2980&amp;AF2980, Sheet2!$E:$E, 0)) &amp; ", " &amp; INDEX(Sheet2!$D:$D, MATCH(AE2980&amp;AF2980, Sheet2!$E:$E, 0)), ""), "-")</f>
        <v/>
      </c>
    </row>
    <row r="2981" spans="1:33" x14ac:dyDescent="0.25">
      <c r="A2981" t="s">
        <v>4564</v>
      </c>
      <c r="B2981" t="s">
        <v>4573</v>
      </c>
      <c r="C2981" t="s">
        <v>4566</v>
      </c>
      <c r="D2981" t="s">
        <v>361</v>
      </c>
      <c r="E2981" t="s">
        <v>38</v>
      </c>
      <c r="F2981">
        <v>1758</v>
      </c>
      <c r="G2981">
        <v>1853</v>
      </c>
      <c r="H2981" t="s">
        <v>4432</v>
      </c>
      <c r="I2981" t="s">
        <v>80</v>
      </c>
      <c r="J2981" t="s">
        <v>38</v>
      </c>
      <c r="K2981" t="s">
        <v>38</v>
      </c>
      <c r="L2981" t="s">
        <v>38</v>
      </c>
      <c r="M2981" t="s">
        <v>38</v>
      </c>
      <c r="N2981" t="s">
        <v>38</v>
      </c>
      <c r="O2981" t="s">
        <v>41</v>
      </c>
      <c r="P2981" t="s">
        <v>42</v>
      </c>
      <c r="Q2981" t="s">
        <v>43</v>
      </c>
      <c r="R2981" t="s">
        <v>4567</v>
      </c>
      <c r="S2981" t="s">
        <v>38</v>
      </c>
      <c r="T2981" t="s">
        <v>4567</v>
      </c>
      <c r="U2981" t="s">
        <v>4568</v>
      </c>
      <c r="V2981" t="s">
        <v>38</v>
      </c>
      <c r="W2981" t="s">
        <v>92</v>
      </c>
      <c r="X2981" t="s">
        <v>302</v>
      </c>
      <c r="Y2981" t="s">
        <v>4574</v>
      </c>
      <c r="Z2981" t="s">
        <v>42</v>
      </c>
      <c r="AA2981" t="s">
        <v>38</v>
      </c>
      <c r="AB2981" t="s">
        <v>38</v>
      </c>
      <c r="AC2981" t="s">
        <v>38</v>
      </c>
      <c r="AD2981" t="s">
        <v>48</v>
      </c>
      <c r="AG2981" t="str">
        <f>IF(AD2981="United States", IFERROR(INDEX(Sheet2!$C:$C, MATCH(AE2981&amp;AF2981, Sheet2!$E:$E, 0)) &amp; ", " &amp; INDEX(Sheet2!$D:$D, MATCH(AE2981&amp;AF2981, Sheet2!$E:$E, 0)), ""), "-")</f>
        <v/>
      </c>
    </row>
    <row r="2982" spans="1:33" x14ac:dyDescent="0.25">
      <c r="A2982" t="s">
        <v>4564</v>
      </c>
      <c r="B2982" t="s">
        <v>4575</v>
      </c>
      <c r="C2982" t="s">
        <v>4566</v>
      </c>
      <c r="D2982" t="s">
        <v>226</v>
      </c>
      <c r="E2982" t="s">
        <v>1684</v>
      </c>
      <c r="F2982">
        <v>1763</v>
      </c>
      <c r="G2982">
        <v>1852</v>
      </c>
      <c r="H2982" t="s">
        <v>4432</v>
      </c>
      <c r="I2982" t="s">
        <v>80</v>
      </c>
      <c r="J2982" t="s">
        <v>38</v>
      </c>
      <c r="K2982" t="s">
        <v>38</v>
      </c>
      <c r="L2982" t="s">
        <v>38</v>
      </c>
      <c r="M2982" t="s">
        <v>38</v>
      </c>
      <c r="N2982" t="s">
        <v>38</v>
      </c>
      <c r="O2982" t="s">
        <v>41</v>
      </c>
      <c r="P2982" t="s">
        <v>42</v>
      </c>
      <c r="Q2982" t="s">
        <v>43</v>
      </c>
      <c r="R2982" t="s">
        <v>4567</v>
      </c>
      <c r="S2982" t="s">
        <v>45</v>
      </c>
      <c r="T2982" t="s">
        <v>4567</v>
      </c>
      <c r="U2982" t="s">
        <v>4568</v>
      </c>
      <c r="V2982" t="s">
        <v>38</v>
      </c>
      <c r="W2982" t="s">
        <v>92</v>
      </c>
      <c r="X2982" t="s">
        <v>302</v>
      </c>
      <c r="Y2982" t="s">
        <v>4576</v>
      </c>
      <c r="Z2982" t="s">
        <v>42</v>
      </c>
      <c r="AA2982" t="s">
        <v>143</v>
      </c>
      <c r="AB2982" t="s">
        <v>38</v>
      </c>
      <c r="AC2982" t="s">
        <v>45</v>
      </c>
      <c r="AD2982" t="s">
        <v>48</v>
      </c>
      <c r="AG2982" t="str">
        <f>IF(AD2982="United States", IFERROR(INDEX(Sheet2!$C:$C, MATCH(AE2982&amp;AF2982, Sheet2!$E:$E, 0)) &amp; ", " &amp; INDEX(Sheet2!$D:$D, MATCH(AE2982&amp;AF2982, Sheet2!$E:$E, 0)), ""), "-")</f>
        <v/>
      </c>
    </row>
    <row r="2983" spans="1:33" x14ac:dyDescent="0.25">
      <c r="A2983" t="s">
        <v>4564</v>
      </c>
      <c r="B2983" t="s">
        <v>4577</v>
      </c>
      <c r="C2983" t="s">
        <v>4566</v>
      </c>
      <c r="D2983" t="s">
        <v>2146</v>
      </c>
      <c r="E2983" t="s">
        <v>38</v>
      </c>
      <c r="F2983">
        <v>1743</v>
      </c>
      <c r="G2983">
        <v>1851</v>
      </c>
      <c r="H2983" t="s">
        <v>4432</v>
      </c>
      <c r="I2983" t="s">
        <v>80</v>
      </c>
      <c r="J2983" t="s">
        <v>38</v>
      </c>
      <c r="K2983" t="s">
        <v>38</v>
      </c>
      <c r="L2983" t="s">
        <v>38</v>
      </c>
      <c r="M2983" t="s">
        <v>38</v>
      </c>
      <c r="N2983" t="s">
        <v>38</v>
      </c>
      <c r="O2983" t="s">
        <v>57</v>
      </c>
      <c r="P2983" t="s">
        <v>42</v>
      </c>
      <c r="Q2983" t="s">
        <v>43</v>
      </c>
      <c r="R2983" t="s">
        <v>4567</v>
      </c>
      <c r="S2983" t="s">
        <v>38</v>
      </c>
      <c r="T2983" t="s">
        <v>4567</v>
      </c>
      <c r="U2983" t="s">
        <v>4568</v>
      </c>
      <c r="V2983" t="s">
        <v>38</v>
      </c>
      <c r="W2983" t="s">
        <v>92</v>
      </c>
      <c r="X2983" t="s">
        <v>302</v>
      </c>
      <c r="Y2983" t="s">
        <v>4578</v>
      </c>
      <c r="Z2983" t="s">
        <v>42</v>
      </c>
      <c r="AA2983" t="s">
        <v>38</v>
      </c>
      <c r="AB2983" t="s">
        <v>38</v>
      </c>
      <c r="AC2983" t="s">
        <v>593</v>
      </c>
      <c r="AD2983" t="s">
        <v>48</v>
      </c>
      <c r="AG2983" t="str">
        <f>IF(AD2983="United States", IFERROR(INDEX(Sheet2!$C:$C, MATCH(AE2983&amp;AF2983, Sheet2!$E:$E, 0)) &amp; ", " &amp; INDEX(Sheet2!$D:$D, MATCH(AE2983&amp;AF2983, Sheet2!$E:$E, 0)), ""), "-")</f>
        <v/>
      </c>
    </row>
    <row r="2984" spans="1:33" x14ac:dyDescent="0.25">
      <c r="A2984" t="s">
        <v>4564</v>
      </c>
      <c r="B2984" t="s">
        <v>4579</v>
      </c>
      <c r="C2984" t="s">
        <v>4566</v>
      </c>
      <c r="D2984" t="s">
        <v>4580</v>
      </c>
      <c r="E2984" t="s">
        <v>4581</v>
      </c>
      <c r="F2984">
        <v>1745</v>
      </c>
      <c r="G2984">
        <v>1850</v>
      </c>
      <c r="H2984" t="s">
        <v>4432</v>
      </c>
      <c r="I2984" t="s">
        <v>80</v>
      </c>
      <c r="J2984" t="s">
        <v>38</v>
      </c>
      <c r="K2984" t="s">
        <v>38</v>
      </c>
      <c r="L2984" t="s">
        <v>38</v>
      </c>
      <c r="M2984" t="s">
        <v>38</v>
      </c>
      <c r="N2984" t="s">
        <v>38</v>
      </c>
      <c r="O2984" t="s">
        <v>41</v>
      </c>
      <c r="P2984" t="s">
        <v>42</v>
      </c>
      <c r="Q2984" t="s">
        <v>43</v>
      </c>
      <c r="R2984" t="s">
        <v>4567</v>
      </c>
      <c r="S2984" t="s">
        <v>45</v>
      </c>
      <c r="T2984" t="s">
        <v>4567</v>
      </c>
      <c r="U2984" t="s">
        <v>4568</v>
      </c>
      <c r="V2984" t="s">
        <v>38</v>
      </c>
      <c r="W2984" t="s">
        <v>92</v>
      </c>
      <c r="X2984" t="s">
        <v>302</v>
      </c>
      <c r="Y2984" t="s">
        <v>4578</v>
      </c>
      <c r="Z2984" t="s">
        <v>42</v>
      </c>
      <c r="AA2984" t="s">
        <v>38</v>
      </c>
      <c r="AB2984" t="s">
        <v>38</v>
      </c>
      <c r="AC2984" t="s">
        <v>45</v>
      </c>
      <c r="AD2984" t="s">
        <v>48</v>
      </c>
      <c r="AG2984" t="str">
        <f>IF(AD2984="United States", IFERROR(INDEX(Sheet2!$C:$C, MATCH(AE2984&amp;AF2984, Sheet2!$E:$E, 0)) &amp; ", " &amp; INDEX(Sheet2!$D:$D, MATCH(AE2984&amp;AF2984, Sheet2!$E:$E, 0)), ""), "-")</f>
        <v/>
      </c>
    </row>
    <row r="2985" spans="1:33" x14ac:dyDescent="0.25">
      <c r="A2985" t="s">
        <v>4564</v>
      </c>
      <c r="B2985" t="s">
        <v>4582</v>
      </c>
      <c r="C2985" t="s">
        <v>4566</v>
      </c>
      <c r="D2985" t="s">
        <v>200</v>
      </c>
      <c r="E2985" t="s">
        <v>37</v>
      </c>
      <c r="F2985">
        <v>1758</v>
      </c>
      <c r="G2985">
        <v>1849</v>
      </c>
      <c r="H2985" t="s">
        <v>4432</v>
      </c>
      <c r="I2985" t="s">
        <v>80</v>
      </c>
      <c r="J2985" t="s">
        <v>38</v>
      </c>
      <c r="K2985" t="s">
        <v>1087</v>
      </c>
      <c r="L2985" t="s">
        <v>3191</v>
      </c>
      <c r="M2985" t="s">
        <v>38</v>
      </c>
      <c r="N2985" t="s">
        <v>38</v>
      </c>
      <c r="O2985" t="s">
        <v>41</v>
      </c>
      <c r="P2985" t="s">
        <v>42</v>
      </c>
      <c r="Q2985" t="s">
        <v>43</v>
      </c>
      <c r="R2985" t="s">
        <v>4567</v>
      </c>
      <c r="S2985" t="s">
        <v>165</v>
      </c>
      <c r="T2985" t="s">
        <v>4567</v>
      </c>
      <c r="U2985" t="s">
        <v>4568</v>
      </c>
      <c r="V2985" t="s">
        <v>38</v>
      </c>
      <c r="W2985" t="s">
        <v>92</v>
      </c>
      <c r="X2985" t="s">
        <v>302</v>
      </c>
      <c r="Y2985" t="s">
        <v>4583</v>
      </c>
      <c r="Z2985" t="s">
        <v>42</v>
      </c>
      <c r="AA2985" t="s">
        <v>166</v>
      </c>
      <c r="AB2985" t="s">
        <v>38</v>
      </c>
      <c r="AC2985" t="s">
        <v>165</v>
      </c>
      <c r="AD2985" t="s">
        <v>48</v>
      </c>
      <c r="AG2985" t="str">
        <f>IF(AD2985="United States", IFERROR(INDEX(Sheet2!$C:$C, MATCH(AE2985&amp;AF2985, Sheet2!$E:$E, 0)) &amp; ", " &amp; INDEX(Sheet2!$D:$D, MATCH(AE2985&amp;AF2985, Sheet2!$E:$E, 0)), ""), "-")</f>
        <v/>
      </c>
    </row>
    <row r="2986" spans="1:33" x14ac:dyDescent="0.25">
      <c r="A2986" t="s">
        <v>4564</v>
      </c>
      <c r="B2986" t="s">
        <v>4584</v>
      </c>
      <c r="C2986" t="s">
        <v>4566</v>
      </c>
      <c r="D2986" t="s">
        <v>1087</v>
      </c>
      <c r="E2986" t="s">
        <v>3191</v>
      </c>
      <c r="F2986">
        <v>1746</v>
      </c>
      <c r="G2986">
        <v>1848</v>
      </c>
      <c r="H2986" t="s">
        <v>4432</v>
      </c>
      <c r="I2986" t="s">
        <v>80</v>
      </c>
      <c r="J2986" t="s">
        <v>38</v>
      </c>
      <c r="K2986" t="s">
        <v>38</v>
      </c>
      <c r="L2986" t="s">
        <v>38</v>
      </c>
      <c r="M2986" t="s">
        <v>38</v>
      </c>
      <c r="N2986" t="s">
        <v>38</v>
      </c>
      <c r="O2986" t="s">
        <v>41</v>
      </c>
      <c r="P2986" t="s">
        <v>42</v>
      </c>
      <c r="Q2986" t="s">
        <v>43</v>
      </c>
      <c r="R2986" t="s">
        <v>4567</v>
      </c>
      <c r="S2986" t="s">
        <v>45</v>
      </c>
      <c r="T2986" t="s">
        <v>4567</v>
      </c>
      <c r="U2986" t="s">
        <v>4568</v>
      </c>
      <c r="V2986" t="s">
        <v>38</v>
      </c>
      <c r="W2986" t="s">
        <v>92</v>
      </c>
      <c r="X2986" t="s">
        <v>302</v>
      </c>
      <c r="Y2986" t="s">
        <v>4585</v>
      </c>
      <c r="Z2986" t="s">
        <v>42</v>
      </c>
      <c r="AA2986" t="s">
        <v>169</v>
      </c>
      <c r="AB2986" t="s">
        <v>38</v>
      </c>
      <c r="AC2986" t="s">
        <v>45</v>
      </c>
      <c r="AD2986" t="s">
        <v>48</v>
      </c>
      <c r="AG2986" t="str">
        <f>IF(AD2986="United States", IFERROR(INDEX(Sheet2!$C:$C, MATCH(AE2986&amp;AF2986, Sheet2!$E:$E, 0)) &amp; ", " &amp; INDEX(Sheet2!$D:$D, MATCH(AE2986&amp;AF2986, Sheet2!$E:$E, 0)), ""), "-")</f>
        <v/>
      </c>
    </row>
    <row r="2987" spans="1:33" x14ac:dyDescent="0.25">
      <c r="A2987" t="s">
        <v>4564</v>
      </c>
      <c r="B2987" t="s">
        <v>4586</v>
      </c>
      <c r="C2987" t="s">
        <v>4566</v>
      </c>
      <c r="D2987" t="s">
        <v>1122</v>
      </c>
      <c r="E2987" t="s">
        <v>1861</v>
      </c>
      <c r="F2987">
        <v>1754</v>
      </c>
      <c r="G2987">
        <v>1856</v>
      </c>
      <c r="H2987" t="s">
        <v>4432</v>
      </c>
      <c r="I2987" t="s">
        <v>80</v>
      </c>
      <c r="J2987" t="s">
        <v>38</v>
      </c>
      <c r="K2987" t="s">
        <v>38</v>
      </c>
      <c r="L2987" t="s">
        <v>38</v>
      </c>
      <c r="M2987" t="s">
        <v>38</v>
      </c>
      <c r="N2987" t="s">
        <v>38</v>
      </c>
      <c r="O2987" t="s">
        <v>41</v>
      </c>
      <c r="P2987" t="s">
        <v>42</v>
      </c>
      <c r="Q2987" t="s">
        <v>43</v>
      </c>
      <c r="R2987" t="s">
        <v>4567</v>
      </c>
      <c r="S2987" t="s">
        <v>1063</v>
      </c>
      <c r="T2987" t="s">
        <v>4567</v>
      </c>
      <c r="U2987" t="s">
        <v>4568</v>
      </c>
      <c r="V2987" t="s">
        <v>38</v>
      </c>
      <c r="W2987" t="s">
        <v>92</v>
      </c>
      <c r="X2987" t="s">
        <v>302</v>
      </c>
      <c r="Y2987" t="s">
        <v>4569</v>
      </c>
      <c r="Z2987" t="s">
        <v>42</v>
      </c>
      <c r="AA2987" t="s">
        <v>4572</v>
      </c>
      <c r="AB2987" t="s">
        <v>38</v>
      </c>
      <c r="AC2987" t="s">
        <v>1063</v>
      </c>
      <c r="AD2987" t="s">
        <v>48</v>
      </c>
      <c r="AG2987" t="str">
        <f>IF(AD2987="United States", IFERROR(INDEX(Sheet2!$C:$C, MATCH(AE2987&amp;AF2987, Sheet2!$E:$E, 0)) &amp; ", " &amp; INDEX(Sheet2!$D:$D, MATCH(AE2987&amp;AF2987, Sheet2!$E:$E, 0)), ""), "-")</f>
        <v/>
      </c>
    </row>
    <row r="2988" spans="1:33" x14ac:dyDescent="0.25">
      <c r="A2988" t="s">
        <v>4564</v>
      </c>
      <c r="B2988" t="s">
        <v>4587</v>
      </c>
      <c r="C2988" t="s">
        <v>4566</v>
      </c>
      <c r="D2988" t="s">
        <v>3708</v>
      </c>
      <c r="E2988" t="s">
        <v>1437</v>
      </c>
      <c r="F2988">
        <v>1758</v>
      </c>
      <c r="G2988">
        <v>1857</v>
      </c>
      <c r="H2988" t="s">
        <v>4432</v>
      </c>
      <c r="I2988" t="s">
        <v>80</v>
      </c>
      <c r="J2988" t="s">
        <v>38</v>
      </c>
      <c r="K2988" t="s">
        <v>38</v>
      </c>
      <c r="L2988" t="s">
        <v>38</v>
      </c>
      <c r="M2988" t="s">
        <v>38</v>
      </c>
      <c r="N2988" t="s">
        <v>38</v>
      </c>
      <c r="O2988" t="s">
        <v>57</v>
      </c>
      <c r="P2988" t="s">
        <v>42</v>
      </c>
      <c r="Q2988" t="s">
        <v>43</v>
      </c>
      <c r="R2988" t="s">
        <v>4567</v>
      </c>
      <c r="S2988" t="s">
        <v>38</v>
      </c>
      <c r="T2988" t="s">
        <v>4567</v>
      </c>
      <c r="U2988" t="s">
        <v>4568</v>
      </c>
      <c r="V2988" t="s">
        <v>38</v>
      </c>
      <c r="W2988" t="s">
        <v>92</v>
      </c>
      <c r="X2988" t="s">
        <v>302</v>
      </c>
      <c r="Y2988" t="s">
        <v>4588</v>
      </c>
      <c r="Z2988" t="s">
        <v>42</v>
      </c>
      <c r="AA2988" t="s">
        <v>38</v>
      </c>
      <c r="AB2988" t="s">
        <v>38</v>
      </c>
      <c r="AC2988" t="s">
        <v>38</v>
      </c>
      <c r="AD2988" t="s">
        <v>48</v>
      </c>
      <c r="AG2988" t="str">
        <f>IF(AD2988="United States", IFERROR(INDEX(Sheet2!$C:$C, MATCH(AE2988&amp;AF2988, Sheet2!$E:$E, 0)) &amp; ", " &amp; INDEX(Sheet2!$D:$D, MATCH(AE2988&amp;AF2988, Sheet2!$E:$E, 0)), ""), "-")</f>
        <v/>
      </c>
    </row>
    <row r="2989" spans="1:33" x14ac:dyDescent="0.25">
      <c r="A2989" t="s">
        <v>4564</v>
      </c>
      <c r="B2989" t="s">
        <v>4589</v>
      </c>
      <c r="C2989" t="s">
        <v>4566</v>
      </c>
      <c r="D2989" t="s">
        <v>361</v>
      </c>
      <c r="E2989" t="s">
        <v>1130</v>
      </c>
      <c r="F2989">
        <v>1728</v>
      </c>
      <c r="G2989">
        <v>1846</v>
      </c>
      <c r="H2989" t="s">
        <v>4432</v>
      </c>
      <c r="I2989" t="s">
        <v>80</v>
      </c>
      <c r="J2989" t="s">
        <v>38</v>
      </c>
      <c r="K2989" t="s">
        <v>38</v>
      </c>
      <c r="L2989" t="s">
        <v>38</v>
      </c>
      <c r="M2989" t="s">
        <v>38</v>
      </c>
      <c r="N2989" t="s">
        <v>38</v>
      </c>
      <c r="O2989" t="s">
        <v>41</v>
      </c>
      <c r="P2989" t="s">
        <v>42</v>
      </c>
      <c r="Q2989" t="s">
        <v>43</v>
      </c>
      <c r="R2989" t="s">
        <v>4567</v>
      </c>
      <c r="S2989" t="s">
        <v>45</v>
      </c>
      <c r="T2989" t="s">
        <v>4567</v>
      </c>
      <c r="U2989" t="s">
        <v>4568</v>
      </c>
      <c r="V2989" t="s">
        <v>38</v>
      </c>
      <c r="W2989" t="s">
        <v>92</v>
      </c>
      <c r="X2989" t="s">
        <v>302</v>
      </c>
      <c r="Y2989" t="s">
        <v>4590</v>
      </c>
      <c r="Z2989" t="s">
        <v>42</v>
      </c>
      <c r="AA2989" t="s">
        <v>169</v>
      </c>
      <c r="AB2989" t="s">
        <v>38</v>
      </c>
      <c r="AC2989" t="s">
        <v>45</v>
      </c>
      <c r="AD2989" t="s">
        <v>48</v>
      </c>
      <c r="AG2989" t="str">
        <f>IF(AD2989="United States", IFERROR(INDEX(Sheet2!$C:$C, MATCH(AE2989&amp;AF2989, Sheet2!$E:$E, 0)) &amp; ", " &amp; INDEX(Sheet2!$D:$D, MATCH(AE2989&amp;AF2989, Sheet2!$E:$E, 0)), ""), "-")</f>
        <v/>
      </c>
    </row>
    <row r="2990" spans="1:33" x14ac:dyDescent="0.25">
      <c r="A2990" t="s">
        <v>4564</v>
      </c>
      <c r="B2990" t="s">
        <v>4591</v>
      </c>
      <c r="C2990" t="s">
        <v>4566</v>
      </c>
      <c r="D2990" t="s">
        <v>245</v>
      </c>
      <c r="E2990" t="s">
        <v>651</v>
      </c>
      <c r="F2990">
        <v>1753</v>
      </c>
      <c r="G2990">
        <v>1845</v>
      </c>
      <c r="H2990" t="s">
        <v>4432</v>
      </c>
      <c r="I2990" t="s">
        <v>80</v>
      </c>
      <c r="J2990" t="s">
        <v>38</v>
      </c>
      <c r="K2990" t="s">
        <v>38</v>
      </c>
      <c r="L2990" t="s">
        <v>38</v>
      </c>
      <c r="M2990" t="s">
        <v>1003</v>
      </c>
      <c r="N2990" t="s">
        <v>38</v>
      </c>
      <c r="O2990" t="s">
        <v>74</v>
      </c>
      <c r="P2990" t="s">
        <v>42</v>
      </c>
      <c r="Q2990" t="s">
        <v>43</v>
      </c>
      <c r="R2990" t="s">
        <v>4567</v>
      </c>
      <c r="S2990" t="s">
        <v>45</v>
      </c>
      <c r="T2990" t="s">
        <v>4567</v>
      </c>
      <c r="U2990" t="s">
        <v>4568</v>
      </c>
      <c r="V2990" t="s">
        <v>38</v>
      </c>
      <c r="W2990" t="s">
        <v>92</v>
      </c>
      <c r="X2990" t="s">
        <v>302</v>
      </c>
      <c r="Y2990" t="s">
        <v>4569</v>
      </c>
      <c r="Z2990" t="s">
        <v>42</v>
      </c>
      <c r="AA2990" t="s">
        <v>878</v>
      </c>
      <c r="AB2990" t="s">
        <v>38</v>
      </c>
      <c r="AC2990" t="s">
        <v>45</v>
      </c>
      <c r="AD2990" t="s">
        <v>48</v>
      </c>
      <c r="AG2990" t="str">
        <f>IF(AD2990="United States", IFERROR(INDEX(Sheet2!$C:$C, MATCH(AE2990&amp;AF2990, Sheet2!$E:$E, 0)) &amp; ", " &amp; INDEX(Sheet2!$D:$D, MATCH(AE2990&amp;AF2990, Sheet2!$E:$E, 0)), ""), "-")</f>
        <v/>
      </c>
    </row>
    <row r="2991" spans="1:33" x14ac:dyDescent="0.25">
      <c r="A2991" t="s">
        <v>4564</v>
      </c>
      <c r="B2991" t="s">
        <v>4592</v>
      </c>
      <c r="C2991" t="s">
        <v>4566</v>
      </c>
      <c r="D2991" t="s">
        <v>150</v>
      </c>
      <c r="E2991" t="s">
        <v>4593</v>
      </c>
      <c r="F2991">
        <v>1764</v>
      </c>
      <c r="G2991">
        <v>1830</v>
      </c>
      <c r="H2991" t="s">
        <v>4432</v>
      </c>
      <c r="I2991" t="s">
        <v>80</v>
      </c>
      <c r="J2991" t="s">
        <v>38</v>
      </c>
      <c r="K2991" t="s">
        <v>38</v>
      </c>
      <c r="L2991" t="s">
        <v>38</v>
      </c>
      <c r="M2991" t="s">
        <v>38</v>
      </c>
      <c r="N2991" t="s">
        <v>38</v>
      </c>
      <c r="O2991" t="s">
        <v>41</v>
      </c>
      <c r="P2991" t="s">
        <v>42</v>
      </c>
      <c r="Q2991" t="s">
        <v>43</v>
      </c>
      <c r="R2991" t="s">
        <v>4594</v>
      </c>
      <c r="S2991" t="s">
        <v>38</v>
      </c>
      <c r="T2991" t="s">
        <v>4567</v>
      </c>
      <c r="U2991" t="s">
        <v>4568</v>
      </c>
      <c r="V2991" t="s">
        <v>38</v>
      </c>
      <c r="W2991" t="s">
        <v>92</v>
      </c>
      <c r="X2991" t="s">
        <v>302</v>
      </c>
      <c r="Y2991" t="s">
        <v>4595</v>
      </c>
      <c r="Z2991" t="s">
        <v>42</v>
      </c>
      <c r="AA2991" t="s">
        <v>38</v>
      </c>
      <c r="AB2991" t="s">
        <v>38</v>
      </c>
      <c r="AC2991" t="s">
        <v>1824</v>
      </c>
      <c r="AD2991" t="s">
        <v>48</v>
      </c>
      <c r="AG2991" t="str">
        <f>IF(AD2991="United States", IFERROR(INDEX(Sheet2!$C:$C, MATCH(AE2991&amp;AF2991, Sheet2!$E:$E, 0)) &amp; ", " &amp; INDEX(Sheet2!$D:$D, MATCH(AE2991&amp;AF2991, Sheet2!$E:$E, 0)), ""), "-")</f>
        <v/>
      </c>
    </row>
    <row r="2992" spans="1:33" x14ac:dyDescent="0.25">
      <c r="A2992" t="s">
        <v>4564</v>
      </c>
      <c r="B2992" t="s">
        <v>4596</v>
      </c>
      <c r="C2992" t="s">
        <v>4566</v>
      </c>
      <c r="D2992" t="s">
        <v>132</v>
      </c>
      <c r="E2992" t="s">
        <v>4597</v>
      </c>
      <c r="F2992">
        <v>1758</v>
      </c>
      <c r="G2992">
        <v>1831</v>
      </c>
      <c r="H2992" t="s">
        <v>4432</v>
      </c>
      <c r="I2992" t="s">
        <v>80</v>
      </c>
      <c r="J2992" t="s">
        <v>38</v>
      </c>
      <c r="K2992" t="s">
        <v>38</v>
      </c>
      <c r="L2992" t="s">
        <v>38</v>
      </c>
      <c r="M2992" t="s">
        <v>38</v>
      </c>
      <c r="N2992" t="s">
        <v>38</v>
      </c>
      <c r="O2992" t="s">
        <v>41</v>
      </c>
      <c r="P2992" t="s">
        <v>42</v>
      </c>
      <c r="Q2992" t="s">
        <v>43</v>
      </c>
      <c r="R2992" t="s">
        <v>4567</v>
      </c>
      <c r="S2992" t="s">
        <v>38</v>
      </c>
      <c r="T2992" t="s">
        <v>4567</v>
      </c>
      <c r="U2992" t="s">
        <v>4568</v>
      </c>
      <c r="V2992" t="s">
        <v>38</v>
      </c>
      <c r="W2992" t="s">
        <v>92</v>
      </c>
      <c r="X2992" t="s">
        <v>302</v>
      </c>
      <c r="Y2992" t="s">
        <v>4598</v>
      </c>
      <c r="Z2992" t="s">
        <v>42</v>
      </c>
      <c r="AA2992" t="s">
        <v>672</v>
      </c>
      <c r="AB2992" t="s">
        <v>38</v>
      </c>
      <c r="AC2992" t="s">
        <v>155</v>
      </c>
      <c r="AD2992" t="s">
        <v>672</v>
      </c>
      <c r="AG2992" t="str">
        <f>IF(AD2992="United States", IFERROR(INDEX(Sheet2!$C:$C, MATCH(AE2992&amp;AF2992, Sheet2!$E:$E, 0)) &amp; ", " &amp; INDEX(Sheet2!$D:$D, MATCH(AE2992&amp;AF2992, Sheet2!$E:$E, 0)), ""), "18.1850507, -77.3947693")</f>
        <v>18.1850507, -77.3947693</v>
      </c>
    </row>
    <row r="2993" spans="1:33" x14ac:dyDescent="0.25">
      <c r="A2993" t="s">
        <v>4564</v>
      </c>
      <c r="B2993" t="s">
        <v>4599</v>
      </c>
      <c r="C2993" t="s">
        <v>4566</v>
      </c>
      <c r="D2993" t="s">
        <v>569</v>
      </c>
      <c r="E2993" t="s">
        <v>4600</v>
      </c>
      <c r="F2993">
        <v>1743</v>
      </c>
      <c r="G2993">
        <v>1832</v>
      </c>
      <c r="H2993" t="s">
        <v>4432</v>
      </c>
      <c r="I2993" t="s">
        <v>80</v>
      </c>
      <c r="J2993" t="s">
        <v>38</v>
      </c>
      <c r="K2993" t="s">
        <v>38</v>
      </c>
      <c r="L2993" t="s">
        <v>38</v>
      </c>
      <c r="M2993" t="s">
        <v>38</v>
      </c>
      <c r="N2993" t="s">
        <v>38</v>
      </c>
      <c r="O2993" t="s">
        <v>41</v>
      </c>
      <c r="P2993" t="s">
        <v>42</v>
      </c>
      <c r="Q2993" t="s">
        <v>43</v>
      </c>
      <c r="R2993" t="s">
        <v>4567</v>
      </c>
      <c r="S2993" t="s">
        <v>201</v>
      </c>
      <c r="T2993" t="s">
        <v>4567</v>
      </c>
      <c r="U2993" t="s">
        <v>4568</v>
      </c>
      <c r="V2993" t="s">
        <v>38</v>
      </c>
      <c r="W2993" t="s">
        <v>92</v>
      </c>
      <c r="X2993" t="s">
        <v>302</v>
      </c>
      <c r="Y2993" t="s">
        <v>4601</v>
      </c>
      <c r="Z2993" t="s">
        <v>42</v>
      </c>
      <c r="AA2993" t="s">
        <v>1735</v>
      </c>
      <c r="AB2993" t="s">
        <v>38</v>
      </c>
      <c r="AC2993" t="s">
        <v>201</v>
      </c>
      <c r="AD2993" t="s">
        <v>48</v>
      </c>
      <c r="AG2993" t="str">
        <f>IF(AD2993="United States", IFERROR(INDEX(Sheet2!$C:$C, MATCH(AE2993&amp;AF2993, Sheet2!$E:$E, 0)) &amp; ", " &amp; INDEX(Sheet2!$D:$D, MATCH(AE2993&amp;AF2993, Sheet2!$E:$E, 0)), ""), "-")</f>
        <v/>
      </c>
    </row>
    <row r="2994" spans="1:33" x14ac:dyDescent="0.25">
      <c r="A2994" t="s">
        <v>4564</v>
      </c>
      <c r="B2994" t="s">
        <v>4602</v>
      </c>
      <c r="C2994" t="s">
        <v>4566</v>
      </c>
      <c r="D2994" t="s">
        <v>621</v>
      </c>
      <c r="E2994" t="s">
        <v>1141</v>
      </c>
      <c r="F2994">
        <v>1755</v>
      </c>
      <c r="G2994">
        <v>1833</v>
      </c>
      <c r="H2994" t="s">
        <v>4432</v>
      </c>
      <c r="I2994" t="s">
        <v>80</v>
      </c>
      <c r="J2994" t="s">
        <v>38</v>
      </c>
      <c r="K2994" t="s">
        <v>38</v>
      </c>
      <c r="L2994" t="s">
        <v>38</v>
      </c>
      <c r="M2994" t="s">
        <v>38</v>
      </c>
      <c r="N2994" t="s">
        <v>38</v>
      </c>
      <c r="O2994" t="s">
        <v>41</v>
      </c>
      <c r="P2994" t="s">
        <v>42</v>
      </c>
      <c r="Q2994" t="s">
        <v>43</v>
      </c>
      <c r="R2994" t="s">
        <v>4567</v>
      </c>
      <c r="S2994" t="s">
        <v>45</v>
      </c>
      <c r="T2994" t="s">
        <v>4567</v>
      </c>
      <c r="U2994" t="s">
        <v>4568</v>
      </c>
      <c r="V2994" t="s">
        <v>38</v>
      </c>
      <c r="W2994" t="s">
        <v>92</v>
      </c>
      <c r="X2994" t="s">
        <v>302</v>
      </c>
      <c r="Y2994" t="s">
        <v>4603</v>
      </c>
      <c r="Z2994" t="s">
        <v>42</v>
      </c>
      <c r="AA2994" t="s">
        <v>4604</v>
      </c>
      <c r="AB2994" t="s">
        <v>4605</v>
      </c>
      <c r="AC2994" t="s">
        <v>45</v>
      </c>
      <c r="AD2994" t="s">
        <v>48</v>
      </c>
      <c r="AG2994" t="str">
        <f>IF(AD2994="United States", IFERROR(INDEX(Sheet2!$C:$C, MATCH(AE2994&amp;AF2994, Sheet2!$E:$E, 0)) &amp; ", " &amp; INDEX(Sheet2!$D:$D, MATCH(AE2994&amp;AF2994, Sheet2!$E:$E, 0)), ""), "-")</f>
        <v/>
      </c>
    </row>
    <row r="2995" spans="1:33" x14ac:dyDescent="0.25">
      <c r="A2995" t="s">
        <v>4564</v>
      </c>
      <c r="B2995" t="s">
        <v>4606</v>
      </c>
      <c r="C2995" t="s">
        <v>4566</v>
      </c>
      <c r="D2995" t="s">
        <v>195</v>
      </c>
      <c r="E2995" t="s">
        <v>4607</v>
      </c>
      <c r="F2995">
        <v>1726</v>
      </c>
      <c r="G2995">
        <v>1834</v>
      </c>
      <c r="H2995" t="s">
        <v>4432</v>
      </c>
      <c r="I2995" t="s">
        <v>80</v>
      </c>
      <c r="J2995" t="s">
        <v>38</v>
      </c>
      <c r="K2995" t="s">
        <v>38</v>
      </c>
      <c r="L2995" t="s">
        <v>38</v>
      </c>
      <c r="M2995" t="s">
        <v>38</v>
      </c>
      <c r="N2995" t="s">
        <v>38</v>
      </c>
      <c r="O2995" t="s">
        <v>41</v>
      </c>
      <c r="P2995" t="s">
        <v>42</v>
      </c>
      <c r="Q2995" t="s">
        <v>43</v>
      </c>
      <c r="R2995" t="s">
        <v>4567</v>
      </c>
      <c r="S2995" t="s">
        <v>38</v>
      </c>
      <c r="T2995" t="s">
        <v>4567</v>
      </c>
      <c r="U2995" t="s">
        <v>4568</v>
      </c>
      <c r="V2995" t="s">
        <v>38</v>
      </c>
      <c r="W2995" t="s">
        <v>92</v>
      </c>
      <c r="X2995" t="s">
        <v>302</v>
      </c>
      <c r="Y2995" t="s">
        <v>4608</v>
      </c>
      <c r="Z2995" t="s">
        <v>42</v>
      </c>
      <c r="AA2995" t="s">
        <v>38</v>
      </c>
      <c r="AB2995" t="s">
        <v>38</v>
      </c>
      <c r="AC2995" t="s">
        <v>4609</v>
      </c>
      <c r="AD2995" t="s">
        <v>48</v>
      </c>
      <c r="AG2995" t="str">
        <f>IF(AD2995="United States", IFERROR(INDEX(Sheet2!$C:$C, MATCH(AE2995&amp;AF2995, Sheet2!$E:$E, 0)) &amp; ", " &amp; INDEX(Sheet2!$D:$D, MATCH(AE2995&amp;AF2995, Sheet2!$E:$E, 0)), ""), "-")</f>
        <v/>
      </c>
    </row>
    <row r="2996" spans="1:33" x14ac:dyDescent="0.25">
      <c r="A2996" t="s">
        <v>4564</v>
      </c>
      <c r="B2996" t="s">
        <v>4610</v>
      </c>
      <c r="C2996" t="s">
        <v>4566</v>
      </c>
      <c r="D2996" t="s">
        <v>626</v>
      </c>
      <c r="E2996" t="s">
        <v>1900</v>
      </c>
      <c r="F2996">
        <v>1743</v>
      </c>
      <c r="G2996">
        <v>1842</v>
      </c>
      <c r="H2996" t="s">
        <v>4432</v>
      </c>
      <c r="I2996" t="s">
        <v>80</v>
      </c>
      <c r="J2996" t="s">
        <v>38</v>
      </c>
      <c r="K2996" t="s">
        <v>38</v>
      </c>
      <c r="L2996" t="s">
        <v>38</v>
      </c>
      <c r="M2996" t="s">
        <v>38</v>
      </c>
      <c r="N2996" t="s">
        <v>38</v>
      </c>
      <c r="O2996" t="s">
        <v>41</v>
      </c>
      <c r="P2996" t="s">
        <v>42</v>
      </c>
      <c r="Q2996" t="s">
        <v>43</v>
      </c>
      <c r="R2996" t="s">
        <v>4567</v>
      </c>
      <c r="S2996" t="s">
        <v>38</v>
      </c>
      <c r="T2996" t="s">
        <v>4567</v>
      </c>
      <c r="U2996" t="s">
        <v>4568</v>
      </c>
      <c r="V2996" t="s">
        <v>38</v>
      </c>
      <c r="W2996" t="s">
        <v>92</v>
      </c>
      <c r="X2996" t="s">
        <v>302</v>
      </c>
      <c r="Y2996" t="s">
        <v>4598</v>
      </c>
      <c r="Z2996" t="s">
        <v>42</v>
      </c>
      <c r="AA2996" t="s">
        <v>38</v>
      </c>
      <c r="AB2996" t="s">
        <v>38</v>
      </c>
      <c r="AC2996" t="s">
        <v>60</v>
      </c>
      <c r="AD2996" t="s">
        <v>48</v>
      </c>
      <c r="AG2996" t="str">
        <f>IF(AD2996="United States", IFERROR(INDEX(Sheet2!$C:$C, MATCH(AE2996&amp;AF2996, Sheet2!$E:$E, 0)) &amp; ", " &amp; INDEX(Sheet2!$D:$D, MATCH(AE2996&amp;AF2996, Sheet2!$E:$E, 0)), ""), "-")</f>
        <v/>
      </c>
    </row>
    <row r="2997" spans="1:33" x14ac:dyDescent="0.25">
      <c r="A2997" t="s">
        <v>4564</v>
      </c>
      <c r="B2997" t="s">
        <v>4611</v>
      </c>
      <c r="C2997" t="s">
        <v>4566</v>
      </c>
      <c r="D2997" t="s">
        <v>359</v>
      </c>
      <c r="E2997" t="s">
        <v>1130</v>
      </c>
      <c r="F2997">
        <v>1719</v>
      </c>
      <c r="G2997">
        <v>1847</v>
      </c>
      <c r="H2997" t="s">
        <v>4432</v>
      </c>
      <c r="I2997" t="s">
        <v>80</v>
      </c>
      <c r="J2997" t="s">
        <v>38</v>
      </c>
      <c r="K2997" t="s">
        <v>38</v>
      </c>
      <c r="L2997" t="s">
        <v>38</v>
      </c>
      <c r="M2997" t="s">
        <v>38</v>
      </c>
      <c r="N2997" t="s">
        <v>38</v>
      </c>
      <c r="O2997" t="s">
        <v>57</v>
      </c>
      <c r="P2997" t="s">
        <v>42</v>
      </c>
      <c r="Q2997" t="s">
        <v>43</v>
      </c>
      <c r="R2997" t="s">
        <v>4567</v>
      </c>
      <c r="S2997" t="s">
        <v>38</v>
      </c>
      <c r="T2997" t="s">
        <v>4567</v>
      </c>
      <c r="U2997" t="s">
        <v>4568</v>
      </c>
      <c r="V2997" t="s">
        <v>38</v>
      </c>
      <c r="W2997" t="s">
        <v>92</v>
      </c>
      <c r="X2997" t="s">
        <v>302</v>
      </c>
      <c r="Y2997" t="s">
        <v>4590</v>
      </c>
      <c r="Z2997" t="s">
        <v>42</v>
      </c>
      <c r="AA2997" t="s">
        <v>1813</v>
      </c>
      <c r="AB2997" t="s">
        <v>38</v>
      </c>
      <c r="AC2997" t="s">
        <v>2580</v>
      </c>
      <c r="AD2997" t="s">
        <v>48</v>
      </c>
      <c r="AG2997" t="str">
        <f>IF(AD2997="United States", IFERROR(INDEX(Sheet2!$C:$C, MATCH(AE2997&amp;AF2997, Sheet2!$E:$E, 0)) &amp; ", " &amp; INDEX(Sheet2!$D:$D, MATCH(AE2997&amp;AF2997, Sheet2!$E:$E, 0)), ""), "-")</f>
        <v/>
      </c>
    </row>
    <row r="2998" spans="1:33" x14ac:dyDescent="0.25">
      <c r="A2998" t="s">
        <v>4564</v>
      </c>
      <c r="B2998" t="s">
        <v>4612</v>
      </c>
      <c r="C2998" t="s">
        <v>4566</v>
      </c>
      <c r="D2998" t="s">
        <v>1003</v>
      </c>
      <c r="E2998" t="s">
        <v>38</v>
      </c>
      <c r="F2998">
        <v>1764</v>
      </c>
      <c r="G2998">
        <v>1843</v>
      </c>
      <c r="H2998" t="s">
        <v>4432</v>
      </c>
      <c r="I2998" t="s">
        <v>80</v>
      </c>
      <c r="J2998" t="s">
        <v>38</v>
      </c>
      <c r="K2998" t="s">
        <v>38</v>
      </c>
      <c r="L2998" t="s">
        <v>38</v>
      </c>
      <c r="M2998" t="s">
        <v>38</v>
      </c>
      <c r="N2998" t="s">
        <v>38</v>
      </c>
      <c r="O2998" t="s">
        <v>57</v>
      </c>
      <c r="P2998" t="s">
        <v>42</v>
      </c>
      <c r="Q2998" t="s">
        <v>43</v>
      </c>
      <c r="R2998" t="s">
        <v>4567</v>
      </c>
      <c r="S2998" t="s">
        <v>38</v>
      </c>
      <c r="T2998" t="s">
        <v>4567</v>
      </c>
      <c r="U2998" t="s">
        <v>4568</v>
      </c>
      <c r="V2998" t="s">
        <v>38</v>
      </c>
      <c r="W2998" t="s">
        <v>92</v>
      </c>
      <c r="X2998" t="s">
        <v>302</v>
      </c>
      <c r="Y2998" t="s">
        <v>4598</v>
      </c>
      <c r="Z2998" t="s">
        <v>42</v>
      </c>
      <c r="AA2998" t="s">
        <v>4613</v>
      </c>
      <c r="AB2998" t="s">
        <v>38</v>
      </c>
      <c r="AC2998" t="s">
        <v>60</v>
      </c>
      <c r="AD2998" t="s">
        <v>48</v>
      </c>
      <c r="AG2998" t="str">
        <f>IF(AD2998="United States", IFERROR(INDEX(Sheet2!$C:$C, MATCH(AE2998&amp;AF2998, Sheet2!$E:$E, 0)) &amp; ", " &amp; INDEX(Sheet2!$D:$D, MATCH(AE2998&amp;AF2998, Sheet2!$E:$E, 0)), ""), "-")</f>
        <v/>
      </c>
    </row>
    <row r="2999" spans="1:33" x14ac:dyDescent="0.25">
      <c r="A2999" t="s">
        <v>4564</v>
      </c>
      <c r="B2999" t="s">
        <v>4614</v>
      </c>
      <c r="C2999" t="s">
        <v>4566</v>
      </c>
      <c r="D2999" t="s">
        <v>1238</v>
      </c>
      <c r="E2999" t="s">
        <v>552</v>
      </c>
      <c r="F2999">
        <v>1753</v>
      </c>
      <c r="G2999">
        <v>1839</v>
      </c>
      <c r="H2999" t="s">
        <v>4432</v>
      </c>
      <c r="I2999" t="s">
        <v>80</v>
      </c>
      <c r="J2999" t="s">
        <v>38</v>
      </c>
      <c r="K2999" t="s">
        <v>38</v>
      </c>
      <c r="L2999" t="s">
        <v>38</v>
      </c>
      <c r="M2999" t="s">
        <v>50</v>
      </c>
      <c r="N2999" t="s">
        <v>728</v>
      </c>
      <c r="O2999" t="s">
        <v>74</v>
      </c>
      <c r="P2999" t="s">
        <v>125</v>
      </c>
      <c r="Q2999" t="s">
        <v>124</v>
      </c>
      <c r="R2999" t="s">
        <v>4567</v>
      </c>
      <c r="S2999" t="s">
        <v>89</v>
      </c>
      <c r="T2999" t="s">
        <v>4567</v>
      </c>
      <c r="U2999" t="s">
        <v>4568</v>
      </c>
      <c r="V2999" t="s">
        <v>38</v>
      </c>
      <c r="W2999" t="s">
        <v>92</v>
      </c>
      <c r="X2999" t="s">
        <v>302</v>
      </c>
      <c r="Y2999" t="s">
        <v>4598</v>
      </c>
      <c r="Z2999" t="s">
        <v>125</v>
      </c>
      <c r="AA2999" t="s">
        <v>38</v>
      </c>
      <c r="AB2999" t="s">
        <v>38</v>
      </c>
      <c r="AC2999" t="s">
        <v>89</v>
      </c>
      <c r="AD2999" t="s">
        <v>48</v>
      </c>
      <c r="AG2999" t="str">
        <f>IF(AD2999="United States", IFERROR(INDEX(Sheet2!$C:$C, MATCH(AE2999&amp;AF2999, Sheet2!$E:$E, 0)) &amp; ", " &amp; INDEX(Sheet2!$D:$D, MATCH(AE2999&amp;AF2999, Sheet2!$E:$E, 0)), ""), "-")</f>
        <v/>
      </c>
    </row>
    <row r="3000" spans="1:33" x14ac:dyDescent="0.25">
      <c r="A3000" t="s">
        <v>4564</v>
      </c>
      <c r="B3000" t="s">
        <v>4615</v>
      </c>
      <c r="C3000" t="s">
        <v>4566</v>
      </c>
      <c r="D3000" t="s">
        <v>1609</v>
      </c>
      <c r="E3000" t="s">
        <v>4616</v>
      </c>
      <c r="F3000">
        <v>1767</v>
      </c>
      <c r="G3000">
        <v>1860</v>
      </c>
      <c r="H3000" t="s">
        <v>4432</v>
      </c>
      <c r="I3000" t="s">
        <v>80</v>
      </c>
      <c r="J3000" t="s">
        <v>38</v>
      </c>
      <c r="K3000" t="s">
        <v>38</v>
      </c>
      <c r="L3000" t="s">
        <v>38</v>
      </c>
      <c r="M3000" t="s">
        <v>38</v>
      </c>
      <c r="N3000" t="s">
        <v>38</v>
      </c>
      <c r="O3000" t="s">
        <v>54</v>
      </c>
      <c r="P3000" t="s">
        <v>42</v>
      </c>
      <c r="Q3000" t="s">
        <v>43</v>
      </c>
      <c r="R3000" t="s">
        <v>4567</v>
      </c>
      <c r="S3000" t="s">
        <v>153</v>
      </c>
      <c r="T3000" t="s">
        <v>4567</v>
      </c>
      <c r="U3000" t="s">
        <v>4568</v>
      </c>
      <c r="V3000" t="s">
        <v>38</v>
      </c>
      <c r="W3000" t="s">
        <v>92</v>
      </c>
      <c r="X3000" t="s">
        <v>302</v>
      </c>
      <c r="Y3000" t="s">
        <v>4617</v>
      </c>
      <c r="Z3000" t="s">
        <v>42</v>
      </c>
      <c r="AA3000" t="s">
        <v>38</v>
      </c>
      <c r="AB3000" t="s">
        <v>38</v>
      </c>
      <c r="AC3000" t="s">
        <v>153</v>
      </c>
      <c r="AD3000" t="s">
        <v>48</v>
      </c>
      <c r="AG3000" t="str">
        <f>IF(AD3000="United States", IFERROR(INDEX(Sheet2!$C:$C, MATCH(AE3000&amp;AF3000, Sheet2!$E:$E, 0)) &amp; ", " &amp; INDEX(Sheet2!$D:$D, MATCH(AE3000&amp;AF3000, Sheet2!$E:$E, 0)), ""), "-")</f>
        <v/>
      </c>
    </row>
    <row r="3001" spans="1:33" x14ac:dyDescent="0.25">
      <c r="A3001" t="s">
        <v>4564</v>
      </c>
      <c r="B3001" t="s">
        <v>4618</v>
      </c>
      <c r="C3001" t="s">
        <v>4566</v>
      </c>
      <c r="D3001" t="s">
        <v>4581</v>
      </c>
      <c r="E3001" t="s">
        <v>38</v>
      </c>
      <c r="F3001">
        <v>1753</v>
      </c>
      <c r="G3001">
        <v>1859</v>
      </c>
      <c r="H3001" t="s">
        <v>4432</v>
      </c>
      <c r="I3001" t="s">
        <v>80</v>
      </c>
      <c r="J3001" t="s">
        <v>38</v>
      </c>
      <c r="K3001" t="s">
        <v>38</v>
      </c>
      <c r="L3001" t="s">
        <v>38</v>
      </c>
      <c r="M3001" t="s">
        <v>38</v>
      </c>
      <c r="N3001" t="s">
        <v>38</v>
      </c>
      <c r="O3001" t="s">
        <v>41</v>
      </c>
      <c r="P3001" t="s">
        <v>42</v>
      </c>
      <c r="Q3001" t="s">
        <v>43</v>
      </c>
      <c r="R3001" t="s">
        <v>4567</v>
      </c>
      <c r="S3001" t="s">
        <v>165</v>
      </c>
      <c r="T3001" t="s">
        <v>4567</v>
      </c>
      <c r="U3001" t="s">
        <v>4568</v>
      </c>
      <c r="V3001" t="s">
        <v>38</v>
      </c>
      <c r="W3001" t="s">
        <v>92</v>
      </c>
      <c r="X3001" t="s">
        <v>302</v>
      </c>
      <c r="Y3001" t="s">
        <v>4617</v>
      </c>
      <c r="Z3001" t="s">
        <v>42</v>
      </c>
      <c r="AA3001" t="s">
        <v>166</v>
      </c>
      <c r="AB3001" t="s">
        <v>38</v>
      </c>
      <c r="AC3001" t="s">
        <v>165</v>
      </c>
      <c r="AD3001" t="s">
        <v>48</v>
      </c>
      <c r="AG3001" t="str">
        <f>IF(AD3001="United States", IFERROR(INDEX(Sheet2!$C:$C, MATCH(AE3001&amp;AF3001, Sheet2!$E:$E, 0)) &amp; ", " &amp; INDEX(Sheet2!$D:$D, MATCH(AE3001&amp;AF3001, Sheet2!$E:$E, 0)), ""), "-")</f>
        <v/>
      </c>
    </row>
    <row r="3002" spans="1:33" x14ac:dyDescent="0.25">
      <c r="A3002" t="s">
        <v>4564</v>
      </c>
      <c r="B3002" t="s">
        <v>4619</v>
      </c>
      <c r="C3002" t="s">
        <v>4566</v>
      </c>
      <c r="D3002" t="s">
        <v>980</v>
      </c>
      <c r="E3002" t="s">
        <v>402</v>
      </c>
      <c r="F3002">
        <v>1752</v>
      </c>
      <c r="G3002">
        <v>1841</v>
      </c>
      <c r="H3002" t="s">
        <v>4432</v>
      </c>
      <c r="I3002" t="s">
        <v>80</v>
      </c>
      <c r="J3002" t="s">
        <v>38</v>
      </c>
      <c r="K3002" t="s">
        <v>38</v>
      </c>
      <c r="L3002" t="s">
        <v>38</v>
      </c>
      <c r="M3002" t="s">
        <v>38</v>
      </c>
      <c r="N3002" t="s">
        <v>38</v>
      </c>
      <c r="O3002" t="s">
        <v>57</v>
      </c>
      <c r="P3002" t="s">
        <v>42</v>
      </c>
      <c r="Q3002" t="s">
        <v>43</v>
      </c>
      <c r="R3002" t="s">
        <v>4567</v>
      </c>
      <c r="S3002" t="s">
        <v>38</v>
      </c>
      <c r="T3002" t="s">
        <v>4567</v>
      </c>
      <c r="U3002" t="s">
        <v>4568</v>
      </c>
      <c r="V3002" t="s">
        <v>38</v>
      </c>
      <c r="W3002" t="s">
        <v>92</v>
      </c>
      <c r="X3002" t="s">
        <v>302</v>
      </c>
      <c r="Y3002" t="s">
        <v>4598</v>
      </c>
      <c r="Z3002" t="s">
        <v>42</v>
      </c>
      <c r="AA3002" t="s">
        <v>38</v>
      </c>
      <c r="AB3002" t="s">
        <v>38</v>
      </c>
      <c r="AC3002" t="s">
        <v>60</v>
      </c>
      <c r="AD3002" t="s">
        <v>48</v>
      </c>
      <c r="AG3002" t="str">
        <f>IF(AD3002="United States", IFERROR(INDEX(Sheet2!$C:$C, MATCH(AE3002&amp;AF3002, Sheet2!$E:$E, 0)) &amp; ", " &amp; INDEX(Sheet2!$D:$D, MATCH(AE3002&amp;AF3002, Sheet2!$E:$E, 0)), ""), "-")</f>
        <v/>
      </c>
    </row>
    <row r="3003" spans="1:33" x14ac:dyDescent="0.25">
      <c r="A3003" t="s">
        <v>4564</v>
      </c>
      <c r="B3003" t="s">
        <v>4620</v>
      </c>
      <c r="C3003" t="s">
        <v>4566</v>
      </c>
      <c r="D3003" t="s">
        <v>4351</v>
      </c>
      <c r="E3003" t="s">
        <v>402</v>
      </c>
      <c r="F3003">
        <v>1758</v>
      </c>
      <c r="G3003">
        <v>1840</v>
      </c>
      <c r="H3003" t="s">
        <v>4432</v>
      </c>
      <c r="I3003" t="s">
        <v>80</v>
      </c>
      <c r="J3003" t="s">
        <v>38</v>
      </c>
      <c r="K3003" t="s">
        <v>38</v>
      </c>
      <c r="L3003" t="s">
        <v>38</v>
      </c>
      <c r="M3003" t="s">
        <v>38</v>
      </c>
      <c r="N3003" t="s">
        <v>38</v>
      </c>
      <c r="O3003" t="s">
        <v>41</v>
      </c>
      <c r="P3003" t="s">
        <v>42</v>
      </c>
      <c r="Q3003" t="s">
        <v>43</v>
      </c>
      <c r="R3003" t="s">
        <v>4567</v>
      </c>
      <c r="S3003" t="s">
        <v>89</v>
      </c>
      <c r="T3003" t="s">
        <v>4567</v>
      </c>
      <c r="U3003" t="s">
        <v>4568</v>
      </c>
      <c r="V3003" t="s">
        <v>38</v>
      </c>
      <c r="W3003" t="s">
        <v>92</v>
      </c>
      <c r="X3003" t="s">
        <v>302</v>
      </c>
      <c r="Y3003" t="s">
        <v>4598</v>
      </c>
      <c r="Z3003" t="s">
        <v>42</v>
      </c>
      <c r="AA3003" t="s">
        <v>38</v>
      </c>
      <c r="AB3003" t="s">
        <v>38</v>
      </c>
      <c r="AC3003" t="s">
        <v>89</v>
      </c>
      <c r="AD3003" t="s">
        <v>48</v>
      </c>
      <c r="AG3003" t="str">
        <f>IF(AD3003="United States", IFERROR(INDEX(Sheet2!$C:$C, MATCH(AE3003&amp;AF3003, Sheet2!$E:$E, 0)) &amp; ", " &amp; INDEX(Sheet2!$D:$D, MATCH(AE3003&amp;AF3003, Sheet2!$E:$E, 0)), ""), "-")</f>
        <v/>
      </c>
    </row>
    <row r="3004" spans="1:33" x14ac:dyDescent="0.25">
      <c r="A3004" t="s">
        <v>4564</v>
      </c>
      <c r="B3004" t="s">
        <v>4621</v>
      </c>
      <c r="C3004" t="s">
        <v>4566</v>
      </c>
      <c r="D3004" t="s">
        <v>63</v>
      </c>
      <c r="E3004" t="s">
        <v>38</v>
      </c>
      <c r="F3004">
        <v>1719</v>
      </c>
      <c r="G3004">
        <v>1858</v>
      </c>
      <c r="H3004" t="s">
        <v>4432</v>
      </c>
      <c r="I3004" t="s">
        <v>80</v>
      </c>
      <c r="J3004" t="s">
        <v>38</v>
      </c>
      <c r="K3004" t="s">
        <v>38</v>
      </c>
      <c r="L3004" t="s">
        <v>38</v>
      </c>
      <c r="M3004" t="s">
        <v>38</v>
      </c>
      <c r="N3004" t="s">
        <v>38</v>
      </c>
      <c r="O3004" t="s">
        <v>41</v>
      </c>
      <c r="P3004" t="s">
        <v>42</v>
      </c>
      <c r="Q3004" t="s">
        <v>43</v>
      </c>
      <c r="R3004" t="s">
        <v>4567</v>
      </c>
      <c r="S3004" t="s">
        <v>38</v>
      </c>
      <c r="T3004" t="s">
        <v>4567</v>
      </c>
      <c r="U3004" t="s">
        <v>4568</v>
      </c>
      <c r="V3004" t="s">
        <v>38</v>
      </c>
      <c r="W3004" t="s">
        <v>92</v>
      </c>
      <c r="X3004" t="s">
        <v>302</v>
      </c>
      <c r="Y3004" t="s">
        <v>4622</v>
      </c>
      <c r="Z3004" t="s">
        <v>42</v>
      </c>
      <c r="AA3004" t="s">
        <v>38</v>
      </c>
      <c r="AB3004" t="s">
        <v>38</v>
      </c>
      <c r="AC3004" t="s">
        <v>38</v>
      </c>
      <c r="AD3004" t="s">
        <v>48</v>
      </c>
      <c r="AG3004" t="str">
        <f>IF(AD3004="United States", IFERROR(INDEX(Sheet2!$C:$C, MATCH(AE3004&amp;AF3004, Sheet2!$E:$E, 0)) &amp; ", " &amp; INDEX(Sheet2!$D:$D, MATCH(AE3004&amp;AF3004, Sheet2!$E:$E, 0)), ""), "-")</f>
        <v/>
      </c>
    </row>
    <row r="3005" spans="1:33" x14ac:dyDescent="0.25">
      <c r="A3005" t="s">
        <v>4564</v>
      </c>
      <c r="B3005" t="s">
        <v>4623</v>
      </c>
      <c r="C3005" t="s">
        <v>4566</v>
      </c>
      <c r="D3005" t="s">
        <v>463</v>
      </c>
      <c r="E3005" t="s">
        <v>552</v>
      </c>
      <c r="F3005">
        <v>1753</v>
      </c>
      <c r="G3005">
        <v>1838</v>
      </c>
      <c r="H3005" t="s">
        <v>4432</v>
      </c>
      <c r="I3005" t="s">
        <v>80</v>
      </c>
      <c r="J3005" t="s">
        <v>38</v>
      </c>
      <c r="K3005" t="s">
        <v>38</v>
      </c>
      <c r="L3005" t="s">
        <v>38</v>
      </c>
      <c r="M3005" t="s">
        <v>38</v>
      </c>
      <c r="N3005" t="s">
        <v>38</v>
      </c>
      <c r="O3005" t="s">
        <v>41</v>
      </c>
      <c r="P3005" t="s">
        <v>42</v>
      </c>
      <c r="Q3005" t="s">
        <v>43</v>
      </c>
      <c r="R3005" t="s">
        <v>4567</v>
      </c>
      <c r="S3005" t="s">
        <v>89</v>
      </c>
      <c r="T3005" t="s">
        <v>4567</v>
      </c>
      <c r="U3005" t="s">
        <v>4568</v>
      </c>
      <c r="V3005" t="s">
        <v>38</v>
      </c>
      <c r="W3005" t="s">
        <v>92</v>
      </c>
      <c r="X3005" t="s">
        <v>302</v>
      </c>
      <c r="Y3005" t="s">
        <v>4598</v>
      </c>
      <c r="Z3005" t="s">
        <v>42</v>
      </c>
      <c r="AA3005" t="s">
        <v>38</v>
      </c>
      <c r="AB3005" t="s">
        <v>38</v>
      </c>
      <c r="AC3005" t="s">
        <v>89</v>
      </c>
      <c r="AD3005" t="s">
        <v>48</v>
      </c>
      <c r="AG3005" t="str">
        <f>IF(AD3005="United States", IFERROR(INDEX(Sheet2!$C:$C, MATCH(AE3005&amp;AF3005, Sheet2!$E:$E, 0)) &amp; ", " &amp; INDEX(Sheet2!$D:$D, MATCH(AE3005&amp;AF3005, Sheet2!$E:$E, 0)), ""), "-")</f>
        <v/>
      </c>
    </row>
    <row r="3006" spans="1:33" x14ac:dyDescent="0.25">
      <c r="A3006" t="s">
        <v>4564</v>
      </c>
      <c r="B3006" t="s">
        <v>4624</v>
      </c>
      <c r="C3006" t="s">
        <v>4566</v>
      </c>
      <c r="D3006" t="s">
        <v>50</v>
      </c>
      <c r="E3006" t="s">
        <v>728</v>
      </c>
      <c r="F3006">
        <v>1758</v>
      </c>
      <c r="G3006">
        <v>1837</v>
      </c>
      <c r="H3006" t="s">
        <v>4432</v>
      </c>
      <c r="I3006" t="s">
        <v>80</v>
      </c>
      <c r="J3006" t="s">
        <v>38</v>
      </c>
      <c r="K3006" t="s">
        <v>38</v>
      </c>
      <c r="L3006" t="s">
        <v>38</v>
      </c>
      <c r="M3006" t="s">
        <v>38</v>
      </c>
      <c r="N3006" t="s">
        <v>38</v>
      </c>
      <c r="O3006" t="s">
        <v>57</v>
      </c>
      <c r="P3006" t="s">
        <v>42</v>
      </c>
      <c r="Q3006" t="s">
        <v>43</v>
      </c>
      <c r="R3006" t="s">
        <v>4567</v>
      </c>
      <c r="S3006" t="s">
        <v>153</v>
      </c>
      <c r="T3006" t="s">
        <v>4567</v>
      </c>
      <c r="U3006" t="s">
        <v>4568</v>
      </c>
      <c r="V3006" t="s">
        <v>38</v>
      </c>
      <c r="W3006" t="s">
        <v>92</v>
      </c>
      <c r="X3006" t="s">
        <v>302</v>
      </c>
      <c r="Y3006" t="s">
        <v>4598</v>
      </c>
      <c r="Z3006" t="s">
        <v>42</v>
      </c>
      <c r="AA3006" t="s">
        <v>155</v>
      </c>
      <c r="AB3006" t="s">
        <v>38</v>
      </c>
      <c r="AC3006" t="s">
        <v>153</v>
      </c>
      <c r="AD3006" t="s">
        <v>48</v>
      </c>
      <c r="AG3006" t="str">
        <f>IF(AD3006="United States", IFERROR(INDEX(Sheet2!$C:$C, MATCH(AE3006&amp;AF3006, Sheet2!$E:$E, 0)) &amp; ", " &amp; INDEX(Sheet2!$D:$D, MATCH(AE3006&amp;AF3006, Sheet2!$E:$E, 0)), ""), "-")</f>
        <v/>
      </c>
    </row>
    <row r="3007" spans="1:33" x14ac:dyDescent="0.25">
      <c r="A3007" t="s">
        <v>4564</v>
      </c>
      <c r="B3007" t="s">
        <v>4625</v>
      </c>
      <c r="C3007" t="s">
        <v>4566</v>
      </c>
      <c r="D3007" t="s">
        <v>245</v>
      </c>
      <c r="E3007" t="s">
        <v>38</v>
      </c>
      <c r="F3007">
        <v>1723</v>
      </c>
      <c r="G3007">
        <v>1861</v>
      </c>
      <c r="H3007" t="s">
        <v>4432</v>
      </c>
      <c r="I3007" t="s">
        <v>80</v>
      </c>
      <c r="J3007" t="s">
        <v>38</v>
      </c>
      <c r="K3007" t="s">
        <v>38</v>
      </c>
      <c r="L3007" t="s">
        <v>38</v>
      </c>
      <c r="M3007" t="s">
        <v>38</v>
      </c>
      <c r="N3007" t="s">
        <v>38</v>
      </c>
      <c r="O3007" t="s">
        <v>57</v>
      </c>
      <c r="P3007" t="s">
        <v>42</v>
      </c>
      <c r="Q3007" t="s">
        <v>43</v>
      </c>
      <c r="R3007" t="s">
        <v>4567</v>
      </c>
      <c r="S3007" t="s">
        <v>38</v>
      </c>
      <c r="T3007" t="s">
        <v>4567</v>
      </c>
      <c r="U3007" t="s">
        <v>4568</v>
      </c>
      <c r="V3007" t="s">
        <v>38</v>
      </c>
      <c r="W3007" t="s">
        <v>92</v>
      </c>
      <c r="X3007" t="s">
        <v>302</v>
      </c>
      <c r="Y3007" t="s">
        <v>4617</v>
      </c>
      <c r="Z3007" t="s">
        <v>42</v>
      </c>
      <c r="AA3007" t="s">
        <v>38</v>
      </c>
      <c r="AB3007" t="s">
        <v>38</v>
      </c>
      <c r="AC3007" t="s">
        <v>4626</v>
      </c>
      <c r="AD3007" t="s">
        <v>48</v>
      </c>
      <c r="AG3007" t="str">
        <f>IF(AD3007="United States", IFERROR(INDEX(Sheet2!$C:$C, MATCH(AE3007&amp;AF3007, Sheet2!$E:$E, 0)) &amp; ", " &amp; INDEX(Sheet2!$D:$D, MATCH(AE3007&amp;AF3007, Sheet2!$E:$E, 0)), ""), "-")</f>
        <v/>
      </c>
    </row>
    <row r="3008" spans="1:33" x14ac:dyDescent="0.25">
      <c r="A3008" t="s">
        <v>4564</v>
      </c>
      <c r="B3008" t="s">
        <v>4627</v>
      </c>
      <c r="C3008" t="s">
        <v>4566</v>
      </c>
      <c r="D3008" t="s">
        <v>63</v>
      </c>
      <c r="E3008" t="s">
        <v>38</v>
      </c>
      <c r="F3008">
        <v>1773</v>
      </c>
      <c r="G3008">
        <v>1862</v>
      </c>
      <c r="H3008" t="s">
        <v>4432</v>
      </c>
      <c r="I3008" t="s">
        <v>80</v>
      </c>
      <c r="J3008" t="s">
        <v>38</v>
      </c>
      <c r="K3008" t="s">
        <v>38</v>
      </c>
      <c r="L3008" t="s">
        <v>38</v>
      </c>
      <c r="M3008" t="s">
        <v>38</v>
      </c>
      <c r="N3008" t="s">
        <v>38</v>
      </c>
      <c r="O3008" t="s">
        <v>54</v>
      </c>
      <c r="P3008" t="s">
        <v>42</v>
      </c>
      <c r="Q3008" t="s">
        <v>43</v>
      </c>
      <c r="R3008" t="s">
        <v>4567</v>
      </c>
      <c r="S3008" t="s">
        <v>38</v>
      </c>
      <c r="T3008" t="s">
        <v>4567</v>
      </c>
      <c r="U3008" t="s">
        <v>4568</v>
      </c>
      <c r="V3008" t="s">
        <v>38</v>
      </c>
      <c r="W3008" t="s">
        <v>92</v>
      </c>
      <c r="X3008" t="s">
        <v>302</v>
      </c>
      <c r="Y3008" t="s">
        <v>4628</v>
      </c>
      <c r="Z3008" t="s">
        <v>42</v>
      </c>
      <c r="AA3008" t="s">
        <v>38</v>
      </c>
      <c r="AB3008" t="s">
        <v>38</v>
      </c>
      <c r="AC3008" t="s">
        <v>169</v>
      </c>
      <c r="AD3008" t="s">
        <v>48</v>
      </c>
      <c r="AG3008" t="str">
        <f>IF(AD3008="United States", IFERROR(INDEX(Sheet2!$C:$C, MATCH(AE3008&amp;AF3008, Sheet2!$E:$E, 0)) &amp; ", " &amp; INDEX(Sheet2!$D:$D, MATCH(AE3008&amp;AF3008, Sheet2!$E:$E, 0)), ""), "-")</f>
        <v/>
      </c>
    </row>
    <row r="3009" spans="1:33" x14ac:dyDescent="0.25">
      <c r="A3009" t="s">
        <v>4564</v>
      </c>
      <c r="B3009" t="s">
        <v>4629</v>
      </c>
      <c r="C3009" t="s">
        <v>4566</v>
      </c>
      <c r="D3009" t="s">
        <v>797</v>
      </c>
      <c r="E3009" t="s">
        <v>1141</v>
      </c>
      <c r="F3009">
        <v>1757</v>
      </c>
      <c r="G3009">
        <v>1836</v>
      </c>
      <c r="H3009" t="s">
        <v>4432</v>
      </c>
      <c r="I3009" t="s">
        <v>80</v>
      </c>
      <c r="J3009" t="s">
        <v>38</v>
      </c>
      <c r="K3009" t="s">
        <v>38</v>
      </c>
      <c r="L3009" t="s">
        <v>38</v>
      </c>
      <c r="M3009" t="s">
        <v>38</v>
      </c>
      <c r="N3009" t="s">
        <v>38</v>
      </c>
      <c r="O3009" t="s">
        <v>57</v>
      </c>
      <c r="P3009" t="s">
        <v>42</v>
      </c>
      <c r="Q3009" t="s">
        <v>43</v>
      </c>
      <c r="R3009" t="s">
        <v>4567</v>
      </c>
      <c r="S3009" t="s">
        <v>45</v>
      </c>
      <c r="T3009" t="s">
        <v>4567</v>
      </c>
      <c r="U3009" t="s">
        <v>4568</v>
      </c>
      <c r="V3009" t="s">
        <v>38</v>
      </c>
      <c r="W3009" t="s">
        <v>92</v>
      </c>
      <c r="X3009" t="s">
        <v>302</v>
      </c>
      <c r="Y3009" t="s">
        <v>4603</v>
      </c>
      <c r="Z3009" t="s">
        <v>42</v>
      </c>
      <c r="AA3009" t="s">
        <v>4604</v>
      </c>
      <c r="AB3009" t="s">
        <v>38</v>
      </c>
      <c r="AC3009" t="s">
        <v>45</v>
      </c>
      <c r="AD3009" t="s">
        <v>48</v>
      </c>
      <c r="AG3009" t="str">
        <f>IF(AD3009="United States", IFERROR(INDEX(Sheet2!$C:$C, MATCH(AE3009&amp;AF3009, Sheet2!$E:$E, 0)) &amp; ", " &amp; INDEX(Sheet2!$D:$D, MATCH(AE3009&amp;AF3009, Sheet2!$E:$E, 0)), ""), "-")</f>
        <v/>
      </c>
    </row>
    <row r="3010" spans="1:33" x14ac:dyDescent="0.25">
      <c r="A3010" t="s">
        <v>4564</v>
      </c>
      <c r="B3010" t="s">
        <v>4630</v>
      </c>
      <c r="C3010" t="s">
        <v>4566</v>
      </c>
      <c r="D3010" t="s">
        <v>463</v>
      </c>
      <c r="E3010" t="s">
        <v>629</v>
      </c>
      <c r="F3010">
        <v>1743</v>
      </c>
      <c r="G3010">
        <v>1835</v>
      </c>
      <c r="H3010" t="s">
        <v>4432</v>
      </c>
      <c r="I3010" t="s">
        <v>80</v>
      </c>
      <c r="J3010" t="s">
        <v>38</v>
      </c>
      <c r="K3010" t="s">
        <v>38</v>
      </c>
      <c r="L3010" t="s">
        <v>38</v>
      </c>
      <c r="M3010" t="s">
        <v>38</v>
      </c>
      <c r="N3010" t="s">
        <v>38</v>
      </c>
      <c r="O3010" t="s">
        <v>41</v>
      </c>
      <c r="P3010" t="s">
        <v>42</v>
      </c>
      <c r="Q3010" t="s">
        <v>43</v>
      </c>
      <c r="R3010" t="s">
        <v>4567</v>
      </c>
      <c r="S3010" t="s">
        <v>201</v>
      </c>
      <c r="T3010" t="s">
        <v>4567</v>
      </c>
      <c r="U3010" t="s">
        <v>4568</v>
      </c>
      <c r="V3010" t="s">
        <v>38</v>
      </c>
      <c r="W3010" t="s">
        <v>92</v>
      </c>
      <c r="X3010" t="s">
        <v>302</v>
      </c>
      <c r="Y3010" t="s">
        <v>4631</v>
      </c>
      <c r="Z3010" t="s">
        <v>42</v>
      </c>
      <c r="AA3010" t="s">
        <v>3142</v>
      </c>
      <c r="AB3010" t="s">
        <v>38</v>
      </c>
      <c r="AC3010" t="s">
        <v>201</v>
      </c>
      <c r="AD3010" t="s">
        <v>48</v>
      </c>
      <c r="AG3010" t="str">
        <f>IF(AD3010="United States", IFERROR(INDEX(Sheet2!$C:$C, MATCH(AE3010&amp;AF3010, Sheet2!$E:$E, 0)) &amp; ", " &amp; INDEX(Sheet2!$D:$D, MATCH(AE3010&amp;AF3010, Sheet2!$E:$E, 0)), ""), "-")</f>
        <v/>
      </c>
    </row>
    <row r="3011" spans="1:33" x14ac:dyDescent="0.25">
      <c r="A3011" t="s">
        <v>4564</v>
      </c>
      <c r="B3011" t="s">
        <v>4632</v>
      </c>
      <c r="C3011" t="s">
        <v>4566</v>
      </c>
      <c r="D3011" t="s">
        <v>824</v>
      </c>
      <c r="E3011" t="s">
        <v>38</v>
      </c>
      <c r="F3011" t="s">
        <v>38</v>
      </c>
      <c r="G3011">
        <v>1863</v>
      </c>
      <c r="H3011" t="s">
        <v>4432</v>
      </c>
      <c r="I3011" t="s">
        <v>80</v>
      </c>
      <c r="J3011" t="s">
        <v>38</v>
      </c>
      <c r="K3011" t="s">
        <v>38</v>
      </c>
      <c r="L3011" t="s">
        <v>38</v>
      </c>
      <c r="M3011" t="s">
        <v>38</v>
      </c>
      <c r="N3011" t="s">
        <v>38</v>
      </c>
      <c r="O3011" t="s">
        <v>54</v>
      </c>
      <c r="P3011" t="s">
        <v>42</v>
      </c>
      <c r="Q3011" t="s">
        <v>43</v>
      </c>
      <c r="R3011" t="s">
        <v>4567</v>
      </c>
      <c r="S3011" t="s">
        <v>38</v>
      </c>
      <c r="T3011" t="s">
        <v>4567</v>
      </c>
      <c r="U3011" t="s">
        <v>4568</v>
      </c>
      <c r="V3011" t="s">
        <v>38</v>
      </c>
      <c r="W3011" t="s">
        <v>92</v>
      </c>
      <c r="X3011" t="s">
        <v>302</v>
      </c>
      <c r="Y3011" t="s">
        <v>4633</v>
      </c>
      <c r="Z3011" t="s">
        <v>42</v>
      </c>
      <c r="AA3011" t="s">
        <v>38</v>
      </c>
      <c r="AB3011" t="s">
        <v>38</v>
      </c>
      <c r="AC3011" t="s">
        <v>38</v>
      </c>
      <c r="AD3011" t="s">
        <v>48</v>
      </c>
      <c r="AG3011" t="str">
        <f>IF(AD3011="United States", IFERROR(INDEX(Sheet2!$C:$C, MATCH(AE3011&amp;AF3011, Sheet2!$E:$E, 0)) &amp; ", " &amp; INDEX(Sheet2!$D:$D, MATCH(AE3011&amp;AF3011, Sheet2!$E:$E, 0)), ""), "-")</f>
        <v/>
      </c>
    </row>
    <row r="3012" spans="1:33" x14ac:dyDescent="0.25">
      <c r="A3012" t="s">
        <v>4564</v>
      </c>
      <c r="B3012" t="s">
        <v>4634</v>
      </c>
      <c r="C3012" t="s">
        <v>4566</v>
      </c>
      <c r="D3012" t="s">
        <v>495</v>
      </c>
      <c r="E3012" t="s">
        <v>38</v>
      </c>
      <c r="F3012">
        <v>1763</v>
      </c>
      <c r="G3012">
        <v>1864</v>
      </c>
      <c r="H3012" t="s">
        <v>4432</v>
      </c>
      <c r="I3012" t="s">
        <v>80</v>
      </c>
      <c r="J3012" t="s">
        <v>38</v>
      </c>
      <c r="K3012" t="s">
        <v>38</v>
      </c>
      <c r="L3012" t="s">
        <v>38</v>
      </c>
      <c r="M3012" t="s">
        <v>38</v>
      </c>
      <c r="N3012" t="s">
        <v>38</v>
      </c>
      <c r="O3012" t="s">
        <v>74</v>
      </c>
      <c r="P3012" t="s">
        <v>42</v>
      </c>
      <c r="Q3012" t="s">
        <v>43</v>
      </c>
      <c r="R3012" t="s">
        <v>4567</v>
      </c>
      <c r="S3012" t="s">
        <v>38</v>
      </c>
      <c r="T3012" t="s">
        <v>4567</v>
      </c>
      <c r="U3012" t="s">
        <v>4568</v>
      </c>
      <c r="V3012" t="s">
        <v>38</v>
      </c>
      <c r="W3012" t="s">
        <v>92</v>
      </c>
      <c r="X3012" t="s">
        <v>302</v>
      </c>
      <c r="Y3012" t="s">
        <v>4595</v>
      </c>
      <c r="Z3012" t="s">
        <v>42</v>
      </c>
      <c r="AA3012" t="s">
        <v>4635</v>
      </c>
      <c r="AB3012" t="s">
        <v>2749</v>
      </c>
      <c r="AC3012" t="s">
        <v>60</v>
      </c>
      <c r="AD3012" t="s">
        <v>48</v>
      </c>
      <c r="AG3012" t="str">
        <f>IF(AD3012="United States", IFERROR(INDEX(Sheet2!$C:$C, MATCH(AE3012&amp;AF3012, Sheet2!$E:$E, 0)) &amp; ", " &amp; INDEX(Sheet2!$D:$D, MATCH(AE3012&amp;AF3012, Sheet2!$E:$E, 0)), ""), "-")</f>
        <v/>
      </c>
    </row>
    <row r="3013" spans="1:33" x14ac:dyDescent="0.25">
      <c r="A3013" t="s">
        <v>4636</v>
      </c>
      <c r="D3013" t="s">
        <v>991</v>
      </c>
      <c r="E3013" t="s">
        <v>38</v>
      </c>
      <c r="F3013">
        <v>1748</v>
      </c>
      <c r="G3013">
        <v>2141</v>
      </c>
      <c r="H3013">
        <v>68</v>
      </c>
      <c r="J3013" t="s">
        <v>4637</v>
      </c>
      <c r="O3013" t="s">
        <v>57</v>
      </c>
      <c r="R3013" t="s">
        <v>89</v>
      </c>
      <c r="T3013" t="s">
        <v>89</v>
      </c>
      <c r="U3013" t="s">
        <v>301</v>
      </c>
      <c r="V3013" t="s">
        <v>91</v>
      </c>
      <c r="W3013" t="s">
        <v>92</v>
      </c>
      <c r="X3013" t="s">
        <v>302</v>
      </c>
      <c r="Y3013" t="s">
        <v>38</v>
      </c>
      <c r="AA3013" t="s">
        <v>38</v>
      </c>
      <c r="AB3013" t="s">
        <v>38</v>
      </c>
      <c r="AC3013" t="s">
        <v>38</v>
      </c>
      <c r="AD3013" t="s">
        <v>48</v>
      </c>
      <c r="AG3013" t="str">
        <f>IF(AD3013="United States", IFERROR(INDEX(Sheet2!$C:$C, MATCH(AE3013&amp;AF3013, Sheet2!$E:$E, 0)) &amp; ", " &amp; INDEX(Sheet2!$D:$D, MATCH(AE3013&amp;AF3013, Sheet2!$E:$E, 0)), ""), "-")</f>
        <v/>
      </c>
    </row>
    <row r="3014" spans="1:33" x14ac:dyDescent="0.25">
      <c r="A3014" t="s">
        <v>4636</v>
      </c>
      <c r="D3014" t="s">
        <v>132</v>
      </c>
      <c r="E3014" t="s">
        <v>38</v>
      </c>
      <c r="F3014">
        <v>1782</v>
      </c>
      <c r="G3014">
        <v>2140</v>
      </c>
      <c r="H3014">
        <v>68</v>
      </c>
      <c r="J3014" t="s">
        <v>4637</v>
      </c>
      <c r="O3014" t="s">
        <v>54</v>
      </c>
      <c r="R3014" t="s">
        <v>89</v>
      </c>
      <c r="T3014" t="s">
        <v>89</v>
      </c>
      <c r="U3014" t="s">
        <v>301</v>
      </c>
      <c r="V3014" t="s">
        <v>91</v>
      </c>
      <c r="W3014" t="s">
        <v>92</v>
      </c>
      <c r="X3014" t="s">
        <v>302</v>
      </c>
      <c r="Y3014" t="s">
        <v>38</v>
      </c>
      <c r="AA3014" t="s">
        <v>38</v>
      </c>
      <c r="AB3014" t="s">
        <v>38</v>
      </c>
      <c r="AC3014" t="s">
        <v>38</v>
      </c>
      <c r="AD3014" t="s">
        <v>48</v>
      </c>
      <c r="AG3014" t="str">
        <f>IF(AD3014="United States", IFERROR(INDEX(Sheet2!$C:$C, MATCH(AE3014&amp;AF3014, Sheet2!$E:$E, 0)) &amp; ", " &amp; INDEX(Sheet2!$D:$D, MATCH(AE3014&amp;AF3014, Sheet2!$E:$E, 0)), ""), "-")</f>
        <v/>
      </c>
    </row>
    <row r="3015" spans="1:33" x14ac:dyDescent="0.25">
      <c r="A3015" t="s">
        <v>4636</v>
      </c>
      <c r="D3015" t="s">
        <v>1214</v>
      </c>
      <c r="E3015" t="s">
        <v>38</v>
      </c>
      <c r="F3015">
        <v>1748</v>
      </c>
      <c r="G3015">
        <v>2139</v>
      </c>
      <c r="H3015">
        <v>68</v>
      </c>
      <c r="J3015" t="s">
        <v>4637</v>
      </c>
      <c r="O3015" t="s">
        <v>57</v>
      </c>
      <c r="R3015" t="s">
        <v>89</v>
      </c>
      <c r="T3015" t="s">
        <v>89</v>
      </c>
      <c r="U3015" t="s">
        <v>301</v>
      </c>
      <c r="V3015" t="s">
        <v>91</v>
      </c>
      <c r="W3015" t="s">
        <v>92</v>
      </c>
      <c r="X3015" t="s">
        <v>302</v>
      </c>
      <c r="Y3015" t="s">
        <v>38</v>
      </c>
      <c r="AA3015" t="s">
        <v>38</v>
      </c>
      <c r="AB3015" t="s">
        <v>38</v>
      </c>
      <c r="AC3015" t="s">
        <v>38</v>
      </c>
      <c r="AD3015" t="s">
        <v>48</v>
      </c>
      <c r="AG3015" t="str">
        <f>IF(AD3015="United States", IFERROR(INDEX(Sheet2!$C:$C, MATCH(AE3015&amp;AF3015, Sheet2!$E:$E, 0)) &amp; ", " &amp; INDEX(Sheet2!$D:$D, MATCH(AE3015&amp;AF3015, Sheet2!$E:$E, 0)), ""), "-")</f>
        <v/>
      </c>
    </row>
    <row r="3016" spans="1:33" x14ac:dyDescent="0.25">
      <c r="A3016" t="s">
        <v>4636</v>
      </c>
      <c r="D3016" t="s">
        <v>106</v>
      </c>
      <c r="E3016" t="s">
        <v>38</v>
      </c>
      <c r="F3016">
        <v>1768</v>
      </c>
      <c r="G3016">
        <v>2138</v>
      </c>
      <c r="H3016">
        <v>68</v>
      </c>
      <c r="J3016" t="s">
        <v>4637</v>
      </c>
      <c r="O3016" t="s">
        <v>54</v>
      </c>
      <c r="R3016" t="s">
        <v>89</v>
      </c>
      <c r="T3016" t="s">
        <v>89</v>
      </c>
      <c r="U3016" t="s">
        <v>301</v>
      </c>
      <c r="V3016" t="s">
        <v>91</v>
      </c>
      <c r="W3016" t="s">
        <v>92</v>
      </c>
      <c r="X3016" t="s">
        <v>302</v>
      </c>
      <c r="Y3016" t="s">
        <v>38</v>
      </c>
      <c r="AA3016" t="s">
        <v>38</v>
      </c>
      <c r="AB3016" t="s">
        <v>38</v>
      </c>
      <c r="AC3016" t="s">
        <v>38</v>
      </c>
      <c r="AD3016" t="s">
        <v>48</v>
      </c>
      <c r="AG3016" t="str">
        <f>IF(AD3016="United States", IFERROR(INDEX(Sheet2!$C:$C, MATCH(AE3016&amp;AF3016, Sheet2!$E:$E, 0)) &amp; ", " &amp; INDEX(Sheet2!$D:$D, MATCH(AE3016&amp;AF3016, Sheet2!$E:$E, 0)), ""), "-")</f>
        <v/>
      </c>
    </row>
    <row r="3017" spans="1:33" x14ac:dyDescent="0.25">
      <c r="A3017" t="s">
        <v>2016</v>
      </c>
      <c r="B3017" t="s">
        <v>4638</v>
      </c>
      <c r="C3017" t="s">
        <v>4639</v>
      </c>
      <c r="D3017" t="s">
        <v>245</v>
      </c>
      <c r="E3017" t="s">
        <v>4640</v>
      </c>
      <c r="F3017">
        <v>1757</v>
      </c>
      <c r="G3017">
        <v>364</v>
      </c>
      <c r="H3017" t="s">
        <v>1979</v>
      </c>
      <c r="I3017" t="s">
        <v>39</v>
      </c>
      <c r="J3017" t="s">
        <v>4641</v>
      </c>
      <c r="K3017" t="s">
        <v>38</v>
      </c>
      <c r="L3017" t="s">
        <v>38</v>
      </c>
      <c r="M3017" t="s">
        <v>38</v>
      </c>
      <c r="N3017" t="s">
        <v>38</v>
      </c>
      <c r="O3017" t="s">
        <v>57</v>
      </c>
      <c r="P3017" t="s">
        <v>42</v>
      </c>
      <c r="Q3017" t="s">
        <v>43</v>
      </c>
      <c r="R3017" t="s">
        <v>38</v>
      </c>
      <c r="S3017" t="s">
        <v>38</v>
      </c>
      <c r="T3017" t="s">
        <v>38</v>
      </c>
      <c r="U3017" t="s">
        <v>38</v>
      </c>
      <c r="V3017" t="s">
        <v>137</v>
      </c>
      <c r="W3017" t="s">
        <v>92</v>
      </c>
      <c r="X3017" t="s">
        <v>38</v>
      </c>
      <c r="Y3017" t="s">
        <v>4642</v>
      </c>
      <c r="Z3017" t="s">
        <v>42</v>
      </c>
      <c r="AA3017" t="s">
        <v>38</v>
      </c>
      <c r="AB3017" t="s">
        <v>38</v>
      </c>
      <c r="AC3017" t="s">
        <v>38</v>
      </c>
      <c r="AD3017" t="s">
        <v>48</v>
      </c>
      <c r="AG3017" t="str">
        <f>IF(AD3017="United States", IFERROR(INDEX(Sheet2!$C:$C, MATCH(AE3017&amp;AF3017, Sheet2!$E:$E, 0)) &amp; ", " &amp; INDEX(Sheet2!$D:$D, MATCH(AE3017&amp;AF3017, Sheet2!$E:$E, 0)), ""), "-")</f>
        <v/>
      </c>
    </row>
    <row r="3018" spans="1:33" x14ac:dyDescent="0.25">
      <c r="A3018" t="s">
        <v>2016</v>
      </c>
      <c r="D3018" t="s">
        <v>4643</v>
      </c>
      <c r="E3018" t="s">
        <v>4644</v>
      </c>
      <c r="F3018">
        <v>1757</v>
      </c>
      <c r="G3018">
        <v>398</v>
      </c>
      <c r="H3018">
        <v>26</v>
      </c>
      <c r="J3018" t="s">
        <v>4641</v>
      </c>
      <c r="O3018" t="s">
        <v>57</v>
      </c>
      <c r="V3018" t="s">
        <v>137</v>
      </c>
      <c r="W3018" t="s">
        <v>92</v>
      </c>
      <c r="Y3018" t="s">
        <v>38</v>
      </c>
      <c r="AA3018" t="s">
        <v>38</v>
      </c>
      <c r="AB3018" t="s">
        <v>38</v>
      </c>
      <c r="AC3018" t="s">
        <v>38</v>
      </c>
      <c r="AD3018" t="s">
        <v>48</v>
      </c>
      <c r="AG3018" t="str">
        <f>IF(AD3018="United States", IFERROR(INDEX(Sheet2!$C:$C, MATCH(AE3018&amp;AF3018, Sheet2!$E:$E, 0)) &amp; ", " &amp; INDEX(Sheet2!$D:$D, MATCH(AE3018&amp;AF3018, Sheet2!$E:$E, 0)), ""), "-")</f>
        <v/>
      </c>
    </row>
    <row r="3019" spans="1:33" x14ac:dyDescent="0.25">
      <c r="A3019" t="s">
        <v>2016</v>
      </c>
      <c r="B3019" t="s">
        <v>4645</v>
      </c>
      <c r="C3019" t="s">
        <v>4639</v>
      </c>
      <c r="D3019" t="s">
        <v>200</v>
      </c>
      <c r="E3019" t="s">
        <v>4646</v>
      </c>
      <c r="F3019">
        <v>1754</v>
      </c>
      <c r="G3019">
        <v>363</v>
      </c>
      <c r="H3019" t="s">
        <v>1979</v>
      </c>
      <c r="I3019" t="s">
        <v>39</v>
      </c>
      <c r="J3019" t="s">
        <v>4641</v>
      </c>
      <c r="K3019" t="s">
        <v>38</v>
      </c>
      <c r="L3019" t="s">
        <v>38</v>
      </c>
      <c r="M3019" t="s">
        <v>38</v>
      </c>
      <c r="N3019" t="s">
        <v>38</v>
      </c>
      <c r="O3019" t="s">
        <v>41</v>
      </c>
      <c r="P3019" t="s">
        <v>42</v>
      </c>
      <c r="Q3019" t="s">
        <v>43</v>
      </c>
      <c r="R3019" t="s">
        <v>38</v>
      </c>
      <c r="S3019" t="s">
        <v>38</v>
      </c>
      <c r="T3019" t="s">
        <v>38</v>
      </c>
      <c r="U3019" t="s">
        <v>38</v>
      </c>
      <c r="V3019" t="s">
        <v>137</v>
      </c>
      <c r="W3019" t="s">
        <v>92</v>
      </c>
      <c r="X3019" t="s">
        <v>38</v>
      </c>
      <c r="Y3019" t="s">
        <v>38</v>
      </c>
      <c r="Z3019" t="s">
        <v>42</v>
      </c>
      <c r="AA3019" t="s">
        <v>38</v>
      </c>
      <c r="AB3019" t="s">
        <v>38</v>
      </c>
      <c r="AC3019" t="s">
        <v>38</v>
      </c>
      <c r="AD3019" t="s">
        <v>48</v>
      </c>
      <c r="AG3019" t="str">
        <f>IF(AD3019="United States", IFERROR(INDEX(Sheet2!$C:$C, MATCH(AE3019&amp;AF3019, Sheet2!$E:$E, 0)) &amp; ", " &amp; INDEX(Sheet2!$D:$D, MATCH(AE3019&amp;AF3019, Sheet2!$E:$E, 0)), ""), "-")</f>
        <v/>
      </c>
    </row>
    <row r="3020" spans="1:33" x14ac:dyDescent="0.25">
      <c r="A3020" t="s">
        <v>4647</v>
      </c>
      <c r="D3020" t="s">
        <v>1037</v>
      </c>
      <c r="E3020" t="s">
        <v>3241</v>
      </c>
      <c r="F3020">
        <v>1764</v>
      </c>
      <c r="G3020">
        <v>2651</v>
      </c>
      <c r="H3020">
        <v>80</v>
      </c>
      <c r="J3020" t="s">
        <v>2298</v>
      </c>
      <c r="O3020" t="s">
        <v>57</v>
      </c>
      <c r="V3020" t="s">
        <v>4648</v>
      </c>
      <c r="W3020" t="s">
        <v>92</v>
      </c>
      <c r="Y3020" t="s">
        <v>38</v>
      </c>
      <c r="AA3020" t="s">
        <v>38</v>
      </c>
      <c r="AB3020" t="s">
        <v>38</v>
      </c>
      <c r="AC3020" t="s">
        <v>38</v>
      </c>
      <c r="AD3020" t="s">
        <v>48</v>
      </c>
      <c r="AG3020" t="str">
        <f>IF(AD3020="United States", IFERROR(INDEX(Sheet2!$C:$C, MATCH(AE3020&amp;AF3020, Sheet2!$E:$E, 0)) &amp; ", " &amp; INDEX(Sheet2!$D:$D, MATCH(AE3020&amp;AF3020, Sheet2!$E:$E, 0)), ""), "-")</f>
        <v/>
      </c>
    </row>
    <row r="3021" spans="1:33" x14ac:dyDescent="0.25">
      <c r="A3021" t="s">
        <v>4647</v>
      </c>
      <c r="D3021" t="s">
        <v>50</v>
      </c>
      <c r="E3021" t="s">
        <v>38</v>
      </c>
      <c r="F3021" t="s">
        <v>38</v>
      </c>
      <c r="G3021">
        <v>2652</v>
      </c>
      <c r="H3021">
        <v>80</v>
      </c>
      <c r="J3021" t="s">
        <v>2298</v>
      </c>
      <c r="O3021" t="s">
        <v>74</v>
      </c>
      <c r="V3021" t="s">
        <v>4648</v>
      </c>
      <c r="W3021" t="s">
        <v>92</v>
      </c>
      <c r="Y3021" t="s">
        <v>38</v>
      </c>
      <c r="AA3021" t="s">
        <v>38</v>
      </c>
      <c r="AB3021" t="s">
        <v>38</v>
      </c>
      <c r="AC3021" t="s">
        <v>38</v>
      </c>
      <c r="AD3021" t="s">
        <v>48</v>
      </c>
      <c r="AG3021" t="str">
        <f>IF(AD3021="United States", IFERROR(INDEX(Sheet2!$C:$C, MATCH(AE3021&amp;AF3021, Sheet2!$E:$E, 0)) &amp; ", " &amp; INDEX(Sheet2!$D:$D, MATCH(AE3021&amp;AF3021, Sheet2!$E:$E, 0)), ""), "-")</f>
        <v/>
      </c>
    </row>
    <row r="3022" spans="1:33" x14ac:dyDescent="0.25">
      <c r="A3022" t="s">
        <v>4647</v>
      </c>
      <c r="D3022" t="s">
        <v>1230</v>
      </c>
      <c r="E3022" t="s">
        <v>2678</v>
      </c>
      <c r="F3022" t="s">
        <v>38</v>
      </c>
      <c r="G3022">
        <v>2606</v>
      </c>
      <c r="H3022">
        <v>79</v>
      </c>
      <c r="J3022" t="s">
        <v>2298</v>
      </c>
      <c r="O3022" t="s">
        <v>74</v>
      </c>
      <c r="V3022" t="s">
        <v>4648</v>
      </c>
      <c r="W3022" t="s">
        <v>92</v>
      </c>
      <c r="Y3022" t="s">
        <v>38</v>
      </c>
      <c r="AA3022" t="s">
        <v>38</v>
      </c>
      <c r="AB3022" t="s">
        <v>38</v>
      </c>
      <c r="AC3022" t="s">
        <v>38</v>
      </c>
      <c r="AD3022" t="s">
        <v>48</v>
      </c>
      <c r="AG3022" t="str">
        <f>IF(AD3022="United States", IFERROR(INDEX(Sheet2!$C:$C, MATCH(AE3022&amp;AF3022, Sheet2!$E:$E, 0)) &amp; ", " &amp; INDEX(Sheet2!$D:$D, MATCH(AE3022&amp;AF3022, Sheet2!$E:$E, 0)), ""), "-")</f>
        <v/>
      </c>
    </row>
    <row r="3023" spans="1:33" x14ac:dyDescent="0.25">
      <c r="A3023" t="s">
        <v>4647</v>
      </c>
      <c r="D3023" t="s">
        <v>1164</v>
      </c>
      <c r="E3023" t="s">
        <v>4649</v>
      </c>
      <c r="F3023">
        <v>1748</v>
      </c>
      <c r="G3023">
        <v>2650</v>
      </c>
      <c r="H3023">
        <v>80</v>
      </c>
      <c r="J3023" t="s">
        <v>2298</v>
      </c>
      <c r="O3023" t="s">
        <v>57</v>
      </c>
      <c r="V3023" t="s">
        <v>4648</v>
      </c>
      <c r="W3023" t="s">
        <v>92</v>
      </c>
      <c r="Y3023" t="s">
        <v>38</v>
      </c>
      <c r="AA3023" t="s">
        <v>38</v>
      </c>
      <c r="AB3023" t="s">
        <v>38</v>
      </c>
      <c r="AC3023" t="s">
        <v>38</v>
      </c>
      <c r="AD3023" t="s">
        <v>48</v>
      </c>
      <c r="AG3023" t="str">
        <f>IF(AD3023="United States", IFERROR(INDEX(Sheet2!$C:$C, MATCH(AE3023&amp;AF3023, Sheet2!$E:$E, 0)) &amp; ", " &amp; INDEX(Sheet2!$D:$D, MATCH(AE3023&amp;AF3023, Sheet2!$E:$E, 0)), ""), "-")</f>
        <v/>
      </c>
    </row>
    <row r="3024" spans="1:33" x14ac:dyDescent="0.25">
      <c r="A3024" t="s">
        <v>4647</v>
      </c>
      <c r="D3024" t="s">
        <v>4650</v>
      </c>
      <c r="E3024" t="s">
        <v>1216</v>
      </c>
      <c r="F3024">
        <v>1758</v>
      </c>
      <c r="G3024">
        <v>2596</v>
      </c>
      <c r="H3024">
        <v>79</v>
      </c>
      <c r="J3024" t="s">
        <v>2298</v>
      </c>
      <c r="O3024" t="s">
        <v>57</v>
      </c>
      <c r="V3024" t="s">
        <v>4648</v>
      </c>
      <c r="W3024" t="s">
        <v>92</v>
      </c>
      <c r="Y3024" t="s">
        <v>38</v>
      </c>
      <c r="AA3024" t="s">
        <v>38</v>
      </c>
      <c r="AB3024" t="s">
        <v>38</v>
      </c>
      <c r="AC3024" t="s">
        <v>38</v>
      </c>
      <c r="AD3024" t="s">
        <v>48</v>
      </c>
      <c r="AG3024" t="str">
        <f>IF(AD3024="United States", IFERROR(INDEX(Sheet2!$C:$C, MATCH(AE3024&amp;AF3024, Sheet2!$E:$E, 0)) &amp; ", " &amp; INDEX(Sheet2!$D:$D, MATCH(AE3024&amp;AF3024, Sheet2!$E:$E, 0)), ""), "-")</f>
        <v/>
      </c>
    </row>
    <row r="3025" spans="1:33" x14ac:dyDescent="0.25">
      <c r="A3025" t="s">
        <v>4647</v>
      </c>
      <c r="D3025" t="s">
        <v>4651</v>
      </c>
      <c r="E3025" t="s">
        <v>4652</v>
      </c>
      <c r="F3025">
        <v>1749</v>
      </c>
      <c r="G3025">
        <v>2597</v>
      </c>
      <c r="H3025">
        <v>79</v>
      </c>
      <c r="J3025" t="s">
        <v>2298</v>
      </c>
      <c r="O3025" t="s">
        <v>41</v>
      </c>
      <c r="V3025" t="s">
        <v>4648</v>
      </c>
      <c r="W3025" t="s">
        <v>92</v>
      </c>
      <c r="Y3025" t="s">
        <v>38</v>
      </c>
      <c r="AA3025" t="s">
        <v>38</v>
      </c>
      <c r="AB3025" t="s">
        <v>38</v>
      </c>
      <c r="AC3025" t="s">
        <v>38</v>
      </c>
      <c r="AD3025" t="s">
        <v>48</v>
      </c>
      <c r="AG3025" t="str">
        <f>IF(AD3025="United States", IFERROR(INDEX(Sheet2!$C:$C, MATCH(AE3025&amp;AF3025, Sheet2!$E:$E, 0)) &amp; ", " &amp; INDEX(Sheet2!$D:$D, MATCH(AE3025&amp;AF3025, Sheet2!$E:$E, 0)), ""), "-")</f>
        <v/>
      </c>
    </row>
    <row r="3026" spans="1:33" x14ac:dyDescent="0.25">
      <c r="A3026" t="s">
        <v>4647</v>
      </c>
      <c r="D3026" t="s">
        <v>52</v>
      </c>
      <c r="E3026" t="s">
        <v>38</v>
      </c>
      <c r="F3026">
        <v>1763</v>
      </c>
      <c r="G3026">
        <v>2658</v>
      </c>
      <c r="H3026">
        <v>80</v>
      </c>
      <c r="J3026" t="s">
        <v>2298</v>
      </c>
      <c r="O3026" t="s">
        <v>57</v>
      </c>
      <c r="V3026" t="s">
        <v>4648</v>
      </c>
      <c r="W3026" t="s">
        <v>92</v>
      </c>
      <c r="Y3026" t="s">
        <v>38</v>
      </c>
      <c r="AA3026" t="s">
        <v>38</v>
      </c>
      <c r="AB3026" t="s">
        <v>38</v>
      </c>
      <c r="AC3026" t="s">
        <v>38</v>
      </c>
      <c r="AD3026" t="s">
        <v>48</v>
      </c>
      <c r="AG3026" t="str">
        <f>IF(AD3026="United States", IFERROR(INDEX(Sheet2!$C:$C, MATCH(AE3026&amp;AF3026, Sheet2!$E:$E, 0)) &amp; ", " &amp; INDEX(Sheet2!$D:$D, MATCH(AE3026&amp;AF3026, Sheet2!$E:$E, 0)), ""), "-")</f>
        <v/>
      </c>
    </row>
    <row r="3027" spans="1:33" x14ac:dyDescent="0.25">
      <c r="A3027" t="s">
        <v>4647</v>
      </c>
      <c r="D3027" t="s">
        <v>4653</v>
      </c>
      <c r="E3027" t="s">
        <v>4654</v>
      </c>
      <c r="F3027">
        <v>1762</v>
      </c>
      <c r="G3027">
        <v>2654</v>
      </c>
      <c r="H3027">
        <v>80</v>
      </c>
      <c r="J3027" t="s">
        <v>2298</v>
      </c>
      <c r="O3027" t="s">
        <v>57</v>
      </c>
      <c r="V3027" t="s">
        <v>4648</v>
      </c>
      <c r="W3027" t="s">
        <v>92</v>
      </c>
      <c r="Y3027" t="s">
        <v>38</v>
      </c>
      <c r="AA3027" t="s">
        <v>38</v>
      </c>
      <c r="AB3027" t="s">
        <v>38</v>
      </c>
      <c r="AC3027" t="s">
        <v>38</v>
      </c>
      <c r="AD3027" t="s">
        <v>48</v>
      </c>
      <c r="AG3027" t="str">
        <f>IF(AD3027="United States", IFERROR(INDEX(Sheet2!$C:$C, MATCH(AE3027&amp;AF3027, Sheet2!$E:$E, 0)) &amp; ", " &amp; INDEX(Sheet2!$D:$D, MATCH(AE3027&amp;AF3027, Sheet2!$E:$E, 0)), ""), "-")</f>
        <v/>
      </c>
    </row>
    <row r="3028" spans="1:33" x14ac:dyDescent="0.25">
      <c r="A3028" t="s">
        <v>4647</v>
      </c>
      <c r="D3028" t="s">
        <v>1274</v>
      </c>
      <c r="E3028" t="s">
        <v>4652</v>
      </c>
      <c r="F3028">
        <v>1748</v>
      </c>
      <c r="G3028">
        <v>2598</v>
      </c>
      <c r="H3028">
        <v>79</v>
      </c>
      <c r="J3028" t="s">
        <v>2298</v>
      </c>
      <c r="O3028" t="s">
        <v>57</v>
      </c>
      <c r="V3028" t="s">
        <v>4648</v>
      </c>
      <c r="W3028" t="s">
        <v>92</v>
      </c>
      <c r="Y3028" t="s">
        <v>38</v>
      </c>
      <c r="AA3028" t="s">
        <v>38</v>
      </c>
      <c r="AB3028" t="s">
        <v>38</v>
      </c>
      <c r="AC3028" t="s">
        <v>38</v>
      </c>
      <c r="AD3028" t="s">
        <v>48</v>
      </c>
      <c r="AG3028" t="str">
        <f>IF(AD3028="United States", IFERROR(INDEX(Sheet2!$C:$C, MATCH(AE3028&amp;AF3028, Sheet2!$E:$E, 0)) &amp; ", " &amp; INDEX(Sheet2!$D:$D, MATCH(AE3028&amp;AF3028, Sheet2!$E:$E, 0)), ""), "-")</f>
        <v/>
      </c>
    </row>
    <row r="3029" spans="1:33" x14ac:dyDescent="0.25">
      <c r="A3029" t="s">
        <v>4647</v>
      </c>
      <c r="D3029" t="s">
        <v>140</v>
      </c>
      <c r="E3029" t="s">
        <v>4652</v>
      </c>
      <c r="F3029">
        <v>1771</v>
      </c>
      <c r="G3029">
        <v>2599</v>
      </c>
      <c r="H3029">
        <v>79</v>
      </c>
      <c r="J3029" t="s">
        <v>2298</v>
      </c>
      <c r="O3029" t="s">
        <v>74</v>
      </c>
      <c r="V3029" t="s">
        <v>4648</v>
      </c>
      <c r="W3029" t="s">
        <v>92</v>
      </c>
      <c r="Y3029" t="s">
        <v>38</v>
      </c>
      <c r="AA3029" t="s">
        <v>38</v>
      </c>
      <c r="AB3029" t="s">
        <v>38</v>
      </c>
      <c r="AC3029" t="s">
        <v>38</v>
      </c>
      <c r="AD3029" t="s">
        <v>48</v>
      </c>
      <c r="AG3029" t="str">
        <f>IF(AD3029="United States", IFERROR(INDEX(Sheet2!$C:$C, MATCH(AE3029&amp;AF3029, Sheet2!$E:$E, 0)) &amp; ", " &amp; INDEX(Sheet2!$D:$D, MATCH(AE3029&amp;AF3029, Sheet2!$E:$E, 0)), ""), "-")</f>
        <v/>
      </c>
    </row>
    <row r="3030" spans="1:33" x14ac:dyDescent="0.25">
      <c r="A3030" t="s">
        <v>4647</v>
      </c>
      <c r="D3030" t="s">
        <v>4655</v>
      </c>
      <c r="E3030" t="s">
        <v>2678</v>
      </c>
      <c r="F3030">
        <v>1741</v>
      </c>
      <c r="G3030">
        <v>2600</v>
      </c>
      <c r="H3030">
        <v>79</v>
      </c>
      <c r="J3030" t="s">
        <v>2298</v>
      </c>
      <c r="O3030" t="s">
        <v>57</v>
      </c>
      <c r="V3030" t="s">
        <v>4648</v>
      </c>
      <c r="W3030" t="s">
        <v>92</v>
      </c>
      <c r="Y3030" t="s">
        <v>38</v>
      </c>
      <c r="AA3030" t="s">
        <v>38</v>
      </c>
      <c r="AB3030" t="s">
        <v>38</v>
      </c>
      <c r="AC3030" t="s">
        <v>38</v>
      </c>
      <c r="AD3030" t="s">
        <v>48</v>
      </c>
      <c r="AG3030" t="str">
        <f>IF(AD3030="United States", IFERROR(INDEX(Sheet2!$C:$C, MATCH(AE3030&amp;AF3030, Sheet2!$E:$E, 0)) &amp; ", " &amp; INDEX(Sheet2!$D:$D, MATCH(AE3030&amp;AF3030, Sheet2!$E:$E, 0)), ""), "-")</f>
        <v/>
      </c>
    </row>
    <row r="3031" spans="1:33" x14ac:dyDescent="0.25">
      <c r="A3031" t="s">
        <v>4647</v>
      </c>
      <c r="D3031" t="s">
        <v>256</v>
      </c>
      <c r="E3031" t="s">
        <v>2678</v>
      </c>
      <c r="F3031">
        <v>1767</v>
      </c>
      <c r="G3031">
        <v>2601</v>
      </c>
      <c r="H3031">
        <v>79</v>
      </c>
      <c r="J3031" t="s">
        <v>2298</v>
      </c>
      <c r="O3031" t="s">
        <v>57</v>
      </c>
      <c r="V3031" t="s">
        <v>4648</v>
      </c>
      <c r="W3031" t="s">
        <v>92</v>
      </c>
      <c r="Y3031" t="s">
        <v>38</v>
      </c>
      <c r="AA3031" t="s">
        <v>38</v>
      </c>
      <c r="AB3031" t="s">
        <v>38</v>
      </c>
      <c r="AC3031" t="s">
        <v>38</v>
      </c>
      <c r="AD3031" t="s">
        <v>48</v>
      </c>
      <c r="AG3031" t="str">
        <f>IF(AD3031="United States", IFERROR(INDEX(Sheet2!$C:$C, MATCH(AE3031&amp;AF3031, Sheet2!$E:$E, 0)) &amp; ", " &amp; INDEX(Sheet2!$D:$D, MATCH(AE3031&amp;AF3031, Sheet2!$E:$E, 0)), ""), "-")</f>
        <v/>
      </c>
    </row>
    <row r="3032" spans="1:33" x14ac:dyDescent="0.25">
      <c r="A3032" t="s">
        <v>4647</v>
      </c>
      <c r="D3032" t="s">
        <v>52</v>
      </c>
      <c r="E3032" t="s">
        <v>2678</v>
      </c>
      <c r="F3032">
        <v>1771</v>
      </c>
      <c r="G3032">
        <v>2602</v>
      </c>
      <c r="H3032">
        <v>79</v>
      </c>
      <c r="J3032" t="s">
        <v>2298</v>
      </c>
      <c r="O3032" t="s">
        <v>74</v>
      </c>
      <c r="V3032" t="s">
        <v>4648</v>
      </c>
      <c r="W3032" t="s">
        <v>92</v>
      </c>
      <c r="Y3032" t="s">
        <v>38</v>
      </c>
      <c r="AA3032" t="s">
        <v>38</v>
      </c>
      <c r="AB3032" t="s">
        <v>38</v>
      </c>
      <c r="AC3032" t="s">
        <v>38</v>
      </c>
      <c r="AD3032" t="s">
        <v>48</v>
      </c>
      <c r="AG3032" t="str">
        <f>IF(AD3032="United States", IFERROR(INDEX(Sheet2!$C:$C, MATCH(AE3032&amp;AF3032, Sheet2!$E:$E, 0)) &amp; ", " &amp; INDEX(Sheet2!$D:$D, MATCH(AE3032&amp;AF3032, Sheet2!$E:$E, 0)), ""), "-")</f>
        <v/>
      </c>
    </row>
    <row r="3033" spans="1:33" x14ac:dyDescent="0.25">
      <c r="A3033" t="s">
        <v>4647</v>
      </c>
      <c r="D3033" t="s">
        <v>113</v>
      </c>
      <c r="E3033" t="s">
        <v>2678</v>
      </c>
      <c r="F3033">
        <v>1775</v>
      </c>
      <c r="G3033">
        <v>2603</v>
      </c>
      <c r="H3033">
        <v>79</v>
      </c>
      <c r="J3033" t="s">
        <v>2298</v>
      </c>
      <c r="O3033" t="s">
        <v>54</v>
      </c>
      <c r="V3033" t="s">
        <v>4648</v>
      </c>
      <c r="W3033" t="s">
        <v>92</v>
      </c>
      <c r="Y3033" t="s">
        <v>38</v>
      </c>
      <c r="AA3033" t="s">
        <v>38</v>
      </c>
      <c r="AB3033" t="s">
        <v>38</v>
      </c>
      <c r="AC3033" t="s">
        <v>38</v>
      </c>
      <c r="AD3033" t="s">
        <v>48</v>
      </c>
      <c r="AG3033" t="str">
        <f>IF(AD3033="United States", IFERROR(INDEX(Sheet2!$C:$C, MATCH(AE3033&amp;AF3033, Sheet2!$E:$E, 0)) &amp; ", " &amp; INDEX(Sheet2!$D:$D, MATCH(AE3033&amp;AF3033, Sheet2!$E:$E, 0)), ""), "-")</f>
        <v/>
      </c>
    </row>
    <row r="3034" spans="1:33" x14ac:dyDescent="0.25">
      <c r="A3034" t="s">
        <v>4647</v>
      </c>
      <c r="D3034" t="s">
        <v>3795</v>
      </c>
      <c r="E3034" t="s">
        <v>2678</v>
      </c>
      <c r="F3034">
        <v>1777</v>
      </c>
      <c r="G3034">
        <v>2604</v>
      </c>
      <c r="H3034">
        <v>79</v>
      </c>
      <c r="J3034" t="s">
        <v>2298</v>
      </c>
      <c r="O3034" t="s">
        <v>54</v>
      </c>
      <c r="V3034" t="s">
        <v>4648</v>
      </c>
      <c r="W3034" t="s">
        <v>92</v>
      </c>
      <c r="Y3034" t="s">
        <v>38</v>
      </c>
      <c r="AA3034" t="s">
        <v>38</v>
      </c>
      <c r="AB3034" t="s">
        <v>38</v>
      </c>
      <c r="AC3034" t="s">
        <v>38</v>
      </c>
      <c r="AD3034" t="s">
        <v>48</v>
      </c>
      <c r="AG3034" t="str">
        <f>IF(AD3034="United States", IFERROR(INDEX(Sheet2!$C:$C, MATCH(AE3034&amp;AF3034, Sheet2!$E:$E, 0)) &amp; ", " &amp; INDEX(Sheet2!$D:$D, MATCH(AE3034&amp;AF3034, Sheet2!$E:$E, 0)), ""), "-")</f>
        <v/>
      </c>
    </row>
    <row r="3035" spans="1:33" x14ac:dyDescent="0.25">
      <c r="A3035" t="s">
        <v>4647</v>
      </c>
      <c r="D3035" t="s">
        <v>4656</v>
      </c>
      <c r="E3035" t="s">
        <v>2678</v>
      </c>
      <c r="F3035">
        <v>1780</v>
      </c>
      <c r="G3035">
        <v>2605</v>
      </c>
      <c r="H3035">
        <v>79</v>
      </c>
      <c r="J3035" t="s">
        <v>2298</v>
      </c>
      <c r="O3035" t="s">
        <v>74</v>
      </c>
      <c r="V3035" t="s">
        <v>4648</v>
      </c>
      <c r="W3035" t="s">
        <v>92</v>
      </c>
      <c r="Y3035" t="s">
        <v>38</v>
      </c>
      <c r="AA3035" t="s">
        <v>38</v>
      </c>
      <c r="AB3035" t="s">
        <v>38</v>
      </c>
      <c r="AC3035" t="s">
        <v>38</v>
      </c>
      <c r="AD3035" t="s">
        <v>48</v>
      </c>
      <c r="AG3035" t="str">
        <f>IF(AD3035="United States", IFERROR(INDEX(Sheet2!$C:$C, MATCH(AE3035&amp;AF3035, Sheet2!$E:$E, 0)) &amp; ", " &amp; INDEX(Sheet2!$D:$D, MATCH(AE3035&amp;AF3035, Sheet2!$E:$E, 0)), ""), "-")</f>
        <v/>
      </c>
    </row>
    <row r="3036" spans="1:33" x14ac:dyDescent="0.25">
      <c r="A3036" t="s">
        <v>4647</v>
      </c>
      <c r="D3036" t="s">
        <v>1168</v>
      </c>
      <c r="E3036" t="s">
        <v>38</v>
      </c>
      <c r="F3036">
        <v>1753</v>
      </c>
      <c r="G3036">
        <v>2676</v>
      </c>
      <c r="H3036">
        <v>80</v>
      </c>
      <c r="J3036" t="s">
        <v>2298</v>
      </c>
      <c r="O3036" t="s">
        <v>57</v>
      </c>
      <c r="V3036" t="s">
        <v>4648</v>
      </c>
      <c r="W3036" t="s">
        <v>92</v>
      </c>
      <c r="Y3036" t="s">
        <v>38</v>
      </c>
      <c r="AA3036" t="s">
        <v>38</v>
      </c>
      <c r="AB3036" t="s">
        <v>38</v>
      </c>
      <c r="AC3036" t="s">
        <v>38</v>
      </c>
      <c r="AD3036" t="s">
        <v>48</v>
      </c>
      <c r="AG3036" t="str">
        <f>IF(AD3036="United States", IFERROR(INDEX(Sheet2!$C:$C, MATCH(AE3036&amp;AF3036, Sheet2!$E:$E, 0)) &amp; ", " &amp; INDEX(Sheet2!$D:$D, MATCH(AE3036&amp;AF3036, Sheet2!$E:$E, 0)), ""), "-")</f>
        <v/>
      </c>
    </row>
    <row r="3037" spans="1:33" x14ac:dyDescent="0.25">
      <c r="A3037" t="s">
        <v>4647</v>
      </c>
      <c r="D3037" t="s">
        <v>4657</v>
      </c>
      <c r="E3037" t="s">
        <v>38</v>
      </c>
      <c r="F3037" t="s">
        <v>38</v>
      </c>
      <c r="G3037">
        <v>2675</v>
      </c>
      <c r="H3037">
        <v>80</v>
      </c>
      <c r="J3037" t="s">
        <v>2298</v>
      </c>
      <c r="O3037" t="s">
        <v>183</v>
      </c>
      <c r="V3037" t="s">
        <v>4648</v>
      </c>
      <c r="W3037" t="s">
        <v>92</v>
      </c>
      <c r="Y3037" t="s">
        <v>38</v>
      </c>
      <c r="AA3037" t="s">
        <v>38</v>
      </c>
      <c r="AB3037" t="s">
        <v>38</v>
      </c>
      <c r="AC3037" t="s">
        <v>38</v>
      </c>
      <c r="AD3037" t="s">
        <v>48</v>
      </c>
      <c r="AG3037" t="str">
        <f>IF(AD3037="United States", IFERROR(INDEX(Sheet2!$C:$C, MATCH(AE3037&amp;AF3037, Sheet2!$E:$E, 0)) &amp; ", " &amp; INDEX(Sheet2!$D:$D, MATCH(AE3037&amp;AF3037, Sheet2!$E:$E, 0)), ""), "-")</f>
        <v/>
      </c>
    </row>
    <row r="3038" spans="1:33" x14ac:dyDescent="0.25">
      <c r="A3038" t="s">
        <v>4647</v>
      </c>
      <c r="D3038" t="s">
        <v>210</v>
      </c>
      <c r="E3038" t="s">
        <v>38</v>
      </c>
      <c r="F3038">
        <v>1781</v>
      </c>
      <c r="G3038">
        <v>2674</v>
      </c>
      <c r="H3038">
        <v>80</v>
      </c>
      <c r="J3038" t="s">
        <v>2298</v>
      </c>
      <c r="O3038" t="s">
        <v>54</v>
      </c>
      <c r="V3038" t="s">
        <v>4648</v>
      </c>
      <c r="W3038" t="s">
        <v>92</v>
      </c>
      <c r="Y3038" t="s">
        <v>38</v>
      </c>
      <c r="AA3038" t="s">
        <v>38</v>
      </c>
      <c r="AB3038" t="s">
        <v>38</v>
      </c>
      <c r="AC3038" t="s">
        <v>38</v>
      </c>
      <c r="AD3038" t="s">
        <v>48</v>
      </c>
      <c r="AG3038" t="str">
        <f>IF(AD3038="United States", IFERROR(INDEX(Sheet2!$C:$C, MATCH(AE3038&amp;AF3038, Sheet2!$E:$E, 0)) &amp; ", " &amp; INDEX(Sheet2!$D:$D, MATCH(AE3038&amp;AF3038, Sheet2!$E:$E, 0)), ""), "-")</f>
        <v/>
      </c>
    </row>
    <row r="3039" spans="1:33" x14ac:dyDescent="0.25">
      <c r="A3039" t="s">
        <v>4647</v>
      </c>
      <c r="D3039" t="s">
        <v>222</v>
      </c>
      <c r="E3039" t="s">
        <v>38</v>
      </c>
      <c r="F3039">
        <v>1761</v>
      </c>
      <c r="G3039">
        <v>2673</v>
      </c>
      <c r="H3039">
        <v>80</v>
      </c>
      <c r="J3039" t="s">
        <v>2298</v>
      </c>
      <c r="O3039" t="s">
        <v>57</v>
      </c>
      <c r="V3039" t="s">
        <v>4648</v>
      </c>
      <c r="W3039" t="s">
        <v>92</v>
      </c>
      <c r="Y3039" t="s">
        <v>38</v>
      </c>
      <c r="AA3039" t="s">
        <v>38</v>
      </c>
      <c r="AB3039" t="s">
        <v>38</v>
      </c>
      <c r="AC3039" t="s">
        <v>38</v>
      </c>
      <c r="AD3039" t="s">
        <v>48</v>
      </c>
      <c r="AG3039" t="str">
        <f>IF(AD3039="United States", IFERROR(INDEX(Sheet2!$C:$C, MATCH(AE3039&amp;AF3039, Sheet2!$E:$E, 0)) &amp; ", " &amp; INDEX(Sheet2!$D:$D, MATCH(AE3039&amp;AF3039, Sheet2!$E:$E, 0)), ""), "-")</f>
        <v/>
      </c>
    </row>
    <row r="3040" spans="1:33" x14ac:dyDescent="0.25">
      <c r="A3040" t="s">
        <v>4647</v>
      </c>
      <c r="D3040" t="s">
        <v>210</v>
      </c>
      <c r="E3040" t="s">
        <v>38</v>
      </c>
      <c r="F3040" t="s">
        <v>38</v>
      </c>
      <c r="G3040">
        <v>2672</v>
      </c>
      <c r="H3040">
        <v>80</v>
      </c>
      <c r="J3040" t="s">
        <v>2298</v>
      </c>
      <c r="O3040" t="s">
        <v>74</v>
      </c>
      <c r="V3040" t="s">
        <v>4648</v>
      </c>
      <c r="W3040" t="s">
        <v>92</v>
      </c>
      <c r="Y3040" t="s">
        <v>38</v>
      </c>
      <c r="AA3040" t="s">
        <v>38</v>
      </c>
      <c r="AB3040" t="s">
        <v>38</v>
      </c>
      <c r="AC3040" t="s">
        <v>38</v>
      </c>
      <c r="AD3040" t="s">
        <v>48</v>
      </c>
      <c r="AG3040" t="str">
        <f>IF(AD3040="United States", IFERROR(INDEX(Sheet2!$C:$C, MATCH(AE3040&amp;AF3040, Sheet2!$E:$E, 0)) &amp; ", " &amp; INDEX(Sheet2!$D:$D, MATCH(AE3040&amp;AF3040, Sheet2!$E:$E, 0)), ""), "-")</f>
        <v/>
      </c>
    </row>
    <row r="3041" spans="1:33" x14ac:dyDescent="0.25">
      <c r="A3041" t="s">
        <v>4647</v>
      </c>
      <c r="D3041" t="s">
        <v>3720</v>
      </c>
      <c r="E3041" t="s">
        <v>2298</v>
      </c>
      <c r="F3041">
        <v>1729</v>
      </c>
      <c r="G3041">
        <v>2653</v>
      </c>
      <c r="H3041">
        <v>80</v>
      </c>
      <c r="J3041" t="s">
        <v>2298</v>
      </c>
      <c r="O3041" t="s">
        <v>41</v>
      </c>
      <c r="V3041" t="s">
        <v>4648</v>
      </c>
      <c r="W3041" t="s">
        <v>92</v>
      </c>
      <c r="Y3041" t="s">
        <v>38</v>
      </c>
      <c r="AA3041" t="s">
        <v>38</v>
      </c>
      <c r="AB3041" t="s">
        <v>38</v>
      </c>
      <c r="AC3041" t="s">
        <v>38</v>
      </c>
      <c r="AD3041" t="s">
        <v>48</v>
      </c>
      <c r="AG3041" t="str">
        <f>IF(AD3041="United States", IFERROR(INDEX(Sheet2!$C:$C, MATCH(AE3041&amp;AF3041, Sheet2!$E:$E, 0)) &amp; ", " &amp; INDEX(Sheet2!$D:$D, MATCH(AE3041&amp;AF3041, Sheet2!$E:$E, 0)), ""), "-")</f>
        <v/>
      </c>
    </row>
    <row r="3042" spans="1:33" x14ac:dyDescent="0.25">
      <c r="A3042" t="s">
        <v>4647</v>
      </c>
      <c r="D3042" t="s">
        <v>245</v>
      </c>
      <c r="E3042" t="s">
        <v>38</v>
      </c>
      <c r="F3042">
        <v>1762</v>
      </c>
      <c r="G3042">
        <v>2670</v>
      </c>
      <c r="H3042">
        <v>80</v>
      </c>
      <c r="J3042" t="s">
        <v>2298</v>
      </c>
      <c r="O3042" t="s">
        <v>57</v>
      </c>
      <c r="V3042" t="s">
        <v>4648</v>
      </c>
      <c r="W3042" t="s">
        <v>92</v>
      </c>
      <c r="Y3042" t="s">
        <v>38</v>
      </c>
      <c r="AA3042" t="s">
        <v>38</v>
      </c>
      <c r="AB3042" t="s">
        <v>38</v>
      </c>
      <c r="AC3042" t="s">
        <v>38</v>
      </c>
      <c r="AD3042" t="s">
        <v>48</v>
      </c>
      <c r="AG3042" t="str">
        <f>IF(AD3042="United States", IFERROR(INDEX(Sheet2!$C:$C, MATCH(AE3042&amp;AF3042, Sheet2!$E:$E, 0)) &amp; ", " &amp; INDEX(Sheet2!$D:$D, MATCH(AE3042&amp;AF3042, Sheet2!$E:$E, 0)), ""), "-")</f>
        <v/>
      </c>
    </row>
    <row r="3043" spans="1:33" x14ac:dyDescent="0.25">
      <c r="A3043" t="s">
        <v>4647</v>
      </c>
      <c r="D3043" t="s">
        <v>4658</v>
      </c>
      <c r="E3043" t="s">
        <v>38</v>
      </c>
      <c r="F3043">
        <v>1761</v>
      </c>
      <c r="G3043">
        <v>2668</v>
      </c>
      <c r="H3043">
        <v>80</v>
      </c>
      <c r="J3043" t="s">
        <v>2298</v>
      </c>
      <c r="O3043" t="s">
        <v>57</v>
      </c>
      <c r="V3043" t="s">
        <v>4648</v>
      </c>
      <c r="W3043" t="s">
        <v>92</v>
      </c>
      <c r="Y3043" t="s">
        <v>38</v>
      </c>
      <c r="AA3043" t="s">
        <v>38</v>
      </c>
      <c r="AB3043" t="s">
        <v>38</v>
      </c>
      <c r="AC3043" t="s">
        <v>38</v>
      </c>
      <c r="AD3043" t="s">
        <v>48</v>
      </c>
      <c r="AG3043" t="str">
        <f>IF(AD3043="United States", IFERROR(INDEX(Sheet2!$C:$C, MATCH(AE3043&amp;AF3043, Sheet2!$E:$E, 0)) &amp; ", " &amp; INDEX(Sheet2!$D:$D, MATCH(AE3043&amp;AF3043, Sheet2!$E:$E, 0)), ""), "-")</f>
        <v/>
      </c>
    </row>
    <row r="3044" spans="1:33" x14ac:dyDescent="0.25">
      <c r="A3044" t="s">
        <v>4647</v>
      </c>
      <c r="D3044" t="s">
        <v>495</v>
      </c>
      <c r="E3044" t="s">
        <v>4659</v>
      </c>
      <c r="F3044">
        <v>1767</v>
      </c>
      <c r="G3044">
        <v>2667</v>
      </c>
      <c r="H3044">
        <v>80</v>
      </c>
      <c r="J3044" t="s">
        <v>2298</v>
      </c>
      <c r="O3044" t="s">
        <v>57</v>
      </c>
      <c r="V3044" t="s">
        <v>4648</v>
      </c>
      <c r="W3044" t="s">
        <v>92</v>
      </c>
      <c r="Y3044" t="s">
        <v>38</v>
      </c>
      <c r="AA3044" t="s">
        <v>38</v>
      </c>
      <c r="AB3044" t="s">
        <v>38</v>
      </c>
      <c r="AC3044" t="s">
        <v>38</v>
      </c>
      <c r="AD3044" t="s">
        <v>48</v>
      </c>
      <c r="AG3044" t="str">
        <f>IF(AD3044="United States", IFERROR(INDEX(Sheet2!$C:$C, MATCH(AE3044&amp;AF3044, Sheet2!$E:$E, 0)) &amp; ", " &amp; INDEX(Sheet2!$D:$D, MATCH(AE3044&amp;AF3044, Sheet2!$E:$E, 0)), ""), "-")</f>
        <v/>
      </c>
    </row>
    <row r="3045" spans="1:33" x14ac:dyDescent="0.25">
      <c r="A3045" t="s">
        <v>4647</v>
      </c>
      <c r="D3045" t="s">
        <v>535</v>
      </c>
      <c r="E3045" t="s">
        <v>4660</v>
      </c>
      <c r="F3045">
        <v>1753</v>
      </c>
      <c r="G3045">
        <v>2666</v>
      </c>
      <c r="H3045">
        <v>80</v>
      </c>
      <c r="J3045" t="s">
        <v>2298</v>
      </c>
      <c r="O3045" t="s">
        <v>57</v>
      </c>
      <c r="V3045" t="s">
        <v>4648</v>
      </c>
      <c r="W3045" t="s">
        <v>92</v>
      </c>
      <c r="Y3045" t="s">
        <v>38</v>
      </c>
      <c r="AA3045" t="s">
        <v>38</v>
      </c>
      <c r="AB3045" t="s">
        <v>38</v>
      </c>
      <c r="AC3045" t="s">
        <v>38</v>
      </c>
      <c r="AD3045" t="s">
        <v>48</v>
      </c>
      <c r="AG3045" t="str">
        <f>IF(AD3045="United States", IFERROR(INDEX(Sheet2!$C:$C, MATCH(AE3045&amp;AF3045, Sheet2!$E:$E, 0)) &amp; ", " &amp; INDEX(Sheet2!$D:$D, MATCH(AE3045&amp;AF3045, Sheet2!$E:$E, 0)), ""), "-")</f>
        <v/>
      </c>
    </row>
    <row r="3046" spans="1:33" x14ac:dyDescent="0.25">
      <c r="A3046" t="s">
        <v>4647</v>
      </c>
      <c r="D3046" t="s">
        <v>4658</v>
      </c>
      <c r="E3046" t="s">
        <v>38</v>
      </c>
      <c r="F3046">
        <v>1743</v>
      </c>
      <c r="G3046">
        <v>2665</v>
      </c>
      <c r="H3046">
        <v>80</v>
      </c>
      <c r="J3046" t="s">
        <v>2298</v>
      </c>
      <c r="O3046" t="s">
        <v>57</v>
      </c>
      <c r="V3046" t="s">
        <v>4648</v>
      </c>
      <c r="W3046" t="s">
        <v>92</v>
      </c>
      <c r="Y3046" t="s">
        <v>38</v>
      </c>
      <c r="AA3046" t="s">
        <v>38</v>
      </c>
      <c r="AB3046" t="s">
        <v>38</v>
      </c>
      <c r="AC3046" t="s">
        <v>38</v>
      </c>
      <c r="AD3046" t="s">
        <v>48</v>
      </c>
      <c r="AG3046" t="str">
        <f>IF(AD3046="United States", IFERROR(INDEX(Sheet2!$C:$C, MATCH(AE3046&amp;AF3046, Sheet2!$E:$E, 0)) &amp; ", " &amp; INDEX(Sheet2!$D:$D, MATCH(AE3046&amp;AF3046, Sheet2!$E:$E, 0)), ""), "-")</f>
        <v/>
      </c>
    </row>
    <row r="3047" spans="1:33" x14ac:dyDescent="0.25">
      <c r="A3047" t="s">
        <v>4647</v>
      </c>
      <c r="D3047" t="s">
        <v>650</v>
      </c>
      <c r="E3047" t="s">
        <v>4661</v>
      </c>
      <c r="F3047">
        <v>1755</v>
      </c>
      <c r="G3047">
        <v>2664</v>
      </c>
      <c r="H3047">
        <v>80</v>
      </c>
      <c r="J3047" t="s">
        <v>2298</v>
      </c>
      <c r="O3047" t="s">
        <v>57</v>
      </c>
      <c r="V3047" t="s">
        <v>4648</v>
      </c>
      <c r="W3047" t="s">
        <v>92</v>
      </c>
      <c r="Y3047" t="s">
        <v>38</v>
      </c>
      <c r="AA3047" t="s">
        <v>38</v>
      </c>
      <c r="AB3047" t="s">
        <v>38</v>
      </c>
      <c r="AC3047" t="s">
        <v>38</v>
      </c>
      <c r="AD3047" t="s">
        <v>48</v>
      </c>
      <c r="AG3047" t="str">
        <f>IF(AD3047="United States", IFERROR(INDEX(Sheet2!$C:$C, MATCH(AE3047&amp;AF3047, Sheet2!$E:$E, 0)) &amp; ", " &amp; INDEX(Sheet2!$D:$D, MATCH(AE3047&amp;AF3047, Sheet2!$E:$E, 0)), ""), "-")</f>
        <v/>
      </c>
    </row>
    <row r="3048" spans="1:33" x14ac:dyDescent="0.25">
      <c r="A3048" t="s">
        <v>4647</v>
      </c>
      <c r="D3048" t="s">
        <v>72</v>
      </c>
      <c r="E3048" t="s">
        <v>38</v>
      </c>
      <c r="F3048">
        <v>1773</v>
      </c>
      <c r="G3048">
        <v>2663</v>
      </c>
      <c r="H3048">
        <v>80</v>
      </c>
      <c r="J3048" t="s">
        <v>2298</v>
      </c>
      <c r="O3048" t="s">
        <v>74</v>
      </c>
      <c r="V3048" t="s">
        <v>4648</v>
      </c>
      <c r="W3048" t="s">
        <v>92</v>
      </c>
      <c r="Y3048" t="s">
        <v>38</v>
      </c>
      <c r="AA3048" t="s">
        <v>38</v>
      </c>
      <c r="AB3048" t="s">
        <v>38</v>
      </c>
      <c r="AC3048" t="s">
        <v>38</v>
      </c>
      <c r="AD3048" t="s">
        <v>48</v>
      </c>
      <c r="AG3048" t="str">
        <f>IF(AD3048="United States", IFERROR(INDEX(Sheet2!$C:$C, MATCH(AE3048&amp;AF3048, Sheet2!$E:$E, 0)) &amp; ", " &amp; INDEX(Sheet2!$D:$D, MATCH(AE3048&amp;AF3048, Sheet2!$E:$E, 0)), ""), "-")</f>
        <v/>
      </c>
    </row>
    <row r="3049" spans="1:33" x14ac:dyDescent="0.25">
      <c r="A3049" t="s">
        <v>4647</v>
      </c>
      <c r="D3049" t="s">
        <v>556</v>
      </c>
      <c r="E3049" t="s">
        <v>38</v>
      </c>
      <c r="F3049">
        <v>1771</v>
      </c>
      <c r="G3049">
        <v>2662</v>
      </c>
      <c r="H3049">
        <v>80</v>
      </c>
      <c r="J3049" t="s">
        <v>2298</v>
      </c>
      <c r="O3049" t="s">
        <v>54</v>
      </c>
      <c r="V3049" t="s">
        <v>4648</v>
      </c>
      <c r="W3049" t="s">
        <v>92</v>
      </c>
      <c r="Y3049" t="s">
        <v>38</v>
      </c>
      <c r="AA3049" t="s">
        <v>38</v>
      </c>
      <c r="AB3049" t="s">
        <v>38</v>
      </c>
      <c r="AC3049" t="s">
        <v>38</v>
      </c>
      <c r="AD3049" t="s">
        <v>48</v>
      </c>
      <c r="AG3049" t="str">
        <f>IF(AD3049="United States", IFERROR(INDEX(Sheet2!$C:$C, MATCH(AE3049&amp;AF3049, Sheet2!$E:$E, 0)) &amp; ", " &amp; INDEX(Sheet2!$D:$D, MATCH(AE3049&amp;AF3049, Sheet2!$E:$E, 0)), ""), "-")</f>
        <v/>
      </c>
    </row>
    <row r="3050" spans="1:33" x14ac:dyDescent="0.25">
      <c r="A3050" t="s">
        <v>4647</v>
      </c>
      <c r="D3050" t="s">
        <v>2676</v>
      </c>
      <c r="E3050" t="s">
        <v>4662</v>
      </c>
      <c r="F3050">
        <v>1750</v>
      </c>
      <c r="G3050">
        <v>2661</v>
      </c>
      <c r="H3050">
        <v>80</v>
      </c>
      <c r="J3050" t="s">
        <v>2298</v>
      </c>
      <c r="O3050" t="s">
        <v>57</v>
      </c>
      <c r="V3050" t="s">
        <v>4648</v>
      </c>
      <c r="W3050" t="s">
        <v>92</v>
      </c>
      <c r="Y3050" t="s">
        <v>38</v>
      </c>
      <c r="AA3050" t="s">
        <v>38</v>
      </c>
      <c r="AB3050" t="s">
        <v>38</v>
      </c>
      <c r="AC3050" t="s">
        <v>38</v>
      </c>
      <c r="AD3050" t="s">
        <v>48</v>
      </c>
      <c r="AG3050" t="str">
        <f>IF(AD3050="United States", IFERROR(INDEX(Sheet2!$C:$C, MATCH(AE3050&amp;AF3050, Sheet2!$E:$E, 0)) &amp; ", " &amp; INDEX(Sheet2!$D:$D, MATCH(AE3050&amp;AF3050, Sheet2!$E:$E, 0)), ""), "-")</f>
        <v/>
      </c>
    </row>
    <row r="3051" spans="1:33" x14ac:dyDescent="0.25">
      <c r="A3051" t="s">
        <v>4647</v>
      </c>
      <c r="D3051" t="s">
        <v>245</v>
      </c>
      <c r="E3051" t="s">
        <v>38</v>
      </c>
      <c r="F3051" t="s">
        <v>38</v>
      </c>
      <c r="G3051">
        <v>2660</v>
      </c>
      <c r="H3051">
        <v>80</v>
      </c>
      <c r="J3051" t="s">
        <v>2298</v>
      </c>
      <c r="O3051" t="s">
        <v>74</v>
      </c>
      <c r="V3051" t="s">
        <v>4648</v>
      </c>
      <c r="W3051" t="s">
        <v>92</v>
      </c>
      <c r="Y3051" t="s">
        <v>38</v>
      </c>
      <c r="AA3051" t="s">
        <v>38</v>
      </c>
      <c r="AB3051" t="s">
        <v>38</v>
      </c>
      <c r="AC3051" t="s">
        <v>38</v>
      </c>
      <c r="AD3051" t="s">
        <v>48</v>
      </c>
      <c r="AG3051" t="str">
        <f>IF(AD3051="United States", IFERROR(INDEX(Sheet2!$C:$C, MATCH(AE3051&amp;AF3051, Sheet2!$E:$E, 0)) &amp; ", " &amp; INDEX(Sheet2!$D:$D, MATCH(AE3051&amp;AF3051, Sheet2!$E:$E, 0)), ""), "-")</f>
        <v/>
      </c>
    </row>
    <row r="3052" spans="1:33" x14ac:dyDescent="0.25">
      <c r="A3052" t="s">
        <v>4647</v>
      </c>
      <c r="D3052" t="s">
        <v>72</v>
      </c>
      <c r="E3052" t="s">
        <v>38</v>
      </c>
      <c r="F3052">
        <v>1761</v>
      </c>
      <c r="G3052">
        <v>2659</v>
      </c>
      <c r="H3052">
        <v>80</v>
      </c>
      <c r="J3052" t="s">
        <v>2298</v>
      </c>
      <c r="O3052" t="s">
        <v>57</v>
      </c>
      <c r="V3052" t="s">
        <v>4648</v>
      </c>
      <c r="W3052" t="s">
        <v>92</v>
      </c>
      <c r="Y3052" t="s">
        <v>38</v>
      </c>
      <c r="AA3052" t="s">
        <v>38</v>
      </c>
      <c r="AB3052" t="s">
        <v>38</v>
      </c>
      <c r="AC3052" t="s">
        <v>38</v>
      </c>
      <c r="AD3052" t="s">
        <v>48</v>
      </c>
      <c r="AG3052" t="str">
        <f>IF(AD3052="United States", IFERROR(INDEX(Sheet2!$C:$C, MATCH(AE3052&amp;AF3052, Sheet2!$E:$E, 0)) &amp; ", " &amp; INDEX(Sheet2!$D:$D, MATCH(AE3052&amp;AF3052, Sheet2!$E:$E, 0)), ""), "-")</f>
        <v/>
      </c>
    </row>
    <row r="3053" spans="1:33" x14ac:dyDescent="0.25">
      <c r="A3053" t="s">
        <v>4647</v>
      </c>
      <c r="D3053" t="s">
        <v>1085</v>
      </c>
      <c r="E3053" t="s">
        <v>38</v>
      </c>
      <c r="F3053">
        <v>1761</v>
      </c>
      <c r="G3053">
        <v>2657</v>
      </c>
      <c r="H3053">
        <v>80</v>
      </c>
      <c r="J3053" t="s">
        <v>2298</v>
      </c>
      <c r="O3053" t="s">
        <v>41</v>
      </c>
      <c r="V3053" t="s">
        <v>4648</v>
      </c>
      <c r="W3053" t="s">
        <v>92</v>
      </c>
      <c r="Y3053" t="s">
        <v>38</v>
      </c>
      <c r="AA3053" t="s">
        <v>38</v>
      </c>
      <c r="AB3053" t="s">
        <v>38</v>
      </c>
      <c r="AC3053" t="s">
        <v>38</v>
      </c>
      <c r="AD3053" t="s">
        <v>48</v>
      </c>
      <c r="AG3053" t="str">
        <f>IF(AD3053="United States", IFERROR(INDEX(Sheet2!$C:$C, MATCH(AE3053&amp;AF3053, Sheet2!$E:$E, 0)) &amp; ", " &amp; INDEX(Sheet2!$D:$D, MATCH(AE3053&amp;AF3053, Sheet2!$E:$E, 0)), ""), "-")</f>
        <v/>
      </c>
    </row>
    <row r="3054" spans="1:33" x14ac:dyDescent="0.25">
      <c r="A3054" t="s">
        <v>4647</v>
      </c>
      <c r="D3054" t="s">
        <v>113</v>
      </c>
      <c r="E3054" t="s">
        <v>38</v>
      </c>
      <c r="F3054" t="s">
        <v>38</v>
      </c>
      <c r="G3054">
        <v>2656</v>
      </c>
      <c r="H3054">
        <v>80</v>
      </c>
      <c r="J3054" t="s">
        <v>2298</v>
      </c>
      <c r="O3054" t="s">
        <v>54</v>
      </c>
      <c r="V3054" t="s">
        <v>4648</v>
      </c>
      <c r="W3054" t="s">
        <v>92</v>
      </c>
      <c r="Y3054" t="s">
        <v>38</v>
      </c>
      <c r="AA3054" t="s">
        <v>38</v>
      </c>
      <c r="AB3054" t="s">
        <v>38</v>
      </c>
      <c r="AC3054" t="s">
        <v>38</v>
      </c>
      <c r="AD3054" t="s">
        <v>48</v>
      </c>
      <c r="AG3054" t="str">
        <f>IF(AD3054="United States", IFERROR(INDEX(Sheet2!$C:$C, MATCH(AE3054&amp;AF3054, Sheet2!$E:$E, 0)) &amp; ", " &amp; INDEX(Sheet2!$D:$D, MATCH(AE3054&amp;AF3054, Sheet2!$E:$E, 0)), ""), "-")</f>
        <v/>
      </c>
    </row>
    <row r="3055" spans="1:33" x14ac:dyDescent="0.25">
      <c r="A3055" t="s">
        <v>4647</v>
      </c>
      <c r="D3055" t="s">
        <v>245</v>
      </c>
      <c r="E3055" t="s">
        <v>38</v>
      </c>
      <c r="F3055">
        <v>1778</v>
      </c>
      <c r="G3055">
        <v>2655</v>
      </c>
      <c r="H3055">
        <v>80</v>
      </c>
      <c r="J3055" t="s">
        <v>2298</v>
      </c>
      <c r="O3055" t="s">
        <v>74</v>
      </c>
      <c r="V3055" t="s">
        <v>4648</v>
      </c>
      <c r="W3055" t="s">
        <v>92</v>
      </c>
      <c r="Y3055" t="s">
        <v>38</v>
      </c>
      <c r="AA3055" t="s">
        <v>38</v>
      </c>
      <c r="AB3055" t="s">
        <v>38</v>
      </c>
      <c r="AC3055" t="s">
        <v>38</v>
      </c>
      <c r="AD3055" t="s">
        <v>48</v>
      </c>
      <c r="AG3055" t="str">
        <f>IF(AD3055="United States", IFERROR(INDEX(Sheet2!$C:$C, MATCH(AE3055&amp;AF3055, Sheet2!$E:$E, 0)) &amp; ", " &amp; INDEX(Sheet2!$D:$D, MATCH(AE3055&amp;AF3055, Sheet2!$E:$E, 0)), ""), "-")</f>
        <v/>
      </c>
    </row>
    <row r="3056" spans="1:33" x14ac:dyDescent="0.25">
      <c r="A3056" t="s">
        <v>4647</v>
      </c>
      <c r="D3056" t="s">
        <v>114</v>
      </c>
      <c r="E3056" t="s">
        <v>38</v>
      </c>
      <c r="F3056">
        <v>1782</v>
      </c>
      <c r="G3056">
        <v>2669</v>
      </c>
      <c r="H3056">
        <v>80</v>
      </c>
      <c r="J3056" t="s">
        <v>2298</v>
      </c>
      <c r="O3056" t="s">
        <v>74</v>
      </c>
      <c r="V3056" t="s">
        <v>4648</v>
      </c>
      <c r="W3056" t="s">
        <v>92</v>
      </c>
      <c r="Y3056" t="s">
        <v>38</v>
      </c>
      <c r="AA3056" t="s">
        <v>38</v>
      </c>
      <c r="AB3056" t="s">
        <v>38</v>
      </c>
      <c r="AC3056" t="s">
        <v>38</v>
      </c>
      <c r="AD3056" t="s">
        <v>48</v>
      </c>
      <c r="AG3056" t="str">
        <f>IF(AD3056="United States", IFERROR(INDEX(Sheet2!$C:$C, MATCH(AE3056&amp;AF3056, Sheet2!$E:$E, 0)) &amp; ", " &amp; INDEX(Sheet2!$D:$D, MATCH(AE3056&amp;AF3056, Sheet2!$E:$E, 0)), ""), "-")</f>
        <v/>
      </c>
    </row>
    <row r="3057" spans="1:33" x14ac:dyDescent="0.25">
      <c r="A3057" t="s">
        <v>4647</v>
      </c>
      <c r="D3057" t="s">
        <v>352</v>
      </c>
      <c r="E3057" t="s">
        <v>4663</v>
      </c>
      <c r="F3057">
        <v>1761</v>
      </c>
      <c r="G3057">
        <v>2671</v>
      </c>
      <c r="H3057">
        <v>80</v>
      </c>
      <c r="J3057" t="s">
        <v>2298</v>
      </c>
      <c r="O3057" t="s">
        <v>57</v>
      </c>
      <c r="V3057" t="s">
        <v>4648</v>
      </c>
      <c r="W3057" t="s">
        <v>92</v>
      </c>
      <c r="Y3057" t="s">
        <v>38</v>
      </c>
      <c r="AA3057" t="s">
        <v>38</v>
      </c>
      <c r="AB3057" t="s">
        <v>38</v>
      </c>
      <c r="AC3057" t="s">
        <v>38</v>
      </c>
      <c r="AD3057" t="s">
        <v>48</v>
      </c>
      <c r="AG3057" t="str">
        <f>IF(AD3057="United States", IFERROR(INDEX(Sheet2!$C:$C, MATCH(AE3057&amp;AF3057, Sheet2!$E:$E, 0)) &amp; ", " &amp; INDEX(Sheet2!$D:$D, MATCH(AE3057&amp;AF3057, Sheet2!$E:$E, 0)), ""), "-")</f>
        <v/>
      </c>
    </row>
    <row r="3058" spans="1:33" x14ac:dyDescent="0.25">
      <c r="A3058" t="s">
        <v>4647</v>
      </c>
      <c r="D3058" t="s">
        <v>63</v>
      </c>
      <c r="E3058" t="s">
        <v>4664</v>
      </c>
      <c r="F3058">
        <v>1751</v>
      </c>
      <c r="G3058">
        <v>2588</v>
      </c>
      <c r="H3058">
        <v>78</v>
      </c>
      <c r="J3058" t="s">
        <v>2298</v>
      </c>
      <c r="O3058" t="s">
        <v>41</v>
      </c>
      <c r="V3058" t="s">
        <v>1619</v>
      </c>
      <c r="W3058" t="s">
        <v>92</v>
      </c>
      <c r="Y3058" t="s">
        <v>38</v>
      </c>
      <c r="AA3058" t="s">
        <v>38</v>
      </c>
      <c r="AB3058" t="s">
        <v>38</v>
      </c>
      <c r="AC3058" t="s">
        <v>38</v>
      </c>
      <c r="AD3058" t="s">
        <v>48</v>
      </c>
      <c r="AG3058" t="str">
        <f>IF(AD3058="United States", IFERROR(INDEX(Sheet2!$C:$C, MATCH(AE3058&amp;AF3058, Sheet2!$E:$E, 0)) &amp; ", " &amp; INDEX(Sheet2!$D:$D, MATCH(AE3058&amp;AF3058, Sheet2!$E:$E, 0)), ""), "-")</f>
        <v/>
      </c>
    </row>
    <row r="3059" spans="1:33" x14ac:dyDescent="0.25">
      <c r="A3059" t="s">
        <v>4647</v>
      </c>
      <c r="D3059" t="s">
        <v>495</v>
      </c>
      <c r="E3059" t="s">
        <v>4665</v>
      </c>
      <c r="F3059">
        <v>1775</v>
      </c>
      <c r="G3059">
        <v>2608</v>
      </c>
      <c r="H3059">
        <v>79</v>
      </c>
      <c r="J3059" t="s">
        <v>2298</v>
      </c>
      <c r="O3059" t="s">
        <v>57</v>
      </c>
      <c r="V3059" t="s">
        <v>4648</v>
      </c>
      <c r="W3059" t="s">
        <v>92</v>
      </c>
      <c r="Y3059" t="s">
        <v>38</v>
      </c>
      <c r="AA3059" t="s">
        <v>38</v>
      </c>
      <c r="AB3059" t="s">
        <v>38</v>
      </c>
      <c r="AC3059" t="s">
        <v>38</v>
      </c>
      <c r="AD3059" t="s">
        <v>48</v>
      </c>
      <c r="AG3059" t="str">
        <f>IF(AD3059="United States", IFERROR(INDEX(Sheet2!$C:$C, MATCH(AE3059&amp;AF3059, Sheet2!$E:$E, 0)) &amp; ", " &amp; INDEX(Sheet2!$D:$D, MATCH(AE3059&amp;AF3059, Sheet2!$E:$E, 0)), ""), "-")</f>
        <v/>
      </c>
    </row>
    <row r="3060" spans="1:33" x14ac:dyDescent="0.25">
      <c r="A3060" t="s">
        <v>4647</v>
      </c>
      <c r="D3060" t="s">
        <v>36</v>
      </c>
      <c r="E3060" t="s">
        <v>4666</v>
      </c>
      <c r="F3060">
        <v>1760</v>
      </c>
      <c r="G3060">
        <v>2566</v>
      </c>
      <c r="H3060">
        <v>78</v>
      </c>
      <c r="J3060" t="s">
        <v>2298</v>
      </c>
      <c r="O3060" t="s">
        <v>41</v>
      </c>
      <c r="V3060" t="s">
        <v>1619</v>
      </c>
      <c r="W3060" t="s">
        <v>92</v>
      </c>
      <c r="Y3060" t="s">
        <v>38</v>
      </c>
      <c r="AA3060" t="s">
        <v>38</v>
      </c>
      <c r="AB3060" t="s">
        <v>38</v>
      </c>
      <c r="AC3060" t="s">
        <v>38</v>
      </c>
      <c r="AD3060" t="s">
        <v>48</v>
      </c>
      <c r="AG3060" t="str">
        <f>IF(AD3060="United States", IFERROR(INDEX(Sheet2!$C:$C, MATCH(AE3060&amp;AF3060, Sheet2!$E:$E, 0)) &amp; ", " &amp; INDEX(Sheet2!$D:$D, MATCH(AE3060&amp;AF3060, Sheet2!$E:$E, 0)), ""), "-")</f>
        <v/>
      </c>
    </row>
    <row r="3061" spans="1:33" x14ac:dyDescent="0.25">
      <c r="A3061" t="s">
        <v>4647</v>
      </c>
      <c r="D3061" t="s">
        <v>1677</v>
      </c>
      <c r="E3061" t="s">
        <v>174</v>
      </c>
      <c r="F3061">
        <v>1748</v>
      </c>
      <c r="G3061">
        <v>2565</v>
      </c>
      <c r="H3061">
        <v>78</v>
      </c>
      <c r="J3061" t="s">
        <v>2298</v>
      </c>
      <c r="O3061" t="s">
        <v>57</v>
      </c>
      <c r="V3061" t="s">
        <v>1619</v>
      </c>
      <c r="W3061" t="s">
        <v>92</v>
      </c>
      <c r="Y3061" t="s">
        <v>38</v>
      </c>
      <c r="AA3061" t="s">
        <v>38</v>
      </c>
      <c r="AB3061" t="s">
        <v>38</v>
      </c>
      <c r="AC3061" t="s">
        <v>38</v>
      </c>
      <c r="AD3061" t="s">
        <v>48</v>
      </c>
      <c r="AG3061" t="str">
        <f>IF(AD3061="United States", IFERROR(INDEX(Sheet2!$C:$C, MATCH(AE3061&amp;AF3061, Sheet2!$E:$E, 0)) &amp; ", " &amp; INDEX(Sheet2!$D:$D, MATCH(AE3061&amp;AF3061, Sheet2!$E:$E, 0)), ""), "-")</f>
        <v/>
      </c>
    </row>
    <row r="3062" spans="1:33" x14ac:dyDescent="0.25">
      <c r="A3062" t="s">
        <v>4647</v>
      </c>
      <c r="D3062" t="s">
        <v>1116</v>
      </c>
      <c r="E3062" t="s">
        <v>4667</v>
      </c>
      <c r="F3062">
        <v>1755</v>
      </c>
      <c r="G3062">
        <v>2564</v>
      </c>
      <c r="H3062">
        <v>78</v>
      </c>
      <c r="J3062" t="s">
        <v>2298</v>
      </c>
      <c r="O3062" t="s">
        <v>41</v>
      </c>
      <c r="V3062" t="s">
        <v>1619</v>
      </c>
      <c r="W3062" t="s">
        <v>92</v>
      </c>
      <c r="Y3062" t="s">
        <v>38</v>
      </c>
      <c r="AA3062" t="s">
        <v>38</v>
      </c>
      <c r="AB3062" t="s">
        <v>38</v>
      </c>
      <c r="AC3062" t="s">
        <v>38</v>
      </c>
      <c r="AD3062" t="s">
        <v>48</v>
      </c>
      <c r="AG3062" t="str">
        <f>IF(AD3062="United States", IFERROR(INDEX(Sheet2!$C:$C, MATCH(AE3062&amp;AF3062, Sheet2!$E:$E, 0)) &amp; ", " &amp; INDEX(Sheet2!$D:$D, MATCH(AE3062&amp;AF3062, Sheet2!$E:$E, 0)), ""), "-")</f>
        <v/>
      </c>
    </row>
    <row r="3063" spans="1:33" x14ac:dyDescent="0.25">
      <c r="A3063" t="s">
        <v>4647</v>
      </c>
      <c r="D3063" t="s">
        <v>36</v>
      </c>
      <c r="E3063" t="s">
        <v>4668</v>
      </c>
      <c r="F3063">
        <v>1738</v>
      </c>
      <c r="G3063">
        <v>2563</v>
      </c>
      <c r="H3063">
        <v>78</v>
      </c>
      <c r="J3063" t="s">
        <v>2298</v>
      </c>
      <c r="O3063" t="s">
        <v>41</v>
      </c>
      <c r="V3063" t="s">
        <v>1619</v>
      </c>
      <c r="W3063" t="s">
        <v>92</v>
      </c>
      <c r="Y3063" t="s">
        <v>38</v>
      </c>
      <c r="AA3063" t="s">
        <v>38</v>
      </c>
      <c r="AB3063" t="s">
        <v>38</v>
      </c>
      <c r="AC3063" t="s">
        <v>38</v>
      </c>
      <c r="AD3063" t="s">
        <v>48</v>
      </c>
      <c r="AG3063" t="str">
        <f>IF(AD3063="United States", IFERROR(INDEX(Sheet2!$C:$C, MATCH(AE3063&amp;AF3063, Sheet2!$E:$E, 0)) &amp; ", " &amp; INDEX(Sheet2!$D:$D, MATCH(AE3063&amp;AF3063, Sheet2!$E:$E, 0)), ""), "-")</f>
        <v/>
      </c>
    </row>
    <row r="3064" spans="1:33" x14ac:dyDescent="0.25">
      <c r="A3064" t="s">
        <v>4647</v>
      </c>
      <c r="D3064" t="s">
        <v>4669</v>
      </c>
      <c r="E3064" t="s">
        <v>4670</v>
      </c>
      <c r="F3064">
        <v>1743</v>
      </c>
      <c r="G3064">
        <v>2562</v>
      </c>
      <c r="H3064">
        <v>78</v>
      </c>
      <c r="J3064" t="s">
        <v>2298</v>
      </c>
      <c r="O3064" t="s">
        <v>41</v>
      </c>
      <c r="V3064" t="s">
        <v>1619</v>
      </c>
      <c r="W3064" t="s">
        <v>92</v>
      </c>
      <c r="Y3064" t="s">
        <v>38</v>
      </c>
      <c r="AA3064" t="s">
        <v>38</v>
      </c>
      <c r="AB3064" t="s">
        <v>38</v>
      </c>
      <c r="AC3064" t="s">
        <v>38</v>
      </c>
      <c r="AD3064" t="s">
        <v>48</v>
      </c>
      <c r="AG3064" t="str">
        <f>IF(AD3064="United States", IFERROR(INDEX(Sheet2!$C:$C, MATCH(AE3064&amp;AF3064, Sheet2!$E:$E, 0)) &amp; ", " &amp; INDEX(Sheet2!$D:$D, MATCH(AE3064&amp;AF3064, Sheet2!$E:$E, 0)), ""), "-")</f>
        <v/>
      </c>
    </row>
    <row r="3065" spans="1:33" x14ac:dyDescent="0.25">
      <c r="A3065" t="s">
        <v>4647</v>
      </c>
      <c r="D3065" t="s">
        <v>621</v>
      </c>
      <c r="E3065" t="s">
        <v>4671</v>
      </c>
      <c r="F3065">
        <v>1760</v>
      </c>
      <c r="G3065">
        <v>2561</v>
      </c>
      <c r="H3065">
        <v>78</v>
      </c>
      <c r="J3065" t="s">
        <v>2298</v>
      </c>
      <c r="O3065" t="s">
        <v>41</v>
      </c>
      <c r="V3065" t="s">
        <v>1619</v>
      </c>
      <c r="W3065" t="s">
        <v>92</v>
      </c>
      <c r="Y3065" t="s">
        <v>38</v>
      </c>
      <c r="AA3065" t="s">
        <v>38</v>
      </c>
      <c r="AB3065" t="s">
        <v>38</v>
      </c>
      <c r="AC3065" t="s">
        <v>38</v>
      </c>
      <c r="AD3065" t="s">
        <v>48</v>
      </c>
      <c r="AG3065" t="str">
        <f>IF(AD3065="United States", IFERROR(INDEX(Sheet2!$C:$C, MATCH(AE3065&amp;AF3065, Sheet2!$E:$E, 0)) &amp; ", " &amp; INDEX(Sheet2!$D:$D, MATCH(AE3065&amp;AF3065, Sheet2!$E:$E, 0)), ""), "-")</f>
        <v/>
      </c>
    </row>
    <row r="3066" spans="1:33" x14ac:dyDescent="0.25">
      <c r="A3066" t="s">
        <v>4647</v>
      </c>
      <c r="D3066" t="s">
        <v>424</v>
      </c>
      <c r="E3066" t="s">
        <v>4672</v>
      </c>
      <c r="F3066">
        <v>1772</v>
      </c>
      <c r="G3066">
        <v>2590</v>
      </c>
      <c r="H3066">
        <v>78</v>
      </c>
      <c r="J3066" t="s">
        <v>2298</v>
      </c>
      <c r="O3066" t="s">
        <v>54</v>
      </c>
      <c r="V3066" t="s">
        <v>1619</v>
      </c>
      <c r="W3066" t="s">
        <v>92</v>
      </c>
      <c r="Y3066" t="s">
        <v>38</v>
      </c>
      <c r="AA3066" t="s">
        <v>38</v>
      </c>
      <c r="AB3066" t="s">
        <v>38</v>
      </c>
      <c r="AC3066" t="s">
        <v>38</v>
      </c>
      <c r="AD3066" t="s">
        <v>48</v>
      </c>
      <c r="AG3066" t="str">
        <f>IF(AD3066="United States", IFERROR(INDEX(Sheet2!$C:$C, MATCH(AE3066&amp;AF3066, Sheet2!$E:$E, 0)) &amp; ", " &amp; INDEX(Sheet2!$D:$D, MATCH(AE3066&amp;AF3066, Sheet2!$E:$E, 0)), ""), "-")</f>
        <v/>
      </c>
    </row>
    <row r="3067" spans="1:33" x14ac:dyDescent="0.25">
      <c r="A3067" t="s">
        <v>4647</v>
      </c>
      <c r="D3067" t="s">
        <v>2792</v>
      </c>
      <c r="E3067" t="s">
        <v>4672</v>
      </c>
      <c r="F3067">
        <v>1774</v>
      </c>
      <c r="G3067">
        <v>2591</v>
      </c>
      <c r="H3067">
        <v>78</v>
      </c>
      <c r="J3067" t="s">
        <v>2298</v>
      </c>
      <c r="O3067" t="s">
        <v>74</v>
      </c>
      <c r="V3067" t="s">
        <v>1619</v>
      </c>
      <c r="W3067" t="s">
        <v>92</v>
      </c>
      <c r="Y3067" t="s">
        <v>38</v>
      </c>
      <c r="AA3067" t="s">
        <v>38</v>
      </c>
      <c r="AB3067" t="s">
        <v>38</v>
      </c>
      <c r="AC3067" t="s">
        <v>38</v>
      </c>
      <c r="AD3067" t="s">
        <v>48</v>
      </c>
      <c r="AG3067" t="str">
        <f>IF(AD3067="United States", IFERROR(INDEX(Sheet2!$C:$C, MATCH(AE3067&amp;AF3067, Sheet2!$E:$E, 0)) &amp; ", " &amp; INDEX(Sheet2!$D:$D, MATCH(AE3067&amp;AF3067, Sheet2!$E:$E, 0)), ""), "-")</f>
        <v/>
      </c>
    </row>
    <row r="3068" spans="1:33" x14ac:dyDescent="0.25">
      <c r="A3068" t="s">
        <v>4647</v>
      </c>
      <c r="D3068" t="s">
        <v>463</v>
      </c>
      <c r="E3068" t="s">
        <v>4673</v>
      </c>
      <c r="F3068">
        <v>1759</v>
      </c>
      <c r="G3068">
        <v>2592</v>
      </c>
      <c r="H3068">
        <v>78</v>
      </c>
      <c r="J3068" t="s">
        <v>2298</v>
      </c>
      <c r="O3068" t="s">
        <v>41</v>
      </c>
      <c r="V3068" t="s">
        <v>1619</v>
      </c>
      <c r="W3068" t="s">
        <v>92</v>
      </c>
      <c r="Y3068" t="s">
        <v>38</v>
      </c>
      <c r="AA3068" t="s">
        <v>38</v>
      </c>
      <c r="AB3068" t="s">
        <v>38</v>
      </c>
      <c r="AC3068" t="s">
        <v>38</v>
      </c>
      <c r="AD3068" t="s">
        <v>48</v>
      </c>
      <c r="AG3068" t="str">
        <f>IF(AD3068="United States", IFERROR(INDEX(Sheet2!$C:$C, MATCH(AE3068&amp;AF3068, Sheet2!$E:$E, 0)) &amp; ", " &amp; INDEX(Sheet2!$D:$D, MATCH(AE3068&amp;AF3068, Sheet2!$E:$E, 0)), ""), "-")</f>
        <v/>
      </c>
    </row>
    <row r="3069" spans="1:33" x14ac:dyDescent="0.25">
      <c r="A3069" t="s">
        <v>4647</v>
      </c>
      <c r="D3069" t="s">
        <v>797</v>
      </c>
      <c r="E3069" t="s">
        <v>913</v>
      </c>
      <c r="F3069">
        <v>1762</v>
      </c>
      <c r="G3069">
        <v>2593</v>
      </c>
      <c r="H3069">
        <v>78</v>
      </c>
      <c r="J3069" t="s">
        <v>2298</v>
      </c>
      <c r="O3069" t="s">
        <v>57</v>
      </c>
      <c r="V3069" t="s">
        <v>1619</v>
      </c>
      <c r="W3069" t="s">
        <v>92</v>
      </c>
      <c r="Y3069" t="s">
        <v>38</v>
      </c>
      <c r="AA3069" t="s">
        <v>38</v>
      </c>
      <c r="AB3069" t="s">
        <v>38</v>
      </c>
      <c r="AC3069" t="s">
        <v>38</v>
      </c>
      <c r="AD3069" t="s">
        <v>48</v>
      </c>
      <c r="AG3069" t="str">
        <f>IF(AD3069="United States", IFERROR(INDEX(Sheet2!$C:$C, MATCH(AE3069&amp;AF3069, Sheet2!$E:$E, 0)) &amp; ", " &amp; INDEX(Sheet2!$D:$D, MATCH(AE3069&amp;AF3069, Sheet2!$E:$E, 0)), ""), "-")</f>
        <v/>
      </c>
    </row>
    <row r="3070" spans="1:33" x14ac:dyDescent="0.25">
      <c r="A3070" t="s">
        <v>4647</v>
      </c>
      <c r="D3070" t="s">
        <v>210</v>
      </c>
      <c r="E3070" t="s">
        <v>3314</v>
      </c>
      <c r="F3070">
        <v>1739</v>
      </c>
      <c r="G3070">
        <v>2594</v>
      </c>
      <c r="H3070">
        <v>79</v>
      </c>
      <c r="J3070" t="s">
        <v>2298</v>
      </c>
      <c r="O3070" t="s">
        <v>41</v>
      </c>
      <c r="V3070" t="s">
        <v>4648</v>
      </c>
      <c r="W3070" t="s">
        <v>92</v>
      </c>
      <c r="Y3070" t="s">
        <v>38</v>
      </c>
      <c r="AA3070" t="s">
        <v>38</v>
      </c>
      <c r="AB3070" t="s">
        <v>38</v>
      </c>
      <c r="AC3070" t="s">
        <v>38</v>
      </c>
      <c r="AD3070" t="s">
        <v>48</v>
      </c>
      <c r="AG3070" t="str">
        <f>IF(AD3070="United States", IFERROR(INDEX(Sheet2!$C:$C, MATCH(AE3070&amp;AF3070, Sheet2!$E:$E, 0)) &amp; ", " &amp; INDEX(Sheet2!$D:$D, MATCH(AE3070&amp;AF3070, Sheet2!$E:$E, 0)), ""), "-")</f>
        <v/>
      </c>
    </row>
    <row r="3071" spans="1:33" x14ac:dyDescent="0.25">
      <c r="A3071" t="s">
        <v>4647</v>
      </c>
      <c r="D3071" t="s">
        <v>263</v>
      </c>
      <c r="E3071" t="s">
        <v>4216</v>
      </c>
      <c r="F3071">
        <v>1762</v>
      </c>
      <c r="G3071">
        <v>2595</v>
      </c>
      <c r="H3071">
        <v>79</v>
      </c>
      <c r="J3071" t="s">
        <v>2298</v>
      </c>
      <c r="O3071" t="s">
        <v>57</v>
      </c>
      <c r="V3071" t="s">
        <v>4648</v>
      </c>
      <c r="W3071" t="s">
        <v>92</v>
      </c>
      <c r="Y3071" t="s">
        <v>38</v>
      </c>
      <c r="AA3071" t="s">
        <v>38</v>
      </c>
      <c r="AB3071" t="s">
        <v>38</v>
      </c>
      <c r="AC3071" t="s">
        <v>38</v>
      </c>
      <c r="AD3071" t="s">
        <v>48</v>
      </c>
      <c r="AG3071" t="str">
        <f>IF(AD3071="United States", IFERROR(INDEX(Sheet2!$C:$C, MATCH(AE3071&amp;AF3071, Sheet2!$E:$E, 0)) &amp; ", " &amp; INDEX(Sheet2!$D:$D, MATCH(AE3071&amp;AF3071, Sheet2!$E:$E, 0)), ""), "-")</f>
        <v/>
      </c>
    </row>
    <row r="3072" spans="1:33" x14ac:dyDescent="0.25">
      <c r="A3072" t="s">
        <v>4647</v>
      </c>
      <c r="D3072" t="s">
        <v>226</v>
      </c>
      <c r="E3072" t="s">
        <v>132</v>
      </c>
      <c r="F3072">
        <v>1765</v>
      </c>
      <c r="G3072">
        <v>2630</v>
      </c>
      <c r="H3072">
        <v>79</v>
      </c>
      <c r="J3072" t="s">
        <v>2298</v>
      </c>
      <c r="O3072" t="s">
        <v>41</v>
      </c>
      <c r="V3072" t="s">
        <v>4648</v>
      </c>
      <c r="W3072" t="s">
        <v>92</v>
      </c>
      <c r="Y3072" t="s">
        <v>38</v>
      </c>
      <c r="AA3072" t="s">
        <v>38</v>
      </c>
      <c r="AB3072" t="s">
        <v>38</v>
      </c>
      <c r="AC3072" t="s">
        <v>38</v>
      </c>
      <c r="AD3072" t="s">
        <v>48</v>
      </c>
      <c r="AG3072" t="str">
        <f>IF(AD3072="United States", IFERROR(INDEX(Sheet2!$C:$C, MATCH(AE3072&amp;AF3072, Sheet2!$E:$E, 0)) &amp; ", " &amp; INDEX(Sheet2!$D:$D, MATCH(AE3072&amp;AF3072, Sheet2!$E:$E, 0)), ""), "-")</f>
        <v/>
      </c>
    </row>
    <row r="3073" spans="1:33" x14ac:dyDescent="0.25">
      <c r="A3073" t="s">
        <v>4647</v>
      </c>
      <c r="D3073" t="s">
        <v>101</v>
      </c>
      <c r="E3073" t="s">
        <v>4662</v>
      </c>
      <c r="F3073">
        <v>1732</v>
      </c>
      <c r="G3073">
        <v>2629</v>
      </c>
      <c r="H3073">
        <v>79</v>
      </c>
      <c r="J3073" t="s">
        <v>2298</v>
      </c>
      <c r="O3073" t="s">
        <v>41</v>
      </c>
      <c r="V3073" t="s">
        <v>4648</v>
      </c>
      <c r="W3073" t="s">
        <v>92</v>
      </c>
      <c r="Y3073" t="s">
        <v>38</v>
      </c>
      <c r="AA3073" t="s">
        <v>38</v>
      </c>
      <c r="AB3073" t="s">
        <v>38</v>
      </c>
      <c r="AC3073" t="s">
        <v>38</v>
      </c>
      <c r="AD3073" t="s">
        <v>48</v>
      </c>
      <c r="AG3073" t="str">
        <f>IF(AD3073="United States", IFERROR(INDEX(Sheet2!$C:$C, MATCH(AE3073&amp;AF3073, Sheet2!$E:$E, 0)) &amp; ", " &amp; INDEX(Sheet2!$D:$D, MATCH(AE3073&amp;AF3073, Sheet2!$E:$E, 0)), ""), "-")</f>
        <v/>
      </c>
    </row>
    <row r="3074" spans="1:33" x14ac:dyDescent="0.25">
      <c r="A3074" t="s">
        <v>4647</v>
      </c>
      <c r="D3074" t="s">
        <v>357</v>
      </c>
      <c r="E3074" t="s">
        <v>4674</v>
      </c>
      <c r="F3074">
        <v>1759</v>
      </c>
      <c r="G3074">
        <v>2631</v>
      </c>
      <c r="H3074">
        <v>79</v>
      </c>
      <c r="J3074" t="s">
        <v>2298</v>
      </c>
      <c r="O3074" t="s">
        <v>41</v>
      </c>
      <c r="V3074" t="s">
        <v>4648</v>
      </c>
      <c r="W3074" t="s">
        <v>92</v>
      </c>
      <c r="Y3074" t="s">
        <v>38</v>
      </c>
      <c r="AA3074" t="s">
        <v>38</v>
      </c>
      <c r="AB3074" t="s">
        <v>38</v>
      </c>
      <c r="AC3074" t="s">
        <v>38</v>
      </c>
      <c r="AD3074" t="s">
        <v>48</v>
      </c>
      <c r="AG3074" t="str">
        <f>IF(AD3074="United States", IFERROR(INDEX(Sheet2!$C:$C, MATCH(AE3074&amp;AF3074, Sheet2!$E:$E, 0)) &amp; ", " &amp; INDEX(Sheet2!$D:$D, MATCH(AE3074&amp;AF3074, Sheet2!$E:$E, 0)), ""), "-")</f>
        <v/>
      </c>
    </row>
    <row r="3075" spans="1:33" x14ac:dyDescent="0.25">
      <c r="A3075" t="s">
        <v>4647</v>
      </c>
      <c r="D3075" t="s">
        <v>463</v>
      </c>
      <c r="E3075" t="s">
        <v>1861</v>
      </c>
      <c r="F3075">
        <v>1730</v>
      </c>
      <c r="G3075">
        <v>2567</v>
      </c>
      <c r="H3075">
        <v>78</v>
      </c>
      <c r="J3075" t="s">
        <v>2298</v>
      </c>
      <c r="O3075" t="s">
        <v>41</v>
      </c>
      <c r="V3075" t="s">
        <v>1619</v>
      </c>
      <c r="W3075" t="s">
        <v>92</v>
      </c>
      <c r="Y3075" t="s">
        <v>38</v>
      </c>
      <c r="AA3075" t="s">
        <v>38</v>
      </c>
      <c r="AB3075" t="s">
        <v>38</v>
      </c>
      <c r="AC3075" t="s">
        <v>38</v>
      </c>
      <c r="AD3075" t="s">
        <v>48</v>
      </c>
      <c r="AG3075" t="str">
        <f>IF(AD3075="United States", IFERROR(INDEX(Sheet2!$C:$C, MATCH(AE3075&amp;AF3075, Sheet2!$E:$E, 0)) &amp; ", " &amp; INDEX(Sheet2!$D:$D, MATCH(AE3075&amp;AF3075, Sheet2!$E:$E, 0)), ""), "-")</f>
        <v/>
      </c>
    </row>
    <row r="3076" spans="1:33" x14ac:dyDescent="0.25">
      <c r="A3076" t="s">
        <v>4647</v>
      </c>
      <c r="D3076" t="s">
        <v>621</v>
      </c>
      <c r="E3076" t="s">
        <v>650</v>
      </c>
      <c r="F3076">
        <v>1758</v>
      </c>
      <c r="G3076">
        <v>2568</v>
      </c>
      <c r="H3076">
        <v>78</v>
      </c>
      <c r="J3076" t="s">
        <v>2298</v>
      </c>
      <c r="O3076" t="s">
        <v>41</v>
      </c>
      <c r="V3076" t="s">
        <v>1619</v>
      </c>
      <c r="W3076" t="s">
        <v>92</v>
      </c>
      <c r="Y3076" t="s">
        <v>38</v>
      </c>
      <c r="AA3076" t="s">
        <v>38</v>
      </c>
      <c r="AB3076" t="s">
        <v>38</v>
      </c>
      <c r="AC3076" t="s">
        <v>38</v>
      </c>
      <c r="AD3076" t="s">
        <v>48</v>
      </c>
      <c r="AG3076" t="str">
        <f>IF(AD3076="United States", IFERROR(INDEX(Sheet2!$C:$C, MATCH(AE3076&amp;AF3076, Sheet2!$E:$E, 0)) &amp; ", " &amp; INDEX(Sheet2!$D:$D, MATCH(AE3076&amp;AF3076, Sheet2!$E:$E, 0)), ""), "-")</f>
        <v/>
      </c>
    </row>
    <row r="3077" spans="1:33" x14ac:dyDescent="0.25">
      <c r="A3077" t="s">
        <v>4647</v>
      </c>
      <c r="D3077" t="s">
        <v>4675</v>
      </c>
      <c r="E3077" t="s">
        <v>4676</v>
      </c>
      <c r="F3077">
        <v>1756</v>
      </c>
      <c r="G3077">
        <v>2569</v>
      </c>
      <c r="H3077">
        <v>78</v>
      </c>
      <c r="J3077" t="s">
        <v>2298</v>
      </c>
      <c r="O3077" t="s">
        <v>57</v>
      </c>
      <c r="V3077" t="s">
        <v>1619</v>
      </c>
      <c r="W3077" t="s">
        <v>92</v>
      </c>
      <c r="Y3077" t="s">
        <v>38</v>
      </c>
      <c r="AA3077" t="s">
        <v>38</v>
      </c>
      <c r="AB3077" t="s">
        <v>38</v>
      </c>
      <c r="AC3077" t="s">
        <v>38</v>
      </c>
      <c r="AD3077" t="s">
        <v>48</v>
      </c>
      <c r="AG3077" t="str">
        <f>IF(AD3077="United States", IFERROR(INDEX(Sheet2!$C:$C, MATCH(AE3077&amp;AF3077, Sheet2!$E:$E, 0)) &amp; ", " &amp; INDEX(Sheet2!$D:$D, MATCH(AE3077&amp;AF3077, Sheet2!$E:$E, 0)), ""), "-")</f>
        <v/>
      </c>
    </row>
    <row r="3078" spans="1:33" x14ac:dyDescent="0.25">
      <c r="A3078" t="s">
        <v>4647</v>
      </c>
      <c r="D3078" t="s">
        <v>177</v>
      </c>
      <c r="E3078" t="s">
        <v>4676</v>
      </c>
      <c r="F3078" t="s">
        <v>38</v>
      </c>
      <c r="G3078">
        <v>2570</v>
      </c>
      <c r="H3078">
        <v>78</v>
      </c>
      <c r="J3078" t="s">
        <v>2298</v>
      </c>
      <c r="O3078" t="s">
        <v>54</v>
      </c>
      <c r="V3078" t="s">
        <v>1619</v>
      </c>
      <c r="W3078" t="s">
        <v>92</v>
      </c>
      <c r="Y3078" t="s">
        <v>38</v>
      </c>
      <c r="AA3078" t="s">
        <v>38</v>
      </c>
      <c r="AB3078" t="s">
        <v>38</v>
      </c>
      <c r="AC3078" t="s">
        <v>38</v>
      </c>
      <c r="AD3078" t="s">
        <v>48</v>
      </c>
      <c r="AG3078" t="str">
        <f>IF(AD3078="United States", IFERROR(INDEX(Sheet2!$C:$C, MATCH(AE3078&amp;AF3078, Sheet2!$E:$E, 0)) &amp; ", " &amp; INDEX(Sheet2!$D:$D, MATCH(AE3078&amp;AF3078, Sheet2!$E:$E, 0)), ""), "-")</f>
        <v/>
      </c>
    </row>
    <row r="3079" spans="1:33" x14ac:dyDescent="0.25">
      <c r="A3079" t="s">
        <v>4647</v>
      </c>
      <c r="D3079" t="s">
        <v>621</v>
      </c>
      <c r="E3079" t="s">
        <v>448</v>
      </c>
      <c r="F3079">
        <v>1758</v>
      </c>
      <c r="G3079">
        <v>2587</v>
      </c>
      <c r="H3079">
        <v>78</v>
      </c>
      <c r="J3079" t="s">
        <v>2298</v>
      </c>
      <c r="O3079" t="s">
        <v>41</v>
      </c>
      <c r="V3079" t="s">
        <v>1619</v>
      </c>
      <c r="W3079" t="s">
        <v>92</v>
      </c>
      <c r="Y3079" t="s">
        <v>38</v>
      </c>
      <c r="AA3079" t="s">
        <v>38</v>
      </c>
      <c r="AB3079" t="s">
        <v>38</v>
      </c>
      <c r="AC3079" t="s">
        <v>38</v>
      </c>
      <c r="AD3079" t="s">
        <v>48</v>
      </c>
      <c r="AG3079" t="str">
        <f>IF(AD3079="United States", IFERROR(INDEX(Sheet2!$C:$C, MATCH(AE3079&amp;AF3079, Sheet2!$E:$E, 0)) &amp; ", " &amp; INDEX(Sheet2!$D:$D, MATCH(AE3079&amp;AF3079, Sheet2!$E:$E, 0)), ""), "-")</f>
        <v/>
      </c>
    </row>
    <row r="3080" spans="1:33" x14ac:dyDescent="0.25">
      <c r="A3080" t="s">
        <v>4647</v>
      </c>
      <c r="D3080" t="s">
        <v>106</v>
      </c>
      <c r="E3080" t="s">
        <v>4677</v>
      </c>
      <c r="F3080">
        <v>1752</v>
      </c>
      <c r="G3080">
        <v>2585</v>
      </c>
      <c r="H3080">
        <v>78</v>
      </c>
      <c r="J3080" t="s">
        <v>2298</v>
      </c>
      <c r="O3080" t="s">
        <v>41</v>
      </c>
      <c r="V3080" t="s">
        <v>1619</v>
      </c>
      <c r="W3080" t="s">
        <v>92</v>
      </c>
      <c r="Y3080" t="s">
        <v>38</v>
      </c>
      <c r="AA3080" t="s">
        <v>38</v>
      </c>
      <c r="AB3080" t="s">
        <v>38</v>
      </c>
      <c r="AC3080" t="s">
        <v>38</v>
      </c>
      <c r="AD3080" t="s">
        <v>48</v>
      </c>
      <c r="AG3080" t="str">
        <f>IF(AD3080="United States", IFERROR(INDEX(Sheet2!$C:$C, MATCH(AE3080&amp;AF3080, Sheet2!$E:$E, 0)) &amp; ", " &amp; INDEX(Sheet2!$D:$D, MATCH(AE3080&amp;AF3080, Sheet2!$E:$E, 0)), ""), "-")</f>
        <v/>
      </c>
    </row>
    <row r="3081" spans="1:33" x14ac:dyDescent="0.25">
      <c r="A3081" t="s">
        <v>4647</v>
      </c>
      <c r="D3081" t="s">
        <v>106</v>
      </c>
      <c r="E3081" t="s">
        <v>275</v>
      </c>
      <c r="F3081">
        <v>1747</v>
      </c>
      <c r="G3081">
        <v>2584</v>
      </c>
      <c r="H3081">
        <v>78</v>
      </c>
      <c r="J3081" t="s">
        <v>2298</v>
      </c>
      <c r="O3081" t="s">
        <v>41</v>
      </c>
      <c r="V3081" t="s">
        <v>1619</v>
      </c>
      <c r="W3081" t="s">
        <v>92</v>
      </c>
      <c r="Y3081" t="s">
        <v>38</v>
      </c>
      <c r="AA3081" t="s">
        <v>38</v>
      </c>
      <c r="AB3081" t="s">
        <v>38</v>
      </c>
      <c r="AC3081" t="s">
        <v>38</v>
      </c>
      <c r="AD3081" t="s">
        <v>48</v>
      </c>
      <c r="AG3081" t="str">
        <f>IF(AD3081="United States", IFERROR(INDEX(Sheet2!$C:$C, MATCH(AE3081&amp;AF3081, Sheet2!$E:$E, 0)) &amp; ", " &amp; INDEX(Sheet2!$D:$D, MATCH(AE3081&amp;AF3081, Sheet2!$E:$E, 0)), ""), "-")</f>
        <v/>
      </c>
    </row>
    <row r="3082" spans="1:33" x14ac:dyDescent="0.25">
      <c r="A3082" t="s">
        <v>4647</v>
      </c>
      <c r="D3082" t="s">
        <v>132</v>
      </c>
      <c r="E3082" t="s">
        <v>2762</v>
      </c>
      <c r="F3082">
        <v>1744</v>
      </c>
      <c r="G3082">
        <v>2583</v>
      </c>
      <c r="H3082">
        <v>78</v>
      </c>
      <c r="J3082" t="s">
        <v>2298</v>
      </c>
      <c r="O3082" t="s">
        <v>41</v>
      </c>
      <c r="V3082" t="s">
        <v>1619</v>
      </c>
      <c r="W3082" t="s">
        <v>92</v>
      </c>
      <c r="Y3082" t="s">
        <v>38</v>
      </c>
      <c r="AA3082" t="s">
        <v>38</v>
      </c>
      <c r="AB3082" t="s">
        <v>38</v>
      </c>
      <c r="AC3082" t="s">
        <v>38</v>
      </c>
      <c r="AD3082" t="s">
        <v>48</v>
      </c>
      <c r="AG3082" t="str">
        <f>IF(AD3082="United States", IFERROR(INDEX(Sheet2!$C:$C, MATCH(AE3082&amp;AF3082, Sheet2!$E:$E, 0)) &amp; ", " &amp; INDEX(Sheet2!$D:$D, MATCH(AE3082&amp;AF3082, Sheet2!$E:$E, 0)), ""), "-")</f>
        <v/>
      </c>
    </row>
    <row r="3083" spans="1:33" x14ac:dyDescent="0.25">
      <c r="A3083" t="s">
        <v>4647</v>
      </c>
      <c r="D3083" t="s">
        <v>352</v>
      </c>
      <c r="E3083" t="s">
        <v>4678</v>
      </c>
      <c r="F3083">
        <v>1781</v>
      </c>
      <c r="G3083">
        <v>2582</v>
      </c>
      <c r="H3083">
        <v>78</v>
      </c>
      <c r="J3083" t="s">
        <v>2298</v>
      </c>
      <c r="O3083" t="s">
        <v>74</v>
      </c>
      <c r="V3083" t="s">
        <v>1619</v>
      </c>
      <c r="W3083" t="s">
        <v>92</v>
      </c>
      <c r="Y3083" t="s">
        <v>38</v>
      </c>
      <c r="AA3083" t="s">
        <v>38</v>
      </c>
      <c r="AB3083" t="s">
        <v>38</v>
      </c>
      <c r="AC3083" t="s">
        <v>38</v>
      </c>
      <c r="AD3083" t="s">
        <v>48</v>
      </c>
      <c r="AG3083" t="str">
        <f>IF(AD3083="United States", IFERROR(INDEX(Sheet2!$C:$C, MATCH(AE3083&amp;AF3083, Sheet2!$E:$E, 0)) &amp; ", " &amp; INDEX(Sheet2!$D:$D, MATCH(AE3083&amp;AF3083, Sheet2!$E:$E, 0)), ""), "-")</f>
        <v/>
      </c>
    </row>
    <row r="3084" spans="1:33" x14ac:dyDescent="0.25">
      <c r="A3084" t="s">
        <v>4647</v>
      </c>
      <c r="D3084" t="s">
        <v>774</v>
      </c>
      <c r="E3084" t="s">
        <v>4678</v>
      </c>
      <c r="F3084">
        <v>1779</v>
      </c>
      <c r="G3084">
        <v>2581</v>
      </c>
      <c r="H3084">
        <v>78</v>
      </c>
      <c r="J3084" t="s">
        <v>2298</v>
      </c>
      <c r="O3084" t="s">
        <v>54</v>
      </c>
      <c r="V3084" t="s">
        <v>1619</v>
      </c>
      <c r="W3084" t="s">
        <v>92</v>
      </c>
      <c r="Y3084" t="s">
        <v>38</v>
      </c>
      <c r="AA3084" t="s">
        <v>38</v>
      </c>
      <c r="AB3084" t="s">
        <v>38</v>
      </c>
      <c r="AC3084" t="s">
        <v>38</v>
      </c>
      <c r="AD3084" t="s">
        <v>48</v>
      </c>
      <c r="AG3084" t="str">
        <f>IF(AD3084="United States", IFERROR(INDEX(Sheet2!$C:$C, MATCH(AE3084&amp;AF3084, Sheet2!$E:$E, 0)) &amp; ", " &amp; INDEX(Sheet2!$D:$D, MATCH(AE3084&amp;AF3084, Sheet2!$E:$E, 0)), ""), "-")</f>
        <v/>
      </c>
    </row>
    <row r="3085" spans="1:33" x14ac:dyDescent="0.25">
      <c r="A3085" t="s">
        <v>4647</v>
      </c>
      <c r="D3085" t="s">
        <v>4679</v>
      </c>
      <c r="E3085" t="s">
        <v>4678</v>
      </c>
      <c r="F3085">
        <v>1756</v>
      </c>
      <c r="G3085">
        <v>2580</v>
      </c>
      <c r="H3085">
        <v>78</v>
      </c>
      <c r="J3085" t="s">
        <v>2298</v>
      </c>
      <c r="O3085" t="s">
        <v>57</v>
      </c>
      <c r="V3085" t="s">
        <v>1619</v>
      </c>
      <c r="W3085" t="s">
        <v>92</v>
      </c>
      <c r="Y3085" t="s">
        <v>38</v>
      </c>
      <c r="AA3085" t="s">
        <v>38</v>
      </c>
      <c r="AB3085" t="s">
        <v>38</v>
      </c>
      <c r="AC3085" t="s">
        <v>38</v>
      </c>
      <c r="AD3085" t="s">
        <v>48</v>
      </c>
      <c r="AG3085" t="str">
        <f>IF(AD3085="United States", IFERROR(INDEX(Sheet2!$C:$C, MATCH(AE3085&amp;AF3085, Sheet2!$E:$E, 0)) &amp; ", " &amp; INDEX(Sheet2!$D:$D, MATCH(AE3085&amp;AF3085, Sheet2!$E:$E, 0)), ""), "-")</f>
        <v/>
      </c>
    </row>
    <row r="3086" spans="1:33" x14ac:dyDescent="0.25">
      <c r="A3086" t="s">
        <v>4647</v>
      </c>
      <c r="D3086" t="s">
        <v>113</v>
      </c>
      <c r="E3086" t="s">
        <v>402</v>
      </c>
      <c r="F3086">
        <v>1730</v>
      </c>
      <c r="G3086">
        <v>2632</v>
      </c>
      <c r="H3086">
        <v>79</v>
      </c>
      <c r="J3086" t="s">
        <v>2298</v>
      </c>
      <c r="O3086" t="s">
        <v>41</v>
      </c>
      <c r="V3086" t="s">
        <v>4648</v>
      </c>
      <c r="W3086" t="s">
        <v>92</v>
      </c>
      <c r="Y3086" t="s">
        <v>38</v>
      </c>
      <c r="AA3086" t="s">
        <v>38</v>
      </c>
      <c r="AB3086" t="s">
        <v>38</v>
      </c>
      <c r="AC3086" t="s">
        <v>38</v>
      </c>
      <c r="AD3086" t="s">
        <v>48</v>
      </c>
      <c r="AG3086" t="str">
        <f>IF(AD3086="United States", IFERROR(INDEX(Sheet2!$C:$C, MATCH(AE3086&amp;AF3086, Sheet2!$E:$E, 0)) &amp; ", " &amp; INDEX(Sheet2!$D:$D, MATCH(AE3086&amp;AF3086, Sheet2!$E:$E, 0)), ""), "-")</f>
        <v/>
      </c>
    </row>
    <row r="3087" spans="1:33" x14ac:dyDescent="0.25">
      <c r="A3087" t="s">
        <v>4647</v>
      </c>
      <c r="D3087" t="s">
        <v>4680</v>
      </c>
      <c r="E3087" t="s">
        <v>4678</v>
      </c>
      <c r="F3087">
        <v>1745</v>
      </c>
      <c r="G3087">
        <v>2579</v>
      </c>
      <c r="H3087">
        <v>78</v>
      </c>
      <c r="J3087" t="s">
        <v>2298</v>
      </c>
      <c r="O3087" t="s">
        <v>41</v>
      </c>
      <c r="V3087" t="s">
        <v>1619</v>
      </c>
      <c r="W3087" t="s">
        <v>92</v>
      </c>
      <c r="Y3087" t="s">
        <v>38</v>
      </c>
      <c r="AA3087" t="s">
        <v>38</v>
      </c>
      <c r="AB3087" t="s">
        <v>38</v>
      </c>
      <c r="AC3087" t="s">
        <v>38</v>
      </c>
      <c r="AD3087" t="s">
        <v>48</v>
      </c>
      <c r="AG3087" t="str">
        <f>IF(AD3087="United States", IFERROR(INDEX(Sheet2!$C:$C, MATCH(AE3087&amp;AF3087, Sheet2!$E:$E, 0)) &amp; ", " &amp; INDEX(Sheet2!$D:$D, MATCH(AE3087&amp;AF3087, Sheet2!$E:$E, 0)), ""), "-")</f>
        <v/>
      </c>
    </row>
    <row r="3088" spans="1:33" x14ac:dyDescent="0.25">
      <c r="A3088" t="s">
        <v>4647</v>
      </c>
      <c r="D3088" t="s">
        <v>195</v>
      </c>
      <c r="E3088" t="s">
        <v>4223</v>
      </c>
      <c r="F3088">
        <v>1778</v>
      </c>
      <c r="G3088">
        <v>2577</v>
      </c>
      <c r="H3088">
        <v>78</v>
      </c>
      <c r="J3088" t="s">
        <v>2298</v>
      </c>
      <c r="O3088" t="s">
        <v>54</v>
      </c>
      <c r="V3088" t="s">
        <v>1619</v>
      </c>
      <c r="W3088" t="s">
        <v>92</v>
      </c>
      <c r="Y3088" t="s">
        <v>38</v>
      </c>
      <c r="AA3088" t="s">
        <v>38</v>
      </c>
      <c r="AB3088" t="s">
        <v>38</v>
      </c>
      <c r="AC3088" t="s">
        <v>38</v>
      </c>
      <c r="AD3088" t="s">
        <v>48</v>
      </c>
      <c r="AG3088" t="str">
        <f>IF(AD3088="United States", IFERROR(INDEX(Sheet2!$C:$C, MATCH(AE3088&amp;AF3088, Sheet2!$E:$E, 0)) &amp; ", " &amp; INDEX(Sheet2!$D:$D, MATCH(AE3088&amp;AF3088, Sheet2!$E:$E, 0)), ""), "-")</f>
        <v/>
      </c>
    </row>
    <row r="3089" spans="1:33" x14ac:dyDescent="0.25">
      <c r="A3089" t="s">
        <v>4647</v>
      </c>
      <c r="D3089" t="s">
        <v>463</v>
      </c>
      <c r="E3089" t="s">
        <v>4223</v>
      </c>
      <c r="F3089" t="s">
        <v>38</v>
      </c>
      <c r="G3089">
        <v>2576</v>
      </c>
      <c r="H3089">
        <v>78</v>
      </c>
      <c r="J3089" t="s">
        <v>2298</v>
      </c>
      <c r="O3089" t="s">
        <v>54</v>
      </c>
      <c r="V3089" t="s">
        <v>1619</v>
      </c>
      <c r="W3089" t="s">
        <v>92</v>
      </c>
      <c r="Y3089" t="s">
        <v>38</v>
      </c>
      <c r="AA3089" t="s">
        <v>38</v>
      </c>
      <c r="AB3089" t="s">
        <v>38</v>
      </c>
      <c r="AC3089" t="s">
        <v>38</v>
      </c>
      <c r="AD3089" t="s">
        <v>48</v>
      </c>
      <c r="AG3089" t="str">
        <f>IF(AD3089="United States", IFERROR(INDEX(Sheet2!$C:$C, MATCH(AE3089&amp;AF3089, Sheet2!$E:$E, 0)) &amp; ", " &amp; INDEX(Sheet2!$D:$D, MATCH(AE3089&amp;AF3089, Sheet2!$E:$E, 0)), ""), "-")</f>
        <v/>
      </c>
    </row>
    <row r="3090" spans="1:33" x14ac:dyDescent="0.25">
      <c r="A3090" t="s">
        <v>4647</v>
      </c>
      <c r="D3090" t="s">
        <v>256</v>
      </c>
      <c r="E3090" t="s">
        <v>4223</v>
      </c>
      <c r="F3090">
        <v>1753</v>
      </c>
      <c r="G3090">
        <v>2575</v>
      </c>
      <c r="H3090">
        <v>78</v>
      </c>
      <c r="J3090" t="s">
        <v>2298</v>
      </c>
      <c r="O3090" t="s">
        <v>57</v>
      </c>
      <c r="V3090" t="s">
        <v>1619</v>
      </c>
      <c r="W3090" t="s">
        <v>92</v>
      </c>
      <c r="Y3090" t="s">
        <v>38</v>
      </c>
      <c r="AA3090" t="s">
        <v>38</v>
      </c>
      <c r="AB3090" t="s">
        <v>38</v>
      </c>
      <c r="AC3090" t="s">
        <v>38</v>
      </c>
      <c r="AD3090" t="s">
        <v>48</v>
      </c>
      <c r="AG3090" t="str">
        <f>IF(AD3090="United States", IFERROR(INDEX(Sheet2!$C:$C, MATCH(AE3090&amp;AF3090, Sheet2!$E:$E, 0)) &amp; ", " &amp; INDEX(Sheet2!$D:$D, MATCH(AE3090&amp;AF3090, Sheet2!$E:$E, 0)), ""), "-")</f>
        <v/>
      </c>
    </row>
    <row r="3091" spans="1:33" x14ac:dyDescent="0.25">
      <c r="A3091" t="s">
        <v>4647</v>
      </c>
      <c r="D3091" t="s">
        <v>357</v>
      </c>
      <c r="E3091" t="s">
        <v>4223</v>
      </c>
      <c r="F3091">
        <v>1742</v>
      </c>
      <c r="G3091">
        <v>2574</v>
      </c>
      <c r="H3091">
        <v>78</v>
      </c>
      <c r="J3091" t="s">
        <v>2298</v>
      </c>
      <c r="O3091" t="s">
        <v>41</v>
      </c>
      <c r="V3091" t="s">
        <v>1619</v>
      </c>
      <c r="W3091" t="s">
        <v>92</v>
      </c>
      <c r="Y3091" t="s">
        <v>38</v>
      </c>
      <c r="AA3091" t="s">
        <v>38</v>
      </c>
      <c r="AB3091" t="s">
        <v>38</v>
      </c>
      <c r="AC3091" t="s">
        <v>38</v>
      </c>
      <c r="AD3091" t="s">
        <v>48</v>
      </c>
      <c r="AG3091" t="str">
        <f>IF(AD3091="United States", IFERROR(INDEX(Sheet2!$C:$C, MATCH(AE3091&amp;AF3091, Sheet2!$E:$E, 0)) &amp; ", " &amp; INDEX(Sheet2!$D:$D, MATCH(AE3091&amp;AF3091, Sheet2!$E:$E, 0)), ""), "-")</f>
        <v/>
      </c>
    </row>
    <row r="3092" spans="1:33" x14ac:dyDescent="0.25">
      <c r="A3092" t="s">
        <v>4647</v>
      </c>
      <c r="D3092" t="s">
        <v>463</v>
      </c>
      <c r="E3092" t="s">
        <v>4681</v>
      </c>
      <c r="F3092">
        <v>1752</v>
      </c>
      <c r="G3092">
        <v>2573</v>
      </c>
      <c r="H3092">
        <v>78</v>
      </c>
      <c r="J3092" t="s">
        <v>2298</v>
      </c>
      <c r="O3092" t="s">
        <v>41</v>
      </c>
      <c r="V3092" t="s">
        <v>1619</v>
      </c>
      <c r="W3092" t="s">
        <v>92</v>
      </c>
      <c r="Y3092" t="s">
        <v>38</v>
      </c>
      <c r="AA3092" t="s">
        <v>38</v>
      </c>
      <c r="AB3092" t="s">
        <v>38</v>
      </c>
      <c r="AC3092" t="s">
        <v>38</v>
      </c>
      <c r="AD3092" t="s">
        <v>48</v>
      </c>
      <c r="AG3092" t="str">
        <f>IF(AD3092="United States", IFERROR(INDEX(Sheet2!$C:$C, MATCH(AE3092&amp;AF3092, Sheet2!$E:$E, 0)) &amp; ", " &amp; INDEX(Sheet2!$D:$D, MATCH(AE3092&amp;AF3092, Sheet2!$E:$E, 0)), ""), "-")</f>
        <v/>
      </c>
    </row>
    <row r="3093" spans="1:33" x14ac:dyDescent="0.25">
      <c r="A3093" t="s">
        <v>4647</v>
      </c>
      <c r="D3093" t="s">
        <v>226</v>
      </c>
      <c r="E3093" t="s">
        <v>4155</v>
      </c>
      <c r="F3093">
        <v>1753</v>
      </c>
      <c r="G3093">
        <v>2572</v>
      </c>
      <c r="H3093">
        <v>78</v>
      </c>
      <c r="J3093" t="s">
        <v>2298</v>
      </c>
      <c r="O3093" t="s">
        <v>41</v>
      </c>
      <c r="V3093" t="s">
        <v>1619</v>
      </c>
      <c r="W3093" t="s">
        <v>92</v>
      </c>
      <c r="Y3093" t="s">
        <v>38</v>
      </c>
      <c r="AA3093" t="s">
        <v>38</v>
      </c>
      <c r="AB3093" t="s">
        <v>38</v>
      </c>
      <c r="AC3093" t="s">
        <v>38</v>
      </c>
      <c r="AD3093" t="s">
        <v>48</v>
      </c>
      <c r="AG3093" t="str">
        <f>IF(AD3093="United States", IFERROR(INDEX(Sheet2!$C:$C, MATCH(AE3093&amp;AF3093, Sheet2!$E:$E, 0)) &amp; ", " &amp; INDEX(Sheet2!$D:$D, MATCH(AE3093&amp;AF3093, Sheet2!$E:$E, 0)), ""), "-")</f>
        <v/>
      </c>
    </row>
    <row r="3094" spans="1:33" x14ac:dyDescent="0.25">
      <c r="A3094" t="s">
        <v>4647</v>
      </c>
      <c r="D3094" t="s">
        <v>569</v>
      </c>
      <c r="E3094" t="s">
        <v>4682</v>
      </c>
      <c r="F3094">
        <v>1758</v>
      </c>
      <c r="G3094">
        <v>2571</v>
      </c>
      <c r="H3094">
        <v>78</v>
      </c>
      <c r="J3094" t="s">
        <v>2298</v>
      </c>
      <c r="O3094" t="s">
        <v>41</v>
      </c>
      <c r="V3094" t="s">
        <v>1619</v>
      </c>
      <c r="W3094" t="s">
        <v>92</v>
      </c>
      <c r="Y3094" t="s">
        <v>38</v>
      </c>
      <c r="AA3094" t="s">
        <v>38</v>
      </c>
      <c r="AB3094" t="s">
        <v>38</v>
      </c>
      <c r="AC3094" t="s">
        <v>38</v>
      </c>
      <c r="AD3094" t="s">
        <v>48</v>
      </c>
      <c r="AG3094" t="str">
        <f>IF(AD3094="United States", IFERROR(INDEX(Sheet2!$C:$C, MATCH(AE3094&amp;AF3094, Sheet2!$E:$E, 0)) &amp; ", " &amp; INDEX(Sheet2!$D:$D, MATCH(AE3094&amp;AF3094, Sheet2!$E:$E, 0)), ""), "-")</f>
        <v/>
      </c>
    </row>
    <row r="3095" spans="1:33" x14ac:dyDescent="0.25">
      <c r="A3095" t="s">
        <v>4647</v>
      </c>
      <c r="D3095" t="s">
        <v>2676</v>
      </c>
      <c r="E3095" t="s">
        <v>4223</v>
      </c>
      <c r="F3095">
        <v>1780</v>
      </c>
      <c r="G3095">
        <v>2578</v>
      </c>
      <c r="H3095">
        <v>78</v>
      </c>
      <c r="J3095" t="s">
        <v>2298</v>
      </c>
      <c r="O3095" t="s">
        <v>74</v>
      </c>
      <c r="V3095" t="s">
        <v>1619</v>
      </c>
      <c r="W3095" t="s">
        <v>92</v>
      </c>
      <c r="Y3095" t="s">
        <v>38</v>
      </c>
      <c r="AA3095" t="s">
        <v>38</v>
      </c>
      <c r="AB3095" t="s">
        <v>38</v>
      </c>
      <c r="AC3095" t="s">
        <v>38</v>
      </c>
      <c r="AD3095" t="s">
        <v>48</v>
      </c>
      <c r="AG3095" t="str">
        <f>IF(AD3095="United States", IFERROR(INDEX(Sheet2!$C:$C, MATCH(AE3095&amp;AF3095, Sheet2!$E:$E, 0)) &amp; ", " &amp; INDEX(Sheet2!$D:$D, MATCH(AE3095&amp;AF3095, Sheet2!$E:$E, 0)), ""), "-")</f>
        <v/>
      </c>
    </row>
    <row r="3096" spans="1:33" x14ac:dyDescent="0.25">
      <c r="A3096" t="s">
        <v>4647</v>
      </c>
      <c r="D3096" t="s">
        <v>114</v>
      </c>
      <c r="E3096" t="s">
        <v>4683</v>
      </c>
      <c r="F3096">
        <v>1759</v>
      </c>
      <c r="G3096">
        <v>2607</v>
      </c>
      <c r="H3096">
        <v>79</v>
      </c>
      <c r="J3096" t="s">
        <v>2298</v>
      </c>
      <c r="O3096" t="s">
        <v>57</v>
      </c>
      <c r="V3096" t="s">
        <v>4648</v>
      </c>
      <c r="W3096" t="s">
        <v>92</v>
      </c>
      <c r="Y3096" t="s">
        <v>38</v>
      </c>
      <c r="AA3096" t="s">
        <v>38</v>
      </c>
      <c r="AB3096" t="s">
        <v>38</v>
      </c>
      <c r="AC3096" t="s">
        <v>38</v>
      </c>
      <c r="AD3096" t="s">
        <v>48</v>
      </c>
      <c r="AG3096" t="str">
        <f>IF(AD3096="United States", IFERROR(INDEX(Sheet2!$C:$C, MATCH(AE3096&amp;AF3096, Sheet2!$E:$E, 0)) &amp; ", " &amp; INDEX(Sheet2!$D:$D, MATCH(AE3096&amp;AF3096, Sheet2!$E:$E, 0)), ""), "-")</f>
        <v/>
      </c>
    </row>
    <row r="3097" spans="1:33" x14ac:dyDescent="0.25">
      <c r="A3097" t="s">
        <v>4647</v>
      </c>
      <c r="D3097" t="s">
        <v>3555</v>
      </c>
      <c r="E3097" t="s">
        <v>1091</v>
      </c>
      <c r="F3097">
        <v>1755</v>
      </c>
      <c r="G3097">
        <v>2633</v>
      </c>
      <c r="H3097">
        <v>79</v>
      </c>
      <c r="J3097" t="s">
        <v>2298</v>
      </c>
      <c r="O3097" t="s">
        <v>41</v>
      </c>
      <c r="V3097" t="s">
        <v>4648</v>
      </c>
      <c r="W3097" t="s">
        <v>92</v>
      </c>
      <c r="Y3097" t="s">
        <v>38</v>
      </c>
      <c r="AA3097" t="s">
        <v>38</v>
      </c>
      <c r="AB3097" t="s">
        <v>38</v>
      </c>
      <c r="AC3097" t="s">
        <v>38</v>
      </c>
      <c r="AD3097" t="s">
        <v>48</v>
      </c>
      <c r="AG3097" t="str">
        <f>IF(AD3097="United States", IFERROR(INDEX(Sheet2!$C:$C, MATCH(AE3097&amp;AF3097, Sheet2!$E:$E, 0)) &amp; ", " &amp; INDEX(Sheet2!$D:$D, MATCH(AE3097&amp;AF3097, Sheet2!$E:$E, 0)), ""), "-")</f>
        <v/>
      </c>
    </row>
    <row r="3098" spans="1:33" x14ac:dyDescent="0.25">
      <c r="A3098" t="s">
        <v>4647</v>
      </c>
      <c r="D3098" t="s">
        <v>210</v>
      </c>
      <c r="E3098" t="s">
        <v>1604</v>
      </c>
      <c r="F3098">
        <v>1758</v>
      </c>
      <c r="G3098">
        <v>2635</v>
      </c>
      <c r="H3098">
        <v>79</v>
      </c>
      <c r="J3098" t="s">
        <v>2298</v>
      </c>
      <c r="O3098" t="s">
        <v>41</v>
      </c>
      <c r="V3098" t="s">
        <v>4648</v>
      </c>
      <c r="W3098" t="s">
        <v>92</v>
      </c>
      <c r="Y3098" t="s">
        <v>38</v>
      </c>
      <c r="AA3098" t="s">
        <v>38</v>
      </c>
      <c r="AB3098" t="s">
        <v>38</v>
      </c>
      <c r="AC3098" t="s">
        <v>38</v>
      </c>
      <c r="AD3098" t="s">
        <v>48</v>
      </c>
      <c r="AG3098" t="str">
        <f>IF(AD3098="United States", IFERROR(INDEX(Sheet2!$C:$C, MATCH(AE3098&amp;AF3098, Sheet2!$E:$E, 0)) &amp; ", " &amp; INDEX(Sheet2!$D:$D, MATCH(AE3098&amp;AF3098, Sheet2!$E:$E, 0)), ""), "-")</f>
        <v/>
      </c>
    </row>
    <row r="3099" spans="1:33" x14ac:dyDescent="0.25">
      <c r="A3099" t="s">
        <v>4647</v>
      </c>
      <c r="D3099" t="s">
        <v>807</v>
      </c>
      <c r="E3099" t="s">
        <v>2133</v>
      </c>
      <c r="F3099">
        <v>1759</v>
      </c>
      <c r="G3099">
        <v>2622</v>
      </c>
      <c r="H3099">
        <v>79</v>
      </c>
      <c r="J3099" t="s">
        <v>2298</v>
      </c>
      <c r="O3099" t="s">
        <v>41</v>
      </c>
      <c r="V3099" t="s">
        <v>4648</v>
      </c>
      <c r="W3099" t="s">
        <v>92</v>
      </c>
      <c r="Y3099" t="s">
        <v>38</v>
      </c>
      <c r="AA3099" t="s">
        <v>38</v>
      </c>
      <c r="AB3099" t="s">
        <v>38</v>
      </c>
      <c r="AC3099" t="s">
        <v>38</v>
      </c>
      <c r="AD3099" t="s">
        <v>48</v>
      </c>
      <c r="AG3099" t="str">
        <f>IF(AD3099="United States", IFERROR(INDEX(Sheet2!$C:$C, MATCH(AE3099&amp;AF3099, Sheet2!$E:$E, 0)) &amp; ", " &amp; INDEX(Sheet2!$D:$D, MATCH(AE3099&amp;AF3099, Sheet2!$E:$E, 0)), ""), "-")</f>
        <v/>
      </c>
    </row>
    <row r="3100" spans="1:33" x14ac:dyDescent="0.25">
      <c r="A3100" t="s">
        <v>4647</v>
      </c>
      <c r="D3100" t="s">
        <v>352</v>
      </c>
      <c r="E3100" t="s">
        <v>4684</v>
      </c>
      <c r="F3100">
        <v>1778</v>
      </c>
      <c r="G3100">
        <v>2621</v>
      </c>
      <c r="H3100">
        <v>79</v>
      </c>
      <c r="J3100" t="s">
        <v>2298</v>
      </c>
      <c r="O3100" t="s">
        <v>74</v>
      </c>
      <c r="V3100" t="s">
        <v>4648</v>
      </c>
      <c r="W3100" t="s">
        <v>92</v>
      </c>
      <c r="Y3100" t="s">
        <v>38</v>
      </c>
      <c r="AA3100" t="s">
        <v>38</v>
      </c>
      <c r="AB3100" t="s">
        <v>38</v>
      </c>
      <c r="AC3100" t="s">
        <v>38</v>
      </c>
      <c r="AD3100" t="s">
        <v>48</v>
      </c>
      <c r="AG3100" t="str">
        <f>IF(AD3100="United States", IFERROR(INDEX(Sheet2!$C:$C, MATCH(AE3100&amp;AF3100, Sheet2!$E:$E, 0)) &amp; ", " &amp; INDEX(Sheet2!$D:$D, MATCH(AE3100&amp;AF3100, Sheet2!$E:$E, 0)), ""), "-")</f>
        <v/>
      </c>
    </row>
    <row r="3101" spans="1:33" x14ac:dyDescent="0.25">
      <c r="A3101" t="s">
        <v>4647</v>
      </c>
      <c r="D3101" t="s">
        <v>245</v>
      </c>
      <c r="E3101" t="s">
        <v>4684</v>
      </c>
      <c r="F3101">
        <v>1755</v>
      </c>
      <c r="G3101">
        <v>2620</v>
      </c>
      <c r="H3101">
        <v>79</v>
      </c>
      <c r="J3101" t="s">
        <v>2298</v>
      </c>
      <c r="O3101" t="s">
        <v>57</v>
      </c>
      <c r="V3101" t="s">
        <v>4648</v>
      </c>
      <c r="W3101" t="s">
        <v>92</v>
      </c>
      <c r="Y3101" t="s">
        <v>38</v>
      </c>
      <c r="AA3101" t="s">
        <v>38</v>
      </c>
      <c r="AB3101" t="s">
        <v>38</v>
      </c>
      <c r="AC3101" t="s">
        <v>38</v>
      </c>
      <c r="AD3101" t="s">
        <v>48</v>
      </c>
      <c r="AG3101" t="str">
        <f>IF(AD3101="United States", IFERROR(INDEX(Sheet2!$C:$C, MATCH(AE3101&amp;AF3101, Sheet2!$E:$E, 0)) &amp; ", " &amp; INDEX(Sheet2!$D:$D, MATCH(AE3101&amp;AF3101, Sheet2!$E:$E, 0)), ""), "-")</f>
        <v/>
      </c>
    </row>
    <row r="3102" spans="1:33" x14ac:dyDescent="0.25">
      <c r="A3102" t="s">
        <v>4647</v>
      </c>
      <c r="D3102" t="s">
        <v>210</v>
      </c>
      <c r="E3102" t="s">
        <v>4684</v>
      </c>
      <c r="F3102">
        <v>1750</v>
      </c>
      <c r="G3102">
        <v>2619</v>
      </c>
      <c r="H3102">
        <v>79</v>
      </c>
      <c r="J3102" t="s">
        <v>2298</v>
      </c>
      <c r="O3102" t="s">
        <v>41</v>
      </c>
      <c r="V3102" t="s">
        <v>4648</v>
      </c>
      <c r="W3102" t="s">
        <v>92</v>
      </c>
      <c r="Y3102" t="s">
        <v>38</v>
      </c>
      <c r="AA3102" t="s">
        <v>38</v>
      </c>
      <c r="AB3102" t="s">
        <v>38</v>
      </c>
      <c r="AC3102" t="s">
        <v>38</v>
      </c>
      <c r="AD3102" t="s">
        <v>48</v>
      </c>
      <c r="AG3102" t="str">
        <f>IF(AD3102="United States", IFERROR(INDEX(Sheet2!$C:$C, MATCH(AE3102&amp;AF3102, Sheet2!$E:$E, 0)) &amp; ", " &amp; INDEX(Sheet2!$D:$D, MATCH(AE3102&amp;AF3102, Sheet2!$E:$E, 0)), ""), "-")</f>
        <v/>
      </c>
    </row>
    <row r="3103" spans="1:33" x14ac:dyDescent="0.25">
      <c r="A3103" t="s">
        <v>4647</v>
      </c>
      <c r="D3103" t="s">
        <v>639</v>
      </c>
      <c r="E3103" t="s">
        <v>4685</v>
      </c>
      <c r="F3103">
        <v>1779</v>
      </c>
      <c r="G3103">
        <v>2618</v>
      </c>
      <c r="H3103">
        <v>79</v>
      </c>
      <c r="J3103" t="s">
        <v>2298</v>
      </c>
      <c r="O3103" t="s">
        <v>54</v>
      </c>
      <c r="V3103" t="s">
        <v>4648</v>
      </c>
      <c r="W3103" t="s">
        <v>92</v>
      </c>
      <c r="Y3103" t="s">
        <v>38</v>
      </c>
      <c r="AA3103" t="s">
        <v>38</v>
      </c>
      <c r="AB3103" t="s">
        <v>38</v>
      </c>
      <c r="AC3103" t="s">
        <v>38</v>
      </c>
      <c r="AD3103" t="s">
        <v>48</v>
      </c>
      <c r="AG3103" t="str">
        <f>IF(AD3103="United States", IFERROR(INDEX(Sheet2!$C:$C, MATCH(AE3103&amp;AF3103, Sheet2!$E:$E, 0)) &amp; ", " &amp; INDEX(Sheet2!$D:$D, MATCH(AE3103&amp;AF3103, Sheet2!$E:$E, 0)), ""), "-")</f>
        <v/>
      </c>
    </row>
    <row r="3104" spans="1:33" x14ac:dyDescent="0.25">
      <c r="A3104" t="s">
        <v>4647</v>
      </c>
      <c r="D3104" t="s">
        <v>518</v>
      </c>
      <c r="E3104" t="s">
        <v>4685</v>
      </c>
      <c r="F3104">
        <v>1755</v>
      </c>
      <c r="G3104">
        <v>2617</v>
      </c>
      <c r="H3104">
        <v>79</v>
      </c>
      <c r="J3104" t="s">
        <v>2298</v>
      </c>
      <c r="O3104" t="s">
        <v>57</v>
      </c>
      <c r="V3104" t="s">
        <v>4648</v>
      </c>
      <c r="W3104" t="s">
        <v>92</v>
      </c>
      <c r="Y3104" t="s">
        <v>38</v>
      </c>
      <c r="AA3104" t="s">
        <v>38</v>
      </c>
      <c r="AB3104" t="s">
        <v>38</v>
      </c>
      <c r="AC3104" t="s">
        <v>38</v>
      </c>
      <c r="AD3104" t="s">
        <v>48</v>
      </c>
      <c r="AG3104" t="str">
        <f>IF(AD3104="United States", IFERROR(INDEX(Sheet2!$C:$C, MATCH(AE3104&amp;AF3104, Sheet2!$E:$E, 0)) &amp; ", " &amp; INDEX(Sheet2!$D:$D, MATCH(AE3104&amp;AF3104, Sheet2!$E:$E, 0)), ""), "-")</f>
        <v/>
      </c>
    </row>
    <row r="3105" spans="1:33" x14ac:dyDescent="0.25">
      <c r="A3105" t="s">
        <v>4647</v>
      </c>
      <c r="D3105" t="s">
        <v>2676</v>
      </c>
      <c r="E3105" t="s">
        <v>4686</v>
      </c>
      <c r="F3105">
        <v>1771</v>
      </c>
      <c r="G3105">
        <v>2616</v>
      </c>
      <c r="H3105">
        <v>79</v>
      </c>
      <c r="J3105" t="s">
        <v>2298</v>
      </c>
      <c r="O3105" t="s">
        <v>74</v>
      </c>
      <c r="V3105" t="s">
        <v>4648</v>
      </c>
      <c r="W3105" t="s">
        <v>92</v>
      </c>
      <c r="Y3105" t="s">
        <v>38</v>
      </c>
      <c r="AA3105" t="s">
        <v>38</v>
      </c>
      <c r="AB3105" t="s">
        <v>38</v>
      </c>
      <c r="AC3105" t="s">
        <v>38</v>
      </c>
      <c r="AD3105" t="s">
        <v>48</v>
      </c>
      <c r="AG3105" t="str">
        <f>IF(AD3105="United States", IFERROR(INDEX(Sheet2!$C:$C, MATCH(AE3105&amp;AF3105, Sheet2!$E:$E, 0)) &amp; ", " &amp; INDEX(Sheet2!$D:$D, MATCH(AE3105&amp;AF3105, Sheet2!$E:$E, 0)), ""), "-")</f>
        <v/>
      </c>
    </row>
    <row r="3106" spans="1:33" x14ac:dyDescent="0.25">
      <c r="A3106" t="s">
        <v>4647</v>
      </c>
      <c r="D3106" t="s">
        <v>4687</v>
      </c>
      <c r="E3106" t="s">
        <v>4686</v>
      </c>
      <c r="F3106">
        <v>1769</v>
      </c>
      <c r="G3106">
        <v>2615</v>
      </c>
      <c r="H3106">
        <v>79</v>
      </c>
      <c r="J3106" t="s">
        <v>2298</v>
      </c>
      <c r="O3106" t="s">
        <v>74</v>
      </c>
      <c r="V3106" t="s">
        <v>4648</v>
      </c>
      <c r="W3106" t="s">
        <v>92</v>
      </c>
      <c r="Y3106" t="s">
        <v>38</v>
      </c>
      <c r="AA3106" t="s">
        <v>38</v>
      </c>
      <c r="AB3106" t="s">
        <v>38</v>
      </c>
      <c r="AC3106" t="s">
        <v>38</v>
      </c>
      <c r="AD3106" t="s">
        <v>48</v>
      </c>
      <c r="AG3106" t="str">
        <f>IF(AD3106="United States", IFERROR(INDEX(Sheet2!$C:$C, MATCH(AE3106&amp;AF3106, Sheet2!$E:$E, 0)) &amp; ", " &amp; INDEX(Sheet2!$D:$D, MATCH(AE3106&amp;AF3106, Sheet2!$E:$E, 0)), ""), "-")</f>
        <v/>
      </c>
    </row>
    <row r="3107" spans="1:33" x14ac:dyDescent="0.25">
      <c r="A3107" t="s">
        <v>4647</v>
      </c>
      <c r="D3107" t="s">
        <v>4688</v>
      </c>
      <c r="E3107" t="s">
        <v>4672</v>
      </c>
      <c r="F3107">
        <v>1753</v>
      </c>
      <c r="G3107">
        <v>2589</v>
      </c>
      <c r="H3107">
        <v>78</v>
      </c>
      <c r="J3107" t="s">
        <v>2298</v>
      </c>
      <c r="O3107" t="s">
        <v>57</v>
      </c>
      <c r="V3107" t="s">
        <v>1619</v>
      </c>
      <c r="W3107" t="s">
        <v>92</v>
      </c>
      <c r="Y3107" t="s">
        <v>38</v>
      </c>
      <c r="AA3107" t="s">
        <v>38</v>
      </c>
      <c r="AB3107" t="s">
        <v>38</v>
      </c>
      <c r="AC3107" t="s">
        <v>38</v>
      </c>
      <c r="AD3107" t="s">
        <v>48</v>
      </c>
      <c r="AG3107" t="str">
        <f>IF(AD3107="United States", IFERROR(INDEX(Sheet2!$C:$C, MATCH(AE3107&amp;AF3107, Sheet2!$E:$E, 0)) &amp; ", " &amp; INDEX(Sheet2!$D:$D, MATCH(AE3107&amp;AF3107, Sheet2!$E:$E, 0)), ""), "-")</f>
        <v/>
      </c>
    </row>
    <row r="3108" spans="1:33" x14ac:dyDescent="0.25">
      <c r="A3108" t="s">
        <v>4647</v>
      </c>
      <c r="D3108" t="s">
        <v>62</v>
      </c>
      <c r="E3108" t="s">
        <v>4686</v>
      </c>
      <c r="F3108">
        <v>1746</v>
      </c>
      <c r="G3108">
        <v>2614</v>
      </c>
      <c r="H3108">
        <v>79</v>
      </c>
      <c r="J3108" t="s">
        <v>2298</v>
      </c>
      <c r="O3108" t="s">
        <v>41</v>
      </c>
      <c r="V3108" t="s">
        <v>4648</v>
      </c>
      <c r="W3108" t="s">
        <v>92</v>
      </c>
      <c r="Y3108" t="s">
        <v>38</v>
      </c>
      <c r="AA3108" t="s">
        <v>38</v>
      </c>
      <c r="AB3108" t="s">
        <v>38</v>
      </c>
      <c r="AC3108" t="s">
        <v>38</v>
      </c>
      <c r="AD3108" t="s">
        <v>48</v>
      </c>
      <c r="AG3108" t="str">
        <f>IF(AD3108="United States", IFERROR(INDEX(Sheet2!$C:$C, MATCH(AE3108&amp;AF3108, Sheet2!$E:$E, 0)) &amp; ", " &amp; INDEX(Sheet2!$D:$D, MATCH(AE3108&amp;AF3108, Sheet2!$E:$E, 0)), ""), "-")</f>
        <v/>
      </c>
    </row>
    <row r="3109" spans="1:33" x14ac:dyDescent="0.25">
      <c r="A3109" t="s">
        <v>4647</v>
      </c>
      <c r="D3109" t="s">
        <v>1964</v>
      </c>
      <c r="E3109" t="s">
        <v>38</v>
      </c>
      <c r="F3109">
        <v>1775</v>
      </c>
      <c r="G3109">
        <v>2613</v>
      </c>
      <c r="H3109">
        <v>79</v>
      </c>
      <c r="J3109" t="s">
        <v>2298</v>
      </c>
      <c r="O3109" t="s">
        <v>74</v>
      </c>
      <c r="V3109" t="s">
        <v>4648</v>
      </c>
      <c r="W3109" t="s">
        <v>92</v>
      </c>
      <c r="Y3109" t="s">
        <v>38</v>
      </c>
      <c r="AA3109" t="s">
        <v>38</v>
      </c>
      <c r="AB3109" t="s">
        <v>38</v>
      </c>
      <c r="AC3109" t="s">
        <v>38</v>
      </c>
      <c r="AD3109" t="s">
        <v>48</v>
      </c>
      <c r="AG3109" t="str">
        <f>IF(AD3109="United States", IFERROR(INDEX(Sheet2!$C:$C, MATCH(AE3109&amp;AF3109, Sheet2!$E:$E, 0)) &amp; ", " &amp; INDEX(Sheet2!$D:$D, MATCH(AE3109&amp;AF3109, Sheet2!$E:$E, 0)), ""), "-")</f>
        <v/>
      </c>
    </row>
    <row r="3110" spans="1:33" x14ac:dyDescent="0.25">
      <c r="A3110" t="s">
        <v>4647</v>
      </c>
      <c r="D3110" t="s">
        <v>245</v>
      </c>
      <c r="E3110" t="s">
        <v>859</v>
      </c>
      <c r="F3110">
        <v>1743</v>
      </c>
      <c r="G3110">
        <v>2612</v>
      </c>
      <c r="H3110">
        <v>79</v>
      </c>
      <c r="J3110" t="s">
        <v>2298</v>
      </c>
      <c r="O3110" t="s">
        <v>57</v>
      </c>
      <c r="V3110" t="s">
        <v>4648</v>
      </c>
      <c r="W3110" t="s">
        <v>92</v>
      </c>
      <c r="Y3110" t="s">
        <v>38</v>
      </c>
      <c r="AA3110" t="s">
        <v>38</v>
      </c>
      <c r="AB3110" t="s">
        <v>38</v>
      </c>
      <c r="AC3110" t="s">
        <v>38</v>
      </c>
      <c r="AD3110" t="s">
        <v>48</v>
      </c>
      <c r="AG3110" t="str">
        <f>IF(AD3110="United States", IFERROR(INDEX(Sheet2!$C:$C, MATCH(AE3110&amp;AF3110, Sheet2!$E:$E, 0)) &amp; ", " &amp; INDEX(Sheet2!$D:$D, MATCH(AE3110&amp;AF3110, Sheet2!$E:$E, 0)), ""), "-")</f>
        <v/>
      </c>
    </row>
    <row r="3111" spans="1:33" x14ac:dyDescent="0.25">
      <c r="A3111" t="s">
        <v>4647</v>
      </c>
      <c r="D3111" t="s">
        <v>4689</v>
      </c>
      <c r="E3111" t="s">
        <v>507</v>
      </c>
      <c r="F3111">
        <v>1761</v>
      </c>
      <c r="G3111">
        <v>2611</v>
      </c>
      <c r="H3111">
        <v>79</v>
      </c>
      <c r="J3111" t="s">
        <v>2298</v>
      </c>
      <c r="O3111" t="s">
        <v>57</v>
      </c>
      <c r="V3111" t="s">
        <v>4648</v>
      </c>
      <c r="W3111" t="s">
        <v>92</v>
      </c>
      <c r="Y3111" t="s">
        <v>38</v>
      </c>
      <c r="AA3111" t="s">
        <v>38</v>
      </c>
      <c r="AB3111" t="s">
        <v>38</v>
      </c>
      <c r="AC3111" t="s">
        <v>38</v>
      </c>
      <c r="AD3111" t="s">
        <v>48</v>
      </c>
      <c r="AG3111" t="str">
        <f>IF(AD3111="United States", IFERROR(INDEX(Sheet2!$C:$C, MATCH(AE3111&amp;AF3111, Sheet2!$E:$E, 0)) &amp; ", " &amp; INDEX(Sheet2!$D:$D, MATCH(AE3111&amp;AF3111, Sheet2!$E:$E, 0)), ""), "-")</f>
        <v/>
      </c>
    </row>
    <row r="3112" spans="1:33" x14ac:dyDescent="0.25">
      <c r="A3112" t="s">
        <v>4647</v>
      </c>
      <c r="D3112" t="s">
        <v>803</v>
      </c>
      <c r="E3112" t="s">
        <v>4690</v>
      </c>
      <c r="F3112" t="s">
        <v>38</v>
      </c>
      <c r="G3112">
        <v>2610</v>
      </c>
      <c r="H3112">
        <v>79</v>
      </c>
      <c r="J3112" t="s">
        <v>2298</v>
      </c>
      <c r="O3112" t="s">
        <v>74</v>
      </c>
      <c r="V3112" t="s">
        <v>4648</v>
      </c>
      <c r="W3112" t="s">
        <v>92</v>
      </c>
      <c r="Y3112" t="s">
        <v>38</v>
      </c>
      <c r="AA3112" t="s">
        <v>38</v>
      </c>
      <c r="AB3112" t="s">
        <v>38</v>
      </c>
      <c r="AC3112" t="s">
        <v>38</v>
      </c>
      <c r="AD3112" t="s">
        <v>48</v>
      </c>
      <c r="AG3112" t="str">
        <f>IF(AD3112="United States", IFERROR(INDEX(Sheet2!$C:$C, MATCH(AE3112&amp;AF3112, Sheet2!$E:$E, 0)) &amp; ", " &amp; INDEX(Sheet2!$D:$D, MATCH(AE3112&amp;AF3112, Sheet2!$E:$E, 0)), ""), "-")</f>
        <v/>
      </c>
    </row>
    <row r="3113" spans="1:33" x14ac:dyDescent="0.25">
      <c r="A3113" t="s">
        <v>4647</v>
      </c>
      <c r="D3113" t="s">
        <v>834</v>
      </c>
      <c r="E3113" t="s">
        <v>4683</v>
      </c>
      <c r="F3113">
        <v>1781</v>
      </c>
      <c r="G3113">
        <v>2609</v>
      </c>
      <c r="H3113">
        <v>79</v>
      </c>
      <c r="J3113" t="s">
        <v>2298</v>
      </c>
      <c r="O3113" t="s">
        <v>74</v>
      </c>
      <c r="V3113" t="s">
        <v>4648</v>
      </c>
      <c r="W3113" t="s">
        <v>92</v>
      </c>
      <c r="Y3113" t="s">
        <v>38</v>
      </c>
      <c r="AA3113" t="s">
        <v>38</v>
      </c>
      <c r="AB3113" t="s">
        <v>38</v>
      </c>
      <c r="AC3113" t="s">
        <v>38</v>
      </c>
      <c r="AD3113" t="s">
        <v>48</v>
      </c>
      <c r="AG3113" t="str">
        <f>IF(AD3113="United States", IFERROR(INDEX(Sheet2!$C:$C, MATCH(AE3113&amp;AF3113, Sheet2!$E:$E, 0)) &amp; ", " &amp; INDEX(Sheet2!$D:$D, MATCH(AE3113&amp;AF3113, Sheet2!$E:$E, 0)), ""), "-")</f>
        <v/>
      </c>
    </row>
    <row r="3114" spans="1:33" x14ac:dyDescent="0.25">
      <c r="A3114" t="s">
        <v>4647</v>
      </c>
      <c r="D3114" t="s">
        <v>226</v>
      </c>
      <c r="E3114" t="s">
        <v>991</v>
      </c>
      <c r="F3114">
        <v>1752</v>
      </c>
      <c r="G3114">
        <v>2623</v>
      </c>
      <c r="H3114">
        <v>79</v>
      </c>
      <c r="J3114" t="s">
        <v>2298</v>
      </c>
      <c r="O3114" t="s">
        <v>41</v>
      </c>
      <c r="V3114" t="s">
        <v>4648</v>
      </c>
      <c r="W3114" t="s">
        <v>92</v>
      </c>
      <c r="Y3114" t="s">
        <v>38</v>
      </c>
      <c r="AA3114" t="s">
        <v>38</v>
      </c>
      <c r="AB3114" t="s">
        <v>38</v>
      </c>
      <c r="AC3114" t="s">
        <v>38</v>
      </c>
      <c r="AD3114" t="s">
        <v>48</v>
      </c>
      <c r="AG3114" t="str">
        <f>IF(AD3114="United States", IFERROR(INDEX(Sheet2!$C:$C, MATCH(AE3114&amp;AF3114, Sheet2!$E:$E, 0)) &amp; ", " &amp; INDEX(Sheet2!$D:$D, MATCH(AE3114&amp;AF3114, Sheet2!$E:$E, 0)), ""), "-")</f>
        <v/>
      </c>
    </row>
    <row r="3115" spans="1:33" x14ac:dyDescent="0.25">
      <c r="A3115" t="s">
        <v>4647</v>
      </c>
      <c r="D3115" t="s">
        <v>334</v>
      </c>
      <c r="E3115" t="s">
        <v>4691</v>
      </c>
      <c r="F3115">
        <v>1751</v>
      </c>
      <c r="G3115">
        <v>2624</v>
      </c>
      <c r="H3115">
        <v>79</v>
      </c>
      <c r="J3115" t="s">
        <v>2298</v>
      </c>
      <c r="O3115" t="s">
        <v>41</v>
      </c>
      <c r="V3115" t="s">
        <v>4648</v>
      </c>
      <c r="W3115" t="s">
        <v>92</v>
      </c>
      <c r="Y3115" t="s">
        <v>38</v>
      </c>
      <c r="AA3115" t="s">
        <v>38</v>
      </c>
      <c r="AB3115" t="s">
        <v>38</v>
      </c>
      <c r="AC3115" t="s">
        <v>38</v>
      </c>
      <c r="AD3115" t="s">
        <v>48</v>
      </c>
      <c r="AG3115" t="str">
        <f>IF(AD3115="United States", IFERROR(INDEX(Sheet2!$C:$C, MATCH(AE3115&amp;AF3115, Sheet2!$E:$E, 0)) &amp; ", " &amp; INDEX(Sheet2!$D:$D, MATCH(AE3115&amp;AF3115, Sheet2!$E:$E, 0)), ""), "-")</f>
        <v/>
      </c>
    </row>
    <row r="3116" spans="1:33" x14ac:dyDescent="0.25">
      <c r="A3116" t="s">
        <v>4647</v>
      </c>
      <c r="D3116" t="s">
        <v>945</v>
      </c>
      <c r="E3116" t="s">
        <v>1854</v>
      </c>
      <c r="F3116">
        <v>1759</v>
      </c>
      <c r="G3116">
        <v>2625</v>
      </c>
      <c r="H3116">
        <v>79</v>
      </c>
      <c r="J3116" t="s">
        <v>2298</v>
      </c>
      <c r="O3116" t="s">
        <v>41</v>
      </c>
      <c r="V3116" t="s">
        <v>4648</v>
      </c>
      <c r="W3116" t="s">
        <v>92</v>
      </c>
      <c r="Y3116" t="s">
        <v>38</v>
      </c>
      <c r="AA3116" t="s">
        <v>38</v>
      </c>
      <c r="AB3116" t="s">
        <v>38</v>
      </c>
      <c r="AC3116" t="s">
        <v>38</v>
      </c>
      <c r="AD3116" t="s">
        <v>48</v>
      </c>
      <c r="AG3116" t="str">
        <f>IF(AD3116="United States", IFERROR(INDEX(Sheet2!$C:$C, MATCH(AE3116&amp;AF3116, Sheet2!$E:$E, 0)) &amp; ", " &amp; INDEX(Sheet2!$D:$D, MATCH(AE3116&amp;AF3116, Sheet2!$E:$E, 0)), ""), "-")</f>
        <v/>
      </c>
    </row>
    <row r="3117" spans="1:33" x14ac:dyDescent="0.25">
      <c r="A3117" t="s">
        <v>4647</v>
      </c>
      <c r="D3117" t="s">
        <v>1126</v>
      </c>
      <c r="E3117" t="s">
        <v>4692</v>
      </c>
      <c r="F3117">
        <v>1755</v>
      </c>
      <c r="G3117">
        <v>2626</v>
      </c>
      <c r="H3117">
        <v>79</v>
      </c>
      <c r="J3117" t="s">
        <v>2298</v>
      </c>
      <c r="O3117" t="s">
        <v>41</v>
      </c>
      <c r="V3117" t="s">
        <v>4648</v>
      </c>
      <c r="W3117" t="s">
        <v>92</v>
      </c>
      <c r="Y3117" t="s">
        <v>38</v>
      </c>
      <c r="AA3117" t="s">
        <v>38</v>
      </c>
      <c r="AB3117" t="s">
        <v>38</v>
      </c>
      <c r="AC3117" t="s">
        <v>38</v>
      </c>
      <c r="AD3117" t="s">
        <v>48</v>
      </c>
      <c r="AG3117" t="str">
        <f>IF(AD3117="United States", IFERROR(INDEX(Sheet2!$C:$C, MATCH(AE3117&amp;AF3117, Sheet2!$E:$E, 0)) &amp; ", " &amp; INDEX(Sheet2!$D:$D, MATCH(AE3117&amp;AF3117, Sheet2!$E:$E, 0)), ""), "-")</f>
        <v/>
      </c>
    </row>
    <row r="3118" spans="1:33" x14ac:dyDescent="0.25">
      <c r="A3118" t="s">
        <v>4647</v>
      </c>
      <c r="D3118" t="s">
        <v>210</v>
      </c>
      <c r="E3118" t="s">
        <v>465</v>
      </c>
      <c r="F3118">
        <v>1758</v>
      </c>
      <c r="G3118">
        <v>2636</v>
      </c>
      <c r="H3118">
        <v>79</v>
      </c>
      <c r="J3118" t="s">
        <v>2298</v>
      </c>
      <c r="O3118" t="s">
        <v>41</v>
      </c>
      <c r="V3118" t="s">
        <v>4648</v>
      </c>
      <c r="W3118" t="s">
        <v>92</v>
      </c>
      <c r="Y3118" t="s">
        <v>38</v>
      </c>
      <c r="AA3118" t="s">
        <v>38</v>
      </c>
      <c r="AB3118" t="s">
        <v>38</v>
      </c>
      <c r="AC3118" t="s">
        <v>38</v>
      </c>
      <c r="AD3118" t="s">
        <v>48</v>
      </c>
      <c r="AG3118" t="str">
        <f>IF(AD3118="United States", IFERROR(INDEX(Sheet2!$C:$C, MATCH(AE3118&amp;AF3118, Sheet2!$E:$E, 0)) &amp; ", " &amp; INDEX(Sheet2!$D:$D, MATCH(AE3118&amp;AF3118, Sheet2!$E:$E, 0)), ""), "-")</f>
        <v/>
      </c>
    </row>
    <row r="3119" spans="1:33" x14ac:dyDescent="0.25">
      <c r="A3119" t="s">
        <v>4647</v>
      </c>
      <c r="D3119" t="s">
        <v>1110</v>
      </c>
      <c r="E3119" t="s">
        <v>4693</v>
      </c>
      <c r="F3119">
        <v>1763</v>
      </c>
      <c r="G3119">
        <v>2637</v>
      </c>
      <c r="H3119">
        <v>79</v>
      </c>
      <c r="J3119" t="s">
        <v>2298</v>
      </c>
      <c r="O3119" t="s">
        <v>41</v>
      </c>
      <c r="V3119" t="s">
        <v>4648</v>
      </c>
      <c r="W3119" t="s">
        <v>92</v>
      </c>
      <c r="Y3119" t="s">
        <v>38</v>
      </c>
      <c r="AA3119" t="s">
        <v>38</v>
      </c>
      <c r="AB3119" t="s">
        <v>38</v>
      </c>
      <c r="AC3119" t="s">
        <v>38</v>
      </c>
      <c r="AD3119" t="s">
        <v>48</v>
      </c>
      <c r="AG3119" t="str">
        <f>IF(AD3119="United States", IFERROR(INDEX(Sheet2!$C:$C, MATCH(AE3119&amp;AF3119, Sheet2!$E:$E, 0)) &amp; ", " &amp; INDEX(Sheet2!$D:$D, MATCH(AE3119&amp;AF3119, Sheet2!$E:$E, 0)), ""), "-")</f>
        <v/>
      </c>
    </row>
    <row r="3120" spans="1:33" x14ac:dyDescent="0.25">
      <c r="A3120" t="s">
        <v>4647</v>
      </c>
      <c r="D3120" t="s">
        <v>1126</v>
      </c>
      <c r="E3120" t="s">
        <v>4694</v>
      </c>
      <c r="F3120">
        <v>1754</v>
      </c>
      <c r="G3120">
        <v>2638</v>
      </c>
      <c r="H3120">
        <v>79</v>
      </c>
      <c r="J3120" t="s">
        <v>2298</v>
      </c>
      <c r="O3120" t="s">
        <v>41</v>
      </c>
      <c r="V3120" t="s">
        <v>4648</v>
      </c>
      <c r="W3120" t="s">
        <v>92</v>
      </c>
      <c r="Y3120" t="s">
        <v>38</v>
      </c>
      <c r="AA3120" t="s">
        <v>38</v>
      </c>
      <c r="AB3120" t="s">
        <v>38</v>
      </c>
      <c r="AC3120" t="s">
        <v>38</v>
      </c>
      <c r="AD3120" t="s">
        <v>48</v>
      </c>
      <c r="AG3120" t="str">
        <f>IF(AD3120="United States", IFERROR(INDEX(Sheet2!$C:$C, MATCH(AE3120&amp;AF3120, Sheet2!$E:$E, 0)) &amp; ", " &amp; INDEX(Sheet2!$D:$D, MATCH(AE3120&amp;AF3120, Sheet2!$E:$E, 0)), ""), "-")</f>
        <v/>
      </c>
    </row>
    <row r="3121" spans="1:33" x14ac:dyDescent="0.25">
      <c r="A3121" t="s">
        <v>4647</v>
      </c>
      <c r="D3121" t="s">
        <v>4695</v>
      </c>
      <c r="E3121" t="s">
        <v>633</v>
      </c>
      <c r="F3121">
        <v>1752</v>
      </c>
      <c r="G3121">
        <v>2639</v>
      </c>
      <c r="H3121">
        <v>79</v>
      </c>
      <c r="J3121" t="s">
        <v>2298</v>
      </c>
      <c r="O3121" t="s">
        <v>41</v>
      </c>
      <c r="V3121" t="s">
        <v>4648</v>
      </c>
      <c r="W3121" t="s">
        <v>92</v>
      </c>
      <c r="Y3121" t="s">
        <v>38</v>
      </c>
      <c r="AA3121" t="s">
        <v>38</v>
      </c>
      <c r="AB3121" t="s">
        <v>38</v>
      </c>
      <c r="AC3121" t="s">
        <v>38</v>
      </c>
      <c r="AD3121" t="s">
        <v>48</v>
      </c>
      <c r="AG3121" t="str">
        <f>IF(AD3121="United States", IFERROR(INDEX(Sheet2!$C:$C, MATCH(AE3121&amp;AF3121, Sheet2!$E:$E, 0)) &amp; ", " &amp; INDEX(Sheet2!$D:$D, MATCH(AE3121&amp;AF3121, Sheet2!$E:$E, 0)), ""), "-")</f>
        <v/>
      </c>
    </row>
    <row r="3122" spans="1:33" x14ac:dyDescent="0.25">
      <c r="A3122" t="s">
        <v>4647</v>
      </c>
      <c r="D3122" t="s">
        <v>62</v>
      </c>
      <c r="E3122" t="s">
        <v>4696</v>
      </c>
      <c r="F3122">
        <v>1752</v>
      </c>
      <c r="G3122">
        <v>2640</v>
      </c>
      <c r="H3122">
        <v>79</v>
      </c>
      <c r="J3122" t="s">
        <v>2298</v>
      </c>
      <c r="O3122" t="s">
        <v>41</v>
      </c>
      <c r="V3122" t="s">
        <v>4648</v>
      </c>
      <c r="W3122" t="s">
        <v>92</v>
      </c>
      <c r="Y3122" t="s">
        <v>38</v>
      </c>
      <c r="AA3122" t="s">
        <v>38</v>
      </c>
      <c r="AB3122" t="s">
        <v>38</v>
      </c>
      <c r="AC3122" t="s">
        <v>38</v>
      </c>
      <c r="AD3122" t="s">
        <v>48</v>
      </c>
      <c r="AG3122" t="str">
        <f>IF(AD3122="United States", IFERROR(INDEX(Sheet2!$C:$C, MATCH(AE3122&amp;AF3122, Sheet2!$E:$E, 0)) &amp; ", " &amp; INDEX(Sheet2!$D:$D, MATCH(AE3122&amp;AF3122, Sheet2!$E:$E, 0)), ""), "-")</f>
        <v/>
      </c>
    </row>
    <row r="3123" spans="1:33" x14ac:dyDescent="0.25">
      <c r="A3123" t="s">
        <v>4647</v>
      </c>
      <c r="D3123" t="s">
        <v>615</v>
      </c>
      <c r="E3123" t="s">
        <v>633</v>
      </c>
      <c r="F3123">
        <v>1738</v>
      </c>
      <c r="G3123">
        <v>2641</v>
      </c>
      <c r="H3123">
        <v>80</v>
      </c>
      <c r="J3123" t="s">
        <v>2298</v>
      </c>
      <c r="O3123" t="s">
        <v>41</v>
      </c>
      <c r="V3123" t="s">
        <v>4648</v>
      </c>
      <c r="W3123" t="s">
        <v>92</v>
      </c>
      <c r="Y3123" t="s">
        <v>38</v>
      </c>
      <c r="AA3123" t="s">
        <v>38</v>
      </c>
      <c r="AB3123" t="s">
        <v>38</v>
      </c>
      <c r="AC3123" t="s">
        <v>38</v>
      </c>
      <c r="AD3123" t="s">
        <v>48</v>
      </c>
      <c r="AG3123" t="str">
        <f>IF(AD3123="United States", IFERROR(INDEX(Sheet2!$C:$C, MATCH(AE3123&amp;AF3123, Sheet2!$E:$E, 0)) &amp; ", " &amp; INDEX(Sheet2!$D:$D, MATCH(AE3123&amp;AF3123, Sheet2!$E:$E, 0)), ""), "-")</f>
        <v/>
      </c>
    </row>
    <row r="3124" spans="1:33" x14ac:dyDescent="0.25">
      <c r="A3124" t="s">
        <v>4647</v>
      </c>
      <c r="D3124" t="s">
        <v>4680</v>
      </c>
      <c r="E3124" t="s">
        <v>4697</v>
      </c>
      <c r="F3124">
        <v>1727</v>
      </c>
      <c r="G3124">
        <v>2642</v>
      </c>
      <c r="H3124">
        <v>80</v>
      </c>
      <c r="J3124" t="s">
        <v>2298</v>
      </c>
      <c r="O3124" t="s">
        <v>41</v>
      </c>
      <c r="V3124" t="s">
        <v>4648</v>
      </c>
      <c r="W3124" t="s">
        <v>92</v>
      </c>
      <c r="Y3124" t="s">
        <v>38</v>
      </c>
      <c r="AA3124" t="s">
        <v>38</v>
      </c>
      <c r="AB3124" t="s">
        <v>38</v>
      </c>
      <c r="AC3124" t="s">
        <v>38</v>
      </c>
      <c r="AD3124" t="s">
        <v>48</v>
      </c>
      <c r="AG3124" t="str">
        <f>IF(AD3124="United States", IFERROR(INDEX(Sheet2!$C:$C, MATCH(AE3124&amp;AF3124, Sheet2!$E:$E, 0)) &amp; ", " &amp; INDEX(Sheet2!$D:$D, MATCH(AE3124&amp;AF3124, Sheet2!$E:$E, 0)), ""), "-")</f>
        <v/>
      </c>
    </row>
    <row r="3125" spans="1:33" x14ac:dyDescent="0.25">
      <c r="A3125" t="s">
        <v>4647</v>
      </c>
      <c r="D3125" t="s">
        <v>210</v>
      </c>
      <c r="E3125" t="s">
        <v>4698</v>
      </c>
      <c r="F3125">
        <v>1764</v>
      </c>
      <c r="G3125">
        <v>2634</v>
      </c>
      <c r="H3125">
        <v>79</v>
      </c>
      <c r="J3125" t="s">
        <v>2298</v>
      </c>
      <c r="O3125" t="s">
        <v>41</v>
      </c>
      <c r="V3125" t="s">
        <v>4648</v>
      </c>
      <c r="W3125" t="s">
        <v>92</v>
      </c>
      <c r="Y3125" t="s">
        <v>38</v>
      </c>
      <c r="AA3125" t="s">
        <v>38</v>
      </c>
      <c r="AB3125" t="s">
        <v>38</v>
      </c>
      <c r="AC3125" t="s">
        <v>38</v>
      </c>
      <c r="AD3125" t="s">
        <v>48</v>
      </c>
      <c r="AG3125" t="str">
        <f>IF(AD3125="United States", IFERROR(INDEX(Sheet2!$C:$C, MATCH(AE3125&amp;AF3125, Sheet2!$E:$E, 0)) &amp; ", " &amp; INDEX(Sheet2!$D:$D, MATCH(AE3125&amp;AF3125, Sheet2!$E:$E, 0)), ""), "-")</f>
        <v/>
      </c>
    </row>
    <row r="3126" spans="1:33" x14ac:dyDescent="0.25">
      <c r="A3126" t="s">
        <v>4647</v>
      </c>
      <c r="D3126" t="s">
        <v>210</v>
      </c>
      <c r="E3126" t="s">
        <v>4699</v>
      </c>
      <c r="F3126">
        <v>1738</v>
      </c>
      <c r="G3126">
        <v>2643</v>
      </c>
      <c r="H3126">
        <v>80</v>
      </c>
      <c r="J3126" t="s">
        <v>2298</v>
      </c>
      <c r="O3126" t="s">
        <v>41</v>
      </c>
      <c r="V3126" t="s">
        <v>4648</v>
      </c>
      <c r="W3126" t="s">
        <v>92</v>
      </c>
      <c r="Y3126" t="s">
        <v>38</v>
      </c>
      <c r="AA3126" t="s">
        <v>38</v>
      </c>
      <c r="AB3126" t="s">
        <v>38</v>
      </c>
      <c r="AC3126" t="s">
        <v>38</v>
      </c>
      <c r="AD3126" t="s">
        <v>48</v>
      </c>
      <c r="AG3126" t="str">
        <f>IF(AD3126="United States", IFERROR(INDEX(Sheet2!$C:$C, MATCH(AE3126&amp;AF3126, Sheet2!$E:$E, 0)) &amp; ", " &amp; INDEX(Sheet2!$D:$D, MATCH(AE3126&amp;AF3126, Sheet2!$E:$E, 0)), ""), "-")</f>
        <v/>
      </c>
    </row>
    <row r="3127" spans="1:33" x14ac:dyDescent="0.25">
      <c r="A3127" t="s">
        <v>4647</v>
      </c>
      <c r="D3127" t="s">
        <v>220</v>
      </c>
      <c r="E3127" t="s">
        <v>4700</v>
      </c>
      <c r="F3127">
        <v>1761</v>
      </c>
      <c r="G3127">
        <v>2645</v>
      </c>
      <c r="H3127">
        <v>80</v>
      </c>
      <c r="J3127" t="s">
        <v>2298</v>
      </c>
      <c r="O3127" t="s">
        <v>41</v>
      </c>
      <c r="V3127" t="s">
        <v>4648</v>
      </c>
      <c r="W3127" t="s">
        <v>92</v>
      </c>
      <c r="Y3127" t="s">
        <v>38</v>
      </c>
      <c r="AA3127" t="s">
        <v>38</v>
      </c>
      <c r="AB3127" t="s">
        <v>38</v>
      </c>
      <c r="AC3127" t="s">
        <v>38</v>
      </c>
      <c r="AD3127" t="s">
        <v>48</v>
      </c>
      <c r="AG3127" t="str">
        <f>IF(AD3127="United States", IFERROR(INDEX(Sheet2!$C:$C, MATCH(AE3127&amp;AF3127, Sheet2!$E:$E, 0)) &amp; ", " &amp; INDEX(Sheet2!$D:$D, MATCH(AE3127&amp;AF3127, Sheet2!$E:$E, 0)), ""), "-")</f>
        <v/>
      </c>
    </row>
    <row r="3128" spans="1:33" x14ac:dyDescent="0.25">
      <c r="A3128" t="s">
        <v>4647</v>
      </c>
      <c r="D3128" t="s">
        <v>226</v>
      </c>
      <c r="E3128" t="s">
        <v>4701</v>
      </c>
      <c r="F3128">
        <v>1757</v>
      </c>
      <c r="G3128">
        <v>2646</v>
      </c>
      <c r="H3128">
        <v>80</v>
      </c>
      <c r="J3128" t="s">
        <v>2298</v>
      </c>
      <c r="O3128" t="s">
        <v>41</v>
      </c>
      <c r="V3128" t="s">
        <v>4648</v>
      </c>
      <c r="W3128" t="s">
        <v>92</v>
      </c>
      <c r="Y3128" t="s">
        <v>38</v>
      </c>
      <c r="AA3128" t="s">
        <v>38</v>
      </c>
      <c r="AB3128" t="s">
        <v>38</v>
      </c>
      <c r="AC3128" t="s">
        <v>38</v>
      </c>
      <c r="AD3128" t="s">
        <v>48</v>
      </c>
      <c r="AG3128" t="str">
        <f>IF(AD3128="United States", IFERROR(INDEX(Sheet2!$C:$C, MATCH(AE3128&amp;AF3128, Sheet2!$E:$E, 0)) &amp; ", " &amp; INDEX(Sheet2!$D:$D, MATCH(AE3128&amp;AF3128, Sheet2!$E:$E, 0)), ""), "-")</f>
        <v/>
      </c>
    </row>
    <row r="3129" spans="1:33" x14ac:dyDescent="0.25">
      <c r="A3129" t="s">
        <v>4647</v>
      </c>
      <c r="D3129" t="s">
        <v>4702</v>
      </c>
      <c r="E3129" t="s">
        <v>4703</v>
      </c>
      <c r="F3129">
        <v>1763</v>
      </c>
      <c r="G3129">
        <v>2647</v>
      </c>
      <c r="H3129">
        <v>80</v>
      </c>
      <c r="J3129" t="s">
        <v>2298</v>
      </c>
      <c r="O3129" t="s">
        <v>41</v>
      </c>
      <c r="V3129" t="s">
        <v>4648</v>
      </c>
      <c r="W3129" t="s">
        <v>92</v>
      </c>
      <c r="Y3129" t="s">
        <v>38</v>
      </c>
      <c r="AA3129" t="s">
        <v>38</v>
      </c>
      <c r="AB3129" t="s">
        <v>38</v>
      </c>
      <c r="AC3129" t="s">
        <v>38</v>
      </c>
      <c r="AD3129" t="s">
        <v>48</v>
      </c>
      <c r="AG3129" t="str">
        <f>IF(AD3129="United States", IFERROR(INDEX(Sheet2!$C:$C, MATCH(AE3129&amp;AF3129, Sheet2!$E:$E, 0)) &amp; ", " &amp; INDEX(Sheet2!$D:$D, MATCH(AE3129&amp;AF3129, Sheet2!$E:$E, 0)), ""), "-")</f>
        <v/>
      </c>
    </row>
    <row r="3130" spans="1:33" x14ac:dyDescent="0.25">
      <c r="A3130" t="s">
        <v>4647</v>
      </c>
      <c r="D3130" t="s">
        <v>982</v>
      </c>
      <c r="E3130" t="s">
        <v>624</v>
      </c>
      <c r="F3130">
        <v>1760</v>
      </c>
      <c r="G3130">
        <v>2648</v>
      </c>
      <c r="H3130">
        <v>80</v>
      </c>
      <c r="J3130" t="s">
        <v>2298</v>
      </c>
      <c r="O3130" t="s">
        <v>41</v>
      </c>
      <c r="V3130" t="s">
        <v>4648</v>
      </c>
      <c r="W3130" t="s">
        <v>92</v>
      </c>
      <c r="Y3130" t="s">
        <v>38</v>
      </c>
      <c r="AA3130" t="s">
        <v>38</v>
      </c>
      <c r="AB3130" t="s">
        <v>38</v>
      </c>
      <c r="AC3130" t="s">
        <v>38</v>
      </c>
      <c r="AD3130" t="s">
        <v>48</v>
      </c>
      <c r="AG3130" t="str">
        <f>IF(AD3130="United States", IFERROR(INDEX(Sheet2!$C:$C, MATCH(AE3130&amp;AF3130, Sheet2!$E:$E, 0)) &amp; ", " &amp; INDEX(Sheet2!$D:$D, MATCH(AE3130&amp;AF3130, Sheet2!$E:$E, 0)), ""), "-")</f>
        <v/>
      </c>
    </row>
    <row r="3131" spans="1:33" x14ac:dyDescent="0.25">
      <c r="A3131" t="s">
        <v>4647</v>
      </c>
      <c r="D3131" t="s">
        <v>256</v>
      </c>
      <c r="E3131" t="s">
        <v>2298</v>
      </c>
      <c r="F3131">
        <v>1749</v>
      </c>
      <c r="G3131">
        <v>2649</v>
      </c>
      <c r="H3131">
        <v>80</v>
      </c>
      <c r="J3131" t="s">
        <v>2298</v>
      </c>
      <c r="O3131" t="s">
        <v>57</v>
      </c>
      <c r="V3131" t="s">
        <v>4648</v>
      </c>
      <c r="W3131" t="s">
        <v>92</v>
      </c>
      <c r="Y3131" t="s">
        <v>38</v>
      </c>
      <c r="AA3131" t="s">
        <v>38</v>
      </c>
      <c r="AB3131" t="s">
        <v>38</v>
      </c>
      <c r="AC3131" t="s">
        <v>38</v>
      </c>
      <c r="AD3131" t="s">
        <v>48</v>
      </c>
      <c r="AG3131" t="str">
        <f>IF(AD3131="United States", IFERROR(INDEX(Sheet2!$C:$C, MATCH(AE3131&amp;AF3131, Sheet2!$E:$E, 0)) &amp; ", " &amp; INDEX(Sheet2!$D:$D, MATCH(AE3131&amp;AF3131, Sheet2!$E:$E, 0)), ""), "-")</f>
        <v/>
      </c>
    </row>
    <row r="3132" spans="1:33" x14ac:dyDescent="0.25">
      <c r="A3132" t="s">
        <v>4647</v>
      </c>
      <c r="D3132" t="s">
        <v>394</v>
      </c>
      <c r="E3132" t="s">
        <v>38</v>
      </c>
      <c r="F3132">
        <v>1778</v>
      </c>
      <c r="G3132">
        <v>2628</v>
      </c>
      <c r="H3132">
        <v>79</v>
      </c>
      <c r="J3132" t="s">
        <v>2298</v>
      </c>
      <c r="O3132" t="s">
        <v>54</v>
      </c>
      <c r="V3132" t="s">
        <v>4648</v>
      </c>
      <c r="W3132" t="s">
        <v>92</v>
      </c>
      <c r="Y3132" t="s">
        <v>38</v>
      </c>
      <c r="AA3132" t="s">
        <v>38</v>
      </c>
      <c r="AB3132" t="s">
        <v>38</v>
      </c>
      <c r="AC3132" t="s">
        <v>38</v>
      </c>
      <c r="AD3132" t="s">
        <v>48</v>
      </c>
      <c r="AG3132" t="str">
        <f>IF(AD3132="United States", IFERROR(INDEX(Sheet2!$C:$C, MATCH(AE3132&amp;AF3132, Sheet2!$E:$E, 0)) &amp; ", " &amp; INDEX(Sheet2!$D:$D, MATCH(AE3132&amp;AF3132, Sheet2!$E:$E, 0)), ""), "-")</f>
        <v/>
      </c>
    </row>
    <row r="3133" spans="1:33" x14ac:dyDescent="0.25">
      <c r="A3133" t="s">
        <v>4647</v>
      </c>
      <c r="D3133" t="s">
        <v>200</v>
      </c>
      <c r="E3133" t="s">
        <v>4659</v>
      </c>
      <c r="F3133">
        <v>1690</v>
      </c>
      <c r="G3133">
        <v>2627</v>
      </c>
      <c r="H3133">
        <v>79</v>
      </c>
      <c r="J3133" t="s">
        <v>2298</v>
      </c>
      <c r="O3133" t="s">
        <v>41</v>
      </c>
      <c r="V3133" t="s">
        <v>4648</v>
      </c>
      <c r="W3133" t="s">
        <v>92</v>
      </c>
      <c r="Y3133" t="s">
        <v>38</v>
      </c>
      <c r="AA3133" t="s">
        <v>38</v>
      </c>
      <c r="AB3133" t="s">
        <v>38</v>
      </c>
      <c r="AC3133" t="s">
        <v>38</v>
      </c>
      <c r="AD3133" t="s">
        <v>48</v>
      </c>
      <c r="AG3133" t="str">
        <f>IF(AD3133="United States", IFERROR(INDEX(Sheet2!$C:$C, MATCH(AE3133&amp;AF3133, Sheet2!$E:$E, 0)) &amp; ", " &amp; INDEX(Sheet2!$D:$D, MATCH(AE3133&amp;AF3133, Sheet2!$E:$E, 0)), ""), "-")</f>
        <v/>
      </c>
    </row>
    <row r="3134" spans="1:33" x14ac:dyDescent="0.25">
      <c r="A3134" t="s">
        <v>4647</v>
      </c>
      <c r="D3134" t="s">
        <v>3723</v>
      </c>
      <c r="E3134" t="s">
        <v>859</v>
      </c>
      <c r="F3134">
        <v>1754</v>
      </c>
      <c r="G3134">
        <v>2644</v>
      </c>
      <c r="H3134">
        <v>80</v>
      </c>
      <c r="J3134" t="s">
        <v>2298</v>
      </c>
      <c r="O3134" t="s">
        <v>41</v>
      </c>
      <c r="V3134" t="s">
        <v>4648</v>
      </c>
      <c r="W3134" t="s">
        <v>92</v>
      </c>
      <c r="Y3134" t="s">
        <v>38</v>
      </c>
      <c r="AA3134" t="s">
        <v>38</v>
      </c>
      <c r="AB3134" t="s">
        <v>38</v>
      </c>
      <c r="AC3134" t="s">
        <v>38</v>
      </c>
      <c r="AD3134" t="s">
        <v>48</v>
      </c>
      <c r="AG3134" t="str">
        <f>IF(AD3134="United States", IFERROR(INDEX(Sheet2!$C:$C, MATCH(AE3134&amp;AF3134, Sheet2!$E:$E, 0)) &amp; ", " &amp; INDEX(Sheet2!$D:$D, MATCH(AE3134&amp;AF3134, Sheet2!$E:$E, 0)), ""), "-")</f>
        <v/>
      </c>
    </row>
    <row r="3135" spans="1:33" x14ac:dyDescent="0.25">
      <c r="A3135" t="s">
        <v>4647</v>
      </c>
      <c r="D3135" t="s">
        <v>4704</v>
      </c>
      <c r="E3135" t="s">
        <v>4705</v>
      </c>
      <c r="F3135">
        <v>1754</v>
      </c>
      <c r="G3135">
        <v>2586</v>
      </c>
      <c r="H3135">
        <v>78</v>
      </c>
      <c r="J3135" t="s">
        <v>2298</v>
      </c>
      <c r="O3135" t="s">
        <v>41</v>
      </c>
      <c r="V3135" t="s">
        <v>1619</v>
      </c>
      <c r="W3135" t="s">
        <v>92</v>
      </c>
      <c r="Y3135" t="s">
        <v>38</v>
      </c>
      <c r="AA3135" t="s">
        <v>38</v>
      </c>
      <c r="AB3135" t="s">
        <v>38</v>
      </c>
      <c r="AC3135" t="s">
        <v>38</v>
      </c>
      <c r="AD3135" t="s">
        <v>48</v>
      </c>
      <c r="AG3135" t="str">
        <f>IF(AD3135="United States", IFERROR(INDEX(Sheet2!$C:$C, MATCH(AE3135&amp;AF3135, Sheet2!$E:$E, 0)) &amp; ", " &amp; INDEX(Sheet2!$D:$D, MATCH(AE3135&amp;AF3135, Sheet2!$E:$E, 0)), ""), "-")</f>
        <v/>
      </c>
    </row>
    <row r="3136" spans="1:33" x14ac:dyDescent="0.25">
      <c r="A3136" t="s">
        <v>4647</v>
      </c>
      <c r="D3136" t="s">
        <v>3152</v>
      </c>
      <c r="E3136" t="s">
        <v>38</v>
      </c>
      <c r="F3136">
        <v>1763</v>
      </c>
      <c r="G3136">
        <v>2678</v>
      </c>
      <c r="H3136">
        <v>80</v>
      </c>
      <c r="J3136" t="s">
        <v>2298</v>
      </c>
      <c r="O3136" t="s">
        <v>57</v>
      </c>
      <c r="V3136" t="s">
        <v>4648</v>
      </c>
      <c r="W3136" t="s">
        <v>92</v>
      </c>
      <c r="Y3136" t="s">
        <v>38</v>
      </c>
      <c r="AA3136" t="s">
        <v>38</v>
      </c>
      <c r="AB3136" t="s">
        <v>38</v>
      </c>
      <c r="AC3136" t="s">
        <v>38</v>
      </c>
      <c r="AD3136" t="s">
        <v>48</v>
      </c>
      <c r="AG3136" t="str">
        <f>IF(AD3136="United States", IFERROR(INDEX(Sheet2!$C:$C, MATCH(AE3136&amp;AF3136, Sheet2!$E:$E, 0)) &amp; ", " &amp; INDEX(Sheet2!$D:$D, MATCH(AE3136&amp;AF3136, Sheet2!$E:$E, 0)), ""), "-")</f>
        <v/>
      </c>
    </row>
    <row r="3137" spans="1:33" x14ac:dyDescent="0.25">
      <c r="A3137" t="s">
        <v>4647</v>
      </c>
      <c r="D3137" t="s">
        <v>991</v>
      </c>
      <c r="E3137" t="s">
        <v>38</v>
      </c>
      <c r="F3137">
        <v>1756</v>
      </c>
      <c r="G3137">
        <v>2706</v>
      </c>
      <c r="H3137">
        <v>81</v>
      </c>
      <c r="J3137" t="s">
        <v>2298</v>
      </c>
      <c r="O3137" t="s">
        <v>41</v>
      </c>
      <c r="V3137" t="s">
        <v>4648</v>
      </c>
      <c r="W3137" t="s">
        <v>92</v>
      </c>
      <c r="Y3137" t="s">
        <v>38</v>
      </c>
      <c r="AA3137" t="s">
        <v>38</v>
      </c>
      <c r="AB3137" t="s">
        <v>38</v>
      </c>
      <c r="AC3137" t="s">
        <v>38</v>
      </c>
      <c r="AD3137" t="s">
        <v>48</v>
      </c>
      <c r="AG3137" t="str">
        <f>IF(AD3137="United States", IFERROR(INDEX(Sheet2!$C:$C, MATCH(AE3137&amp;AF3137, Sheet2!$E:$E, 0)) &amp; ", " &amp; INDEX(Sheet2!$D:$D, MATCH(AE3137&amp;AF3137, Sheet2!$E:$E, 0)), ""), "-")</f>
        <v/>
      </c>
    </row>
    <row r="3138" spans="1:33" x14ac:dyDescent="0.25">
      <c r="A3138" t="s">
        <v>4647</v>
      </c>
      <c r="D3138" t="s">
        <v>108</v>
      </c>
      <c r="E3138" t="s">
        <v>4706</v>
      </c>
      <c r="F3138">
        <v>1761</v>
      </c>
      <c r="G3138">
        <v>2716</v>
      </c>
      <c r="H3138">
        <v>81</v>
      </c>
      <c r="J3138" t="s">
        <v>2298</v>
      </c>
      <c r="O3138" t="s">
        <v>41</v>
      </c>
      <c r="V3138" t="s">
        <v>4648</v>
      </c>
      <c r="W3138" t="s">
        <v>92</v>
      </c>
      <c r="Y3138" t="s">
        <v>38</v>
      </c>
      <c r="AA3138" t="s">
        <v>38</v>
      </c>
      <c r="AB3138" t="s">
        <v>38</v>
      </c>
      <c r="AC3138" t="s">
        <v>38</v>
      </c>
      <c r="AD3138" t="s">
        <v>48</v>
      </c>
      <c r="AG3138" t="str">
        <f>IF(AD3138="United States", IFERROR(INDEX(Sheet2!$C:$C, MATCH(AE3138&amp;AF3138, Sheet2!$E:$E, 0)) &amp; ", " &amp; INDEX(Sheet2!$D:$D, MATCH(AE3138&amp;AF3138, Sheet2!$E:$E, 0)), ""), "-")</f>
        <v/>
      </c>
    </row>
    <row r="3139" spans="1:33" x14ac:dyDescent="0.25">
      <c r="A3139" t="s">
        <v>4647</v>
      </c>
      <c r="D3139" t="s">
        <v>4223</v>
      </c>
      <c r="E3139" t="s">
        <v>4707</v>
      </c>
      <c r="F3139">
        <v>1748</v>
      </c>
      <c r="G3139">
        <v>2717</v>
      </c>
      <c r="H3139">
        <v>81</v>
      </c>
      <c r="J3139" t="s">
        <v>2298</v>
      </c>
      <c r="O3139" t="s">
        <v>57</v>
      </c>
      <c r="V3139" t="s">
        <v>4648</v>
      </c>
      <c r="W3139" t="s">
        <v>92</v>
      </c>
      <c r="Y3139" t="s">
        <v>38</v>
      </c>
      <c r="AA3139" t="s">
        <v>38</v>
      </c>
      <c r="AB3139" t="s">
        <v>38</v>
      </c>
      <c r="AC3139" t="s">
        <v>38</v>
      </c>
      <c r="AD3139" t="s">
        <v>48</v>
      </c>
      <c r="AG3139" t="str">
        <f>IF(AD3139="United States", IFERROR(INDEX(Sheet2!$C:$C, MATCH(AE3139&amp;AF3139, Sheet2!$E:$E, 0)) &amp; ", " &amp; INDEX(Sheet2!$D:$D, MATCH(AE3139&amp;AF3139, Sheet2!$E:$E, 0)), ""), "-")</f>
        <v/>
      </c>
    </row>
    <row r="3140" spans="1:33" x14ac:dyDescent="0.25">
      <c r="A3140" t="s">
        <v>4647</v>
      </c>
      <c r="D3140" t="s">
        <v>285</v>
      </c>
      <c r="E3140" t="s">
        <v>38</v>
      </c>
      <c r="F3140">
        <v>1769</v>
      </c>
      <c r="G3140">
        <v>2718</v>
      </c>
      <c r="H3140">
        <v>81</v>
      </c>
      <c r="J3140" t="s">
        <v>2298</v>
      </c>
      <c r="O3140" t="s">
        <v>74</v>
      </c>
      <c r="V3140" t="s">
        <v>4648</v>
      </c>
      <c r="W3140" t="s">
        <v>92</v>
      </c>
      <c r="Y3140" t="s">
        <v>38</v>
      </c>
      <c r="AA3140" t="s">
        <v>38</v>
      </c>
      <c r="AB3140" t="s">
        <v>38</v>
      </c>
      <c r="AC3140" t="s">
        <v>38</v>
      </c>
      <c r="AD3140" t="s">
        <v>48</v>
      </c>
      <c r="AG3140" t="str">
        <f>IF(AD3140="United States", IFERROR(INDEX(Sheet2!$C:$C, MATCH(AE3140&amp;AF3140, Sheet2!$E:$E, 0)) &amp; ", " &amp; INDEX(Sheet2!$D:$D, MATCH(AE3140&amp;AF3140, Sheet2!$E:$E, 0)), ""), "-")</f>
        <v/>
      </c>
    </row>
    <row r="3141" spans="1:33" x14ac:dyDescent="0.25">
      <c r="A3141" t="s">
        <v>4647</v>
      </c>
      <c r="D3141" t="s">
        <v>803</v>
      </c>
      <c r="E3141" t="s">
        <v>38</v>
      </c>
      <c r="F3141">
        <v>1776</v>
      </c>
      <c r="G3141">
        <v>2719</v>
      </c>
      <c r="H3141">
        <v>81</v>
      </c>
      <c r="J3141" t="s">
        <v>2298</v>
      </c>
      <c r="O3141" t="s">
        <v>74</v>
      </c>
      <c r="V3141" t="s">
        <v>4648</v>
      </c>
      <c r="W3141" t="s">
        <v>92</v>
      </c>
      <c r="Y3141" t="s">
        <v>38</v>
      </c>
      <c r="AA3141" t="s">
        <v>38</v>
      </c>
      <c r="AB3141" t="s">
        <v>38</v>
      </c>
      <c r="AC3141" t="s">
        <v>38</v>
      </c>
      <c r="AD3141" t="s">
        <v>48</v>
      </c>
      <c r="AG3141" t="str">
        <f>IF(AD3141="United States", IFERROR(INDEX(Sheet2!$C:$C, MATCH(AE3141&amp;AF3141, Sheet2!$E:$E, 0)) &amp; ", " &amp; INDEX(Sheet2!$D:$D, MATCH(AE3141&amp;AF3141, Sheet2!$E:$E, 0)), ""), "-")</f>
        <v/>
      </c>
    </row>
    <row r="3142" spans="1:33" x14ac:dyDescent="0.25">
      <c r="A3142" t="s">
        <v>4647</v>
      </c>
      <c r="D3142" t="s">
        <v>195</v>
      </c>
      <c r="E3142" t="s">
        <v>1147</v>
      </c>
      <c r="F3142">
        <v>1758</v>
      </c>
      <c r="G3142">
        <v>2721</v>
      </c>
      <c r="H3142">
        <v>81</v>
      </c>
      <c r="J3142" t="s">
        <v>2298</v>
      </c>
      <c r="O3142" t="s">
        <v>41</v>
      </c>
      <c r="V3142" t="s">
        <v>4648</v>
      </c>
      <c r="W3142" t="s">
        <v>92</v>
      </c>
      <c r="Y3142" t="s">
        <v>38</v>
      </c>
      <c r="AA3142" t="s">
        <v>38</v>
      </c>
      <c r="AB3142" t="s">
        <v>38</v>
      </c>
      <c r="AC3142" t="s">
        <v>38</v>
      </c>
      <c r="AD3142" t="s">
        <v>48</v>
      </c>
      <c r="AG3142" t="str">
        <f>IF(AD3142="United States", IFERROR(INDEX(Sheet2!$C:$C, MATCH(AE3142&amp;AF3142, Sheet2!$E:$E, 0)) &amp; ", " &amp; INDEX(Sheet2!$D:$D, MATCH(AE3142&amp;AF3142, Sheet2!$E:$E, 0)), ""), "-")</f>
        <v/>
      </c>
    </row>
    <row r="3143" spans="1:33" x14ac:dyDescent="0.25">
      <c r="A3143" t="s">
        <v>4647</v>
      </c>
      <c r="D3143" t="s">
        <v>177</v>
      </c>
      <c r="E3143" t="s">
        <v>4708</v>
      </c>
      <c r="F3143">
        <v>1728</v>
      </c>
      <c r="G3143">
        <v>2722</v>
      </c>
      <c r="H3143">
        <v>81</v>
      </c>
      <c r="J3143" t="s">
        <v>2298</v>
      </c>
      <c r="O3143" t="s">
        <v>41</v>
      </c>
      <c r="V3143" t="s">
        <v>4648</v>
      </c>
      <c r="W3143" t="s">
        <v>92</v>
      </c>
      <c r="Y3143" t="s">
        <v>38</v>
      </c>
      <c r="AA3143" t="s">
        <v>38</v>
      </c>
      <c r="AB3143" t="s">
        <v>38</v>
      </c>
      <c r="AC3143" t="s">
        <v>38</v>
      </c>
      <c r="AD3143" t="s">
        <v>48</v>
      </c>
      <c r="AG3143" t="str">
        <f>IF(AD3143="United States", IFERROR(INDEX(Sheet2!$C:$C, MATCH(AE3143&amp;AF3143, Sheet2!$E:$E, 0)) &amp; ", " &amp; INDEX(Sheet2!$D:$D, MATCH(AE3143&amp;AF3143, Sheet2!$E:$E, 0)), ""), "-")</f>
        <v/>
      </c>
    </row>
    <row r="3144" spans="1:33" x14ac:dyDescent="0.25">
      <c r="A3144" t="s">
        <v>4647</v>
      </c>
      <c r="D3144" t="s">
        <v>1122</v>
      </c>
      <c r="E3144" t="s">
        <v>4709</v>
      </c>
      <c r="F3144">
        <v>1758</v>
      </c>
      <c r="G3144">
        <v>2723</v>
      </c>
      <c r="H3144">
        <v>81</v>
      </c>
      <c r="J3144" t="s">
        <v>2298</v>
      </c>
      <c r="O3144" t="s">
        <v>41</v>
      </c>
      <c r="V3144" t="s">
        <v>1619</v>
      </c>
      <c r="W3144" t="s">
        <v>92</v>
      </c>
      <c r="Y3144" t="s">
        <v>38</v>
      </c>
      <c r="AA3144" t="s">
        <v>38</v>
      </c>
      <c r="AB3144" t="s">
        <v>38</v>
      </c>
      <c r="AC3144" t="s">
        <v>38</v>
      </c>
      <c r="AD3144" t="s">
        <v>48</v>
      </c>
      <c r="AG3144" t="str">
        <f>IF(AD3144="United States", IFERROR(INDEX(Sheet2!$C:$C, MATCH(AE3144&amp;AF3144, Sheet2!$E:$E, 0)) &amp; ", " &amp; INDEX(Sheet2!$D:$D, MATCH(AE3144&amp;AF3144, Sheet2!$E:$E, 0)), ""), "-")</f>
        <v/>
      </c>
    </row>
    <row r="3145" spans="1:33" x14ac:dyDescent="0.25">
      <c r="A3145" t="s">
        <v>4647</v>
      </c>
      <c r="D3145" t="s">
        <v>2676</v>
      </c>
      <c r="E3145" t="s">
        <v>38</v>
      </c>
      <c r="F3145" t="s">
        <v>38</v>
      </c>
      <c r="G3145">
        <v>2692</v>
      </c>
      <c r="H3145">
        <v>81</v>
      </c>
      <c r="J3145" t="s">
        <v>2298</v>
      </c>
      <c r="O3145" t="s">
        <v>74</v>
      </c>
      <c r="V3145" t="s">
        <v>4648</v>
      </c>
      <c r="W3145" t="s">
        <v>92</v>
      </c>
      <c r="Y3145" t="s">
        <v>38</v>
      </c>
      <c r="AA3145" t="s">
        <v>38</v>
      </c>
      <c r="AB3145" t="s">
        <v>38</v>
      </c>
      <c r="AC3145" t="s">
        <v>38</v>
      </c>
      <c r="AD3145" t="s">
        <v>48</v>
      </c>
      <c r="AG3145" t="str">
        <f>IF(AD3145="United States", IFERROR(INDEX(Sheet2!$C:$C, MATCH(AE3145&amp;AF3145, Sheet2!$E:$E, 0)) &amp; ", " &amp; INDEX(Sheet2!$D:$D, MATCH(AE3145&amp;AF3145, Sheet2!$E:$E, 0)), ""), "-")</f>
        <v/>
      </c>
    </row>
    <row r="3146" spans="1:33" x14ac:dyDescent="0.25">
      <c r="A3146" t="s">
        <v>4647</v>
      </c>
      <c r="D3146" t="s">
        <v>835</v>
      </c>
      <c r="E3146" t="s">
        <v>38</v>
      </c>
      <c r="F3146">
        <v>1760</v>
      </c>
      <c r="G3146">
        <v>2691</v>
      </c>
      <c r="H3146">
        <v>81</v>
      </c>
      <c r="J3146" t="s">
        <v>2298</v>
      </c>
      <c r="O3146" t="s">
        <v>57</v>
      </c>
      <c r="V3146" t="s">
        <v>4648</v>
      </c>
      <c r="W3146" t="s">
        <v>92</v>
      </c>
      <c r="Y3146" t="s">
        <v>38</v>
      </c>
      <c r="AA3146" t="s">
        <v>38</v>
      </c>
      <c r="AB3146" t="s">
        <v>38</v>
      </c>
      <c r="AC3146" t="s">
        <v>38</v>
      </c>
      <c r="AD3146" t="s">
        <v>48</v>
      </c>
      <c r="AG3146" t="str">
        <f>IF(AD3146="United States", IFERROR(INDEX(Sheet2!$C:$C, MATCH(AE3146&amp;AF3146, Sheet2!$E:$E, 0)) &amp; ", " &amp; INDEX(Sheet2!$D:$D, MATCH(AE3146&amp;AF3146, Sheet2!$E:$E, 0)), ""), "-")</f>
        <v/>
      </c>
    </row>
    <row r="3147" spans="1:33" x14ac:dyDescent="0.25">
      <c r="A3147" t="s">
        <v>4647</v>
      </c>
      <c r="D3147" t="s">
        <v>50</v>
      </c>
      <c r="E3147" t="s">
        <v>38</v>
      </c>
      <c r="F3147" t="s">
        <v>38</v>
      </c>
      <c r="G3147">
        <v>2690</v>
      </c>
      <c r="H3147">
        <v>81</v>
      </c>
      <c r="J3147" t="s">
        <v>2298</v>
      </c>
      <c r="O3147" t="s">
        <v>74</v>
      </c>
      <c r="V3147" t="s">
        <v>4648</v>
      </c>
      <c r="W3147" t="s">
        <v>92</v>
      </c>
      <c r="Y3147" t="s">
        <v>38</v>
      </c>
      <c r="AA3147" t="s">
        <v>38</v>
      </c>
      <c r="AB3147" t="s">
        <v>38</v>
      </c>
      <c r="AC3147" t="s">
        <v>38</v>
      </c>
      <c r="AD3147" t="s">
        <v>48</v>
      </c>
      <c r="AG3147" t="str">
        <f>IF(AD3147="United States", IFERROR(INDEX(Sheet2!$C:$C, MATCH(AE3147&amp;AF3147, Sheet2!$E:$E, 0)) &amp; ", " &amp; INDEX(Sheet2!$D:$D, MATCH(AE3147&amp;AF3147, Sheet2!$E:$E, 0)), ""), "-")</f>
        <v/>
      </c>
    </row>
    <row r="3148" spans="1:33" x14ac:dyDescent="0.25">
      <c r="A3148" t="s">
        <v>4647</v>
      </c>
      <c r="D3148" t="s">
        <v>256</v>
      </c>
      <c r="E3148" t="s">
        <v>38</v>
      </c>
      <c r="F3148">
        <v>1764</v>
      </c>
      <c r="G3148">
        <v>2689</v>
      </c>
      <c r="H3148">
        <v>81</v>
      </c>
      <c r="J3148" t="s">
        <v>2298</v>
      </c>
      <c r="O3148" t="s">
        <v>57</v>
      </c>
      <c r="V3148" t="s">
        <v>4648</v>
      </c>
      <c r="W3148" t="s">
        <v>92</v>
      </c>
      <c r="Y3148" t="s">
        <v>38</v>
      </c>
      <c r="AA3148" t="s">
        <v>38</v>
      </c>
      <c r="AB3148" t="s">
        <v>38</v>
      </c>
      <c r="AC3148" t="s">
        <v>38</v>
      </c>
      <c r="AD3148" t="s">
        <v>48</v>
      </c>
      <c r="AG3148" t="str">
        <f>IF(AD3148="United States", IFERROR(INDEX(Sheet2!$C:$C, MATCH(AE3148&amp;AF3148, Sheet2!$E:$E, 0)) &amp; ", " &amp; INDEX(Sheet2!$D:$D, MATCH(AE3148&amp;AF3148, Sheet2!$E:$E, 0)), ""), "-")</f>
        <v/>
      </c>
    </row>
    <row r="3149" spans="1:33" x14ac:dyDescent="0.25">
      <c r="A3149" t="s">
        <v>4647</v>
      </c>
      <c r="D3149" t="s">
        <v>4710</v>
      </c>
      <c r="E3149" t="s">
        <v>38</v>
      </c>
      <c r="F3149">
        <v>1764</v>
      </c>
      <c r="G3149">
        <v>2688</v>
      </c>
      <c r="H3149">
        <v>81</v>
      </c>
      <c r="J3149" t="s">
        <v>2298</v>
      </c>
      <c r="O3149" t="s">
        <v>57</v>
      </c>
      <c r="V3149" t="s">
        <v>4648</v>
      </c>
      <c r="W3149" t="s">
        <v>92</v>
      </c>
      <c r="Y3149" t="s">
        <v>38</v>
      </c>
      <c r="AA3149" t="s">
        <v>38</v>
      </c>
      <c r="AB3149" t="s">
        <v>38</v>
      </c>
      <c r="AC3149" t="s">
        <v>38</v>
      </c>
      <c r="AD3149" t="s">
        <v>48</v>
      </c>
      <c r="AG3149" t="str">
        <f>IF(AD3149="United States", IFERROR(INDEX(Sheet2!$C:$C, MATCH(AE3149&amp;AF3149, Sheet2!$E:$E, 0)) &amp; ", " &amp; INDEX(Sheet2!$D:$D, MATCH(AE3149&amp;AF3149, Sheet2!$E:$E, 0)), ""), "-")</f>
        <v/>
      </c>
    </row>
    <row r="3150" spans="1:33" x14ac:dyDescent="0.25">
      <c r="A3150" t="s">
        <v>4647</v>
      </c>
      <c r="D3150" t="s">
        <v>263</v>
      </c>
      <c r="E3150" t="s">
        <v>38</v>
      </c>
      <c r="F3150">
        <v>1747</v>
      </c>
      <c r="G3150">
        <v>2687</v>
      </c>
      <c r="H3150">
        <v>81</v>
      </c>
      <c r="J3150" t="s">
        <v>2298</v>
      </c>
      <c r="O3150" t="s">
        <v>57</v>
      </c>
      <c r="V3150" t="s">
        <v>4648</v>
      </c>
      <c r="W3150" t="s">
        <v>92</v>
      </c>
      <c r="Y3150" t="s">
        <v>38</v>
      </c>
      <c r="AA3150" t="s">
        <v>38</v>
      </c>
      <c r="AB3150" t="s">
        <v>38</v>
      </c>
      <c r="AC3150" t="s">
        <v>38</v>
      </c>
      <c r="AD3150" t="s">
        <v>48</v>
      </c>
      <c r="AG3150" t="str">
        <f>IF(AD3150="United States", IFERROR(INDEX(Sheet2!$C:$C, MATCH(AE3150&amp;AF3150, Sheet2!$E:$E, 0)) &amp; ", " &amp; INDEX(Sheet2!$D:$D, MATCH(AE3150&amp;AF3150, Sheet2!$E:$E, 0)), ""), "-")</f>
        <v/>
      </c>
    </row>
    <row r="3151" spans="1:33" x14ac:dyDescent="0.25">
      <c r="A3151" t="s">
        <v>4647</v>
      </c>
      <c r="D3151" t="s">
        <v>4711</v>
      </c>
      <c r="E3151" t="s">
        <v>38</v>
      </c>
      <c r="F3151">
        <v>1748</v>
      </c>
      <c r="G3151">
        <v>2686</v>
      </c>
      <c r="H3151">
        <v>80</v>
      </c>
      <c r="J3151" t="s">
        <v>2298</v>
      </c>
      <c r="O3151" t="s">
        <v>57</v>
      </c>
      <c r="V3151" t="s">
        <v>4648</v>
      </c>
      <c r="W3151" t="s">
        <v>92</v>
      </c>
      <c r="Y3151" t="s">
        <v>38</v>
      </c>
      <c r="AA3151" t="s">
        <v>38</v>
      </c>
      <c r="AB3151" t="s">
        <v>38</v>
      </c>
      <c r="AC3151" t="s">
        <v>38</v>
      </c>
      <c r="AD3151" t="s">
        <v>48</v>
      </c>
      <c r="AG3151" t="str">
        <f>IF(AD3151="United States", IFERROR(INDEX(Sheet2!$C:$C, MATCH(AE3151&amp;AF3151, Sheet2!$E:$E, 0)) &amp; ", " &amp; INDEX(Sheet2!$D:$D, MATCH(AE3151&amp;AF3151, Sheet2!$E:$E, 0)), ""), "-")</f>
        <v/>
      </c>
    </row>
    <row r="3152" spans="1:33" x14ac:dyDescent="0.25">
      <c r="A3152" t="s">
        <v>4647</v>
      </c>
      <c r="D3152" t="s">
        <v>445</v>
      </c>
      <c r="E3152" t="s">
        <v>1854</v>
      </c>
      <c r="F3152">
        <v>1760</v>
      </c>
      <c r="G3152">
        <v>2677</v>
      </c>
      <c r="H3152">
        <v>80</v>
      </c>
      <c r="J3152" t="s">
        <v>2298</v>
      </c>
      <c r="O3152" t="s">
        <v>57</v>
      </c>
      <c r="V3152" t="s">
        <v>4648</v>
      </c>
      <c r="W3152" t="s">
        <v>92</v>
      </c>
      <c r="Y3152" t="s">
        <v>38</v>
      </c>
      <c r="AA3152" t="s">
        <v>38</v>
      </c>
      <c r="AB3152" t="s">
        <v>38</v>
      </c>
      <c r="AC3152" t="s">
        <v>38</v>
      </c>
      <c r="AD3152" t="s">
        <v>48</v>
      </c>
      <c r="AG3152" t="str">
        <f>IF(AD3152="United States", IFERROR(INDEX(Sheet2!$C:$C, MATCH(AE3152&amp;AF3152, Sheet2!$E:$E, 0)) &amp; ", " &amp; INDEX(Sheet2!$D:$D, MATCH(AE3152&amp;AF3152, Sheet2!$E:$E, 0)), ""), "-")</f>
        <v/>
      </c>
    </row>
    <row r="3153" spans="1:33" x14ac:dyDescent="0.25">
      <c r="A3153" t="s">
        <v>4647</v>
      </c>
      <c r="D3153" t="s">
        <v>835</v>
      </c>
      <c r="E3153" t="s">
        <v>38</v>
      </c>
      <c r="F3153">
        <v>1754</v>
      </c>
      <c r="G3153">
        <v>2685</v>
      </c>
      <c r="H3153">
        <v>80</v>
      </c>
      <c r="J3153" t="s">
        <v>2298</v>
      </c>
      <c r="O3153" t="s">
        <v>57</v>
      </c>
      <c r="V3153" t="s">
        <v>4648</v>
      </c>
      <c r="W3153" t="s">
        <v>92</v>
      </c>
      <c r="Y3153" t="s">
        <v>38</v>
      </c>
      <c r="AA3153" t="s">
        <v>38</v>
      </c>
      <c r="AB3153" t="s">
        <v>38</v>
      </c>
      <c r="AC3153" t="s">
        <v>38</v>
      </c>
      <c r="AD3153" t="s">
        <v>48</v>
      </c>
      <c r="AG3153" t="str">
        <f>IF(AD3153="United States", IFERROR(INDEX(Sheet2!$C:$C, MATCH(AE3153&amp;AF3153, Sheet2!$E:$E, 0)) &amp; ", " &amp; INDEX(Sheet2!$D:$D, MATCH(AE3153&amp;AF3153, Sheet2!$E:$E, 0)), ""), "-")</f>
        <v/>
      </c>
    </row>
    <row r="3154" spans="1:33" x14ac:dyDescent="0.25">
      <c r="A3154" t="s">
        <v>4647</v>
      </c>
      <c r="D3154" t="s">
        <v>495</v>
      </c>
      <c r="E3154" t="s">
        <v>38</v>
      </c>
      <c r="F3154">
        <v>1776</v>
      </c>
      <c r="G3154">
        <v>2684</v>
      </c>
      <c r="H3154">
        <v>80</v>
      </c>
      <c r="J3154" t="s">
        <v>2298</v>
      </c>
      <c r="O3154" t="s">
        <v>74</v>
      </c>
      <c r="V3154" t="s">
        <v>4648</v>
      </c>
      <c r="W3154" t="s">
        <v>92</v>
      </c>
      <c r="Y3154" t="s">
        <v>38</v>
      </c>
      <c r="AA3154" t="s">
        <v>38</v>
      </c>
      <c r="AB3154" t="s">
        <v>38</v>
      </c>
      <c r="AC3154" t="s">
        <v>38</v>
      </c>
      <c r="AD3154" t="s">
        <v>48</v>
      </c>
      <c r="AG3154" t="str">
        <f>IF(AD3154="United States", IFERROR(INDEX(Sheet2!$C:$C, MATCH(AE3154&amp;AF3154, Sheet2!$E:$E, 0)) &amp; ", " &amp; INDEX(Sheet2!$D:$D, MATCH(AE3154&amp;AF3154, Sheet2!$E:$E, 0)), ""), "-")</f>
        <v/>
      </c>
    </row>
    <row r="3155" spans="1:33" x14ac:dyDescent="0.25">
      <c r="A3155" t="s">
        <v>4647</v>
      </c>
      <c r="D3155" t="s">
        <v>72</v>
      </c>
      <c r="E3155" t="s">
        <v>38</v>
      </c>
      <c r="F3155">
        <v>1743</v>
      </c>
      <c r="G3155">
        <v>2683</v>
      </c>
      <c r="H3155">
        <v>80</v>
      </c>
      <c r="J3155" t="s">
        <v>2298</v>
      </c>
      <c r="O3155" t="s">
        <v>57</v>
      </c>
      <c r="V3155" t="s">
        <v>4648</v>
      </c>
      <c r="W3155" t="s">
        <v>92</v>
      </c>
      <c r="Y3155" t="s">
        <v>38</v>
      </c>
      <c r="AA3155" t="s">
        <v>38</v>
      </c>
      <c r="AB3155" t="s">
        <v>38</v>
      </c>
      <c r="AC3155" t="s">
        <v>38</v>
      </c>
      <c r="AD3155" t="s">
        <v>48</v>
      </c>
      <c r="AG3155" t="str">
        <f>IF(AD3155="United States", IFERROR(INDEX(Sheet2!$C:$C, MATCH(AE3155&amp;AF3155, Sheet2!$E:$E, 0)) &amp; ", " &amp; INDEX(Sheet2!$D:$D, MATCH(AE3155&amp;AF3155, Sheet2!$E:$E, 0)), ""), "-")</f>
        <v/>
      </c>
    </row>
    <row r="3156" spans="1:33" x14ac:dyDescent="0.25">
      <c r="A3156" t="s">
        <v>4647</v>
      </c>
      <c r="D3156" t="s">
        <v>2050</v>
      </c>
      <c r="E3156" t="s">
        <v>38</v>
      </c>
      <c r="F3156" t="s">
        <v>38</v>
      </c>
      <c r="G3156">
        <v>2682</v>
      </c>
      <c r="H3156">
        <v>80</v>
      </c>
      <c r="J3156" t="s">
        <v>2298</v>
      </c>
      <c r="O3156" t="s">
        <v>183</v>
      </c>
      <c r="V3156" t="s">
        <v>4648</v>
      </c>
      <c r="W3156" t="s">
        <v>92</v>
      </c>
      <c r="Y3156" t="s">
        <v>38</v>
      </c>
      <c r="AA3156" t="s">
        <v>38</v>
      </c>
      <c r="AB3156" t="s">
        <v>38</v>
      </c>
      <c r="AC3156" t="s">
        <v>38</v>
      </c>
      <c r="AD3156" t="s">
        <v>48</v>
      </c>
      <c r="AG3156" t="str">
        <f>IF(AD3156="United States", IFERROR(INDEX(Sheet2!$C:$C, MATCH(AE3156&amp;AF3156, Sheet2!$E:$E, 0)) &amp; ", " &amp; INDEX(Sheet2!$D:$D, MATCH(AE3156&amp;AF3156, Sheet2!$E:$E, 0)), ""), "-")</f>
        <v/>
      </c>
    </row>
    <row r="3157" spans="1:33" x14ac:dyDescent="0.25">
      <c r="A3157" t="s">
        <v>4647</v>
      </c>
      <c r="D3157" t="s">
        <v>245</v>
      </c>
      <c r="E3157" t="s">
        <v>38</v>
      </c>
      <c r="F3157">
        <v>1763</v>
      </c>
      <c r="G3157">
        <v>2681</v>
      </c>
      <c r="H3157">
        <v>80</v>
      </c>
      <c r="J3157" t="s">
        <v>2298</v>
      </c>
      <c r="O3157" t="s">
        <v>57</v>
      </c>
      <c r="V3157" t="s">
        <v>4648</v>
      </c>
      <c r="W3157" t="s">
        <v>92</v>
      </c>
      <c r="Y3157" t="s">
        <v>38</v>
      </c>
      <c r="AA3157" t="s">
        <v>38</v>
      </c>
      <c r="AB3157" t="s">
        <v>38</v>
      </c>
      <c r="AC3157" t="s">
        <v>38</v>
      </c>
      <c r="AD3157" t="s">
        <v>48</v>
      </c>
      <c r="AG3157" t="str">
        <f>IF(AD3157="United States", IFERROR(INDEX(Sheet2!$C:$C, MATCH(AE3157&amp;AF3157, Sheet2!$E:$E, 0)) &amp; ", " &amp; INDEX(Sheet2!$D:$D, MATCH(AE3157&amp;AF3157, Sheet2!$E:$E, 0)), ""), "-")</f>
        <v/>
      </c>
    </row>
    <row r="3158" spans="1:33" x14ac:dyDescent="0.25">
      <c r="A3158" t="s">
        <v>4647</v>
      </c>
      <c r="D3158" t="s">
        <v>114</v>
      </c>
      <c r="E3158" t="s">
        <v>38</v>
      </c>
      <c r="F3158" t="s">
        <v>38</v>
      </c>
      <c r="G3158">
        <v>2680</v>
      </c>
      <c r="H3158">
        <v>80</v>
      </c>
      <c r="J3158" t="s">
        <v>2298</v>
      </c>
      <c r="O3158" t="s">
        <v>74</v>
      </c>
      <c r="V3158" t="s">
        <v>4648</v>
      </c>
      <c r="W3158" t="s">
        <v>92</v>
      </c>
      <c r="Y3158" t="s">
        <v>38</v>
      </c>
      <c r="AA3158" t="s">
        <v>38</v>
      </c>
      <c r="AB3158" t="s">
        <v>38</v>
      </c>
      <c r="AC3158" t="s">
        <v>38</v>
      </c>
      <c r="AD3158" t="s">
        <v>48</v>
      </c>
      <c r="AG3158" t="str">
        <f>IF(AD3158="United States", IFERROR(INDEX(Sheet2!$C:$C, MATCH(AE3158&amp;AF3158, Sheet2!$E:$E, 0)) &amp; ", " &amp; INDEX(Sheet2!$D:$D, MATCH(AE3158&amp;AF3158, Sheet2!$E:$E, 0)), ""), "-")</f>
        <v/>
      </c>
    </row>
    <row r="3159" spans="1:33" x14ac:dyDescent="0.25">
      <c r="A3159" t="s">
        <v>4647</v>
      </c>
      <c r="D3159" t="s">
        <v>4712</v>
      </c>
      <c r="E3159" t="s">
        <v>38</v>
      </c>
      <c r="F3159">
        <v>1757</v>
      </c>
      <c r="G3159">
        <v>2679</v>
      </c>
      <c r="H3159">
        <v>80</v>
      </c>
      <c r="J3159" t="s">
        <v>2298</v>
      </c>
      <c r="O3159" t="s">
        <v>57</v>
      </c>
      <c r="V3159" t="s">
        <v>4648</v>
      </c>
      <c r="W3159" t="s">
        <v>92</v>
      </c>
      <c r="Y3159" t="s">
        <v>38</v>
      </c>
      <c r="AA3159" t="s">
        <v>38</v>
      </c>
      <c r="AB3159" t="s">
        <v>38</v>
      </c>
      <c r="AC3159" t="s">
        <v>38</v>
      </c>
      <c r="AD3159" t="s">
        <v>48</v>
      </c>
      <c r="AG3159" t="str">
        <f>IF(AD3159="United States", IFERROR(INDEX(Sheet2!$C:$C, MATCH(AE3159&amp;AF3159, Sheet2!$E:$E, 0)) &amp; ", " &amp; INDEX(Sheet2!$D:$D, MATCH(AE3159&amp;AF3159, Sheet2!$E:$E, 0)), ""), "-")</f>
        <v/>
      </c>
    </row>
    <row r="3160" spans="1:33" x14ac:dyDescent="0.25">
      <c r="A3160" t="s">
        <v>4647</v>
      </c>
      <c r="D3160" t="s">
        <v>62</v>
      </c>
      <c r="E3160" t="s">
        <v>1900</v>
      </c>
      <c r="F3160">
        <v>1753</v>
      </c>
      <c r="G3160">
        <v>2705</v>
      </c>
      <c r="H3160">
        <v>81</v>
      </c>
      <c r="J3160" t="s">
        <v>2298</v>
      </c>
      <c r="O3160" t="s">
        <v>41</v>
      </c>
      <c r="V3160" t="s">
        <v>4648</v>
      </c>
      <c r="W3160" t="s">
        <v>92</v>
      </c>
      <c r="Y3160" t="s">
        <v>38</v>
      </c>
      <c r="AA3160" t="s">
        <v>38</v>
      </c>
      <c r="AB3160" t="s">
        <v>38</v>
      </c>
      <c r="AC3160" t="s">
        <v>38</v>
      </c>
      <c r="AD3160" t="s">
        <v>48</v>
      </c>
      <c r="AG3160" t="str">
        <f>IF(AD3160="United States", IFERROR(INDEX(Sheet2!$C:$C, MATCH(AE3160&amp;AF3160, Sheet2!$E:$E, 0)) &amp; ", " &amp; INDEX(Sheet2!$D:$D, MATCH(AE3160&amp;AF3160, Sheet2!$E:$E, 0)), ""), "-")</f>
        <v/>
      </c>
    </row>
    <row r="3161" spans="1:33" x14ac:dyDescent="0.25">
      <c r="A3161" t="s">
        <v>4647</v>
      </c>
      <c r="D3161" t="s">
        <v>463</v>
      </c>
      <c r="E3161" t="s">
        <v>1861</v>
      </c>
      <c r="F3161">
        <v>1730</v>
      </c>
      <c r="G3161">
        <v>2715</v>
      </c>
      <c r="H3161">
        <v>81</v>
      </c>
      <c r="J3161" t="s">
        <v>2298</v>
      </c>
      <c r="O3161" t="s">
        <v>41</v>
      </c>
      <c r="V3161" t="s">
        <v>4648</v>
      </c>
      <c r="W3161" t="s">
        <v>92</v>
      </c>
      <c r="Y3161" t="s">
        <v>38</v>
      </c>
      <c r="AA3161" t="s">
        <v>38</v>
      </c>
      <c r="AB3161" t="s">
        <v>38</v>
      </c>
      <c r="AC3161" t="s">
        <v>38</v>
      </c>
      <c r="AD3161" t="s">
        <v>48</v>
      </c>
      <c r="AG3161" t="str">
        <f>IF(AD3161="United States", IFERROR(INDEX(Sheet2!$C:$C, MATCH(AE3161&amp;AF3161, Sheet2!$E:$E, 0)) &amp; ", " &amp; INDEX(Sheet2!$D:$D, MATCH(AE3161&amp;AF3161, Sheet2!$E:$E, 0)), ""), "-")</f>
        <v/>
      </c>
    </row>
    <row r="3162" spans="1:33" x14ac:dyDescent="0.25">
      <c r="A3162" t="s">
        <v>4647</v>
      </c>
      <c r="D3162" t="s">
        <v>1174</v>
      </c>
      <c r="E3162" t="s">
        <v>4713</v>
      </c>
      <c r="F3162">
        <v>1753</v>
      </c>
      <c r="G3162">
        <v>2714</v>
      </c>
      <c r="H3162">
        <v>81</v>
      </c>
      <c r="J3162" t="s">
        <v>2298</v>
      </c>
      <c r="O3162" t="s">
        <v>41</v>
      </c>
      <c r="V3162" t="s">
        <v>4648</v>
      </c>
      <c r="W3162" t="s">
        <v>92</v>
      </c>
      <c r="Y3162" t="s">
        <v>38</v>
      </c>
      <c r="AA3162" t="s">
        <v>38</v>
      </c>
      <c r="AB3162" t="s">
        <v>38</v>
      </c>
      <c r="AC3162" t="s">
        <v>38</v>
      </c>
      <c r="AD3162" t="s">
        <v>48</v>
      </c>
      <c r="AG3162" t="str">
        <f>IF(AD3162="United States", IFERROR(INDEX(Sheet2!$C:$C, MATCH(AE3162&amp;AF3162, Sheet2!$E:$E, 0)) &amp; ", " &amp; INDEX(Sheet2!$D:$D, MATCH(AE3162&amp;AF3162, Sheet2!$E:$E, 0)), ""), "-")</f>
        <v/>
      </c>
    </row>
    <row r="3163" spans="1:33" x14ac:dyDescent="0.25">
      <c r="A3163" t="s">
        <v>4647</v>
      </c>
      <c r="D3163" t="s">
        <v>552</v>
      </c>
      <c r="E3163" t="s">
        <v>191</v>
      </c>
      <c r="F3163">
        <v>1748</v>
      </c>
      <c r="G3163">
        <v>2720</v>
      </c>
      <c r="H3163">
        <v>81</v>
      </c>
      <c r="J3163" t="s">
        <v>2298</v>
      </c>
      <c r="O3163" t="s">
        <v>41</v>
      </c>
      <c r="V3163" t="s">
        <v>4648</v>
      </c>
      <c r="W3163" t="s">
        <v>92</v>
      </c>
      <c r="Y3163" t="s">
        <v>38</v>
      </c>
      <c r="AA3163" t="s">
        <v>38</v>
      </c>
      <c r="AB3163" t="s">
        <v>38</v>
      </c>
      <c r="AC3163" t="s">
        <v>38</v>
      </c>
      <c r="AD3163" t="s">
        <v>48</v>
      </c>
      <c r="AG3163" t="str">
        <f>IF(AD3163="United States", IFERROR(INDEX(Sheet2!$C:$C, MATCH(AE3163&amp;AF3163, Sheet2!$E:$E, 0)) &amp; ", " &amp; INDEX(Sheet2!$D:$D, MATCH(AE3163&amp;AF3163, Sheet2!$E:$E, 0)), ""), "-")</f>
        <v/>
      </c>
    </row>
    <row r="3164" spans="1:33" x14ac:dyDescent="0.25">
      <c r="A3164" t="s">
        <v>4647</v>
      </c>
      <c r="D3164" t="s">
        <v>210</v>
      </c>
      <c r="E3164" t="s">
        <v>4714</v>
      </c>
      <c r="F3164">
        <v>1747</v>
      </c>
      <c r="G3164">
        <v>2699</v>
      </c>
      <c r="H3164">
        <v>81</v>
      </c>
      <c r="J3164" t="s">
        <v>2298</v>
      </c>
      <c r="O3164" t="s">
        <v>41</v>
      </c>
      <c r="V3164" t="s">
        <v>4648</v>
      </c>
      <c r="W3164" t="s">
        <v>92</v>
      </c>
      <c r="Y3164" t="s">
        <v>38</v>
      </c>
      <c r="AA3164" t="s">
        <v>38</v>
      </c>
      <c r="AB3164" t="s">
        <v>38</v>
      </c>
      <c r="AC3164" t="s">
        <v>38</v>
      </c>
      <c r="AD3164" t="s">
        <v>48</v>
      </c>
      <c r="AG3164" t="str">
        <f>IF(AD3164="United States", IFERROR(INDEX(Sheet2!$C:$C, MATCH(AE3164&amp;AF3164, Sheet2!$E:$E, 0)) &amp; ", " &amp; INDEX(Sheet2!$D:$D, MATCH(AE3164&amp;AF3164, Sheet2!$E:$E, 0)), ""), "-")</f>
        <v/>
      </c>
    </row>
    <row r="3165" spans="1:33" x14ac:dyDescent="0.25">
      <c r="A3165" t="s">
        <v>4647</v>
      </c>
      <c r="D3165" t="s">
        <v>1238</v>
      </c>
      <c r="E3165" t="s">
        <v>38</v>
      </c>
      <c r="F3165">
        <v>1718</v>
      </c>
      <c r="G3165">
        <v>2698</v>
      </c>
      <c r="H3165">
        <v>81</v>
      </c>
      <c r="J3165" t="s">
        <v>2298</v>
      </c>
      <c r="O3165" t="s">
        <v>57</v>
      </c>
      <c r="V3165" t="s">
        <v>4648</v>
      </c>
      <c r="W3165" t="s">
        <v>92</v>
      </c>
      <c r="Y3165" t="s">
        <v>38</v>
      </c>
      <c r="AA3165" t="s">
        <v>38</v>
      </c>
      <c r="AB3165" t="s">
        <v>38</v>
      </c>
      <c r="AC3165" t="s">
        <v>38</v>
      </c>
      <c r="AD3165" t="s">
        <v>48</v>
      </c>
      <c r="AG3165" t="str">
        <f>IF(AD3165="United States", IFERROR(INDEX(Sheet2!$C:$C, MATCH(AE3165&amp;AF3165, Sheet2!$E:$E, 0)) &amp; ", " &amp; INDEX(Sheet2!$D:$D, MATCH(AE3165&amp;AF3165, Sheet2!$E:$E, 0)), ""), "-")</f>
        <v/>
      </c>
    </row>
    <row r="3166" spans="1:33" x14ac:dyDescent="0.25">
      <c r="A3166" t="s">
        <v>4647</v>
      </c>
      <c r="D3166" t="s">
        <v>639</v>
      </c>
      <c r="E3166" t="s">
        <v>38</v>
      </c>
      <c r="F3166">
        <v>1780</v>
      </c>
      <c r="G3166">
        <v>2697</v>
      </c>
      <c r="H3166">
        <v>81</v>
      </c>
      <c r="J3166" t="s">
        <v>2298</v>
      </c>
      <c r="O3166" t="s">
        <v>54</v>
      </c>
      <c r="V3166" t="s">
        <v>4648</v>
      </c>
      <c r="W3166" t="s">
        <v>92</v>
      </c>
      <c r="Y3166" t="s">
        <v>38</v>
      </c>
      <c r="AA3166" t="s">
        <v>38</v>
      </c>
      <c r="AB3166" t="s">
        <v>38</v>
      </c>
      <c r="AC3166" t="s">
        <v>38</v>
      </c>
      <c r="AD3166" t="s">
        <v>48</v>
      </c>
      <c r="AG3166" t="str">
        <f>IF(AD3166="United States", IFERROR(INDEX(Sheet2!$C:$C, MATCH(AE3166&amp;AF3166, Sheet2!$E:$E, 0)) &amp; ", " &amp; INDEX(Sheet2!$D:$D, MATCH(AE3166&amp;AF3166, Sheet2!$E:$E, 0)), ""), "-")</f>
        <v/>
      </c>
    </row>
    <row r="3167" spans="1:33" x14ac:dyDescent="0.25">
      <c r="A3167" t="s">
        <v>4647</v>
      </c>
      <c r="D3167" t="s">
        <v>803</v>
      </c>
      <c r="E3167" t="s">
        <v>38</v>
      </c>
      <c r="F3167">
        <v>1759</v>
      </c>
      <c r="G3167">
        <v>2696</v>
      </c>
      <c r="H3167">
        <v>81</v>
      </c>
      <c r="J3167" t="s">
        <v>2298</v>
      </c>
      <c r="O3167" t="s">
        <v>57</v>
      </c>
      <c r="V3167" t="s">
        <v>4648</v>
      </c>
      <c r="W3167" t="s">
        <v>92</v>
      </c>
      <c r="Y3167" t="s">
        <v>38</v>
      </c>
      <c r="AA3167" t="s">
        <v>38</v>
      </c>
      <c r="AB3167" t="s">
        <v>38</v>
      </c>
      <c r="AC3167" t="s">
        <v>38</v>
      </c>
      <c r="AD3167" t="s">
        <v>48</v>
      </c>
      <c r="AG3167" t="str">
        <f>IF(AD3167="United States", IFERROR(INDEX(Sheet2!$C:$C, MATCH(AE3167&amp;AF3167, Sheet2!$E:$E, 0)) &amp; ", " &amp; INDEX(Sheet2!$D:$D, MATCH(AE3167&amp;AF3167, Sheet2!$E:$E, 0)), ""), "-")</f>
        <v/>
      </c>
    </row>
    <row r="3168" spans="1:33" x14ac:dyDescent="0.25">
      <c r="A3168" t="s">
        <v>4647</v>
      </c>
      <c r="D3168" t="s">
        <v>1122</v>
      </c>
      <c r="E3168" t="s">
        <v>38</v>
      </c>
      <c r="F3168">
        <v>1782</v>
      </c>
      <c r="G3168">
        <v>2695</v>
      </c>
      <c r="H3168">
        <v>81</v>
      </c>
      <c r="J3168" t="s">
        <v>2298</v>
      </c>
      <c r="O3168" t="s">
        <v>54</v>
      </c>
      <c r="V3168" t="s">
        <v>4648</v>
      </c>
      <c r="W3168" t="s">
        <v>92</v>
      </c>
      <c r="Y3168" t="s">
        <v>38</v>
      </c>
      <c r="AA3168" t="s">
        <v>38</v>
      </c>
      <c r="AB3168" t="s">
        <v>38</v>
      </c>
      <c r="AC3168" t="s">
        <v>38</v>
      </c>
      <c r="AD3168" t="s">
        <v>48</v>
      </c>
      <c r="AG3168" t="str">
        <f>IF(AD3168="United States", IFERROR(INDEX(Sheet2!$C:$C, MATCH(AE3168&amp;AF3168, Sheet2!$E:$E, 0)) &amp; ", " &amp; INDEX(Sheet2!$D:$D, MATCH(AE3168&amp;AF3168, Sheet2!$E:$E, 0)), ""), "-")</f>
        <v/>
      </c>
    </row>
    <row r="3169" spans="1:33" x14ac:dyDescent="0.25">
      <c r="A3169" t="s">
        <v>4647</v>
      </c>
      <c r="D3169" t="s">
        <v>1966</v>
      </c>
      <c r="E3169" t="s">
        <v>38</v>
      </c>
      <c r="F3169">
        <v>1775</v>
      </c>
      <c r="G3169">
        <v>2694</v>
      </c>
      <c r="H3169">
        <v>81</v>
      </c>
      <c r="J3169" t="s">
        <v>2298</v>
      </c>
      <c r="O3169" t="s">
        <v>74</v>
      </c>
      <c r="V3169" t="s">
        <v>4648</v>
      </c>
      <c r="W3169" t="s">
        <v>92</v>
      </c>
      <c r="Y3169" t="s">
        <v>38</v>
      </c>
      <c r="AA3169" t="s">
        <v>38</v>
      </c>
      <c r="AB3169" t="s">
        <v>38</v>
      </c>
      <c r="AC3169" t="s">
        <v>38</v>
      </c>
      <c r="AD3169" t="s">
        <v>48</v>
      </c>
      <c r="AG3169" t="str">
        <f>IF(AD3169="United States", IFERROR(INDEX(Sheet2!$C:$C, MATCH(AE3169&amp;AF3169, Sheet2!$E:$E, 0)) &amp; ", " &amp; INDEX(Sheet2!$D:$D, MATCH(AE3169&amp;AF3169, Sheet2!$E:$E, 0)), ""), "-")</f>
        <v/>
      </c>
    </row>
    <row r="3170" spans="1:33" x14ac:dyDescent="0.25">
      <c r="A3170" t="s">
        <v>4647</v>
      </c>
      <c r="D3170" t="s">
        <v>803</v>
      </c>
      <c r="E3170" t="s">
        <v>4715</v>
      </c>
      <c r="F3170">
        <v>1753</v>
      </c>
      <c r="G3170">
        <v>2693</v>
      </c>
      <c r="H3170">
        <v>81</v>
      </c>
      <c r="J3170" t="s">
        <v>2298</v>
      </c>
      <c r="O3170" t="s">
        <v>57</v>
      </c>
      <c r="V3170" t="s">
        <v>4648</v>
      </c>
      <c r="W3170" t="s">
        <v>92</v>
      </c>
      <c r="Y3170" t="s">
        <v>38</v>
      </c>
      <c r="AA3170" t="s">
        <v>38</v>
      </c>
      <c r="AB3170" t="s">
        <v>38</v>
      </c>
      <c r="AC3170" t="s">
        <v>38</v>
      </c>
      <c r="AD3170" t="s">
        <v>48</v>
      </c>
      <c r="AG3170" t="str">
        <f>IF(AD3170="United States", IFERROR(INDEX(Sheet2!$C:$C, MATCH(AE3170&amp;AF3170, Sheet2!$E:$E, 0)) &amp; ", " &amp; INDEX(Sheet2!$D:$D, MATCH(AE3170&amp;AF3170, Sheet2!$E:$E, 0)), ""), "-")</f>
        <v/>
      </c>
    </row>
    <row r="3171" spans="1:33" x14ac:dyDescent="0.25">
      <c r="A3171" t="s">
        <v>4647</v>
      </c>
      <c r="D3171" t="s">
        <v>230</v>
      </c>
      <c r="E3171" t="s">
        <v>4661</v>
      </c>
      <c r="F3171">
        <v>1749</v>
      </c>
      <c r="G3171">
        <v>2709</v>
      </c>
      <c r="H3171">
        <v>81</v>
      </c>
      <c r="J3171" t="s">
        <v>2298</v>
      </c>
      <c r="O3171" t="s">
        <v>41</v>
      </c>
      <c r="V3171" t="s">
        <v>4648</v>
      </c>
      <c r="W3171" t="s">
        <v>92</v>
      </c>
      <c r="Y3171" t="s">
        <v>38</v>
      </c>
      <c r="AA3171" t="s">
        <v>38</v>
      </c>
      <c r="AB3171" t="s">
        <v>38</v>
      </c>
      <c r="AC3171" t="s">
        <v>38</v>
      </c>
      <c r="AD3171" t="s">
        <v>48</v>
      </c>
      <c r="AG3171" t="str">
        <f>IF(AD3171="United States", IFERROR(INDEX(Sheet2!$C:$C, MATCH(AE3171&amp;AF3171, Sheet2!$E:$E, 0)) &amp; ", " &amp; INDEX(Sheet2!$D:$D, MATCH(AE3171&amp;AF3171, Sheet2!$E:$E, 0)), ""), "-")</f>
        <v/>
      </c>
    </row>
    <row r="3172" spans="1:33" x14ac:dyDescent="0.25">
      <c r="A3172" t="s">
        <v>4647</v>
      </c>
      <c r="D3172" t="s">
        <v>106</v>
      </c>
      <c r="E3172" t="s">
        <v>1654</v>
      </c>
      <c r="F3172">
        <v>1751</v>
      </c>
      <c r="G3172">
        <v>2701</v>
      </c>
      <c r="H3172">
        <v>81</v>
      </c>
      <c r="J3172" t="s">
        <v>2298</v>
      </c>
      <c r="O3172" t="s">
        <v>41</v>
      </c>
      <c r="V3172" t="s">
        <v>4648</v>
      </c>
      <c r="W3172" t="s">
        <v>92</v>
      </c>
      <c r="Y3172" t="s">
        <v>38</v>
      </c>
      <c r="AA3172" t="s">
        <v>38</v>
      </c>
      <c r="AB3172" t="s">
        <v>38</v>
      </c>
      <c r="AC3172" t="s">
        <v>38</v>
      </c>
      <c r="AD3172" t="s">
        <v>48</v>
      </c>
      <c r="AG3172" t="str">
        <f>IF(AD3172="United States", IFERROR(INDEX(Sheet2!$C:$C, MATCH(AE3172&amp;AF3172, Sheet2!$E:$E, 0)) &amp; ", " &amp; INDEX(Sheet2!$D:$D, MATCH(AE3172&amp;AF3172, Sheet2!$E:$E, 0)), ""), "-")</f>
        <v/>
      </c>
    </row>
    <row r="3173" spans="1:33" x14ac:dyDescent="0.25">
      <c r="A3173" t="s">
        <v>4647</v>
      </c>
      <c r="D3173" t="s">
        <v>3110</v>
      </c>
      <c r="E3173" t="s">
        <v>2301</v>
      </c>
      <c r="F3173">
        <v>1753</v>
      </c>
      <c r="G3173">
        <v>2702</v>
      </c>
      <c r="H3173">
        <v>81</v>
      </c>
      <c r="J3173" t="s">
        <v>2298</v>
      </c>
      <c r="O3173" t="s">
        <v>41</v>
      </c>
      <c r="V3173" t="s">
        <v>4648</v>
      </c>
      <c r="W3173" t="s">
        <v>92</v>
      </c>
      <c r="Y3173" t="s">
        <v>38</v>
      </c>
      <c r="AA3173" t="s">
        <v>38</v>
      </c>
      <c r="AB3173" t="s">
        <v>38</v>
      </c>
      <c r="AC3173" t="s">
        <v>38</v>
      </c>
      <c r="AD3173" t="s">
        <v>48</v>
      </c>
      <c r="AG3173" t="str">
        <f>IF(AD3173="United States", IFERROR(INDEX(Sheet2!$C:$C, MATCH(AE3173&amp;AF3173, Sheet2!$E:$E, 0)) &amp; ", " &amp; INDEX(Sheet2!$D:$D, MATCH(AE3173&amp;AF3173, Sheet2!$E:$E, 0)), ""), "-")</f>
        <v/>
      </c>
    </row>
    <row r="3174" spans="1:33" x14ac:dyDescent="0.25">
      <c r="A3174" t="s">
        <v>4647</v>
      </c>
      <c r="D3174" t="s">
        <v>245</v>
      </c>
      <c r="E3174" t="s">
        <v>1374</v>
      </c>
      <c r="F3174">
        <v>1766</v>
      </c>
      <c r="G3174">
        <v>2711</v>
      </c>
      <c r="H3174">
        <v>81</v>
      </c>
      <c r="J3174" t="s">
        <v>2298</v>
      </c>
      <c r="O3174" t="s">
        <v>57</v>
      </c>
      <c r="V3174" t="s">
        <v>4648</v>
      </c>
      <c r="W3174" t="s">
        <v>92</v>
      </c>
      <c r="Y3174" t="s">
        <v>38</v>
      </c>
      <c r="AA3174" t="s">
        <v>38</v>
      </c>
      <c r="AB3174" t="s">
        <v>38</v>
      </c>
      <c r="AC3174" t="s">
        <v>38</v>
      </c>
      <c r="AD3174" t="s">
        <v>48</v>
      </c>
      <c r="AG3174" t="str">
        <f>IF(AD3174="United States", IFERROR(INDEX(Sheet2!$C:$C, MATCH(AE3174&amp;AF3174, Sheet2!$E:$E, 0)) &amp; ", " &amp; INDEX(Sheet2!$D:$D, MATCH(AE3174&amp;AF3174, Sheet2!$E:$E, 0)), ""), "-")</f>
        <v/>
      </c>
    </row>
    <row r="3175" spans="1:33" x14ac:dyDescent="0.25">
      <c r="A3175" t="s">
        <v>4647</v>
      </c>
      <c r="D3175" t="s">
        <v>626</v>
      </c>
      <c r="E3175" t="s">
        <v>4716</v>
      </c>
      <c r="F3175">
        <v>1762</v>
      </c>
      <c r="G3175">
        <v>2712</v>
      </c>
      <c r="H3175">
        <v>81</v>
      </c>
      <c r="J3175" t="s">
        <v>2298</v>
      </c>
      <c r="O3175" t="s">
        <v>41</v>
      </c>
      <c r="V3175" t="s">
        <v>4648</v>
      </c>
      <c r="W3175" t="s">
        <v>92</v>
      </c>
      <c r="Y3175" t="s">
        <v>38</v>
      </c>
      <c r="AA3175" t="s">
        <v>38</v>
      </c>
      <c r="AB3175" t="s">
        <v>38</v>
      </c>
      <c r="AC3175" t="s">
        <v>38</v>
      </c>
      <c r="AD3175" t="s">
        <v>48</v>
      </c>
      <c r="AG3175" t="str">
        <f>IF(AD3175="United States", IFERROR(INDEX(Sheet2!$C:$C, MATCH(AE3175&amp;AF3175, Sheet2!$E:$E, 0)) &amp; ", " &amp; INDEX(Sheet2!$D:$D, MATCH(AE3175&amp;AF3175, Sheet2!$E:$E, 0)), ""), "-")</f>
        <v/>
      </c>
    </row>
    <row r="3176" spans="1:33" x14ac:dyDescent="0.25">
      <c r="A3176" t="s">
        <v>4647</v>
      </c>
      <c r="D3176" t="s">
        <v>195</v>
      </c>
      <c r="E3176" t="s">
        <v>4717</v>
      </c>
      <c r="F3176">
        <v>1758</v>
      </c>
      <c r="G3176">
        <v>2708</v>
      </c>
      <c r="H3176">
        <v>81</v>
      </c>
      <c r="J3176" t="s">
        <v>2298</v>
      </c>
      <c r="O3176" t="s">
        <v>41</v>
      </c>
      <c r="V3176" t="s">
        <v>4648</v>
      </c>
      <c r="W3176" t="s">
        <v>92</v>
      </c>
      <c r="Y3176" t="s">
        <v>38</v>
      </c>
      <c r="AA3176" t="s">
        <v>38</v>
      </c>
      <c r="AB3176" t="s">
        <v>38</v>
      </c>
      <c r="AC3176" t="s">
        <v>38</v>
      </c>
      <c r="AD3176" t="s">
        <v>48</v>
      </c>
      <c r="AG3176" t="str">
        <f>IF(AD3176="United States", IFERROR(INDEX(Sheet2!$C:$C, MATCH(AE3176&amp;AF3176, Sheet2!$E:$E, 0)) &amp; ", " &amp; INDEX(Sheet2!$D:$D, MATCH(AE3176&amp;AF3176, Sheet2!$E:$E, 0)), ""), "-")</f>
        <v/>
      </c>
    </row>
    <row r="3177" spans="1:33" x14ac:dyDescent="0.25">
      <c r="A3177" t="s">
        <v>4647</v>
      </c>
      <c r="D3177" t="s">
        <v>195</v>
      </c>
      <c r="E3177" t="s">
        <v>4216</v>
      </c>
      <c r="F3177">
        <v>1753</v>
      </c>
      <c r="G3177">
        <v>2713</v>
      </c>
      <c r="H3177">
        <v>81</v>
      </c>
      <c r="J3177" t="s">
        <v>2298</v>
      </c>
      <c r="O3177" t="s">
        <v>41</v>
      </c>
      <c r="V3177" t="s">
        <v>4648</v>
      </c>
      <c r="W3177" t="s">
        <v>92</v>
      </c>
      <c r="Y3177" t="s">
        <v>38</v>
      </c>
      <c r="AA3177" t="s">
        <v>38</v>
      </c>
      <c r="AB3177" t="s">
        <v>38</v>
      </c>
      <c r="AC3177" t="s">
        <v>38</v>
      </c>
      <c r="AD3177" t="s">
        <v>48</v>
      </c>
      <c r="AG3177" t="str">
        <f>IF(AD3177="United States", IFERROR(INDEX(Sheet2!$C:$C, MATCH(AE3177&amp;AF3177, Sheet2!$E:$E, 0)) &amp; ", " &amp; INDEX(Sheet2!$D:$D, MATCH(AE3177&amp;AF3177, Sheet2!$E:$E, 0)), ""), "-")</f>
        <v/>
      </c>
    </row>
    <row r="3178" spans="1:33" x14ac:dyDescent="0.25">
      <c r="A3178" t="s">
        <v>4647</v>
      </c>
      <c r="D3178" t="s">
        <v>1609</v>
      </c>
      <c r="E3178" t="s">
        <v>38</v>
      </c>
      <c r="F3178">
        <v>1757</v>
      </c>
      <c r="G3178">
        <v>2707</v>
      </c>
      <c r="H3178">
        <v>81</v>
      </c>
      <c r="J3178" t="s">
        <v>2298</v>
      </c>
      <c r="O3178" t="s">
        <v>41</v>
      </c>
      <c r="V3178" t="s">
        <v>4648</v>
      </c>
      <c r="W3178" t="s">
        <v>92</v>
      </c>
      <c r="Y3178" t="s">
        <v>38</v>
      </c>
      <c r="AA3178" t="s">
        <v>38</v>
      </c>
      <c r="AB3178" t="s">
        <v>38</v>
      </c>
      <c r="AC3178" t="s">
        <v>38</v>
      </c>
      <c r="AD3178" t="s">
        <v>48</v>
      </c>
      <c r="AG3178" t="str">
        <f>IF(AD3178="United States", IFERROR(INDEX(Sheet2!$C:$C, MATCH(AE3178&amp;AF3178, Sheet2!$E:$E, 0)) &amp; ", " &amp; INDEX(Sheet2!$D:$D, MATCH(AE3178&amp;AF3178, Sheet2!$E:$E, 0)), ""), "-")</f>
        <v/>
      </c>
    </row>
    <row r="3179" spans="1:33" x14ac:dyDescent="0.25">
      <c r="A3179" t="s">
        <v>4647</v>
      </c>
      <c r="D3179" t="s">
        <v>927</v>
      </c>
      <c r="E3179" t="s">
        <v>3026</v>
      </c>
      <c r="F3179">
        <v>1760</v>
      </c>
      <c r="G3179">
        <v>2703</v>
      </c>
      <c r="H3179">
        <v>81</v>
      </c>
      <c r="J3179" t="s">
        <v>2298</v>
      </c>
      <c r="O3179" t="s">
        <v>41</v>
      </c>
      <c r="V3179" t="s">
        <v>4648</v>
      </c>
      <c r="W3179" t="s">
        <v>92</v>
      </c>
      <c r="Y3179" t="s">
        <v>38</v>
      </c>
      <c r="AA3179" t="s">
        <v>38</v>
      </c>
      <c r="AB3179" t="s">
        <v>38</v>
      </c>
      <c r="AC3179" t="s">
        <v>38</v>
      </c>
      <c r="AD3179" t="s">
        <v>48</v>
      </c>
      <c r="AG3179" t="str">
        <f>IF(AD3179="United States", IFERROR(INDEX(Sheet2!$C:$C, MATCH(AE3179&amp;AF3179, Sheet2!$E:$E, 0)) &amp; ", " &amp; INDEX(Sheet2!$D:$D, MATCH(AE3179&amp;AF3179, Sheet2!$E:$E, 0)), ""), "-")</f>
        <v/>
      </c>
    </row>
    <row r="3180" spans="1:33" x14ac:dyDescent="0.25">
      <c r="A3180" t="s">
        <v>4647</v>
      </c>
      <c r="D3180" t="s">
        <v>195</v>
      </c>
      <c r="E3180" t="s">
        <v>4718</v>
      </c>
      <c r="F3180">
        <v>1743</v>
      </c>
      <c r="G3180">
        <v>2704</v>
      </c>
      <c r="H3180">
        <v>81</v>
      </c>
      <c r="J3180" t="s">
        <v>2298</v>
      </c>
      <c r="O3180" t="s">
        <v>41</v>
      </c>
      <c r="V3180" t="s">
        <v>4648</v>
      </c>
      <c r="W3180" t="s">
        <v>92</v>
      </c>
      <c r="Y3180" t="s">
        <v>38</v>
      </c>
      <c r="AA3180" t="s">
        <v>38</v>
      </c>
      <c r="AB3180" t="s">
        <v>38</v>
      </c>
      <c r="AC3180" t="s">
        <v>38</v>
      </c>
      <c r="AD3180" t="s">
        <v>48</v>
      </c>
      <c r="AG3180" t="str">
        <f>IF(AD3180="United States", IFERROR(INDEX(Sheet2!$C:$C, MATCH(AE3180&amp;AF3180, Sheet2!$E:$E, 0)) &amp; ", " &amp; INDEX(Sheet2!$D:$D, MATCH(AE3180&amp;AF3180, Sheet2!$E:$E, 0)), ""), "-")</f>
        <v/>
      </c>
    </row>
    <row r="3181" spans="1:33" x14ac:dyDescent="0.25">
      <c r="A3181" t="s">
        <v>4647</v>
      </c>
      <c r="D3181" t="s">
        <v>1122</v>
      </c>
      <c r="E3181" t="s">
        <v>38</v>
      </c>
      <c r="F3181">
        <v>1760</v>
      </c>
      <c r="G3181">
        <v>2710</v>
      </c>
      <c r="H3181">
        <v>81</v>
      </c>
      <c r="J3181" t="s">
        <v>2298</v>
      </c>
      <c r="O3181" t="s">
        <v>41</v>
      </c>
      <c r="V3181" t="s">
        <v>4648</v>
      </c>
      <c r="W3181" t="s">
        <v>92</v>
      </c>
      <c r="Y3181" t="s">
        <v>38</v>
      </c>
      <c r="AA3181" t="s">
        <v>38</v>
      </c>
      <c r="AB3181" t="s">
        <v>38</v>
      </c>
      <c r="AC3181" t="s">
        <v>38</v>
      </c>
      <c r="AD3181" t="s">
        <v>48</v>
      </c>
      <c r="AG3181" t="str">
        <f>IF(AD3181="United States", IFERROR(INDEX(Sheet2!$C:$C, MATCH(AE3181&amp;AF3181, Sheet2!$E:$E, 0)) &amp; ", " &amp; INDEX(Sheet2!$D:$D, MATCH(AE3181&amp;AF3181, Sheet2!$E:$E, 0)), ""), "-")</f>
        <v/>
      </c>
    </row>
    <row r="3182" spans="1:33" x14ac:dyDescent="0.25">
      <c r="A3182" t="s">
        <v>4647</v>
      </c>
      <c r="D3182" t="s">
        <v>1573</v>
      </c>
      <c r="E3182" t="s">
        <v>38</v>
      </c>
      <c r="F3182">
        <v>1758</v>
      </c>
      <c r="G3182">
        <v>2700</v>
      </c>
      <c r="H3182">
        <v>81</v>
      </c>
      <c r="J3182" t="s">
        <v>2298</v>
      </c>
      <c r="O3182" t="s">
        <v>57</v>
      </c>
      <c r="V3182" t="s">
        <v>4648</v>
      </c>
      <c r="W3182" t="s">
        <v>92</v>
      </c>
      <c r="Y3182" t="s">
        <v>38</v>
      </c>
      <c r="AA3182" t="s">
        <v>38</v>
      </c>
      <c r="AB3182" t="s">
        <v>38</v>
      </c>
      <c r="AC3182" t="s">
        <v>38</v>
      </c>
      <c r="AD3182" t="s">
        <v>48</v>
      </c>
      <c r="AG3182" t="str">
        <f>IF(AD3182="United States", IFERROR(INDEX(Sheet2!$C:$C, MATCH(AE3182&amp;AF3182, Sheet2!$E:$E, 0)) &amp; ", " &amp; INDEX(Sheet2!$D:$D, MATCH(AE3182&amp;AF3182, Sheet2!$E:$E, 0)), ""), "-")</f>
        <v/>
      </c>
    </row>
    <row r="3183" spans="1:33" x14ac:dyDescent="0.25">
      <c r="A3183" t="s">
        <v>4719</v>
      </c>
      <c r="B3183" t="s">
        <v>4720</v>
      </c>
      <c r="C3183" t="s">
        <v>4721</v>
      </c>
      <c r="D3183" t="s">
        <v>3795</v>
      </c>
      <c r="E3183" t="s">
        <v>4722</v>
      </c>
      <c r="F3183">
        <v>1758</v>
      </c>
      <c r="G3183">
        <v>670</v>
      </c>
      <c r="H3183" t="s">
        <v>38</v>
      </c>
      <c r="I3183" t="s">
        <v>39</v>
      </c>
      <c r="J3183" t="s">
        <v>38</v>
      </c>
      <c r="K3183" t="s">
        <v>38</v>
      </c>
      <c r="L3183" t="s">
        <v>38</v>
      </c>
      <c r="M3183" t="s">
        <v>38</v>
      </c>
      <c r="N3183" t="s">
        <v>38</v>
      </c>
      <c r="O3183" t="s">
        <v>41</v>
      </c>
      <c r="P3183" t="s">
        <v>42</v>
      </c>
      <c r="Q3183" t="s">
        <v>43</v>
      </c>
      <c r="R3183" t="s">
        <v>38</v>
      </c>
      <c r="S3183" t="s">
        <v>38</v>
      </c>
      <c r="T3183" t="s">
        <v>38</v>
      </c>
      <c r="U3183" t="s">
        <v>38</v>
      </c>
      <c r="V3183" t="s">
        <v>38</v>
      </c>
      <c r="W3183" t="s">
        <v>38</v>
      </c>
      <c r="X3183" t="s">
        <v>38</v>
      </c>
      <c r="Y3183" t="s">
        <v>4723</v>
      </c>
      <c r="Z3183" t="s">
        <v>42</v>
      </c>
      <c r="AA3183" t="s">
        <v>38</v>
      </c>
      <c r="AB3183" t="s">
        <v>38</v>
      </c>
      <c r="AC3183" t="s">
        <v>38</v>
      </c>
      <c r="AD3183" t="s">
        <v>48</v>
      </c>
      <c r="AG3183" t="str">
        <f>IF(AD3183="United States", IFERROR(INDEX(Sheet2!$C:$C, MATCH(AE3183&amp;AF3183, Sheet2!$E:$E, 0)) &amp; ", " &amp; INDEX(Sheet2!$D:$D, MATCH(AE3183&amp;AF3183, Sheet2!$E:$E, 0)), ""), "-")</f>
        <v/>
      </c>
    </row>
    <row r="3184" spans="1:33" x14ac:dyDescent="0.25">
      <c r="A3184" t="s">
        <v>4719</v>
      </c>
      <c r="B3184" t="s">
        <v>4724</v>
      </c>
      <c r="C3184" t="s">
        <v>4721</v>
      </c>
      <c r="D3184" t="s">
        <v>3575</v>
      </c>
      <c r="E3184" t="s">
        <v>4725</v>
      </c>
      <c r="F3184">
        <v>1777</v>
      </c>
      <c r="G3184">
        <v>672</v>
      </c>
      <c r="H3184" t="s">
        <v>38</v>
      </c>
      <c r="I3184" t="s">
        <v>39</v>
      </c>
      <c r="J3184" t="s">
        <v>38</v>
      </c>
      <c r="K3184" t="s">
        <v>38</v>
      </c>
      <c r="L3184" t="s">
        <v>38</v>
      </c>
      <c r="M3184" t="s">
        <v>38</v>
      </c>
      <c r="N3184" t="s">
        <v>38</v>
      </c>
      <c r="O3184" t="s">
        <v>54</v>
      </c>
      <c r="P3184" t="s">
        <v>42</v>
      </c>
      <c r="Q3184" t="s">
        <v>43</v>
      </c>
      <c r="R3184" t="s">
        <v>38</v>
      </c>
      <c r="S3184" t="s">
        <v>38</v>
      </c>
      <c r="T3184" t="s">
        <v>38</v>
      </c>
      <c r="U3184" t="s">
        <v>38</v>
      </c>
      <c r="V3184" t="s">
        <v>38</v>
      </c>
      <c r="W3184" t="s">
        <v>38</v>
      </c>
      <c r="X3184" t="s">
        <v>38</v>
      </c>
      <c r="Y3184" t="s">
        <v>4726</v>
      </c>
      <c r="Z3184" t="s">
        <v>42</v>
      </c>
      <c r="AA3184" t="s">
        <v>38</v>
      </c>
      <c r="AB3184" t="s">
        <v>38</v>
      </c>
      <c r="AC3184" t="s">
        <v>38</v>
      </c>
      <c r="AD3184" t="s">
        <v>48</v>
      </c>
      <c r="AG3184" t="str">
        <f>IF(AD3184="United States", IFERROR(INDEX(Sheet2!$C:$C, MATCH(AE3184&amp;AF3184, Sheet2!$E:$E, 0)) &amp; ", " &amp; INDEX(Sheet2!$D:$D, MATCH(AE3184&amp;AF3184, Sheet2!$E:$E, 0)), ""), "-")</f>
        <v/>
      </c>
    </row>
    <row r="3185" spans="1:33" x14ac:dyDescent="0.25">
      <c r="A3185" t="s">
        <v>4719</v>
      </c>
      <c r="B3185" t="s">
        <v>4727</v>
      </c>
      <c r="C3185" t="s">
        <v>4721</v>
      </c>
      <c r="D3185" t="s">
        <v>108</v>
      </c>
      <c r="E3185" t="s">
        <v>4725</v>
      </c>
      <c r="F3185">
        <v>1782</v>
      </c>
      <c r="G3185">
        <v>673</v>
      </c>
      <c r="H3185" t="s">
        <v>38</v>
      </c>
      <c r="I3185" t="s">
        <v>39</v>
      </c>
      <c r="J3185" t="s">
        <v>38</v>
      </c>
      <c r="K3185" t="s">
        <v>38</v>
      </c>
      <c r="L3185" t="s">
        <v>38</v>
      </c>
      <c r="M3185" t="s">
        <v>38</v>
      </c>
      <c r="N3185" t="s">
        <v>38</v>
      </c>
      <c r="O3185" t="s">
        <v>54</v>
      </c>
      <c r="P3185" t="s">
        <v>42</v>
      </c>
      <c r="Q3185" t="s">
        <v>43</v>
      </c>
      <c r="R3185" t="s">
        <v>38</v>
      </c>
      <c r="S3185" t="s">
        <v>38</v>
      </c>
      <c r="T3185" t="s">
        <v>38</v>
      </c>
      <c r="U3185" t="s">
        <v>38</v>
      </c>
      <c r="V3185" t="s">
        <v>38</v>
      </c>
      <c r="W3185" t="s">
        <v>38</v>
      </c>
      <c r="X3185" t="s">
        <v>38</v>
      </c>
      <c r="Y3185" t="s">
        <v>4726</v>
      </c>
      <c r="Z3185" t="s">
        <v>42</v>
      </c>
      <c r="AA3185" t="s">
        <v>38</v>
      </c>
      <c r="AB3185" t="s">
        <v>38</v>
      </c>
      <c r="AC3185" t="s">
        <v>38</v>
      </c>
      <c r="AD3185" t="s">
        <v>48</v>
      </c>
      <c r="AG3185" t="str">
        <f>IF(AD3185="United States", IFERROR(INDEX(Sheet2!$C:$C, MATCH(AE3185&amp;AF3185, Sheet2!$E:$E, 0)) &amp; ", " &amp; INDEX(Sheet2!$D:$D, MATCH(AE3185&amp;AF3185, Sheet2!$E:$E, 0)), ""), "-")</f>
        <v/>
      </c>
    </row>
    <row r="3186" spans="1:33" x14ac:dyDescent="0.25">
      <c r="A3186" t="s">
        <v>4719</v>
      </c>
      <c r="B3186" t="s">
        <v>4728</v>
      </c>
      <c r="C3186" t="s">
        <v>4721</v>
      </c>
      <c r="D3186" t="s">
        <v>835</v>
      </c>
      <c r="E3186" t="s">
        <v>4729</v>
      </c>
      <c r="F3186">
        <v>1768</v>
      </c>
      <c r="G3186">
        <v>669</v>
      </c>
      <c r="H3186" t="s">
        <v>38</v>
      </c>
      <c r="I3186" t="s">
        <v>39</v>
      </c>
      <c r="J3186" t="s">
        <v>38</v>
      </c>
      <c r="K3186" t="s">
        <v>38</v>
      </c>
      <c r="L3186" t="s">
        <v>38</v>
      </c>
      <c r="M3186" t="s">
        <v>38</v>
      </c>
      <c r="N3186" t="s">
        <v>38</v>
      </c>
      <c r="O3186" t="s">
        <v>74</v>
      </c>
      <c r="P3186" t="s">
        <v>42</v>
      </c>
      <c r="Q3186" t="s">
        <v>43</v>
      </c>
      <c r="R3186" t="s">
        <v>38</v>
      </c>
      <c r="S3186" t="s">
        <v>38</v>
      </c>
      <c r="T3186" t="s">
        <v>38</v>
      </c>
      <c r="U3186" t="s">
        <v>38</v>
      </c>
      <c r="V3186" t="s">
        <v>38</v>
      </c>
      <c r="W3186" t="s">
        <v>38</v>
      </c>
      <c r="X3186" t="s">
        <v>38</v>
      </c>
      <c r="Y3186" t="s">
        <v>4730</v>
      </c>
      <c r="Z3186" t="s">
        <v>42</v>
      </c>
      <c r="AA3186" t="s">
        <v>38</v>
      </c>
      <c r="AB3186" t="s">
        <v>38</v>
      </c>
      <c r="AC3186" t="s">
        <v>38</v>
      </c>
      <c r="AD3186" t="s">
        <v>48</v>
      </c>
      <c r="AG3186" t="str">
        <f>IF(AD3186="United States", IFERROR(INDEX(Sheet2!$C:$C, MATCH(AE3186&amp;AF3186, Sheet2!$E:$E, 0)) &amp; ", " &amp; INDEX(Sheet2!$D:$D, MATCH(AE3186&amp;AF3186, Sheet2!$E:$E, 0)), ""), "-")</f>
        <v/>
      </c>
    </row>
    <row r="3187" spans="1:33" x14ac:dyDescent="0.25">
      <c r="A3187" t="s">
        <v>4719</v>
      </c>
      <c r="B3187" t="s">
        <v>4731</v>
      </c>
      <c r="C3187" t="s">
        <v>4721</v>
      </c>
      <c r="D3187" t="s">
        <v>222</v>
      </c>
      <c r="E3187" t="s">
        <v>4725</v>
      </c>
      <c r="F3187">
        <v>1754</v>
      </c>
      <c r="G3187">
        <v>671</v>
      </c>
      <c r="H3187" t="s">
        <v>38</v>
      </c>
      <c r="I3187" t="s">
        <v>39</v>
      </c>
      <c r="J3187" t="s">
        <v>38</v>
      </c>
      <c r="K3187" t="s">
        <v>38</v>
      </c>
      <c r="L3187" t="s">
        <v>38</v>
      </c>
      <c r="M3187" t="s">
        <v>38</v>
      </c>
      <c r="N3187" t="s">
        <v>38</v>
      </c>
      <c r="O3187" t="s">
        <v>57</v>
      </c>
      <c r="P3187" t="s">
        <v>42</v>
      </c>
      <c r="Q3187" t="s">
        <v>43</v>
      </c>
      <c r="R3187" t="s">
        <v>38</v>
      </c>
      <c r="S3187" t="s">
        <v>38</v>
      </c>
      <c r="T3187" t="s">
        <v>38</v>
      </c>
      <c r="U3187" t="s">
        <v>38</v>
      </c>
      <c r="V3187" t="s">
        <v>38</v>
      </c>
      <c r="W3187" t="s">
        <v>38</v>
      </c>
      <c r="X3187" t="s">
        <v>38</v>
      </c>
      <c r="Y3187" t="s">
        <v>4726</v>
      </c>
      <c r="Z3187" t="s">
        <v>42</v>
      </c>
      <c r="AA3187" t="s">
        <v>38</v>
      </c>
      <c r="AB3187" t="s">
        <v>38</v>
      </c>
      <c r="AC3187" t="s">
        <v>38</v>
      </c>
      <c r="AD3187" t="s">
        <v>48</v>
      </c>
      <c r="AG3187" t="str">
        <f>IF(AD3187="United States", IFERROR(INDEX(Sheet2!$C:$C, MATCH(AE3187&amp;AF3187, Sheet2!$E:$E, 0)) &amp; ", " &amp; INDEX(Sheet2!$D:$D, MATCH(AE3187&amp;AF3187, Sheet2!$E:$E, 0)), ""), "-")</f>
        <v/>
      </c>
    </row>
    <row r="3188" spans="1:33" x14ac:dyDescent="0.25">
      <c r="A3188" t="s">
        <v>4732</v>
      </c>
      <c r="D3188" t="s">
        <v>3795</v>
      </c>
      <c r="E3188" t="s">
        <v>4722</v>
      </c>
      <c r="F3188">
        <v>1758</v>
      </c>
      <c r="G3188">
        <v>735</v>
      </c>
      <c r="H3188">
        <v>34</v>
      </c>
      <c r="J3188" t="s">
        <v>4733</v>
      </c>
      <c r="O3188" t="s">
        <v>41</v>
      </c>
      <c r="V3188" t="s">
        <v>4734</v>
      </c>
      <c r="W3188" t="s">
        <v>92</v>
      </c>
      <c r="Y3188" t="s">
        <v>38</v>
      </c>
      <c r="AA3188" t="s">
        <v>38</v>
      </c>
      <c r="AB3188" t="s">
        <v>38</v>
      </c>
      <c r="AC3188" t="s">
        <v>38</v>
      </c>
      <c r="AD3188" t="s">
        <v>48</v>
      </c>
      <c r="AG3188" t="str">
        <f>IF(AD3188="United States", IFERROR(INDEX(Sheet2!$C:$C, MATCH(AE3188&amp;AF3188, Sheet2!$E:$E, 0)) &amp; ", " &amp; INDEX(Sheet2!$D:$D, MATCH(AE3188&amp;AF3188, Sheet2!$E:$E, 0)), ""), "-")</f>
        <v/>
      </c>
    </row>
    <row r="3189" spans="1:33" x14ac:dyDescent="0.25">
      <c r="A3189" t="s">
        <v>4732</v>
      </c>
      <c r="D3189" t="s">
        <v>222</v>
      </c>
      <c r="E3189" t="s">
        <v>4725</v>
      </c>
      <c r="F3189">
        <v>1754</v>
      </c>
      <c r="G3189">
        <v>736</v>
      </c>
      <c r="H3189">
        <v>34</v>
      </c>
      <c r="J3189" t="s">
        <v>4733</v>
      </c>
      <c r="O3189" t="s">
        <v>57</v>
      </c>
      <c r="V3189" t="s">
        <v>4734</v>
      </c>
      <c r="W3189" t="s">
        <v>92</v>
      </c>
      <c r="Y3189" t="s">
        <v>38</v>
      </c>
      <c r="AA3189" t="s">
        <v>38</v>
      </c>
      <c r="AB3189" t="s">
        <v>38</v>
      </c>
      <c r="AC3189" t="s">
        <v>38</v>
      </c>
      <c r="AD3189" t="s">
        <v>48</v>
      </c>
      <c r="AG3189" t="str">
        <f>IF(AD3189="United States", IFERROR(INDEX(Sheet2!$C:$C, MATCH(AE3189&amp;AF3189, Sheet2!$E:$E, 0)) &amp; ", " &amp; INDEX(Sheet2!$D:$D, MATCH(AE3189&amp;AF3189, Sheet2!$E:$E, 0)), ""), "-")</f>
        <v/>
      </c>
    </row>
    <row r="3190" spans="1:33" x14ac:dyDescent="0.25">
      <c r="A3190" t="s">
        <v>4732</v>
      </c>
      <c r="D3190" t="s">
        <v>108</v>
      </c>
      <c r="E3190" t="s">
        <v>4725</v>
      </c>
      <c r="F3190">
        <v>1782</v>
      </c>
      <c r="G3190">
        <v>738</v>
      </c>
      <c r="H3190">
        <v>35</v>
      </c>
      <c r="J3190" t="s">
        <v>4733</v>
      </c>
      <c r="O3190" t="s">
        <v>54</v>
      </c>
      <c r="V3190" t="s">
        <v>4734</v>
      </c>
      <c r="W3190" t="s">
        <v>92</v>
      </c>
      <c r="Y3190" t="s">
        <v>38</v>
      </c>
      <c r="AA3190" t="s">
        <v>38</v>
      </c>
      <c r="AB3190" t="s">
        <v>38</v>
      </c>
      <c r="AC3190" t="s">
        <v>38</v>
      </c>
      <c r="AD3190" t="s">
        <v>48</v>
      </c>
      <c r="AG3190" t="str">
        <f>IF(AD3190="United States", IFERROR(INDEX(Sheet2!$C:$C, MATCH(AE3190&amp;AF3190, Sheet2!$E:$E, 0)) &amp; ", " &amp; INDEX(Sheet2!$D:$D, MATCH(AE3190&amp;AF3190, Sheet2!$E:$E, 0)), ""), "-")</f>
        <v/>
      </c>
    </row>
    <row r="3191" spans="1:33" x14ac:dyDescent="0.25">
      <c r="A3191" t="s">
        <v>4732</v>
      </c>
      <c r="D3191" t="s">
        <v>3710</v>
      </c>
      <c r="E3191" t="s">
        <v>4729</v>
      </c>
      <c r="F3191">
        <v>1768</v>
      </c>
      <c r="G3191">
        <v>734</v>
      </c>
      <c r="H3191">
        <v>34</v>
      </c>
      <c r="J3191" t="s">
        <v>4733</v>
      </c>
      <c r="O3191" t="s">
        <v>74</v>
      </c>
      <c r="V3191" t="s">
        <v>4734</v>
      </c>
      <c r="W3191" t="s">
        <v>92</v>
      </c>
      <c r="Y3191" t="s">
        <v>38</v>
      </c>
      <c r="AA3191" t="s">
        <v>38</v>
      </c>
      <c r="AB3191" t="s">
        <v>38</v>
      </c>
      <c r="AC3191" t="s">
        <v>38</v>
      </c>
      <c r="AD3191" t="s">
        <v>48</v>
      </c>
      <c r="AG3191" t="str">
        <f>IF(AD3191="United States", IFERROR(INDEX(Sheet2!$C:$C, MATCH(AE3191&amp;AF3191, Sheet2!$E:$E, 0)) &amp; ", " &amp; INDEX(Sheet2!$D:$D, MATCH(AE3191&amp;AF3191, Sheet2!$E:$E, 0)), ""), "-")</f>
        <v/>
      </c>
    </row>
    <row r="3192" spans="1:33" x14ac:dyDescent="0.25">
      <c r="A3192" t="s">
        <v>4732</v>
      </c>
      <c r="D3192" t="s">
        <v>4735</v>
      </c>
      <c r="E3192" t="s">
        <v>4725</v>
      </c>
      <c r="F3192">
        <v>1777</v>
      </c>
      <c r="G3192">
        <v>737</v>
      </c>
      <c r="H3192">
        <v>34</v>
      </c>
      <c r="J3192" t="s">
        <v>4733</v>
      </c>
      <c r="O3192" t="s">
        <v>74</v>
      </c>
      <c r="V3192" t="s">
        <v>4734</v>
      </c>
      <c r="W3192" t="s">
        <v>92</v>
      </c>
      <c r="Y3192" t="s">
        <v>38</v>
      </c>
      <c r="AA3192" t="s">
        <v>38</v>
      </c>
      <c r="AB3192" t="s">
        <v>38</v>
      </c>
      <c r="AC3192" t="s">
        <v>38</v>
      </c>
      <c r="AD3192" t="s">
        <v>48</v>
      </c>
      <c r="AG3192" t="str">
        <f>IF(AD3192="United States", IFERROR(INDEX(Sheet2!$C:$C, MATCH(AE3192&amp;AF3192, Sheet2!$E:$E, 0)) &amp; ", " &amp; INDEX(Sheet2!$D:$D, MATCH(AE3192&amp;AF3192, Sheet2!$E:$E, 0)), ""), "-")</f>
        <v/>
      </c>
    </row>
    <row r="3193" spans="1:33" x14ac:dyDescent="0.25">
      <c r="A3193" t="s">
        <v>4736</v>
      </c>
      <c r="B3193" t="s">
        <v>4737</v>
      </c>
      <c r="C3193" t="s">
        <v>4738</v>
      </c>
      <c r="D3193" t="s">
        <v>463</v>
      </c>
      <c r="E3193" t="s">
        <v>4223</v>
      </c>
      <c r="F3193">
        <v>1774</v>
      </c>
      <c r="G3193">
        <v>2614</v>
      </c>
      <c r="H3193" t="s">
        <v>38</v>
      </c>
      <c r="I3193" t="s">
        <v>87</v>
      </c>
      <c r="J3193" t="s">
        <v>38</v>
      </c>
      <c r="K3193" t="s">
        <v>38</v>
      </c>
      <c r="L3193" t="s">
        <v>38</v>
      </c>
      <c r="M3193" t="s">
        <v>256</v>
      </c>
      <c r="N3193" t="s">
        <v>4223</v>
      </c>
      <c r="O3193" t="s">
        <v>54</v>
      </c>
      <c r="P3193" t="s">
        <v>42</v>
      </c>
      <c r="Q3193" t="s">
        <v>43</v>
      </c>
      <c r="R3193" t="s">
        <v>38</v>
      </c>
      <c r="S3193" t="s">
        <v>38</v>
      </c>
      <c r="T3193" t="s">
        <v>38</v>
      </c>
      <c r="U3193" t="s">
        <v>38</v>
      </c>
      <c r="V3193" t="s">
        <v>38</v>
      </c>
      <c r="W3193" t="s">
        <v>38</v>
      </c>
      <c r="X3193" t="s">
        <v>38</v>
      </c>
      <c r="Y3193" t="s">
        <v>38</v>
      </c>
      <c r="Z3193" t="s">
        <v>42</v>
      </c>
      <c r="AA3193" t="s">
        <v>38</v>
      </c>
      <c r="AB3193" t="s">
        <v>38</v>
      </c>
      <c r="AC3193" t="s">
        <v>38</v>
      </c>
      <c r="AD3193" t="s">
        <v>48</v>
      </c>
      <c r="AG3193" t="str">
        <f>IF(AD3193="United States", IFERROR(INDEX(Sheet2!$C:$C, MATCH(AE3193&amp;AF3193, Sheet2!$E:$E, 0)) &amp; ", " &amp; INDEX(Sheet2!$D:$D, MATCH(AE3193&amp;AF3193, Sheet2!$E:$E, 0)), ""), "-")</f>
        <v/>
      </c>
    </row>
    <row r="3194" spans="1:33" x14ac:dyDescent="0.25">
      <c r="A3194" t="s">
        <v>4736</v>
      </c>
      <c r="B3194" t="s">
        <v>4739</v>
      </c>
      <c r="C3194" t="s">
        <v>4738</v>
      </c>
      <c r="D3194" t="s">
        <v>256</v>
      </c>
      <c r="E3194" t="s">
        <v>4223</v>
      </c>
      <c r="F3194">
        <v>1753</v>
      </c>
      <c r="G3194">
        <v>2613</v>
      </c>
      <c r="H3194" t="s">
        <v>38</v>
      </c>
      <c r="I3194" t="s">
        <v>87</v>
      </c>
      <c r="J3194" t="s">
        <v>38</v>
      </c>
      <c r="K3194" t="s">
        <v>38</v>
      </c>
      <c r="L3194" t="s">
        <v>38</v>
      </c>
      <c r="M3194" t="s">
        <v>38</v>
      </c>
      <c r="N3194" t="s">
        <v>38</v>
      </c>
      <c r="O3194" t="s">
        <v>57</v>
      </c>
      <c r="P3194" t="s">
        <v>42</v>
      </c>
      <c r="Q3194" t="s">
        <v>43</v>
      </c>
      <c r="R3194" t="s">
        <v>38</v>
      </c>
      <c r="S3194" t="s">
        <v>38</v>
      </c>
      <c r="T3194" t="s">
        <v>38</v>
      </c>
      <c r="U3194" t="s">
        <v>38</v>
      </c>
      <c r="V3194" t="s">
        <v>38</v>
      </c>
      <c r="W3194" t="s">
        <v>38</v>
      </c>
      <c r="X3194" t="s">
        <v>38</v>
      </c>
      <c r="Y3194" t="s">
        <v>38</v>
      </c>
      <c r="Z3194" t="s">
        <v>42</v>
      </c>
      <c r="AA3194" t="s">
        <v>672</v>
      </c>
      <c r="AB3194" t="s">
        <v>38</v>
      </c>
      <c r="AC3194" t="s">
        <v>60</v>
      </c>
      <c r="AD3194" t="s">
        <v>672</v>
      </c>
      <c r="AG3194" t="str">
        <f>IF(AD3194="United States", IFERROR(INDEX(Sheet2!$C:$C, MATCH(AE3194&amp;AF3194, Sheet2!$E:$E, 0)) &amp; ", " &amp; INDEX(Sheet2!$D:$D, MATCH(AE3194&amp;AF3194, Sheet2!$E:$E, 0)), ""), "18.1850507, -77.3947693")</f>
        <v>18.1850507, -77.3947693</v>
      </c>
    </row>
    <row r="3195" spans="1:33" x14ac:dyDescent="0.25">
      <c r="A3195" t="s">
        <v>4736</v>
      </c>
      <c r="B3195" t="s">
        <v>4740</v>
      </c>
      <c r="C3195" t="s">
        <v>4738</v>
      </c>
      <c r="D3195" t="s">
        <v>357</v>
      </c>
      <c r="E3195" t="s">
        <v>4223</v>
      </c>
      <c r="F3195">
        <v>1742</v>
      </c>
      <c r="G3195">
        <v>2612</v>
      </c>
      <c r="H3195" t="s">
        <v>38</v>
      </c>
      <c r="I3195" t="s">
        <v>87</v>
      </c>
      <c r="J3195" t="s">
        <v>38</v>
      </c>
      <c r="K3195" t="s">
        <v>38</v>
      </c>
      <c r="L3195" t="s">
        <v>38</v>
      </c>
      <c r="M3195" t="s">
        <v>38</v>
      </c>
      <c r="N3195" t="s">
        <v>38</v>
      </c>
      <c r="O3195" t="s">
        <v>41</v>
      </c>
      <c r="P3195" t="s">
        <v>42</v>
      </c>
      <c r="Q3195" t="s">
        <v>43</v>
      </c>
      <c r="R3195" t="s">
        <v>677</v>
      </c>
      <c r="S3195" t="s">
        <v>201</v>
      </c>
      <c r="T3195" t="s">
        <v>38</v>
      </c>
      <c r="U3195" t="s">
        <v>38</v>
      </c>
      <c r="V3195" t="s">
        <v>38</v>
      </c>
      <c r="W3195" t="s">
        <v>38</v>
      </c>
      <c r="X3195" t="s">
        <v>38</v>
      </c>
      <c r="Y3195" t="s">
        <v>38</v>
      </c>
      <c r="Z3195" t="s">
        <v>42</v>
      </c>
      <c r="AA3195" t="s">
        <v>677</v>
      </c>
      <c r="AB3195" t="s">
        <v>38</v>
      </c>
      <c r="AC3195" t="s">
        <v>201</v>
      </c>
      <c r="AD3195" t="s">
        <v>48</v>
      </c>
      <c r="AG3195" t="str">
        <f>IF(AD3195="United States", IFERROR(INDEX(Sheet2!$C:$C, MATCH(AE3195&amp;AF3195, Sheet2!$E:$E, 0)) &amp; ", " &amp; INDEX(Sheet2!$D:$D, MATCH(AE3195&amp;AF3195, Sheet2!$E:$E, 0)), ""), "-")</f>
        <v/>
      </c>
    </row>
    <row r="3196" spans="1:33" x14ac:dyDescent="0.25">
      <c r="A3196" t="s">
        <v>4736</v>
      </c>
      <c r="B3196" t="s">
        <v>4741</v>
      </c>
      <c r="C3196" t="s">
        <v>4738</v>
      </c>
      <c r="D3196" t="s">
        <v>569</v>
      </c>
      <c r="E3196" t="s">
        <v>4682</v>
      </c>
      <c r="F3196">
        <v>1758</v>
      </c>
      <c r="G3196">
        <v>2609</v>
      </c>
      <c r="H3196" t="s">
        <v>38</v>
      </c>
      <c r="I3196" t="s">
        <v>87</v>
      </c>
      <c r="J3196" t="s">
        <v>38</v>
      </c>
      <c r="K3196" t="s">
        <v>38</v>
      </c>
      <c r="L3196" t="s">
        <v>38</v>
      </c>
      <c r="M3196" t="s">
        <v>38</v>
      </c>
      <c r="N3196" t="s">
        <v>38</v>
      </c>
      <c r="O3196" t="s">
        <v>41</v>
      </c>
      <c r="P3196" t="s">
        <v>42</v>
      </c>
      <c r="Q3196" t="s">
        <v>43</v>
      </c>
      <c r="R3196" t="s">
        <v>241</v>
      </c>
      <c r="S3196" t="s">
        <v>45</v>
      </c>
      <c r="T3196" t="s">
        <v>38</v>
      </c>
      <c r="U3196" t="s">
        <v>38</v>
      </c>
      <c r="V3196" t="s">
        <v>38</v>
      </c>
      <c r="W3196" t="s">
        <v>38</v>
      </c>
      <c r="X3196" t="s">
        <v>38</v>
      </c>
      <c r="Y3196" t="s">
        <v>38</v>
      </c>
      <c r="Z3196" t="s">
        <v>42</v>
      </c>
      <c r="AA3196" t="s">
        <v>241</v>
      </c>
      <c r="AB3196" t="s">
        <v>38</v>
      </c>
      <c r="AC3196" t="s">
        <v>45</v>
      </c>
      <c r="AD3196" t="s">
        <v>48</v>
      </c>
      <c r="AG3196" t="str">
        <f>IF(AD3196="United States", IFERROR(INDEX(Sheet2!$C:$C, MATCH(AE3196&amp;AF3196, Sheet2!$E:$E, 0)) &amp; ", " &amp; INDEX(Sheet2!$D:$D, MATCH(AE3196&amp;AF3196, Sheet2!$E:$E, 0)), ""), "-")</f>
        <v/>
      </c>
    </row>
    <row r="3197" spans="1:33" x14ac:dyDescent="0.25">
      <c r="A3197" t="s">
        <v>4736</v>
      </c>
      <c r="B3197" t="s">
        <v>4742</v>
      </c>
      <c r="C3197" t="s">
        <v>4738</v>
      </c>
      <c r="D3197" t="s">
        <v>226</v>
      </c>
      <c r="E3197" t="s">
        <v>4743</v>
      </c>
      <c r="F3197">
        <v>1753</v>
      </c>
      <c r="G3197">
        <v>2610</v>
      </c>
      <c r="H3197" t="s">
        <v>38</v>
      </c>
      <c r="I3197" t="s">
        <v>87</v>
      </c>
      <c r="J3197" t="s">
        <v>38</v>
      </c>
      <c r="K3197" t="s">
        <v>38</v>
      </c>
      <c r="L3197" t="s">
        <v>38</v>
      </c>
      <c r="M3197" t="s">
        <v>38</v>
      </c>
      <c r="N3197" t="s">
        <v>38</v>
      </c>
      <c r="O3197" t="s">
        <v>41</v>
      </c>
      <c r="P3197" t="s">
        <v>42</v>
      </c>
      <c r="Q3197" t="s">
        <v>43</v>
      </c>
      <c r="R3197" t="s">
        <v>265</v>
      </c>
      <c r="S3197" t="s">
        <v>201</v>
      </c>
      <c r="T3197" t="s">
        <v>38</v>
      </c>
      <c r="U3197" t="s">
        <v>38</v>
      </c>
      <c r="V3197" t="s">
        <v>38</v>
      </c>
      <c r="W3197" t="s">
        <v>38</v>
      </c>
      <c r="X3197" t="s">
        <v>38</v>
      </c>
      <c r="Y3197" t="s">
        <v>38</v>
      </c>
      <c r="Z3197" t="s">
        <v>42</v>
      </c>
      <c r="AA3197" t="s">
        <v>265</v>
      </c>
      <c r="AB3197" t="s">
        <v>38</v>
      </c>
      <c r="AC3197" t="s">
        <v>201</v>
      </c>
      <c r="AD3197" t="s">
        <v>48</v>
      </c>
      <c r="AG3197" t="str">
        <f>IF(AD3197="United States", IFERROR(INDEX(Sheet2!$C:$C, MATCH(AE3197&amp;AF3197, Sheet2!$E:$E, 0)) &amp; ", " &amp; INDEX(Sheet2!$D:$D, MATCH(AE3197&amp;AF3197, Sheet2!$E:$E, 0)), ""), "-")</f>
        <v/>
      </c>
    </row>
    <row r="3198" spans="1:33" x14ac:dyDescent="0.25">
      <c r="A3198" t="s">
        <v>4736</v>
      </c>
      <c r="B3198" t="s">
        <v>4744</v>
      </c>
      <c r="C3198" t="s">
        <v>4738</v>
      </c>
      <c r="D3198" t="s">
        <v>195</v>
      </c>
      <c r="E3198" t="s">
        <v>4223</v>
      </c>
      <c r="F3198">
        <v>1778</v>
      </c>
      <c r="G3198">
        <v>2615</v>
      </c>
      <c r="H3198" t="s">
        <v>38</v>
      </c>
      <c r="I3198" t="s">
        <v>87</v>
      </c>
      <c r="J3198" t="s">
        <v>38</v>
      </c>
      <c r="K3198" t="s">
        <v>38</v>
      </c>
      <c r="L3198" t="s">
        <v>38</v>
      </c>
      <c r="M3198" t="s">
        <v>256</v>
      </c>
      <c r="N3198" t="s">
        <v>4223</v>
      </c>
      <c r="O3198" t="s">
        <v>54</v>
      </c>
      <c r="P3198" t="s">
        <v>42</v>
      </c>
      <c r="Q3198" t="s">
        <v>43</v>
      </c>
      <c r="R3198" t="s">
        <v>38</v>
      </c>
      <c r="S3198" t="s">
        <v>38</v>
      </c>
      <c r="T3198" t="s">
        <v>38</v>
      </c>
      <c r="U3198" t="s">
        <v>38</v>
      </c>
      <c r="V3198" t="s">
        <v>38</v>
      </c>
      <c r="W3198" t="s">
        <v>38</v>
      </c>
      <c r="X3198" t="s">
        <v>38</v>
      </c>
      <c r="Y3198" t="s">
        <v>38</v>
      </c>
      <c r="Z3198" t="s">
        <v>42</v>
      </c>
      <c r="AA3198" t="s">
        <v>38</v>
      </c>
      <c r="AB3198" t="s">
        <v>38</v>
      </c>
      <c r="AC3198" t="s">
        <v>38</v>
      </c>
      <c r="AD3198" t="s">
        <v>48</v>
      </c>
      <c r="AG3198" t="str">
        <f>IF(AD3198="United States", IFERROR(INDEX(Sheet2!$C:$C, MATCH(AE3198&amp;AF3198, Sheet2!$E:$E, 0)) &amp; ", " &amp; INDEX(Sheet2!$D:$D, MATCH(AE3198&amp;AF3198, Sheet2!$E:$E, 0)), ""), "-")</f>
        <v/>
      </c>
    </row>
    <row r="3199" spans="1:33" x14ac:dyDescent="0.25">
      <c r="A3199" t="s">
        <v>4736</v>
      </c>
      <c r="B3199" t="s">
        <v>4745</v>
      </c>
      <c r="C3199" t="s">
        <v>4738</v>
      </c>
      <c r="D3199" t="s">
        <v>463</v>
      </c>
      <c r="E3199" t="s">
        <v>1861</v>
      </c>
      <c r="F3199">
        <v>1730</v>
      </c>
      <c r="G3199">
        <v>2606</v>
      </c>
      <c r="H3199" t="s">
        <v>38</v>
      </c>
      <c r="I3199" t="s">
        <v>87</v>
      </c>
      <c r="J3199" t="s">
        <v>38</v>
      </c>
      <c r="K3199" t="s">
        <v>38</v>
      </c>
      <c r="L3199" t="s">
        <v>38</v>
      </c>
      <c r="M3199" t="s">
        <v>38</v>
      </c>
      <c r="N3199" t="s">
        <v>38</v>
      </c>
      <c r="O3199" t="s">
        <v>41</v>
      </c>
      <c r="P3199" t="s">
        <v>42</v>
      </c>
      <c r="Q3199" t="s">
        <v>43</v>
      </c>
      <c r="R3199" t="s">
        <v>4746</v>
      </c>
      <c r="S3199" t="s">
        <v>201</v>
      </c>
      <c r="T3199" t="s">
        <v>38</v>
      </c>
      <c r="U3199" t="s">
        <v>38</v>
      </c>
      <c r="V3199" t="s">
        <v>38</v>
      </c>
      <c r="W3199" t="s">
        <v>38</v>
      </c>
      <c r="X3199" t="s">
        <v>38</v>
      </c>
      <c r="Y3199" t="s">
        <v>38</v>
      </c>
      <c r="Z3199" t="s">
        <v>42</v>
      </c>
      <c r="AA3199" t="s">
        <v>38</v>
      </c>
      <c r="AB3199" t="s">
        <v>38</v>
      </c>
      <c r="AC3199" t="s">
        <v>201</v>
      </c>
      <c r="AD3199" t="s">
        <v>48</v>
      </c>
      <c r="AG3199" t="str">
        <f>IF(AD3199="United States", IFERROR(INDEX(Sheet2!$C:$C, MATCH(AE3199&amp;AF3199, Sheet2!$E:$E, 0)) &amp; ", " &amp; INDEX(Sheet2!$D:$D, MATCH(AE3199&amp;AF3199, Sheet2!$E:$E, 0)), ""), "-")</f>
        <v/>
      </c>
    </row>
    <row r="3200" spans="1:33" x14ac:dyDescent="0.25">
      <c r="A3200" t="s">
        <v>4736</v>
      </c>
      <c r="B3200" t="s">
        <v>4747</v>
      </c>
      <c r="C3200" t="s">
        <v>4738</v>
      </c>
      <c r="D3200" t="s">
        <v>621</v>
      </c>
      <c r="E3200" t="s">
        <v>650</v>
      </c>
      <c r="F3200">
        <v>1758</v>
      </c>
      <c r="G3200">
        <v>2607</v>
      </c>
      <c r="H3200" t="s">
        <v>38</v>
      </c>
      <c r="I3200" t="s">
        <v>87</v>
      </c>
      <c r="J3200" t="s">
        <v>38</v>
      </c>
      <c r="K3200" t="s">
        <v>38</v>
      </c>
      <c r="L3200" t="s">
        <v>38</v>
      </c>
      <c r="M3200" t="s">
        <v>38</v>
      </c>
      <c r="N3200" t="s">
        <v>38</v>
      </c>
      <c r="O3200" t="s">
        <v>41</v>
      </c>
      <c r="P3200" t="s">
        <v>42</v>
      </c>
      <c r="Q3200" t="s">
        <v>43</v>
      </c>
      <c r="R3200" t="s">
        <v>155</v>
      </c>
      <c r="S3200" t="s">
        <v>153</v>
      </c>
      <c r="T3200" t="s">
        <v>38</v>
      </c>
      <c r="U3200" t="s">
        <v>38</v>
      </c>
      <c r="V3200" t="s">
        <v>38</v>
      </c>
      <c r="W3200" t="s">
        <v>38</v>
      </c>
      <c r="X3200" t="s">
        <v>38</v>
      </c>
      <c r="Y3200" t="s">
        <v>38</v>
      </c>
      <c r="Z3200" t="s">
        <v>42</v>
      </c>
      <c r="AA3200" t="s">
        <v>155</v>
      </c>
      <c r="AB3200" t="s">
        <v>38</v>
      </c>
      <c r="AC3200" t="s">
        <v>153</v>
      </c>
      <c r="AD3200" t="s">
        <v>48</v>
      </c>
      <c r="AG3200" t="str">
        <f>IF(AD3200="United States", IFERROR(INDEX(Sheet2!$C:$C, MATCH(AE3200&amp;AF3200, Sheet2!$E:$E, 0)) &amp; ", " &amp; INDEX(Sheet2!$D:$D, MATCH(AE3200&amp;AF3200, Sheet2!$E:$E, 0)), ""), "-")</f>
        <v/>
      </c>
    </row>
    <row r="3201" spans="1:33" x14ac:dyDescent="0.25">
      <c r="A3201" t="s">
        <v>4736</v>
      </c>
      <c r="B3201" t="s">
        <v>4748</v>
      </c>
      <c r="C3201" t="s">
        <v>4738</v>
      </c>
      <c r="D3201" t="s">
        <v>463</v>
      </c>
      <c r="E3201" t="s">
        <v>4681</v>
      </c>
      <c r="F3201">
        <v>1752</v>
      </c>
      <c r="G3201">
        <v>2611</v>
      </c>
      <c r="H3201" t="s">
        <v>38</v>
      </c>
      <c r="I3201" t="s">
        <v>87</v>
      </c>
      <c r="J3201" t="s">
        <v>38</v>
      </c>
      <c r="K3201" t="s">
        <v>38</v>
      </c>
      <c r="L3201" t="s">
        <v>38</v>
      </c>
      <c r="M3201" t="s">
        <v>38</v>
      </c>
      <c r="N3201" t="s">
        <v>38</v>
      </c>
      <c r="O3201" t="s">
        <v>41</v>
      </c>
      <c r="P3201" t="s">
        <v>42</v>
      </c>
      <c r="Q3201" t="s">
        <v>43</v>
      </c>
      <c r="R3201" t="s">
        <v>3903</v>
      </c>
      <c r="S3201" t="s">
        <v>89</v>
      </c>
      <c r="T3201" t="s">
        <v>38</v>
      </c>
      <c r="U3201" t="s">
        <v>38</v>
      </c>
      <c r="V3201" t="s">
        <v>38</v>
      </c>
      <c r="W3201" t="s">
        <v>38</v>
      </c>
      <c r="X3201" t="s">
        <v>38</v>
      </c>
      <c r="Y3201" t="s">
        <v>38</v>
      </c>
      <c r="Z3201" t="s">
        <v>42</v>
      </c>
      <c r="AA3201" t="s">
        <v>3903</v>
      </c>
      <c r="AB3201" t="s">
        <v>38</v>
      </c>
      <c r="AC3201" t="s">
        <v>89</v>
      </c>
      <c r="AD3201" t="s">
        <v>48</v>
      </c>
      <c r="AG3201" t="str">
        <f>IF(AD3201="United States", IFERROR(INDEX(Sheet2!$C:$C, MATCH(AE3201&amp;AF3201, Sheet2!$E:$E, 0)) &amp; ", " &amp; INDEX(Sheet2!$D:$D, MATCH(AE3201&amp;AF3201, Sheet2!$E:$E, 0)), ""), "-")</f>
        <v/>
      </c>
    </row>
    <row r="3202" spans="1:33" x14ac:dyDescent="0.25">
      <c r="A3202" t="s">
        <v>4736</v>
      </c>
      <c r="B3202" t="s">
        <v>4749</v>
      </c>
      <c r="C3202" t="s">
        <v>4738</v>
      </c>
      <c r="D3202" t="s">
        <v>834</v>
      </c>
      <c r="E3202" t="s">
        <v>4223</v>
      </c>
      <c r="F3202">
        <v>1780</v>
      </c>
      <c r="G3202">
        <v>2616</v>
      </c>
      <c r="H3202" t="s">
        <v>38</v>
      </c>
      <c r="I3202" t="s">
        <v>87</v>
      </c>
      <c r="J3202" t="s">
        <v>38</v>
      </c>
      <c r="K3202" t="s">
        <v>38</v>
      </c>
      <c r="L3202" t="s">
        <v>38</v>
      </c>
      <c r="M3202" t="s">
        <v>256</v>
      </c>
      <c r="N3202" t="s">
        <v>4223</v>
      </c>
      <c r="O3202" t="s">
        <v>54</v>
      </c>
      <c r="P3202" t="s">
        <v>42</v>
      </c>
      <c r="Q3202" t="s">
        <v>43</v>
      </c>
      <c r="R3202" t="s">
        <v>38</v>
      </c>
      <c r="S3202" t="s">
        <v>38</v>
      </c>
      <c r="T3202" t="s">
        <v>38</v>
      </c>
      <c r="U3202" t="s">
        <v>38</v>
      </c>
      <c r="V3202" t="s">
        <v>38</v>
      </c>
      <c r="W3202" t="s">
        <v>38</v>
      </c>
      <c r="X3202" t="s">
        <v>38</v>
      </c>
      <c r="Y3202" t="s">
        <v>38</v>
      </c>
      <c r="Z3202" t="s">
        <v>42</v>
      </c>
      <c r="AA3202" t="s">
        <v>38</v>
      </c>
      <c r="AB3202" t="s">
        <v>38</v>
      </c>
      <c r="AC3202" t="s">
        <v>38</v>
      </c>
      <c r="AD3202" t="s">
        <v>48</v>
      </c>
      <c r="AG3202" t="str">
        <f>IF(AD3202="United States", IFERROR(INDEX(Sheet2!$C:$C, MATCH(AE3202&amp;AF3202, Sheet2!$E:$E, 0)) &amp; ", " &amp; INDEX(Sheet2!$D:$D, MATCH(AE3202&amp;AF3202, Sheet2!$E:$E, 0)), ""), "-")</f>
        <v/>
      </c>
    </row>
    <row r="3203" spans="1:33" x14ac:dyDescent="0.25">
      <c r="A3203" t="s">
        <v>4736</v>
      </c>
      <c r="B3203" t="s">
        <v>4750</v>
      </c>
      <c r="C3203" t="s">
        <v>4738</v>
      </c>
      <c r="D3203" t="s">
        <v>113</v>
      </c>
      <c r="E3203" t="s">
        <v>4751</v>
      </c>
      <c r="F3203">
        <v>1775</v>
      </c>
      <c r="G3203">
        <v>2638</v>
      </c>
      <c r="H3203" t="s">
        <v>38</v>
      </c>
      <c r="I3203" t="s">
        <v>87</v>
      </c>
      <c r="J3203" t="s">
        <v>38</v>
      </c>
      <c r="K3203" t="s">
        <v>38</v>
      </c>
      <c r="L3203" t="s">
        <v>38</v>
      </c>
      <c r="M3203" t="s">
        <v>1274</v>
      </c>
      <c r="N3203" t="s">
        <v>4752</v>
      </c>
      <c r="O3203" t="s">
        <v>54</v>
      </c>
      <c r="P3203" t="s">
        <v>42</v>
      </c>
      <c r="Q3203" t="s">
        <v>43</v>
      </c>
      <c r="R3203" t="s">
        <v>38</v>
      </c>
      <c r="S3203" t="s">
        <v>38</v>
      </c>
      <c r="T3203" t="s">
        <v>38</v>
      </c>
      <c r="U3203" t="s">
        <v>38</v>
      </c>
      <c r="V3203" t="s">
        <v>38</v>
      </c>
      <c r="W3203" t="s">
        <v>38</v>
      </c>
      <c r="X3203" t="s">
        <v>38</v>
      </c>
      <c r="Y3203" t="s">
        <v>38</v>
      </c>
      <c r="Z3203" t="s">
        <v>42</v>
      </c>
      <c r="AA3203" t="s">
        <v>38</v>
      </c>
      <c r="AB3203" t="s">
        <v>38</v>
      </c>
      <c r="AC3203" t="s">
        <v>38</v>
      </c>
      <c r="AD3203" t="s">
        <v>48</v>
      </c>
      <c r="AG3203" t="str">
        <f>IF(AD3203="United States", IFERROR(INDEX(Sheet2!$C:$C, MATCH(AE3203&amp;AF3203, Sheet2!$E:$E, 0)) &amp; ", " &amp; INDEX(Sheet2!$D:$D, MATCH(AE3203&amp;AF3203, Sheet2!$E:$E, 0)), ""), "-")</f>
        <v/>
      </c>
    </row>
    <row r="3204" spans="1:33" x14ac:dyDescent="0.25">
      <c r="A3204" t="s">
        <v>4736</v>
      </c>
      <c r="B3204" t="s">
        <v>4753</v>
      </c>
      <c r="C3204" t="s">
        <v>4738</v>
      </c>
      <c r="D3204" t="s">
        <v>352</v>
      </c>
      <c r="E3204" t="s">
        <v>4678</v>
      </c>
      <c r="F3204">
        <v>1781</v>
      </c>
      <c r="G3204">
        <v>2618</v>
      </c>
      <c r="H3204" t="s">
        <v>38</v>
      </c>
      <c r="I3204" t="s">
        <v>87</v>
      </c>
      <c r="J3204" t="s">
        <v>38</v>
      </c>
      <c r="K3204" t="s">
        <v>38</v>
      </c>
      <c r="L3204" t="s">
        <v>38</v>
      </c>
      <c r="M3204" t="s">
        <v>256</v>
      </c>
      <c r="N3204" t="s">
        <v>4223</v>
      </c>
      <c r="O3204" t="s">
        <v>54</v>
      </c>
      <c r="P3204" t="s">
        <v>42</v>
      </c>
      <c r="Q3204" t="s">
        <v>43</v>
      </c>
      <c r="R3204" t="s">
        <v>38</v>
      </c>
      <c r="S3204" t="s">
        <v>38</v>
      </c>
      <c r="T3204" t="s">
        <v>38</v>
      </c>
      <c r="U3204" t="s">
        <v>38</v>
      </c>
      <c r="V3204" t="s">
        <v>38</v>
      </c>
      <c r="W3204" t="s">
        <v>38</v>
      </c>
      <c r="X3204" t="s">
        <v>38</v>
      </c>
      <c r="Y3204" t="s">
        <v>38</v>
      </c>
      <c r="Z3204" t="s">
        <v>42</v>
      </c>
      <c r="AA3204" t="s">
        <v>38</v>
      </c>
      <c r="AB3204" t="s">
        <v>38</v>
      </c>
      <c r="AC3204" t="s">
        <v>38</v>
      </c>
      <c r="AD3204" t="s">
        <v>48</v>
      </c>
      <c r="AG3204" t="str">
        <f>IF(AD3204="United States", IFERROR(INDEX(Sheet2!$C:$C, MATCH(AE3204&amp;AF3204, Sheet2!$E:$E, 0)) &amp; ", " &amp; INDEX(Sheet2!$D:$D, MATCH(AE3204&amp;AF3204, Sheet2!$E:$E, 0)), ""), "-")</f>
        <v/>
      </c>
    </row>
    <row r="3205" spans="1:33" x14ac:dyDescent="0.25">
      <c r="A3205" t="s">
        <v>4736</v>
      </c>
      <c r="B3205" t="s">
        <v>4754</v>
      </c>
      <c r="C3205" t="s">
        <v>4738</v>
      </c>
      <c r="D3205" t="s">
        <v>36</v>
      </c>
      <c r="E3205" t="s">
        <v>4666</v>
      </c>
      <c r="F3205">
        <v>1760</v>
      </c>
      <c r="G3205">
        <v>2605</v>
      </c>
      <c r="H3205" t="s">
        <v>38</v>
      </c>
      <c r="I3205" t="s">
        <v>87</v>
      </c>
      <c r="J3205" t="s">
        <v>38</v>
      </c>
      <c r="K3205" t="s">
        <v>38</v>
      </c>
      <c r="L3205" t="s">
        <v>38</v>
      </c>
      <c r="M3205" t="s">
        <v>38</v>
      </c>
      <c r="N3205" t="s">
        <v>38</v>
      </c>
      <c r="O3205" t="s">
        <v>41</v>
      </c>
      <c r="P3205" t="s">
        <v>42</v>
      </c>
      <c r="Q3205" t="s">
        <v>43</v>
      </c>
      <c r="R3205" t="s">
        <v>548</v>
      </c>
      <c r="S3205" t="s">
        <v>153</v>
      </c>
      <c r="T3205" t="s">
        <v>38</v>
      </c>
      <c r="U3205" t="s">
        <v>38</v>
      </c>
      <c r="V3205" t="s">
        <v>38</v>
      </c>
      <c r="W3205" t="s">
        <v>38</v>
      </c>
      <c r="X3205" t="s">
        <v>38</v>
      </c>
      <c r="Y3205" t="s">
        <v>38</v>
      </c>
      <c r="Z3205" t="s">
        <v>42</v>
      </c>
      <c r="AA3205" t="s">
        <v>548</v>
      </c>
      <c r="AB3205" t="s">
        <v>38</v>
      </c>
      <c r="AC3205" t="s">
        <v>153</v>
      </c>
      <c r="AD3205" t="s">
        <v>48</v>
      </c>
      <c r="AG3205" t="str">
        <f>IF(AD3205="United States", IFERROR(INDEX(Sheet2!$C:$C, MATCH(AE3205&amp;AF3205, Sheet2!$E:$E, 0)) &amp; ", " &amp; INDEX(Sheet2!$D:$D, MATCH(AE3205&amp;AF3205, Sheet2!$E:$E, 0)), ""), "-")</f>
        <v/>
      </c>
    </row>
    <row r="3206" spans="1:33" x14ac:dyDescent="0.25">
      <c r="A3206" t="s">
        <v>4736</v>
      </c>
      <c r="B3206" t="s">
        <v>4755</v>
      </c>
      <c r="C3206" t="s">
        <v>4738</v>
      </c>
      <c r="D3206" t="s">
        <v>52</v>
      </c>
      <c r="E3206" t="s">
        <v>4751</v>
      </c>
      <c r="F3206">
        <v>1771</v>
      </c>
      <c r="G3206">
        <v>2637</v>
      </c>
      <c r="H3206" t="s">
        <v>38</v>
      </c>
      <c r="I3206" t="s">
        <v>87</v>
      </c>
      <c r="J3206" t="s">
        <v>38</v>
      </c>
      <c r="K3206" t="s">
        <v>38</v>
      </c>
      <c r="L3206" t="s">
        <v>38</v>
      </c>
      <c r="M3206" t="s">
        <v>1274</v>
      </c>
      <c r="N3206" t="s">
        <v>4752</v>
      </c>
      <c r="O3206" t="s">
        <v>54</v>
      </c>
      <c r="P3206" t="s">
        <v>42</v>
      </c>
      <c r="Q3206" t="s">
        <v>43</v>
      </c>
      <c r="R3206" t="s">
        <v>38</v>
      </c>
      <c r="S3206" t="s">
        <v>38</v>
      </c>
      <c r="T3206" t="s">
        <v>38</v>
      </c>
      <c r="U3206" t="s">
        <v>38</v>
      </c>
      <c r="V3206" t="s">
        <v>38</v>
      </c>
      <c r="W3206" t="s">
        <v>38</v>
      </c>
      <c r="X3206" t="s">
        <v>38</v>
      </c>
      <c r="Y3206" t="s">
        <v>38</v>
      </c>
      <c r="Z3206" t="s">
        <v>42</v>
      </c>
      <c r="AA3206" t="s">
        <v>38</v>
      </c>
      <c r="AB3206" t="s">
        <v>38</v>
      </c>
      <c r="AC3206" t="s">
        <v>38</v>
      </c>
      <c r="AD3206" t="s">
        <v>48</v>
      </c>
      <c r="AG3206" t="str">
        <f>IF(AD3206="United States", IFERROR(INDEX(Sheet2!$C:$C, MATCH(AE3206&amp;AF3206, Sheet2!$E:$E, 0)) &amp; ", " &amp; INDEX(Sheet2!$D:$D, MATCH(AE3206&amp;AF3206, Sheet2!$E:$E, 0)), ""), "-")</f>
        <v/>
      </c>
    </row>
    <row r="3207" spans="1:33" x14ac:dyDescent="0.25">
      <c r="A3207" t="s">
        <v>4736</v>
      </c>
      <c r="B3207" t="s">
        <v>4756</v>
      </c>
      <c r="C3207" t="s">
        <v>4738</v>
      </c>
      <c r="D3207" t="s">
        <v>256</v>
      </c>
      <c r="E3207" t="s">
        <v>4751</v>
      </c>
      <c r="F3207">
        <v>1767</v>
      </c>
      <c r="G3207">
        <v>2636</v>
      </c>
      <c r="H3207" t="s">
        <v>38</v>
      </c>
      <c r="I3207" t="s">
        <v>87</v>
      </c>
      <c r="J3207" t="s">
        <v>38</v>
      </c>
      <c r="K3207" t="s">
        <v>38</v>
      </c>
      <c r="L3207" t="s">
        <v>38</v>
      </c>
      <c r="M3207" t="s">
        <v>1274</v>
      </c>
      <c r="N3207" t="s">
        <v>4752</v>
      </c>
      <c r="O3207" t="s">
        <v>74</v>
      </c>
      <c r="P3207" t="s">
        <v>42</v>
      </c>
      <c r="Q3207" t="s">
        <v>43</v>
      </c>
      <c r="R3207" t="s">
        <v>38</v>
      </c>
      <c r="S3207" t="s">
        <v>38</v>
      </c>
      <c r="T3207" t="s">
        <v>38</v>
      </c>
      <c r="U3207" t="s">
        <v>38</v>
      </c>
      <c r="V3207" t="s">
        <v>38</v>
      </c>
      <c r="W3207" t="s">
        <v>38</v>
      </c>
      <c r="X3207" t="s">
        <v>38</v>
      </c>
      <c r="Y3207" t="s">
        <v>38</v>
      </c>
      <c r="Z3207" t="s">
        <v>42</v>
      </c>
      <c r="AA3207" t="s">
        <v>38</v>
      </c>
      <c r="AB3207" t="s">
        <v>38</v>
      </c>
      <c r="AC3207" t="s">
        <v>38</v>
      </c>
      <c r="AD3207" t="s">
        <v>48</v>
      </c>
      <c r="AG3207" t="str">
        <f>IF(AD3207="United States", IFERROR(INDEX(Sheet2!$C:$C, MATCH(AE3207&amp;AF3207, Sheet2!$E:$E, 0)) &amp; ", " &amp; INDEX(Sheet2!$D:$D, MATCH(AE3207&amp;AF3207, Sheet2!$E:$E, 0)), ""), "-")</f>
        <v/>
      </c>
    </row>
    <row r="3208" spans="1:33" x14ac:dyDescent="0.25">
      <c r="A3208" t="s">
        <v>4736</v>
      </c>
      <c r="B3208" t="s">
        <v>4757</v>
      </c>
      <c r="C3208" t="s">
        <v>4738</v>
      </c>
      <c r="D3208" t="s">
        <v>140</v>
      </c>
      <c r="E3208" t="s">
        <v>4752</v>
      </c>
      <c r="F3208">
        <v>1771</v>
      </c>
      <c r="G3208">
        <v>2635</v>
      </c>
      <c r="H3208" t="s">
        <v>38</v>
      </c>
      <c r="I3208" t="s">
        <v>87</v>
      </c>
      <c r="J3208" t="s">
        <v>38</v>
      </c>
      <c r="K3208" t="s">
        <v>38</v>
      </c>
      <c r="L3208" t="s">
        <v>38</v>
      </c>
      <c r="M3208" t="s">
        <v>38</v>
      </c>
      <c r="N3208" t="s">
        <v>38</v>
      </c>
      <c r="O3208" t="s">
        <v>74</v>
      </c>
      <c r="P3208" t="s">
        <v>42</v>
      </c>
      <c r="Q3208" t="s">
        <v>43</v>
      </c>
      <c r="R3208" t="s">
        <v>38</v>
      </c>
      <c r="S3208" t="s">
        <v>38</v>
      </c>
      <c r="T3208" t="s">
        <v>38</v>
      </c>
      <c r="U3208" t="s">
        <v>38</v>
      </c>
      <c r="V3208" t="s">
        <v>38</v>
      </c>
      <c r="W3208" t="s">
        <v>38</v>
      </c>
      <c r="X3208" t="s">
        <v>38</v>
      </c>
      <c r="Y3208" t="s">
        <v>38</v>
      </c>
      <c r="Z3208" t="s">
        <v>42</v>
      </c>
      <c r="AA3208" t="s">
        <v>143</v>
      </c>
      <c r="AB3208" t="s">
        <v>38</v>
      </c>
      <c r="AC3208" t="s">
        <v>233</v>
      </c>
      <c r="AD3208" t="s">
        <v>48</v>
      </c>
      <c r="AG3208" t="str">
        <f>IF(AD3208="United States", IFERROR(INDEX(Sheet2!$C:$C, MATCH(AE3208&amp;AF3208, Sheet2!$E:$E, 0)) &amp; ", " &amp; INDEX(Sheet2!$D:$D, MATCH(AE3208&amp;AF3208, Sheet2!$E:$E, 0)), ""), "-")</f>
        <v/>
      </c>
    </row>
    <row r="3209" spans="1:33" x14ac:dyDescent="0.25">
      <c r="A3209" t="s">
        <v>4736</v>
      </c>
      <c r="B3209" t="s">
        <v>4758</v>
      </c>
      <c r="C3209" t="s">
        <v>4738</v>
      </c>
      <c r="D3209" t="s">
        <v>1274</v>
      </c>
      <c r="E3209" t="s">
        <v>4752</v>
      </c>
      <c r="F3209">
        <v>1748</v>
      </c>
      <c r="G3209">
        <v>2634</v>
      </c>
      <c r="H3209" t="s">
        <v>38</v>
      </c>
      <c r="I3209" t="s">
        <v>87</v>
      </c>
      <c r="J3209" t="s">
        <v>38</v>
      </c>
      <c r="K3209" t="s">
        <v>38</v>
      </c>
      <c r="L3209" t="s">
        <v>38</v>
      </c>
      <c r="M3209" t="s">
        <v>38</v>
      </c>
      <c r="N3209" t="s">
        <v>38</v>
      </c>
      <c r="O3209" t="s">
        <v>57</v>
      </c>
      <c r="P3209" t="s">
        <v>42</v>
      </c>
      <c r="Q3209" t="s">
        <v>43</v>
      </c>
      <c r="R3209" t="s">
        <v>38</v>
      </c>
      <c r="S3209" t="s">
        <v>38</v>
      </c>
      <c r="T3209" t="s">
        <v>38</v>
      </c>
      <c r="U3209" t="s">
        <v>38</v>
      </c>
      <c r="V3209" t="s">
        <v>38</v>
      </c>
      <c r="W3209" t="s">
        <v>38</v>
      </c>
      <c r="X3209" t="s">
        <v>38</v>
      </c>
      <c r="Y3209" t="s">
        <v>38</v>
      </c>
      <c r="Z3209" t="s">
        <v>42</v>
      </c>
      <c r="AA3209" t="s">
        <v>143</v>
      </c>
      <c r="AB3209" t="s">
        <v>38</v>
      </c>
      <c r="AC3209" t="s">
        <v>233</v>
      </c>
      <c r="AD3209" t="s">
        <v>48</v>
      </c>
      <c r="AG3209" t="str">
        <f>IF(AD3209="United States", IFERROR(INDEX(Sheet2!$C:$C, MATCH(AE3209&amp;AF3209, Sheet2!$E:$E, 0)) &amp; ", " &amp; INDEX(Sheet2!$D:$D, MATCH(AE3209&amp;AF3209, Sheet2!$E:$E, 0)), ""), "-")</f>
        <v/>
      </c>
    </row>
    <row r="3210" spans="1:33" x14ac:dyDescent="0.25">
      <c r="A3210" t="s">
        <v>4736</v>
      </c>
      <c r="B3210" t="s">
        <v>4759</v>
      </c>
      <c r="C3210" t="s">
        <v>4738</v>
      </c>
      <c r="D3210" t="s">
        <v>4651</v>
      </c>
      <c r="E3210" t="s">
        <v>4752</v>
      </c>
      <c r="F3210">
        <v>1749</v>
      </c>
      <c r="G3210">
        <v>2633</v>
      </c>
      <c r="H3210" t="s">
        <v>38</v>
      </c>
      <c r="I3210" t="s">
        <v>87</v>
      </c>
      <c r="J3210" t="s">
        <v>38</v>
      </c>
      <c r="K3210" t="s">
        <v>38</v>
      </c>
      <c r="L3210" t="s">
        <v>38</v>
      </c>
      <c r="M3210" t="s">
        <v>38</v>
      </c>
      <c r="N3210" t="s">
        <v>38</v>
      </c>
      <c r="O3210" t="s">
        <v>41</v>
      </c>
      <c r="P3210" t="s">
        <v>42</v>
      </c>
      <c r="Q3210" t="s">
        <v>43</v>
      </c>
      <c r="R3210" t="s">
        <v>38</v>
      </c>
      <c r="S3210" t="s">
        <v>38</v>
      </c>
      <c r="T3210" t="s">
        <v>38</v>
      </c>
      <c r="U3210" t="s">
        <v>38</v>
      </c>
      <c r="V3210" t="s">
        <v>38</v>
      </c>
      <c r="W3210" t="s">
        <v>38</v>
      </c>
      <c r="X3210" t="s">
        <v>38</v>
      </c>
      <c r="Y3210" t="s">
        <v>38</v>
      </c>
      <c r="Z3210" t="s">
        <v>42</v>
      </c>
      <c r="AA3210" t="s">
        <v>143</v>
      </c>
      <c r="AB3210" t="s">
        <v>38</v>
      </c>
      <c r="AC3210" t="s">
        <v>233</v>
      </c>
      <c r="AD3210" t="s">
        <v>48</v>
      </c>
      <c r="AG3210" t="str">
        <f>IF(AD3210="United States", IFERROR(INDEX(Sheet2!$C:$C, MATCH(AE3210&amp;AF3210, Sheet2!$E:$E, 0)) &amp; ", " &amp; INDEX(Sheet2!$D:$D, MATCH(AE3210&amp;AF3210, Sheet2!$E:$E, 0)), ""), "-")</f>
        <v/>
      </c>
    </row>
    <row r="3211" spans="1:33" x14ac:dyDescent="0.25">
      <c r="A3211" t="s">
        <v>4736</v>
      </c>
      <c r="B3211" t="s">
        <v>4760</v>
      </c>
      <c r="C3211" t="s">
        <v>4738</v>
      </c>
      <c r="D3211" t="s">
        <v>4761</v>
      </c>
      <c r="E3211" t="s">
        <v>1216</v>
      </c>
      <c r="F3211">
        <v>1758</v>
      </c>
      <c r="G3211">
        <v>2632</v>
      </c>
      <c r="H3211" t="s">
        <v>38</v>
      </c>
      <c r="I3211" t="s">
        <v>87</v>
      </c>
      <c r="J3211" t="s">
        <v>38</v>
      </c>
      <c r="K3211" t="s">
        <v>38</v>
      </c>
      <c r="L3211" t="s">
        <v>38</v>
      </c>
      <c r="M3211" t="s">
        <v>38</v>
      </c>
      <c r="N3211" t="s">
        <v>38</v>
      </c>
      <c r="O3211" t="s">
        <v>57</v>
      </c>
      <c r="P3211" t="s">
        <v>42</v>
      </c>
      <c r="Q3211" t="s">
        <v>43</v>
      </c>
      <c r="R3211" t="s">
        <v>4014</v>
      </c>
      <c r="S3211" t="s">
        <v>45</v>
      </c>
      <c r="T3211" t="s">
        <v>38</v>
      </c>
      <c r="U3211" t="s">
        <v>38</v>
      </c>
      <c r="V3211" t="s">
        <v>38</v>
      </c>
      <c r="W3211" t="s">
        <v>38</v>
      </c>
      <c r="X3211" t="s">
        <v>38</v>
      </c>
      <c r="Y3211" t="s">
        <v>38</v>
      </c>
      <c r="Z3211" t="s">
        <v>42</v>
      </c>
      <c r="AA3211" t="s">
        <v>1887</v>
      </c>
      <c r="AB3211" t="s">
        <v>38</v>
      </c>
      <c r="AC3211" t="s">
        <v>45</v>
      </c>
      <c r="AD3211" t="s">
        <v>48</v>
      </c>
      <c r="AG3211" t="str">
        <f>IF(AD3211="United States", IFERROR(INDEX(Sheet2!$C:$C, MATCH(AE3211&amp;AF3211, Sheet2!$E:$E, 0)) &amp; ", " &amp; INDEX(Sheet2!$D:$D, MATCH(AE3211&amp;AF3211, Sheet2!$E:$E, 0)), ""), "-")</f>
        <v/>
      </c>
    </row>
    <row r="3212" spans="1:33" x14ac:dyDescent="0.25">
      <c r="A3212" t="s">
        <v>4736</v>
      </c>
      <c r="B3212" t="s">
        <v>4762</v>
      </c>
      <c r="C3212" t="s">
        <v>4738</v>
      </c>
      <c r="D3212" t="s">
        <v>263</v>
      </c>
      <c r="E3212" t="s">
        <v>4216</v>
      </c>
      <c r="F3212">
        <v>1762</v>
      </c>
      <c r="G3212">
        <v>2631</v>
      </c>
      <c r="H3212" t="s">
        <v>38</v>
      </c>
      <c r="I3212" t="s">
        <v>87</v>
      </c>
      <c r="J3212" t="s">
        <v>38</v>
      </c>
      <c r="K3212" t="s">
        <v>38</v>
      </c>
      <c r="L3212" t="s">
        <v>38</v>
      </c>
      <c r="M3212" t="s">
        <v>38</v>
      </c>
      <c r="N3212" t="s">
        <v>38</v>
      </c>
      <c r="O3212" t="s">
        <v>57</v>
      </c>
      <c r="P3212" t="s">
        <v>42</v>
      </c>
      <c r="Q3212" t="s">
        <v>43</v>
      </c>
      <c r="R3212" t="s">
        <v>1135</v>
      </c>
      <c r="S3212" t="s">
        <v>45</v>
      </c>
      <c r="T3212" t="s">
        <v>38</v>
      </c>
      <c r="U3212" t="s">
        <v>38</v>
      </c>
      <c r="V3212" t="s">
        <v>38</v>
      </c>
      <c r="W3212" t="s">
        <v>38</v>
      </c>
      <c r="X3212" t="s">
        <v>38</v>
      </c>
      <c r="Y3212" t="s">
        <v>38</v>
      </c>
      <c r="Z3212" t="s">
        <v>42</v>
      </c>
      <c r="AA3212" t="s">
        <v>1135</v>
      </c>
      <c r="AB3212" t="s">
        <v>38</v>
      </c>
      <c r="AC3212" t="s">
        <v>45</v>
      </c>
      <c r="AD3212" t="s">
        <v>48</v>
      </c>
      <c r="AG3212" t="str">
        <f>IF(AD3212="United States", IFERROR(INDEX(Sheet2!$C:$C, MATCH(AE3212&amp;AF3212, Sheet2!$E:$E, 0)) &amp; ", " &amp; INDEX(Sheet2!$D:$D, MATCH(AE3212&amp;AF3212, Sheet2!$E:$E, 0)), ""), "-")</f>
        <v/>
      </c>
    </row>
    <row r="3213" spans="1:33" x14ac:dyDescent="0.25">
      <c r="A3213" t="s">
        <v>4736</v>
      </c>
      <c r="B3213" t="s">
        <v>4763</v>
      </c>
      <c r="C3213" t="s">
        <v>4738</v>
      </c>
      <c r="D3213" t="s">
        <v>210</v>
      </c>
      <c r="E3213" t="s">
        <v>3314</v>
      </c>
      <c r="F3213">
        <v>1739</v>
      </c>
      <c r="G3213">
        <v>2630</v>
      </c>
      <c r="H3213" t="s">
        <v>38</v>
      </c>
      <c r="I3213" t="s">
        <v>87</v>
      </c>
      <c r="J3213" t="s">
        <v>38</v>
      </c>
      <c r="K3213" t="s">
        <v>38</v>
      </c>
      <c r="L3213" t="s">
        <v>38</v>
      </c>
      <c r="M3213" t="s">
        <v>38</v>
      </c>
      <c r="N3213" t="s">
        <v>38</v>
      </c>
      <c r="O3213" t="s">
        <v>41</v>
      </c>
      <c r="P3213" t="s">
        <v>42</v>
      </c>
      <c r="Q3213" t="s">
        <v>43</v>
      </c>
      <c r="R3213" t="s">
        <v>1135</v>
      </c>
      <c r="S3213" t="s">
        <v>45</v>
      </c>
      <c r="T3213" t="s">
        <v>38</v>
      </c>
      <c r="U3213" t="s">
        <v>38</v>
      </c>
      <c r="V3213" t="s">
        <v>38</v>
      </c>
      <c r="W3213" t="s">
        <v>38</v>
      </c>
      <c r="X3213" t="s">
        <v>38</v>
      </c>
      <c r="Y3213" t="s">
        <v>38</v>
      </c>
      <c r="Z3213" t="s">
        <v>42</v>
      </c>
      <c r="AA3213" t="s">
        <v>1135</v>
      </c>
      <c r="AB3213" t="s">
        <v>38</v>
      </c>
      <c r="AC3213" t="s">
        <v>45</v>
      </c>
      <c r="AD3213" t="s">
        <v>48</v>
      </c>
      <c r="AG3213" t="str">
        <f>IF(AD3213="United States", IFERROR(INDEX(Sheet2!$C:$C, MATCH(AE3213&amp;AF3213, Sheet2!$E:$E, 0)) &amp; ", " &amp; INDEX(Sheet2!$D:$D, MATCH(AE3213&amp;AF3213, Sheet2!$E:$E, 0)), ""), "-")</f>
        <v/>
      </c>
    </row>
    <row r="3214" spans="1:33" x14ac:dyDescent="0.25">
      <c r="A3214" t="s">
        <v>4736</v>
      </c>
      <c r="B3214" t="s">
        <v>4764</v>
      </c>
      <c r="C3214" t="s">
        <v>4738</v>
      </c>
      <c r="D3214" t="s">
        <v>774</v>
      </c>
      <c r="E3214" t="s">
        <v>4678</v>
      </c>
      <c r="F3214">
        <v>1779</v>
      </c>
      <c r="G3214">
        <v>2617</v>
      </c>
      <c r="H3214" t="s">
        <v>38</v>
      </c>
      <c r="I3214" t="s">
        <v>87</v>
      </c>
      <c r="J3214" t="s">
        <v>38</v>
      </c>
      <c r="K3214" t="s">
        <v>38</v>
      </c>
      <c r="L3214" t="s">
        <v>38</v>
      </c>
      <c r="M3214" t="s">
        <v>256</v>
      </c>
      <c r="N3214" t="s">
        <v>4223</v>
      </c>
      <c r="O3214" t="s">
        <v>54</v>
      </c>
      <c r="P3214" t="s">
        <v>42</v>
      </c>
      <c r="Q3214" t="s">
        <v>43</v>
      </c>
      <c r="R3214" t="s">
        <v>38</v>
      </c>
      <c r="S3214" t="s">
        <v>38</v>
      </c>
      <c r="T3214" t="s">
        <v>38</v>
      </c>
      <c r="U3214" t="s">
        <v>38</v>
      </c>
      <c r="V3214" t="s">
        <v>38</v>
      </c>
      <c r="W3214" t="s">
        <v>38</v>
      </c>
      <c r="X3214" t="s">
        <v>38</v>
      </c>
      <c r="Y3214" t="s">
        <v>38</v>
      </c>
      <c r="Z3214" t="s">
        <v>42</v>
      </c>
      <c r="AA3214" t="s">
        <v>38</v>
      </c>
      <c r="AB3214" t="s">
        <v>38</v>
      </c>
      <c r="AC3214" t="s">
        <v>38</v>
      </c>
      <c r="AD3214" t="s">
        <v>48</v>
      </c>
      <c r="AG3214" t="str">
        <f>IF(AD3214="United States", IFERROR(INDEX(Sheet2!$C:$C, MATCH(AE3214&amp;AF3214, Sheet2!$E:$E, 0)) &amp; ", " &amp; INDEX(Sheet2!$D:$D, MATCH(AE3214&amp;AF3214, Sheet2!$E:$E, 0)), ""), "-")</f>
        <v/>
      </c>
    </row>
    <row r="3215" spans="1:33" x14ac:dyDescent="0.25">
      <c r="A3215" t="s">
        <v>4736</v>
      </c>
      <c r="B3215" t="s">
        <v>4765</v>
      </c>
      <c r="C3215" t="s">
        <v>4738</v>
      </c>
      <c r="D3215" t="s">
        <v>797</v>
      </c>
      <c r="E3215" t="s">
        <v>913</v>
      </c>
      <c r="F3215">
        <v>1762</v>
      </c>
      <c r="G3215">
        <v>2629</v>
      </c>
      <c r="H3215" t="s">
        <v>38</v>
      </c>
      <c r="I3215" t="s">
        <v>87</v>
      </c>
      <c r="J3215" t="s">
        <v>38</v>
      </c>
      <c r="K3215" t="s">
        <v>38</v>
      </c>
      <c r="L3215" t="s">
        <v>38</v>
      </c>
      <c r="M3215" t="s">
        <v>38</v>
      </c>
      <c r="N3215" t="s">
        <v>38</v>
      </c>
      <c r="O3215" t="s">
        <v>57</v>
      </c>
      <c r="P3215" t="s">
        <v>42</v>
      </c>
      <c r="Q3215" t="s">
        <v>43</v>
      </c>
      <c r="R3215" t="s">
        <v>38</v>
      </c>
      <c r="S3215" t="s">
        <v>38</v>
      </c>
      <c r="T3215" t="s">
        <v>38</v>
      </c>
      <c r="U3215" t="s">
        <v>38</v>
      </c>
      <c r="V3215" t="s">
        <v>38</v>
      </c>
      <c r="W3215" t="s">
        <v>38</v>
      </c>
      <c r="X3215" t="s">
        <v>38</v>
      </c>
      <c r="Y3215" t="s">
        <v>38</v>
      </c>
      <c r="Z3215" t="s">
        <v>42</v>
      </c>
      <c r="AA3215" t="s">
        <v>38</v>
      </c>
      <c r="AB3215" t="s">
        <v>38</v>
      </c>
      <c r="AC3215" t="s">
        <v>593</v>
      </c>
      <c r="AD3215" t="s">
        <v>48</v>
      </c>
      <c r="AG3215" t="str">
        <f>IF(AD3215="United States", IFERROR(INDEX(Sheet2!$C:$C, MATCH(AE3215&amp;AF3215, Sheet2!$E:$E, 0)) &amp; ", " &amp; INDEX(Sheet2!$D:$D, MATCH(AE3215&amp;AF3215, Sheet2!$E:$E, 0)), ""), "-")</f>
        <v/>
      </c>
    </row>
    <row r="3216" spans="1:33" x14ac:dyDescent="0.25">
      <c r="A3216" t="s">
        <v>4736</v>
      </c>
      <c r="B3216" t="s">
        <v>4766</v>
      </c>
      <c r="C3216" t="s">
        <v>4738</v>
      </c>
      <c r="D3216" t="s">
        <v>2792</v>
      </c>
      <c r="E3216" t="s">
        <v>1130</v>
      </c>
      <c r="F3216">
        <v>1774</v>
      </c>
      <c r="G3216">
        <v>2627</v>
      </c>
      <c r="H3216" t="s">
        <v>38</v>
      </c>
      <c r="I3216" t="s">
        <v>87</v>
      </c>
      <c r="J3216" t="s">
        <v>38</v>
      </c>
      <c r="K3216" t="s">
        <v>38</v>
      </c>
      <c r="L3216" t="s">
        <v>38</v>
      </c>
      <c r="M3216" t="s">
        <v>256</v>
      </c>
      <c r="N3216" t="s">
        <v>1130</v>
      </c>
      <c r="O3216" t="s">
        <v>74</v>
      </c>
      <c r="P3216" t="s">
        <v>42</v>
      </c>
      <c r="Q3216" t="s">
        <v>43</v>
      </c>
      <c r="R3216" t="s">
        <v>38</v>
      </c>
      <c r="S3216" t="s">
        <v>38</v>
      </c>
      <c r="T3216" t="s">
        <v>38</v>
      </c>
      <c r="U3216" t="s">
        <v>38</v>
      </c>
      <c r="V3216" t="s">
        <v>38</v>
      </c>
      <c r="W3216" t="s">
        <v>38</v>
      </c>
      <c r="X3216" t="s">
        <v>38</v>
      </c>
      <c r="Y3216" t="s">
        <v>38</v>
      </c>
      <c r="Z3216" t="s">
        <v>42</v>
      </c>
      <c r="AA3216" t="s">
        <v>38</v>
      </c>
      <c r="AB3216" t="s">
        <v>38</v>
      </c>
      <c r="AC3216" t="s">
        <v>38</v>
      </c>
      <c r="AD3216" t="s">
        <v>48</v>
      </c>
      <c r="AG3216" t="str">
        <f>IF(AD3216="United States", IFERROR(INDEX(Sheet2!$C:$C, MATCH(AE3216&amp;AF3216, Sheet2!$E:$E, 0)) &amp; ", " &amp; INDEX(Sheet2!$D:$D, MATCH(AE3216&amp;AF3216, Sheet2!$E:$E, 0)), ""), "-")</f>
        <v/>
      </c>
    </row>
    <row r="3217" spans="1:33" x14ac:dyDescent="0.25">
      <c r="A3217" t="s">
        <v>4736</v>
      </c>
      <c r="B3217" t="s">
        <v>4767</v>
      </c>
      <c r="C3217" t="s">
        <v>4738</v>
      </c>
      <c r="D3217" t="s">
        <v>3227</v>
      </c>
      <c r="E3217" t="s">
        <v>1130</v>
      </c>
      <c r="F3217">
        <v>1772</v>
      </c>
      <c r="G3217">
        <v>2626</v>
      </c>
      <c r="H3217" t="s">
        <v>38</v>
      </c>
      <c r="I3217" t="s">
        <v>87</v>
      </c>
      <c r="J3217" t="s">
        <v>38</v>
      </c>
      <c r="K3217" t="s">
        <v>38</v>
      </c>
      <c r="L3217" t="s">
        <v>38</v>
      </c>
      <c r="M3217" t="s">
        <v>256</v>
      </c>
      <c r="N3217" t="s">
        <v>1130</v>
      </c>
      <c r="O3217" t="s">
        <v>54</v>
      </c>
      <c r="P3217" t="s">
        <v>42</v>
      </c>
      <c r="Q3217" t="s">
        <v>43</v>
      </c>
      <c r="R3217" t="s">
        <v>38</v>
      </c>
      <c r="S3217" t="s">
        <v>38</v>
      </c>
      <c r="T3217" t="s">
        <v>38</v>
      </c>
      <c r="U3217" t="s">
        <v>38</v>
      </c>
      <c r="V3217" t="s">
        <v>38</v>
      </c>
      <c r="W3217" t="s">
        <v>38</v>
      </c>
      <c r="X3217" t="s">
        <v>38</v>
      </c>
      <c r="Y3217" t="s">
        <v>38</v>
      </c>
      <c r="Z3217" t="s">
        <v>42</v>
      </c>
      <c r="AA3217" t="s">
        <v>38</v>
      </c>
      <c r="AB3217" t="s">
        <v>38</v>
      </c>
      <c r="AC3217" t="s">
        <v>1130</v>
      </c>
      <c r="AD3217" t="s">
        <v>48</v>
      </c>
      <c r="AG3217" t="str">
        <f>IF(AD3217="United States", IFERROR(INDEX(Sheet2!$C:$C, MATCH(AE3217&amp;AF3217, Sheet2!$E:$E, 0)) &amp; ", " &amp; INDEX(Sheet2!$D:$D, MATCH(AE3217&amp;AF3217, Sheet2!$E:$E, 0)), ""), "-")</f>
        <v/>
      </c>
    </row>
    <row r="3218" spans="1:33" x14ac:dyDescent="0.25">
      <c r="A3218" t="s">
        <v>4736</v>
      </c>
      <c r="B3218" t="s">
        <v>4768</v>
      </c>
      <c r="C3218" t="s">
        <v>4738</v>
      </c>
      <c r="D3218" t="s">
        <v>256</v>
      </c>
      <c r="E3218" t="s">
        <v>1130</v>
      </c>
      <c r="F3218">
        <v>1753</v>
      </c>
      <c r="G3218">
        <v>2625</v>
      </c>
      <c r="H3218" t="s">
        <v>38</v>
      </c>
      <c r="I3218" t="s">
        <v>87</v>
      </c>
      <c r="J3218" t="s">
        <v>38</v>
      </c>
      <c r="K3218" t="s">
        <v>38</v>
      </c>
      <c r="L3218" t="s">
        <v>38</v>
      </c>
      <c r="M3218" t="s">
        <v>38</v>
      </c>
      <c r="N3218" t="s">
        <v>38</v>
      </c>
      <c r="O3218" t="s">
        <v>57</v>
      </c>
      <c r="P3218" t="s">
        <v>42</v>
      </c>
      <c r="Q3218" t="s">
        <v>43</v>
      </c>
      <c r="R3218" t="s">
        <v>241</v>
      </c>
      <c r="S3218" t="s">
        <v>45</v>
      </c>
      <c r="T3218" t="s">
        <v>38</v>
      </c>
      <c r="U3218" t="s">
        <v>38</v>
      </c>
      <c r="V3218" t="s">
        <v>38</v>
      </c>
      <c r="W3218" t="s">
        <v>38</v>
      </c>
      <c r="X3218" t="s">
        <v>38</v>
      </c>
      <c r="Y3218" t="s">
        <v>38</v>
      </c>
      <c r="Z3218" t="s">
        <v>42</v>
      </c>
      <c r="AA3218" t="s">
        <v>241</v>
      </c>
      <c r="AB3218" t="s">
        <v>38</v>
      </c>
      <c r="AC3218" t="s">
        <v>45</v>
      </c>
      <c r="AD3218" t="s">
        <v>48</v>
      </c>
      <c r="AG3218" t="str">
        <f>IF(AD3218="United States", IFERROR(INDEX(Sheet2!$C:$C, MATCH(AE3218&amp;AF3218, Sheet2!$E:$E, 0)) &amp; ", " &amp; INDEX(Sheet2!$D:$D, MATCH(AE3218&amp;AF3218, Sheet2!$E:$E, 0)), ""), "-")</f>
        <v/>
      </c>
    </row>
    <row r="3219" spans="1:33" x14ac:dyDescent="0.25">
      <c r="A3219" t="s">
        <v>4736</v>
      </c>
      <c r="B3219" t="s">
        <v>4769</v>
      </c>
      <c r="C3219" t="s">
        <v>4738</v>
      </c>
      <c r="D3219" t="s">
        <v>4770</v>
      </c>
      <c r="E3219" t="s">
        <v>507</v>
      </c>
      <c r="F3219">
        <v>1751</v>
      </c>
      <c r="G3219">
        <v>2624</v>
      </c>
      <c r="H3219" t="s">
        <v>38</v>
      </c>
      <c r="I3219" t="s">
        <v>87</v>
      </c>
      <c r="J3219" t="s">
        <v>38</v>
      </c>
      <c r="K3219" t="s">
        <v>38</v>
      </c>
      <c r="L3219" t="s">
        <v>38</v>
      </c>
      <c r="M3219" t="s">
        <v>38</v>
      </c>
      <c r="N3219" t="s">
        <v>38</v>
      </c>
      <c r="O3219" t="s">
        <v>41</v>
      </c>
      <c r="P3219" t="s">
        <v>42</v>
      </c>
      <c r="Q3219" t="s">
        <v>43</v>
      </c>
      <c r="R3219" t="s">
        <v>4771</v>
      </c>
      <c r="S3219" t="s">
        <v>1063</v>
      </c>
      <c r="T3219" t="s">
        <v>38</v>
      </c>
      <c r="U3219" t="s">
        <v>38</v>
      </c>
      <c r="V3219" t="s">
        <v>38</v>
      </c>
      <c r="W3219" t="s">
        <v>38</v>
      </c>
      <c r="X3219" t="s">
        <v>38</v>
      </c>
      <c r="Y3219" t="s">
        <v>38</v>
      </c>
      <c r="Z3219" t="s">
        <v>42</v>
      </c>
      <c r="AA3219" t="s">
        <v>4771</v>
      </c>
      <c r="AB3219" t="s">
        <v>38</v>
      </c>
      <c r="AC3219" t="s">
        <v>1063</v>
      </c>
      <c r="AD3219" t="s">
        <v>48</v>
      </c>
      <c r="AG3219" t="str">
        <f>IF(AD3219="United States", IFERROR(INDEX(Sheet2!$C:$C, MATCH(AE3219&amp;AF3219, Sheet2!$E:$E, 0)) &amp; ", " &amp; INDEX(Sheet2!$D:$D, MATCH(AE3219&amp;AF3219, Sheet2!$E:$E, 0)), ""), "-")</f>
        <v/>
      </c>
    </row>
    <row r="3220" spans="1:33" x14ac:dyDescent="0.25">
      <c r="A3220" t="s">
        <v>4736</v>
      </c>
      <c r="B3220" t="s">
        <v>4772</v>
      </c>
      <c r="C3220" t="s">
        <v>4738</v>
      </c>
      <c r="D3220" t="s">
        <v>621</v>
      </c>
      <c r="E3220" t="s">
        <v>448</v>
      </c>
      <c r="F3220">
        <v>1758</v>
      </c>
      <c r="G3220">
        <v>2623</v>
      </c>
      <c r="H3220" t="s">
        <v>38</v>
      </c>
      <c r="I3220" t="s">
        <v>87</v>
      </c>
      <c r="J3220" t="s">
        <v>38</v>
      </c>
      <c r="K3220" t="s">
        <v>38</v>
      </c>
      <c r="L3220" t="s">
        <v>38</v>
      </c>
      <c r="M3220" t="s">
        <v>38</v>
      </c>
      <c r="N3220" t="s">
        <v>38</v>
      </c>
      <c r="O3220" t="s">
        <v>41</v>
      </c>
      <c r="P3220" t="s">
        <v>42</v>
      </c>
      <c r="Q3220" t="s">
        <v>43</v>
      </c>
      <c r="R3220" t="s">
        <v>155</v>
      </c>
      <c r="S3220" t="s">
        <v>153</v>
      </c>
      <c r="T3220" t="s">
        <v>38</v>
      </c>
      <c r="U3220" t="s">
        <v>38</v>
      </c>
      <c r="V3220" t="s">
        <v>38</v>
      </c>
      <c r="W3220" t="s">
        <v>38</v>
      </c>
      <c r="X3220" t="s">
        <v>38</v>
      </c>
      <c r="Y3220" t="s">
        <v>38</v>
      </c>
      <c r="Z3220" t="s">
        <v>42</v>
      </c>
      <c r="AA3220" t="s">
        <v>155</v>
      </c>
      <c r="AB3220" t="s">
        <v>38</v>
      </c>
      <c r="AC3220" t="s">
        <v>153</v>
      </c>
      <c r="AD3220" t="s">
        <v>48</v>
      </c>
      <c r="AG3220" t="str">
        <f>IF(AD3220="United States", IFERROR(INDEX(Sheet2!$C:$C, MATCH(AE3220&amp;AF3220, Sheet2!$E:$E, 0)) &amp; ", " &amp; INDEX(Sheet2!$D:$D, MATCH(AE3220&amp;AF3220, Sheet2!$E:$E, 0)), ""), "-")</f>
        <v/>
      </c>
    </row>
    <row r="3221" spans="1:33" x14ac:dyDescent="0.25">
      <c r="A3221" t="s">
        <v>4736</v>
      </c>
      <c r="B3221" t="s">
        <v>4773</v>
      </c>
      <c r="C3221" t="s">
        <v>4738</v>
      </c>
      <c r="D3221" t="s">
        <v>4704</v>
      </c>
      <c r="E3221" t="s">
        <v>4649</v>
      </c>
      <c r="F3221">
        <v>1754</v>
      </c>
      <c r="G3221">
        <v>2622</v>
      </c>
      <c r="H3221" t="s">
        <v>38</v>
      </c>
      <c r="I3221" t="s">
        <v>87</v>
      </c>
      <c r="J3221" t="s">
        <v>38</v>
      </c>
      <c r="K3221" t="s">
        <v>38</v>
      </c>
      <c r="L3221" t="s">
        <v>38</v>
      </c>
      <c r="M3221" t="s">
        <v>38</v>
      </c>
      <c r="N3221" t="s">
        <v>38</v>
      </c>
      <c r="O3221" t="s">
        <v>41</v>
      </c>
      <c r="P3221" t="s">
        <v>42</v>
      </c>
      <c r="Q3221" t="s">
        <v>43</v>
      </c>
      <c r="R3221" t="s">
        <v>4774</v>
      </c>
      <c r="S3221" t="s">
        <v>417</v>
      </c>
      <c r="T3221" t="s">
        <v>38</v>
      </c>
      <c r="U3221" t="s">
        <v>38</v>
      </c>
      <c r="V3221" t="s">
        <v>38</v>
      </c>
      <c r="W3221" t="s">
        <v>38</v>
      </c>
      <c r="X3221" t="s">
        <v>38</v>
      </c>
      <c r="Y3221" t="s">
        <v>38</v>
      </c>
      <c r="Z3221" t="s">
        <v>42</v>
      </c>
      <c r="AA3221" t="s">
        <v>38</v>
      </c>
      <c r="AB3221" t="s">
        <v>38</v>
      </c>
      <c r="AC3221" t="s">
        <v>417</v>
      </c>
      <c r="AD3221" t="s">
        <v>48</v>
      </c>
      <c r="AG3221" t="str">
        <f>IF(AD3221="United States", IFERROR(INDEX(Sheet2!$C:$C, MATCH(AE3221&amp;AF3221, Sheet2!$E:$E, 0)) &amp; ", " &amp; INDEX(Sheet2!$D:$D, MATCH(AE3221&amp;AF3221, Sheet2!$E:$E, 0)), ""), "-")</f>
        <v/>
      </c>
    </row>
    <row r="3222" spans="1:33" x14ac:dyDescent="0.25">
      <c r="A3222" t="s">
        <v>4736</v>
      </c>
      <c r="B3222" t="s">
        <v>4775</v>
      </c>
      <c r="C3222" t="s">
        <v>4738</v>
      </c>
      <c r="D3222" t="s">
        <v>106</v>
      </c>
      <c r="E3222" t="s">
        <v>4654</v>
      </c>
      <c r="F3222">
        <v>1752</v>
      </c>
      <c r="G3222">
        <v>2621</v>
      </c>
      <c r="H3222" t="s">
        <v>38</v>
      </c>
      <c r="I3222" t="s">
        <v>87</v>
      </c>
      <c r="J3222" t="s">
        <v>38</v>
      </c>
      <c r="K3222" t="s">
        <v>38</v>
      </c>
      <c r="L3222" t="s">
        <v>38</v>
      </c>
      <c r="M3222" t="s">
        <v>38</v>
      </c>
      <c r="N3222" t="s">
        <v>38</v>
      </c>
      <c r="O3222" t="s">
        <v>41</v>
      </c>
      <c r="P3222" t="s">
        <v>42</v>
      </c>
      <c r="Q3222" t="s">
        <v>43</v>
      </c>
      <c r="R3222" t="s">
        <v>3212</v>
      </c>
      <c r="S3222" t="s">
        <v>1063</v>
      </c>
      <c r="T3222" t="s">
        <v>38</v>
      </c>
      <c r="U3222" t="s">
        <v>38</v>
      </c>
      <c r="V3222" t="s">
        <v>38</v>
      </c>
      <c r="W3222" t="s">
        <v>38</v>
      </c>
      <c r="X3222" t="s">
        <v>38</v>
      </c>
      <c r="Y3222" t="s">
        <v>38</v>
      </c>
      <c r="Z3222" t="s">
        <v>42</v>
      </c>
      <c r="AA3222" t="s">
        <v>3212</v>
      </c>
      <c r="AB3222" t="s">
        <v>38</v>
      </c>
      <c r="AC3222" t="s">
        <v>1063</v>
      </c>
      <c r="AD3222" t="s">
        <v>48</v>
      </c>
      <c r="AG3222" t="str">
        <f>IF(AD3222="United States", IFERROR(INDEX(Sheet2!$C:$C, MATCH(AE3222&amp;AF3222, Sheet2!$E:$E, 0)) &amp; ", " &amp; INDEX(Sheet2!$D:$D, MATCH(AE3222&amp;AF3222, Sheet2!$E:$E, 0)), ""), "-")</f>
        <v/>
      </c>
    </row>
    <row r="3223" spans="1:33" x14ac:dyDescent="0.25">
      <c r="A3223" t="s">
        <v>4736</v>
      </c>
      <c r="B3223" t="s">
        <v>4776</v>
      </c>
      <c r="C3223" t="s">
        <v>4738</v>
      </c>
      <c r="D3223" t="s">
        <v>106</v>
      </c>
      <c r="E3223" t="s">
        <v>275</v>
      </c>
      <c r="F3223">
        <v>1747</v>
      </c>
      <c r="G3223">
        <v>2620</v>
      </c>
      <c r="H3223" t="s">
        <v>38</v>
      </c>
      <c r="I3223" t="s">
        <v>87</v>
      </c>
      <c r="J3223" t="s">
        <v>38</v>
      </c>
      <c r="K3223" t="s">
        <v>38</v>
      </c>
      <c r="L3223" t="s">
        <v>38</v>
      </c>
      <c r="M3223" t="s">
        <v>38</v>
      </c>
      <c r="N3223" t="s">
        <v>38</v>
      </c>
      <c r="O3223" t="s">
        <v>41</v>
      </c>
      <c r="P3223" t="s">
        <v>42</v>
      </c>
      <c r="Q3223" t="s">
        <v>43</v>
      </c>
      <c r="R3223" t="s">
        <v>202</v>
      </c>
      <c r="S3223" t="s">
        <v>201</v>
      </c>
      <c r="T3223" t="s">
        <v>38</v>
      </c>
      <c r="U3223" t="s">
        <v>38</v>
      </c>
      <c r="V3223" t="s">
        <v>38</v>
      </c>
      <c r="W3223" t="s">
        <v>38</v>
      </c>
      <c r="X3223" t="s">
        <v>38</v>
      </c>
      <c r="Y3223" t="s">
        <v>38</v>
      </c>
      <c r="Z3223" t="s">
        <v>42</v>
      </c>
      <c r="AA3223" t="s">
        <v>202</v>
      </c>
      <c r="AB3223" t="s">
        <v>38</v>
      </c>
      <c r="AC3223" t="s">
        <v>201</v>
      </c>
      <c r="AD3223" t="s">
        <v>48</v>
      </c>
      <c r="AG3223" t="str">
        <f>IF(AD3223="United States", IFERROR(INDEX(Sheet2!$C:$C, MATCH(AE3223&amp;AF3223, Sheet2!$E:$E, 0)) &amp; ", " &amp; INDEX(Sheet2!$D:$D, MATCH(AE3223&amp;AF3223, Sheet2!$E:$E, 0)), ""), "-")</f>
        <v/>
      </c>
    </row>
    <row r="3224" spans="1:33" x14ac:dyDescent="0.25">
      <c r="A3224" t="s">
        <v>4736</v>
      </c>
      <c r="B3224" t="s">
        <v>4777</v>
      </c>
      <c r="C3224" t="s">
        <v>4738</v>
      </c>
      <c r="D3224" t="s">
        <v>132</v>
      </c>
      <c r="E3224" t="s">
        <v>3581</v>
      </c>
      <c r="F3224">
        <v>1744</v>
      </c>
      <c r="G3224">
        <v>2619</v>
      </c>
      <c r="H3224" t="s">
        <v>38</v>
      </c>
      <c r="I3224" t="s">
        <v>87</v>
      </c>
      <c r="J3224" t="s">
        <v>38</v>
      </c>
      <c r="K3224" t="s">
        <v>38</v>
      </c>
      <c r="L3224" t="s">
        <v>38</v>
      </c>
      <c r="M3224" t="s">
        <v>38</v>
      </c>
      <c r="N3224" t="s">
        <v>38</v>
      </c>
      <c r="O3224" t="s">
        <v>41</v>
      </c>
      <c r="P3224" t="s">
        <v>42</v>
      </c>
      <c r="Q3224" t="s">
        <v>43</v>
      </c>
      <c r="R3224" t="s">
        <v>38</v>
      </c>
      <c r="S3224" t="s">
        <v>38</v>
      </c>
      <c r="T3224" t="s">
        <v>38</v>
      </c>
      <c r="U3224" t="s">
        <v>38</v>
      </c>
      <c r="V3224" t="s">
        <v>38</v>
      </c>
      <c r="W3224" t="s">
        <v>38</v>
      </c>
      <c r="X3224" t="s">
        <v>38</v>
      </c>
      <c r="Y3224" t="s">
        <v>38</v>
      </c>
      <c r="Z3224" t="s">
        <v>42</v>
      </c>
      <c r="AA3224" t="s">
        <v>38</v>
      </c>
      <c r="AB3224" t="s">
        <v>38</v>
      </c>
      <c r="AC3224" t="s">
        <v>233</v>
      </c>
      <c r="AD3224" t="s">
        <v>48</v>
      </c>
      <c r="AG3224" t="str">
        <f>IF(AD3224="United States", IFERROR(INDEX(Sheet2!$C:$C, MATCH(AE3224&amp;AF3224, Sheet2!$E:$E, 0)) &amp; ", " &amp; INDEX(Sheet2!$D:$D, MATCH(AE3224&amp;AF3224, Sheet2!$E:$E, 0)), ""), "-")</f>
        <v/>
      </c>
    </row>
    <row r="3225" spans="1:33" x14ac:dyDescent="0.25">
      <c r="A3225" t="s">
        <v>4736</v>
      </c>
      <c r="B3225" t="s">
        <v>4778</v>
      </c>
      <c r="C3225" t="s">
        <v>4738</v>
      </c>
      <c r="D3225" t="s">
        <v>463</v>
      </c>
      <c r="E3225" t="s">
        <v>4673</v>
      </c>
      <c r="F3225">
        <v>1759</v>
      </c>
      <c r="G3225">
        <v>2628</v>
      </c>
      <c r="H3225" t="s">
        <v>38</v>
      </c>
      <c r="I3225" t="s">
        <v>87</v>
      </c>
      <c r="J3225" t="s">
        <v>38</v>
      </c>
      <c r="K3225" t="s">
        <v>38</v>
      </c>
      <c r="L3225" t="s">
        <v>38</v>
      </c>
      <c r="M3225" t="s">
        <v>38</v>
      </c>
      <c r="N3225" t="s">
        <v>38</v>
      </c>
      <c r="O3225" t="s">
        <v>41</v>
      </c>
      <c r="P3225" t="s">
        <v>42</v>
      </c>
      <c r="Q3225" t="s">
        <v>43</v>
      </c>
      <c r="R3225" t="s">
        <v>4779</v>
      </c>
      <c r="S3225" t="s">
        <v>153</v>
      </c>
      <c r="T3225" t="s">
        <v>38</v>
      </c>
      <c r="U3225" t="s">
        <v>38</v>
      </c>
      <c r="V3225" t="s">
        <v>38</v>
      </c>
      <c r="W3225" t="s">
        <v>38</v>
      </c>
      <c r="X3225" t="s">
        <v>38</v>
      </c>
      <c r="Y3225" t="s">
        <v>38</v>
      </c>
      <c r="Z3225" t="s">
        <v>42</v>
      </c>
      <c r="AA3225" t="s">
        <v>4779</v>
      </c>
      <c r="AB3225" t="s">
        <v>38</v>
      </c>
      <c r="AC3225" t="s">
        <v>153</v>
      </c>
      <c r="AD3225" t="s">
        <v>48</v>
      </c>
      <c r="AG3225" t="str">
        <f>IF(AD3225="United States", IFERROR(INDEX(Sheet2!$C:$C, MATCH(AE3225&amp;AF3225, Sheet2!$E:$E, 0)) &amp; ", " &amp; INDEX(Sheet2!$D:$D, MATCH(AE3225&amp;AF3225, Sheet2!$E:$E, 0)), ""), "-")</f>
        <v/>
      </c>
    </row>
    <row r="3226" spans="1:33" x14ac:dyDescent="0.25">
      <c r="A3226" t="s">
        <v>4736</v>
      </c>
      <c r="B3226" t="s">
        <v>4780</v>
      </c>
      <c r="C3226" t="s">
        <v>4738</v>
      </c>
      <c r="D3226" t="s">
        <v>98</v>
      </c>
      <c r="E3226" t="s">
        <v>174</v>
      </c>
      <c r="F3226">
        <v>1748</v>
      </c>
      <c r="G3226">
        <v>2604</v>
      </c>
      <c r="H3226" t="s">
        <v>38</v>
      </c>
      <c r="I3226" t="s">
        <v>87</v>
      </c>
      <c r="J3226" t="s">
        <v>38</v>
      </c>
      <c r="K3226" t="s">
        <v>38</v>
      </c>
      <c r="L3226" t="s">
        <v>38</v>
      </c>
      <c r="M3226" t="s">
        <v>38</v>
      </c>
      <c r="N3226" t="s">
        <v>38</v>
      </c>
      <c r="O3226" t="s">
        <v>57</v>
      </c>
      <c r="P3226" t="s">
        <v>42</v>
      </c>
      <c r="Q3226" t="s">
        <v>43</v>
      </c>
      <c r="R3226" t="s">
        <v>38</v>
      </c>
      <c r="S3226" t="s">
        <v>38</v>
      </c>
      <c r="T3226" t="s">
        <v>38</v>
      </c>
      <c r="U3226" t="s">
        <v>38</v>
      </c>
      <c r="V3226" t="s">
        <v>38</v>
      </c>
      <c r="W3226" t="s">
        <v>38</v>
      </c>
      <c r="X3226" t="s">
        <v>38</v>
      </c>
      <c r="Y3226" t="s">
        <v>38</v>
      </c>
      <c r="Z3226" t="s">
        <v>42</v>
      </c>
      <c r="AA3226" t="s">
        <v>38</v>
      </c>
      <c r="AB3226" t="s">
        <v>38</v>
      </c>
      <c r="AC3226" t="s">
        <v>593</v>
      </c>
      <c r="AD3226" t="s">
        <v>48</v>
      </c>
      <c r="AG3226" t="str">
        <f>IF(AD3226="United States", IFERROR(INDEX(Sheet2!$C:$C, MATCH(AE3226&amp;AF3226, Sheet2!$E:$E, 0)) &amp; ", " &amp; INDEX(Sheet2!$D:$D, MATCH(AE3226&amp;AF3226, Sheet2!$E:$E, 0)), ""), "-")</f>
        <v/>
      </c>
    </row>
    <row r="3227" spans="1:33" x14ac:dyDescent="0.25">
      <c r="A3227" t="s">
        <v>4736</v>
      </c>
      <c r="B3227" t="s">
        <v>4781</v>
      </c>
      <c r="C3227" t="s">
        <v>4738</v>
      </c>
      <c r="D3227" t="s">
        <v>245</v>
      </c>
      <c r="E3227" t="s">
        <v>1374</v>
      </c>
      <c r="F3227">
        <v>1766</v>
      </c>
      <c r="G3227">
        <v>2587</v>
      </c>
      <c r="H3227" t="s">
        <v>38</v>
      </c>
      <c r="I3227" t="s">
        <v>87</v>
      </c>
      <c r="J3227" t="s">
        <v>38</v>
      </c>
      <c r="K3227" t="s">
        <v>38</v>
      </c>
      <c r="L3227" t="s">
        <v>38</v>
      </c>
      <c r="M3227" t="s">
        <v>38</v>
      </c>
      <c r="N3227" t="s">
        <v>38</v>
      </c>
      <c r="O3227" t="s">
        <v>74</v>
      </c>
      <c r="P3227" t="s">
        <v>42</v>
      </c>
      <c r="Q3227" t="s">
        <v>43</v>
      </c>
      <c r="R3227" t="s">
        <v>155</v>
      </c>
      <c r="S3227" t="s">
        <v>153</v>
      </c>
      <c r="T3227" t="s">
        <v>38</v>
      </c>
      <c r="U3227" t="s">
        <v>38</v>
      </c>
      <c r="V3227" t="s">
        <v>38</v>
      </c>
      <c r="W3227" t="s">
        <v>38</v>
      </c>
      <c r="X3227" t="s">
        <v>38</v>
      </c>
      <c r="Y3227" t="s">
        <v>38</v>
      </c>
      <c r="Z3227" t="s">
        <v>42</v>
      </c>
      <c r="AA3227" t="s">
        <v>155</v>
      </c>
      <c r="AB3227" t="s">
        <v>38</v>
      </c>
      <c r="AC3227" t="s">
        <v>153</v>
      </c>
      <c r="AD3227" t="s">
        <v>48</v>
      </c>
      <c r="AG3227" t="str">
        <f>IF(AD3227="United States", IFERROR(INDEX(Sheet2!$C:$C, MATCH(AE3227&amp;AF3227, Sheet2!$E:$E, 0)) &amp; ", " &amp; INDEX(Sheet2!$D:$D, MATCH(AE3227&amp;AF3227, Sheet2!$E:$E, 0)), ""), "-")</f>
        <v/>
      </c>
    </row>
    <row r="3228" spans="1:33" x14ac:dyDescent="0.25">
      <c r="A3228" t="s">
        <v>4736</v>
      </c>
      <c r="B3228" t="s">
        <v>4782</v>
      </c>
      <c r="C3228" t="s">
        <v>4738</v>
      </c>
      <c r="D3228" t="s">
        <v>36</v>
      </c>
      <c r="E3228" t="s">
        <v>4668</v>
      </c>
      <c r="F3228">
        <v>1738</v>
      </c>
      <c r="G3228">
        <v>2602</v>
      </c>
      <c r="H3228" t="s">
        <v>38</v>
      </c>
      <c r="I3228" t="s">
        <v>87</v>
      </c>
      <c r="J3228" t="s">
        <v>38</v>
      </c>
      <c r="K3228" t="s">
        <v>38</v>
      </c>
      <c r="L3228" t="s">
        <v>38</v>
      </c>
      <c r="M3228" t="s">
        <v>38</v>
      </c>
      <c r="N3228" t="s">
        <v>38</v>
      </c>
      <c r="O3228" t="s">
        <v>41</v>
      </c>
      <c r="P3228" t="s">
        <v>42</v>
      </c>
      <c r="Q3228" t="s">
        <v>43</v>
      </c>
      <c r="R3228" t="s">
        <v>241</v>
      </c>
      <c r="S3228" t="s">
        <v>45</v>
      </c>
      <c r="T3228" t="s">
        <v>38</v>
      </c>
      <c r="U3228" t="s">
        <v>38</v>
      </c>
      <c r="V3228" t="s">
        <v>38</v>
      </c>
      <c r="W3228" t="s">
        <v>38</v>
      </c>
      <c r="X3228" t="s">
        <v>38</v>
      </c>
      <c r="Y3228" t="s">
        <v>38</v>
      </c>
      <c r="Z3228" t="s">
        <v>42</v>
      </c>
      <c r="AA3228" t="s">
        <v>38</v>
      </c>
      <c r="AB3228" t="s">
        <v>38</v>
      </c>
      <c r="AC3228" t="s">
        <v>38</v>
      </c>
      <c r="AD3228" t="s">
        <v>48</v>
      </c>
      <c r="AG3228" t="str">
        <f>IF(AD3228="United States", IFERROR(INDEX(Sheet2!$C:$C, MATCH(AE3228&amp;AF3228, Sheet2!$E:$E, 0)) &amp; ", " &amp; INDEX(Sheet2!$D:$D, MATCH(AE3228&amp;AF3228, Sheet2!$E:$E, 0)), ""), "-")</f>
        <v/>
      </c>
    </row>
    <row r="3229" spans="1:33" x14ac:dyDescent="0.25">
      <c r="A3229" t="s">
        <v>4736</v>
      </c>
      <c r="B3229" t="s">
        <v>4783</v>
      </c>
      <c r="C3229" t="s">
        <v>4738</v>
      </c>
      <c r="D3229" t="s">
        <v>62</v>
      </c>
      <c r="E3229" t="s">
        <v>1900</v>
      </c>
      <c r="F3229">
        <v>1753</v>
      </c>
      <c r="G3229">
        <v>2581</v>
      </c>
      <c r="H3229" t="s">
        <v>38</v>
      </c>
      <c r="I3229" t="s">
        <v>87</v>
      </c>
      <c r="J3229" t="s">
        <v>38</v>
      </c>
      <c r="K3229" t="s">
        <v>38</v>
      </c>
      <c r="L3229" t="s">
        <v>38</v>
      </c>
      <c r="M3229" t="s">
        <v>38</v>
      </c>
      <c r="N3229" t="s">
        <v>38</v>
      </c>
      <c r="O3229" t="s">
        <v>41</v>
      </c>
      <c r="P3229" t="s">
        <v>42</v>
      </c>
      <c r="Q3229" t="s">
        <v>43</v>
      </c>
      <c r="R3229" t="s">
        <v>247</v>
      </c>
      <c r="S3229" t="s">
        <v>45</v>
      </c>
      <c r="T3229" t="s">
        <v>38</v>
      </c>
      <c r="U3229" t="s">
        <v>38</v>
      </c>
      <c r="V3229" t="s">
        <v>38</v>
      </c>
      <c r="W3229" t="s">
        <v>38</v>
      </c>
      <c r="X3229" t="s">
        <v>38</v>
      </c>
      <c r="Y3229" t="s">
        <v>38</v>
      </c>
      <c r="Z3229" t="s">
        <v>42</v>
      </c>
      <c r="AA3229" t="s">
        <v>247</v>
      </c>
      <c r="AB3229" t="s">
        <v>38</v>
      </c>
      <c r="AC3229" t="s">
        <v>45</v>
      </c>
      <c r="AD3229" t="s">
        <v>48</v>
      </c>
      <c r="AG3229" t="str">
        <f>IF(AD3229="United States", IFERROR(INDEX(Sheet2!$C:$C, MATCH(AE3229&amp;AF3229, Sheet2!$E:$E, 0)) &amp; ", " &amp; INDEX(Sheet2!$D:$D, MATCH(AE3229&amp;AF3229, Sheet2!$E:$E, 0)), ""), "-")</f>
        <v/>
      </c>
    </row>
    <row r="3230" spans="1:33" x14ac:dyDescent="0.25">
      <c r="A3230" t="s">
        <v>4736</v>
      </c>
      <c r="B3230" t="s">
        <v>4784</v>
      </c>
      <c r="C3230" t="s">
        <v>4738</v>
      </c>
      <c r="D3230" t="s">
        <v>195</v>
      </c>
      <c r="E3230" t="s">
        <v>4718</v>
      </c>
      <c r="F3230">
        <v>1743</v>
      </c>
      <c r="G3230">
        <v>2580</v>
      </c>
      <c r="H3230" t="s">
        <v>38</v>
      </c>
      <c r="I3230" t="s">
        <v>87</v>
      </c>
      <c r="J3230" t="s">
        <v>38</v>
      </c>
      <c r="K3230" t="s">
        <v>38</v>
      </c>
      <c r="L3230" t="s">
        <v>38</v>
      </c>
      <c r="M3230" t="s">
        <v>38</v>
      </c>
      <c r="N3230" t="s">
        <v>38</v>
      </c>
      <c r="O3230" t="s">
        <v>41</v>
      </c>
      <c r="P3230" t="s">
        <v>42</v>
      </c>
      <c r="Q3230" t="s">
        <v>43</v>
      </c>
      <c r="R3230" t="s">
        <v>247</v>
      </c>
      <c r="S3230" t="s">
        <v>45</v>
      </c>
      <c r="T3230" t="s">
        <v>38</v>
      </c>
      <c r="U3230" t="s">
        <v>38</v>
      </c>
      <c r="V3230" t="s">
        <v>38</v>
      </c>
      <c r="W3230" t="s">
        <v>38</v>
      </c>
      <c r="X3230" t="s">
        <v>38</v>
      </c>
      <c r="Y3230" t="s">
        <v>38</v>
      </c>
      <c r="Z3230" t="s">
        <v>42</v>
      </c>
      <c r="AA3230" t="s">
        <v>247</v>
      </c>
      <c r="AB3230" t="s">
        <v>38</v>
      </c>
      <c r="AC3230" t="s">
        <v>45</v>
      </c>
      <c r="AD3230" t="s">
        <v>48</v>
      </c>
      <c r="AG3230" t="str">
        <f>IF(AD3230="United States", IFERROR(INDEX(Sheet2!$C:$C, MATCH(AE3230&amp;AF3230, Sheet2!$E:$E, 0)) &amp; ", " &amp; INDEX(Sheet2!$D:$D, MATCH(AE3230&amp;AF3230, Sheet2!$E:$E, 0)), ""), "-")</f>
        <v/>
      </c>
    </row>
    <row r="3231" spans="1:33" x14ac:dyDescent="0.25">
      <c r="A3231" t="s">
        <v>4736</v>
      </c>
      <c r="B3231" t="s">
        <v>4785</v>
      </c>
      <c r="C3231" t="s">
        <v>4738</v>
      </c>
      <c r="D3231" t="s">
        <v>927</v>
      </c>
      <c r="E3231" t="s">
        <v>3026</v>
      </c>
      <c r="F3231">
        <v>1760</v>
      </c>
      <c r="G3231">
        <v>2579</v>
      </c>
      <c r="H3231" t="s">
        <v>38</v>
      </c>
      <c r="I3231" t="s">
        <v>87</v>
      </c>
      <c r="J3231" t="s">
        <v>38</v>
      </c>
      <c r="K3231" t="s">
        <v>38</v>
      </c>
      <c r="L3231" t="s">
        <v>38</v>
      </c>
      <c r="M3231" t="s">
        <v>38</v>
      </c>
      <c r="N3231" t="s">
        <v>38</v>
      </c>
      <c r="O3231" t="s">
        <v>41</v>
      </c>
      <c r="P3231" t="s">
        <v>42</v>
      </c>
      <c r="Q3231" t="s">
        <v>43</v>
      </c>
      <c r="R3231" t="s">
        <v>155</v>
      </c>
      <c r="S3231" t="s">
        <v>153</v>
      </c>
      <c r="T3231" t="s">
        <v>38</v>
      </c>
      <c r="U3231" t="s">
        <v>38</v>
      </c>
      <c r="V3231" t="s">
        <v>38</v>
      </c>
      <c r="W3231" t="s">
        <v>38</v>
      </c>
      <c r="X3231" t="s">
        <v>38</v>
      </c>
      <c r="Y3231" t="s">
        <v>38</v>
      </c>
      <c r="Z3231" t="s">
        <v>42</v>
      </c>
      <c r="AA3231" t="s">
        <v>155</v>
      </c>
      <c r="AB3231" t="s">
        <v>38</v>
      </c>
      <c r="AC3231" t="s">
        <v>153</v>
      </c>
      <c r="AD3231" t="s">
        <v>48</v>
      </c>
      <c r="AG3231" t="str">
        <f>IF(AD3231="United States", IFERROR(INDEX(Sheet2!$C:$C, MATCH(AE3231&amp;AF3231, Sheet2!$E:$E, 0)) &amp; ", " &amp; INDEX(Sheet2!$D:$D, MATCH(AE3231&amp;AF3231, Sheet2!$E:$E, 0)), ""), "-")</f>
        <v/>
      </c>
    </row>
    <row r="3232" spans="1:33" x14ac:dyDescent="0.25">
      <c r="A3232" t="s">
        <v>4736</v>
      </c>
      <c r="B3232" t="s">
        <v>4786</v>
      </c>
      <c r="C3232" t="s">
        <v>4738</v>
      </c>
      <c r="D3232" t="s">
        <v>104</v>
      </c>
      <c r="E3232" t="s">
        <v>2301</v>
      </c>
      <c r="F3232">
        <v>1753</v>
      </c>
      <c r="G3232">
        <v>2578</v>
      </c>
      <c r="H3232" t="s">
        <v>38</v>
      </c>
      <c r="I3232" t="s">
        <v>87</v>
      </c>
      <c r="J3232" t="s">
        <v>38</v>
      </c>
      <c r="K3232" t="s">
        <v>38</v>
      </c>
      <c r="L3232" t="s">
        <v>38</v>
      </c>
      <c r="M3232" t="s">
        <v>38</v>
      </c>
      <c r="N3232" t="s">
        <v>38</v>
      </c>
      <c r="O3232" t="s">
        <v>41</v>
      </c>
      <c r="P3232" t="s">
        <v>42</v>
      </c>
      <c r="Q3232" t="s">
        <v>43</v>
      </c>
      <c r="R3232" t="s">
        <v>38</v>
      </c>
      <c r="S3232" t="s">
        <v>38</v>
      </c>
      <c r="T3232" t="s">
        <v>38</v>
      </c>
      <c r="U3232" t="s">
        <v>38</v>
      </c>
      <c r="V3232" t="s">
        <v>38</v>
      </c>
      <c r="W3232" t="s">
        <v>38</v>
      </c>
      <c r="X3232" t="s">
        <v>38</v>
      </c>
      <c r="Y3232" t="s">
        <v>38</v>
      </c>
      <c r="Z3232" t="s">
        <v>42</v>
      </c>
      <c r="AA3232" t="s">
        <v>38</v>
      </c>
      <c r="AB3232" t="s">
        <v>38</v>
      </c>
      <c r="AC3232" t="s">
        <v>1813</v>
      </c>
      <c r="AD3232" t="s">
        <v>48</v>
      </c>
      <c r="AG3232" t="str">
        <f>IF(AD3232="United States", IFERROR(INDEX(Sheet2!$C:$C, MATCH(AE3232&amp;AF3232, Sheet2!$E:$E, 0)) &amp; ", " &amp; INDEX(Sheet2!$D:$D, MATCH(AE3232&amp;AF3232, Sheet2!$E:$E, 0)), ""), "-")</f>
        <v/>
      </c>
    </row>
    <row r="3233" spans="1:33" x14ac:dyDescent="0.25">
      <c r="A3233" t="s">
        <v>4736</v>
      </c>
      <c r="B3233" t="s">
        <v>4787</v>
      </c>
      <c r="C3233" t="s">
        <v>4738</v>
      </c>
      <c r="D3233" t="s">
        <v>106</v>
      </c>
      <c r="E3233" t="s">
        <v>1654</v>
      </c>
      <c r="F3233">
        <v>1751</v>
      </c>
      <c r="G3233">
        <v>2577</v>
      </c>
      <c r="H3233" t="s">
        <v>38</v>
      </c>
      <c r="I3233" t="s">
        <v>87</v>
      </c>
      <c r="J3233" t="s">
        <v>38</v>
      </c>
      <c r="K3233" t="s">
        <v>38</v>
      </c>
      <c r="L3233" t="s">
        <v>38</v>
      </c>
      <c r="M3233" t="s">
        <v>38</v>
      </c>
      <c r="N3233" t="s">
        <v>38</v>
      </c>
      <c r="O3233" t="s">
        <v>41</v>
      </c>
      <c r="P3233" t="s">
        <v>42</v>
      </c>
      <c r="Q3233" t="s">
        <v>43</v>
      </c>
      <c r="R3233" t="s">
        <v>38</v>
      </c>
      <c r="S3233" t="s">
        <v>38</v>
      </c>
      <c r="T3233" t="s">
        <v>38</v>
      </c>
      <c r="U3233" t="s">
        <v>38</v>
      </c>
      <c r="V3233" t="s">
        <v>38</v>
      </c>
      <c r="W3233" t="s">
        <v>38</v>
      </c>
      <c r="X3233" t="s">
        <v>38</v>
      </c>
      <c r="Y3233" t="s">
        <v>38</v>
      </c>
      <c r="Z3233" t="s">
        <v>42</v>
      </c>
      <c r="AA3233" t="s">
        <v>38</v>
      </c>
      <c r="AB3233" t="s">
        <v>38</v>
      </c>
      <c r="AC3233" t="s">
        <v>2580</v>
      </c>
      <c r="AD3233" t="s">
        <v>48</v>
      </c>
      <c r="AG3233" t="str">
        <f>IF(AD3233="United States", IFERROR(INDEX(Sheet2!$C:$C, MATCH(AE3233&amp;AF3233, Sheet2!$E:$E, 0)) &amp; ", " &amp; INDEX(Sheet2!$D:$D, MATCH(AE3233&amp;AF3233, Sheet2!$E:$E, 0)), ""), "-")</f>
        <v/>
      </c>
    </row>
    <row r="3234" spans="1:33" x14ac:dyDescent="0.25">
      <c r="A3234" t="s">
        <v>4736</v>
      </c>
      <c r="B3234" t="s">
        <v>4788</v>
      </c>
      <c r="C3234" t="s">
        <v>4738</v>
      </c>
      <c r="D3234" t="s">
        <v>1573</v>
      </c>
      <c r="E3234" t="s">
        <v>38</v>
      </c>
      <c r="F3234">
        <v>1758</v>
      </c>
      <c r="G3234">
        <v>2576</v>
      </c>
      <c r="H3234" t="s">
        <v>38</v>
      </c>
      <c r="I3234" t="s">
        <v>87</v>
      </c>
      <c r="J3234" t="s">
        <v>38</v>
      </c>
      <c r="K3234" t="s">
        <v>38</v>
      </c>
      <c r="L3234" t="s">
        <v>38</v>
      </c>
      <c r="M3234" t="s">
        <v>38</v>
      </c>
      <c r="N3234" t="s">
        <v>38</v>
      </c>
      <c r="O3234" t="s">
        <v>57</v>
      </c>
      <c r="P3234" t="s">
        <v>42</v>
      </c>
      <c r="Q3234" t="s">
        <v>43</v>
      </c>
      <c r="R3234" t="s">
        <v>4789</v>
      </c>
      <c r="S3234" t="s">
        <v>201</v>
      </c>
      <c r="T3234" t="s">
        <v>38</v>
      </c>
      <c r="U3234" t="s">
        <v>38</v>
      </c>
      <c r="V3234" t="s">
        <v>38</v>
      </c>
      <c r="W3234" t="s">
        <v>38</v>
      </c>
      <c r="X3234" t="s">
        <v>38</v>
      </c>
      <c r="Y3234" t="s">
        <v>38</v>
      </c>
      <c r="Z3234" t="s">
        <v>42</v>
      </c>
      <c r="AA3234" t="s">
        <v>38</v>
      </c>
      <c r="AB3234" t="s">
        <v>38</v>
      </c>
      <c r="AC3234" t="s">
        <v>201</v>
      </c>
      <c r="AD3234" t="s">
        <v>48</v>
      </c>
      <c r="AG3234" t="str">
        <f>IF(AD3234="United States", IFERROR(INDEX(Sheet2!$C:$C, MATCH(AE3234&amp;AF3234, Sheet2!$E:$E, 0)) &amp; ", " &amp; INDEX(Sheet2!$D:$D, MATCH(AE3234&amp;AF3234, Sheet2!$E:$E, 0)), ""), "-")</f>
        <v/>
      </c>
    </row>
    <row r="3235" spans="1:33" x14ac:dyDescent="0.25">
      <c r="A3235" t="s">
        <v>4736</v>
      </c>
      <c r="B3235" t="s">
        <v>4790</v>
      </c>
      <c r="C3235" t="s">
        <v>4738</v>
      </c>
      <c r="D3235" t="s">
        <v>991</v>
      </c>
      <c r="E3235" t="s">
        <v>38</v>
      </c>
      <c r="F3235">
        <v>1756</v>
      </c>
      <c r="G3235">
        <v>2582</v>
      </c>
      <c r="H3235" t="s">
        <v>38</v>
      </c>
      <c r="I3235" t="s">
        <v>87</v>
      </c>
      <c r="J3235" t="s">
        <v>38</v>
      </c>
      <c r="K3235" t="s">
        <v>38</v>
      </c>
      <c r="L3235" t="s">
        <v>38</v>
      </c>
      <c r="M3235" t="s">
        <v>38</v>
      </c>
      <c r="N3235" t="s">
        <v>38</v>
      </c>
      <c r="O3235" t="s">
        <v>41</v>
      </c>
      <c r="P3235" t="s">
        <v>42</v>
      </c>
      <c r="Q3235" t="s">
        <v>43</v>
      </c>
      <c r="R3235" t="s">
        <v>1322</v>
      </c>
      <c r="S3235" t="s">
        <v>45</v>
      </c>
      <c r="T3235" t="s">
        <v>38</v>
      </c>
      <c r="U3235" t="s">
        <v>38</v>
      </c>
      <c r="V3235" t="s">
        <v>38</v>
      </c>
      <c r="W3235" t="s">
        <v>38</v>
      </c>
      <c r="X3235" t="s">
        <v>38</v>
      </c>
      <c r="Y3235" t="s">
        <v>38</v>
      </c>
      <c r="Z3235" t="s">
        <v>42</v>
      </c>
      <c r="AA3235" t="s">
        <v>991</v>
      </c>
      <c r="AB3235" t="s">
        <v>38</v>
      </c>
      <c r="AC3235" t="s">
        <v>45</v>
      </c>
      <c r="AD3235" t="s">
        <v>48</v>
      </c>
      <c r="AG3235" t="str">
        <f>IF(AD3235="United States", IFERROR(INDEX(Sheet2!$C:$C, MATCH(AE3235&amp;AF3235, Sheet2!$E:$E, 0)) &amp; ", " &amp; INDEX(Sheet2!$D:$D, MATCH(AE3235&amp;AF3235, Sheet2!$E:$E, 0)), ""), "-")</f>
        <v/>
      </c>
    </row>
    <row r="3236" spans="1:33" x14ac:dyDescent="0.25">
      <c r="A3236" t="s">
        <v>4736</v>
      </c>
      <c r="B3236" t="s">
        <v>4791</v>
      </c>
      <c r="C3236" t="s">
        <v>4738</v>
      </c>
      <c r="D3236" t="s">
        <v>210</v>
      </c>
      <c r="E3236" t="s">
        <v>4792</v>
      </c>
      <c r="F3236">
        <v>1747</v>
      </c>
      <c r="G3236">
        <v>2575</v>
      </c>
      <c r="H3236" t="s">
        <v>38</v>
      </c>
      <c r="I3236" t="s">
        <v>87</v>
      </c>
      <c r="J3236" t="s">
        <v>38</v>
      </c>
      <c r="K3236" t="s">
        <v>38</v>
      </c>
      <c r="L3236" t="s">
        <v>38</v>
      </c>
      <c r="M3236" t="s">
        <v>38</v>
      </c>
      <c r="N3236" t="s">
        <v>38</v>
      </c>
      <c r="O3236" t="s">
        <v>41</v>
      </c>
      <c r="P3236" t="s">
        <v>42</v>
      </c>
      <c r="Q3236" t="s">
        <v>43</v>
      </c>
      <c r="R3236" t="s">
        <v>265</v>
      </c>
      <c r="S3236" t="s">
        <v>201</v>
      </c>
      <c r="T3236" t="s">
        <v>38</v>
      </c>
      <c r="U3236" t="s">
        <v>38</v>
      </c>
      <c r="V3236" t="s">
        <v>38</v>
      </c>
      <c r="W3236" t="s">
        <v>38</v>
      </c>
      <c r="X3236" t="s">
        <v>38</v>
      </c>
      <c r="Y3236" t="s">
        <v>38</v>
      </c>
      <c r="Z3236" t="s">
        <v>42</v>
      </c>
      <c r="AA3236" t="s">
        <v>265</v>
      </c>
      <c r="AB3236" t="s">
        <v>38</v>
      </c>
      <c r="AC3236" t="s">
        <v>201</v>
      </c>
      <c r="AD3236" t="s">
        <v>48</v>
      </c>
      <c r="AG3236" t="str">
        <f>IF(AD3236="United States", IFERROR(INDEX(Sheet2!$C:$C, MATCH(AE3236&amp;AF3236, Sheet2!$E:$E, 0)) &amp; ", " &amp; INDEX(Sheet2!$D:$D, MATCH(AE3236&amp;AF3236, Sheet2!$E:$E, 0)), ""), "-")</f>
        <v/>
      </c>
    </row>
    <row r="3237" spans="1:33" x14ac:dyDescent="0.25">
      <c r="A3237" t="s">
        <v>4736</v>
      </c>
      <c r="B3237" t="s">
        <v>4793</v>
      </c>
      <c r="C3237" t="s">
        <v>4738</v>
      </c>
      <c r="D3237" t="s">
        <v>650</v>
      </c>
      <c r="E3237" t="s">
        <v>38</v>
      </c>
      <c r="F3237">
        <v>1780</v>
      </c>
      <c r="G3237">
        <v>2573</v>
      </c>
      <c r="H3237" t="s">
        <v>38</v>
      </c>
      <c r="I3237" t="s">
        <v>87</v>
      </c>
      <c r="J3237" t="s">
        <v>38</v>
      </c>
      <c r="K3237" t="s">
        <v>38</v>
      </c>
      <c r="L3237" t="s">
        <v>38</v>
      </c>
      <c r="M3237" t="s">
        <v>38</v>
      </c>
      <c r="N3237" t="s">
        <v>38</v>
      </c>
      <c r="O3237" t="s">
        <v>54</v>
      </c>
      <c r="P3237" t="s">
        <v>42</v>
      </c>
      <c r="Q3237" t="s">
        <v>43</v>
      </c>
      <c r="R3237" t="s">
        <v>38</v>
      </c>
      <c r="S3237" t="s">
        <v>38</v>
      </c>
      <c r="T3237" t="s">
        <v>38</v>
      </c>
      <c r="U3237" t="s">
        <v>38</v>
      </c>
      <c r="V3237" t="s">
        <v>38</v>
      </c>
      <c r="W3237" t="s">
        <v>38</v>
      </c>
      <c r="X3237" t="s">
        <v>38</v>
      </c>
      <c r="Y3237" t="s">
        <v>38</v>
      </c>
      <c r="Z3237" t="s">
        <v>42</v>
      </c>
      <c r="AA3237" t="s">
        <v>38</v>
      </c>
      <c r="AB3237" t="s">
        <v>38</v>
      </c>
      <c r="AC3237" t="s">
        <v>38</v>
      </c>
      <c r="AD3237" t="s">
        <v>48</v>
      </c>
      <c r="AG3237" t="str">
        <f>IF(AD3237="United States", IFERROR(INDEX(Sheet2!$C:$C, MATCH(AE3237&amp;AF3237, Sheet2!$E:$E, 0)) &amp; ", " &amp; INDEX(Sheet2!$D:$D, MATCH(AE3237&amp;AF3237, Sheet2!$E:$E, 0)), ""), "-")</f>
        <v/>
      </c>
    </row>
    <row r="3238" spans="1:33" x14ac:dyDescent="0.25">
      <c r="A3238" t="s">
        <v>4736</v>
      </c>
      <c r="B3238" t="s">
        <v>4794</v>
      </c>
      <c r="C3238" t="s">
        <v>4738</v>
      </c>
      <c r="D3238" t="s">
        <v>803</v>
      </c>
      <c r="E3238" t="s">
        <v>38</v>
      </c>
      <c r="F3238">
        <v>1759</v>
      </c>
      <c r="G3238">
        <v>2572</v>
      </c>
      <c r="H3238" t="s">
        <v>38</v>
      </c>
      <c r="I3238" t="s">
        <v>87</v>
      </c>
      <c r="J3238" t="s">
        <v>38</v>
      </c>
      <c r="K3238" t="s">
        <v>38</v>
      </c>
      <c r="L3238" t="s">
        <v>38</v>
      </c>
      <c r="M3238" t="s">
        <v>38</v>
      </c>
      <c r="N3238" t="s">
        <v>38</v>
      </c>
      <c r="O3238" t="s">
        <v>57</v>
      </c>
      <c r="P3238" t="s">
        <v>42</v>
      </c>
      <c r="Q3238" t="s">
        <v>43</v>
      </c>
      <c r="R3238" t="s">
        <v>38</v>
      </c>
      <c r="S3238" t="s">
        <v>38</v>
      </c>
      <c r="T3238" t="s">
        <v>38</v>
      </c>
      <c r="U3238" t="s">
        <v>38</v>
      </c>
      <c r="V3238" t="s">
        <v>38</v>
      </c>
      <c r="W3238" t="s">
        <v>38</v>
      </c>
      <c r="X3238" t="s">
        <v>38</v>
      </c>
      <c r="Y3238" t="s">
        <v>38</v>
      </c>
      <c r="Z3238" t="s">
        <v>42</v>
      </c>
      <c r="AA3238" t="s">
        <v>38</v>
      </c>
      <c r="AB3238" t="s">
        <v>38</v>
      </c>
      <c r="AC3238" t="s">
        <v>4795</v>
      </c>
      <c r="AD3238" t="s">
        <v>48</v>
      </c>
      <c r="AG3238" t="str">
        <f>IF(AD3238="United States", IFERROR(INDEX(Sheet2!$C:$C, MATCH(AE3238&amp;AF3238, Sheet2!$E:$E, 0)) &amp; ", " &amp; INDEX(Sheet2!$D:$D, MATCH(AE3238&amp;AF3238, Sheet2!$E:$E, 0)), ""), "-")</f>
        <v/>
      </c>
    </row>
    <row r="3239" spans="1:33" x14ac:dyDescent="0.25">
      <c r="A3239" t="s">
        <v>4736</v>
      </c>
      <c r="B3239" t="s">
        <v>4796</v>
      </c>
      <c r="C3239" t="s">
        <v>4738</v>
      </c>
      <c r="D3239" t="s">
        <v>113</v>
      </c>
      <c r="E3239" t="s">
        <v>38</v>
      </c>
      <c r="F3239">
        <v>1772</v>
      </c>
      <c r="G3239">
        <v>2571</v>
      </c>
      <c r="H3239" t="s">
        <v>38</v>
      </c>
      <c r="I3239" t="s">
        <v>87</v>
      </c>
      <c r="J3239" t="s">
        <v>38</v>
      </c>
      <c r="K3239" t="s">
        <v>38</v>
      </c>
      <c r="L3239" t="s">
        <v>38</v>
      </c>
      <c r="M3239" t="s">
        <v>245</v>
      </c>
      <c r="N3239" t="s">
        <v>2828</v>
      </c>
      <c r="O3239" t="s">
        <v>54</v>
      </c>
      <c r="P3239" t="s">
        <v>42</v>
      </c>
      <c r="Q3239" t="s">
        <v>43</v>
      </c>
      <c r="R3239" t="s">
        <v>38</v>
      </c>
      <c r="S3239" t="s">
        <v>38</v>
      </c>
      <c r="T3239" t="s">
        <v>38</v>
      </c>
      <c r="U3239" t="s">
        <v>38</v>
      </c>
      <c r="V3239" t="s">
        <v>38</v>
      </c>
      <c r="W3239" t="s">
        <v>38</v>
      </c>
      <c r="X3239" t="s">
        <v>38</v>
      </c>
      <c r="Y3239" t="s">
        <v>38</v>
      </c>
      <c r="Z3239" t="s">
        <v>42</v>
      </c>
      <c r="AA3239" t="s">
        <v>38</v>
      </c>
      <c r="AB3239" t="s">
        <v>38</v>
      </c>
      <c r="AC3239" t="s">
        <v>38</v>
      </c>
      <c r="AD3239" t="s">
        <v>48</v>
      </c>
      <c r="AG3239" t="str">
        <f>IF(AD3239="United States", IFERROR(INDEX(Sheet2!$C:$C, MATCH(AE3239&amp;AF3239, Sheet2!$E:$E, 0)) &amp; ", " &amp; INDEX(Sheet2!$D:$D, MATCH(AE3239&amp;AF3239, Sheet2!$E:$E, 0)), ""), "-")</f>
        <v/>
      </c>
    </row>
    <row r="3240" spans="1:33" x14ac:dyDescent="0.25">
      <c r="A3240" t="s">
        <v>4736</v>
      </c>
      <c r="B3240" t="s">
        <v>4797</v>
      </c>
      <c r="C3240" t="s">
        <v>4738</v>
      </c>
      <c r="D3240" t="s">
        <v>245</v>
      </c>
      <c r="E3240" t="s">
        <v>38</v>
      </c>
      <c r="F3240">
        <v>1778</v>
      </c>
      <c r="G3240">
        <v>2570</v>
      </c>
      <c r="H3240" t="s">
        <v>38</v>
      </c>
      <c r="I3240" t="s">
        <v>87</v>
      </c>
      <c r="J3240" t="s">
        <v>38</v>
      </c>
      <c r="K3240" t="s">
        <v>38</v>
      </c>
      <c r="L3240" t="s">
        <v>38</v>
      </c>
      <c r="M3240" t="s">
        <v>245</v>
      </c>
      <c r="N3240" t="s">
        <v>2828</v>
      </c>
      <c r="O3240" t="s">
        <v>54</v>
      </c>
      <c r="P3240" t="s">
        <v>42</v>
      </c>
      <c r="Q3240" t="s">
        <v>43</v>
      </c>
      <c r="R3240" t="s">
        <v>38</v>
      </c>
      <c r="S3240" t="s">
        <v>38</v>
      </c>
      <c r="T3240" t="s">
        <v>38</v>
      </c>
      <c r="U3240" t="s">
        <v>38</v>
      </c>
      <c r="V3240" t="s">
        <v>38</v>
      </c>
      <c r="W3240" t="s">
        <v>38</v>
      </c>
      <c r="X3240" t="s">
        <v>38</v>
      </c>
      <c r="Y3240" t="s">
        <v>38</v>
      </c>
      <c r="Z3240" t="s">
        <v>42</v>
      </c>
      <c r="AA3240" t="s">
        <v>38</v>
      </c>
      <c r="AB3240" t="s">
        <v>38</v>
      </c>
      <c r="AC3240" t="s">
        <v>38</v>
      </c>
      <c r="AD3240" t="s">
        <v>48</v>
      </c>
      <c r="AG3240" t="str">
        <f>IF(AD3240="United States", IFERROR(INDEX(Sheet2!$C:$C, MATCH(AE3240&amp;AF3240, Sheet2!$E:$E, 0)) &amp; ", " &amp; INDEX(Sheet2!$D:$D, MATCH(AE3240&amp;AF3240, Sheet2!$E:$E, 0)), ""), "-")</f>
        <v/>
      </c>
    </row>
    <row r="3241" spans="1:33" x14ac:dyDescent="0.25">
      <c r="A3241" t="s">
        <v>4736</v>
      </c>
      <c r="B3241" t="s">
        <v>4798</v>
      </c>
      <c r="C3241" t="s">
        <v>4738</v>
      </c>
      <c r="D3241" t="s">
        <v>394</v>
      </c>
      <c r="E3241" t="s">
        <v>38</v>
      </c>
      <c r="F3241">
        <v>1778</v>
      </c>
      <c r="G3241">
        <v>2569</v>
      </c>
      <c r="H3241" t="s">
        <v>38</v>
      </c>
      <c r="I3241" t="s">
        <v>87</v>
      </c>
      <c r="J3241" t="s">
        <v>38</v>
      </c>
      <c r="K3241" t="s">
        <v>38</v>
      </c>
      <c r="L3241" t="s">
        <v>38</v>
      </c>
      <c r="M3241" t="s">
        <v>38</v>
      </c>
      <c r="N3241" t="s">
        <v>38</v>
      </c>
      <c r="O3241" t="s">
        <v>54</v>
      </c>
      <c r="P3241" t="s">
        <v>42</v>
      </c>
      <c r="Q3241" t="s">
        <v>43</v>
      </c>
      <c r="R3241" t="s">
        <v>38</v>
      </c>
      <c r="S3241" t="s">
        <v>38</v>
      </c>
      <c r="T3241" t="s">
        <v>38</v>
      </c>
      <c r="U3241" t="s">
        <v>38</v>
      </c>
      <c r="V3241" t="s">
        <v>38</v>
      </c>
      <c r="W3241" t="s">
        <v>38</v>
      </c>
      <c r="X3241" t="s">
        <v>38</v>
      </c>
      <c r="Y3241" t="s">
        <v>4799</v>
      </c>
      <c r="Z3241" t="s">
        <v>42</v>
      </c>
      <c r="AA3241" t="s">
        <v>38</v>
      </c>
      <c r="AB3241" t="s">
        <v>38</v>
      </c>
      <c r="AC3241" t="s">
        <v>38</v>
      </c>
      <c r="AD3241" t="s">
        <v>48</v>
      </c>
      <c r="AG3241" t="str">
        <f>IF(AD3241="United States", IFERROR(INDEX(Sheet2!$C:$C, MATCH(AE3241&amp;AF3241, Sheet2!$E:$E, 0)) &amp; ", " &amp; INDEX(Sheet2!$D:$D, MATCH(AE3241&amp;AF3241, Sheet2!$E:$E, 0)), ""), "-")</f>
        <v/>
      </c>
    </row>
    <row r="3242" spans="1:33" x14ac:dyDescent="0.25">
      <c r="A3242" t="s">
        <v>4736</v>
      </c>
      <c r="B3242" t="s">
        <v>4800</v>
      </c>
      <c r="C3242" t="s">
        <v>4738</v>
      </c>
      <c r="D3242" t="s">
        <v>334</v>
      </c>
      <c r="E3242" t="s">
        <v>4691</v>
      </c>
      <c r="F3242">
        <v>1751</v>
      </c>
      <c r="G3242">
        <v>2568</v>
      </c>
      <c r="H3242" t="s">
        <v>38</v>
      </c>
      <c r="I3242" t="s">
        <v>87</v>
      </c>
      <c r="J3242" t="s">
        <v>38</v>
      </c>
      <c r="K3242" t="s">
        <v>38</v>
      </c>
      <c r="L3242" t="s">
        <v>38</v>
      </c>
      <c r="M3242" t="s">
        <v>38</v>
      </c>
      <c r="N3242" t="s">
        <v>38</v>
      </c>
      <c r="O3242" t="s">
        <v>41</v>
      </c>
      <c r="P3242" t="s">
        <v>42</v>
      </c>
      <c r="Q3242" t="s">
        <v>43</v>
      </c>
      <c r="R3242" t="s">
        <v>4801</v>
      </c>
      <c r="S3242" t="s">
        <v>38</v>
      </c>
      <c r="T3242" t="s">
        <v>38</v>
      </c>
      <c r="U3242" t="s">
        <v>38</v>
      </c>
      <c r="V3242" t="s">
        <v>38</v>
      </c>
      <c r="W3242" t="s">
        <v>38</v>
      </c>
      <c r="X3242" t="s">
        <v>38</v>
      </c>
      <c r="Y3242" t="s">
        <v>4799</v>
      </c>
      <c r="Z3242" t="s">
        <v>42</v>
      </c>
      <c r="AA3242" t="s">
        <v>38</v>
      </c>
      <c r="AB3242" t="s">
        <v>38</v>
      </c>
      <c r="AC3242" t="s">
        <v>672</v>
      </c>
      <c r="AD3242" t="s">
        <v>672</v>
      </c>
      <c r="AG3242" t="str">
        <f>IF(AD3242="United States", IFERROR(INDEX(Sheet2!$C:$C, MATCH(AE3242&amp;AF3242, Sheet2!$E:$E, 0)) &amp; ", " &amp; INDEX(Sheet2!$D:$D, MATCH(AE3242&amp;AF3242, Sheet2!$E:$E, 0)), ""), "18.1850507, -77.3947693")</f>
        <v>18.1850507, -77.3947693</v>
      </c>
    </row>
    <row r="3243" spans="1:33" x14ac:dyDescent="0.25">
      <c r="A3243" t="s">
        <v>4736</v>
      </c>
      <c r="B3243" t="s">
        <v>4802</v>
      </c>
      <c r="C3243" t="s">
        <v>4738</v>
      </c>
      <c r="D3243" t="s">
        <v>1238</v>
      </c>
      <c r="E3243" t="s">
        <v>38</v>
      </c>
      <c r="F3243">
        <v>1718</v>
      </c>
      <c r="G3243">
        <v>2574</v>
      </c>
      <c r="H3243" t="s">
        <v>38</v>
      </c>
      <c r="I3243" t="s">
        <v>87</v>
      </c>
      <c r="J3243" t="s">
        <v>38</v>
      </c>
      <c r="K3243" t="s">
        <v>38</v>
      </c>
      <c r="L3243" t="s">
        <v>38</v>
      </c>
      <c r="M3243" t="s">
        <v>38</v>
      </c>
      <c r="N3243" t="s">
        <v>38</v>
      </c>
      <c r="O3243" t="s">
        <v>57</v>
      </c>
      <c r="P3243" t="s">
        <v>42</v>
      </c>
      <c r="Q3243" t="s">
        <v>43</v>
      </c>
      <c r="R3243" t="s">
        <v>38</v>
      </c>
      <c r="S3243" t="s">
        <v>38</v>
      </c>
      <c r="T3243" t="s">
        <v>38</v>
      </c>
      <c r="U3243" t="s">
        <v>38</v>
      </c>
      <c r="V3243" t="s">
        <v>38</v>
      </c>
      <c r="W3243" t="s">
        <v>38</v>
      </c>
      <c r="X3243" t="s">
        <v>38</v>
      </c>
      <c r="Y3243" t="s">
        <v>38</v>
      </c>
      <c r="Z3243" t="s">
        <v>42</v>
      </c>
      <c r="AA3243" t="s">
        <v>38</v>
      </c>
      <c r="AB3243" t="s">
        <v>38</v>
      </c>
      <c r="AC3243" t="s">
        <v>38</v>
      </c>
      <c r="AD3243" t="s">
        <v>48</v>
      </c>
      <c r="AG3243" t="str">
        <f>IF(AD3243="United States", IFERROR(INDEX(Sheet2!$C:$C, MATCH(AE3243&amp;AF3243, Sheet2!$E:$E, 0)) &amp; ", " &amp; INDEX(Sheet2!$D:$D, MATCH(AE3243&amp;AF3243, Sheet2!$E:$E, 0)), ""), "-")</f>
        <v/>
      </c>
    </row>
    <row r="3244" spans="1:33" x14ac:dyDescent="0.25">
      <c r="A3244" t="s">
        <v>4736</v>
      </c>
      <c r="B3244" t="s">
        <v>4803</v>
      </c>
      <c r="C3244" t="s">
        <v>4738</v>
      </c>
      <c r="D3244" t="s">
        <v>1609</v>
      </c>
      <c r="E3244" t="s">
        <v>38</v>
      </c>
      <c r="F3244">
        <v>1757</v>
      </c>
      <c r="G3244">
        <v>2583</v>
      </c>
      <c r="H3244" t="s">
        <v>38</v>
      </c>
      <c r="I3244" t="s">
        <v>87</v>
      </c>
      <c r="J3244" t="s">
        <v>38</v>
      </c>
      <c r="K3244" t="s">
        <v>38</v>
      </c>
      <c r="L3244" t="s">
        <v>38</v>
      </c>
      <c r="M3244" t="s">
        <v>38</v>
      </c>
      <c r="N3244" t="s">
        <v>38</v>
      </c>
      <c r="O3244" t="s">
        <v>41</v>
      </c>
      <c r="P3244" t="s">
        <v>42</v>
      </c>
      <c r="Q3244" t="s">
        <v>43</v>
      </c>
      <c r="R3244" t="s">
        <v>155</v>
      </c>
      <c r="S3244" t="s">
        <v>153</v>
      </c>
      <c r="T3244" t="s">
        <v>38</v>
      </c>
      <c r="U3244" t="s">
        <v>38</v>
      </c>
      <c r="V3244" t="s">
        <v>38</v>
      </c>
      <c r="W3244" t="s">
        <v>38</v>
      </c>
      <c r="X3244" t="s">
        <v>38</v>
      </c>
      <c r="Y3244" t="s">
        <v>38</v>
      </c>
      <c r="Z3244" t="s">
        <v>42</v>
      </c>
      <c r="AA3244" t="s">
        <v>1609</v>
      </c>
      <c r="AB3244" t="s">
        <v>155</v>
      </c>
      <c r="AC3244" t="s">
        <v>153</v>
      </c>
      <c r="AD3244" t="s">
        <v>48</v>
      </c>
      <c r="AG3244" t="str">
        <f>IF(AD3244="United States", IFERROR(INDEX(Sheet2!$C:$C, MATCH(AE3244&amp;AF3244, Sheet2!$E:$E, 0)) &amp; ", " &amp; INDEX(Sheet2!$D:$D, MATCH(AE3244&amp;AF3244, Sheet2!$E:$E, 0)), ""), "-")</f>
        <v/>
      </c>
    </row>
    <row r="3245" spans="1:33" x14ac:dyDescent="0.25">
      <c r="A3245" t="s">
        <v>4736</v>
      </c>
      <c r="B3245" t="s">
        <v>4804</v>
      </c>
      <c r="C3245" t="s">
        <v>4738</v>
      </c>
      <c r="D3245" t="s">
        <v>195</v>
      </c>
      <c r="E3245" t="s">
        <v>4717</v>
      </c>
      <c r="F3245">
        <v>1758</v>
      </c>
      <c r="G3245">
        <v>2584</v>
      </c>
      <c r="H3245" t="s">
        <v>38</v>
      </c>
      <c r="I3245" t="s">
        <v>87</v>
      </c>
      <c r="J3245" t="s">
        <v>38</v>
      </c>
      <c r="K3245" t="s">
        <v>38</v>
      </c>
      <c r="L3245" t="s">
        <v>38</v>
      </c>
      <c r="M3245" t="s">
        <v>38</v>
      </c>
      <c r="N3245" t="s">
        <v>38</v>
      </c>
      <c r="O3245" t="s">
        <v>41</v>
      </c>
      <c r="P3245" t="s">
        <v>42</v>
      </c>
      <c r="Q3245" t="s">
        <v>43</v>
      </c>
      <c r="R3245" t="s">
        <v>247</v>
      </c>
      <c r="S3245" t="s">
        <v>45</v>
      </c>
      <c r="T3245" t="s">
        <v>38</v>
      </c>
      <c r="U3245" t="s">
        <v>38</v>
      </c>
      <c r="V3245" t="s">
        <v>38</v>
      </c>
      <c r="W3245" t="s">
        <v>38</v>
      </c>
      <c r="X3245" t="s">
        <v>38</v>
      </c>
      <c r="Y3245" t="s">
        <v>38</v>
      </c>
      <c r="Z3245" t="s">
        <v>42</v>
      </c>
      <c r="AA3245" t="s">
        <v>247</v>
      </c>
      <c r="AB3245" t="s">
        <v>38</v>
      </c>
      <c r="AC3245" t="s">
        <v>45</v>
      </c>
      <c r="AD3245" t="s">
        <v>48</v>
      </c>
      <c r="AG3245" t="str">
        <f>IF(AD3245="United States", IFERROR(INDEX(Sheet2!$C:$C, MATCH(AE3245&amp;AF3245, Sheet2!$E:$E, 0)) &amp; ", " &amp; INDEX(Sheet2!$D:$D, MATCH(AE3245&amp;AF3245, Sheet2!$E:$E, 0)), ""), "-")</f>
        <v/>
      </c>
    </row>
    <row r="3246" spans="1:33" x14ac:dyDescent="0.25">
      <c r="A3246" t="s">
        <v>4736</v>
      </c>
      <c r="B3246" t="s">
        <v>4805</v>
      </c>
      <c r="C3246" t="s">
        <v>4738</v>
      </c>
      <c r="D3246" t="s">
        <v>230</v>
      </c>
      <c r="E3246" t="s">
        <v>4661</v>
      </c>
      <c r="F3246">
        <v>1749</v>
      </c>
      <c r="G3246">
        <v>2585</v>
      </c>
      <c r="H3246" t="s">
        <v>38</v>
      </c>
      <c r="I3246" t="s">
        <v>87</v>
      </c>
      <c r="J3246" t="s">
        <v>38</v>
      </c>
      <c r="K3246" t="s">
        <v>38</v>
      </c>
      <c r="L3246" t="s">
        <v>38</v>
      </c>
      <c r="M3246" t="s">
        <v>38</v>
      </c>
      <c r="N3246" t="s">
        <v>38</v>
      </c>
      <c r="O3246" t="s">
        <v>41</v>
      </c>
      <c r="P3246" t="s">
        <v>42</v>
      </c>
      <c r="Q3246" t="s">
        <v>43</v>
      </c>
      <c r="R3246" t="s">
        <v>677</v>
      </c>
      <c r="S3246" t="s">
        <v>201</v>
      </c>
      <c r="T3246" t="s">
        <v>38</v>
      </c>
      <c r="U3246" t="s">
        <v>38</v>
      </c>
      <c r="V3246" t="s">
        <v>38</v>
      </c>
      <c r="W3246" t="s">
        <v>38</v>
      </c>
      <c r="X3246" t="s">
        <v>38</v>
      </c>
      <c r="Y3246" t="s">
        <v>38</v>
      </c>
      <c r="Z3246" t="s">
        <v>42</v>
      </c>
      <c r="AA3246" t="s">
        <v>677</v>
      </c>
      <c r="AB3246" t="s">
        <v>38</v>
      </c>
      <c r="AC3246" t="s">
        <v>201</v>
      </c>
      <c r="AD3246" t="s">
        <v>48</v>
      </c>
      <c r="AG3246" t="str">
        <f>IF(AD3246="United States", IFERROR(INDEX(Sheet2!$C:$C, MATCH(AE3246&amp;AF3246, Sheet2!$E:$E, 0)) &amp; ", " &amp; INDEX(Sheet2!$D:$D, MATCH(AE3246&amp;AF3246, Sheet2!$E:$E, 0)), ""), "-")</f>
        <v/>
      </c>
    </row>
    <row r="3247" spans="1:33" x14ac:dyDescent="0.25">
      <c r="A3247" t="s">
        <v>4736</v>
      </c>
      <c r="B3247" t="s">
        <v>4806</v>
      </c>
      <c r="C3247" t="s">
        <v>4738</v>
      </c>
      <c r="D3247" t="s">
        <v>798</v>
      </c>
      <c r="E3247" t="s">
        <v>4670</v>
      </c>
      <c r="F3247">
        <v>1743</v>
      </c>
      <c r="G3247">
        <v>2601</v>
      </c>
      <c r="H3247" t="s">
        <v>38</v>
      </c>
      <c r="I3247" t="s">
        <v>87</v>
      </c>
      <c r="J3247" t="s">
        <v>38</v>
      </c>
      <c r="K3247" t="s">
        <v>38</v>
      </c>
      <c r="L3247" t="s">
        <v>38</v>
      </c>
      <c r="M3247" t="s">
        <v>38</v>
      </c>
      <c r="N3247" t="s">
        <v>38</v>
      </c>
      <c r="O3247" t="s">
        <v>41</v>
      </c>
      <c r="P3247" t="s">
        <v>42</v>
      </c>
      <c r="Q3247" t="s">
        <v>43</v>
      </c>
      <c r="R3247" t="s">
        <v>38</v>
      </c>
      <c r="S3247" t="s">
        <v>38</v>
      </c>
      <c r="T3247" t="s">
        <v>38</v>
      </c>
      <c r="U3247" t="s">
        <v>38</v>
      </c>
      <c r="V3247" t="s">
        <v>38</v>
      </c>
      <c r="W3247" t="s">
        <v>38</v>
      </c>
      <c r="X3247" t="s">
        <v>38</v>
      </c>
      <c r="Y3247" t="s">
        <v>38</v>
      </c>
      <c r="Z3247" t="s">
        <v>42</v>
      </c>
      <c r="AA3247" t="s">
        <v>38</v>
      </c>
      <c r="AB3247" t="s">
        <v>38</v>
      </c>
      <c r="AC3247" t="s">
        <v>593</v>
      </c>
      <c r="AD3247" t="s">
        <v>48</v>
      </c>
      <c r="AG3247" t="str">
        <f>IF(AD3247="United States", IFERROR(INDEX(Sheet2!$C:$C, MATCH(AE3247&amp;AF3247, Sheet2!$E:$E, 0)) &amp; ", " &amp; INDEX(Sheet2!$D:$D, MATCH(AE3247&amp;AF3247, Sheet2!$E:$E, 0)), ""), "-")</f>
        <v/>
      </c>
    </row>
    <row r="3248" spans="1:33" x14ac:dyDescent="0.25">
      <c r="A3248" t="s">
        <v>4736</v>
      </c>
      <c r="B3248" t="s">
        <v>4807</v>
      </c>
      <c r="C3248" t="s">
        <v>4738</v>
      </c>
      <c r="D3248" t="s">
        <v>621</v>
      </c>
      <c r="E3248" t="s">
        <v>4808</v>
      </c>
      <c r="F3248">
        <v>1760</v>
      </c>
      <c r="G3248">
        <v>2600</v>
      </c>
      <c r="H3248" t="s">
        <v>38</v>
      </c>
      <c r="I3248" t="s">
        <v>87</v>
      </c>
      <c r="J3248" t="s">
        <v>38</v>
      </c>
      <c r="K3248" t="s">
        <v>38</v>
      </c>
      <c r="L3248" t="s">
        <v>38</v>
      </c>
      <c r="M3248" t="s">
        <v>38</v>
      </c>
      <c r="N3248" t="s">
        <v>38</v>
      </c>
      <c r="O3248" t="s">
        <v>41</v>
      </c>
      <c r="P3248" t="s">
        <v>42</v>
      </c>
      <c r="Q3248" t="s">
        <v>43</v>
      </c>
      <c r="R3248" t="s">
        <v>169</v>
      </c>
      <c r="S3248" t="s">
        <v>45</v>
      </c>
      <c r="T3248" t="s">
        <v>38</v>
      </c>
      <c r="U3248" t="s">
        <v>38</v>
      </c>
      <c r="V3248" t="s">
        <v>38</v>
      </c>
      <c r="W3248" t="s">
        <v>38</v>
      </c>
      <c r="X3248" t="s">
        <v>38</v>
      </c>
      <c r="Y3248" t="s">
        <v>38</v>
      </c>
      <c r="Z3248" t="s">
        <v>42</v>
      </c>
      <c r="AA3248" t="s">
        <v>169</v>
      </c>
      <c r="AB3248" t="s">
        <v>38</v>
      </c>
      <c r="AC3248" t="s">
        <v>45</v>
      </c>
      <c r="AD3248" t="s">
        <v>48</v>
      </c>
      <c r="AG3248" t="str">
        <f>IF(AD3248="United States", IFERROR(INDEX(Sheet2!$C:$C, MATCH(AE3248&amp;AF3248, Sheet2!$E:$E, 0)) &amp; ", " &amp; INDEX(Sheet2!$D:$D, MATCH(AE3248&amp;AF3248, Sheet2!$E:$E, 0)), ""), "-")</f>
        <v/>
      </c>
    </row>
    <row r="3249" spans="1:33" x14ac:dyDescent="0.25">
      <c r="A3249" t="s">
        <v>4736</v>
      </c>
      <c r="B3249" t="s">
        <v>4809</v>
      </c>
      <c r="C3249" t="s">
        <v>4738</v>
      </c>
      <c r="D3249" t="s">
        <v>1122</v>
      </c>
      <c r="E3249" t="s">
        <v>4709</v>
      </c>
      <c r="F3249">
        <v>1758</v>
      </c>
      <c r="G3249">
        <v>2599</v>
      </c>
      <c r="H3249" t="s">
        <v>38</v>
      </c>
      <c r="I3249" t="s">
        <v>87</v>
      </c>
      <c r="J3249" t="s">
        <v>38</v>
      </c>
      <c r="K3249" t="s">
        <v>38</v>
      </c>
      <c r="L3249" t="s">
        <v>38</v>
      </c>
      <c r="M3249" t="s">
        <v>38</v>
      </c>
      <c r="N3249" t="s">
        <v>38</v>
      </c>
      <c r="O3249" t="s">
        <v>41</v>
      </c>
      <c r="P3249" t="s">
        <v>42</v>
      </c>
      <c r="Q3249" t="s">
        <v>43</v>
      </c>
      <c r="R3249" t="s">
        <v>155</v>
      </c>
      <c r="S3249" t="s">
        <v>153</v>
      </c>
      <c r="T3249" t="s">
        <v>38</v>
      </c>
      <c r="U3249" t="s">
        <v>38</v>
      </c>
      <c r="V3249" t="s">
        <v>38</v>
      </c>
      <c r="W3249" t="s">
        <v>38</v>
      </c>
      <c r="X3249" t="s">
        <v>38</v>
      </c>
      <c r="Y3249" t="s">
        <v>38</v>
      </c>
      <c r="Z3249" t="s">
        <v>42</v>
      </c>
      <c r="AA3249" t="s">
        <v>155</v>
      </c>
      <c r="AB3249" t="s">
        <v>38</v>
      </c>
      <c r="AC3249" t="s">
        <v>153</v>
      </c>
      <c r="AD3249" t="s">
        <v>48</v>
      </c>
      <c r="AG3249" t="str">
        <f>IF(AD3249="United States", IFERROR(INDEX(Sheet2!$C:$C, MATCH(AE3249&amp;AF3249, Sheet2!$E:$E, 0)) &amp; ", " &amp; INDEX(Sheet2!$D:$D, MATCH(AE3249&amp;AF3249, Sheet2!$E:$E, 0)), ""), "-")</f>
        <v/>
      </c>
    </row>
    <row r="3250" spans="1:33" x14ac:dyDescent="0.25">
      <c r="A3250" t="s">
        <v>4736</v>
      </c>
      <c r="B3250" t="s">
        <v>4810</v>
      </c>
      <c r="C3250" t="s">
        <v>4738</v>
      </c>
      <c r="D3250" t="s">
        <v>177</v>
      </c>
      <c r="E3250" t="s">
        <v>4708</v>
      </c>
      <c r="F3250">
        <v>1728</v>
      </c>
      <c r="G3250">
        <v>2598</v>
      </c>
      <c r="H3250" t="s">
        <v>38</v>
      </c>
      <c r="I3250" t="s">
        <v>87</v>
      </c>
      <c r="J3250" t="s">
        <v>38</v>
      </c>
      <c r="K3250" t="s">
        <v>38</v>
      </c>
      <c r="L3250" t="s">
        <v>38</v>
      </c>
      <c r="M3250" t="s">
        <v>38</v>
      </c>
      <c r="N3250" t="s">
        <v>38</v>
      </c>
      <c r="O3250" t="s">
        <v>41</v>
      </c>
      <c r="P3250" t="s">
        <v>42</v>
      </c>
      <c r="Q3250" t="s">
        <v>43</v>
      </c>
      <c r="R3250" t="s">
        <v>38</v>
      </c>
      <c r="S3250" t="s">
        <v>38</v>
      </c>
      <c r="T3250" t="s">
        <v>38</v>
      </c>
      <c r="U3250" t="s">
        <v>38</v>
      </c>
      <c r="V3250" t="s">
        <v>38</v>
      </c>
      <c r="W3250" t="s">
        <v>38</v>
      </c>
      <c r="X3250" t="s">
        <v>38</v>
      </c>
      <c r="Y3250" t="s">
        <v>38</v>
      </c>
      <c r="Z3250" t="s">
        <v>42</v>
      </c>
      <c r="AA3250" t="s">
        <v>38</v>
      </c>
      <c r="AB3250" t="s">
        <v>38</v>
      </c>
      <c r="AC3250" t="s">
        <v>38</v>
      </c>
      <c r="AD3250" t="s">
        <v>48</v>
      </c>
      <c r="AG3250" t="str">
        <f>IF(AD3250="United States", IFERROR(INDEX(Sheet2!$C:$C, MATCH(AE3250&amp;AF3250, Sheet2!$E:$E, 0)) &amp; ", " &amp; INDEX(Sheet2!$D:$D, MATCH(AE3250&amp;AF3250, Sheet2!$E:$E, 0)), ""), "-")</f>
        <v/>
      </c>
    </row>
    <row r="3251" spans="1:33" x14ac:dyDescent="0.25">
      <c r="A3251" t="s">
        <v>4736</v>
      </c>
      <c r="B3251" t="s">
        <v>4811</v>
      </c>
      <c r="C3251" t="s">
        <v>4738</v>
      </c>
      <c r="D3251" t="s">
        <v>195</v>
      </c>
      <c r="E3251" t="s">
        <v>4812</v>
      </c>
      <c r="F3251">
        <v>1758</v>
      </c>
      <c r="G3251">
        <v>2597</v>
      </c>
      <c r="H3251" t="s">
        <v>38</v>
      </c>
      <c r="I3251" t="s">
        <v>87</v>
      </c>
      <c r="J3251" t="s">
        <v>38</v>
      </c>
      <c r="K3251" t="s">
        <v>38</v>
      </c>
      <c r="L3251" t="s">
        <v>38</v>
      </c>
      <c r="M3251" t="s">
        <v>38</v>
      </c>
      <c r="N3251" t="s">
        <v>38</v>
      </c>
      <c r="O3251" t="s">
        <v>41</v>
      </c>
      <c r="P3251" t="s">
        <v>42</v>
      </c>
      <c r="Q3251" t="s">
        <v>43</v>
      </c>
      <c r="R3251" t="s">
        <v>155</v>
      </c>
      <c r="S3251" t="s">
        <v>153</v>
      </c>
      <c r="T3251" t="s">
        <v>38</v>
      </c>
      <c r="U3251" t="s">
        <v>38</v>
      </c>
      <c r="V3251" t="s">
        <v>38</v>
      </c>
      <c r="W3251" t="s">
        <v>38</v>
      </c>
      <c r="X3251" t="s">
        <v>38</v>
      </c>
      <c r="Y3251" t="s">
        <v>38</v>
      </c>
      <c r="Z3251" t="s">
        <v>42</v>
      </c>
      <c r="AA3251" t="s">
        <v>155</v>
      </c>
      <c r="AB3251" t="s">
        <v>38</v>
      </c>
      <c r="AC3251" t="s">
        <v>153</v>
      </c>
      <c r="AD3251" t="s">
        <v>48</v>
      </c>
      <c r="AG3251" t="str">
        <f>IF(AD3251="United States", IFERROR(INDEX(Sheet2!$C:$C, MATCH(AE3251&amp;AF3251, Sheet2!$E:$E, 0)) &amp; ", " &amp; INDEX(Sheet2!$D:$D, MATCH(AE3251&amp;AF3251, Sheet2!$E:$E, 0)), ""), "-")</f>
        <v/>
      </c>
    </row>
    <row r="3252" spans="1:33" x14ac:dyDescent="0.25">
      <c r="A3252" t="s">
        <v>4736</v>
      </c>
      <c r="B3252" t="s">
        <v>4813</v>
      </c>
      <c r="C3252" t="s">
        <v>4738</v>
      </c>
      <c r="D3252" t="s">
        <v>552</v>
      </c>
      <c r="E3252" t="s">
        <v>191</v>
      </c>
      <c r="F3252">
        <v>1748</v>
      </c>
      <c r="G3252">
        <v>2596</v>
      </c>
      <c r="H3252" t="s">
        <v>38</v>
      </c>
      <c r="I3252" t="s">
        <v>87</v>
      </c>
      <c r="J3252" t="s">
        <v>38</v>
      </c>
      <c r="K3252" t="s">
        <v>38</v>
      </c>
      <c r="L3252" t="s">
        <v>38</v>
      </c>
      <c r="M3252" t="s">
        <v>38</v>
      </c>
      <c r="N3252" t="s">
        <v>38</v>
      </c>
      <c r="O3252" t="s">
        <v>41</v>
      </c>
      <c r="P3252" t="s">
        <v>42</v>
      </c>
      <c r="Q3252" t="s">
        <v>43</v>
      </c>
      <c r="R3252" t="s">
        <v>38</v>
      </c>
      <c r="S3252" t="s">
        <v>38</v>
      </c>
      <c r="T3252" t="s">
        <v>38</v>
      </c>
      <c r="U3252" t="s">
        <v>38</v>
      </c>
      <c r="V3252" t="s">
        <v>38</v>
      </c>
      <c r="W3252" t="s">
        <v>38</v>
      </c>
      <c r="X3252" t="s">
        <v>38</v>
      </c>
      <c r="Y3252" t="s">
        <v>38</v>
      </c>
      <c r="Z3252" t="s">
        <v>42</v>
      </c>
      <c r="AA3252" t="s">
        <v>38</v>
      </c>
      <c r="AB3252" t="s">
        <v>38</v>
      </c>
      <c r="AC3252" t="s">
        <v>1813</v>
      </c>
      <c r="AD3252" t="s">
        <v>48</v>
      </c>
      <c r="AG3252" t="str">
        <f>IF(AD3252="United States", IFERROR(INDEX(Sheet2!$C:$C, MATCH(AE3252&amp;AF3252, Sheet2!$E:$E, 0)) &amp; ", " &amp; INDEX(Sheet2!$D:$D, MATCH(AE3252&amp;AF3252, Sheet2!$E:$E, 0)), ""), "-")</f>
        <v/>
      </c>
    </row>
    <row r="3253" spans="1:33" x14ac:dyDescent="0.25">
      <c r="A3253" t="s">
        <v>4736</v>
      </c>
      <c r="B3253" t="s">
        <v>4814</v>
      </c>
      <c r="C3253" t="s">
        <v>4738</v>
      </c>
      <c r="D3253" t="s">
        <v>803</v>
      </c>
      <c r="E3253" t="s">
        <v>38</v>
      </c>
      <c r="F3253">
        <v>1776</v>
      </c>
      <c r="G3253">
        <v>2595</v>
      </c>
      <c r="H3253" t="s">
        <v>38</v>
      </c>
      <c r="I3253" t="s">
        <v>87</v>
      </c>
      <c r="J3253" t="s">
        <v>38</v>
      </c>
      <c r="K3253" t="s">
        <v>38</v>
      </c>
      <c r="L3253" t="s">
        <v>38</v>
      </c>
      <c r="M3253" t="s">
        <v>38</v>
      </c>
      <c r="N3253" t="s">
        <v>38</v>
      </c>
      <c r="O3253" t="s">
        <v>74</v>
      </c>
      <c r="P3253" t="s">
        <v>42</v>
      </c>
      <c r="Q3253" t="s">
        <v>43</v>
      </c>
      <c r="R3253" t="s">
        <v>38</v>
      </c>
      <c r="S3253" t="s">
        <v>38</v>
      </c>
      <c r="T3253" t="s">
        <v>38</v>
      </c>
      <c r="U3253" t="s">
        <v>38</v>
      </c>
      <c r="V3253" t="s">
        <v>38</v>
      </c>
      <c r="W3253" t="s">
        <v>38</v>
      </c>
      <c r="X3253" t="s">
        <v>38</v>
      </c>
      <c r="Y3253" t="s">
        <v>38</v>
      </c>
      <c r="Z3253" t="s">
        <v>42</v>
      </c>
      <c r="AA3253" t="s">
        <v>38</v>
      </c>
      <c r="AB3253" t="s">
        <v>38</v>
      </c>
      <c r="AC3253" t="s">
        <v>38</v>
      </c>
      <c r="AD3253" t="s">
        <v>48</v>
      </c>
      <c r="AG3253" t="str">
        <f>IF(AD3253="United States", IFERROR(INDEX(Sheet2!$C:$C, MATCH(AE3253&amp;AF3253, Sheet2!$E:$E, 0)) &amp; ", " &amp; INDEX(Sheet2!$D:$D, MATCH(AE3253&amp;AF3253, Sheet2!$E:$E, 0)), ""), "-")</f>
        <v/>
      </c>
    </row>
    <row r="3254" spans="1:33" x14ac:dyDescent="0.25">
      <c r="A3254" t="s">
        <v>4736</v>
      </c>
      <c r="B3254" t="s">
        <v>4815</v>
      </c>
      <c r="C3254" t="s">
        <v>4738</v>
      </c>
      <c r="D3254" t="s">
        <v>285</v>
      </c>
      <c r="E3254" t="s">
        <v>38</v>
      </c>
      <c r="F3254">
        <v>1769</v>
      </c>
      <c r="G3254">
        <v>2594</v>
      </c>
      <c r="H3254" t="s">
        <v>38</v>
      </c>
      <c r="I3254" t="s">
        <v>87</v>
      </c>
      <c r="J3254" t="s">
        <v>38</v>
      </c>
      <c r="K3254" t="s">
        <v>38</v>
      </c>
      <c r="L3254" t="s">
        <v>38</v>
      </c>
      <c r="M3254" t="s">
        <v>38</v>
      </c>
      <c r="N3254" t="s">
        <v>38</v>
      </c>
      <c r="O3254" t="s">
        <v>74</v>
      </c>
      <c r="P3254" t="s">
        <v>42</v>
      </c>
      <c r="Q3254" t="s">
        <v>43</v>
      </c>
      <c r="R3254" t="s">
        <v>66</v>
      </c>
      <c r="S3254" t="s">
        <v>201</v>
      </c>
      <c r="T3254" t="s">
        <v>38</v>
      </c>
      <c r="U3254" t="s">
        <v>38</v>
      </c>
      <c r="V3254" t="s">
        <v>38</v>
      </c>
      <c r="W3254" t="s">
        <v>38</v>
      </c>
      <c r="X3254" t="s">
        <v>38</v>
      </c>
      <c r="Y3254" t="s">
        <v>38</v>
      </c>
      <c r="Z3254" t="s">
        <v>42</v>
      </c>
      <c r="AA3254" t="s">
        <v>66</v>
      </c>
      <c r="AB3254" t="s">
        <v>38</v>
      </c>
      <c r="AC3254" t="s">
        <v>201</v>
      </c>
      <c r="AD3254" t="s">
        <v>48</v>
      </c>
      <c r="AG3254" t="str">
        <f>IF(AD3254="United States", IFERROR(INDEX(Sheet2!$C:$C, MATCH(AE3254&amp;AF3254, Sheet2!$E:$E, 0)) &amp; ", " &amp; INDEX(Sheet2!$D:$D, MATCH(AE3254&amp;AF3254, Sheet2!$E:$E, 0)), ""), "-")</f>
        <v/>
      </c>
    </row>
    <row r="3255" spans="1:33" x14ac:dyDescent="0.25">
      <c r="A3255" t="s">
        <v>4736</v>
      </c>
      <c r="B3255" t="s">
        <v>4816</v>
      </c>
      <c r="C3255" t="s">
        <v>4738</v>
      </c>
      <c r="D3255" t="s">
        <v>4223</v>
      </c>
      <c r="E3255" t="s">
        <v>4707</v>
      </c>
      <c r="F3255">
        <v>1748</v>
      </c>
      <c r="G3255">
        <v>2593</v>
      </c>
      <c r="H3255" t="s">
        <v>38</v>
      </c>
      <c r="I3255" t="s">
        <v>87</v>
      </c>
      <c r="J3255" t="s">
        <v>38</v>
      </c>
      <c r="K3255" t="s">
        <v>38</v>
      </c>
      <c r="L3255" t="s">
        <v>38</v>
      </c>
      <c r="M3255" t="s">
        <v>38</v>
      </c>
      <c r="N3255" t="s">
        <v>38</v>
      </c>
      <c r="O3255" t="s">
        <v>41</v>
      </c>
      <c r="P3255" t="s">
        <v>42</v>
      </c>
      <c r="Q3255" t="s">
        <v>43</v>
      </c>
      <c r="R3255" t="s">
        <v>241</v>
      </c>
      <c r="S3255" t="s">
        <v>45</v>
      </c>
      <c r="T3255" t="s">
        <v>38</v>
      </c>
      <c r="U3255" t="s">
        <v>38</v>
      </c>
      <c r="V3255" t="s">
        <v>38</v>
      </c>
      <c r="W3255" t="s">
        <v>38</v>
      </c>
      <c r="X3255" t="s">
        <v>38</v>
      </c>
      <c r="Y3255" t="s">
        <v>38</v>
      </c>
      <c r="Z3255" t="s">
        <v>42</v>
      </c>
      <c r="AA3255" t="s">
        <v>241</v>
      </c>
      <c r="AB3255" t="s">
        <v>38</v>
      </c>
      <c r="AC3255" t="s">
        <v>45</v>
      </c>
      <c r="AD3255" t="s">
        <v>48</v>
      </c>
      <c r="AG3255" t="str">
        <f>IF(AD3255="United States", IFERROR(INDEX(Sheet2!$C:$C, MATCH(AE3255&amp;AF3255, Sheet2!$E:$E, 0)) &amp; ", " &amp; INDEX(Sheet2!$D:$D, MATCH(AE3255&amp;AF3255, Sheet2!$E:$E, 0)), ""), "-")</f>
        <v/>
      </c>
    </row>
    <row r="3256" spans="1:33" x14ac:dyDescent="0.25">
      <c r="A3256" t="s">
        <v>4736</v>
      </c>
      <c r="B3256" t="s">
        <v>4817</v>
      </c>
      <c r="C3256" t="s">
        <v>4738</v>
      </c>
      <c r="D3256" t="s">
        <v>108</v>
      </c>
      <c r="E3256" t="s">
        <v>4706</v>
      </c>
      <c r="F3256">
        <v>1761</v>
      </c>
      <c r="G3256">
        <v>2592</v>
      </c>
      <c r="H3256" t="s">
        <v>38</v>
      </c>
      <c r="I3256" t="s">
        <v>87</v>
      </c>
      <c r="J3256" t="s">
        <v>38</v>
      </c>
      <c r="K3256" t="s">
        <v>38</v>
      </c>
      <c r="L3256" t="s">
        <v>38</v>
      </c>
      <c r="M3256" t="s">
        <v>38</v>
      </c>
      <c r="N3256" t="s">
        <v>38</v>
      </c>
      <c r="O3256" t="s">
        <v>41</v>
      </c>
      <c r="P3256" t="s">
        <v>42</v>
      </c>
      <c r="Q3256" t="s">
        <v>43</v>
      </c>
      <c r="R3256" t="s">
        <v>4818</v>
      </c>
      <c r="S3256" t="s">
        <v>45</v>
      </c>
      <c r="T3256" t="s">
        <v>38</v>
      </c>
      <c r="U3256" t="s">
        <v>38</v>
      </c>
      <c r="V3256" t="s">
        <v>38</v>
      </c>
      <c r="W3256" t="s">
        <v>38</v>
      </c>
      <c r="X3256" t="s">
        <v>38</v>
      </c>
      <c r="Y3256" t="s">
        <v>38</v>
      </c>
      <c r="Z3256" t="s">
        <v>42</v>
      </c>
      <c r="AA3256" t="s">
        <v>38</v>
      </c>
      <c r="AB3256" t="s">
        <v>38</v>
      </c>
      <c r="AC3256" t="s">
        <v>45</v>
      </c>
      <c r="AD3256" t="s">
        <v>48</v>
      </c>
      <c r="AG3256" t="str">
        <f>IF(AD3256="United States", IFERROR(INDEX(Sheet2!$C:$C, MATCH(AE3256&amp;AF3256, Sheet2!$E:$E, 0)) &amp; ", " &amp; INDEX(Sheet2!$D:$D, MATCH(AE3256&amp;AF3256, Sheet2!$E:$E, 0)), ""), "-")</f>
        <v/>
      </c>
    </row>
    <row r="3257" spans="1:33" x14ac:dyDescent="0.25">
      <c r="A3257" t="s">
        <v>4736</v>
      </c>
      <c r="B3257" t="s">
        <v>4819</v>
      </c>
      <c r="C3257" t="s">
        <v>4738</v>
      </c>
      <c r="D3257" t="s">
        <v>463</v>
      </c>
      <c r="E3257" t="s">
        <v>1861</v>
      </c>
      <c r="F3257">
        <v>1730</v>
      </c>
      <c r="G3257">
        <v>2591</v>
      </c>
      <c r="H3257" t="s">
        <v>38</v>
      </c>
      <c r="I3257" t="s">
        <v>87</v>
      </c>
      <c r="J3257" t="s">
        <v>38</v>
      </c>
      <c r="K3257" t="s">
        <v>38</v>
      </c>
      <c r="L3257" t="s">
        <v>38</v>
      </c>
      <c r="M3257" t="s">
        <v>38</v>
      </c>
      <c r="N3257" t="s">
        <v>38</v>
      </c>
      <c r="O3257" t="s">
        <v>41</v>
      </c>
      <c r="P3257" t="s">
        <v>42</v>
      </c>
      <c r="Q3257" t="s">
        <v>43</v>
      </c>
      <c r="R3257" t="s">
        <v>4820</v>
      </c>
      <c r="S3257" t="s">
        <v>201</v>
      </c>
      <c r="T3257" t="s">
        <v>38</v>
      </c>
      <c r="U3257" t="s">
        <v>38</v>
      </c>
      <c r="V3257" t="s">
        <v>38</v>
      </c>
      <c r="W3257" t="s">
        <v>38</v>
      </c>
      <c r="X3257" t="s">
        <v>38</v>
      </c>
      <c r="Y3257" t="s">
        <v>38</v>
      </c>
      <c r="Z3257" t="s">
        <v>42</v>
      </c>
      <c r="AA3257" t="s">
        <v>38</v>
      </c>
      <c r="AB3257" t="s">
        <v>38</v>
      </c>
      <c r="AC3257" t="s">
        <v>201</v>
      </c>
      <c r="AD3257" t="s">
        <v>48</v>
      </c>
      <c r="AG3257" t="str">
        <f>IF(AD3257="United States", IFERROR(INDEX(Sheet2!$C:$C, MATCH(AE3257&amp;AF3257, Sheet2!$E:$E, 0)) &amp; ", " &amp; INDEX(Sheet2!$D:$D, MATCH(AE3257&amp;AF3257, Sheet2!$E:$E, 0)), ""), "-")</f>
        <v/>
      </c>
    </row>
    <row r="3258" spans="1:33" x14ac:dyDescent="0.25">
      <c r="A3258" t="s">
        <v>4736</v>
      </c>
      <c r="B3258" t="s">
        <v>4821</v>
      </c>
      <c r="C3258" t="s">
        <v>4738</v>
      </c>
      <c r="D3258" t="s">
        <v>1174</v>
      </c>
      <c r="E3258" t="s">
        <v>4713</v>
      </c>
      <c r="F3258">
        <v>1753</v>
      </c>
      <c r="G3258">
        <v>2590</v>
      </c>
      <c r="H3258" t="s">
        <v>38</v>
      </c>
      <c r="I3258" t="s">
        <v>87</v>
      </c>
      <c r="J3258" t="s">
        <v>38</v>
      </c>
      <c r="K3258" t="s">
        <v>38</v>
      </c>
      <c r="L3258" t="s">
        <v>38</v>
      </c>
      <c r="M3258" t="s">
        <v>38</v>
      </c>
      <c r="N3258" t="s">
        <v>38</v>
      </c>
      <c r="O3258" t="s">
        <v>41</v>
      </c>
      <c r="P3258" t="s">
        <v>42</v>
      </c>
      <c r="Q3258" t="s">
        <v>43</v>
      </c>
      <c r="R3258" t="s">
        <v>1065</v>
      </c>
      <c r="S3258" t="s">
        <v>1063</v>
      </c>
      <c r="T3258" t="s">
        <v>38</v>
      </c>
      <c r="U3258" t="s">
        <v>38</v>
      </c>
      <c r="V3258" t="s">
        <v>38</v>
      </c>
      <c r="W3258" t="s">
        <v>38</v>
      </c>
      <c r="X3258" t="s">
        <v>38</v>
      </c>
      <c r="Y3258" t="s">
        <v>38</v>
      </c>
      <c r="Z3258" t="s">
        <v>42</v>
      </c>
      <c r="AA3258" t="s">
        <v>1065</v>
      </c>
      <c r="AB3258" t="s">
        <v>38</v>
      </c>
      <c r="AC3258" t="s">
        <v>1063</v>
      </c>
      <c r="AD3258" t="s">
        <v>48</v>
      </c>
      <c r="AG3258" t="str">
        <f>IF(AD3258="United States", IFERROR(INDEX(Sheet2!$C:$C, MATCH(AE3258&amp;AF3258, Sheet2!$E:$E, 0)) &amp; ", " &amp; INDEX(Sheet2!$D:$D, MATCH(AE3258&amp;AF3258, Sheet2!$E:$E, 0)), ""), "-")</f>
        <v/>
      </c>
    </row>
    <row r="3259" spans="1:33" x14ac:dyDescent="0.25">
      <c r="A3259" t="s">
        <v>4736</v>
      </c>
      <c r="B3259" t="s">
        <v>4822</v>
      </c>
      <c r="C3259" t="s">
        <v>4738</v>
      </c>
      <c r="D3259" t="s">
        <v>195</v>
      </c>
      <c r="E3259" t="s">
        <v>4216</v>
      </c>
      <c r="F3259">
        <v>1753</v>
      </c>
      <c r="G3259">
        <v>2589</v>
      </c>
      <c r="H3259" t="s">
        <v>38</v>
      </c>
      <c r="I3259" t="s">
        <v>87</v>
      </c>
      <c r="J3259" t="s">
        <v>38</v>
      </c>
      <c r="K3259" t="s">
        <v>38</v>
      </c>
      <c r="L3259" t="s">
        <v>38</v>
      </c>
      <c r="M3259" t="s">
        <v>38</v>
      </c>
      <c r="N3259" t="s">
        <v>38</v>
      </c>
      <c r="O3259" t="s">
        <v>41</v>
      </c>
      <c r="P3259" t="s">
        <v>42</v>
      </c>
      <c r="Q3259" t="s">
        <v>43</v>
      </c>
      <c r="R3259" t="s">
        <v>4823</v>
      </c>
      <c r="S3259" t="s">
        <v>1063</v>
      </c>
      <c r="T3259" t="s">
        <v>38</v>
      </c>
      <c r="U3259" t="s">
        <v>38</v>
      </c>
      <c r="V3259" t="s">
        <v>38</v>
      </c>
      <c r="W3259" t="s">
        <v>38</v>
      </c>
      <c r="X3259" t="s">
        <v>38</v>
      </c>
      <c r="Y3259" t="s">
        <v>38</v>
      </c>
      <c r="Z3259" t="s">
        <v>42</v>
      </c>
      <c r="AA3259" t="s">
        <v>4823</v>
      </c>
      <c r="AB3259" t="s">
        <v>38</v>
      </c>
      <c r="AC3259" t="s">
        <v>1063</v>
      </c>
      <c r="AD3259" t="s">
        <v>48</v>
      </c>
      <c r="AG3259" t="str">
        <f>IF(AD3259="United States", IFERROR(INDEX(Sheet2!$C:$C, MATCH(AE3259&amp;AF3259, Sheet2!$E:$E, 0)) &amp; ", " &amp; INDEX(Sheet2!$D:$D, MATCH(AE3259&amp;AF3259, Sheet2!$E:$E, 0)), ""), "-")</f>
        <v/>
      </c>
    </row>
    <row r="3260" spans="1:33" x14ac:dyDescent="0.25">
      <c r="A3260" t="s">
        <v>4736</v>
      </c>
      <c r="B3260" t="s">
        <v>4824</v>
      </c>
      <c r="C3260" t="s">
        <v>4738</v>
      </c>
      <c r="D3260" t="s">
        <v>626</v>
      </c>
      <c r="E3260" t="s">
        <v>4825</v>
      </c>
      <c r="F3260">
        <v>1762</v>
      </c>
      <c r="G3260">
        <v>2588</v>
      </c>
      <c r="H3260" t="s">
        <v>38</v>
      </c>
      <c r="I3260" t="s">
        <v>87</v>
      </c>
      <c r="J3260" t="s">
        <v>38</v>
      </c>
      <c r="K3260" t="s">
        <v>38</v>
      </c>
      <c r="L3260" t="s">
        <v>38</v>
      </c>
      <c r="M3260" t="s">
        <v>38</v>
      </c>
      <c r="N3260" t="s">
        <v>38</v>
      </c>
      <c r="O3260" t="s">
        <v>41</v>
      </c>
      <c r="P3260" t="s">
        <v>42</v>
      </c>
      <c r="Q3260" t="s">
        <v>43</v>
      </c>
      <c r="R3260" t="s">
        <v>38</v>
      </c>
      <c r="S3260" t="s">
        <v>38</v>
      </c>
      <c r="T3260" t="s">
        <v>38</v>
      </c>
      <c r="U3260" t="s">
        <v>38</v>
      </c>
      <c r="V3260" t="s">
        <v>38</v>
      </c>
      <c r="W3260" t="s">
        <v>38</v>
      </c>
      <c r="X3260" t="s">
        <v>38</v>
      </c>
      <c r="Y3260" t="s">
        <v>38</v>
      </c>
      <c r="Z3260" t="s">
        <v>42</v>
      </c>
      <c r="AA3260" t="s">
        <v>38</v>
      </c>
      <c r="AB3260" t="s">
        <v>38</v>
      </c>
      <c r="AC3260" t="s">
        <v>673</v>
      </c>
      <c r="AD3260" t="s">
        <v>48</v>
      </c>
      <c r="AG3260" t="str">
        <f>IF(AD3260="United States", IFERROR(INDEX(Sheet2!$C:$C, MATCH(AE3260&amp;AF3260, Sheet2!$E:$E, 0)) &amp; ", " &amp; INDEX(Sheet2!$D:$D, MATCH(AE3260&amp;AF3260, Sheet2!$E:$E, 0)), ""), "-")</f>
        <v/>
      </c>
    </row>
    <row r="3261" spans="1:33" x14ac:dyDescent="0.25">
      <c r="A3261" t="s">
        <v>4736</v>
      </c>
      <c r="B3261" t="s">
        <v>4826</v>
      </c>
      <c r="C3261" t="s">
        <v>4738</v>
      </c>
      <c r="D3261" t="s">
        <v>1122</v>
      </c>
      <c r="E3261" t="s">
        <v>38</v>
      </c>
      <c r="F3261">
        <v>1760</v>
      </c>
      <c r="G3261">
        <v>2586</v>
      </c>
      <c r="H3261" t="s">
        <v>38</v>
      </c>
      <c r="I3261" t="s">
        <v>87</v>
      </c>
      <c r="J3261" t="s">
        <v>38</v>
      </c>
      <c r="K3261" t="s">
        <v>38</v>
      </c>
      <c r="L3261" t="s">
        <v>38</v>
      </c>
      <c r="M3261" t="s">
        <v>38</v>
      </c>
      <c r="N3261" t="s">
        <v>38</v>
      </c>
      <c r="O3261" t="s">
        <v>41</v>
      </c>
      <c r="P3261" t="s">
        <v>42</v>
      </c>
      <c r="Q3261" t="s">
        <v>43</v>
      </c>
      <c r="R3261" t="s">
        <v>155</v>
      </c>
      <c r="S3261" t="s">
        <v>153</v>
      </c>
      <c r="T3261" t="s">
        <v>38</v>
      </c>
      <c r="U3261" t="s">
        <v>38</v>
      </c>
      <c r="V3261" t="s">
        <v>38</v>
      </c>
      <c r="W3261" t="s">
        <v>38</v>
      </c>
      <c r="X3261" t="s">
        <v>38</v>
      </c>
      <c r="Y3261" t="s">
        <v>38</v>
      </c>
      <c r="Z3261" t="s">
        <v>42</v>
      </c>
      <c r="AA3261" t="s">
        <v>155</v>
      </c>
      <c r="AB3261" t="s">
        <v>38</v>
      </c>
      <c r="AC3261" t="s">
        <v>153</v>
      </c>
      <c r="AD3261" t="s">
        <v>48</v>
      </c>
      <c r="AG3261" t="str">
        <f>IF(AD3261="United States", IFERROR(INDEX(Sheet2!$C:$C, MATCH(AE3261&amp;AF3261, Sheet2!$E:$E, 0)) &amp; ", " &amp; INDEX(Sheet2!$D:$D, MATCH(AE3261&amp;AF3261, Sheet2!$E:$E, 0)), ""), "-")</f>
        <v/>
      </c>
    </row>
    <row r="3262" spans="1:33" x14ac:dyDescent="0.25">
      <c r="A3262" t="s">
        <v>4736</v>
      </c>
      <c r="B3262" t="s">
        <v>4827</v>
      </c>
      <c r="C3262" t="s">
        <v>4738</v>
      </c>
      <c r="D3262" t="s">
        <v>1116</v>
      </c>
      <c r="E3262" t="s">
        <v>4667</v>
      </c>
      <c r="F3262">
        <v>1763</v>
      </c>
      <c r="G3262">
        <v>2603</v>
      </c>
      <c r="H3262" t="s">
        <v>38</v>
      </c>
      <c r="I3262" t="s">
        <v>87</v>
      </c>
      <c r="J3262" t="s">
        <v>38</v>
      </c>
      <c r="K3262" t="s">
        <v>38</v>
      </c>
      <c r="L3262" t="s">
        <v>38</v>
      </c>
      <c r="M3262" t="s">
        <v>38</v>
      </c>
      <c r="N3262" t="s">
        <v>38</v>
      </c>
      <c r="O3262" t="s">
        <v>41</v>
      </c>
      <c r="P3262" t="s">
        <v>42</v>
      </c>
      <c r="Q3262" t="s">
        <v>43</v>
      </c>
      <c r="R3262" t="s">
        <v>4828</v>
      </c>
      <c r="S3262" t="s">
        <v>201</v>
      </c>
      <c r="T3262" t="s">
        <v>38</v>
      </c>
      <c r="U3262" t="s">
        <v>38</v>
      </c>
      <c r="V3262" t="s">
        <v>38</v>
      </c>
      <c r="W3262" t="s">
        <v>38</v>
      </c>
      <c r="X3262" t="s">
        <v>38</v>
      </c>
      <c r="Y3262" t="s">
        <v>38</v>
      </c>
      <c r="Z3262" t="s">
        <v>42</v>
      </c>
      <c r="AA3262" t="s">
        <v>4828</v>
      </c>
      <c r="AB3262" t="s">
        <v>38</v>
      </c>
      <c r="AC3262" t="s">
        <v>201</v>
      </c>
      <c r="AD3262" t="s">
        <v>48</v>
      </c>
      <c r="AG3262" t="str">
        <f>IF(AD3262="United States", IFERROR(INDEX(Sheet2!$C:$C, MATCH(AE3262&amp;AF3262, Sheet2!$E:$E, 0)) &amp; ", " &amp; INDEX(Sheet2!$D:$D, MATCH(AE3262&amp;AF3262, Sheet2!$E:$E, 0)), ""), "-")</f>
        <v/>
      </c>
    </row>
    <row r="3263" spans="1:33" x14ac:dyDescent="0.25">
      <c r="A3263" t="s">
        <v>4736</v>
      </c>
      <c r="B3263" t="s">
        <v>4829</v>
      </c>
      <c r="C3263" t="s">
        <v>4738</v>
      </c>
      <c r="D3263" t="s">
        <v>3795</v>
      </c>
      <c r="E3263" t="s">
        <v>4751</v>
      </c>
      <c r="F3263">
        <v>1777</v>
      </c>
      <c r="G3263">
        <v>2639</v>
      </c>
      <c r="H3263" t="s">
        <v>38</v>
      </c>
      <c r="I3263" t="s">
        <v>87</v>
      </c>
      <c r="J3263" t="s">
        <v>38</v>
      </c>
      <c r="K3263" t="s">
        <v>38</v>
      </c>
      <c r="L3263" t="s">
        <v>38</v>
      </c>
      <c r="M3263" t="s">
        <v>1274</v>
      </c>
      <c r="N3263" t="s">
        <v>4752</v>
      </c>
      <c r="O3263" t="s">
        <v>54</v>
      </c>
      <c r="P3263" t="s">
        <v>42</v>
      </c>
      <c r="Q3263" t="s">
        <v>43</v>
      </c>
      <c r="R3263" t="s">
        <v>38</v>
      </c>
      <c r="S3263" t="s">
        <v>38</v>
      </c>
      <c r="T3263" t="s">
        <v>38</v>
      </c>
      <c r="U3263" t="s">
        <v>38</v>
      </c>
      <c r="V3263" t="s">
        <v>38</v>
      </c>
      <c r="W3263" t="s">
        <v>38</v>
      </c>
      <c r="X3263" t="s">
        <v>38</v>
      </c>
      <c r="Y3263" t="s">
        <v>38</v>
      </c>
      <c r="Z3263" t="s">
        <v>42</v>
      </c>
      <c r="AA3263" t="s">
        <v>38</v>
      </c>
      <c r="AB3263" t="s">
        <v>38</v>
      </c>
      <c r="AC3263" t="s">
        <v>3795</v>
      </c>
      <c r="AD3263" t="s">
        <v>48</v>
      </c>
      <c r="AG3263" t="str">
        <f>IF(AD3263="United States", IFERROR(INDEX(Sheet2!$C:$C, MATCH(AE3263&amp;AF3263, Sheet2!$E:$E, 0)) &amp; ", " &amp; INDEX(Sheet2!$D:$D, MATCH(AE3263&amp;AF3263, Sheet2!$E:$E, 0)), ""), "-")</f>
        <v/>
      </c>
    </row>
    <row r="3264" spans="1:33" x14ac:dyDescent="0.25">
      <c r="A3264" t="s">
        <v>4736</v>
      </c>
      <c r="B3264" t="s">
        <v>4830</v>
      </c>
      <c r="C3264" t="s">
        <v>4738</v>
      </c>
      <c r="D3264" t="s">
        <v>2717</v>
      </c>
      <c r="E3264" t="s">
        <v>4676</v>
      </c>
      <c r="F3264">
        <v>1756</v>
      </c>
      <c r="G3264">
        <v>2608</v>
      </c>
      <c r="H3264" t="s">
        <v>38</v>
      </c>
      <c r="I3264" t="s">
        <v>87</v>
      </c>
      <c r="J3264" t="s">
        <v>38</v>
      </c>
      <c r="K3264" t="s">
        <v>38</v>
      </c>
      <c r="L3264" t="s">
        <v>38</v>
      </c>
      <c r="M3264" t="s">
        <v>38</v>
      </c>
      <c r="N3264" t="s">
        <v>38</v>
      </c>
      <c r="O3264" t="s">
        <v>57</v>
      </c>
      <c r="P3264" t="s">
        <v>42</v>
      </c>
      <c r="Q3264" t="s">
        <v>43</v>
      </c>
      <c r="R3264" t="s">
        <v>38</v>
      </c>
      <c r="S3264" t="s">
        <v>38</v>
      </c>
      <c r="T3264" t="s">
        <v>38</v>
      </c>
      <c r="U3264" t="s">
        <v>38</v>
      </c>
      <c r="V3264" t="s">
        <v>38</v>
      </c>
      <c r="W3264" t="s">
        <v>38</v>
      </c>
      <c r="X3264" t="s">
        <v>38</v>
      </c>
      <c r="Y3264" t="s">
        <v>4831</v>
      </c>
      <c r="Z3264" t="s">
        <v>42</v>
      </c>
      <c r="AA3264" t="s">
        <v>38</v>
      </c>
      <c r="AB3264" t="s">
        <v>38</v>
      </c>
      <c r="AC3264" t="s">
        <v>38</v>
      </c>
      <c r="AD3264" t="s">
        <v>48</v>
      </c>
      <c r="AG3264" t="str">
        <f>IF(AD3264="United States", IFERROR(INDEX(Sheet2!$C:$C, MATCH(AE3264&amp;AF3264, Sheet2!$E:$E, 0)) &amp; ", " &amp; INDEX(Sheet2!$D:$D, MATCH(AE3264&amp;AF3264, Sheet2!$E:$E, 0)), ""), "-")</f>
        <v/>
      </c>
    </row>
    <row r="3265" spans="1:33" x14ac:dyDescent="0.25">
      <c r="A3265" t="s">
        <v>4736</v>
      </c>
      <c r="B3265" t="s">
        <v>4832</v>
      </c>
      <c r="C3265" t="s">
        <v>4738</v>
      </c>
      <c r="D3265" t="s">
        <v>114</v>
      </c>
      <c r="E3265" t="s">
        <v>4690</v>
      </c>
      <c r="F3265">
        <v>1759</v>
      </c>
      <c r="G3265">
        <v>2641</v>
      </c>
      <c r="H3265" t="s">
        <v>38</v>
      </c>
      <c r="I3265" t="s">
        <v>87</v>
      </c>
      <c r="J3265" t="s">
        <v>38</v>
      </c>
      <c r="K3265" t="s">
        <v>38</v>
      </c>
      <c r="L3265" t="s">
        <v>38</v>
      </c>
      <c r="M3265" t="s">
        <v>38</v>
      </c>
      <c r="N3265" t="s">
        <v>38</v>
      </c>
      <c r="O3265" t="s">
        <v>57</v>
      </c>
      <c r="P3265" t="s">
        <v>42</v>
      </c>
      <c r="Q3265" t="s">
        <v>43</v>
      </c>
      <c r="R3265" t="s">
        <v>1322</v>
      </c>
      <c r="S3265" t="s">
        <v>45</v>
      </c>
      <c r="T3265" t="s">
        <v>38</v>
      </c>
      <c r="U3265" t="s">
        <v>38</v>
      </c>
      <c r="V3265" t="s">
        <v>38</v>
      </c>
      <c r="W3265" t="s">
        <v>38</v>
      </c>
      <c r="X3265" t="s">
        <v>38</v>
      </c>
      <c r="Y3265" t="s">
        <v>38</v>
      </c>
      <c r="Z3265" t="s">
        <v>42</v>
      </c>
      <c r="AA3265" t="s">
        <v>38</v>
      </c>
      <c r="AB3265" t="s">
        <v>38</v>
      </c>
      <c r="AC3265" t="s">
        <v>45</v>
      </c>
      <c r="AD3265" t="s">
        <v>48</v>
      </c>
      <c r="AG3265" t="str">
        <f>IF(AD3265="United States", IFERROR(INDEX(Sheet2!$C:$C, MATCH(AE3265&amp;AF3265, Sheet2!$E:$E, 0)) &amp; ", " &amp; INDEX(Sheet2!$D:$D, MATCH(AE3265&amp;AF3265, Sheet2!$E:$E, 0)), ""), "-")</f>
        <v/>
      </c>
    </row>
    <row r="3266" spans="1:33" x14ac:dyDescent="0.25">
      <c r="A3266" t="s">
        <v>4736</v>
      </c>
      <c r="B3266" t="s">
        <v>4833</v>
      </c>
      <c r="C3266" t="s">
        <v>4738</v>
      </c>
      <c r="D3266" t="s">
        <v>352</v>
      </c>
      <c r="E3266" t="s">
        <v>4663</v>
      </c>
      <c r="F3266">
        <v>1761</v>
      </c>
      <c r="G3266">
        <v>2783</v>
      </c>
      <c r="I3266" t="s">
        <v>87</v>
      </c>
      <c r="J3266" t="s">
        <v>38</v>
      </c>
      <c r="O3266" t="s">
        <v>57</v>
      </c>
      <c r="P3266" t="s">
        <v>42</v>
      </c>
      <c r="Q3266" t="s">
        <v>43</v>
      </c>
      <c r="V3266" t="s">
        <v>4834</v>
      </c>
      <c r="Y3266" t="s">
        <v>4835</v>
      </c>
      <c r="Z3266" t="s">
        <v>42</v>
      </c>
      <c r="AA3266" t="s">
        <v>38</v>
      </c>
      <c r="AB3266" t="s">
        <v>38</v>
      </c>
      <c r="AC3266" t="s">
        <v>60</v>
      </c>
      <c r="AD3266" t="s">
        <v>48</v>
      </c>
      <c r="AG3266" t="str">
        <f>IF(AD3266="United States", IFERROR(INDEX(Sheet2!$C:$C, MATCH(AE3266&amp;AF3266, Sheet2!$E:$E, 0)) &amp; ", " &amp; INDEX(Sheet2!$D:$D, MATCH(AE3266&amp;AF3266, Sheet2!$E:$E, 0)), ""), "-")</f>
        <v/>
      </c>
    </row>
    <row r="3267" spans="1:33" x14ac:dyDescent="0.25">
      <c r="A3267" t="s">
        <v>4736</v>
      </c>
      <c r="B3267" t="s">
        <v>4836</v>
      </c>
      <c r="C3267" t="s">
        <v>4738</v>
      </c>
      <c r="D3267" t="s">
        <v>245</v>
      </c>
      <c r="F3267">
        <v>1781</v>
      </c>
      <c r="G3267">
        <v>2782</v>
      </c>
      <c r="I3267" t="s">
        <v>87</v>
      </c>
      <c r="J3267" t="s">
        <v>38</v>
      </c>
      <c r="O3267" t="s">
        <v>74</v>
      </c>
      <c r="P3267" t="s">
        <v>42</v>
      </c>
      <c r="Q3267" t="s">
        <v>43</v>
      </c>
      <c r="R3267" t="s">
        <v>4837</v>
      </c>
      <c r="S3267" t="s">
        <v>153</v>
      </c>
      <c r="V3267" t="s">
        <v>4834</v>
      </c>
      <c r="Y3267" t="s">
        <v>4835</v>
      </c>
      <c r="Z3267" t="s">
        <v>42</v>
      </c>
      <c r="AA3267" t="s">
        <v>38</v>
      </c>
      <c r="AB3267" t="s">
        <v>38</v>
      </c>
      <c r="AC3267" t="s">
        <v>153</v>
      </c>
      <c r="AD3267" t="s">
        <v>48</v>
      </c>
      <c r="AG3267" t="str">
        <f>IF(AD3267="United States", IFERROR(INDEX(Sheet2!$C:$C, MATCH(AE3267&amp;AF3267, Sheet2!$E:$E, 0)) &amp; ", " &amp; INDEX(Sheet2!$D:$D, MATCH(AE3267&amp;AF3267, Sheet2!$E:$E, 0)), ""), "-")</f>
        <v/>
      </c>
    </row>
    <row r="3268" spans="1:33" x14ac:dyDescent="0.25">
      <c r="A3268" t="s">
        <v>4736</v>
      </c>
      <c r="B3268" t="s">
        <v>4838</v>
      </c>
      <c r="C3268" t="s">
        <v>4738</v>
      </c>
      <c r="D3268" t="s">
        <v>114</v>
      </c>
      <c r="F3268">
        <v>1782</v>
      </c>
      <c r="G3268">
        <v>2781</v>
      </c>
      <c r="I3268" t="s">
        <v>87</v>
      </c>
      <c r="J3268" t="s">
        <v>38</v>
      </c>
      <c r="M3268" t="s">
        <v>980</v>
      </c>
      <c r="O3268" t="s">
        <v>54</v>
      </c>
      <c r="P3268" t="s">
        <v>42</v>
      </c>
      <c r="Q3268" t="s">
        <v>43</v>
      </c>
      <c r="V3268" t="s">
        <v>4834</v>
      </c>
      <c r="Y3268" t="s">
        <v>4835</v>
      </c>
      <c r="Z3268" t="s">
        <v>42</v>
      </c>
      <c r="AA3268" t="s">
        <v>38</v>
      </c>
      <c r="AB3268" t="s">
        <v>38</v>
      </c>
      <c r="AC3268" t="s">
        <v>38</v>
      </c>
      <c r="AD3268" t="s">
        <v>48</v>
      </c>
      <c r="AG3268" t="str">
        <f>IF(AD3268="United States", IFERROR(INDEX(Sheet2!$C:$C, MATCH(AE3268&amp;AF3268, Sheet2!$E:$E, 0)) &amp; ", " &amp; INDEX(Sheet2!$D:$D, MATCH(AE3268&amp;AF3268, Sheet2!$E:$E, 0)), ""), "-")</f>
        <v/>
      </c>
    </row>
    <row r="3269" spans="1:33" x14ac:dyDescent="0.25">
      <c r="A3269" t="s">
        <v>4736</v>
      </c>
      <c r="B3269" t="s">
        <v>4839</v>
      </c>
      <c r="C3269" t="s">
        <v>4738</v>
      </c>
      <c r="D3269" t="s">
        <v>980</v>
      </c>
      <c r="F3269">
        <v>1761</v>
      </c>
      <c r="G3269">
        <v>2780</v>
      </c>
      <c r="I3269" t="s">
        <v>87</v>
      </c>
      <c r="J3269" t="s">
        <v>38</v>
      </c>
      <c r="O3269" t="s">
        <v>57</v>
      </c>
      <c r="P3269" t="s">
        <v>42</v>
      </c>
      <c r="Q3269" t="s">
        <v>43</v>
      </c>
      <c r="R3269" t="s">
        <v>155</v>
      </c>
      <c r="S3269" t="s">
        <v>153</v>
      </c>
      <c r="V3269" t="s">
        <v>4834</v>
      </c>
      <c r="Y3269" t="s">
        <v>4835</v>
      </c>
      <c r="Z3269" t="s">
        <v>42</v>
      </c>
      <c r="AA3269" t="s">
        <v>155</v>
      </c>
      <c r="AB3269" t="s">
        <v>38</v>
      </c>
      <c r="AC3269" t="s">
        <v>153</v>
      </c>
      <c r="AD3269" t="s">
        <v>48</v>
      </c>
      <c r="AG3269" t="str">
        <f>IF(AD3269="United States", IFERROR(INDEX(Sheet2!$C:$C, MATCH(AE3269&amp;AF3269, Sheet2!$E:$E, 0)) &amp; ", " &amp; INDEX(Sheet2!$D:$D, MATCH(AE3269&amp;AF3269, Sheet2!$E:$E, 0)), ""), "-")</f>
        <v/>
      </c>
    </row>
    <row r="3270" spans="1:33" x14ac:dyDescent="0.25">
      <c r="A3270" t="s">
        <v>4736</v>
      </c>
      <c r="B3270" t="s">
        <v>4840</v>
      </c>
      <c r="C3270" t="s">
        <v>4738</v>
      </c>
      <c r="D3270" t="s">
        <v>495</v>
      </c>
      <c r="E3270" t="s">
        <v>4659</v>
      </c>
      <c r="F3270">
        <v>1767</v>
      </c>
      <c r="G3270">
        <v>2779</v>
      </c>
      <c r="I3270" t="s">
        <v>87</v>
      </c>
      <c r="J3270" t="s">
        <v>38</v>
      </c>
      <c r="O3270" t="s">
        <v>74</v>
      </c>
      <c r="P3270" t="s">
        <v>42</v>
      </c>
      <c r="Q3270" t="s">
        <v>43</v>
      </c>
      <c r="R3270" t="s">
        <v>324</v>
      </c>
      <c r="S3270" t="s">
        <v>201</v>
      </c>
      <c r="V3270" t="s">
        <v>4834</v>
      </c>
      <c r="Y3270" t="s">
        <v>4835</v>
      </c>
      <c r="Z3270" t="s">
        <v>42</v>
      </c>
      <c r="AA3270" t="s">
        <v>324</v>
      </c>
      <c r="AB3270" t="s">
        <v>38</v>
      </c>
      <c r="AC3270" t="s">
        <v>201</v>
      </c>
      <c r="AD3270" t="s">
        <v>48</v>
      </c>
      <c r="AG3270" t="str">
        <f>IF(AD3270="United States", IFERROR(INDEX(Sheet2!$C:$C, MATCH(AE3270&amp;AF3270, Sheet2!$E:$E, 0)) &amp; ", " &amp; INDEX(Sheet2!$D:$D, MATCH(AE3270&amp;AF3270, Sheet2!$E:$E, 0)), ""), "-")</f>
        <v/>
      </c>
    </row>
    <row r="3271" spans="1:33" x14ac:dyDescent="0.25">
      <c r="A3271" t="s">
        <v>4736</v>
      </c>
      <c r="B3271" t="s">
        <v>4841</v>
      </c>
      <c r="C3271" t="s">
        <v>4738</v>
      </c>
      <c r="D3271" t="s">
        <v>535</v>
      </c>
      <c r="E3271" t="s">
        <v>4660</v>
      </c>
      <c r="F3271">
        <v>1753</v>
      </c>
      <c r="G3271">
        <v>2778</v>
      </c>
      <c r="I3271" t="s">
        <v>87</v>
      </c>
      <c r="J3271" t="s">
        <v>38</v>
      </c>
      <c r="O3271" t="s">
        <v>57</v>
      </c>
      <c r="P3271" t="s">
        <v>42</v>
      </c>
      <c r="Q3271" t="s">
        <v>43</v>
      </c>
      <c r="V3271" t="s">
        <v>4834</v>
      </c>
      <c r="Y3271" t="s">
        <v>4835</v>
      </c>
      <c r="Z3271" t="s">
        <v>42</v>
      </c>
      <c r="AA3271" t="s">
        <v>38</v>
      </c>
      <c r="AB3271" t="s">
        <v>38</v>
      </c>
      <c r="AC3271" t="s">
        <v>38</v>
      </c>
      <c r="AD3271" t="s">
        <v>48</v>
      </c>
      <c r="AG3271" t="str">
        <f>IF(AD3271="United States", IFERROR(INDEX(Sheet2!$C:$C, MATCH(AE3271&amp;AF3271, Sheet2!$E:$E, 0)) &amp; ", " &amp; INDEX(Sheet2!$D:$D, MATCH(AE3271&amp;AF3271, Sheet2!$E:$E, 0)), ""), "-")</f>
        <v/>
      </c>
    </row>
    <row r="3272" spans="1:33" x14ac:dyDescent="0.25">
      <c r="A3272" t="s">
        <v>4736</v>
      </c>
      <c r="B3272" t="s">
        <v>4842</v>
      </c>
      <c r="C3272" t="s">
        <v>4738</v>
      </c>
      <c r="D3272" t="s">
        <v>980</v>
      </c>
      <c r="F3272">
        <v>1743</v>
      </c>
      <c r="G3272">
        <v>2777</v>
      </c>
      <c r="I3272" t="s">
        <v>87</v>
      </c>
      <c r="J3272" t="s">
        <v>38</v>
      </c>
      <c r="O3272" t="s">
        <v>41</v>
      </c>
      <c r="P3272" t="s">
        <v>42</v>
      </c>
      <c r="Q3272" t="s">
        <v>43</v>
      </c>
      <c r="V3272" t="s">
        <v>4834</v>
      </c>
      <c r="Y3272" t="s">
        <v>4835</v>
      </c>
      <c r="Z3272" t="s">
        <v>42</v>
      </c>
      <c r="AA3272" t="s">
        <v>38</v>
      </c>
      <c r="AB3272" t="s">
        <v>38</v>
      </c>
      <c r="AC3272" t="s">
        <v>233</v>
      </c>
      <c r="AD3272" t="s">
        <v>48</v>
      </c>
      <c r="AG3272" t="str">
        <f>IF(AD3272="United States", IFERROR(INDEX(Sheet2!$C:$C, MATCH(AE3272&amp;AF3272, Sheet2!$E:$E, 0)) &amp; ", " &amp; INDEX(Sheet2!$D:$D, MATCH(AE3272&amp;AF3272, Sheet2!$E:$E, 0)), ""), "-")</f>
        <v/>
      </c>
    </row>
    <row r="3273" spans="1:33" x14ac:dyDescent="0.25">
      <c r="A3273" t="s">
        <v>4736</v>
      </c>
      <c r="B3273" t="s">
        <v>4843</v>
      </c>
      <c r="C3273" t="s">
        <v>4738</v>
      </c>
      <c r="D3273" t="s">
        <v>650</v>
      </c>
      <c r="E3273" t="s">
        <v>4661</v>
      </c>
      <c r="F3273">
        <v>1755</v>
      </c>
      <c r="G3273">
        <v>2776</v>
      </c>
      <c r="I3273" t="s">
        <v>87</v>
      </c>
      <c r="J3273" t="s">
        <v>38</v>
      </c>
      <c r="O3273" t="s">
        <v>57</v>
      </c>
      <c r="P3273" t="s">
        <v>42</v>
      </c>
      <c r="Q3273" t="s">
        <v>43</v>
      </c>
      <c r="V3273" t="s">
        <v>4834</v>
      </c>
      <c r="Y3273" t="s">
        <v>4835</v>
      </c>
      <c r="Z3273" t="s">
        <v>42</v>
      </c>
      <c r="AA3273" t="s">
        <v>38</v>
      </c>
      <c r="AB3273" t="s">
        <v>38</v>
      </c>
      <c r="AC3273" t="s">
        <v>233</v>
      </c>
      <c r="AD3273" t="s">
        <v>48</v>
      </c>
      <c r="AG3273" t="str">
        <f>IF(AD3273="United States", IFERROR(INDEX(Sheet2!$C:$C, MATCH(AE3273&amp;AF3273, Sheet2!$E:$E, 0)) &amp; ", " &amp; INDEX(Sheet2!$D:$D, MATCH(AE3273&amp;AF3273, Sheet2!$E:$E, 0)), ""), "-")</f>
        <v/>
      </c>
    </row>
    <row r="3274" spans="1:33" x14ac:dyDescent="0.25">
      <c r="A3274" t="s">
        <v>4736</v>
      </c>
      <c r="B3274" t="s">
        <v>4844</v>
      </c>
      <c r="C3274" t="s">
        <v>4738</v>
      </c>
      <c r="D3274" t="s">
        <v>556</v>
      </c>
      <c r="F3274">
        <v>1771</v>
      </c>
      <c r="G3274">
        <v>2775</v>
      </c>
      <c r="I3274" t="s">
        <v>87</v>
      </c>
      <c r="J3274" t="s">
        <v>38</v>
      </c>
      <c r="M3274" t="s">
        <v>834</v>
      </c>
      <c r="N3274" t="s">
        <v>4662</v>
      </c>
      <c r="O3274" t="s">
        <v>54</v>
      </c>
      <c r="P3274" t="s">
        <v>42</v>
      </c>
      <c r="Q3274" t="s">
        <v>43</v>
      </c>
      <c r="V3274" t="s">
        <v>4834</v>
      </c>
      <c r="Y3274" t="s">
        <v>4835</v>
      </c>
      <c r="Z3274" t="s">
        <v>42</v>
      </c>
      <c r="AA3274" t="s">
        <v>38</v>
      </c>
      <c r="AB3274" t="s">
        <v>38</v>
      </c>
      <c r="AC3274" t="s">
        <v>38</v>
      </c>
      <c r="AD3274" t="s">
        <v>48</v>
      </c>
      <c r="AG3274" t="str">
        <f>IF(AD3274="United States", IFERROR(INDEX(Sheet2!$C:$C, MATCH(AE3274&amp;AF3274, Sheet2!$E:$E, 0)) &amp; ", " &amp; INDEX(Sheet2!$D:$D, MATCH(AE3274&amp;AF3274, Sheet2!$E:$E, 0)), ""), "-")</f>
        <v/>
      </c>
    </row>
    <row r="3275" spans="1:33" x14ac:dyDescent="0.25">
      <c r="A3275" t="s">
        <v>4736</v>
      </c>
      <c r="B3275" t="s">
        <v>4845</v>
      </c>
      <c r="C3275" t="s">
        <v>4738</v>
      </c>
      <c r="D3275" t="s">
        <v>834</v>
      </c>
      <c r="E3275" t="s">
        <v>4662</v>
      </c>
      <c r="F3275">
        <v>1750</v>
      </c>
      <c r="G3275">
        <v>2774</v>
      </c>
      <c r="I3275" t="s">
        <v>87</v>
      </c>
      <c r="J3275" t="s">
        <v>38</v>
      </c>
      <c r="O3275" t="s">
        <v>57</v>
      </c>
      <c r="P3275" t="s">
        <v>42</v>
      </c>
      <c r="Q3275" t="s">
        <v>43</v>
      </c>
      <c r="R3275" t="s">
        <v>4846</v>
      </c>
      <c r="S3275" t="s">
        <v>201</v>
      </c>
      <c r="V3275" t="s">
        <v>4834</v>
      </c>
      <c r="Y3275" t="s">
        <v>4835</v>
      </c>
      <c r="Z3275" t="s">
        <v>42</v>
      </c>
      <c r="AA3275" t="s">
        <v>4846</v>
      </c>
      <c r="AB3275" t="s">
        <v>38</v>
      </c>
      <c r="AC3275" t="s">
        <v>201</v>
      </c>
      <c r="AD3275" t="s">
        <v>48</v>
      </c>
      <c r="AG3275" t="str">
        <f>IF(AD3275="United States", IFERROR(INDEX(Sheet2!$C:$C, MATCH(AE3275&amp;AF3275, Sheet2!$E:$E, 0)) &amp; ", " &amp; INDEX(Sheet2!$D:$D, MATCH(AE3275&amp;AF3275, Sheet2!$E:$E, 0)), ""), "-")</f>
        <v/>
      </c>
    </row>
    <row r="3276" spans="1:33" x14ac:dyDescent="0.25">
      <c r="A3276" t="s">
        <v>4736</v>
      </c>
      <c r="B3276" t="s">
        <v>4847</v>
      </c>
      <c r="C3276" t="s">
        <v>4738</v>
      </c>
      <c r="D3276" t="s">
        <v>245</v>
      </c>
      <c r="F3276">
        <v>1768</v>
      </c>
      <c r="G3276">
        <v>2773</v>
      </c>
      <c r="I3276" t="s">
        <v>87</v>
      </c>
      <c r="J3276" t="s">
        <v>38</v>
      </c>
      <c r="M3276" t="s">
        <v>162</v>
      </c>
      <c r="N3276" t="s">
        <v>4654</v>
      </c>
      <c r="O3276" t="s">
        <v>54</v>
      </c>
      <c r="P3276" t="s">
        <v>42</v>
      </c>
      <c r="Q3276" t="s">
        <v>43</v>
      </c>
      <c r="V3276" t="s">
        <v>4834</v>
      </c>
      <c r="Y3276" t="s">
        <v>4835</v>
      </c>
      <c r="Z3276" t="s">
        <v>42</v>
      </c>
      <c r="AA3276" t="s">
        <v>38</v>
      </c>
      <c r="AB3276" t="s">
        <v>38</v>
      </c>
      <c r="AC3276" t="s">
        <v>38</v>
      </c>
      <c r="AD3276" t="s">
        <v>48</v>
      </c>
      <c r="AG3276" t="str">
        <f>IF(AD3276="United States", IFERROR(INDEX(Sheet2!$C:$C, MATCH(AE3276&amp;AF3276, Sheet2!$E:$E, 0)) &amp; ", " &amp; INDEX(Sheet2!$D:$D, MATCH(AE3276&amp;AF3276, Sheet2!$E:$E, 0)), ""), "-")</f>
        <v/>
      </c>
    </row>
    <row r="3277" spans="1:33" x14ac:dyDescent="0.25">
      <c r="A3277" t="s">
        <v>4736</v>
      </c>
      <c r="B3277" t="s">
        <v>4848</v>
      </c>
      <c r="C3277" t="s">
        <v>4738</v>
      </c>
      <c r="D3277" t="s">
        <v>72</v>
      </c>
      <c r="F3277">
        <v>1761</v>
      </c>
      <c r="G3277">
        <v>2772</v>
      </c>
      <c r="I3277" t="s">
        <v>87</v>
      </c>
      <c r="J3277" t="s">
        <v>38</v>
      </c>
      <c r="O3277" t="s">
        <v>41</v>
      </c>
      <c r="P3277" t="s">
        <v>42</v>
      </c>
      <c r="Q3277" t="s">
        <v>43</v>
      </c>
      <c r="R3277" t="s">
        <v>169</v>
      </c>
      <c r="S3277" t="s">
        <v>45</v>
      </c>
      <c r="V3277" t="s">
        <v>4834</v>
      </c>
      <c r="Y3277" t="s">
        <v>4835</v>
      </c>
      <c r="Z3277" t="s">
        <v>42</v>
      </c>
      <c r="AA3277" t="s">
        <v>169</v>
      </c>
      <c r="AB3277" t="s">
        <v>38</v>
      </c>
      <c r="AC3277" t="s">
        <v>45</v>
      </c>
      <c r="AD3277" t="s">
        <v>48</v>
      </c>
      <c r="AG3277" t="str">
        <f>IF(AD3277="United States", IFERROR(INDEX(Sheet2!$C:$C, MATCH(AE3277&amp;AF3277, Sheet2!$E:$E, 0)) &amp; ", " &amp; INDEX(Sheet2!$D:$D, MATCH(AE3277&amp;AF3277, Sheet2!$E:$E, 0)), ""), "-")</f>
        <v/>
      </c>
    </row>
    <row r="3278" spans="1:33" x14ac:dyDescent="0.25">
      <c r="A3278" t="s">
        <v>4736</v>
      </c>
      <c r="B3278" t="s">
        <v>4849</v>
      </c>
      <c r="C3278" t="s">
        <v>4738</v>
      </c>
      <c r="D3278" t="s">
        <v>52</v>
      </c>
      <c r="F3278">
        <v>1763</v>
      </c>
      <c r="G3278">
        <v>2771</v>
      </c>
      <c r="I3278" t="s">
        <v>87</v>
      </c>
      <c r="J3278" t="s">
        <v>38</v>
      </c>
      <c r="O3278" t="s">
        <v>41</v>
      </c>
      <c r="P3278" t="s">
        <v>42</v>
      </c>
      <c r="Q3278" t="s">
        <v>43</v>
      </c>
      <c r="V3278" t="s">
        <v>4834</v>
      </c>
      <c r="Y3278" t="s">
        <v>4835</v>
      </c>
      <c r="Z3278" t="s">
        <v>42</v>
      </c>
      <c r="AA3278" t="s">
        <v>38</v>
      </c>
      <c r="AB3278" t="s">
        <v>38</v>
      </c>
      <c r="AC3278" t="s">
        <v>38</v>
      </c>
      <c r="AD3278" t="s">
        <v>48</v>
      </c>
      <c r="AG3278" t="str">
        <f>IF(AD3278="United States", IFERROR(INDEX(Sheet2!$C:$C, MATCH(AE3278&amp;AF3278, Sheet2!$E:$E, 0)) &amp; ", " &amp; INDEX(Sheet2!$D:$D, MATCH(AE3278&amp;AF3278, Sheet2!$E:$E, 0)), ""), "-")</f>
        <v/>
      </c>
    </row>
    <row r="3279" spans="1:33" x14ac:dyDescent="0.25">
      <c r="A3279" t="s">
        <v>4736</v>
      </c>
      <c r="B3279" t="s">
        <v>4850</v>
      </c>
      <c r="C3279" t="s">
        <v>4738</v>
      </c>
      <c r="D3279" t="s">
        <v>1085</v>
      </c>
      <c r="F3279">
        <v>1761</v>
      </c>
      <c r="G3279">
        <v>2770</v>
      </c>
      <c r="I3279" t="s">
        <v>87</v>
      </c>
      <c r="J3279" t="s">
        <v>38</v>
      </c>
      <c r="O3279" t="s">
        <v>41</v>
      </c>
      <c r="P3279" t="s">
        <v>42</v>
      </c>
      <c r="Q3279" t="s">
        <v>43</v>
      </c>
      <c r="V3279" t="s">
        <v>4834</v>
      </c>
      <c r="Y3279" t="s">
        <v>4835</v>
      </c>
      <c r="Z3279" t="s">
        <v>42</v>
      </c>
      <c r="AA3279" t="s">
        <v>38</v>
      </c>
      <c r="AB3279" t="s">
        <v>38</v>
      </c>
      <c r="AC3279" t="s">
        <v>1105</v>
      </c>
      <c r="AD3279" t="s">
        <v>48</v>
      </c>
      <c r="AG3279" t="str">
        <f>IF(AD3279="United States", IFERROR(INDEX(Sheet2!$C:$C, MATCH(AE3279&amp;AF3279, Sheet2!$E:$E, 0)) &amp; ", " &amp; INDEX(Sheet2!$D:$D, MATCH(AE3279&amp;AF3279, Sheet2!$E:$E, 0)), ""), "-")</f>
        <v/>
      </c>
    </row>
    <row r="3280" spans="1:33" x14ac:dyDescent="0.25">
      <c r="A3280" t="s">
        <v>4736</v>
      </c>
      <c r="B3280" t="s">
        <v>4851</v>
      </c>
      <c r="C3280" t="s">
        <v>4738</v>
      </c>
      <c r="D3280" t="s">
        <v>162</v>
      </c>
      <c r="E3280" t="s">
        <v>4654</v>
      </c>
      <c r="F3280">
        <v>1759</v>
      </c>
      <c r="G3280">
        <v>2769</v>
      </c>
      <c r="I3280" t="s">
        <v>87</v>
      </c>
      <c r="J3280" t="s">
        <v>38</v>
      </c>
      <c r="O3280" t="s">
        <v>57</v>
      </c>
      <c r="P3280" t="s">
        <v>42</v>
      </c>
      <c r="Q3280" t="s">
        <v>43</v>
      </c>
      <c r="R3280" t="s">
        <v>169</v>
      </c>
      <c r="S3280" t="s">
        <v>45</v>
      </c>
      <c r="V3280" t="s">
        <v>4834</v>
      </c>
      <c r="Y3280" t="s">
        <v>4835</v>
      </c>
      <c r="Z3280" t="s">
        <v>42</v>
      </c>
      <c r="AA3280" t="s">
        <v>169</v>
      </c>
      <c r="AB3280" t="s">
        <v>38</v>
      </c>
      <c r="AC3280" t="s">
        <v>45</v>
      </c>
      <c r="AD3280" t="s">
        <v>48</v>
      </c>
      <c r="AG3280" t="str">
        <f>IF(AD3280="United States", IFERROR(INDEX(Sheet2!$C:$C, MATCH(AE3280&amp;AF3280, Sheet2!$E:$E, 0)) &amp; ", " &amp; INDEX(Sheet2!$D:$D, MATCH(AE3280&amp;AF3280, Sheet2!$E:$E, 0)), ""), "-")</f>
        <v/>
      </c>
    </row>
    <row r="3281" spans="1:33" x14ac:dyDescent="0.25">
      <c r="A3281" t="s">
        <v>4736</v>
      </c>
      <c r="B3281" t="s">
        <v>4852</v>
      </c>
      <c r="C3281" t="s">
        <v>4738</v>
      </c>
      <c r="D3281" t="s">
        <v>3720</v>
      </c>
      <c r="E3281" t="s">
        <v>2298</v>
      </c>
      <c r="F3281">
        <v>1729</v>
      </c>
      <c r="G3281">
        <v>2768</v>
      </c>
      <c r="I3281" t="s">
        <v>87</v>
      </c>
      <c r="J3281" t="s">
        <v>38</v>
      </c>
      <c r="O3281" t="s">
        <v>41</v>
      </c>
      <c r="P3281" t="s">
        <v>42</v>
      </c>
      <c r="Q3281" t="s">
        <v>43</v>
      </c>
      <c r="R3281" t="s">
        <v>247</v>
      </c>
      <c r="S3281" t="s">
        <v>45</v>
      </c>
      <c r="V3281" t="s">
        <v>4834</v>
      </c>
      <c r="Y3281" t="s">
        <v>4835</v>
      </c>
      <c r="Z3281" t="s">
        <v>42</v>
      </c>
      <c r="AA3281" t="s">
        <v>247</v>
      </c>
      <c r="AB3281" t="s">
        <v>38</v>
      </c>
      <c r="AC3281" t="s">
        <v>45</v>
      </c>
      <c r="AD3281" t="s">
        <v>48</v>
      </c>
      <c r="AG3281" t="str">
        <f>IF(AD3281="United States", IFERROR(INDEX(Sheet2!$C:$C, MATCH(AE3281&amp;AF3281, Sheet2!$E:$E, 0)) &amp; ", " &amp; INDEX(Sheet2!$D:$D, MATCH(AE3281&amp;AF3281, Sheet2!$E:$E, 0)), ""), "-")</f>
        <v/>
      </c>
    </row>
    <row r="3282" spans="1:33" x14ac:dyDescent="0.25">
      <c r="A3282" t="s">
        <v>4736</v>
      </c>
      <c r="B3282" t="s">
        <v>4853</v>
      </c>
      <c r="C3282" t="s">
        <v>4738</v>
      </c>
      <c r="D3282" t="s">
        <v>50</v>
      </c>
      <c r="F3282">
        <v>1767</v>
      </c>
      <c r="G3282">
        <v>2767</v>
      </c>
      <c r="I3282" t="s">
        <v>87</v>
      </c>
      <c r="J3282" t="s">
        <v>38</v>
      </c>
      <c r="O3282" t="s">
        <v>54</v>
      </c>
      <c r="P3282" t="s">
        <v>42</v>
      </c>
      <c r="Q3282" t="s">
        <v>43</v>
      </c>
      <c r="V3282" t="s">
        <v>4834</v>
      </c>
      <c r="Y3282" t="s">
        <v>4835</v>
      </c>
      <c r="Z3282" t="s">
        <v>42</v>
      </c>
      <c r="AA3282" t="s">
        <v>38</v>
      </c>
      <c r="AB3282" t="s">
        <v>38</v>
      </c>
      <c r="AC3282" t="s">
        <v>38</v>
      </c>
      <c r="AD3282" t="s">
        <v>48</v>
      </c>
      <c r="AG3282" t="str">
        <f>IF(AD3282="United States", IFERROR(INDEX(Sheet2!$C:$C, MATCH(AE3282&amp;AF3282, Sheet2!$E:$E, 0)) &amp; ", " &amp; INDEX(Sheet2!$D:$D, MATCH(AE3282&amp;AF3282, Sheet2!$E:$E, 0)), ""), "-")</f>
        <v/>
      </c>
    </row>
    <row r="3283" spans="1:33" x14ac:dyDescent="0.25">
      <c r="A3283" t="s">
        <v>4736</v>
      </c>
      <c r="B3283" t="s">
        <v>4854</v>
      </c>
      <c r="C3283" t="s">
        <v>4738</v>
      </c>
      <c r="D3283" t="s">
        <v>1037</v>
      </c>
      <c r="E3283" t="s">
        <v>3241</v>
      </c>
      <c r="F3283">
        <v>1764</v>
      </c>
      <c r="G3283">
        <v>2766</v>
      </c>
      <c r="I3283" t="s">
        <v>87</v>
      </c>
      <c r="J3283" t="s">
        <v>38</v>
      </c>
      <c r="O3283" t="s">
        <v>57</v>
      </c>
      <c r="P3283" t="s">
        <v>42</v>
      </c>
      <c r="Q3283" t="s">
        <v>43</v>
      </c>
      <c r="R3283" t="s">
        <v>4855</v>
      </c>
      <c r="S3283" t="s">
        <v>153</v>
      </c>
      <c r="V3283" t="s">
        <v>4834</v>
      </c>
      <c r="Y3283" t="s">
        <v>4835</v>
      </c>
      <c r="Z3283" t="s">
        <v>42</v>
      </c>
      <c r="AA3283" t="s">
        <v>155</v>
      </c>
      <c r="AB3283" t="s">
        <v>38</v>
      </c>
      <c r="AC3283" t="s">
        <v>153</v>
      </c>
      <c r="AD3283" t="s">
        <v>48</v>
      </c>
      <c r="AG3283" t="str">
        <f>IF(AD3283="United States", IFERROR(INDEX(Sheet2!$C:$C, MATCH(AE3283&amp;AF3283, Sheet2!$E:$E, 0)) &amp; ", " &amp; INDEX(Sheet2!$D:$D, MATCH(AE3283&amp;AF3283, Sheet2!$E:$E, 0)), ""), "-")</f>
        <v/>
      </c>
    </row>
    <row r="3284" spans="1:33" x14ac:dyDescent="0.25">
      <c r="A3284" t="s">
        <v>4736</v>
      </c>
      <c r="B3284" t="s">
        <v>4856</v>
      </c>
      <c r="C3284" t="s">
        <v>4738</v>
      </c>
      <c r="D3284" t="s">
        <v>1164</v>
      </c>
      <c r="E3284" t="s">
        <v>4649</v>
      </c>
      <c r="F3284">
        <v>1748</v>
      </c>
      <c r="G3284">
        <v>2765</v>
      </c>
      <c r="I3284" t="s">
        <v>87</v>
      </c>
      <c r="J3284" t="s">
        <v>38</v>
      </c>
      <c r="M3284" t="s">
        <v>256</v>
      </c>
      <c r="N3284" t="s">
        <v>2298</v>
      </c>
      <c r="O3284" t="s">
        <v>57</v>
      </c>
      <c r="P3284" t="s">
        <v>42</v>
      </c>
      <c r="Q3284" t="s">
        <v>43</v>
      </c>
      <c r="V3284" t="s">
        <v>4834</v>
      </c>
      <c r="Y3284" t="s">
        <v>4835</v>
      </c>
      <c r="Z3284" t="s">
        <v>42</v>
      </c>
      <c r="AA3284" t="s">
        <v>38</v>
      </c>
      <c r="AB3284" t="s">
        <v>38</v>
      </c>
      <c r="AC3284" t="s">
        <v>593</v>
      </c>
      <c r="AD3284" t="s">
        <v>48</v>
      </c>
      <c r="AG3284" t="str">
        <f>IF(AD3284="United States", IFERROR(INDEX(Sheet2!$C:$C, MATCH(AE3284&amp;AF3284, Sheet2!$E:$E, 0)) &amp; ", " &amp; INDEX(Sheet2!$D:$D, MATCH(AE3284&amp;AF3284, Sheet2!$E:$E, 0)), ""), "-")</f>
        <v/>
      </c>
    </row>
    <row r="3285" spans="1:33" x14ac:dyDescent="0.25">
      <c r="A3285" t="s">
        <v>4736</v>
      </c>
      <c r="B3285" t="s">
        <v>4857</v>
      </c>
      <c r="C3285" t="s">
        <v>4738</v>
      </c>
      <c r="D3285" t="s">
        <v>256</v>
      </c>
      <c r="E3285" t="s">
        <v>2298</v>
      </c>
      <c r="F3285">
        <v>1749</v>
      </c>
      <c r="G3285">
        <v>2764</v>
      </c>
      <c r="I3285" t="s">
        <v>87</v>
      </c>
      <c r="J3285" t="s">
        <v>38</v>
      </c>
      <c r="O3285" t="s">
        <v>57</v>
      </c>
      <c r="P3285" t="s">
        <v>42</v>
      </c>
      <c r="Q3285" t="s">
        <v>43</v>
      </c>
      <c r="R3285" t="s">
        <v>4858</v>
      </c>
      <c r="S3285" t="s">
        <v>45</v>
      </c>
      <c r="V3285" t="s">
        <v>4834</v>
      </c>
      <c r="Y3285" t="s">
        <v>4835</v>
      </c>
      <c r="Z3285" t="s">
        <v>42</v>
      </c>
      <c r="AA3285" t="s">
        <v>247</v>
      </c>
      <c r="AB3285" t="s">
        <v>38</v>
      </c>
      <c r="AC3285" t="s">
        <v>45</v>
      </c>
      <c r="AD3285" t="s">
        <v>48</v>
      </c>
      <c r="AG3285" t="str">
        <f>IF(AD3285="United States", IFERROR(INDEX(Sheet2!$C:$C, MATCH(AE3285&amp;AF3285, Sheet2!$E:$E, 0)) &amp; ", " &amp; INDEX(Sheet2!$D:$D, MATCH(AE3285&amp;AF3285, Sheet2!$E:$E, 0)), ""), "-")</f>
        <v/>
      </c>
    </row>
    <row r="3286" spans="1:33" x14ac:dyDescent="0.25">
      <c r="A3286" t="s">
        <v>4736</v>
      </c>
      <c r="B3286" t="s">
        <v>4859</v>
      </c>
      <c r="C3286" t="s">
        <v>4738</v>
      </c>
      <c r="D3286" t="s">
        <v>4860</v>
      </c>
      <c r="E3286" t="s">
        <v>624</v>
      </c>
      <c r="F3286">
        <v>1760</v>
      </c>
      <c r="G3286">
        <v>2763</v>
      </c>
      <c r="I3286" t="s">
        <v>87</v>
      </c>
      <c r="J3286" t="s">
        <v>38</v>
      </c>
      <c r="O3286" t="s">
        <v>41</v>
      </c>
      <c r="P3286" t="s">
        <v>42</v>
      </c>
      <c r="Q3286" t="s">
        <v>43</v>
      </c>
      <c r="R3286" t="s">
        <v>4861</v>
      </c>
      <c r="S3286" t="s">
        <v>45</v>
      </c>
      <c r="V3286" t="s">
        <v>4834</v>
      </c>
      <c r="Y3286" t="s">
        <v>4835</v>
      </c>
      <c r="Z3286" t="s">
        <v>42</v>
      </c>
      <c r="AA3286" t="s">
        <v>38</v>
      </c>
      <c r="AB3286" t="s">
        <v>38</v>
      </c>
      <c r="AC3286" t="s">
        <v>45</v>
      </c>
      <c r="AD3286" t="s">
        <v>48</v>
      </c>
      <c r="AG3286" t="str">
        <f>IF(AD3286="United States", IFERROR(INDEX(Sheet2!$C:$C, MATCH(AE3286&amp;AF3286, Sheet2!$E:$E, 0)) &amp; ", " &amp; INDEX(Sheet2!$D:$D, MATCH(AE3286&amp;AF3286, Sheet2!$E:$E, 0)), ""), "-")</f>
        <v/>
      </c>
    </row>
    <row r="3287" spans="1:33" x14ac:dyDescent="0.25">
      <c r="A3287" t="s">
        <v>4736</v>
      </c>
      <c r="B3287" t="s">
        <v>4862</v>
      </c>
      <c r="C3287" t="s">
        <v>4738</v>
      </c>
      <c r="D3287" t="s">
        <v>556</v>
      </c>
      <c r="E3287" t="s">
        <v>4703</v>
      </c>
      <c r="F3287">
        <v>1763</v>
      </c>
      <c r="G3287">
        <v>2762</v>
      </c>
      <c r="I3287" t="s">
        <v>87</v>
      </c>
      <c r="J3287" t="s">
        <v>38</v>
      </c>
      <c r="O3287" t="s">
        <v>41</v>
      </c>
      <c r="P3287" t="s">
        <v>42</v>
      </c>
      <c r="Q3287" t="s">
        <v>43</v>
      </c>
      <c r="R3287" t="s">
        <v>1137</v>
      </c>
      <c r="S3287" t="s">
        <v>45</v>
      </c>
      <c r="V3287" t="s">
        <v>4834</v>
      </c>
      <c r="Y3287" t="s">
        <v>4835</v>
      </c>
      <c r="Z3287" t="s">
        <v>42</v>
      </c>
      <c r="AA3287" t="s">
        <v>1137</v>
      </c>
      <c r="AB3287" t="s">
        <v>38</v>
      </c>
      <c r="AC3287" t="s">
        <v>45</v>
      </c>
      <c r="AD3287" t="s">
        <v>48</v>
      </c>
      <c r="AG3287" t="str">
        <f>IF(AD3287="United States", IFERROR(INDEX(Sheet2!$C:$C, MATCH(AE3287&amp;AF3287, Sheet2!$E:$E, 0)) &amp; ", " &amp; INDEX(Sheet2!$D:$D, MATCH(AE3287&amp;AF3287, Sheet2!$E:$E, 0)), ""), "-")</f>
        <v/>
      </c>
    </row>
    <row r="3288" spans="1:33" x14ac:dyDescent="0.25">
      <c r="A3288" t="s">
        <v>4736</v>
      </c>
      <c r="B3288" t="s">
        <v>4863</v>
      </c>
      <c r="C3288" t="s">
        <v>4738</v>
      </c>
      <c r="D3288" t="s">
        <v>226</v>
      </c>
      <c r="E3288" t="s">
        <v>4701</v>
      </c>
      <c r="F3288">
        <v>1757</v>
      </c>
      <c r="G3288">
        <v>2761</v>
      </c>
      <c r="I3288" t="s">
        <v>87</v>
      </c>
      <c r="J3288" t="s">
        <v>38</v>
      </c>
      <c r="O3288" t="s">
        <v>54</v>
      </c>
      <c r="P3288" t="s">
        <v>42</v>
      </c>
      <c r="Q3288" t="s">
        <v>43</v>
      </c>
      <c r="R3288" t="s">
        <v>4864</v>
      </c>
      <c r="S3288" t="s">
        <v>1063</v>
      </c>
      <c r="V3288" t="s">
        <v>4834</v>
      </c>
      <c r="Y3288" t="s">
        <v>4835</v>
      </c>
      <c r="Z3288" t="s">
        <v>42</v>
      </c>
      <c r="AA3288" t="s">
        <v>1065</v>
      </c>
      <c r="AB3288" t="s">
        <v>38</v>
      </c>
      <c r="AC3288" t="s">
        <v>1063</v>
      </c>
      <c r="AD3288" t="s">
        <v>48</v>
      </c>
      <c r="AG3288" t="str">
        <f>IF(AD3288="United States", IFERROR(INDEX(Sheet2!$C:$C, MATCH(AE3288&amp;AF3288, Sheet2!$E:$E, 0)) &amp; ", " &amp; INDEX(Sheet2!$D:$D, MATCH(AE3288&amp;AF3288, Sheet2!$E:$E, 0)), ""), "-")</f>
        <v/>
      </c>
    </row>
    <row r="3289" spans="1:33" x14ac:dyDescent="0.25">
      <c r="A3289" t="s">
        <v>4736</v>
      </c>
      <c r="B3289" t="s">
        <v>4865</v>
      </c>
      <c r="C3289" t="s">
        <v>4738</v>
      </c>
      <c r="D3289" t="s">
        <v>4656</v>
      </c>
      <c r="E3289" t="s">
        <v>4751</v>
      </c>
      <c r="F3289">
        <v>1780</v>
      </c>
      <c r="G3289">
        <v>2640</v>
      </c>
      <c r="H3289" t="s">
        <v>38</v>
      </c>
      <c r="I3289" t="s">
        <v>87</v>
      </c>
      <c r="J3289" t="s">
        <v>38</v>
      </c>
      <c r="K3289" t="s">
        <v>38</v>
      </c>
      <c r="L3289" t="s">
        <v>38</v>
      </c>
      <c r="M3289" t="s">
        <v>1274</v>
      </c>
      <c r="N3289" t="s">
        <v>4752</v>
      </c>
      <c r="O3289" t="s">
        <v>54</v>
      </c>
      <c r="P3289" t="s">
        <v>42</v>
      </c>
      <c r="Q3289" t="s">
        <v>43</v>
      </c>
      <c r="R3289" t="s">
        <v>38</v>
      </c>
      <c r="S3289" t="s">
        <v>38</v>
      </c>
      <c r="T3289" t="s">
        <v>38</v>
      </c>
      <c r="U3289" t="s">
        <v>38</v>
      </c>
      <c r="V3289" t="s">
        <v>38</v>
      </c>
      <c r="W3289" t="s">
        <v>38</v>
      </c>
      <c r="X3289" t="s">
        <v>38</v>
      </c>
      <c r="Y3289" t="s">
        <v>38</v>
      </c>
      <c r="Z3289" t="s">
        <v>42</v>
      </c>
      <c r="AA3289" t="s">
        <v>38</v>
      </c>
      <c r="AB3289" t="s">
        <v>38</v>
      </c>
      <c r="AC3289" t="s">
        <v>38</v>
      </c>
      <c r="AD3289" t="s">
        <v>48</v>
      </c>
      <c r="AG3289" t="str">
        <f>IF(AD3289="United States", IFERROR(INDEX(Sheet2!$C:$C, MATCH(AE3289&amp;AF3289, Sheet2!$E:$E, 0)) &amp; ", " &amp; INDEX(Sheet2!$D:$D, MATCH(AE3289&amp;AF3289, Sheet2!$E:$E, 0)), ""), "-")</f>
        <v/>
      </c>
    </row>
    <row r="3290" spans="1:33" x14ac:dyDescent="0.25">
      <c r="A3290" t="s">
        <v>4736</v>
      </c>
      <c r="B3290" t="s">
        <v>4866</v>
      </c>
      <c r="C3290" t="s">
        <v>4738</v>
      </c>
      <c r="D3290" t="s">
        <v>3723</v>
      </c>
      <c r="E3290" t="s">
        <v>859</v>
      </c>
      <c r="F3290">
        <v>1754</v>
      </c>
      <c r="G3290">
        <v>2759</v>
      </c>
      <c r="I3290" t="s">
        <v>87</v>
      </c>
      <c r="J3290" t="s">
        <v>38</v>
      </c>
      <c r="O3290" t="s">
        <v>41</v>
      </c>
      <c r="P3290" t="s">
        <v>42</v>
      </c>
      <c r="Q3290" t="s">
        <v>43</v>
      </c>
      <c r="R3290" t="s">
        <v>241</v>
      </c>
      <c r="S3290" t="s">
        <v>45</v>
      </c>
      <c r="V3290" t="s">
        <v>4834</v>
      </c>
      <c r="Y3290" t="s">
        <v>4835</v>
      </c>
      <c r="Z3290" t="s">
        <v>42</v>
      </c>
      <c r="AA3290" t="s">
        <v>241</v>
      </c>
      <c r="AB3290" t="s">
        <v>38</v>
      </c>
      <c r="AC3290" t="s">
        <v>45</v>
      </c>
      <c r="AD3290" t="s">
        <v>48</v>
      </c>
      <c r="AG3290" t="str">
        <f>IF(AD3290="United States", IFERROR(INDEX(Sheet2!$C:$C, MATCH(AE3290&amp;AF3290, Sheet2!$E:$E, 0)) &amp; ", " &amp; INDEX(Sheet2!$D:$D, MATCH(AE3290&amp;AF3290, Sheet2!$E:$E, 0)), ""), "-")</f>
        <v/>
      </c>
    </row>
    <row r="3291" spans="1:33" x14ac:dyDescent="0.25">
      <c r="A3291" t="s">
        <v>4736</v>
      </c>
      <c r="B3291" t="s">
        <v>4867</v>
      </c>
      <c r="C3291" t="s">
        <v>4738</v>
      </c>
      <c r="D3291" t="s">
        <v>210</v>
      </c>
      <c r="F3291">
        <v>1763</v>
      </c>
      <c r="G3291">
        <v>2784</v>
      </c>
      <c r="I3291" t="s">
        <v>87</v>
      </c>
      <c r="J3291" t="s">
        <v>38</v>
      </c>
      <c r="M3291" t="s">
        <v>352</v>
      </c>
      <c r="N3291" t="s">
        <v>4663</v>
      </c>
      <c r="O3291" t="s">
        <v>54</v>
      </c>
      <c r="P3291" t="s">
        <v>42</v>
      </c>
      <c r="Q3291" t="s">
        <v>43</v>
      </c>
      <c r="V3291" t="s">
        <v>4834</v>
      </c>
      <c r="Y3291" t="s">
        <v>4835</v>
      </c>
      <c r="Z3291" t="s">
        <v>42</v>
      </c>
      <c r="AA3291" t="s">
        <v>38</v>
      </c>
      <c r="AB3291" t="s">
        <v>38</v>
      </c>
      <c r="AC3291" t="s">
        <v>38</v>
      </c>
      <c r="AD3291" t="s">
        <v>48</v>
      </c>
      <c r="AG3291" t="str">
        <f>IF(AD3291="United States", IFERROR(INDEX(Sheet2!$C:$C, MATCH(AE3291&amp;AF3291, Sheet2!$E:$E, 0)) &amp; ", " &amp; INDEX(Sheet2!$D:$D, MATCH(AE3291&amp;AF3291, Sheet2!$E:$E, 0)), ""), "-")</f>
        <v/>
      </c>
    </row>
    <row r="3292" spans="1:33" x14ac:dyDescent="0.25">
      <c r="A3292" t="s">
        <v>4736</v>
      </c>
      <c r="B3292" t="s">
        <v>4868</v>
      </c>
      <c r="C3292" t="s">
        <v>4738</v>
      </c>
      <c r="D3292" t="s">
        <v>210</v>
      </c>
      <c r="E3292" t="s">
        <v>4699</v>
      </c>
      <c r="F3292">
        <v>1738</v>
      </c>
      <c r="G3292">
        <v>2758</v>
      </c>
      <c r="I3292" t="s">
        <v>87</v>
      </c>
      <c r="J3292" t="s">
        <v>38</v>
      </c>
      <c r="O3292" t="s">
        <v>41</v>
      </c>
      <c r="P3292" t="s">
        <v>42</v>
      </c>
      <c r="Q3292" t="s">
        <v>43</v>
      </c>
      <c r="R3292" t="s">
        <v>4869</v>
      </c>
      <c r="S3292" t="s">
        <v>201</v>
      </c>
      <c r="V3292" t="s">
        <v>4834</v>
      </c>
      <c r="Y3292" t="s">
        <v>4835</v>
      </c>
      <c r="Z3292" t="s">
        <v>42</v>
      </c>
      <c r="AA3292" t="s">
        <v>4869</v>
      </c>
      <c r="AB3292" t="s">
        <v>38</v>
      </c>
      <c r="AC3292" t="s">
        <v>201</v>
      </c>
      <c r="AD3292" t="s">
        <v>48</v>
      </c>
      <c r="AG3292" t="str">
        <f>IF(AD3292="United States", IFERROR(INDEX(Sheet2!$C:$C, MATCH(AE3292&amp;AF3292, Sheet2!$E:$E, 0)) &amp; ", " &amp; INDEX(Sheet2!$D:$D, MATCH(AE3292&amp;AF3292, Sheet2!$E:$E, 0)), ""), "-")</f>
        <v/>
      </c>
    </row>
    <row r="3293" spans="1:33" x14ac:dyDescent="0.25">
      <c r="A3293" t="s">
        <v>4736</v>
      </c>
      <c r="B3293" t="s">
        <v>4870</v>
      </c>
      <c r="C3293" t="s">
        <v>4738</v>
      </c>
      <c r="D3293" t="s">
        <v>222</v>
      </c>
      <c r="F3293">
        <v>1761</v>
      </c>
      <c r="G3293">
        <v>2785</v>
      </c>
      <c r="I3293" t="s">
        <v>87</v>
      </c>
      <c r="J3293" t="s">
        <v>38</v>
      </c>
      <c r="O3293" t="s">
        <v>57</v>
      </c>
      <c r="P3293" t="s">
        <v>42</v>
      </c>
      <c r="Q3293" t="s">
        <v>43</v>
      </c>
      <c r="R3293" t="s">
        <v>155</v>
      </c>
      <c r="S3293" t="s">
        <v>153</v>
      </c>
      <c r="V3293" t="s">
        <v>4834</v>
      </c>
      <c r="Y3293" t="s">
        <v>4835</v>
      </c>
      <c r="Z3293" t="s">
        <v>42</v>
      </c>
      <c r="AA3293" t="s">
        <v>155</v>
      </c>
      <c r="AB3293" t="s">
        <v>38</v>
      </c>
      <c r="AC3293" t="s">
        <v>153</v>
      </c>
      <c r="AD3293" t="s">
        <v>48</v>
      </c>
      <c r="AG3293" t="str">
        <f>IF(AD3293="United States", IFERROR(INDEX(Sheet2!$C:$C, MATCH(AE3293&amp;AF3293, Sheet2!$E:$E, 0)) &amp; ", " &amp; INDEX(Sheet2!$D:$D, MATCH(AE3293&amp;AF3293, Sheet2!$E:$E, 0)), ""), "-")</f>
        <v/>
      </c>
    </row>
    <row r="3294" spans="1:33" x14ac:dyDescent="0.25">
      <c r="A3294" t="s">
        <v>4736</v>
      </c>
      <c r="B3294" t="s">
        <v>4871</v>
      </c>
      <c r="C3294" t="s">
        <v>4738</v>
      </c>
      <c r="D3294" t="s">
        <v>4657</v>
      </c>
      <c r="F3294">
        <v>1776</v>
      </c>
      <c r="G3294">
        <v>2787</v>
      </c>
      <c r="I3294" t="s">
        <v>87</v>
      </c>
      <c r="J3294" t="s">
        <v>38</v>
      </c>
      <c r="M3294" t="s">
        <v>222</v>
      </c>
      <c r="O3294" t="s">
        <v>54</v>
      </c>
      <c r="P3294" t="s">
        <v>42</v>
      </c>
      <c r="Q3294" t="s">
        <v>43</v>
      </c>
      <c r="V3294" t="s">
        <v>4834</v>
      </c>
      <c r="Y3294" t="s">
        <v>4835</v>
      </c>
      <c r="Z3294" t="s">
        <v>42</v>
      </c>
      <c r="AA3294" t="s">
        <v>38</v>
      </c>
      <c r="AB3294" t="s">
        <v>38</v>
      </c>
      <c r="AC3294" t="s">
        <v>38</v>
      </c>
      <c r="AD3294" t="s">
        <v>48</v>
      </c>
      <c r="AG3294" t="str">
        <f>IF(AD3294="United States", IFERROR(INDEX(Sheet2!$C:$C, MATCH(AE3294&amp;AF3294, Sheet2!$E:$E, 0)) &amp; ", " &amp; INDEX(Sheet2!$D:$D, MATCH(AE3294&amp;AF3294, Sheet2!$E:$E, 0)), ""), "-")</f>
        <v/>
      </c>
    </row>
    <row r="3295" spans="1:33" x14ac:dyDescent="0.25">
      <c r="A3295" t="s">
        <v>4736</v>
      </c>
      <c r="B3295" t="s">
        <v>4872</v>
      </c>
      <c r="C3295" t="s">
        <v>4738</v>
      </c>
      <c r="D3295" t="s">
        <v>1230</v>
      </c>
      <c r="E3295" t="s">
        <v>4751</v>
      </c>
      <c r="F3295" t="s">
        <v>38</v>
      </c>
      <c r="G3295">
        <v>2812</v>
      </c>
      <c r="I3295" t="s">
        <v>87</v>
      </c>
      <c r="J3295" t="s">
        <v>38</v>
      </c>
      <c r="M3295" t="s">
        <v>4655</v>
      </c>
      <c r="N3295" t="s">
        <v>4751</v>
      </c>
      <c r="O3295" t="s">
        <v>54</v>
      </c>
      <c r="P3295" t="s">
        <v>42</v>
      </c>
      <c r="Q3295" t="s">
        <v>43</v>
      </c>
      <c r="V3295" t="s">
        <v>4834</v>
      </c>
      <c r="Y3295" t="s">
        <v>38</v>
      </c>
      <c r="Z3295" t="s">
        <v>42</v>
      </c>
      <c r="AA3295" t="s">
        <v>38</v>
      </c>
      <c r="AB3295" t="s">
        <v>38</v>
      </c>
      <c r="AC3295" t="s">
        <v>38</v>
      </c>
      <c r="AD3295" t="s">
        <v>48</v>
      </c>
      <c r="AG3295" t="str">
        <f>IF(AD3295="United States", IFERROR(INDEX(Sheet2!$C:$C, MATCH(AE3295&amp;AF3295, Sheet2!$E:$E, 0)) &amp; ", " &amp; INDEX(Sheet2!$D:$D, MATCH(AE3295&amp;AF3295, Sheet2!$E:$E, 0)), ""), "-")</f>
        <v/>
      </c>
    </row>
    <row r="3296" spans="1:33" x14ac:dyDescent="0.25">
      <c r="A3296" t="s">
        <v>4736</v>
      </c>
      <c r="B3296" t="s">
        <v>4873</v>
      </c>
      <c r="C3296" t="s">
        <v>4738</v>
      </c>
      <c r="D3296" t="s">
        <v>4655</v>
      </c>
      <c r="E3296" t="s">
        <v>4751</v>
      </c>
      <c r="F3296">
        <v>1741</v>
      </c>
      <c r="G3296">
        <v>2811</v>
      </c>
      <c r="I3296" t="s">
        <v>87</v>
      </c>
      <c r="J3296" t="s">
        <v>38</v>
      </c>
      <c r="O3296" t="s">
        <v>57</v>
      </c>
      <c r="P3296" t="s">
        <v>42</v>
      </c>
      <c r="Q3296" t="s">
        <v>43</v>
      </c>
      <c r="V3296" t="s">
        <v>4834</v>
      </c>
      <c r="Y3296" t="s">
        <v>38</v>
      </c>
      <c r="Z3296" t="s">
        <v>42</v>
      </c>
      <c r="AA3296" t="s">
        <v>38</v>
      </c>
      <c r="AB3296" t="s">
        <v>38</v>
      </c>
      <c r="AC3296" t="s">
        <v>38</v>
      </c>
      <c r="AD3296" t="s">
        <v>48</v>
      </c>
      <c r="AG3296" t="str">
        <f>IF(AD3296="United States", IFERROR(INDEX(Sheet2!$C:$C, MATCH(AE3296&amp;AF3296, Sheet2!$E:$E, 0)) &amp; ", " &amp; INDEX(Sheet2!$D:$D, MATCH(AE3296&amp;AF3296, Sheet2!$E:$E, 0)), ""), "-")</f>
        <v/>
      </c>
    </row>
    <row r="3297" spans="1:33" x14ac:dyDescent="0.25">
      <c r="A3297" t="s">
        <v>4736</v>
      </c>
      <c r="B3297" t="s">
        <v>4874</v>
      </c>
      <c r="C3297" t="s">
        <v>4738</v>
      </c>
      <c r="D3297" t="s">
        <v>1011</v>
      </c>
      <c r="E3297" t="s">
        <v>4678</v>
      </c>
      <c r="F3297">
        <v>1756</v>
      </c>
      <c r="G3297">
        <v>2810</v>
      </c>
      <c r="I3297" t="s">
        <v>87</v>
      </c>
      <c r="J3297" t="s">
        <v>38</v>
      </c>
      <c r="O3297" t="s">
        <v>57</v>
      </c>
      <c r="P3297" t="s">
        <v>42</v>
      </c>
      <c r="Q3297" t="s">
        <v>43</v>
      </c>
      <c r="R3297" t="s">
        <v>4875</v>
      </c>
      <c r="S3297" t="s">
        <v>201</v>
      </c>
      <c r="V3297" t="s">
        <v>4834</v>
      </c>
      <c r="Y3297" t="s">
        <v>38</v>
      </c>
      <c r="Z3297" t="s">
        <v>42</v>
      </c>
      <c r="AA3297" t="s">
        <v>4875</v>
      </c>
      <c r="AB3297" t="s">
        <v>38</v>
      </c>
      <c r="AC3297" t="s">
        <v>201</v>
      </c>
      <c r="AD3297" t="s">
        <v>48</v>
      </c>
      <c r="AG3297" t="str">
        <f>IF(AD3297="United States", IFERROR(INDEX(Sheet2!$C:$C, MATCH(AE3297&amp;AF3297, Sheet2!$E:$E, 0)) &amp; ", " &amp; INDEX(Sheet2!$D:$D, MATCH(AE3297&amp;AF3297, Sheet2!$E:$E, 0)), ""), "-")</f>
        <v/>
      </c>
    </row>
    <row r="3298" spans="1:33" x14ac:dyDescent="0.25">
      <c r="A3298" t="s">
        <v>4736</v>
      </c>
      <c r="B3298" t="s">
        <v>4876</v>
      </c>
      <c r="C3298" t="s">
        <v>4738</v>
      </c>
      <c r="D3298" t="s">
        <v>774</v>
      </c>
      <c r="E3298" t="s">
        <v>4678</v>
      </c>
      <c r="F3298">
        <v>1745</v>
      </c>
      <c r="G3298">
        <v>2809</v>
      </c>
      <c r="I3298" t="s">
        <v>87</v>
      </c>
      <c r="J3298" t="s">
        <v>38</v>
      </c>
      <c r="O3298" t="s">
        <v>41</v>
      </c>
      <c r="P3298" t="s">
        <v>42</v>
      </c>
      <c r="Q3298" t="s">
        <v>43</v>
      </c>
      <c r="R3298" t="s">
        <v>4875</v>
      </c>
      <c r="S3298" t="s">
        <v>201</v>
      </c>
      <c r="V3298" t="s">
        <v>4834</v>
      </c>
      <c r="Y3298" t="s">
        <v>38</v>
      </c>
      <c r="Z3298" t="s">
        <v>42</v>
      </c>
      <c r="AA3298" t="s">
        <v>4875</v>
      </c>
      <c r="AB3298" t="s">
        <v>38</v>
      </c>
      <c r="AC3298" t="s">
        <v>201</v>
      </c>
      <c r="AD3298" t="s">
        <v>48</v>
      </c>
      <c r="AG3298" t="str">
        <f>IF(AD3298="United States", IFERROR(INDEX(Sheet2!$C:$C, MATCH(AE3298&amp;AF3298, Sheet2!$E:$E, 0)) &amp; ", " &amp; INDEX(Sheet2!$D:$D, MATCH(AE3298&amp;AF3298, Sheet2!$E:$E, 0)), ""), "-")</f>
        <v/>
      </c>
    </row>
    <row r="3299" spans="1:33" x14ac:dyDescent="0.25">
      <c r="A3299" t="s">
        <v>4736</v>
      </c>
      <c r="B3299" t="s">
        <v>4877</v>
      </c>
      <c r="C3299" t="s">
        <v>4738</v>
      </c>
      <c r="D3299" t="s">
        <v>177</v>
      </c>
      <c r="E3299" t="s">
        <v>4676</v>
      </c>
      <c r="F3299" t="s">
        <v>38</v>
      </c>
      <c r="G3299">
        <v>2808</v>
      </c>
      <c r="I3299" t="s">
        <v>87</v>
      </c>
      <c r="J3299" t="s">
        <v>38</v>
      </c>
      <c r="O3299" t="s">
        <v>41</v>
      </c>
      <c r="P3299" t="s">
        <v>42</v>
      </c>
      <c r="Q3299" t="s">
        <v>43</v>
      </c>
      <c r="V3299" t="s">
        <v>4834</v>
      </c>
      <c r="Y3299" t="s">
        <v>4831</v>
      </c>
      <c r="Z3299" t="s">
        <v>42</v>
      </c>
      <c r="AA3299" t="s">
        <v>38</v>
      </c>
      <c r="AB3299" t="s">
        <v>38</v>
      </c>
      <c r="AC3299" t="s">
        <v>38</v>
      </c>
      <c r="AD3299" t="s">
        <v>48</v>
      </c>
      <c r="AG3299" t="str">
        <f>IF(AD3299="United States", IFERROR(INDEX(Sheet2!$C:$C, MATCH(AE3299&amp;AF3299, Sheet2!$E:$E, 0)) &amp; ", " &amp; INDEX(Sheet2!$D:$D, MATCH(AE3299&amp;AF3299, Sheet2!$E:$E, 0)), ""), "-")</f>
        <v/>
      </c>
    </row>
    <row r="3300" spans="1:33" x14ac:dyDescent="0.25">
      <c r="A3300" t="s">
        <v>4736</v>
      </c>
      <c r="B3300" t="s">
        <v>4878</v>
      </c>
      <c r="C3300" t="s">
        <v>4738</v>
      </c>
      <c r="D3300" t="s">
        <v>1122</v>
      </c>
      <c r="F3300">
        <v>1782</v>
      </c>
      <c r="G3300">
        <v>2807</v>
      </c>
      <c r="I3300" t="s">
        <v>87</v>
      </c>
      <c r="J3300" t="s">
        <v>38</v>
      </c>
      <c r="M3300" t="s">
        <v>803</v>
      </c>
      <c r="N3300" t="s">
        <v>4715</v>
      </c>
      <c r="O3300" t="s">
        <v>54</v>
      </c>
      <c r="P3300" t="s">
        <v>42</v>
      </c>
      <c r="Q3300" t="s">
        <v>43</v>
      </c>
      <c r="V3300" t="s">
        <v>4834</v>
      </c>
      <c r="Y3300" t="s">
        <v>4835</v>
      </c>
      <c r="Z3300" t="s">
        <v>42</v>
      </c>
      <c r="AA3300" t="s">
        <v>38</v>
      </c>
      <c r="AB3300" t="s">
        <v>38</v>
      </c>
      <c r="AC3300" t="s">
        <v>38</v>
      </c>
      <c r="AD3300" t="s">
        <v>48</v>
      </c>
      <c r="AG3300" t="str">
        <f>IF(AD3300="United States", IFERROR(INDEX(Sheet2!$C:$C, MATCH(AE3300&amp;AF3300, Sheet2!$E:$E, 0)) &amp; ", " &amp; INDEX(Sheet2!$D:$D, MATCH(AE3300&amp;AF3300, Sheet2!$E:$E, 0)), ""), "-")</f>
        <v/>
      </c>
    </row>
    <row r="3301" spans="1:33" x14ac:dyDescent="0.25">
      <c r="A3301" t="s">
        <v>4736</v>
      </c>
      <c r="B3301" t="s">
        <v>4879</v>
      </c>
      <c r="C3301" t="s">
        <v>4738</v>
      </c>
      <c r="D3301" t="s">
        <v>1954</v>
      </c>
      <c r="F3301">
        <v>1775</v>
      </c>
      <c r="G3301">
        <v>2806</v>
      </c>
      <c r="I3301" t="s">
        <v>87</v>
      </c>
      <c r="J3301" t="s">
        <v>38</v>
      </c>
      <c r="M3301" t="s">
        <v>803</v>
      </c>
      <c r="N3301" t="s">
        <v>4715</v>
      </c>
      <c r="O3301" t="s">
        <v>54</v>
      </c>
      <c r="P3301" t="s">
        <v>42</v>
      </c>
      <c r="Q3301" t="s">
        <v>43</v>
      </c>
      <c r="V3301" t="s">
        <v>4834</v>
      </c>
      <c r="Y3301" t="s">
        <v>4835</v>
      </c>
      <c r="Z3301" t="s">
        <v>42</v>
      </c>
      <c r="AA3301" t="s">
        <v>38</v>
      </c>
      <c r="AB3301" t="s">
        <v>38</v>
      </c>
      <c r="AC3301" t="s">
        <v>38</v>
      </c>
      <c r="AD3301" t="s">
        <v>48</v>
      </c>
      <c r="AG3301" t="str">
        <f>IF(AD3301="United States", IFERROR(INDEX(Sheet2!$C:$C, MATCH(AE3301&amp;AF3301, Sheet2!$E:$E, 0)) &amp; ", " &amp; INDEX(Sheet2!$D:$D, MATCH(AE3301&amp;AF3301, Sheet2!$E:$E, 0)), ""), "-")</f>
        <v/>
      </c>
    </row>
    <row r="3302" spans="1:33" x14ac:dyDescent="0.25">
      <c r="A3302" t="s">
        <v>4736</v>
      </c>
      <c r="B3302" t="s">
        <v>4880</v>
      </c>
      <c r="C3302" t="s">
        <v>4738</v>
      </c>
      <c r="D3302" t="s">
        <v>803</v>
      </c>
      <c r="E3302" t="s">
        <v>4715</v>
      </c>
      <c r="F3302">
        <v>1753</v>
      </c>
      <c r="G3302">
        <v>2805</v>
      </c>
      <c r="I3302" t="s">
        <v>87</v>
      </c>
      <c r="J3302" t="s">
        <v>38</v>
      </c>
      <c r="O3302" t="s">
        <v>57</v>
      </c>
      <c r="P3302" t="s">
        <v>42</v>
      </c>
      <c r="Q3302" t="s">
        <v>43</v>
      </c>
      <c r="R3302" t="s">
        <v>155</v>
      </c>
      <c r="S3302" t="s">
        <v>153</v>
      </c>
      <c r="V3302" t="s">
        <v>4834</v>
      </c>
      <c r="Y3302" t="s">
        <v>4835</v>
      </c>
      <c r="Z3302" t="s">
        <v>42</v>
      </c>
      <c r="AA3302" t="s">
        <v>155</v>
      </c>
      <c r="AB3302" t="s">
        <v>38</v>
      </c>
      <c r="AC3302" t="s">
        <v>153</v>
      </c>
      <c r="AD3302" t="s">
        <v>48</v>
      </c>
      <c r="AG3302" t="str">
        <f>IF(AD3302="United States", IFERROR(INDEX(Sheet2!$C:$C, MATCH(AE3302&amp;AF3302, Sheet2!$E:$E, 0)) &amp; ", " &amp; INDEX(Sheet2!$D:$D, MATCH(AE3302&amp;AF3302, Sheet2!$E:$E, 0)), ""), "-")</f>
        <v/>
      </c>
    </row>
    <row r="3303" spans="1:33" x14ac:dyDescent="0.25">
      <c r="A3303" t="s">
        <v>4736</v>
      </c>
      <c r="B3303" t="s">
        <v>4881</v>
      </c>
      <c r="C3303" t="s">
        <v>4738</v>
      </c>
      <c r="D3303" t="s">
        <v>834</v>
      </c>
      <c r="F3303">
        <v>1780</v>
      </c>
      <c r="G3303">
        <v>2804</v>
      </c>
      <c r="I3303" t="s">
        <v>87</v>
      </c>
      <c r="J3303" t="s">
        <v>38</v>
      </c>
      <c r="O3303" t="s">
        <v>54</v>
      </c>
      <c r="P3303" t="s">
        <v>42</v>
      </c>
      <c r="Q3303" t="s">
        <v>43</v>
      </c>
      <c r="V3303" t="s">
        <v>4834</v>
      </c>
      <c r="Y3303" t="s">
        <v>4835</v>
      </c>
      <c r="Z3303" t="s">
        <v>42</v>
      </c>
      <c r="AA3303" t="s">
        <v>38</v>
      </c>
      <c r="AB3303" t="s">
        <v>38</v>
      </c>
      <c r="AC3303" t="s">
        <v>38</v>
      </c>
      <c r="AD3303" t="s">
        <v>48</v>
      </c>
      <c r="AG3303" t="str">
        <f>IF(AD3303="United States", IFERROR(INDEX(Sheet2!$C:$C, MATCH(AE3303&amp;AF3303, Sheet2!$E:$E, 0)) &amp; ", " &amp; INDEX(Sheet2!$D:$D, MATCH(AE3303&amp;AF3303, Sheet2!$E:$E, 0)), ""), "-")</f>
        <v/>
      </c>
    </row>
    <row r="3304" spans="1:33" x14ac:dyDescent="0.25">
      <c r="A3304" t="s">
        <v>4736</v>
      </c>
      <c r="B3304" t="s">
        <v>4882</v>
      </c>
      <c r="C3304" t="s">
        <v>4738</v>
      </c>
      <c r="D3304" t="s">
        <v>835</v>
      </c>
      <c r="F3304">
        <v>1760</v>
      </c>
      <c r="G3304">
        <v>2803</v>
      </c>
      <c r="I3304" t="s">
        <v>87</v>
      </c>
      <c r="J3304" t="s">
        <v>38</v>
      </c>
      <c r="O3304" t="s">
        <v>57</v>
      </c>
      <c r="P3304" t="s">
        <v>42</v>
      </c>
      <c r="Q3304" t="s">
        <v>43</v>
      </c>
      <c r="R3304" t="s">
        <v>155</v>
      </c>
      <c r="S3304" t="s">
        <v>153</v>
      </c>
      <c r="V3304" t="s">
        <v>4834</v>
      </c>
      <c r="Y3304" t="s">
        <v>4835</v>
      </c>
      <c r="Z3304" t="s">
        <v>42</v>
      </c>
      <c r="AA3304" t="s">
        <v>155</v>
      </c>
      <c r="AB3304" t="s">
        <v>38</v>
      </c>
      <c r="AC3304" t="s">
        <v>153</v>
      </c>
      <c r="AD3304" t="s">
        <v>48</v>
      </c>
      <c r="AG3304" t="str">
        <f>IF(AD3304="United States", IFERROR(INDEX(Sheet2!$C:$C, MATCH(AE3304&amp;AF3304, Sheet2!$E:$E, 0)) &amp; ", " &amp; INDEX(Sheet2!$D:$D, MATCH(AE3304&amp;AF3304, Sheet2!$E:$E, 0)), ""), "-")</f>
        <v/>
      </c>
    </row>
    <row r="3305" spans="1:33" x14ac:dyDescent="0.25">
      <c r="A3305" t="s">
        <v>4736</v>
      </c>
      <c r="B3305" t="s">
        <v>4883</v>
      </c>
      <c r="C3305" t="s">
        <v>4738</v>
      </c>
      <c r="D3305" t="s">
        <v>50</v>
      </c>
      <c r="F3305">
        <v>1767</v>
      </c>
      <c r="G3305">
        <v>2802</v>
      </c>
      <c r="I3305" t="s">
        <v>87</v>
      </c>
      <c r="J3305" t="s">
        <v>38</v>
      </c>
      <c r="M3305" t="s">
        <v>256</v>
      </c>
      <c r="O3305" t="s">
        <v>54</v>
      </c>
      <c r="P3305" t="s">
        <v>42</v>
      </c>
      <c r="Q3305" t="s">
        <v>43</v>
      </c>
      <c r="V3305" t="s">
        <v>4834</v>
      </c>
      <c r="Y3305" t="s">
        <v>4835</v>
      </c>
      <c r="Z3305" t="s">
        <v>42</v>
      </c>
      <c r="AA3305" t="s">
        <v>38</v>
      </c>
      <c r="AB3305" t="s">
        <v>38</v>
      </c>
      <c r="AC3305" t="s">
        <v>38</v>
      </c>
      <c r="AD3305" t="s">
        <v>48</v>
      </c>
      <c r="AG3305" t="str">
        <f>IF(AD3305="United States", IFERROR(INDEX(Sheet2!$C:$C, MATCH(AE3305&amp;AF3305, Sheet2!$E:$E, 0)) &amp; ", " &amp; INDEX(Sheet2!$D:$D, MATCH(AE3305&amp;AF3305, Sheet2!$E:$E, 0)), ""), "-")</f>
        <v/>
      </c>
    </row>
    <row r="3306" spans="1:33" x14ac:dyDescent="0.25">
      <c r="A3306" t="s">
        <v>4736</v>
      </c>
      <c r="B3306" t="s">
        <v>4884</v>
      </c>
      <c r="C3306" t="s">
        <v>4738</v>
      </c>
      <c r="D3306" t="s">
        <v>256</v>
      </c>
      <c r="F3306">
        <v>1764</v>
      </c>
      <c r="G3306">
        <v>2801</v>
      </c>
      <c r="I3306" t="s">
        <v>87</v>
      </c>
      <c r="J3306" t="s">
        <v>38</v>
      </c>
      <c r="O3306" t="s">
        <v>57</v>
      </c>
      <c r="P3306" t="s">
        <v>42</v>
      </c>
      <c r="Q3306" t="s">
        <v>43</v>
      </c>
      <c r="V3306" t="s">
        <v>4834</v>
      </c>
      <c r="Y3306" t="s">
        <v>4835</v>
      </c>
      <c r="Z3306" t="s">
        <v>42</v>
      </c>
      <c r="AA3306" t="s">
        <v>38</v>
      </c>
      <c r="AB3306" t="s">
        <v>38</v>
      </c>
      <c r="AC3306" t="s">
        <v>166</v>
      </c>
      <c r="AD3306" t="s">
        <v>48</v>
      </c>
      <c r="AG3306" t="str">
        <f>IF(AD3306="United States", IFERROR(INDEX(Sheet2!$C:$C, MATCH(AE3306&amp;AF3306, Sheet2!$E:$E, 0)) &amp; ", " &amp; INDEX(Sheet2!$D:$D, MATCH(AE3306&amp;AF3306, Sheet2!$E:$E, 0)), ""), "-")</f>
        <v/>
      </c>
    </row>
    <row r="3307" spans="1:33" x14ac:dyDescent="0.25">
      <c r="A3307" t="s">
        <v>4736</v>
      </c>
      <c r="B3307" t="s">
        <v>4885</v>
      </c>
      <c r="C3307" t="s">
        <v>4738</v>
      </c>
      <c r="D3307" t="s">
        <v>4886</v>
      </c>
      <c r="F3307">
        <v>1764</v>
      </c>
      <c r="G3307">
        <v>2800</v>
      </c>
      <c r="I3307" t="s">
        <v>87</v>
      </c>
      <c r="J3307" t="s">
        <v>38</v>
      </c>
      <c r="O3307" t="s">
        <v>57</v>
      </c>
      <c r="P3307" t="s">
        <v>42</v>
      </c>
      <c r="Q3307" t="s">
        <v>43</v>
      </c>
      <c r="V3307" t="s">
        <v>4834</v>
      </c>
      <c r="Y3307" t="s">
        <v>4835</v>
      </c>
      <c r="Z3307" t="s">
        <v>42</v>
      </c>
      <c r="AA3307" t="s">
        <v>38</v>
      </c>
      <c r="AB3307" t="s">
        <v>38</v>
      </c>
      <c r="AC3307" t="s">
        <v>38</v>
      </c>
      <c r="AD3307" t="s">
        <v>48</v>
      </c>
      <c r="AG3307" t="str">
        <f>IF(AD3307="United States", IFERROR(INDEX(Sheet2!$C:$C, MATCH(AE3307&amp;AF3307, Sheet2!$E:$E, 0)) &amp; ", " &amp; INDEX(Sheet2!$D:$D, MATCH(AE3307&amp;AF3307, Sheet2!$E:$E, 0)), ""), "-")</f>
        <v/>
      </c>
    </row>
    <row r="3308" spans="1:33" x14ac:dyDescent="0.25">
      <c r="A3308" t="s">
        <v>4736</v>
      </c>
      <c r="B3308" t="s">
        <v>4887</v>
      </c>
      <c r="C3308" t="s">
        <v>4738</v>
      </c>
      <c r="D3308" t="s">
        <v>263</v>
      </c>
      <c r="F3308">
        <v>1747</v>
      </c>
      <c r="G3308">
        <v>2799</v>
      </c>
      <c r="I3308" t="s">
        <v>87</v>
      </c>
      <c r="J3308" t="s">
        <v>38</v>
      </c>
      <c r="O3308" t="s">
        <v>57</v>
      </c>
      <c r="P3308" t="s">
        <v>42</v>
      </c>
      <c r="Q3308" t="s">
        <v>43</v>
      </c>
      <c r="R3308" t="s">
        <v>4888</v>
      </c>
      <c r="S3308" t="s">
        <v>201</v>
      </c>
      <c r="V3308" t="s">
        <v>4834</v>
      </c>
      <c r="Y3308" t="s">
        <v>4835</v>
      </c>
      <c r="Z3308" t="s">
        <v>42</v>
      </c>
      <c r="AA3308" t="s">
        <v>265</v>
      </c>
      <c r="AB3308" t="s">
        <v>38</v>
      </c>
      <c r="AC3308" t="s">
        <v>201</v>
      </c>
      <c r="AD3308" t="s">
        <v>48</v>
      </c>
      <c r="AG3308" t="str">
        <f>IF(AD3308="United States", IFERROR(INDEX(Sheet2!$C:$C, MATCH(AE3308&amp;AF3308, Sheet2!$E:$E, 0)) &amp; ", " &amp; INDEX(Sheet2!$D:$D, MATCH(AE3308&amp;AF3308, Sheet2!$E:$E, 0)), ""), "-")</f>
        <v/>
      </c>
    </row>
    <row r="3309" spans="1:33" x14ac:dyDescent="0.25">
      <c r="A3309" t="s">
        <v>4736</v>
      </c>
      <c r="B3309" t="s">
        <v>4889</v>
      </c>
      <c r="C3309" t="s">
        <v>4738</v>
      </c>
      <c r="D3309" t="s">
        <v>4711</v>
      </c>
      <c r="F3309">
        <v>1748</v>
      </c>
      <c r="G3309">
        <v>2798</v>
      </c>
      <c r="I3309" t="s">
        <v>87</v>
      </c>
      <c r="J3309" t="s">
        <v>38</v>
      </c>
      <c r="O3309" t="s">
        <v>57</v>
      </c>
      <c r="P3309" t="s">
        <v>42</v>
      </c>
      <c r="Q3309" t="s">
        <v>43</v>
      </c>
      <c r="R3309" t="s">
        <v>169</v>
      </c>
      <c r="S3309" t="s">
        <v>45</v>
      </c>
      <c r="V3309" t="s">
        <v>4834</v>
      </c>
      <c r="Y3309" t="s">
        <v>4835</v>
      </c>
      <c r="Z3309" t="s">
        <v>42</v>
      </c>
      <c r="AA3309" t="s">
        <v>169</v>
      </c>
      <c r="AB3309" t="s">
        <v>38</v>
      </c>
      <c r="AC3309" t="s">
        <v>45</v>
      </c>
      <c r="AD3309" t="s">
        <v>48</v>
      </c>
      <c r="AG3309" t="str">
        <f>IF(AD3309="United States", IFERROR(INDEX(Sheet2!$C:$C, MATCH(AE3309&amp;AF3309, Sheet2!$E:$E, 0)) &amp; ", " &amp; INDEX(Sheet2!$D:$D, MATCH(AE3309&amp;AF3309, Sheet2!$E:$E, 0)), ""), "-")</f>
        <v/>
      </c>
    </row>
    <row r="3310" spans="1:33" x14ac:dyDescent="0.25">
      <c r="A3310" t="s">
        <v>4736</v>
      </c>
      <c r="B3310" t="s">
        <v>4890</v>
      </c>
      <c r="C3310" t="s">
        <v>4738</v>
      </c>
      <c r="D3310" t="s">
        <v>835</v>
      </c>
      <c r="F3310">
        <v>1754</v>
      </c>
      <c r="G3310">
        <v>2797</v>
      </c>
      <c r="I3310" t="s">
        <v>87</v>
      </c>
      <c r="J3310" t="s">
        <v>38</v>
      </c>
      <c r="O3310" t="s">
        <v>57</v>
      </c>
      <c r="P3310" t="s">
        <v>42</v>
      </c>
      <c r="Q3310" t="s">
        <v>43</v>
      </c>
      <c r="R3310" t="s">
        <v>4891</v>
      </c>
      <c r="S3310" t="s">
        <v>153</v>
      </c>
      <c r="V3310" t="s">
        <v>4834</v>
      </c>
      <c r="Y3310" t="s">
        <v>4835</v>
      </c>
      <c r="Z3310" t="s">
        <v>42</v>
      </c>
      <c r="AA3310" t="s">
        <v>38</v>
      </c>
      <c r="AB3310" t="s">
        <v>38</v>
      </c>
      <c r="AC3310" t="s">
        <v>153</v>
      </c>
      <c r="AD3310" t="s">
        <v>48</v>
      </c>
      <c r="AG3310" t="str">
        <f>IF(AD3310="United States", IFERROR(INDEX(Sheet2!$C:$C, MATCH(AE3310&amp;AF3310, Sheet2!$E:$E, 0)) &amp; ", " &amp; INDEX(Sheet2!$D:$D, MATCH(AE3310&amp;AF3310, Sheet2!$E:$E, 0)), ""), "-")</f>
        <v/>
      </c>
    </row>
    <row r="3311" spans="1:33" x14ac:dyDescent="0.25">
      <c r="A3311" t="s">
        <v>4736</v>
      </c>
      <c r="B3311" t="s">
        <v>4892</v>
      </c>
      <c r="C3311" t="s">
        <v>4738</v>
      </c>
      <c r="D3311" t="s">
        <v>495</v>
      </c>
      <c r="F3311">
        <v>1776</v>
      </c>
      <c r="G3311">
        <v>2796</v>
      </c>
      <c r="I3311" t="s">
        <v>87</v>
      </c>
      <c r="J3311" t="s">
        <v>38</v>
      </c>
      <c r="M3311" t="s">
        <v>72</v>
      </c>
      <c r="O3311" t="s">
        <v>54</v>
      </c>
      <c r="P3311" t="s">
        <v>42</v>
      </c>
      <c r="Q3311" t="s">
        <v>43</v>
      </c>
      <c r="V3311" t="s">
        <v>4834</v>
      </c>
      <c r="Y3311" t="s">
        <v>4835</v>
      </c>
      <c r="Z3311" t="s">
        <v>42</v>
      </c>
      <c r="AA3311" t="s">
        <v>38</v>
      </c>
      <c r="AB3311" t="s">
        <v>38</v>
      </c>
      <c r="AC3311" t="s">
        <v>38</v>
      </c>
      <c r="AD3311" t="s">
        <v>48</v>
      </c>
      <c r="AG3311" t="str">
        <f>IF(AD3311="United States", IFERROR(INDEX(Sheet2!$C:$C, MATCH(AE3311&amp;AF3311, Sheet2!$E:$E, 0)) &amp; ", " &amp; INDEX(Sheet2!$D:$D, MATCH(AE3311&amp;AF3311, Sheet2!$E:$E, 0)), ""), "-")</f>
        <v/>
      </c>
    </row>
    <row r="3312" spans="1:33" x14ac:dyDescent="0.25">
      <c r="A3312" t="s">
        <v>4736</v>
      </c>
      <c r="B3312" t="s">
        <v>4893</v>
      </c>
      <c r="C3312" t="s">
        <v>4738</v>
      </c>
      <c r="D3312" t="s">
        <v>72</v>
      </c>
      <c r="F3312">
        <v>1743</v>
      </c>
      <c r="G3312">
        <v>2795</v>
      </c>
      <c r="I3312" t="s">
        <v>87</v>
      </c>
      <c r="J3312" t="s">
        <v>38</v>
      </c>
      <c r="O3312" t="s">
        <v>57</v>
      </c>
      <c r="P3312" t="s">
        <v>42</v>
      </c>
      <c r="Q3312" t="s">
        <v>43</v>
      </c>
      <c r="S3312" t="s">
        <v>1063</v>
      </c>
      <c r="V3312" t="s">
        <v>4834</v>
      </c>
      <c r="Y3312" t="s">
        <v>4835</v>
      </c>
      <c r="Z3312" t="s">
        <v>42</v>
      </c>
      <c r="AA3312" t="s">
        <v>38</v>
      </c>
      <c r="AB3312" t="s">
        <v>38</v>
      </c>
      <c r="AC3312" t="s">
        <v>1063</v>
      </c>
      <c r="AD3312" t="s">
        <v>48</v>
      </c>
      <c r="AG3312" t="str">
        <f>IF(AD3312="United States", IFERROR(INDEX(Sheet2!$C:$C, MATCH(AE3312&amp;AF3312, Sheet2!$E:$E, 0)) &amp; ", " &amp; INDEX(Sheet2!$D:$D, MATCH(AE3312&amp;AF3312, Sheet2!$E:$E, 0)), ""), "-")</f>
        <v/>
      </c>
    </row>
    <row r="3313" spans="1:33" x14ac:dyDescent="0.25">
      <c r="A3313" t="s">
        <v>4736</v>
      </c>
      <c r="B3313" t="s">
        <v>4894</v>
      </c>
      <c r="C3313" t="s">
        <v>4738</v>
      </c>
      <c r="D3313" t="s">
        <v>2050</v>
      </c>
      <c r="F3313">
        <v>1774</v>
      </c>
      <c r="G3313">
        <v>2794</v>
      </c>
      <c r="I3313" t="s">
        <v>87</v>
      </c>
      <c r="J3313" t="s">
        <v>38</v>
      </c>
      <c r="M3313" t="s">
        <v>245</v>
      </c>
      <c r="O3313" t="s">
        <v>54</v>
      </c>
      <c r="P3313" t="s">
        <v>42</v>
      </c>
      <c r="Q3313" t="s">
        <v>43</v>
      </c>
      <c r="V3313" t="s">
        <v>4834</v>
      </c>
      <c r="Y3313" t="s">
        <v>4835</v>
      </c>
      <c r="Z3313" t="s">
        <v>42</v>
      </c>
      <c r="AA3313" t="s">
        <v>38</v>
      </c>
      <c r="AB3313" t="s">
        <v>38</v>
      </c>
      <c r="AC3313" t="s">
        <v>38</v>
      </c>
      <c r="AD3313" t="s">
        <v>48</v>
      </c>
      <c r="AG3313" t="str">
        <f>IF(AD3313="United States", IFERROR(INDEX(Sheet2!$C:$C, MATCH(AE3313&amp;AF3313, Sheet2!$E:$E, 0)) &amp; ", " &amp; INDEX(Sheet2!$D:$D, MATCH(AE3313&amp;AF3313, Sheet2!$E:$E, 0)), ""), "-")</f>
        <v/>
      </c>
    </row>
    <row r="3314" spans="1:33" x14ac:dyDescent="0.25">
      <c r="A3314" t="s">
        <v>4736</v>
      </c>
      <c r="B3314" t="s">
        <v>4895</v>
      </c>
      <c r="C3314" t="s">
        <v>4738</v>
      </c>
      <c r="D3314" t="s">
        <v>245</v>
      </c>
      <c r="F3314">
        <v>1763</v>
      </c>
      <c r="G3314">
        <v>2793</v>
      </c>
      <c r="I3314" t="s">
        <v>87</v>
      </c>
      <c r="J3314" t="s">
        <v>38</v>
      </c>
      <c r="O3314" t="s">
        <v>57</v>
      </c>
      <c r="P3314" t="s">
        <v>42</v>
      </c>
      <c r="Q3314" t="s">
        <v>43</v>
      </c>
      <c r="R3314" t="s">
        <v>155</v>
      </c>
      <c r="S3314" t="s">
        <v>153</v>
      </c>
      <c r="V3314" t="s">
        <v>4834</v>
      </c>
      <c r="Y3314" t="s">
        <v>4835</v>
      </c>
      <c r="Z3314" t="s">
        <v>42</v>
      </c>
      <c r="AA3314" t="s">
        <v>3026</v>
      </c>
      <c r="AB3314" t="s">
        <v>155</v>
      </c>
      <c r="AC3314" t="s">
        <v>153</v>
      </c>
      <c r="AD3314" t="s">
        <v>48</v>
      </c>
      <c r="AG3314" t="str">
        <f>IF(AD3314="United States", IFERROR(INDEX(Sheet2!$C:$C, MATCH(AE3314&amp;AF3314, Sheet2!$E:$E, 0)) &amp; ", " &amp; INDEX(Sheet2!$D:$D, MATCH(AE3314&amp;AF3314, Sheet2!$E:$E, 0)), ""), "-")</f>
        <v/>
      </c>
    </row>
    <row r="3315" spans="1:33" x14ac:dyDescent="0.25">
      <c r="A3315" t="s">
        <v>4736</v>
      </c>
      <c r="B3315" t="s">
        <v>4896</v>
      </c>
      <c r="C3315" t="s">
        <v>4738</v>
      </c>
      <c r="D3315" t="s">
        <v>114</v>
      </c>
      <c r="F3315">
        <v>1776</v>
      </c>
      <c r="G3315">
        <v>2792</v>
      </c>
      <c r="I3315" t="s">
        <v>87</v>
      </c>
      <c r="J3315" t="s">
        <v>38</v>
      </c>
      <c r="M3315" t="s">
        <v>1099</v>
      </c>
      <c r="O3315" t="s">
        <v>54</v>
      </c>
      <c r="P3315" t="s">
        <v>42</v>
      </c>
      <c r="Q3315" t="s">
        <v>43</v>
      </c>
      <c r="V3315" t="s">
        <v>4834</v>
      </c>
      <c r="Y3315" t="s">
        <v>4835</v>
      </c>
      <c r="Z3315" t="s">
        <v>42</v>
      </c>
      <c r="AA3315" t="s">
        <v>38</v>
      </c>
      <c r="AB3315" t="s">
        <v>38</v>
      </c>
      <c r="AC3315" t="s">
        <v>38</v>
      </c>
      <c r="AD3315" t="s">
        <v>48</v>
      </c>
      <c r="AG3315" t="str">
        <f>IF(AD3315="United States", IFERROR(INDEX(Sheet2!$C:$C, MATCH(AE3315&amp;AF3315, Sheet2!$E:$E, 0)) &amp; ", " &amp; INDEX(Sheet2!$D:$D, MATCH(AE3315&amp;AF3315, Sheet2!$E:$E, 0)), ""), "-")</f>
        <v/>
      </c>
    </row>
    <row r="3316" spans="1:33" x14ac:dyDescent="0.25">
      <c r="A3316" t="s">
        <v>4736</v>
      </c>
      <c r="B3316" t="s">
        <v>4897</v>
      </c>
      <c r="C3316" t="s">
        <v>4738</v>
      </c>
      <c r="D3316" t="s">
        <v>1099</v>
      </c>
      <c r="F3316">
        <v>1757</v>
      </c>
      <c r="G3316">
        <v>2791</v>
      </c>
      <c r="I3316" t="s">
        <v>87</v>
      </c>
      <c r="J3316" t="s">
        <v>38</v>
      </c>
      <c r="O3316" t="s">
        <v>57</v>
      </c>
      <c r="P3316" t="s">
        <v>42</v>
      </c>
      <c r="Q3316" t="s">
        <v>43</v>
      </c>
      <c r="V3316" t="s">
        <v>4834</v>
      </c>
      <c r="Y3316" t="s">
        <v>4835</v>
      </c>
      <c r="Z3316" t="s">
        <v>42</v>
      </c>
      <c r="AA3316" t="s">
        <v>38</v>
      </c>
      <c r="AB3316" t="s">
        <v>38</v>
      </c>
      <c r="AC3316" t="s">
        <v>38</v>
      </c>
      <c r="AD3316" t="s">
        <v>48</v>
      </c>
      <c r="AG3316" t="str">
        <f>IF(AD3316="United States", IFERROR(INDEX(Sheet2!$C:$C, MATCH(AE3316&amp;AF3316, Sheet2!$E:$E, 0)) &amp; ", " &amp; INDEX(Sheet2!$D:$D, MATCH(AE3316&amp;AF3316, Sheet2!$E:$E, 0)), ""), "-")</f>
        <v/>
      </c>
    </row>
    <row r="3317" spans="1:33" x14ac:dyDescent="0.25">
      <c r="A3317" t="s">
        <v>4736</v>
      </c>
      <c r="B3317" t="s">
        <v>4898</v>
      </c>
      <c r="C3317" t="s">
        <v>4738</v>
      </c>
      <c r="D3317" t="s">
        <v>1197</v>
      </c>
      <c r="F3317">
        <v>1763</v>
      </c>
      <c r="G3317">
        <v>2790</v>
      </c>
      <c r="I3317" t="s">
        <v>87</v>
      </c>
      <c r="J3317" t="s">
        <v>38</v>
      </c>
      <c r="O3317" t="s">
        <v>57</v>
      </c>
      <c r="P3317" t="s">
        <v>42</v>
      </c>
      <c r="Q3317" t="s">
        <v>43</v>
      </c>
      <c r="R3317" t="s">
        <v>4899</v>
      </c>
      <c r="S3317" t="s">
        <v>153</v>
      </c>
      <c r="V3317" t="s">
        <v>4834</v>
      </c>
      <c r="Y3317" t="s">
        <v>4835</v>
      </c>
      <c r="Z3317" t="s">
        <v>42</v>
      </c>
      <c r="AA3317" t="s">
        <v>1197</v>
      </c>
      <c r="AB3317" t="s">
        <v>4899</v>
      </c>
      <c r="AC3317" t="s">
        <v>153</v>
      </c>
      <c r="AD3317" t="s">
        <v>48</v>
      </c>
      <c r="AG3317" t="str">
        <f>IF(AD3317="United States", IFERROR(INDEX(Sheet2!$C:$C, MATCH(AE3317&amp;AF3317, Sheet2!$E:$E, 0)) &amp; ", " &amp; INDEX(Sheet2!$D:$D, MATCH(AE3317&amp;AF3317, Sheet2!$E:$E, 0)), ""), "-")</f>
        <v/>
      </c>
    </row>
    <row r="3318" spans="1:33" x14ac:dyDescent="0.25">
      <c r="A3318" t="s">
        <v>4736</v>
      </c>
      <c r="B3318" t="s">
        <v>4900</v>
      </c>
      <c r="C3318" t="s">
        <v>4738</v>
      </c>
      <c r="D3318" t="s">
        <v>445</v>
      </c>
      <c r="E3318" t="s">
        <v>1854</v>
      </c>
      <c r="F3318">
        <v>1760</v>
      </c>
      <c r="G3318">
        <v>2789</v>
      </c>
      <c r="I3318" t="s">
        <v>87</v>
      </c>
      <c r="J3318" t="s">
        <v>38</v>
      </c>
      <c r="O3318" t="s">
        <v>57</v>
      </c>
      <c r="P3318" t="s">
        <v>42</v>
      </c>
      <c r="Q3318" t="s">
        <v>43</v>
      </c>
      <c r="R3318" t="s">
        <v>155</v>
      </c>
      <c r="S3318" t="s">
        <v>153</v>
      </c>
      <c r="V3318" t="s">
        <v>4834</v>
      </c>
      <c r="Y3318" t="s">
        <v>4835</v>
      </c>
      <c r="Z3318" t="s">
        <v>42</v>
      </c>
      <c r="AA3318" t="s">
        <v>155</v>
      </c>
      <c r="AB3318" t="s">
        <v>38</v>
      </c>
      <c r="AC3318" t="s">
        <v>153</v>
      </c>
      <c r="AD3318" t="s">
        <v>48</v>
      </c>
      <c r="AG3318" t="str">
        <f>IF(AD3318="United States", IFERROR(INDEX(Sheet2!$C:$C, MATCH(AE3318&amp;AF3318, Sheet2!$E:$E, 0)) &amp; ", " &amp; INDEX(Sheet2!$D:$D, MATCH(AE3318&amp;AF3318, Sheet2!$E:$E, 0)), ""), "-")</f>
        <v/>
      </c>
    </row>
    <row r="3319" spans="1:33" x14ac:dyDescent="0.25">
      <c r="A3319" t="s">
        <v>4736</v>
      </c>
      <c r="B3319" t="s">
        <v>4901</v>
      </c>
      <c r="C3319" t="s">
        <v>4738</v>
      </c>
      <c r="D3319" t="s">
        <v>1168</v>
      </c>
      <c r="F3319">
        <v>1753</v>
      </c>
      <c r="G3319">
        <v>2788</v>
      </c>
      <c r="I3319" t="s">
        <v>87</v>
      </c>
      <c r="J3319" t="s">
        <v>38</v>
      </c>
      <c r="O3319" t="s">
        <v>57</v>
      </c>
      <c r="P3319" t="s">
        <v>42</v>
      </c>
      <c r="Q3319" t="s">
        <v>43</v>
      </c>
      <c r="V3319" t="s">
        <v>4834</v>
      </c>
      <c r="Y3319" t="s">
        <v>4835</v>
      </c>
      <c r="Z3319" t="s">
        <v>42</v>
      </c>
      <c r="AA3319" t="s">
        <v>38</v>
      </c>
      <c r="AB3319" t="s">
        <v>38</v>
      </c>
      <c r="AC3319" t="s">
        <v>1813</v>
      </c>
      <c r="AD3319" t="s">
        <v>48</v>
      </c>
      <c r="AG3319" t="str">
        <f>IF(AD3319="United States", IFERROR(INDEX(Sheet2!$C:$C, MATCH(AE3319&amp;AF3319, Sheet2!$E:$E, 0)) &amp; ", " &amp; INDEX(Sheet2!$D:$D, MATCH(AE3319&amp;AF3319, Sheet2!$E:$E, 0)), ""), "-")</f>
        <v/>
      </c>
    </row>
    <row r="3320" spans="1:33" x14ac:dyDescent="0.25">
      <c r="A3320" t="s">
        <v>4736</v>
      </c>
      <c r="B3320" t="s">
        <v>4902</v>
      </c>
      <c r="C3320" t="s">
        <v>4738</v>
      </c>
      <c r="D3320" t="s">
        <v>210</v>
      </c>
      <c r="F3320">
        <v>1781</v>
      </c>
      <c r="G3320">
        <v>2786</v>
      </c>
      <c r="I3320" t="s">
        <v>87</v>
      </c>
      <c r="J3320" t="s">
        <v>38</v>
      </c>
      <c r="M3320" t="s">
        <v>222</v>
      </c>
      <c r="O3320" t="s">
        <v>54</v>
      </c>
      <c r="P3320" t="s">
        <v>42</v>
      </c>
      <c r="Q3320" t="s">
        <v>43</v>
      </c>
      <c r="V3320" t="s">
        <v>4834</v>
      </c>
      <c r="Y3320" t="s">
        <v>4835</v>
      </c>
      <c r="Z3320" t="s">
        <v>42</v>
      </c>
      <c r="AA3320" t="s">
        <v>38</v>
      </c>
      <c r="AB3320" t="s">
        <v>38</v>
      </c>
      <c r="AC3320" t="s">
        <v>38</v>
      </c>
      <c r="AD3320" t="s">
        <v>48</v>
      </c>
      <c r="AG3320" t="str">
        <f>IF(AD3320="United States", IFERROR(INDEX(Sheet2!$C:$C, MATCH(AE3320&amp;AF3320, Sheet2!$E:$E, 0)) &amp; ", " &amp; INDEX(Sheet2!$D:$D, MATCH(AE3320&amp;AF3320, Sheet2!$E:$E, 0)), ""), "-")</f>
        <v/>
      </c>
    </row>
    <row r="3321" spans="1:33" x14ac:dyDescent="0.25">
      <c r="A3321" t="s">
        <v>4736</v>
      </c>
      <c r="B3321" t="s">
        <v>4903</v>
      </c>
      <c r="C3321" t="s">
        <v>4738</v>
      </c>
      <c r="D3321" t="s">
        <v>774</v>
      </c>
      <c r="E3321" t="s">
        <v>4904</v>
      </c>
      <c r="F3321">
        <v>1727</v>
      </c>
      <c r="G3321">
        <v>2757</v>
      </c>
      <c r="I3321" t="s">
        <v>87</v>
      </c>
      <c r="J3321" t="s">
        <v>38</v>
      </c>
      <c r="O3321" t="s">
        <v>41</v>
      </c>
      <c r="P3321" t="s">
        <v>42</v>
      </c>
      <c r="Q3321" t="s">
        <v>43</v>
      </c>
      <c r="V3321" t="s">
        <v>4834</v>
      </c>
      <c r="Y3321" t="s">
        <v>4835</v>
      </c>
      <c r="Z3321" t="s">
        <v>42</v>
      </c>
      <c r="AA3321" t="s">
        <v>38</v>
      </c>
      <c r="AB3321" t="s">
        <v>38</v>
      </c>
      <c r="AC3321" t="s">
        <v>4119</v>
      </c>
      <c r="AD3321" t="s">
        <v>48</v>
      </c>
      <c r="AG3321" t="str">
        <f>IF(AD3321="United States", IFERROR(INDEX(Sheet2!$C:$C, MATCH(AE3321&amp;AF3321, Sheet2!$E:$E, 0)) &amp; ", " &amp; INDEX(Sheet2!$D:$D, MATCH(AE3321&amp;AF3321, Sheet2!$E:$E, 0)), ""), "-")</f>
        <v/>
      </c>
    </row>
    <row r="3322" spans="1:33" x14ac:dyDescent="0.25">
      <c r="A3322" t="s">
        <v>4736</v>
      </c>
      <c r="B3322" t="s">
        <v>4905</v>
      </c>
      <c r="C3322" t="s">
        <v>4738</v>
      </c>
      <c r="D3322" t="s">
        <v>220</v>
      </c>
      <c r="E3322" t="s">
        <v>4906</v>
      </c>
      <c r="F3322">
        <v>1761</v>
      </c>
      <c r="G3322">
        <v>2760</v>
      </c>
      <c r="I3322" t="s">
        <v>87</v>
      </c>
      <c r="J3322" t="s">
        <v>38</v>
      </c>
      <c r="O3322" t="s">
        <v>41</v>
      </c>
      <c r="P3322" t="s">
        <v>42</v>
      </c>
      <c r="Q3322" t="s">
        <v>43</v>
      </c>
      <c r="R3322" t="s">
        <v>4907</v>
      </c>
      <c r="S3322" t="s">
        <v>153</v>
      </c>
      <c r="V3322" t="s">
        <v>4834</v>
      </c>
      <c r="Y3322" t="s">
        <v>4835</v>
      </c>
      <c r="Z3322" t="s">
        <v>42</v>
      </c>
      <c r="AA3322" t="s">
        <v>4908</v>
      </c>
      <c r="AB3322" t="s">
        <v>155</v>
      </c>
      <c r="AC3322" t="s">
        <v>153</v>
      </c>
      <c r="AD3322" t="s">
        <v>48</v>
      </c>
      <c r="AG3322" t="str">
        <f>IF(AD3322="United States", IFERROR(INDEX(Sheet2!$C:$C, MATCH(AE3322&amp;AF3322, Sheet2!$E:$E, 0)) &amp; ", " &amp; INDEX(Sheet2!$D:$D, MATCH(AE3322&amp;AF3322, Sheet2!$E:$E, 0)), ""), "-")</f>
        <v/>
      </c>
    </row>
    <row r="3323" spans="1:33" x14ac:dyDescent="0.25">
      <c r="A3323" t="s">
        <v>4736</v>
      </c>
      <c r="B3323" t="s">
        <v>4909</v>
      </c>
      <c r="C3323" t="s">
        <v>4738</v>
      </c>
      <c r="D3323" t="s">
        <v>62</v>
      </c>
      <c r="E3323" t="s">
        <v>4696</v>
      </c>
      <c r="F3323">
        <v>1752</v>
      </c>
      <c r="G3323">
        <v>2755</v>
      </c>
      <c r="I3323" t="s">
        <v>87</v>
      </c>
      <c r="J3323" t="s">
        <v>38</v>
      </c>
      <c r="O3323" t="s">
        <v>41</v>
      </c>
      <c r="P3323" t="s">
        <v>42</v>
      </c>
      <c r="Q3323" t="s">
        <v>43</v>
      </c>
      <c r="R3323" t="s">
        <v>241</v>
      </c>
      <c r="S3323" t="s">
        <v>45</v>
      </c>
      <c r="V3323" t="s">
        <v>4834</v>
      </c>
      <c r="Y3323" t="s">
        <v>4835</v>
      </c>
      <c r="Z3323" t="s">
        <v>42</v>
      </c>
      <c r="AA3323" t="s">
        <v>241</v>
      </c>
      <c r="AB3323" t="s">
        <v>38</v>
      </c>
      <c r="AC3323" t="s">
        <v>45</v>
      </c>
      <c r="AD3323" t="s">
        <v>48</v>
      </c>
      <c r="AG3323" t="str">
        <f>IF(AD3323="United States", IFERROR(INDEX(Sheet2!$C:$C, MATCH(AE3323&amp;AF3323, Sheet2!$E:$E, 0)) &amp; ", " &amp; INDEX(Sheet2!$D:$D, MATCH(AE3323&amp;AF3323, Sheet2!$E:$E, 0)), ""), "-")</f>
        <v/>
      </c>
    </row>
    <row r="3324" spans="1:33" x14ac:dyDescent="0.25">
      <c r="A3324" t="s">
        <v>4736</v>
      </c>
      <c r="B3324" t="s">
        <v>4910</v>
      </c>
      <c r="C3324" t="s">
        <v>4738</v>
      </c>
      <c r="D3324" t="s">
        <v>4911</v>
      </c>
      <c r="E3324" t="s">
        <v>4912</v>
      </c>
      <c r="F3324">
        <v>1758</v>
      </c>
      <c r="G3324">
        <v>2668</v>
      </c>
      <c r="H3324" t="s">
        <v>38</v>
      </c>
      <c r="I3324" t="s">
        <v>1649</v>
      </c>
      <c r="J3324" t="s">
        <v>38</v>
      </c>
      <c r="K3324" t="s">
        <v>38</v>
      </c>
      <c r="L3324" t="s">
        <v>38</v>
      </c>
      <c r="M3324" t="s">
        <v>38</v>
      </c>
      <c r="N3324" t="s">
        <v>38</v>
      </c>
      <c r="O3324" t="s">
        <v>41</v>
      </c>
      <c r="P3324" t="s">
        <v>42</v>
      </c>
      <c r="Q3324" t="s">
        <v>43</v>
      </c>
      <c r="R3324" t="s">
        <v>4913</v>
      </c>
      <c r="S3324" t="s">
        <v>45</v>
      </c>
      <c r="T3324" t="s">
        <v>38</v>
      </c>
      <c r="U3324" t="s">
        <v>38</v>
      </c>
      <c r="V3324" t="s">
        <v>38</v>
      </c>
      <c r="W3324" t="s">
        <v>38</v>
      </c>
      <c r="X3324" t="s">
        <v>38</v>
      </c>
      <c r="Y3324" t="s">
        <v>38</v>
      </c>
      <c r="Z3324" t="s">
        <v>42</v>
      </c>
      <c r="AA3324" t="s">
        <v>1887</v>
      </c>
      <c r="AB3324" t="s">
        <v>38</v>
      </c>
      <c r="AC3324" t="s">
        <v>45</v>
      </c>
      <c r="AD3324" t="s">
        <v>48</v>
      </c>
      <c r="AG3324" t="str">
        <f>IF(AD3324="United States", IFERROR(INDEX(Sheet2!$C:$C, MATCH(AE3324&amp;AF3324, Sheet2!$E:$E, 0)) &amp; ", " &amp; INDEX(Sheet2!$D:$D, MATCH(AE3324&amp;AF3324, Sheet2!$E:$E, 0)), ""), "-")</f>
        <v/>
      </c>
    </row>
    <row r="3325" spans="1:33" x14ac:dyDescent="0.25">
      <c r="A3325" t="s">
        <v>4736</v>
      </c>
      <c r="B3325" t="s">
        <v>4914</v>
      </c>
      <c r="C3325" t="s">
        <v>4738</v>
      </c>
      <c r="D3325" t="s">
        <v>615</v>
      </c>
      <c r="E3325" t="s">
        <v>633</v>
      </c>
      <c r="F3325">
        <v>1738</v>
      </c>
      <c r="G3325">
        <v>2756</v>
      </c>
      <c r="I3325" t="s">
        <v>87</v>
      </c>
      <c r="J3325" t="s">
        <v>38</v>
      </c>
      <c r="O3325" t="s">
        <v>41</v>
      </c>
      <c r="P3325" t="s">
        <v>42</v>
      </c>
      <c r="Q3325" t="s">
        <v>43</v>
      </c>
      <c r="R3325" t="s">
        <v>4915</v>
      </c>
      <c r="S3325" t="s">
        <v>1063</v>
      </c>
      <c r="V3325" t="s">
        <v>4834</v>
      </c>
      <c r="Y3325" t="s">
        <v>4835</v>
      </c>
      <c r="Z3325" t="s">
        <v>42</v>
      </c>
      <c r="AA3325" t="s">
        <v>38</v>
      </c>
      <c r="AB3325" t="s">
        <v>38</v>
      </c>
      <c r="AC3325" t="s">
        <v>1063</v>
      </c>
      <c r="AD3325" t="s">
        <v>48</v>
      </c>
      <c r="AG3325" t="str">
        <f>IF(AD3325="United States", IFERROR(INDEX(Sheet2!$C:$C, MATCH(AE3325&amp;AF3325, Sheet2!$E:$E, 0)) &amp; ", " &amp; INDEX(Sheet2!$D:$D, MATCH(AE3325&amp;AF3325, Sheet2!$E:$E, 0)), ""), "-")</f>
        <v/>
      </c>
    </row>
    <row r="3326" spans="1:33" x14ac:dyDescent="0.25">
      <c r="A3326" t="s">
        <v>4736</v>
      </c>
      <c r="B3326" t="s">
        <v>4916</v>
      </c>
      <c r="C3326" t="s">
        <v>4738</v>
      </c>
      <c r="D3326" t="s">
        <v>834</v>
      </c>
      <c r="E3326" t="s">
        <v>2499</v>
      </c>
      <c r="F3326">
        <v>1751</v>
      </c>
      <c r="G3326">
        <v>2666</v>
      </c>
      <c r="H3326" t="s">
        <v>38</v>
      </c>
      <c r="I3326" t="s">
        <v>1649</v>
      </c>
      <c r="J3326" t="s">
        <v>38</v>
      </c>
      <c r="K3326" t="s">
        <v>38</v>
      </c>
      <c r="L3326" t="s">
        <v>38</v>
      </c>
      <c r="M3326" t="s">
        <v>38</v>
      </c>
      <c r="N3326" t="s">
        <v>38</v>
      </c>
      <c r="O3326" t="s">
        <v>57</v>
      </c>
      <c r="P3326" t="s">
        <v>42</v>
      </c>
      <c r="Q3326" t="s">
        <v>43</v>
      </c>
      <c r="R3326" t="s">
        <v>38</v>
      </c>
      <c r="S3326" t="s">
        <v>38</v>
      </c>
      <c r="T3326" t="s">
        <v>38</v>
      </c>
      <c r="U3326" t="s">
        <v>38</v>
      </c>
      <c r="V3326" t="s">
        <v>38</v>
      </c>
      <c r="W3326" t="s">
        <v>38</v>
      </c>
      <c r="X3326" t="s">
        <v>38</v>
      </c>
      <c r="Y3326" t="s">
        <v>38</v>
      </c>
      <c r="Z3326" t="s">
        <v>42</v>
      </c>
      <c r="AA3326" t="s">
        <v>1813</v>
      </c>
      <c r="AB3326" t="s">
        <v>38</v>
      </c>
      <c r="AC3326" t="s">
        <v>2580</v>
      </c>
      <c r="AD3326" t="s">
        <v>48</v>
      </c>
      <c r="AG3326" t="str">
        <f>IF(AD3326="United States", IFERROR(INDEX(Sheet2!$C:$C, MATCH(AE3326&amp;AF3326, Sheet2!$E:$E, 0)) &amp; ", " &amp; INDEX(Sheet2!$D:$D, MATCH(AE3326&amp;AF3326, Sheet2!$E:$E, 0)), ""), "-")</f>
        <v/>
      </c>
    </row>
    <row r="3327" spans="1:33" x14ac:dyDescent="0.25">
      <c r="A3327" t="s">
        <v>4736</v>
      </c>
      <c r="B3327" t="s">
        <v>4917</v>
      </c>
      <c r="C3327" t="s">
        <v>4738</v>
      </c>
      <c r="D3327" t="s">
        <v>220</v>
      </c>
      <c r="E3327" t="s">
        <v>2499</v>
      </c>
      <c r="F3327">
        <v>1751</v>
      </c>
      <c r="G3327">
        <v>2665</v>
      </c>
      <c r="H3327" t="s">
        <v>38</v>
      </c>
      <c r="I3327" t="s">
        <v>1649</v>
      </c>
      <c r="J3327" t="s">
        <v>38</v>
      </c>
      <c r="K3327" t="s">
        <v>38</v>
      </c>
      <c r="L3327" t="s">
        <v>38</v>
      </c>
      <c r="M3327" t="s">
        <v>38</v>
      </c>
      <c r="N3327" t="s">
        <v>38</v>
      </c>
      <c r="O3327" t="s">
        <v>41</v>
      </c>
      <c r="P3327" t="s">
        <v>42</v>
      </c>
      <c r="Q3327" t="s">
        <v>43</v>
      </c>
      <c r="R3327" t="s">
        <v>38</v>
      </c>
      <c r="S3327" t="s">
        <v>38</v>
      </c>
      <c r="T3327" t="s">
        <v>38</v>
      </c>
      <c r="U3327" t="s">
        <v>38</v>
      </c>
      <c r="V3327" t="s">
        <v>38</v>
      </c>
      <c r="W3327" t="s">
        <v>38</v>
      </c>
      <c r="X3327" t="s">
        <v>38</v>
      </c>
      <c r="Y3327" t="s">
        <v>38</v>
      </c>
      <c r="Z3327" t="s">
        <v>42</v>
      </c>
      <c r="AA3327" t="s">
        <v>2499</v>
      </c>
      <c r="AB3327" t="s">
        <v>1813</v>
      </c>
      <c r="AC3327" t="s">
        <v>2580</v>
      </c>
      <c r="AD3327" t="s">
        <v>48</v>
      </c>
      <c r="AG3327" t="str">
        <f>IF(AD3327="United States", IFERROR(INDEX(Sheet2!$C:$C, MATCH(AE3327&amp;AF3327, Sheet2!$E:$E, 0)) &amp; ", " &amp; INDEX(Sheet2!$D:$D, MATCH(AE3327&amp;AF3327, Sheet2!$E:$E, 0)), ""), "-")</f>
        <v/>
      </c>
    </row>
    <row r="3328" spans="1:33" x14ac:dyDescent="0.25">
      <c r="A3328" t="s">
        <v>4736</v>
      </c>
      <c r="B3328" t="s">
        <v>4918</v>
      </c>
      <c r="C3328" t="s">
        <v>4738</v>
      </c>
      <c r="D3328" t="s">
        <v>357</v>
      </c>
      <c r="E3328" t="s">
        <v>1831</v>
      </c>
      <c r="F3328">
        <v>1723</v>
      </c>
      <c r="G3328">
        <v>2664</v>
      </c>
      <c r="H3328" t="s">
        <v>38</v>
      </c>
      <c r="I3328" t="s">
        <v>1649</v>
      </c>
      <c r="J3328" t="s">
        <v>38</v>
      </c>
      <c r="K3328" t="s">
        <v>38</v>
      </c>
      <c r="L3328" t="s">
        <v>38</v>
      </c>
      <c r="M3328" t="s">
        <v>38</v>
      </c>
      <c r="N3328" t="s">
        <v>38</v>
      </c>
      <c r="O3328" t="s">
        <v>41</v>
      </c>
      <c r="P3328" t="s">
        <v>42</v>
      </c>
      <c r="Q3328" t="s">
        <v>43</v>
      </c>
      <c r="R3328" t="s">
        <v>169</v>
      </c>
      <c r="S3328" t="s">
        <v>45</v>
      </c>
      <c r="T3328" t="s">
        <v>38</v>
      </c>
      <c r="U3328" t="s">
        <v>38</v>
      </c>
      <c r="V3328" t="s">
        <v>38</v>
      </c>
      <c r="W3328" t="s">
        <v>38</v>
      </c>
      <c r="X3328" t="s">
        <v>38</v>
      </c>
      <c r="Y3328" t="s">
        <v>38</v>
      </c>
      <c r="Z3328" t="s">
        <v>42</v>
      </c>
      <c r="AA3328" t="s">
        <v>169</v>
      </c>
      <c r="AB3328" t="s">
        <v>38</v>
      </c>
      <c r="AC3328" t="s">
        <v>45</v>
      </c>
      <c r="AD3328" t="s">
        <v>48</v>
      </c>
      <c r="AG3328" t="str">
        <f>IF(AD3328="United States", IFERROR(INDEX(Sheet2!$C:$C, MATCH(AE3328&amp;AF3328, Sheet2!$E:$E, 0)) &amp; ", " &amp; INDEX(Sheet2!$D:$D, MATCH(AE3328&amp;AF3328, Sheet2!$E:$E, 0)), ""), "-")</f>
        <v/>
      </c>
    </row>
    <row r="3329" spans="1:33" x14ac:dyDescent="0.25">
      <c r="A3329" t="s">
        <v>4736</v>
      </c>
      <c r="B3329" t="s">
        <v>4919</v>
      </c>
      <c r="C3329" t="s">
        <v>4738</v>
      </c>
      <c r="D3329" t="s">
        <v>200</v>
      </c>
      <c r="E3329" t="s">
        <v>3205</v>
      </c>
      <c r="F3329">
        <v>1762</v>
      </c>
      <c r="G3329">
        <v>2663</v>
      </c>
      <c r="H3329" t="s">
        <v>38</v>
      </c>
      <c r="I3329" t="s">
        <v>1649</v>
      </c>
      <c r="J3329" t="s">
        <v>38</v>
      </c>
      <c r="K3329" t="s">
        <v>38</v>
      </c>
      <c r="L3329" t="s">
        <v>38</v>
      </c>
      <c r="M3329" t="s">
        <v>38</v>
      </c>
      <c r="N3329" t="s">
        <v>38</v>
      </c>
      <c r="O3329" t="s">
        <v>41</v>
      </c>
      <c r="P3329" t="s">
        <v>42</v>
      </c>
      <c r="Q3329" t="s">
        <v>43</v>
      </c>
      <c r="R3329" t="s">
        <v>1485</v>
      </c>
      <c r="S3329" t="s">
        <v>45</v>
      </c>
      <c r="T3329" t="s">
        <v>38</v>
      </c>
      <c r="U3329" t="s">
        <v>38</v>
      </c>
      <c r="V3329" t="s">
        <v>38</v>
      </c>
      <c r="W3329" t="s">
        <v>38</v>
      </c>
      <c r="X3329" t="s">
        <v>38</v>
      </c>
      <c r="Y3329" t="s">
        <v>38</v>
      </c>
      <c r="Z3329" t="s">
        <v>42</v>
      </c>
      <c r="AA3329" t="s">
        <v>1485</v>
      </c>
      <c r="AB3329" t="s">
        <v>38</v>
      </c>
      <c r="AC3329" t="s">
        <v>45</v>
      </c>
      <c r="AD3329" t="s">
        <v>48</v>
      </c>
      <c r="AG3329" t="str">
        <f>IF(AD3329="United States", IFERROR(INDEX(Sheet2!$C:$C, MATCH(AE3329&amp;AF3329, Sheet2!$E:$E, 0)) &amp; ", " &amp; INDEX(Sheet2!$D:$D, MATCH(AE3329&amp;AF3329, Sheet2!$E:$E, 0)), ""), "-")</f>
        <v/>
      </c>
    </row>
    <row r="3330" spans="1:33" x14ac:dyDescent="0.25">
      <c r="A3330" t="s">
        <v>4736</v>
      </c>
      <c r="B3330" t="s">
        <v>4920</v>
      </c>
      <c r="C3330" t="s">
        <v>4738</v>
      </c>
      <c r="D3330" t="s">
        <v>36</v>
      </c>
      <c r="E3330" t="s">
        <v>1309</v>
      </c>
      <c r="F3330">
        <v>1755</v>
      </c>
      <c r="G3330">
        <v>2662</v>
      </c>
      <c r="H3330" t="s">
        <v>38</v>
      </c>
      <c r="I3330" t="s">
        <v>1649</v>
      </c>
      <c r="J3330" t="s">
        <v>38</v>
      </c>
      <c r="K3330" t="s">
        <v>38</v>
      </c>
      <c r="L3330" t="s">
        <v>38</v>
      </c>
      <c r="M3330" t="s">
        <v>38</v>
      </c>
      <c r="N3330" t="s">
        <v>38</v>
      </c>
      <c r="O3330" t="s">
        <v>41</v>
      </c>
      <c r="P3330" t="s">
        <v>42</v>
      </c>
      <c r="Q3330" t="s">
        <v>43</v>
      </c>
      <c r="R3330" t="s">
        <v>4921</v>
      </c>
      <c r="S3330" t="s">
        <v>89</v>
      </c>
      <c r="T3330" t="s">
        <v>38</v>
      </c>
      <c r="U3330" t="s">
        <v>38</v>
      </c>
      <c r="V3330" t="s">
        <v>38</v>
      </c>
      <c r="W3330" t="s">
        <v>38</v>
      </c>
      <c r="X3330" t="s">
        <v>38</v>
      </c>
      <c r="Y3330" t="s">
        <v>38</v>
      </c>
      <c r="Z3330" t="s">
        <v>42</v>
      </c>
      <c r="AA3330" t="s">
        <v>38</v>
      </c>
      <c r="AB3330" t="s">
        <v>38</v>
      </c>
      <c r="AC3330" t="s">
        <v>1101</v>
      </c>
      <c r="AD3330" t="s">
        <v>48</v>
      </c>
      <c r="AG3330" t="str">
        <f>IF(AD3330="United States", IFERROR(INDEX(Sheet2!$C:$C, MATCH(AE3330&amp;AF3330, Sheet2!$E:$E, 0)) &amp; ", " &amp; INDEX(Sheet2!$D:$D, MATCH(AE3330&amp;AF3330, Sheet2!$E:$E, 0)), ""), "-")</f>
        <v/>
      </c>
    </row>
    <row r="3331" spans="1:33" x14ac:dyDescent="0.25">
      <c r="A3331" t="s">
        <v>4736</v>
      </c>
      <c r="B3331" t="s">
        <v>4922</v>
      </c>
      <c r="C3331" t="s">
        <v>4738</v>
      </c>
      <c r="D3331" t="s">
        <v>4923</v>
      </c>
      <c r="E3331" t="s">
        <v>1342</v>
      </c>
      <c r="F3331">
        <v>1733</v>
      </c>
      <c r="G3331">
        <v>2661</v>
      </c>
      <c r="H3331" t="s">
        <v>38</v>
      </c>
      <c r="I3331" t="s">
        <v>1649</v>
      </c>
      <c r="J3331" t="s">
        <v>38</v>
      </c>
      <c r="K3331" t="s">
        <v>38</v>
      </c>
      <c r="L3331" t="s">
        <v>38</v>
      </c>
      <c r="M3331" t="s">
        <v>38</v>
      </c>
      <c r="N3331" t="s">
        <v>38</v>
      </c>
      <c r="O3331" t="s">
        <v>41</v>
      </c>
      <c r="P3331" t="s">
        <v>42</v>
      </c>
      <c r="Q3331" t="s">
        <v>43</v>
      </c>
      <c r="R3331" t="s">
        <v>354</v>
      </c>
      <c r="S3331" t="s">
        <v>201</v>
      </c>
      <c r="T3331" t="s">
        <v>38</v>
      </c>
      <c r="U3331" t="s">
        <v>38</v>
      </c>
      <c r="V3331" t="s">
        <v>38</v>
      </c>
      <c r="W3331" t="s">
        <v>38</v>
      </c>
      <c r="X3331" t="s">
        <v>38</v>
      </c>
      <c r="Y3331" t="s">
        <v>38</v>
      </c>
      <c r="Z3331" t="s">
        <v>42</v>
      </c>
      <c r="AA3331" t="s">
        <v>4924</v>
      </c>
      <c r="AB3331" t="s">
        <v>354</v>
      </c>
      <c r="AC3331" t="s">
        <v>201</v>
      </c>
      <c r="AD3331" t="s">
        <v>48</v>
      </c>
      <c r="AG3331" t="str">
        <f>IF(AD3331="United States", IFERROR(INDEX(Sheet2!$C:$C, MATCH(AE3331&amp;AF3331, Sheet2!$E:$E, 0)) &amp; ", " &amp; INDEX(Sheet2!$D:$D, MATCH(AE3331&amp;AF3331, Sheet2!$E:$E, 0)), ""), "-")</f>
        <v/>
      </c>
    </row>
    <row r="3332" spans="1:33" x14ac:dyDescent="0.25">
      <c r="A3332" t="s">
        <v>4736</v>
      </c>
      <c r="B3332" t="s">
        <v>4925</v>
      </c>
      <c r="C3332" t="s">
        <v>4738</v>
      </c>
      <c r="D3332" t="s">
        <v>834</v>
      </c>
      <c r="E3332" t="s">
        <v>2836</v>
      </c>
      <c r="F3332">
        <v>1776</v>
      </c>
      <c r="G3332">
        <v>2660</v>
      </c>
      <c r="H3332" t="s">
        <v>38</v>
      </c>
      <c r="I3332" t="s">
        <v>1649</v>
      </c>
      <c r="J3332" t="s">
        <v>38</v>
      </c>
      <c r="K3332" t="s">
        <v>38</v>
      </c>
      <c r="L3332" t="s">
        <v>38</v>
      </c>
      <c r="M3332" t="s">
        <v>38</v>
      </c>
      <c r="N3332" t="s">
        <v>38</v>
      </c>
      <c r="O3332" t="s">
        <v>54</v>
      </c>
      <c r="P3332" t="s">
        <v>42</v>
      </c>
      <c r="Q3332" t="s">
        <v>43</v>
      </c>
      <c r="R3332" t="s">
        <v>38</v>
      </c>
      <c r="S3332" t="s">
        <v>38</v>
      </c>
      <c r="T3332" t="s">
        <v>38</v>
      </c>
      <c r="U3332" t="s">
        <v>38</v>
      </c>
      <c r="V3332" t="s">
        <v>38</v>
      </c>
      <c r="W3332" t="s">
        <v>38</v>
      </c>
      <c r="X3332" t="s">
        <v>38</v>
      </c>
      <c r="Y3332" t="s">
        <v>38</v>
      </c>
      <c r="Z3332" t="s">
        <v>42</v>
      </c>
      <c r="AA3332" t="s">
        <v>38</v>
      </c>
      <c r="AB3332" t="s">
        <v>38</v>
      </c>
      <c r="AC3332" t="s">
        <v>38</v>
      </c>
      <c r="AD3332" t="s">
        <v>48</v>
      </c>
      <c r="AG3332" t="str">
        <f>IF(AD3332="United States", IFERROR(INDEX(Sheet2!$C:$C, MATCH(AE3332&amp;AF3332, Sheet2!$E:$E, 0)) &amp; ", " &amp; INDEX(Sheet2!$D:$D, MATCH(AE3332&amp;AF3332, Sheet2!$E:$E, 0)), ""), "-")</f>
        <v/>
      </c>
    </row>
    <row r="3333" spans="1:33" x14ac:dyDescent="0.25">
      <c r="A3333" t="s">
        <v>4736</v>
      </c>
      <c r="B3333" t="s">
        <v>4926</v>
      </c>
      <c r="C3333" t="s">
        <v>4738</v>
      </c>
      <c r="D3333" t="s">
        <v>50</v>
      </c>
      <c r="E3333" t="s">
        <v>2836</v>
      </c>
      <c r="F3333">
        <v>1753</v>
      </c>
      <c r="G3333">
        <v>2659</v>
      </c>
      <c r="H3333" t="s">
        <v>38</v>
      </c>
      <c r="I3333" t="s">
        <v>1649</v>
      </c>
      <c r="J3333" t="s">
        <v>38</v>
      </c>
      <c r="K3333" t="s">
        <v>38</v>
      </c>
      <c r="L3333" t="s">
        <v>38</v>
      </c>
      <c r="M3333" t="s">
        <v>38</v>
      </c>
      <c r="N3333" t="s">
        <v>38</v>
      </c>
      <c r="O3333" t="s">
        <v>57</v>
      </c>
      <c r="P3333" t="s">
        <v>42</v>
      </c>
      <c r="Q3333" t="s">
        <v>43</v>
      </c>
      <c r="R3333" t="s">
        <v>4927</v>
      </c>
      <c r="S3333" t="s">
        <v>153</v>
      </c>
      <c r="T3333" t="s">
        <v>38</v>
      </c>
      <c r="U3333" t="s">
        <v>38</v>
      </c>
      <c r="V3333" t="s">
        <v>38</v>
      </c>
      <c r="W3333" t="s">
        <v>38</v>
      </c>
      <c r="X3333" t="s">
        <v>38</v>
      </c>
      <c r="Y3333" t="s">
        <v>38</v>
      </c>
      <c r="Z3333" t="s">
        <v>42</v>
      </c>
      <c r="AA3333" t="s">
        <v>4927</v>
      </c>
      <c r="AB3333" t="s">
        <v>38</v>
      </c>
      <c r="AC3333" t="s">
        <v>153</v>
      </c>
      <c r="AD3333" t="s">
        <v>48</v>
      </c>
      <c r="AG3333" t="str">
        <f>IF(AD3333="United States", IFERROR(INDEX(Sheet2!$C:$C, MATCH(AE3333&amp;AF3333, Sheet2!$E:$E, 0)) &amp; ", " &amp; INDEX(Sheet2!$D:$D, MATCH(AE3333&amp;AF3333, Sheet2!$E:$E, 0)), ""), "-")</f>
        <v/>
      </c>
    </row>
    <row r="3334" spans="1:33" x14ac:dyDescent="0.25">
      <c r="A3334" t="s">
        <v>4736</v>
      </c>
      <c r="B3334" t="s">
        <v>4928</v>
      </c>
      <c r="C3334" t="s">
        <v>4738</v>
      </c>
      <c r="D3334" t="s">
        <v>986</v>
      </c>
      <c r="E3334" t="s">
        <v>2836</v>
      </c>
      <c r="F3334">
        <v>1753</v>
      </c>
      <c r="G3334">
        <v>2658</v>
      </c>
      <c r="H3334" t="s">
        <v>38</v>
      </c>
      <c r="I3334" t="s">
        <v>1649</v>
      </c>
      <c r="J3334" t="s">
        <v>38</v>
      </c>
      <c r="K3334" t="s">
        <v>38</v>
      </c>
      <c r="L3334" t="s">
        <v>38</v>
      </c>
      <c r="M3334" t="s">
        <v>38</v>
      </c>
      <c r="N3334" t="s">
        <v>38</v>
      </c>
      <c r="O3334" t="s">
        <v>41</v>
      </c>
      <c r="P3334" t="s">
        <v>42</v>
      </c>
      <c r="Q3334" t="s">
        <v>43</v>
      </c>
      <c r="R3334" t="s">
        <v>155</v>
      </c>
      <c r="S3334" t="s">
        <v>153</v>
      </c>
      <c r="T3334" t="s">
        <v>38</v>
      </c>
      <c r="U3334" t="s">
        <v>38</v>
      </c>
      <c r="V3334" t="s">
        <v>38</v>
      </c>
      <c r="W3334" t="s">
        <v>38</v>
      </c>
      <c r="X3334" t="s">
        <v>38</v>
      </c>
      <c r="Y3334" t="s">
        <v>38</v>
      </c>
      <c r="Z3334" t="s">
        <v>42</v>
      </c>
      <c r="AA3334" t="s">
        <v>155</v>
      </c>
      <c r="AB3334" t="s">
        <v>38</v>
      </c>
      <c r="AC3334" t="s">
        <v>153</v>
      </c>
      <c r="AD3334" t="s">
        <v>48</v>
      </c>
      <c r="AG3334" t="str">
        <f>IF(AD3334="United States", IFERROR(INDEX(Sheet2!$C:$C, MATCH(AE3334&amp;AF3334, Sheet2!$E:$E, 0)) &amp; ", " &amp; INDEX(Sheet2!$D:$D, MATCH(AE3334&amp;AF3334, Sheet2!$E:$E, 0)), ""), "-")</f>
        <v/>
      </c>
    </row>
    <row r="3335" spans="1:33" x14ac:dyDescent="0.25">
      <c r="A3335" t="s">
        <v>4736</v>
      </c>
      <c r="B3335" t="s">
        <v>4929</v>
      </c>
      <c r="C3335" t="s">
        <v>4738</v>
      </c>
      <c r="D3335" t="s">
        <v>226</v>
      </c>
      <c r="E3335" t="s">
        <v>991</v>
      </c>
      <c r="F3335">
        <v>1752</v>
      </c>
      <c r="G3335">
        <v>2657</v>
      </c>
      <c r="H3335" t="s">
        <v>38</v>
      </c>
      <c r="I3335" t="s">
        <v>87</v>
      </c>
      <c r="J3335" t="s">
        <v>38</v>
      </c>
      <c r="K3335" t="s">
        <v>38</v>
      </c>
      <c r="L3335" t="s">
        <v>38</v>
      </c>
      <c r="M3335" t="s">
        <v>38</v>
      </c>
      <c r="N3335" t="s">
        <v>38</v>
      </c>
      <c r="O3335" t="s">
        <v>41</v>
      </c>
      <c r="P3335" t="s">
        <v>42</v>
      </c>
      <c r="Q3335" t="s">
        <v>43</v>
      </c>
      <c r="R3335" t="s">
        <v>1685</v>
      </c>
      <c r="S3335" t="s">
        <v>417</v>
      </c>
      <c r="T3335" t="s">
        <v>38</v>
      </c>
      <c r="U3335" t="s">
        <v>38</v>
      </c>
      <c r="V3335" t="s">
        <v>38</v>
      </c>
      <c r="W3335" t="s">
        <v>38</v>
      </c>
      <c r="X3335" t="s">
        <v>38</v>
      </c>
      <c r="Y3335" t="s">
        <v>38</v>
      </c>
      <c r="Z3335" t="s">
        <v>42</v>
      </c>
      <c r="AA3335" t="s">
        <v>38</v>
      </c>
      <c r="AB3335" t="s">
        <v>38</v>
      </c>
      <c r="AC3335" t="s">
        <v>417</v>
      </c>
      <c r="AD3335" t="s">
        <v>48</v>
      </c>
      <c r="AG3335" t="str">
        <f>IF(AD3335="United States", IFERROR(INDEX(Sheet2!$C:$C, MATCH(AE3335&amp;AF3335, Sheet2!$E:$E, 0)) &amp; ", " &amp; INDEX(Sheet2!$D:$D, MATCH(AE3335&amp;AF3335, Sheet2!$E:$E, 0)), ""), "-")</f>
        <v/>
      </c>
    </row>
    <row r="3336" spans="1:33" x14ac:dyDescent="0.25">
      <c r="A3336" t="s">
        <v>4736</v>
      </c>
      <c r="B3336" t="s">
        <v>4930</v>
      </c>
      <c r="C3336" t="s">
        <v>4738</v>
      </c>
      <c r="D3336" t="s">
        <v>4931</v>
      </c>
      <c r="E3336" t="s">
        <v>4912</v>
      </c>
      <c r="F3336">
        <v>1750</v>
      </c>
      <c r="G3336">
        <v>2669</v>
      </c>
      <c r="H3336" t="s">
        <v>38</v>
      </c>
      <c r="I3336" t="s">
        <v>1649</v>
      </c>
      <c r="J3336" t="s">
        <v>38</v>
      </c>
      <c r="K3336" t="s">
        <v>38</v>
      </c>
      <c r="L3336" t="s">
        <v>38</v>
      </c>
      <c r="M3336" t="s">
        <v>38</v>
      </c>
      <c r="N3336" t="s">
        <v>38</v>
      </c>
      <c r="O3336" t="s">
        <v>57</v>
      </c>
      <c r="P3336" t="s">
        <v>42</v>
      </c>
      <c r="Q3336" t="s">
        <v>43</v>
      </c>
      <c r="R3336" t="s">
        <v>1135</v>
      </c>
      <c r="S3336" t="s">
        <v>45</v>
      </c>
      <c r="T3336" t="s">
        <v>38</v>
      </c>
      <c r="U3336" t="s">
        <v>38</v>
      </c>
      <c r="V3336" t="s">
        <v>38</v>
      </c>
      <c r="W3336" t="s">
        <v>38</v>
      </c>
      <c r="X3336" t="s">
        <v>38</v>
      </c>
      <c r="Y3336" t="s">
        <v>38</v>
      </c>
      <c r="Z3336" t="s">
        <v>42</v>
      </c>
      <c r="AA3336" t="s">
        <v>1135</v>
      </c>
      <c r="AB3336" t="s">
        <v>38</v>
      </c>
      <c r="AC3336" t="s">
        <v>45</v>
      </c>
      <c r="AD3336" t="s">
        <v>48</v>
      </c>
      <c r="AG3336" t="str">
        <f>IF(AD3336="United States", IFERROR(INDEX(Sheet2!$C:$C, MATCH(AE3336&amp;AF3336, Sheet2!$E:$E, 0)) &amp; ", " &amp; INDEX(Sheet2!$D:$D, MATCH(AE3336&amp;AF3336, Sheet2!$E:$E, 0)), ""), "-")</f>
        <v/>
      </c>
    </row>
    <row r="3337" spans="1:33" x14ac:dyDescent="0.25">
      <c r="A3337" t="s">
        <v>4736</v>
      </c>
      <c r="B3337" t="s">
        <v>4932</v>
      </c>
      <c r="C3337" t="s">
        <v>4738</v>
      </c>
      <c r="D3337" t="s">
        <v>807</v>
      </c>
      <c r="E3337" t="s">
        <v>2133</v>
      </c>
      <c r="F3337">
        <v>1759</v>
      </c>
      <c r="G3337">
        <v>2656</v>
      </c>
      <c r="H3337" t="s">
        <v>38</v>
      </c>
      <c r="I3337" t="s">
        <v>87</v>
      </c>
      <c r="J3337" t="s">
        <v>38</v>
      </c>
      <c r="K3337" t="s">
        <v>38</v>
      </c>
      <c r="L3337" t="s">
        <v>38</v>
      </c>
      <c r="M3337" t="s">
        <v>38</v>
      </c>
      <c r="N3337" t="s">
        <v>38</v>
      </c>
      <c r="O3337" t="s">
        <v>41</v>
      </c>
      <c r="P3337" t="s">
        <v>42</v>
      </c>
      <c r="Q3337" t="s">
        <v>43</v>
      </c>
      <c r="R3337" t="s">
        <v>4933</v>
      </c>
      <c r="S3337" t="s">
        <v>45</v>
      </c>
      <c r="T3337" t="s">
        <v>38</v>
      </c>
      <c r="U3337" t="s">
        <v>38</v>
      </c>
      <c r="V3337" t="s">
        <v>38</v>
      </c>
      <c r="W3337" t="s">
        <v>38</v>
      </c>
      <c r="X3337" t="s">
        <v>38</v>
      </c>
      <c r="Y3337" t="s">
        <v>38</v>
      </c>
      <c r="Z3337" t="s">
        <v>42</v>
      </c>
      <c r="AA3337" t="s">
        <v>38</v>
      </c>
      <c r="AB3337" t="s">
        <v>38</v>
      </c>
      <c r="AC3337" t="s">
        <v>45</v>
      </c>
      <c r="AD3337" t="s">
        <v>48</v>
      </c>
      <c r="AG3337" t="str">
        <f>IF(AD3337="United States", IFERROR(INDEX(Sheet2!$C:$C, MATCH(AE3337&amp;AF3337, Sheet2!$E:$E, 0)) &amp; ", " &amp; INDEX(Sheet2!$D:$D, MATCH(AE3337&amp;AF3337, Sheet2!$E:$E, 0)), ""), "-")</f>
        <v/>
      </c>
    </row>
    <row r="3338" spans="1:33" x14ac:dyDescent="0.25">
      <c r="A3338" t="s">
        <v>4736</v>
      </c>
      <c r="B3338" t="s">
        <v>4934</v>
      </c>
      <c r="C3338" t="s">
        <v>4738</v>
      </c>
      <c r="D3338" t="s">
        <v>245</v>
      </c>
      <c r="E3338" t="s">
        <v>4935</v>
      </c>
      <c r="F3338">
        <v>1755</v>
      </c>
      <c r="G3338">
        <v>2654</v>
      </c>
      <c r="H3338" t="s">
        <v>38</v>
      </c>
      <c r="I3338" t="s">
        <v>87</v>
      </c>
      <c r="J3338" t="s">
        <v>38</v>
      </c>
      <c r="K3338" t="s">
        <v>38</v>
      </c>
      <c r="L3338" t="s">
        <v>38</v>
      </c>
      <c r="M3338" t="s">
        <v>38</v>
      </c>
      <c r="N3338" t="s">
        <v>38</v>
      </c>
      <c r="O3338" t="s">
        <v>57</v>
      </c>
      <c r="P3338" t="s">
        <v>42</v>
      </c>
      <c r="Q3338" t="s">
        <v>43</v>
      </c>
      <c r="R3338" t="s">
        <v>354</v>
      </c>
      <c r="S3338" t="s">
        <v>201</v>
      </c>
      <c r="T3338" t="s">
        <v>38</v>
      </c>
      <c r="U3338" t="s">
        <v>38</v>
      </c>
      <c r="V3338" t="s">
        <v>38</v>
      </c>
      <c r="W3338" t="s">
        <v>38</v>
      </c>
      <c r="X3338" t="s">
        <v>38</v>
      </c>
      <c r="Y3338" t="s">
        <v>38</v>
      </c>
      <c r="Z3338" t="s">
        <v>42</v>
      </c>
      <c r="AA3338" t="s">
        <v>354</v>
      </c>
      <c r="AB3338" t="s">
        <v>38</v>
      </c>
      <c r="AC3338" t="s">
        <v>201</v>
      </c>
      <c r="AD3338" t="s">
        <v>48</v>
      </c>
      <c r="AG3338" t="str">
        <f>IF(AD3338="United States", IFERROR(INDEX(Sheet2!$C:$C, MATCH(AE3338&amp;AF3338, Sheet2!$E:$E, 0)) &amp; ", " &amp; INDEX(Sheet2!$D:$D, MATCH(AE3338&amp;AF3338, Sheet2!$E:$E, 0)), ""), "-")</f>
        <v/>
      </c>
    </row>
    <row r="3339" spans="1:33" x14ac:dyDescent="0.25">
      <c r="A3339" t="s">
        <v>4736</v>
      </c>
      <c r="B3339" t="s">
        <v>4936</v>
      </c>
      <c r="C3339" t="s">
        <v>4738</v>
      </c>
      <c r="D3339" t="s">
        <v>210</v>
      </c>
      <c r="E3339" t="s">
        <v>4935</v>
      </c>
      <c r="F3339">
        <v>1750</v>
      </c>
      <c r="G3339">
        <v>2653</v>
      </c>
      <c r="H3339" t="s">
        <v>38</v>
      </c>
      <c r="I3339" t="s">
        <v>87</v>
      </c>
      <c r="J3339" t="s">
        <v>38</v>
      </c>
      <c r="K3339" t="s">
        <v>38</v>
      </c>
      <c r="L3339" t="s">
        <v>38</v>
      </c>
      <c r="M3339" t="s">
        <v>38</v>
      </c>
      <c r="N3339" t="s">
        <v>38</v>
      </c>
      <c r="O3339" t="s">
        <v>41</v>
      </c>
      <c r="P3339" t="s">
        <v>42</v>
      </c>
      <c r="Q3339" t="s">
        <v>43</v>
      </c>
      <c r="R3339" t="s">
        <v>354</v>
      </c>
      <c r="S3339" t="s">
        <v>201</v>
      </c>
      <c r="T3339" t="s">
        <v>38</v>
      </c>
      <c r="U3339" t="s">
        <v>38</v>
      </c>
      <c r="V3339" t="s">
        <v>38</v>
      </c>
      <c r="W3339" t="s">
        <v>38</v>
      </c>
      <c r="X3339" t="s">
        <v>38</v>
      </c>
      <c r="Y3339" t="s">
        <v>38</v>
      </c>
      <c r="Z3339" t="s">
        <v>42</v>
      </c>
      <c r="AA3339" t="s">
        <v>354</v>
      </c>
      <c r="AB3339" t="s">
        <v>38</v>
      </c>
      <c r="AC3339" t="s">
        <v>201</v>
      </c>
      <c r="AD3339" t="s">
        <v>48</v>
      </c>
      <c r="AG3339" t="str">
        <f>IF(AD3339="United States", IFERROR(INDEX(Sheet2!$C:$C, MATCH(AE3339&amp;AF3339, Sheet2!$E:$E, 0)) &amp; ", " &amp; INDEX(Sheet2!$D:$D, MATCH(AE3339&amp;AF3339, Sheet2!$E:$E, 0)), ""), "-")</f>
        <v/>
      </c>
    </row>
    <row r="3340" spans="1:33" x14ac:dyDescent="0.25">
      <c r="A3340" t="s">
        <v>4736</v>
      </c>
      <c r="B3340" t="s">
        <v>4937</v>
      </c>
      <c r="C3340" t="s">
        <v>4738</v>
      </c>
      <c r="D3340" t="s">
        <v>639</v>
      </c>
      <c r="E3340" t="s">
        <v>4938</v>
      </c>
      <c r="F3340">
        <v>1779</v>
      </c>
      <c r="G3340">
        <v>2652</v>
      </c>
      <c r="H3340" t="s">
        <v>38</v>
      </c>
      <c r="I3340" t="s">
        <v>87</v>
      </c>
      <c r="J3340" t="s">
        <v>38</v>
      </c>
      <c r="K3340" t="s">
        <v>38</v>
      </c>
      <c r="L3340" t="s">
        <v>38</v>
      </c>
      <c r="M3340" t="s">
        <v>518</v>
      </c>
      <c r="N3340" t="s">
        <v>4938</v>
      </c>
      <c r="O3340" t="s">
        <v>54</v>
      </c>
      <c r="P3340" t="s">
        <v>42</v>
      </c>
      <c r="Q3340" t="s">
        <v>43</v>
      </c>
      <c r="R3340" t="s">
        <v>38</v>
      </c>
      <c r="S3340" t="s">
        <v>38</v>
      </c>
      <c r="T3340" t="s">
        <v>38</v>
      </c>
      <c r="U3340" t="s">
        <v>38</v>
      </c>
      <c r="V3340" t="s">
        <v>38</v>
      </c>
      <c r="W3340" t="s">
        <v>38</v>
      </c>
      <c r="X3340" t="s">
        <v>38</v>
      </c>
      <c r="Y3340" t="s">
        <v>38</v>
      </c>
      <c r="Z3340" t="s">
        <v>42</v>
      </c>
      <c r="AA3340" t="s">
        <v>38</v>
      </c>
      <c r="AB3340" t="s">
        <v>38</v>
      </c>
      <c r="AC3340" t="s">
        <v>38</v>
      </c>
      <c r="AD3340" t="s">
        <v>48</v>
      </c>
      <c r="AG3340" t="str">
        <f>IF(AD3340="United States", IFERROR(INDEX(Sheet2!$C:$C, MATCH(AE3340&amp;AF3340, Sheet2!$E:$E, 0)) &amp; ", " &amp; INDEX(Sheet2!$D:$D, MATCH(AE3340&amp;AF3340, Sheet2!$E:$E, 0)), ""), "-")</f>
        <v/>
      </c>
    </row>
    <row r="3341" spans="1:33" x14ac:dyDescent="0.25">
      <c r="A3341" t="s">
        <v>4736</v>
      </c>
      <c r="B3341" t="s">
        <v>4939</v>
      </c>
      <c r="C3341" t="s">
        <v>4738</v>
      </c>
      <c r="D3341" t="s">
        <v>518</v>
      </c>
      <c r="E3341" t="s">
        <v>4938</v>
      </c>
      <c r="F3341">
        <v>1763</v>
      </c>
      <c r="G3341">
        <v>2651</v>
      </c>
      <c r="H3341" t="s">
        <v>38</v>
      </c>
      <c r="I3341" t="s">
        <v>87</v>
      </c>
      <c r="J3341" t="s">
        <v>38</v>
      </c>
      <c r="K3341" t="s">
        <v>38</v>
      </c>
      <c r="L3341" t="s">
        <v>38</v>
      </c>
      <c r="M3341" t="s">
        <v>38</v>
      </c>
      <c r="N3341" t="s">
        <v>38</v>
      </c>
      <c r="O3341" t="s">
        <v>57</v>
      </c>
      <c r="P3341" t="s">
        <v>42</v>
      </c>
      <c r="Q3341" t="s">
        <v>43</v>
      </c>
      <c r="R3341" t="s">
        <v>155</v>
      </c>
      <c r="S3341" t="s">
        <v>153</v>
      </c>
      <c r="T3341" t="s">
        <v>38</v>
      </c>
      <c r="U3341" t="s">
        <v>38</v>
      </c>
      <c r="V3341" t="s">
        <v>38</v>
      </c>
      <c r="W3341" t="s">
        <v>38</v>
      </c>
      <c r="X3341" t="s">
        <v>38</v>
      </c>
      <c r="Y3341" t="s">
        <v>38</v>
      </c>
      <c r="Z3341" t="s">
        <v>42</v>
      </c>
      <c r="AA3341" t="s">
        <v>155</v>
      </c>
      <c r="AB3341" t="s">
        <v>38</v>
      </c>
      <c r="AC3341" t="s">
        <v>153</v>
      </c>
      <c r="AD3341" t="s">
        <v>48</v>
      </c>
      <c r="AG3341" t="str">
        <f>IF(AD3341="United States", IFERROR(INDEX(Sheet2!$C:$C, MATCH(AE3341&amp;AF3341, Sheet2!$E:$E, 0)) &amp; ", " &amp; INDEX(Sheet2!$D:$D, MATCH(AE3341&amp;AF3341, Sheet2!$E:$E, 0)), ""), "-")</f>
        <v/>
      </c>
    </row>
    <row r="3342" spans="1:33" x14ac:dyDescent="0.25">
      <c r="A3342" t="s">
        <v>4736</v>
      </c>
      <c r="B3342" t="s">
        <v>4940</v>
      </c>
      <c r="C3342" t="s">
        <v>4738</v>
      </c>
      <c r="D3342" t="s">
        <v>834</v>
      </c>
      <c r="E3342" t="s">
        <v>4941</v>
      </c>
      <c r="F3342">
        <v>1771</v>
      </c>
      <c r="G3342">
        <v>2650</v>
      </c>
      <c r="H3342" t="s">
        <v>38</v>
      </c>
      <c r="I3342" t="s">
        <v>87</v>
      </c>
      <c r="J3342" t="s">
        <v>38</v>
      </c>
      <c r="K3342" t="s">
        <v>38</v>
      </c>
      <c r="L3342" t="s">
        <v>38</v>
      </c>
      <c r="M3342" t="s">
        <v>38</v>
      </c>
      <c r="N3342" t="s">
        <v>38</v>
      </c>
      <c r="O3342" t="s">
        <v>74</v>
      </c>
      <c r="P3342" t="s">
        <v>42</v>
      </c>
      <c r="Q3342" t="s">
        <v>43</v>
      </c>
      <c r="R3342" t="s">
        <v>4941</v>
      </c>
      <c r="S3342" t="s">
        <v>45</v>
      </c>
      <c r="T3342" t="s">
        <v>38</v>
      </c>
      <c r="U3342" t="s">
        <v>38</v>
      </c>
      <c r="V3342" t="s">
        <v>38</v>
      </c>
      <c r="W3342" t="s">
        <v>38</v>
      </c>
      <c r="X3342" t="s">
        <v>38</v>
      </c>
      <c r="Y3342" t="s">
        <v>38</v>
      </c>
      <c r="Z3342" t="s">
        <v>42</v>
      </c>
      <c r="AA3342" t="s">
        <v>38</v>
      </c>
      <c r="AB3342" t="s">
        <v>38</v>
      </c>
      <c r="AC3342" t="s">
        <v>45</v>
      </c>
      <c r="AD3342" t="s">
        <v>48</v>
      </c>
      <c r="AG3342" t="str">
        <f>IF(AD3342="United States", IFERROR(INDEX(Sheet2!$C:$C, MATCH(AE3342&amp;AF3342, Sheet2!$E:$E, 0)) &amp; ", " &amp; INDEX(Sheet2!$D:$D, MATCH(AE3342&amp;AF3342, Sheet2!$E:$E, 0)), ""), "-")</f>
        <v/>
      </c>
    </row>
    <row r="3343" spans="1:33" x14ac:dyDescent="0.25">
      <c r="A3343" t="s">
        <v>4736</v>
      </c>
      <c r="B3343" t="s">
        <v>4942</v>
      </c>
      <c r="C3343" t="s">
        <v>4738</v>
      </c>
      <c r="D3343" t="s">
        <v>623</v>
      </c>
      <c r="E3343" t="s">
        <v>4941</v>
      </c>
      <c r="F3343">
        <v>1769</v>
      </c>
      <c r="G3343">
        <v>2649</v>
      </c>
      <c r="H3343" t="s">
        <v>38</v>
      </c>
      <c r="I3343" t="s">
        <v>87</v>
      </c>
      <c r="J3343" t="s">
        <v>38</v>
      </c>
      <c r="K3343" t="s">
        <v>38</v>
      </c>
      <c r="L3343" t="s">
        <v>38</v>
      </c>
      <c r="M3343" t="s">
        <v>38</v>
      </c>
      <c r="N3343" t="s">
        <v>38</v>
      </c>
      <c r="O3343" t="s">
        <v>74</v>
      </c>
      <c r="P3343" t="s">
        <v>42</v>
      </c>
      <c r="Q3343" t="s">
        <v>43</v>
      </c>
      <c r="R3343" t="s">
        <v>4941</v>
      </c>
      <c r="S3343" t="s">
        <v>45</v>
      </c>
      <c r="T3343" t="s">
        <v>38</v>
      </c>
      <c r="U3343" t="s">
        <v>38</v>
      </c>
      <c r="V3343" t="s">
        <v>38</v>
      </c>
      <c r="W3343" t="s">
        <v>38</v>
      </c>
      <c r="X3343" t="s">
        <v>38</v>
      </c>
      <c r="Y3343" t="s">
        <v>38</v>
      </c>
      <c r="Z3343" t="s">
        <v>42</v>
      </c>
      <c r="AA3343" t="s">
        <v>38</v>
      </c>
      <c r="AB3343" t="s">
        <v>38</v>
      </c>
      <c r="AC3343" t="s">
        <v>45</v>
      </c>
      <c r="AD3343" t="s">
        <v>48</v>
      </c>
      <c r="AG3343" t="str">
        <f>IF(AD3343="United States", IFERROR(INDEX(Sheet2!$C:$C, MATCH(AE3343&amp;AF3343, Sheet2!$E:$E, 0)) &amp; ", " &amp; INDEX(Sheet2!$D:$D, MATCH(AE3343&amp;AF3343, Sheet2!$E:$E, 0)), ""), "-")</f>
        <v/>
      </c>
    </row>
    <row r="3344" spans="1:33" x14ac:dyDescent="0.25">
      <c r="A3344" t="s">
        <v>4736</v>
      </c>
      <c r="B3344" t="s">
        <v>4943</v>
      </c>
      <c r="C3344" t="s">
        <v>4738</v>
      </c>
      <c r="D3344" t="s">
        <v>62</v>
      </c>
      <c r="E3344" t="s">
        <v>4941</v>
      </c>
      <c r="F3344">
        <v>1744</v>
      </c>
      <c r="G3344">
        <v>2648</v>
      </c>
      <c r="H3344" t="s">
        <v>38</v>
      </c>
      <c r="I3344" t="s">
        <v>87</v>
      </c>
      <c r="J3344" t="s">
        <v>38</v>
      </c>
      <c r="K3344" t="s">
        <v>38</v>
      </c>
      <c r="L3344" t="s">
        <v>38</v>
      </c>
      <c r="M3344" t="s">
        <v>38</v>
      </c>
      <c r="N3344" t="s">
        <v>38</v>
      </c>
      <c r="O3344" t="s">
        <v>41</v>
      </c>
      <c r="P3344" t="s">
        <v>42</v>
      </c>
      <c r="Q3344" t="s">
        <v>43</v>
      </c>
      <c r="R3344" t="s">
        <v>4941</v>
      </c>
      <c r="S3344" t="s">
        <v>45</v>
      </c>
      <c r="T3344" t="s">
        <v>38</v>
      </c>
      <c r="U3344" t="s">
        <v>38</v>
      </c>
      <c r="V3344" t="s">
        <v>38</v>
      </c>
      <c r="W3344" t="s">
        <v>38</v>
      </c>
      <c r="X3344" t="s">
        <v>38</v>
      </c>
      <c r="Y3344" t="s">
        <v>38</v>
      </c>
      <c r="Z3344" t="s">
        <v>42</v>
      </c>
      <c r="AA3344" t="s">
        <v>38</v>
      </c>
      <c r="AB3344" t="s">
        <v>38</v>
      </c>
      <c r="AC3344" t="s">
        <v>45</v>
      </c>
      <c r="AD3344" t="s">
        <v>48</v>
      </c>
      <c r="AG3344" t="str">
        <f>IF(AD3344="United States", IFERROR(INDEX(Sheet2!$C:$C, MATCH(AE3344&amp;AF3344, Sheet2!$E:$E, 0)) &amp; ", " &amp; INDEX(Sheet2!$D:$D, MATCH(AE3344&amp;AF3344, Sheet2!$E:$E, 0)), ""), "-")</f>
        <v/>
      </c>
    </row>
    <row r="3345" spans="1:33" x14ac:dyDescent="0.25">
      <c r="A3345" t="s">
        <v>4736</v>
      </c>
      <c r="B3345" t="s">
        <v>4944</v>
      </c>
      <c r="C3345" t="s">
        <v>4738</v>
      </c>
      <c r="D3345" t="s">
        <v>1964</v>
      </c>
      <c r="E3345" t="s">
        <v>38</v>
      </c>
      <c r="F3345">
        <v>1775</v>
      </c>
      <c r="G3345">
        <v>2647</v>
      </c>
      <c r="H3345" t="s">
        <v>38</v>
      </c>
      <c r="I3345" t="s">
        <v>87</v>
      </c>
      <c r="J3345" t="s">
        <v>38</v>
      </c>
      <c r="K3345" t="s">
        <v>38</v>
      </c>
      <c r="L3345" t="s">
        <v>38</v>
      </c>
      <c r="M3345" t="s">
        <v>245</v>
      </c>
      <c r="N3345" t="s">
        <v>2955</v>
      </c>
      <c r="O3345" t="s">
        <v>54</v>
      </c>
      <c r="P3345" t="s">
        <v>42</v>
      </c>
      <c r="Q3345" t="s">
        <v>43</v>
      </c>
      <c r="R3345" t="s">
        <v>38</v>
      </c>
      <c r="S3345" t="s">
        <v>38</v>
      </c>
      <c r="T3345" t="s">
        <v>38</v>
      </c>
      <c r="U3345" t="s">
        <v>38</v>
      </c>
      <c r="V3345" t="s">
        <v>38</v>
      </c>
      <c r="W3345" t="s">
        <v>38</v>
      </c>
      <c r="X3345" t="s">
        <v>38</v>
      </c>
      <c r="Y3345" t="s">
        <v>38</v>
      </c>
      <c r="Z3345" t="s">
        <v>42</v>
      </c>
      <c r="AA3345" t="s">
        <v>38</v>
      </c>
      <c r="AB3345" t="s">
        <v>38</v>
      </c>
      <c r="AC3345" t="s">
        <v>38</v>
      </c>
      <c r="AD3345" t="s">
        <v>48</v>
      </c>
      <c r="AG3345" t="str">
        <f>IF(AD3345="United States", IFERROR(INDEX(Sheet2!$C:$C, MATCH(AE3345&amp;AF3345, Sheet2!$E:$E, 0)) &amp; ", " &amp; INDEX(Sheet2!$D:$D, MATCH(AE3345&amp;AF3345, Sheet2!$E:$E, 0)), ""), "-")</f>
        <v/>
      </c>
    </row>
    <row r="3346" spans="1:33" x14ac:dyDescent="0.25">
      <c r="A3346" t="s">
        <v>4736</v>
      </c>
      <c r="B3346" t="s">
        <v>4945</v>
      </c>
      <c r="C3346" t="s">
        <v>4738</v>
      </c>
      <c r="D3346" t="s">
        <v>245</v>
      </c>
      <c r="E3346" t="s">
        <v>2955</v>
      </c>
      <c r="F3346">
        <v>1743</v>
      </c>
      <c r="G3346">
        <v>2646</v>
      </c>
      <c r="H3346" t="s">
        <v>38</v>
      </c>
      <c r="I3346" t="s">
        <v>87</v>
      </c>
      <c r="J3346" t="s">
        <v>38</v>
      </c>
      <c r="K3346" t="s">
        <v>38</v>
      </c>
      <c r="L3346" t="s">
        <v>38</v>
      </c>
      <c r="M3346" t="s">
        <v>38</v>
      </c>
      <c r="N3346" t="s">
        <v>38</v>
      </c>
      <c r="O3346" t="s">
        <v>57</v>
      </c>
      <c r="P3346" t="s">
        <v>42</v>
      </c>
      <c r="Q3346" t="s">
        <v>43</v>
      </c>
      <c r="R3346" t="s">
        <v>241</v>
      </c>
      <c r="S3346" t="s">
        <v>45</v>
      </c>
      <c r="T3346" t="s">
        <v>38</v>
      </c>
      <c r="U3346" t="s">
        <v>38</v>
      </c>
      <c r="V3346" t="s">
        <v>38</v>
      </c>
      <c r="W3346" t="s">
        <v>38</v>
      </c>
      <c r="X3346" t="s">
        <v>38</v>
      </c>
      <c r="Y3346" t="s">
        <v>38</v>
      </c>
      <c r="Z3346" t="s">
        <v>42</v>
      </c>
      <c r="AA3346" t="s">
        <v>241</v>
      </c>
      <c r="AB3346" t="s">
        <v>38</v>
      </c>
      <c r="AC3346" t="s">
        <v>45</v>
      </c>
      <c r="AD3346" t="s">
        <v>48</v>
      </c>
      <c r="AG3346" t="str">
        <f>IF(AD3346="United States", IFERROR(INDEX(Sheet2!$C:$C, MATCH(AE3346&amp;AF3346, Sheet2!$E:$E, 0)) &amp; ", " &amp; INDEX(Sheet2!$D:$D, MATCH(AE3346&amp;AF3346, Sheet2!$E:$E, 0)), ""), "-")</f>
        <v/>
      </c>
    </row>
    <row r="3347" spans="1:33" x14ac:dyDescent="0.25">
      <c r="A3347" t="s">
        <v>4736</v>
      </c>
      <c r="B3347" t="s">
        <v>4946</v>
      </c>
      <c r="C3347" t="s">
        <v>4738</v>
      </c>
      <c r="D3347" t="s">
        <v>72</v>
      </c>
      <c r="E3347" t="s">
        <v>507</v>
      </c>
      <c r="F3347">
        <v>1761</v>
      </c>
      <c r="G3347">
        <v>2645</v>
      </c>
      <c r="H3347" t="s">
        <v>38</v>
      </c>
      <c r="I3347" t="s">
        <v>87</v>
      </c>
      <c r="J3347" t="s">
        <v>38</v>
      </c>
      <c r="K3347" t="s">
        <v>38</v>
      </c>
      <c r="L3347" t="s">
        <v>38</v>
      </c>
      <c r="M3347" t="s">
        <v>38</v>
      </c>
      <c r="N3347" t="s">
        <v>38</v>
      </c>
      <c r="O3347" t="s">
        <v>57</v>
      </c>
      <c r="P3347" t="s">
        <v>42</v>
      </c>
      <c r="Q3347" t="s">
        <v>43</v>
      </c>
      <c r="R3347" t="s">
        <v>4947</v>
      </c>
      <c r="S3347" t="s">
        <v>1063</v>
      </c>
      <c r="T3347" t="s">
        <v>38</v>
      </c>
      <c r="U3347" t="s">
        <v>38</v>
      </c>
      <c r="V3347" t="s">
        <v>38</v>
      </c>
      <c r="W3347" t="s">
        <v>38</v>
      </c>
      <c r="X3347" t="s">
        <v>38</v>
      </c>
      <c r="Y3347" t="s">
        <v>38</v>
      </c>
      <c r="Z3347" t="s">
        <v>42</v>
      </c>
      <c r="AA3347" t="s">
        <v>1727</v>
      </c>
      <c r="AB3347" t="s">
        <v>38</v>
      </c>
      <c r="AC3347" t="s">
        <v>1063</v>
      </c>
      <c r="AD3347" t="s">
        <v>48</v>
      </c>
      <c r="AG3347" t="str">
        <f>IF(AD3347="United States", IFERROR(INDEX(Sheet2!$C:$C, MATCH(AE3347&amp;AF3347, Sheet2!$E:$E, 0)) &amp; ", " &amp; INDEX(Sheet2!$D:$D, MATCH(AE3347&amp;AF3347, Sheet2!$E:$E, 0)), ""), "-")</f>
        <v/>
      </c>
    </row>
    <row r="3348" spans="1:33" x14ac:dyDescent="0.25">
      <c r="A3348" t="s">
        <v>4736</v>
      </c>
      <c r="B3348" t="s">
        <v>4948</v>
      </c>
      <c r="C3348" t="s">
        <v>4738</v>
      </c>
      <c r="D3348" t="s">
        <v>803</v>
      </c>
      <c r="E3348" t="s">
        <v>4690</v>
      </c>
      <c r="F3348">
        <v>1779</v>
      </c>
      <c r="G3348">
        <v>2644</v>
      </c>
      <c r="H3348" t="s">
        <v>38</v>
      </c>
      <c r="I3348" t="s">
        <v>87</v>
      </c>
      <c r="J3348" t="s">
        <v>38</v>
      </c>
      <c r="K3348" t="s">
        <v>38</v>
      </c>
      <c r="L3348" t="s">
        <v>38</v>
      </c>
      <c r="M3348" t="s">
        <v>114</v>
      </c>
      <c r="N3348" t="s">
        <v>4690</v>
      </c>
      <c r="O3348" t="s">
        <v>54</v>
      </c>
      <c r="P3348" t="s">
        <v>42</v>
      </c>
      <c r="Q3348" t="s">
        <v>43</v>
      </c>
      <c r="R3348" t="s">
        <v>38</v>
      </c>
      <c r="S3348" t="s">
        <v>38</v>
      </c>
      <c r="T3348" t="s">
        <v>38</v>
      </c>
      <c r="U3348" t="s">
        <v>38</v>
      </c>
      <c r="V3348" t="s">
        <v>38</v>
      </c>
      <c r="W3348" t="s">
        <v>38</v>
      </c>
      <c r="X3348" t="s">
        <v>38</v>
      </c>
      <c r="Y3348" t="s">
        <v>38</v>
      </c>
      <c r="Z3348" t="s">
        <v>42</v>
      </c>
      <c r="AA3348" t="s">
        <v>38</v>
      </c>
      <c r="AB3348" t="s">
        <v>38</v>
      </c>
      <c r="AC3348" t="s">
        <v>38</v>
      </c>
      <c r="AD3348" t="s">
        <v>48</v>
      </c>
      <c r="AG3348" t="str">
        <f>IF(AD3348="United States", IFERROR(INDEX(Sheet2!$C:$C, MATCH(AE3348&amp;AF3348, Sheet2!$E:$E, 0)) &amp; ", " &amp; INDEX(Sheet2!$D:$D, MATCH(AE3348&amp;AF3348, Sheet2!$E:$E, 0)), ""), "-")</f>
        <v/>
      </c>
    </row>
    <row r="3349" spans="1:33" x14ac:dyDescent="0.25">
      <c r="A3349" t="s">
        <v>4736</v>
      </c>
      <c r="B3349" t="s">
        <v>4949</v>
      </c>
      <c r="C3349" t="s">
        <v>4738</v>
      </c>
      <c r="D3349" t="s">
        <v>3887</v>
      </c>
      <c r="E3349" t="s">
        <v>4690</v>
      </c>
      <c r="F3349">
        <v>1781</v>
      </c>
      <c r="G3349">
        <v>2643</v>
      </c>
      <c r="H3349" t="s">
        <v>38</v>
      </c>
      <c r="I3349" t="s">
        <v>87</v>
      </c>
      <c r="J3349" t="s">
        <v>38</v>
      </c>
      <c r="K3349" t="s">
        <v>38</v>
      </c>
      <c r="L3349" t="s">
        <v>38</v>
      </c>
      <c r="M3349" t="s">
        <v>114</v>
      </c>
      <c r="N3349" t="s">
        <v>4690</v>
      </c>
      <c r="O3349" t="s">
        <v>54</v>
      </c>
      <c r="P3349" t="s">
        <v>42</v>
      </c>
      <c r="Q3349" t="s">
        <v>43</v>
      </c>
      <c r="R3349" t="s">
        <v>38</v>
      </c>
      <c r="S3349" t="s">
        <v>38</v>
      </c>
      <c r="T3349" t="s">
        <v>38</v>
      </c>
      <c r="U3349" t="s">
        <v>38</v>
      </c>
      <c r="V3349" t="s">
        <v>38</v>
      </c>
      <c r="W3349" t="s">
        <v>38</v>
      </c>
      <c r="X3349" t="s">
        <v>38</v>
      </c>
      <c r="Y3349" t="s">
        <v>38</v>
      </c>
      <c r="Z3349" t="s">
        <v>42</v>
      </c>
      <c r="AA3349" t="s">
        <v>38</v>
      </c>
      <c r="AB3349" t="s">
        <v>38</v>
      </c>
      <c r="AC3349" t="s">
        <v>38</v>
      </c>
      <c r="AD3349" t="s">
        <v>48</v>
      </c>
      <c r="AG3349" t="str">
        <f>IF(AD3349="United States", IFERROR(INDEX(Sheet2!$C:$C, MATCH(AE3349&amp;AF3349, Sheet2!$E:$E, 0)) &amp; ", " &amp; INDEX(Sheet2!$D:$D, MATCH(AE3349&amp;AF3349, Sheet2!$E:$E, 0)), ""), "-")</f>
        <v/>
      </c>
    </row>
    <row r="3350" spans="1:33" x14ac:dyDescent="0.25">
      <c r="A3350" t="s">
        <v>4736</v>
      </c>
      <c r="B3350" t="s">
        <v>4950</v>
      </c>
      <c r="C3350" t="s">
        <v>4738</v>
      </c>
      <c r="D3350" t="s">
        <v>352</v>
      </c>
      <c r="E3350" t="s">
        <v>4935</v>
      </c>
      <c r="F3350">
        <v>1778</v>
      </c>
      <c r="G3350">
        <v>2655</v>
      </c>
      <c r="H3350" t="s">
        <v>38</v>
      </c>
      <c r="I3350" t="s">
        <v>87</v>
      </c>
      <c r="J3350" t="s">
        <v>38</v>
      </c>
      <c r="K3350" t="s">
        <v>38</v>
      </c>
      <c r="L3350" t="s">
        <v>38</v>
      </c>
      <c r="M3350" t="s">
        <v>245</v>
      </c>
      <c r="N3350" t="s">
        <v>4935</v>
      </c>
      <c r="O3350" t="s">
        <v>54</v>
      </c>
      <c r="P3350" t="s">
        <v>42</v>
      </c>
      <c r="Q3350" t="s">
        <v>43</v>
      </c>
      <c r="R3350" t="s">
        <v>38</v>
      </c>
      <c r="S3350" t="s">
        <v>38</v>
      </c>
      <c r="T3350" t="s">
        <v>38</v>
      </c>
      <c r="U3350" t="s">
        <v>38</v>
      </c>
      <c r="V3350" t="s">
        <v>38</v>
      </c>
      <c r="W3350" t="s">
        <v>38</v>
      </c>
      <c r="X3350" t="s">
        <v>38</v>
      </c>
      <c r="Y3350" t="s">
        <v>38</v>
      </c>
      <c r="Z3350" t="s">
        <v>42</v>
      </c>
      <c r="AA3350" t="s">
        <v>38</v>
      </c>
      <c r="AB3350" t="s">
        <v>38</v>
      </c>
      <c r="AC3350" t="s">
        <v>38</v>
      </c>
      <c r="AD3350" t="s">
        <v>48</v>
      </c>
      <c r="AG3350" t="str">
        <f>IF(AD3350="United States", IFERROR(INDEX(Sheet2!$C:$C, MATCH(AE3350&amp;AF3350, Sheet2!$E:$E, 0)) &amp; ", " &amp; INDEX(Sheet2!$D:$D, MATCH(AE3350&amp;AF3350, Sheet2!$E:$E, 0)), ""), "-")</f>
        <v/>
      </c>
    </row>
    <row r="3351" spans="1:33" x14ac:dyDescent="0.25">
      <c r="A3351" t="s">
        <v>4736</v>
      </c>
      <c r="B3351" t="s">
        <v>4951</v>
      </c>
      <c r="C3351" t="s">
        <v>4738</v>
      </c>
      <c r="D3351" t="s">
        <v>263</v>
      </c>
      <c r="E3351" t="s">
        <v>4912</v>
      </c>
      <c r="F3351">
        <v>1769</v>
      </c>
      <c r="G3351">
        <v>2670</v>
      </c>
      <c r="H3351" t="s">
        <v>38</v>
      </c>
      <c r="I3351" t="s">
        <v>1649</v>
      </c>
      <c r="J3351" t="s">
        <v>38</v>
      </c>
      <c r="K3351" t="s">
        <v>38</v>
      </c>
      <c r="L3351" t="s">
        <v>38</v>
      </c>
      <c r="M3351" t="s">
        <v>38</v>
      </c>
      <c r="N3351" t="s">
        <v>38</v>
      </c>
      <c r="O3351" t="s">
        <v>74</v>
      </c>
      <c r="P3351" t="s">
        <v>42</v>
      </c>
      <c r="Q3351" t="s">
        <v>43</v>
      </c>
      <c r="R3351" t="s">
        <v>169</v>
      </c>
      <c r="S3351" t="s">
        <v>45</v>
      </c>
      <c r="T3351" t="s">
        <v>38</v>
      </c>
      <c r="U3351" t="s">
        <v>38</v>
      </c>
      <c r="V3351" t="s">
        <v>38</v>
      </c>
      <c r="W3351" t="s">
        <v>38</v>
      </c>
      <c r="X3351" t="s">
        <v>38</v>
      </c>
      <c r="Y3351" t="s">
        <v>38</v>
      </c>
      <c r="Z3351" t="s">
        <v>42</v>
      </c>
      <c r="AA3351" t="s">
        <v>169</v>
      </c>
      <c r="AB3351" t="s">
        <v>38</v>
      </c>
      <c r="AC3351" t="s">
        <v>45</v>
      </c>
      <c r="AD3351" t="s">
        <v>48</v>
      </c>
      <c r="AG3351" t="str">
        <f>IF(AD3351="United States", IFERROR(INDEX(Sheet2!$C:$C, MATCH(AE3351&amp;AF3351, Sheet2!$E:$E, 0)) &amp; ", " &amp; INDEX(Sheet2!$D:$D, MATCH(AE3351&amp;AF3351, Sheet2!$E:$E, 0)), ""), "-")</f>
        <v/>
      </c>
    </row>
    <row r="3352" spans="1:33" x14ac:dyDescent="0.25">
      <c r="A3352" t="s">
        <v>4736</v>
      </c>
      <c r="B3352" t="s">
        <v>4952</v>
      </c>
      <c r="C3352" t="s">
        <v>4738</v>
      </c>
      <c r="D3352" t="s">
        <v>226</v>
      </c>
      <c r="E3352" t="s">
        <v>226</v>
      </c>
      <c r="F3352">
        <v>1747</v>
      </c>
      <c r="G3352">
        <v>2667</v>
      </c>
      <c r="H3352" t="s">
        <v>38</v>
      </c>
      <c r="I3352" t="s">
        <v>1649</v>
      </c>
      <c r="J3352" t="s">
        <v>38</v>
      </c>
      <c r="K3352" t="s">
        <v>38</v>
      </c>
      <c r="L3352" t="s">
        <v>38</v>
      </c>
      <c r="M3352" t="s">
        <v>38</v>
      </c>
      <c r="N3352" t="s">
        <v>38</v>
      </c>
      <c r="O3352" t="s">
        <v>41</v>
      </c>
      <c r="P3352" t="s">
        <v>42</v>
      </c>
      <c r="Q3352" t="s">
        <v>43</v>
      </c>
      <c r="R3352" t="s">
        <v>4953</v>
      </c>
      <c r="S3352" t="s">
        <v>45</v>
      </c>
      <c r="T3352" t="s">
        <v>38</v>
      </c>
      <c r="U3352" t="s">
        <v>38</v>
      </c>
      <c r="V3352" t="s">
        <v>38</v>
      </c>
      <c r="W3352" t="s">
        <v>38</v>
      </c>
      <c r="X3352" t="s">
        <v>38</v>
      </c>
      <c r="Y3352" t="s">
        <v>38</v>
      </c>
      <c r="Z3352" t="s">
        <v>42</v>
      </c>
      <c r="AA3352" t="s">
        <v>38</v>
      </c>
      <c r="AB3352" t="s">
        <v>38</v>
      </c>
      <c r="AC3352" t="s">
        <v>45</v>
      </c>
      <c r="AD3352" t="s">
        <v>48</v>
      </c>
      <c r="AG3352" t="str">
        <f>IF(AD3352="United States", IFERROR(INDEX(Sheet2!$C:$C, MATCH(AE3352&amp;AF3352, Sheet2!$E:$E, 0)) &amp; ", " &amp; INDEX(Sheet2!$D:$D, MATCH(AE3352&amp;AF3352, Sheet2!$E:$E, 0)), ""), "-")</f>
        <v/>
      </c>
    </row>
    <row r="3353" spans="1:33" x14ac:dyDescent="0.25">
      <c r="A3353" t="s">
        <v>4736</v>
      </c>
      <c r="B3353" t="s">
        <v>4954</v>
      </c>
      <c r="C3353" t="s">
        <v>4738</v>
      </c>
      <c r="D3353" t="s">
        <v>63</v>
      </c>
      <c r="E3353" t="s">
        <v>4912</v>
      </c>
      <c r="F3353">
        <v>1773</v>
      </c>
      <c r="G3353">
        <v>2672</v>
      </c>
      <c r="H3353" t="s">
        <v>38</v>
      </c>
      <c r="I3353" t="s">
        <v>1649</v>
      </c>
      <c r="J3353" t="s">
        <v>38</v>
      </c>
      <c r="K3353" t="s">
        <v>38</v>
      </c>
      <c r="L3353" t="s">
        <v>38</v>
      </c>
      <c r="M3353" t="s">
        <v>4931</v>
      </c>
      <c r="N3353" t="s">
        <v>4912</v>
      </c>
      <c r="O3353" t="s">
        <v>54</v>
      </c>
      <c r="P3353" t="s">
        <v>42</v>
      </c>
      <c r="Q3353" t="s">
        <v>43</v>
      </c>
      <c r="R3353" t="s">
        <v>1135</v>
      </c>
      <c r="S3353" t="s">
        <v>45</v>
      </c>
      <c r="T3353" t="s">
        <v>38</v>
      </c>
      <c r="U3353" t="s">
        <v>38</v>
      </c>
      <c r="V3353" t="s">
        <v>38</v>
      </c>
      <c r="W3353" t="s">
        <v>38</v>
      </c>
      <c r="X3353" t="s">
        <v>38</v>
      </c>
      <c r="Y3353" t="s">
        <v>38</v>
      </c>
      <c r="Z3353" t="s">
        <v>42</v>
      </c>
      <c r="AA3353" t="s">
        <v>1135</v>
      </c>
      <c r="AB3353" t="s">
        <v>38</v>
      </c>
      <c r="AC3353" t="s">
        <v>45</v>
      </c>
      <c r="AD3353" t="s">
        <v>48</v>
      </c>
      <c r="AG3353" t="str">
        <f>IF(AD3353="United States", IFERROR(INDEX(Sheet2!$C:$C, MATCH(AE3353&amp;AF3353, Sheet2!$E:$E, 0)) &amp; ", " &amp; INDEX(Sheet2!$D:$D, MATCH(AE3353&amp;AF3353, Sheet2!$E:$E, 0)), ""), "-")</f>
        <v/>
      </c>
    </row>
    <row r="3354" spans="1:33" x14ac:dyDescent="0.25">
      <c r="A3354" t="s">
        <v>4736</v>
      </c>
      <c r="B3354" t="s">
        <v>4955</v>
      </c>
      <c r="C3354" t="s">
        <v>4738</v>
      </c>
      <c r="D3354" t="s">
        <v>945</v>
      </c>
      <c r="E3354" t="s">
        <v>1854</v>
      </c>
      <c r="F3354">
        <v>1759</v>
      </c>
      <c r="G3354">
        <v>2741</v>
      </c>
      <c r="I3354" t="s">
        <v>87</v>
      </c>
      <c r="J3354" t="s">
        <v>38</v>
      </c>
      <c r="O3354" t="s">
        <v>41</v>
      </c>
      <c r="P3354" t="s">
        <v>42</v>
      </c>
      <c r="Q3354" t="s">
        <v>43</v>
      </c>
      <c r="R3354" t="s">
        <v>4956</v>
      </c>
      <c r="S3354" t="s">
        <v>153</v>
      </c>
      <c r="V3354" t="s">
        <v>4834</v>
      </c>
      <c r="Y3354" t="s">
        <v>4835</v>
      </c>
      <c r="Z3354" t="s">
        <v>42</v>
      </c>
      <c r="AA3354" t="s">
        <v>38</v>
      </c>
      <c r="AB3354" t="s">
        <v>38</v>
      </c>
      <c r="AC3354" t="s">
        <v>153</v>
      </c>
      <c r="AD3354" t="s">
        <v>48</v>
      </c>
      <c r="AG3354" t="str">
        <f>IF(AD3354="United States", IFERROR(INDEX(Sheet2!$C:$C, MATCH(AE3354&amp;AF3354, Sheet2!$E:$E, 0)) &amp; ", " &amp; INDEX(Sheet2!$D:$D, MATCH(AE3354&amp;AF3354, Sheet2!$E:$E, 0)), ""), "-")</f>
        <v/>
      </c>
    </row>
    <row r="3355" spans="1:33" x14ac:dyDescent="0.25">
      <c r="A3355" t="s">
        <v>4736</v>
      </c>
      <c r="B3355" t="s">
        <v>4957</v>
      </c>
      <c r="C3355" t="s">
        <v>4738</v>
      </c>
      <c r="D3355" t="s">
        <v>1126</v>
      </c>
      <c r="E3355" t="s">
        <v>1104</v>
      </c>
      <c r="F3355">
        <v>1755</v>
      </c>
      <c r="G3355">
        <v>2742</v>
      </c>
      <c r="I3355" t="s">
        <v>87</v>
      </c>
      <c r="J3355" t="s">
        <v>38</v>
      </c>
      <c r="O3355" t="s">
        <v>41</v>
      </c>
      <c r="P3355" t="s">
        <v>42</v>
      </c>
      <c r="Q3355" t="s">
        <v>43</v>
      </c>
      <c r="R3355" t="s">
        <v>4956</v>
      </c>
      <c r="S3355" t="s">
        <v>153</v>
      </c>
      <c r="V3355" t="s">
        <v>4834</v>
      </c>
      <c r="Y3355" t="s">
        <v>4835</v>
      </c>
      <c r="Z3355" t="s">
        <v>42</v>
      </c>
      <c r="AA3355" t="s">
        <v>4956</v>
      </c>
      <c r="AB3355" t="s">
        <v>38</v>
      </c>
      <c r="AC3355" t="s">
        <v>153</v>
      </c>
      <c r="AD3355" t="s">
        <v>48</v>
      </c>
      <c r="AG3355" t="str">
        <f>IF(AD3355="United States", IFERROR(INDEX(Sheet2!$C:$C, MATCH(AE3355&amp;AF3355, Sheet2!$E:$E, 0)) &amp; ", " &amp; INDEX(Sheet2!$D:$D, MATCH(AE3355&amp;AF3355, Sheet2!$E:$E, 0)), ""), "-")</f>
        <v/>
      </c>
    </row>
    <row r="3356" spans="1:33" x14ac:dyDescent="0.25">
      <c r="A3356" t="s">
        <v>4736</v>
      </c>
      <c r="B3356" t="s">
        <v>4958</v>
      </c>
      <c r="C3356" t="s">
        <v>4738</v>
      </c>
      <c r="D3356" t="s">
        <v>200</v>
      </c>
      <c r="E3356" t="s">
        <v>4659</v>
      </c>
      <c r="F3356">
        <v>1690</v>
      </c>
      <c r="G3356">
        <v>2743</v>
      </c>
      <c r="I3356" t="s">
        <v>87</v>
      </c>
      <c r="J3356" t="s">
        <v>38</v>
      </c>
      <c r="O3356" t="s">
        <v>41</v>
      </c>
      <c r="P3356" t="s">
        <v>42</v>
      </c>
      <c r="Q3356" t="s">
        <v>43</v>
      </c>
      <c r="V3356" t="s">
        <v>4834</v>
      </c>
      <c r="Y3356" t="s">
        <v>4835</v>
      </c>
      <c r="Z3356" t="s">
        <v>42</v>
      </c>
      <c r="AA3356" t="s">
        <v>38</v>
      </c>
      <c r="AB3356" t="s">
        <v>38</v>
      </c>
      <c r="AC3356" t="s">
        <v>38</v>
      </c>
      <c r="AD3356" t="s">
        <v>48</v>
      </c>
      <c r="AG3356" t="str">
        <f>IF(AD3356="United States", IFERROR(INDEX(Sheet2!$C:$C, MATCH(AE3356&amp;AF3356, Sheet2!$E:$E, 0)) &amp; ", " &amp; INDEX(Sheet2!$D:$D, MATCH(AE3356&amp;AF3356, Sheet2!$E:$E, 0)), ""), "-")</f>
        <v/>
      </c>
    </row>
    <row r="3357" spans="1:33" x14ac:dyDescent="0.25">
      <c r="A3357" t="s">
        <v>4736</v>
      </c>
      <c r="B3357" t="s">
        <v>4959</v>
      </c>
      <c r="C3357" t="s">
        <v>4738</v>
      </c>
      <c r="D3357" t="s">
        <v>101</v>
      </c>
      <c r="E3357" t="s">
        <v>4662</v>
      </c>
      <c r="F3357">
        <v>1732</v>
      </c>
      <c r="G3357">
        <v>2744</v>
      </c>
      <c r="I3357" t="s">
        <v>87</v>
      </c>
      <c r="J3357" t="s">
        <v>38</v>
      </c>
      <c r="O3357" t="s">
        <v>41</v>
      </c>
      <c r="P3357" t="s">
        <v>42</v>
      </c>
      <c r="Q3357" t="s">
        <v>43</v>
      </c>
      <c r="R3357" t="s">
        <v>4960</v>
      </c>
      <c r="S3357" t="s">
        <v>201</v>
      </c>
      <c r="V3357" t="s">
        <v>4834</v>
      </c>
      <c r="Y3357" t="s">
        <v>4835</v>
      </c>
      <c r="Z3357" t="s">
        <v>42</v>
      </c>
      <c r="AA3357" t="s">
        <v>4961</v>
      </c>
      <c r="AB3357" t="s">
        <v>38</v>
      </c>
      <c r="AC3357" t="s">
        <v>201</v>
      </c>
      <c r="AD3357" t="s">
        <v>48</v>
      </c>
      <c r="AG3357" t="str">
        <f>IF(AD3357="United States", IFERROR(INDEX(Sheet2!$C:$C, MATCH(AE3357&amp;AF3357, Sheet2!$E:$E, 0)) &amp; ", " &amp; INDEX(Sheet2!$D:$D, MATCH(AE3357&amp;AF3357, Sheet2!$E:$E, 0)), ""), "-")</f>
        <v/>
      </c>
    </row>
    <row r="3358" spans="1:33" x14ac:dyDescent="0.25">
      <c r="A3358" t="s">
        <v>4736</v>
      </c>
      <c r="B3358" t="s">
        <v>4962</v>
      </c>
      <c r="C3358" t="s">
        <v>4738</v>
      </c>
      <c r="D3358" t="s">
        <v>226</v>
      </c>
      <c r="E3358" t="s">
        <v>132</v>
      </c>
      <c r="F3358">
        <v>1765</v>
      </c>
      <c r="G3358">
        <v>2745</v>
      </c>
      <c r="I3358" t="s">
        <v>87</v>
      </c>
      <c r="J3358" t="s">
        <v>38</v>
      </c>
      <c r="O3358" t="s">
        <v>41</v>
      </c>
      <c r="P3358" t="s">
        <v>42</v>
      </c>
      <c r="Q3358" t="s">
        <v>43</v>
      </c>
      <c r="V3358" t="s">
        <v>4834</v>
      </c>
      <c r="Y3358" t="s">
        <v>4835</v>
      </c>
      <c r="Z3358" t="s">
        <v>42</v>
      </c>
      <c r="AA3358" t="s">
        <v>38</v>
      </c>
      <c r="AB3358" t="s">
        <v>38</v>
      </c>
      <c r="AC3358" t="s">
        <v>38</v>
      </c>
      <c r="AD3358" t="s">
        <v>48</v>
      </c>
      <c r="AG3358" t="str">
        <f>IF(AD3358="United States", IFERROR(INDEX(Sheet2!$C:$C, MATCH(AE3358&amp;AF3358, Sheet2!$E:$E, 0)) &amp; ", " &amp; INDEX(Sheet2!$D:$D, MATCH(AE3358&amp;AF3358, Sheet2!$E:$E, 0)), ""), "-")</f>
        <v/>
      </c>
    </row>
    <row r="3359" spans="1:33" x14ac:dyDescent="0.25">
      <c r="A3359" t="s">
        <v>4736</v>
      </c>
      <c r="B3359" t="s">
        <v>4963</v>
      </c>
      <c r="C3359" t="s">
        <v>4738</v>
      </c>
      <c r="D3359" t="s">
        <v>357</v>
      </c>
      <c r="E3359" t="s">
        <v>4674</v>
      </c>
      <c r="F3359">
        <v>1759</v>
      </c>
      <c r="G3359">
        <v>2746</v>
      </c>
      <c r="I3359" t="s">
        <v>87</v>
      </c>
      <c r="J3359" t="s">
        <v>38</v>
      </c>
      <c r="O3359" t="s">
        <v>41</v>
      </c>
      <c r="P3359" t="s">
        <v>42</v>
      </c>
      <c r="Q3359" t="s">
        <v>43</v>
      </c>
      <c r="R3359" t="s">
        <v>4964</v>
      </c>
      <c r="S3359" t="s">
        <v>201</v>
      </c>
      <c r="V3359" t="s">
        <v>4834</v>
      </c>
      <c r="Y3359" t="s">
        <v>4835</v>
      </c>
      <c r="Z3359" t="s">
        <v>42</v>
      </c>
      <c r="AA3359" t="s">
        <v>354</v>
      </c>
      <c r="AB3359" t="s">
        <v>38</v>
      </c>
      <c r="AC3359" t="s">
        <v>201</v>
      </c>
      <c r="AD3359" t="s">
        <v>48</v>
      </c>
      <c r="AG3359" t="str">
        <f>IF(AD3359="United States", IFERROR(INDEX(Sheet2!$C:$C, MATCH(AE3359&amp;AF3359, Sheet2!$E:$E, 0)) &amp; ", " &amp; INDEX(Sheet2!$D:$D, MATCH(AE3359&amp;AF3359, Sheet2!$E:$E, 0)), ""), "-")</f>
        <v/>
      </c>
    </row>
    <row r="3360" spans="1:33" x14ac:dyDescent="0.25">
      <c r="A3360" t="s">
        <v>4736</v>
      </c>
      <c r="B3360" t="s">
        <v>4965</v>
      </c>
      <c r="C3360" t="s">
        <v>4738</v>
      </c>
      <c r="D3360" t="s">
        <v>1413</v>
      </c>
      <c r="E3360" t="s">
        <v>4966</v>
      </c>
      <c r="F3360">
        <v>1760</v>
      </c>
      <c r="G3360">
        <v>2683</v>
      </c>
      <c r="H3360" t="s">
        <v>38</v>
      </c>
      <c r="I3360" t="s">
        <v>1649</v>
      </c>
      <c r="J3360" t="s">
        <v>38</v>
      </c>
      <c r="K3360" t="s">
        <v>38</v>
      </c>
      <c r="L3360" t="s">
        <v>38</v>
      </c>
      <c r="M3360" t="s">
        <v>38</v>
      </c>
      <c r="N3360" t="s">
        <v>38</v>
      </c>
      <c r="O3360" t="s">
        <v>57</v>
      </c>
      <c r="P3360" t="s">
        <v>42</v>
      </c>
      <c r="Q3360" t="s">
        <v>43</v>
      </c>
      <c r="R3360" t="s">
        <v>682</v>
      </c>
      <c r="S3360" t="s">
        <v>45</v>
      </c>
      <c r="T3360" t="s">
        <v>38</v>
      </c>
      <c r="U3360" t="s">
        <v>38</v>
      </c>
      <c r="V3360" t="s">
        <v>38</v>
      </c>
      <c r="W3360" t="s">
        <v>38</v>
      </c>
      <c r="X3360" t="s">
        <v>38</v>
      </c>
      <c r="Y3360" t="s">
        <v>38</v>
      </c>
      <c r="Z3360" t="s">
        <v>42</v>
      </c>
      <c r="AA3360" t="s">
        <v>682</v>
      </c>
      <c r="AB3360" t="s">
        <v>38</v>
      </c>
      <c r="AC3360" t="s">
        <v>45</v>
      </c>
      <c r="AD3360" t="s">
        <v>48</v>
      </c>
      <c r="AG3360" t="str">
        <f>IF(AD3360="United States", IFERROR(INDEX(Sheet2!$C:$C, MATCH(AE3360&amp;AF3360, Sheet2!$E:$E, 0)) &amp; ", " &amp; INDEX(Sheet2!$D:$D, MATCH(AE3360&amp;AF3360, Sheet2!$E:$E, 0)), ""), "-")</f>
        <v/>
      </c>
    </row>
    <row r="3361" spans="1:33" x14ac:dyDescent="0.25">
      <c r="A3361" t="s">
        <v>4736</v>
      </c>
      <c r="B3361" t="s">
        <v>4967</v>
      </c>
      <c r="C3361" t="s">
        <v>4738</v>
      </c>
      <c r="D3361" t="s">
        <v>113</v>
      </c>
      <c r="E3361" t="s">
        <v>402</v>
      </c>
      <c r="F3361">
        <v>1730</v>
      </c>
      <c r="G3361">
        <v>2747</v>
      </c>
      <c r="I3361" t="s">
        <v>87</v>
      </c>
      <c r="J3361" t="s">
        <v>38</v>
      </c>
      <c r="O3361" t="s">
        <v>41</v>
      </c>
      <c r="P3361" t="s">
        <v>42</v>
      </c>
      <c r="Q3361" t="s">
        <v>43</v>
      </c>
      <c r="R3361" t="s">
        <v>159</v>
      </c>
      <c r="S3361" t="s">
        <v>45</v>
      </c>
      <c r="V3361" t="s">
        <v>4834</v>
      </c>
      <c r="Y3361" t="s">
        <v>4835</v>
      </c>
      <c r="Z3361" t="s">
        <v>42</v>
      </c>
      <c r="AA3361" t="s">
        <v>38</v>
      </c>
      <c r="AB3361" t="s">
        <v>38</v>
      </c>
      <c r="AC3361" t="s">
        <v>45</v>
      </c>
      <c r="AD3361" t="s">
        <v>48</v>
      </c>
      <c r="AG3361" t="str">
        <f>IF(AD3361="United States", IFERROR(INDEX(Sheet2!$C:$C, MATCH(AE3361&amp;AF3361, Sheet2!$E:$E, 0)) &amp; ", " &amp; INDEX(Sheet2!$D:$D, MATCH(AE3361&amp;AF3361, Sheet2!$E:$E, 0)), ""), "-")</f>
        <v/>
      </c>
    </row>
    <row r="3362" spans="1:33" x14ac:dyDescent="0.25">
      <c r="A3362" t="s">
        <v>4736</v>
      </c>
      <c r="B3362" t="s">
        <v>4968</v>
      </c>
      <c r="C3362" t="s">
        <v>4738</v>
      </c>
      <c r="D3362" t="s">
        <v>210</v>
      </c>
      <c r="E3362" t="s">
        <v>4698</v>
      </c>
      <c r="F3362">
        <v>1764</v>
      </c>
      <c r="G3362">
        <v>2749</v>
      </c>
      <c r="I3362" t="s">
        <v>87</v>
      </c>
      <c r="J3362" t="s">
        <v>38</v>
      </c>
      <c r="O3362" t="s">
        <v>41</v>
      </c>
      <c r="P3362" t="s">
        <v>42</v>
      </c>
      <c r="Q3362" t="s">
        <v>43</v>
      </c>
      <c r="R3362" t="s">
        <v>241</v>
      </c>
      <c r="S3362" t="s">
        <v>45</v>
      </c>
      <c r="V3362" t="s">
        <v>4834</v>
      </c>
      <c r="Y3362" t="s">
        <v>4835</v>
      </c>
      <c r="Z3362" t="s">
        <v>42</v>
      </c>
      <c r="AA3362" t="s">
        <v>241</v>
      </c>
      <c r="AB3362" t="s">
        <v>38</v>
      </c>
      <c r="AC3362" t="s">
        <v>45</v>
      </c>
      <c r="AD3362" t="s">
        <v>48</v>
      </c>
      <c r="AG3362" t="str">
        <f>IF(AD3362="United States", IFERROR(INDEX(Sheet2!$C:$C, MATCH(AE3362&amp;AF3362, Sheet2!$E:$E, 0)) &amp; ", " &amp; INDEX(Sheet2!$D:$D, MATCH(AE3362&amp;AF3362, Sheet2!$E:$E, 0)), ""), "-")</f>
        <v/>
      </c>
    </row>
    <row r="3363" spans="1:33" x14ac:dyDescent="0.25">
      <c r="A3363" t="s">
        <v>4736</v>
      </c>
      <c r="B3363" t="s">
        <v>4969</v>
      </c>
      <c r="C3363" t="s">
        <v>4738</v>
      </c>
      <c r="D3363" t="s">
        <v>210</v>
      </c>
      <c r="E3363" t="s">
        <v>1604</v>
      </c>
      <c r="F3363">
        <v>1758</v>
      </c>
      <c r="G3363">
        <v>2750</v>
      </c>
      <c r="I3363" t="s">
        <v>87</v>
      </c>
      <c r="J3363" t="s">
        <v>38</v>
      </c>
      <c r="O3363" t="s">
        <v>41</v>
      </c>
      <c r="P3363" t="s">
        <v>42</v>
      </c>
      <c r="Q3363" t="s">
        <v>43</v>
      </c>
      <c r="V3363" t="s">
        <v>4834</v>
      </c>
      <c r="Y3363" t="s">
        <v>4835</v>
      </c>
      <c r="Z3363" t="s">
        <v>42</v>
      </c>
      <c r="AA3363" t="s">
        <v>38</v>
      </c>
      <c r="AB3363" t="s">
        <v>38</v>
      </c>
      <c r="AC3363" t="s">
        <v>3512</v>
      </c>
      <c r="AD3363" t="s">
        <v>48</v>
      </c>
      <c r="AG3363" t="str">
        <f>IF(AD3363="United States", IFERROR(INDEX(Sheet2!$C:$C, MATCH(AE3363&amp;AF3363, Sheet2!$E:$E, 0)) &amp; ", " &amp; INDEX(Sheet2!$D:$D, MATCH(AE3363&amp;AF3363, Sheet2!$E:$E, 0)), ""), "-")</f>
        <v/>
      </c>
    </row>
    <row r="3364" spans="1:33" x14ac:dyDescent="0.25">
      <c r="A3364" t="s">
        <v>4736</v>
      </c>
      <c r="B3364" t="s">
        <v>4970</v>
      </c>
      <c r="C3364" t="s">
        <v>4738</v>
      </c>
      <c r="D3364" t="s">
        <v>210</v>
      </c>
      <c r="E3364" t="s">
        <v>465</v>
      </c>
      <c r="F3364">
        <v>1758</v>
      </c>
      <c r="G3364">
        <v>2751</v>
      </c>
      <c r="I3364" t="s">
        <v>87</v>
      </c>
      <c r="J3364" t="s">
        <v>38</v>
      </c>
      <c r="O3364" t="s">
        <v>41</v>
      </c>
      <c r="P3364" t="s">
        <v>42</v>
      </c>
      <c r="Q3364" t="s">
        <v>43</v>
      </c>
      <c r="R3364" t="s">
        <v>169</v>
      </c>
      <c r="S3364" t="s">
        <v>45</v>
      </c>
      <c r="V3364" t="s">
        <v>4834</v>
      </c>
      <c r="Y3364" t="s">
        <v>4835</v>
      </c>
      <c r="Z3364" t="s">
        <v>42</v>
      </c>
      <c r="AA3364" t="s">
        <v>169</v>
      </c>
      <c r="AB3364" t="s">
        <v>38</v>
      </c>
      <c r="AC3364" t="s">
        <v>45</v>
      </c>
      <c r="AD3364" t="s">
        <v>48</v>
      </c>
      <c r="AG3364" t="str">
        <f>IF(AD3364="United States", IFERROR(INDEX(Sheet2!$C:$C, MATCH(AE3364&amp;AF3364, Sheet2!$E:$E, 0)) &amp; ", " &amp; INDEX(Sheet2!$D:$D, MATCH(AE3364&amp;AF3364, Sheet2!$E:$E, 0)), ""), "-")</f>
        <v/>
      </c>
    </row>
    <row r="3365" spans="1:33" x14ac:dyDescent="0.25">
      <c r="A3365" t="s">
        <v>4736</v>
      </c>
      <c r="B3365" t="s">
        <v>4971</v>
      </c>
      <c r="C3365" t="s">
        <v>4738</v>
      </c>
      <c r="D3365" t="s">
        <v>1110</v>
      </c>
      <c r="E3365" t="s">
        <v>4972</v>
      </c>
      <c r="F3365">
        <v>1763</v>
      </c>
      <c r="G3365">
        <v>2752</v>
      </c>
      <c r="I3365" t="s">
        <v>87</v>
      </c>
      <c r="J3365" t="s">
        <v>38</v>
      </c>
      <c r="O3365" t="s">
        <v>41</v>
      </c>
      <c r="P3365" t="s">
        <v>42</v>
      </c>
      <c r="Q3365" t="s">
        <v>43</v>
      </c>
      <c r="R3365" t="s">
        <v>666</v>
      </c>
      <c r="S3365" t="s">
        <v>201</v>
      </c>
      <c r="V3365" t="s">
        <v>4834</v>
      </c>
      <c r="Y3365" t="s">
        <v>4973</v>
      </c>
      <c r="Z3365" t="s">
        <v>42</v>
      </c>
      <c r="AA3365" t="s">
        <v>666</v>
      </c>
      <c r="AB3365" t="s">
        <v>38</v>
      </c>
      <c r="AC3365" t="s">
        <v>201</v>
      </c>
      <c r="AD3365" t="s">
        <v>48</v>
      </c>
      <c r="AG3365" t="str">
        <f>IF(AD3365="United States", IFERROR(INDEX(Sheet2!$C:$C, MATCH(AE3365&amp;AF3365, Sheet2!$E:$E, 0)) &amp; ", " &amp; INDEX(Sheet2!$D:$D, MATCH(AE3365&amp;AF3365, Sheet2!$E:$E, 0)), ""), "-")</f>
        <v/>
      </c>
    </row>
    <row r="3366" spans="1:33" x14ac:dyDescent="0.25">
      <c r="A3366" t="s">
        <v>4736</v>
      </c>
      <c r="B3366" t="s">
        <v>4974</v>
      </c>
      <c r="C3366" t="s">
        <v>4738</v>
      </c>
      <c r="D3366" t="s">
        <v>1126</v>
      </c>
      <c r="E3366" t="s">
        <v>4694</v>
      </c>
      <c r="F3366">
        <v>1754</v>
      </c>
      <c r="G3366">
        <v>2753</v>
      </c>
      <c r="I3366" t="s">
        <v>87</v>
      </c>
      <c r="J3366" t="s">
        <v>38</v>
      </c>
      <c r="O3366" t="s">
        <v>41</v>
      </c>
      <c r="P3366" t="s">
        <v>42</v>
      </c>
      <c r="Q3366" t="s">
        <v>43</v>
      </c>
      <c r="R3366" t="s">
        <v>4975</v>
      </c>
      <c r="S3366" t="s">
        <v>153</v>
      </c>
      <c r="V3366" t="s">
        <v>4834</v>
      </c>
      <c r="Y3366" t="s">
        <v>4835</v>
      </c>
      <c r="Z3366" t="s">
        <v>42</v>
      </c>
      <c r="AA3366" t="s">
        <v>38</v>
      </c>
      <c r="AB3366" t="s">
        <v>38</v>
      </c>
      <c r="AC3366" t="s">
        <v>153</v>
      </c>
      <c r="AD3366" t="s">
        <v>48</v>
      </c>
      <c r="AG3366" t="str">
        <f>IF(AD3366="United States", IFERROR(INDEX(Sheet2!$C:$C, MATCH(AE3366&amp;AF3366, Sheet2!$E:$E, 0)) &amp; ", " &amp; INDEX(Sheet2!$D:$D, MATCH(AE3366&amp;AF3366, Sheet2!$E:$E, 0)), ""), "-")</f>
        <v/>
      </c>
    </row>
    <row r="3367" spans="1:33" x14ac:dyDescent="0.25">
      <c r="A3367" t="s">
        <v>4736</v>
      </c>
      <c r="B3367" t="s">
        <v>4976</v>
      </c>
      <c r="C3367" t="s">
        <v>4738</v>
      </c>
      <c r="D3367" t="s">
        <v>458</v>
      </c>
      <c r="E3367" t="s">
        <v>633</v>
      </c>
      <c r="F3367">
        <v>1752</v>
      </c>
      <c r="G3367">
        <v>2754</v>
      </c>
      <c r="I3367" t="s">
        <v>87</v>
      </c>
      <c r="J3367" t="s">
        <v>38</v>
      </c>
      <c r="O3367" t="s">
        <v>41</v>
      </c>
      <c r="P3367" t="s">
        <v>42</v>
      </c>
      <c r="Q3367" t="s">
        <v>43</v>
      </c>
      <c r="V3367" t="s">
        <v>4834</v>
      </c>
      <c r="Y3367" t="s">
        <v>4835</v>
      </c>
      <c r="Z3367" t="s">
        <v>42</v>
      </c>
      <c r="AA3367" t="s">
        <v>38</v>
      </c>
      <c r="AB3367" t="s">
        <v>38</v>
      </c>
      <c r="AC3367" t="s">
        <v>593</v>
      </c>
      <c r="AD3367" t="s">
        <v>48</v>
      </c>
      <c r="AG3367" t="str">
        <f>IF(AD3367="United States", IFERROR(INDEX(Sheet2!$C:$C, MATCH(AE3367&amp;AF3367, Sheet2!$E:$E, 0)) &amp; ", " &amp; INDEX(Sheet2!$D:$D, MATCH(AE3367&amp;AF3367, Sheet2!$E:$E, 0)), ""), "-")</f>
        <v/>
      </c>
    </row>
    <row r="3368" spans="1:33" x14ac:dyDescent="0.25">
      <c r="A3368" t="s">
        <v>4736</v>
      </c>
      <c r="B3368" t="s">
        <v>4977</v>
      </c>
      <c r="C3368" t="s">
        <v>4738</v>
      </c>
      <c r="D3368" t="s">
        <v>4978</v>
      </c>
      <c r="E3368" t="s">
        <v>1091</v>
      </c>
      <c r="F3368">
        <v>1755</v>
      </c>
      <c r="G3368">
        <v>2748</v>
      </c>
      <c r="I3368" t="s">
        <v>87</v>
      </c>
      <c r="J3368" t="s">
        <v>38</v>
      </c>
      <c r="O3368" t="s">
        <v>41</v>
      </c>
      <c r="P3368" t="s">
        <v>42</v>
      </c>
      <c r="Q3368" t="s">
        <v>43</v>
      </c>
      <c r="R3368" t="s">
        <v>4979</v>
      </c>
      <c r="S3368" t="s">
        <v>417</v>
      </c>
      <c r="V3368" t="s">
        <v>4834</v>
      </c>
      <c r="Y3368" t="s">
        <v>4835</v>
      </c>
      <c r="Z3368" t="s">
        <v>42</v>
      </c>
      <c r="AA3368" t="s">
        <v>38</v>
      </c>
      <c r="AB3368" t="s">
        <v>38</v>
      </c>
      <c r="AC3368" t="s">
        <v>417</v>
      </c>
      <c r="AD3368" t="s">
        <v>48</v>
      </c>
      <c r="AG3368" t="str">
        <f>IF(AD3368="United States", IFERROR(INDEX(Sheet2!$C:$C, MATCH(AE3368&amp;AF3368, Sheet2!$E:$E, 0)) &amp; ", " &amp; INDEX(Sheet2!$D:$D, MATCH(AE3368&amp;AF3368, Sheet2!$E:$E, 0)), ""), "-")</f>
        <v/>
      </c>
    </row>
    <row r="3369" spans="1:33" x14ac:dyDescent="0.25">
      <c r="A3369" t="s">
        <v>4736</v>
      </c>
      <c r="B3369" t="s">
        <v>4980</v>
      </c>
      <c r="C3369" t="s">
        <v>4738</v>
      </c>
      <c r="D3369" t="s">
        <v>1382</v>
      </c>
      <c r="E3369" t="s">
        <v>4912</v>
      </c>
      <c r="F3369">
        <v>1772</v>
      </c>
      <c r="G3369">
        <v>2671</v>
      </c>
      <c r="H3369" t="s">
        <v>38</v>
      </c>
      <c r="I3369" t="s">
        <v>1649</v>
      </c>
      <c r="J3369" t="s">
        <v>38</v>
      </c>
      <c r="K3369" t="s">
        <v>38</v>
      </c>
      <c r="L3369" t="s">
        <v>38</v>
      </c>
      <c r="M3369" t="s">
        <v>38</v>
      </c>
      <c r="N3369" t="s">
        <v>38</v>
      </c>
      <c r="O3369" t="s">
        <v>74</v>
      </c>
      <c r="P3369" t="s">
        <v>42</v>
      </c>
      <c r="Q3369" t="s">
        <v>43</v>
      </c>
      <c r="R3369" t="s">
        <v>1135</v>
      </c>
      <c r="S3369" t="s">
        <v>45</v>
      </c>
      <c r="T3369" t="s">
        <v>38</v>
      </c>
      <c r="U3369" t="s">
        <v>38</v>
      </c>
      <c r="V3369" t="s">
        <v>38</v>
      </c>
      <c r="W3369" t="s">
        <v>38</v>
      </c>
      <c r="X3369" t="s">
        <v>38</v>
      </c>
      <c r="Y3369" t="s">
        <v>38</v>
      </c>
      <c r="Z3369" t="s">
        <v>42</v>
      </c>
      <c r="AA3369" t="s">
        <v>1135</v>
      </c>
      <c r="AB3369" t="s">
        <v>38</v>
      </c>
      <c r="AC3369" t="s">
        <v>45</v>
      </c>
      <c r="AD3369" t="s">
        <v>48</v>
      </c>
      <c r="AG3369" t="str">
        <f>IF(AD3369="United States", IFERROR(INDEX(Sheet2!$C:$C, MATCH(AE3369&amp;AF3369, Sheet2!$E:$E, 0)) &amp; ", " &amp; INDEX(Sheet2!$D:$D, MATCH(AE3369&amp;AF3369, Sheet2!$E:$E, 0)), ""), "-")</f>
        <v/>
      </c>
    </row>
    <row r="3370" spans="1:33" x14ac:dyDescent="0.25">
      <c r="A3370" t="s">
        <v>4736</v>
      </c>
      <c r="B3370" t="s">
        <v>4981</v>
      </c>
      <c r="C3370" t="s">
        <v>4738</v>
      </c>
      <c r="D3370" t="s">
        <v>132</v>
      </c>
      <c r="E3370" t="s">
        <v>4966</v>
      </c>
      <c r="F3370">
        <v>1750</v>
      </c>
      <c r="G3370">
        <v>2682</v>
      </c>
      <c r="H3370" t="s">
        <v>38</v>
      </c>
      <c r="I3370" t="s">
        <v>1649</v>
      </c>
      <c r="J3370" t="s">
        <v>38</v>
      </c>
      <c r="K3370" t="s">
        <v>38</v>
      </c>
      <c r="L3370" t="s">
        <v>38</v>
      </c>
      <c r="M3370" t="s">
        <v>38</v>
      </c>
      <c r="N3370" t="s">
        <v>38</v>
      </c>
      <c r="O3370" t="s">
        <v>41</v>
      </c>
      <c r="P3370" t="s">
        <v>42</v>
      </c>
      <c r="Q3370" t="s">
        <v>43</v>
      </c>
      <c r="R3370" t="s">
        <v>169</v>
      </c>
      <c r="S3370" t="s">
        <v>45</v>
      </c>
      <c r="T3370" t="s">
        <v>38</v>
      </c>
      <c r="U3370" t="s">
        <v>38</v>
      </c>
      <c r="V3370" t="s">
        <v>38</v>
      </c>
      <c r="W3370" t="s">
        <v>38</v>
      </c>
      <c r="X3370" t="s">
        <v>38</v>
      </c>
      <c r="Y3370" t="s">
        <v>38</v>
      </c>
      <c r="Z3370" t="s">
        <v>42</v>
      </c>
      <c r="AA3370" t="s">
        <v>169</v>
      </c>
      <c r="AB3370" t="s">
        <v>38</v>
      </c>
      <c r="AC3370" t="s">
        <v>45</v>
      </c>
      <c r="AD3370" t="s">
        <v>48</v>
      </c>
      <c r="AG3370" t="str">
        <f>IF(AD3370="United States", IFERROR(INDEX(Sheet2!$C:$C, MATCH(AE3370&amp;AF3370, Sheet2!$E:$E, 0)) &amp; ", " &amp; INDEX(Sheet2!$D:$D, MATCH(AE3370&amp;AF3370, Sheet2!$E:$E, 0)), ""), "-")</f>
        <v/>
      </c>
    </row>
    <row r="3371" spans="1:33" x14ac:dyDescent="0.25">
      <c r="A3371" t="s">
        <v>4736</v>
      </c>
      <c r="B3371" t="s">
        <v>4982</v>
      </c>
      <c r="C3371" t="s">
        <v>4738</v>
      </c>
      <c r="D3371" t="s">
        <v>4983</v>
      </c>
      <c r="E3371" t="s">
        <v>334</v>
      </c>
      <c r="F3371">
        <v>1758</v>
      </c>
      <c r="G3371">
        <v>2680</v>
      </c>
      <c r="H3371" t="s">
        <v>38</v>
      </c>
      <c r="I3371" t="s">
        <v>1649</v>
      </c>
      <c r="J3371" t="s">
        <v>38</v>
      </c>
      <c r="K3371" t="s">
        <v>38</v>
      </c>
      <c r="L3371" t="s">
        <v>38</v>
      </c>
      <c r="M3371" t="s">
        <v>38</v>
      </c>
      <c r="N3371" t="s">
        <v>38</v>
      </c>
      <c r="O3371" t="s">
        <v>57</v>
      </c>
      <c r="P3371" t="s">
        <v>42</v>
      </c>
      <c r="Q3371" t="s">
        <v>43</v>
      </c>
      <c r="R3371" t="s">
        <v>38</v>
      </c>
      <c r="S3371" t="s">
        <v>38</v>
      </c>
      <c r="T3371" t="s">
        <v>38</v>
      </c>
      <c r="U3371" t="s">
        <v>38</v>
      </c>
      <c r="V3371" t="s">
        <v>38</v>
      </c>
      <c r="W3371" t="s">
        <v>38</v>
      </c>
      <c r="X3371" t="s">
        <v>38</v>
      </c>
      <c r="Y3371" t="s">
        <v>38</v>
      </c>
      <c r="Z3371" t="s">
        <v>42</v>
      </c>
      <c r="AA3371" t="s">
        <v>38</v>
      </c>
      <c r="AB3371" t="s">
        <v>38</v>
      </c>
      <c r="AC3371" t="s">
        <v>593</v>
      </c>
      <c r="AD3371" t="s">
        <v>48</v>
      </c>
      <c r="AG3371" t="str">
        <f>IF(AD3371="United States", IFERROR(INDEX(Sheet2!$C:$C, MATCH(AE3371&amp;AF3371, Sheet2!$E:$E, 0)) &amp; ", " &amp; INDEX(Sheet2!$D:$D, MATCH(AE3371&amp;AF3371, Sheet2!$E:$E, 0)), ""), "-")</f>
        <v/>
      </c>
    </row>
    <row r="3372" spans="1:33" x14ac:dyDescent="0.25">
      <c r="A3372" t="s">
        <v>4736</v>
      </c>
      <c r="B3372" t="s">
        <v>4984</v>
      </c>
      <c r="C3372" t="s">
        <v>4738</v>
      </c>
      <c r="D3372" t="s">
        <v>63</v>
      </c>
      <c r="E3372" t="s">
        <v>804</v>
      </c>
      <c r="F3372">
        <v>1748</v>
      </c>
      <c r="G3372">
        <v>2673</v>
      </c>
      <c r="H3372" t="s">
        <v>38</v>
      </c>
      <c r="I3372" t="s">
        <v>1649</v>
      </c>
      <c r="J3372" t="s">
        <v>38</v>
      </c>
      <c r="K3372" t="s">
        <v>38</v>
      </c>
      <c r="L3372" t="s">
        <v>38</v>
      </c>
      <c r="M3372" t="s">
        <v>38</v>
      </c>
      <c r="N3372" t="s">
        <v>38</v>
      </c>
      <c r="O3372" t="s">
        <v>41</v>
      </c>
      <c r="P3372" t="s">
        <v>42</v>
      </c>
      <c r="Q3372" t="s">
        <v>43</v>
      </c>
      <c r="R3372" t="s">
        <v>4953</v>
      </c>
      <c r="S3372" t="s">
        <v>45</v>
      </c>
      <c r="T3372" t="s">
        <v>38</v>
      </c>
      <c r="U3372" t="s">
        <v>38</v>
      </c>
      <c r="V3372" t="s">
        <v>38</v>
      </c>
      <c r="W3372" t="s">
        <v>38</v>
      </c>
      <c r="X3372" t="s">
        <v>38</v>
      </c>
      <c r="Y3372" t="s">
        <v>38</v>
      </c>
      <c r="Z3372" t="s">
        <v>42</v>
      </c>
      <c r="AA3372" t="s">
        <v>38</v>
      </c>
      <c r="AB3372" t="s">
        <v>38</v>
      </c>
      <c r="AC3372" t="s">
        <v>45</v>
      </c>
      <c r="AD3372" t="s">
        <v>48</v>
      </c>
      <c r="AG3372" t="str">
        <f>IF(AD3372="United States", IFERROR(INDEX(Sheet2!$C:$C, MATCH(AE3372&amp;AF3372, Sheet2!$E:$E, 0)) &amp; ", " &amp; INDEX(Sheet2!$D:$D, MATCH(AE3372&amp;AF3372, Sheet2!$E:$E, 0)), ""), "-")</f>
        <v/>
      </c>
    </row>
    <row r="3373" spans="1:33" x14ac:dyDescent="0.25">
      <c r="A3373" t="s">
        <v>4736</v>
      </c>
      <c r="B3373" t="s">
        <v>4985</v>
      </c>
      <c r="C3373" t="s">
        <v>4738</v>
      </c>
      <c r="D3373" t="s">
        <v>4986</v>
      </c>
      <c r="E3373" t="s">
        <v>804</v>
      </c>
      <c r="F3373">
        <v>1762</v>
      </c>
      <c r="G3373">
        <v>2674</v>
      </c>
      <c r="H3373" t="s">
        <v>38</v>
      </c>
      <c r="I3373" t="s">
        <v>1649</v>
      </c>
      <c r="J3373" t="s">
        <v>38</v>
      </c>
      <c r="K3373" t="s">
        <v>38</v>
      </c>
      <c r="L3373" t="s">
        <v>38</v>
      </c>
      <c r="M3373" t="s">
        <v>38</v>
      </c>
      <c r="N3373" t="s">
        <v>38</v>
      </c>
      <c r="O3373" t="s">
        <v>57</v>
      </c>
      <c r="P3373" t="s">
        <v>42</v>
      </c>
      <c r="Q3373" t="s">
        <v>43</v>
      </c>
      <c r="R3373" t="s">
        <v>4953</v>
      </c>
      <c r="S3373" t="s">
        <v>45</v>
      </c>
      <c r="T3373" t="s">
        <v>38</v>
      </c>
      <c r="U3373" t="s">
        <v>38</v>
      </c>
      <c r="V3373" t="s">
        <v>38</v>
      </c>
      <c r="W3373" t="s">
        <v>38</v>
      </c>
      <c r="X3373" t="s">
        <v>38</v>
      </c>
      <c r="Y3373" t="s">
        <v>38</v>
      </c>
      <c r="Z3373" t="s">
        <v>42</v>
      </c>
      <c r="AA3373" t="s">
        <v>38</v>
      </c>
      <c r="AB3373" t="s">
        <v>38</v>
      </c>
      <c r="AC3373" t="s">
        <v>45</v>
      </c>
      <c r="AD3373" t="s">
        <v>48</v>
      </c>
      <c r="AG3373" t="str">
        <f>IF(AD3373="United States", IFERROR(INDEX(Sheet2!$C:$C, MATCH(AE3373&amp;AF3373, Sheet2!$E:$E, 0)) &amp; ", " &amp; INDEX(Sheet2!$D:$D, MATCH(AE3373&amp;AF3373, Sheet2!$E:$E, 0)), ""), "-")</f>
        <v/>
      </c>
    </row>
    <row r="3374" spans="1:33" x14ac:dyDescent="0.25">
      <c r="A3374" t="s">
        <v>4736</v>
      </c>
      <c r="B3374" t="s">
        <v>4987</v>
      </c>
      <c r="C3374" t="s">
        <v>4738</v>
      </c>
      <c r="D3374" t="s">
        <v>458</v>
      </c>
      <c r="E3374" t="s">
        <v>804</v>
      </c>
      <c r="F3374" t="s">
        <v>38</v>
      </c>
      <c r="G3374">
        <v>2675</v>
      </c>
      <c r="H3374" t="s">
        <v>38</v>
      </c>
      <c r="I3374" t="s">
        <v>1649</v>
      </c>
      <c r="J3374" t="s">
        <v>38</v>
      </c>
      <c r="K3374" t="s">
        <v>38</v>
      </c>
      <c r="L3374" t="s">
        <v>38</v>
      </c>
      <c r="M3374" t="s">
        <v>38</v>
      </c>
      <c r="N3374" t="s">
        <v>38</v>
      </c>
      <c r="O3374" t="s">
        <v>54</v>
      </c>
      <c r="P3374" t="s">
        <v>42</v>
      </c>
      <c r="Q3374" t="s">
        <v>43</v>
      </c>
      <c r="R3374" t="s">
        <v>38</v>
      </c>
      <c r="S3374" t="s">
        <v>38</v>
      </c>
      <c r="T3374" t="s">
        <v>38</v>
      </c>
      <c r="U3374" t="s">
        <v>38</v>
      </c>
      <c r="V3374" t="s">
        <v>38</v>
      </c>
      <c r="W3374" t="s">
        <v>38</v>
      </c>
      <c r="X3374" t="s">
        <v>38</v>
      </c>
      <c r="Y3374" t="s">
        <v>38</v>
      </c>
      <c r="Z3374" t="s">
        <v>42</v>
      </c>
      <c r="AA3374" t="s">
        <v>38</v>
      </c>
      <c r="AB3374" t="s">
        <v>38</v>
      </c>
      <c r="AC3374" t="s">
        <v>38</v>
      </c>
      <c r="AD3374" t="s">
        <v>48</v>
      </c>
      <c r="AG3374" t="str">
        <f>IF(AD3374="United States", IFERROR(INDEX(Sheet2!$C:$C, MATCH(AE3374&amp;AF3374, Sheet2!$E:$E, 0)) &amp; ", " &amp; INDEX(Sheet2!$D:$D, MATCH(AE3374&amp;AF3374, Sheet2!$E:$E, 0)), ""), "-")</f>
        <v/>
      </c>
    </row>
    <row r="3375" spans="1:33" x14ac:dyDescent="0.25">
      <c r="A3375" t="s">
        <v>4736</v>
      </c>
      <c r="B3375" t="s">
        <v>4988</v>
      </c>
      <c r="C3375" t="s">
        <v>4738</v>
      </c>
      <c r="D3375" t="s">
        <v>938</v>
      </c>
      <c r="E3375" t="s">
        <v>1660</v>
      </c>
      <c r="F3375">
        <v>1745</v>
      </c>
      <c r="G3375">
        <v>2676</v>
      </c>
      <c r="H3375" t="s">
        <v>38</v>
      </c>
      <c r="I3375" t="s">
        <v>1649</v>
      </c>
      <c r="J3375" t="s">
        <v>38</v>
      </c>
      <c r="K3375" t="s">
        <v>38</v>
      </c>
      <c r="L3375" t="s">
        <v>38</v>
      </c>
      <c r="M3375" t="s">
        <v>38</v>
      </c>
      <c r="N3375" t="s">
        <v>38</v>
      </c>
      <c r="O3375" t="s">
        <v>41</v>
      </c>
      <c r="P3375" t="s">
        <v>42</v>
      </c>
      <c r="Q3375" t="s">
        <v>43</v>
      </c>
      <c r="R3375" t="s">
        <v>169</v>
      </c>
      <c r="S3375" t="s">
        <v>45</v>
      </c>
      <c r="T3375" t="s">
        <v>38</v>
      </c>
      <c r="U3375" t="s">
        <v>38</v>
      </c>
      <c r="V3375" t="s">
        <v>38</v>
      </c>
      <c r="W3375" t="s">
        <v>38</v>
      </c>
      <c r="X3375" t="s">
        <v>38</v>
      </c>
      <c r="Y3375" t="s">
        <v>38</v>
      </c>
      <c r="Z3375" t="s">
        <v>42</v>
      </c>
      <c r="AA3375" t="s">
        <v>169</v>
      </c>
      <c r="AB3375" t="s">
        <v>38</v>
      </c>
      <c r="AC3375" t="s">
        <v>45</v>
      </c>
      <c r="AD3375" t="s">
        <v>48</v>
      </c>
      <c r="AG3375" t="str">
        <f>IF(AD3375="United States", IFERROR(INDEX(Sheet2!$C:$C, MATCH(AE3375&amp;AF3375, Sheet2!$E:$E, 0)) &amp; ", " &amp; INDEX(Sheet2!$D:$D, MATCH(AE3375&amp;AF3375, Sheet2!$E:$E, 0)), ""), "-")</f>
        <v/>
      </c>
    </row>
    <row r="3376" spans="1:33" x14ac:dyDescent="0.25">
      <c r="A3376" t="s">
        <v>4736</v>
      </c>
      <c r="B3376" t="s">
        <v>4989</v>
      </c>
      <c r="C3376" t="s">
        <v>4738</v>
      </c>
      <c r="D3376" t="s">
        <v>535</v>
      </c>
      <c r="E3376" t="s">
        <v>334</v>
      </c>
      <c r="F3376">
        <v>1779</v>
      </c>
      <c r="G3376">
        <v>2681</v>
      </c>
      <c r="H3376" t="s">
        <v>38</v>
      </c>
      <c r="I3376" t="s">
        <v>1649</v>
      </c>
      <c r="J3376" t="s">
        <v>38</v>
      </c>
      <c r="K3376" t="s">
        <v>38</v>
      </c>
      <c r="L3376" t="s">
        <v>38</v>
      </c>
      <c r="M3376" t="s">
        <v>38</v>
      </c>
      <c r="N3376" t="s">
        <v>38</v>
      </c>
      <c r="O3376" t="s">
        <v>54</v>
      </c>
      <c r="P3376" t="s">
        <v>42</v>
      </c>
      <c r="Q3376" t="s">
        <v>43</v>
      </c>
      <c r="R3376" t="s">
        <v>38</v>
      </c>
      <c r="S3376" t="s">
        <v>38</v>
      </c>
      <c r="T3376" t="s">
        <v>38</v>
      </c>
      <c r="U3376" t="s">
        <v>38</v>
      </c>
      <c r="V3376" t="s">
        <v>38</v>
      </c>
      <c r="W3376" t="s">
        <v>38</v>
      </c>
      <c r="X3376" t="s">
        <v>38</v>
      </c>
      <c r="Y3376" t="s">
        <v>38</v>
      </c>
      <c r="Z3376" t="s">
        <v>42</v>
      </c>
      <c r="AA3376" t="s">
        <v>38</v>
      </c>
      <c r="AB3376" t="s">
        <v>38</v>
      </c>
      <c r="AC3376" t="s">
        <v>38</v>
      </c>
      <c r="AD3376" t="s">
        <v>48</v>
      </c>
      <c r="AG3376" t="str">
        <f>IF(AD3376="United States", IFERROR(INDEX(Sheet2!$C:$C, MATCH(AE3376&amp;AF3376, Sheet2!$E:$E, 0)) &amp; ", " &amp; INDEX(Sheet2!$D:$D, MATCH(AE3376&amp;AF3376, Sheet2!$E:$E, 0)), ""), "-")</f>
        <v/>
      </c>
    </row>
    <row r="3377" spans="1:33" x14ac:dyDescent="0.25">
      <c r="A3377" t="s">
        <v>4736</v>
      </c>
      <c r="B3377" t="s">
        <v>4990</v>
      </c>
      <c r="C3377" t="s">
        <v>4738</v>
      </c>
      <c r="D3377" t="s">
        <v>177</v>
      </c>
      <c r="E3377" t="s">
        <v>1660</v>
      </c>
      <c r="F3377">
        <v>1779</v>
      </c>
      <c r="G3377">
        <v>2678</v>
      </c>
      <c r="H3377" t="s">
        <v>38</v>
      </c>
      <c r="I3377" t="s">
        <v>1649</v>
      </c>
      <c r="J3377" t="s">
        <v>38</v>
      </c>
      <c r="K3377" t="s">
        <v>38</v>
      </c>
      <c r="L3377" t="s">
        <v>38</v>
      </c>
      <c r="M3377" t="s">
        <v>38</v>
      </c>
      <c r="N3377" t="s">
        <v>38</v>
      </c>
      <c r="O3377" t="s">
        <v>54</v>
      </c>
      <c r="P3377" t="s">
        <v>42</v>
      </c>
      <c r="Q3377" t="s">
        <v>43</v>
      </c>
      <c r="R3377" t="s">
        <v>38</v>
      </c>
      <c r="S3377" t="s">
        <v>38</v>
      </c>
      <c r="T3377" t="s">
        <v>38</v>
      </c>
      <c r="U3377" t="s">
        <v>38</v>
      </c>
      <c r="V3377" t="s">
        <v>38</v>
      </c>
      <c r="W3377" t="s">
        <v>38</v>
      </c>
      <c r="X3377" t="s">
        <v>38</v>
      </c>
      <c r="Y3377" t="s">
        <v>38</v>
      </c>
      <c r="Z3377" t="s">
        <v>42</v>
      </c>
      <c r="AA3377" t="s">
        <v>38</v>
      </c>
      <c r="AB3377" t="s">
        <v>38</v>
      </c>
      <c r="AC3377" t="s">
        <v>38</v>
      </c>
      <c r="AD3377" t="s">
        <v>48</v>
      </c>
      <c r="AG3377" t="str">
        <f>IF(AD3377="United States", IFERROR(INDEX(Sheet2!$C:$C, MATCH(AE3377&amp;AF3377, Sheet2!$E:$E, 0)) &amp; ", " &amp; INDEX(Sheet2!$D:$D, MATCH(AE3377&amp;AF3377, Sheet2!$E:$E, 0)), ""), "-")</f>
        <v/>
      </c>
    </row>
    <row r="3378" spans="1:33" x14ac:dyDescent="0.25">
      <c r="A3378" t="s">
        <v>4736</v>
      </c>
      <c r="B3378" t="s">
        <v>4991</v>
      </c>
      <c r="C3378" t="s">
        <v>4738</v>
      </c>
      <c r="D3378" t="s">
        <v>72</v>
      </c>
      <c r="E3378" t="s">
        <v>4992</v>
      </c>
      <c r="F3378">
        <v>1761</v>
      </c>
      <c r="G3378">
        <v>2677</v>
      </c>
      <c r="H3378" t="s">
        <v>38</v>
      </c>
      <c r="I3378" t="s">
        <v>1649</v>
      </c>
      <c r="J3378" t="s">
        <v>38</v>
      </c>
      <c r="K3378" t="s">
        <v>38</v>
      </c>
      <c r="L3378" t="s">
        <v>38</v>
      </c>
      <c r="M3378" t="s">
        <v>38</v>
      </c>
      <c r="N3378" t="s">
        <v>38</v>
      </c>
      <c r="O3378" t="s">
        <v>57</v>
      </c>
      <c r="P3378" t="s">
        <v>42</v>
      </c>
      <c r="Q3378" t="s">
        <v>43</v>
      </c>
      <c r="R3378" t="s">
        <v>1409</v>
      </c>
      <c r="S3378" t="s">
        <v>45</v>
      </c>
      <c r="T3378" t="s">
        <v>38</v>
      </c>
      <c r="U3378" t="s">
        <v>38</v>
      </c>
      <c r="V3378" t="s">
        <v>38</v>
      </c>
      <c r="W3378" t="s">
        <v>38</v>
      </c>
      <c r="X3378" t="s">
        <v>38</v>
      </c>
      <c r="Y3378" t="s">
        <v>38</v>
      </c>
      <c r="Z3378" t="s">
        <v>42</v>
      </c>
      <c r="AA3378" t="s">
        <v>1409</v>
      </c>
      <c r="AB3378" t="s">
        <v>38</v>
      </c>
      <c r="AC3378" t="s">
        <v>45</v>
      </c>
      <c r="AD3378" t="s">
        <v>48</v>
      </c>
      <c r="AG3378" t="str">
        <f>IF(AD3378="United States", IFERROR(INDEX(Sheet2!$C:$C, MATCH(AE3378&amp;AF3378, Sheet2!$E:$E, 0)) &amp; ", " &amp; INDEX(Sheet2!$D:$D, MATCH(AE3378&amp;AF3378, Sheet2!$E:$E, 0)), ""), "-")</f>
        <v/>
      </c>
    </row>
    <row r="3379" spans="1:33" x14ac:dyDescent="0.25">
      <c r="A3379" t="s">
        <v>4736</v>
      </c>
      <c r="B3379" t="s">
        <v>4993</v>
      </c>
      <c r="C3379" t="s">
        <v>4738</v>
      </c>
      <c r="D3379" t="s">
        <v>4994</v>
      </c>
      <c r="E3379" t="s">
        <v>334</v>
      </c>
      <c r="F3379">
        <v>1753</v>
      </c>
      <c r="G3379">
        <v>2679</v>
      </c>
      <c r="H3379" t="s">
        <v>38</v>
      </c>
      <c r="I3379" t="s">
        <v>1649</v>
      </c>
      <c r="J3379" t="s">
        <v>38</v>
      </c>
      <c r="K3379" t="s">
        <v>38</v>
      </c>
      <c r="L3379" t="s">
        <v>38</v>
      </c>
      <c r="M3379" t="s">
        <v>38</v>
      </c>
      <c r="N3379" t="s">
        <v>38</v>
      </c>
      <c r="O3379" t="s">
        <v>41</v>
      </c>
      <c r="P3379" t="s">
        <v>42</v>
      </c>
      <c r="Q3379" t="s">
        <v>43</v>
      </c>
      <c r="R3379" t="s">
        <v>1409</v>
      </c>
      <c r="S3379" t="s">
        <v>45</v>
      </c>
      <c r="T3379" t="s">
        <v>38</v>
      </c>
      <c r="U3379" t="s">
        <v>38</v>
      </c>
      <c r="V3379" t="s">
        <v>38</v>
      </c>
      <c r="W3379" t="s">
        <v>38</v>
      </c>
      <c r="X3379" t="s">
        <v>38</v>
      </c>
      <c r="Y3379" t="s">
        <v>38</v>
      </c>
      <c r="Z3379" t="s">
        <v>42</v>
      </c>
      <c r="AA3379" t="s">
        <v>1409</v>
      </c>
      <c r="AB3379" t="s">
        <v>38</v>
      </c>
      <c r="AC3379" t="s">
        <v>45</v>
      </c>
      <c r="AD3379" t="s">
        <v>48</v>
      </c>
      <c r="AG3379" t="str">
        <f>IF(AD3379="United States", IFERROR(INDEX(Sheet2!$C:$C, MATCH(AE3379&amp;AF3379, Sheet2!$E:$E, 0)) &amp; ", " &amp; INDEX(Sheet2!$D:$D, MATCH(AE3379&amp;AF3379, Sheet2!$E:$E, 0)), ""), "-")</f>
        <v/>
      </c>
    </row>
    <row r="3380" spans="1:33" x14ac:dyDescent="0.25">
      <c r="A3380" t="s">
        <v>4736</v>
      </c>
      <c r="B3380" t="s">
        <v>4995</v>
      </c>
      <c r="C3380" t="s">
        <v>4738</v>
      </c>
      <c r="D3380" t="s">
        <v>495</v>
      </c>
      <c r="E3380" t="s">
        <v>4690</v>
      </c>
      <c r="F3380">
        <v>1775</v>
      </c>
      <c r="G3380">
        <v>2642</v>
      </c>
      <c r="H3380" t="s">
        <v>38</v>
      </c>
      <c r="I3380" t="s">
        <v>87</v>
      </c>
      <c r="J3380" t="s">
        <v>38</v>
      </c>
      <c r="K3380" t="s">
        <v>38</v>
      </c>
      <c r="L3380" t="s">
        <v>38</v>
      </c>
      <c r="M3380" t="s">
        <v>114</v>
      </c>
      <c r="N3380" t="s">
        <v>4690</v>
      </c>
      <c r="O3380" t="s">
        <v>54</v>
      </c>
      <c r="P3380" t="s">
        <v>42</v>
      </c>
      <c r="Q3380" t="s">
        <v>43</v>
      </c>
      <c r="R3380" t="s">
        <v>38</v>
      </c>
      <c r="S3380" t="s">
        <v>38</v>
      </c>
      <c r="T3380" t="s">
        <v>38</v>
      </c>
      <c r="U3380" t="s">
        <v>38</v>
      </c>
      <c r="V3380" t="s">
        <v>38</v>
      </c>
      <c r="W3380" t="s">
        <v>38</v>
      </c>
      <c r="X3380" t="s">
        <v>38</v>
      </c>
      <c r="Y3380" t="s">
        <v>38</v>
      </c>
      <c r="Z3380" t="s">
        <v>42</v>
      </c>
      <c r="AA3380" t="s">
        <v>38</v>
      </c>
      <c r="AB3380" t="s">
        <v>38</v>
      </c>
      <c r="AC3380" t="s">
        <v>38</v>
      </c>
      <c r="AD3380" t="s">
        <v>48</v>
      </c>
      <c r="AG3380" t="str">
        <f>IF(AD3380="United States", IFERROR(INDEX(Sheet2!$C:$C, MATCH(AE3380&amp;AF3380, Sheet2!$E:$E, 0)) &amp; ", " &amp; INDEX(Sheet2!$D:$D, MATCH(AE3380&amp;AF3380, Sheet2!$E:$E, 0)), ""), "-")</f>
        <v/>
      </c>
    </row>
    <row r="3381" spans="1:33" x14ac:dyDescent="0.25">
      <c r="A3381" t="s">
        <v>4996</v>
      </c>
      <c r="B3381" t="s">
        <v>4997</v>
      </c>
      <c r="C3381" t="s">
        <v>4998</v>
      </c>
      <c r="D3381" t="s">
        <v>200</v>
      </c>
      <c r="E3381" t="s">
        <v>992</v>
      </c>
      <c r="F3381">
        <v>1766</v>
      </c>
      <c r="G3381">
        <v>2478</v>
      </c>
      <c r="H3381" t="s">
        <v>536</v>
      </c>
      <c r="I3381" t="s">
        <v>87</v>
      </c>
      <c r="J3381" t="s">
        <v>38</v>
      </c>
      <c r="K3381" t="s">
        <v>38</v>
      </c>
      <c r="L3381" t="s">
        <v>38</v>
      </c>
      <c r="M3381" t="s">
        <v>38</v>
      </c>
      <c r="N3381" t="s">
        <v>38</v>
      </c>
      <c r="O3381" t="s">
        <v>54</v>
      </c>
      <c r="P3381" t="s">
        <v>42</v>
      </c>
      <c r="Q3381" t="s">
        <v>43</v>
      </c>
      <c r="R3381" t="s">
        <v>155</v>
      </c>
      <c r="S3381" t="s">
        <v>153</v>
      </c>
      <c r="T3381" t="s">
        <v>38</v>
      </c>
      <c r="U3381" t="s">
        <v>38</v>
      </c>
      <c r="V3381" t="s">
        <v>38</v>
      </c>
      <c r="W3381" t="s">
        <v>92</v>
      </c>
      <c r="X3381" t="s">
        <v>38</v>
      </c>
      <c r="Y3381" t="s">
        <v>38</v>
      </c>
      <c r="Z3381" t="s">
        <v>42</v>
      </c>
      <c r="AA3381" t="s">
        <v>155</v>
      </c>
      <c r="AB3381" t="s">
        <v>38</v>
      </c>
      <c r="AC3381" t="s">
        <v>153</v>
      </c>
      <c r="AD3381" t="s">
        <v>48</v>
      </c>
      <c r="AG3381" t="str">
        <f>IF(AD3381="United States", IFERROR(INDEX(Sheet2!$C:$C, MATCH(AE3381&amp;AF3381, Sheet2!$E:$E, 0)) &amp; ", " &amp; INDEX(Sheet2!$D:$D, MATCH(AE3381&amp;AF3381, Sheet2!$E:$E, 0)), ""), "-")</f>
        <v/>
      </c>
    </row>
    <row r="3382" spans="1:33" x14ac:dyDescent="0.25">
      <c r="A3382" t="s">
        <v>4999</v>
      </c>
      <c r="D3382" t="s">
        <v>245</v>
      </c>
      <c r="E3382" t="s">
        <v>5000</v>
      </c>
      <c r="F3382">
        <v>1769</v>
      </c>
      <c r="G3382">
        <v>1961</v>
      </c>
      <c r="H3382">
        <v>63</v>
      </c>
      <c r="J3382" t="s">
        <v>5001</v>
      </c>
      <c r="O3382" t="s">
        <v>74</v>
      </c>
      <c r="V3382" t="s">
        <v>111</v>
      </c>
      <c r="W3382" t="s">
        <v>92</v>
      </c>
      <c r="Y3382" t="s">
        <v>38</v>
      </c>
      <c r="AA3382" t="s">
        <v>38</v>
      </c>
      <c r="AB3382" t="s">
        <v>38</v>
      </c>
      <c r="AC3382" t="s">
        <v>38</v>
      </c>
      <c r="AD3382" t="s">
        <v>48</v>
      </c>
      <c r="AG3382" t="str">
        <f>IF(AD3382="United States", IFERROR(INDEX(Sheet2!$C:$C, MATCH(AE3382&amp;AF3382, Sheet2!$E:$E, 0)) &amp; ", " &amp; INDEX(Sheet2!$D:$D, MATCH(AE3382&amp;AF3382, Sheet2!$E:$E, 0)), ""), "-")</f>
        <v/>
      </c>
    </row>
    <row r="3383" spans="1:33" x14ac:dyDescent="0.25">
      <c r="A3383" t="s">
        <v>4999</v>
      </c>
      <c r="D3383" t="s">
        <v>5002</v>
      </c>
      <c r="E3383" t="s">
        <v>38</v>
      </c>
      <c r="F3383">
        <v>1760</v>
      </c>
      <c r="G3383">
        <v>1962</v>
      </c>
      <c r="H3383">
        <v>63</v>
      </c>
      <c r="J3383" t="s">
        <v>5001</v>
      </c>
      <c r="O3383" t="s">
        <v>57</v>
      </c>
      <c r="V3383" t="s">
        <v>111</v>
      </c>
      <c r="W3383" t="s">
        <v>92</v>
      </c>
      <c r="Y3383" t="s">
        <v>38</v>
      </c>
      <c r="AA3383" t="s">
        <v>38</v>
      </c>
      <c r="AB3383" t="s">
        <v>38</v>
      </c>
      <c r="AC3383" t="s">
        <v>38</v>
      </c>
      <c r="AD3383" t="s">
        <v>48</v>
      </c>
      <c r="AG3383" t="str">
        <f>IF(AD3383="United States", IFERROR(INDEX(Sheet2!$C:$C, MATCH(AE3383&amp;AF3383, Sheet2!$E:$E, 0)) &amp; ", " &amp; INDEX(Sheet2!$D:$D, MATCH(AE3383&amp;AF3383, Sheet2!$E:$E, 0)), ""), "-")</f>
        <v/>
      </c>
    </row>
    <row r="3384" spans="1:33" x14ac:dyDescent="0.25">
      <c r="A3384" t="s">
        <v>4999</v>
      </c>
      <c r="D3384" t="s">
        <v>5002</v>
      </c>
      <c r="E3384" t="s">
        <v>38</v>
      </c>
      <c r="F3384">
        <v>1778</v>
      </c>
      <c r="G3384">
        <v>1963</v>
      </c>
      <c r="H3384">
        <v>63</v>
      </c>
      <c r="J3384" t="s">
        <v>5001</v>
      </c>
      <c r="O3384" t="s">
        <v>74</v>
      </c>
      <c r="V3384" t="s">
        <v>111</v>
      </c>
      <c r="W3384" t="s">
        <v>92</v>
      </c>
      <c r="Y3384" t="s">
        <v>38</v>
      </c>
      <c r="AA3384" t="s">
        <v>38</v>
      </c>
      <c r="AB3384" t="s">
        <v>38</v>
      </c>
      <c r="AC3384" t="s">
        <v>38</v>
      </c>
      <c r="AD3384" t="s">
        <v>48</v>
      </c>
      <c r="AG3384" t="str">
        <f>IF(AD3384="United States", IFERROR(INDEX(Sheet2!$C:$C, MATCH(AE3384&amp;AF3384, Sheet2!$E:$E, 0)) &amp; ", " &amp; INDEX(Sheet2!$D:$D, MATCH(AE3384&amp;AF3384, Sheet2!$E:$E, 0)), ""), "-")</f>
        <v/>
      </c>
    </row>
    <row r="3385" spans="1:33" x14ac:dyDescent="0.25">
      <c r="A3385" t="s">
        <v>4999</v>
      </c>
      <c r="D3385" t="s">
        <v>361</v>
      </c>
      <c r="E3385" t="s">
        <v>38</v>
      </c>
      <c r="F3385">
        <v>1774</v>
      </c>
      <c r="G3385">
        <v>1960</v>
      </c>
      <c r="H3385">
        <v>63</v>
      </c>
      <c r="J3385" t="s">
        <v>5001</v>
      </c>
      <c r="O3385" t="s">
        <v>54</v>
      </c>
      <c r="V3385" t="s">
        <v>111</v>
      </c>
      <c r="W3385" t="s">
        <v>92</v>
      </c>
      <c r="Y3385" t="s">
        <v>38</v>
      </c>
      <c r="AA3385" t="s">
        <v>38</v>
      </c>
      <c r="AB3385" t="s">
        <v>38</v>
      </c>
      <c r="AC3385" t="s">
        <v>38</v>
      </c>
      <c r="AD3385" t="s">
        <v>48</v>
      </c>
      <c r="AG3385" t="str">
        <f>IF(AD3385="United States", IFERROR(INDEX(Sheet2!$C:$C, MATCH(AE3385&amp;AF3385, Sheet2!$E:$E, 0)) &amp; ", " &amp; INDEX(Sheet2!$D:$D, MATCH(AE3385&amp;AF3385, Sheet2!$E:$E, 0)), ""), "-")</f>
        <v/>
      </c>
    </row>
    <row r="3386" spans="1:33" x14ac:dyDescent="0.25">
      <c r="A3386" t="s">
        <v>4999</v>
      </c>
      <c r="D3386" t="s">
        <v>4357</v>
      </c>
      <c r="E3386" t="s">
        <v>38</v>
      </c>
      <c r="F3386">
        <v>1757</v>
      </c>
      <c r="G3386">
        <v>1959</v>
      </c>
      <c r="H3386">
        <v>63</v>
      </c>
      <c r="J3386" t="s">
        <v>5001</v>
      </c>
      <c r="O3386" t="s">
        <v>41</v>
      </c>
      <c r="V3386" t="s">
        <v>111</v>
      </c>
      <c r="W3386" t="s">
        <v>92</v>
      </c>
      <c r="Y3386" t="s">
        <v>38</v>
      </c>
      <c r="AA3386" t="s">
        <v>38</v>
      </c>
      <c r="AB3386" t="s">
        <v>38</v>
      </c>
      <c r="AC3386" t="s">
        <v>38</v>
      </c>
      <c r="AD3386" t="s">
        <v>48</v>
      </c>
      <c r="AG3386" t="str">
        <f>IF(AD3386="United States", IFERROR(INDEX(Sheet2!$C:$C, MATCH(AE3386&amp;AF3386, Sheet2!$E:$E, 0)) &amp; ", " &amp; INDEX(Sheet2!$D:$D, MATCH(AE3386&amp;AF3386, Sheet2!$E:$E, 0)), ""), "-")</f>
        <v/>
      </c>
    </row>
    <row r="3387" spans="1:33" x14ac:dyDescent="0.25">
      <c r="A3387" t="s">
        <v>4999</v>
      </c>
      <c r="D3387" t="s">
        <v>5003</v>
      </c>
      <c r="E3387" t="s">
        <v>38</v>
      </c>
      <c r="F3387">
        <v>1768</v>
      </c>
      <c r="G3387">
        <v>1958</v>
      </c>
      <c r="H3387">
        <v>63</v>
      </c>
      <c r="J3387" t="s">
        <v>5001</v>
      </c>
      <c r="O3387" t="s">
        <v>54</v>
      </c>
      <c r="V3387" t="s">
        <v>111</v>
      </c>
      <c r="W3387" t="s">
        <v>92</v>
      </c>
      <c r="Y3387" t="s">
        <v>38</v>
      </c>
      <c r="AA3387" t="s">
        <v>38</v>
      </c>
      <c r="AB3387" t="s">
        <v>38</v>
      </c>
      <c r="AC3387" t="s">
        <v>38</v>
      </c>
      <c r="AD3387" t="s">
        <v>48</v>
      </c>
      <c r="AG3387" t="str">
        <f>IF(AD3387="United States", IFERROR(INDEX(Sheet2!$C:$C, MATCH(AE3387&amp;AF3387, Sheet2!$E:$E, 0)) &amp; ", " &amp; INDEX(Sheet2!$D:$D, MATCH(AE3387&amp;AF3387, Sheet2!$E:$E, 0)), ""), "-")</f>
        <v/>
      </c>
    </row>
    <row r="3388" spans="1:33" x14ac:dyDescent="0.25">
      <c r="A3388" t="s">
        <v>4999</v>
      </c>
      <c r="D3388" t="s">
        <v>114</v>
      </c>
      <c r="E3388" t="s">
        <v>38</v>
      </c>
      <c r="F3388">
        <v>1742</v>
      </c>
      <c r="G3388">
        <v>1964</v>
      </c>
      <c r="H3388">
        <v>63</v>
      </c>
      <c r="J3388" t="s">
        <v>5001</v>
      </c>
      <c r="O3388" t="s">
        <v>57</v>
      </c>
      <c r="V3388" t="s">
        <v>111</v>
      </c>
      <c r="W3388" t="s">
        <v>92</v>
      </c>
      <c r="Y3388" t="s">
        <v>38</v>
      </c>
      <c r="AA3388" t="s">
        <v>38</v>
      </c>
      <c r="AB3388" t="s">
        <v>38</v>
      </c>
      <c r="AC3388" t="s">
        <v>38</v>
      </c>
      <c r="AD3388" t="s">
        <v>48</v>
      </c>
      <c r="AG3388" t="str">
        <f>IF(AD3388="United States", IFERROR(INDEX(Sheet2!$C:$C, MATCH(AE3388&amp;AF3388, Sheet2!$E:$E, 0)) &amp; ", " &amp; INDEX(Sheet2!$D:$D, MATCH(AE3388&amp;AF3388, Sheet2!$E:$E, 0)), ""), "-")</f>
        <v/>
      </c>
    </row>
    <row r="3389" spans="1:33" x14ac:dyDescent="0.25">
      <c r="A3389" t="s">
        <v>4999</v>
      </c>
      <c r="D3389" t="s">
        <v>361</v>
      </c>
      <c r="E3389" t="s">
        <v>38</v>
      </c>
      <c r="F3389">
        <v>1769</v>
      </c>
      <c r="G3389">
        <v>1956</v>
      </c>
      <c r="H3389">
        <v>63</v>
      </c>
      <c r="J3389" t="s">
        <v>5001</v>
      </c>
      <c r="O3389" t="s">
        <v>54</v>
      </c>
      <c r="V3389" t="s">
        <v>111</v>
      </c>
      <c r="W3389" t="s">
        <v>92</v>
      </c>
      <c r="Y3389" t="s">
        <v>38</v>
      </c>
      <c r="AA3389" t="s">
        <v>38</v>
      </c>
      <c r="AB3389" t="s">
        <v>38</v>
      </c>
      <c r="AC3389" t="s">
        <v>38</v>
      </c>
      <c r="AD3389" t="s">
        <v>48</v>
      </c>
      <c r="AG3389" t="str">
        <f>IF(AD3389="United States", IFERROR(INDEX(Sheet2!$C:$C, MATCH(AE3389&amp;AF3389, Sheet2!$E:$E, 0)) &amp; ", " &amp; INDEX(Sheet2!$D:$D, MATCH(AE3389&amp;AF3389, Sheet2!$E:$E, 0)), ""), "-")</f>
        <v/>
      </c>
    </row>
    <row r="3390" spans="1:33" x14ac:dyDescent="0.25">
      <c r="A3390" t="s">
        <v>4999</v>
      </c>
      <c r="D3390" t="s">
        <v>495</v>
      </c>
      <c r="E3390" t="s">
        <v>38</v>
      </c>
      <c r="F3390">
        <v>1769</v>
      </c>
      <c r="G3390">
        <v>1957</v>
      </c>
      <c r="H3390">
        <v>63</v>
      </c>
      <c r="J3390" t="s">
        <v>5001</v>
      </c>
      <c r="O3390" t="s">
        <v>74</v>
      </c>
      <c r="V3390" t="s">
        <v>111</v>
      </c>
      <c r="W3390" t="s">
        <v>92</v>
      </c>
      <c r="Y3390" t="s">
        <v>38</v>
      </c>
      <c r="AA3390" t="s">
        <v>38</v>
      </c>
      <c r="AB3390" t="s">
        <v>38</v>
      </c>
      <c r="AC3390" t="s">
        <v>38</v>
      </c>
      <c r="AD3390" t="s">
        <v>48</v>
      </c>
      <c r="AG3390" t="str">
        <f>IF(AD3390="United States", IFERROR(INDEX(Sheet2!$C:$C, MATCH(AE3390&amp;AF3390, Sheet2!$E:$E, 0)) &amp; ", " &amp; INDEX(Sheet2!$D:$D, MATCH(AE3390&amp;AF3390, Sheet2!$E:$E, 0)), ""), "-")</f>
        <v/>
      </c>
    </row>
    <row r="3391" spans="1:33" x14ac:dyDescent="0.25">
      <c r="A3391" t="s">
        <v>5004</v>
      </c>
      <c r="B3391" t="s">
        <v>5005</v>
      </c>
      <c r="C3391" t="s">
        <v>5006</v>
      </c>
      <c r="D3391" t="s">
        <v>361</v>
      </c>
      <c r="E3391" t="s">
        <v>38</v>
      </c>
      <c r="F3391">
        <v>1769</v>
      </c>
      <c r="G3391">
        <v>2017</v>
      </c>
      <c r="H3391" t="s">
        <v>38</v>
      </c>
      <c r="I3391" t="s">
        <v>80</v>
      </c>
      <c r="J3391" t="s">
        <v>5001</v>
      </c>
      <c r="K3391" t="s">
        <v>38</v>
      </c>
      <c r="L3391" t="s">
        <v>38</v>
      </c>
      <c r="M3391" t="s">
        <v>38</v>
      </c>
      <c r="N3391" t="s">
        <v>38</v>
      </c>
      <c r="O3391" t="s">
        <v>54</v>
      </c>
      <c r="P3391" t="s">
        <v>42</v>
      </c>
      <c r="Q3391" t="s">
        <v>43</v>
      </c>
      <c r="R3391" t="s">
        <v>38</v>
      </c>
      <c r="S3391" t="s">
        <v>38</v>
      </c>
      <c r="T3391" t="s">
        <v>38</v>
      </c>
      <c r="U3391" t="s">
        <v>38</v>
      </c>
      <c r="V3391" t="s">
        <v>91</v>
      </c>
      <c r="W3391" t="s">
        <v>38</v>
      </c>
      <c r="X3391" t="s">
        <v>38</v>
      </c>
      <c r="Y3391" t="s">
        <v>5007</v>
      </c>
      <c r="Z3391" t="s">
        <v>42</v>
      </c>
      <c r="AA3391" t="s">
        <v>38</v>
      </c>
      <c r="AB3391" t="s">
        <v>38</v>
      </c>
      <c r="AC3391" t="s">
        <v>91</v>
      </c>
      <c r="AD3391" t="s">
        <v>48</v>
      </c>
      <c r="AG3391" t="str">
        <f>IF(AD3391="United States", IFERROR(INDEX(Sheet2!$C:$C, MATCH(AE3391&amp;AF3391, Sheet2!$E:$E, 0)) &amp; ", " &amp; INDEX(Sheet2!$D:$D, MATCH(AE3391&amp;AF3391, Sheet2!$E:$E, 0)), ""), "-")</f>
        <v/>
      </c>
    </row>
    <row r="3392" spans="1:33" x14ac:dyDescent="0.25">
      <c r="A3392" t="s">
        <v>5004</v>
      </c>
      <c r="B3392" t="s">
        <v>5008</v>
      </c>
      <c r="C3392" t="s">
        <v>5006</v>
      </c>
      <c r="D3392" t="s">
        <v>495</v>
      </c>
      <c r="E3392" t="s">
        <v>38</v>
      </c>
      <c r="F3392">
        <v>1769</v>
      </c>
      <c r="G3392">
        <v>2018</v>
      </c>
      <c r="H3392" t="s">
        <v>38</v>
      </c>
      <c r="I3392" t="s">
        <v>80</v>
      </c>
      <c r="J3392" t="s">
        <v>5001</v>
      </c>
      <c r="K3392" t="s">
        <v>38</v>
      </c>
      <c r="L3392" t="s">
        <v>38</v>
      </c>
      <c r="M3392" t="s">
        <v>38</v>
      </c>
      <c r="N3392" t="s">
        <v>38</v>
      </c>
      <c r="O3392" t="s">
        <v>74</v>
      </c>
      <c r="P3392" t="s">
        <v>42</v>
      </c>
      <c r="Q3392" t="s">
        <v>43</v>
      </c>
      <c r="R3392" t="s">
        <v>38</v>
      </c>
      <c r="S3392" t="s">
        <v>38</v>
      </c>
      <c r="T3392" t="s">
        <v>38</v>
      </c>
      <c r="U3392" t="s">
        <v>38</v>
      </c>
      <c r="V3392" t="s">
        <v>91</v>
      </c>
      <c r="W3392" t="s">
        <v>38</v>
      </c>
      <c r="X3392" t="s">
        <v>38</v>
      </c>
      <c r="Y3392" t="s">
        <v>5007</v>
      </c>
      <c r="Z3392" t="s">
        <v>42</v>
      </c>
      <c r="AA3392" t="s">
        <v>38</v>
      </c>
      <c r="AB3392" t="s">
        <v>38</v>
      </c>
      <c r="AC3392" t="s">
        <v>91</v>
      </c>
      <c r="AD3392" t="s">
        <v>48</v>
      </c>
      <c r="AG3392" t="str">
        <f>IF(AD3392="United States", IFERROR(INDEX(Sheet2!$C:$C, MATCH(AE3392&amp;AF3392, Sheet2!$E:$E, 0)) &amp; ", " &amp; INDEX(Sheet2!$D:$D, MATCH(AE3392&amp;AF3392, Sheet2!$E:$E, 0)), ""), "-")</f>
        <v/>
      </c>
    </row>
    <row r="3393" spans="1:33" x14ac:dyDescent="0.25">
      <c r="A3393" t="s">
        <v>5004</v>
      </c>
      <c r="B3393" t="s">
        <v>5009</v>
      </c>
      <c r="C3393" t="s">
        <v>5006</v>
      </c>
      <c r="D3393" t="s">
        <v>5003</v>
      </c>
      <c r="E3393" t="s">
        <v>38</v>
      </c>
      <c r="F3393">
        <v>1768</v>
      </c>
      <c r="G3393">
        <v>2019</v>
      </c>
      <c r="H3393" t="s">
        <v>38</v>
      </c>
      <c r="I3393" t="s">
        <v>80</v>
      </c>
      <c r="J3393" t="s">
        <v>5001</v>
      </c>
      <c r="K3393" t="s">
        <v>38</v>
      </c>
      <c r="L3393" t="s">
        <v>38</v>
      </c>
      <c r="M3393" t="s">
        <v>38</v>
      </c>
      <c r="N3393" t="s">
        <v>38</v>
      </c>
      <c r="O3393" t="s">
        <v>54</v>
      </c>
      <c r="P3393" t="s">
        <v>42</v>
      </c>
      <c r="Q3393" t="s">
        <v>43</v>
      </c>
      <c r="R3393" t="s">
        <v>38</v>
      </c>
      <c r="S3393" t="s">
        <v>38</v>
      </c>
      <c r="T3393" t="s">
        <v>38</v>
      </c>
      <c r="U3393" t="s">
        <v>38</v>
      </c>
      <c r="V3393" t="s">
        <v>91</v>
      </c>
      <c r="W3393" t="s">
        <v>38</v>
      </c>
      <c r="X3393" t="s">
        <v>38</v>
      </c>
      <c r="Y3393" t="s">
        <v>5010</v>
      </c>
      <c r="Z3393" t="s">
        <v>42</v>
      </c>
      <c r="AA3393" t="s">
        <v>38</v>
      </c>
      <c r="AB3393" t="s">
        <v>38</v>
      </c>
      <c r="AC3393" t="s">
        <v>38</v>
      </c>
      <c r="AD3393" t="s">
        <v>48</v>
      </c>
      <c r="AG3393" t="str">
        <f>IF(AD3393="United States", IFERROR(INDEX(Sheet2!$C:$C, MATCH(AE3393&amp;AF3393, Sheet2!$E:$E, 0)) &amp; ", " &amp; INDEX(Sheet2!$D:$D, MATCH(AE3393&amp;AF3393, Sheet2!$E:$E, 0)), ""), "-")</f>
        <v/>
      </c>
    </row>
    <row r="3394" spans="1:33" x14ac:dyDescent="0.25">
      <c r="A3394" t="s">
        <v>5004</v>
      </c>
      <c r="B3394" t="s">
        <v>5011</v>
      </c>
      <c r="C3394" t="s">
        <v>5006</v>
      </c>
      <c r="D3394" t="s">
        <v>4357</v>
      </c>
      <c r="E3394" t="s">
        <v>38</v>
      </c>
      <c r="F3394">
        <v>1757</v>
      </c>
      <c r="G3394">
        <v>2020</v>
      </c>
      <c r="H3394" t="s">
        <v>38</v>
      </c>
      <c r="I3394" t="s">
        <v>80</v>
      </c>
      <c r="J3394" t="s">
        <v>5001</v>
      </c>
      <c r="K3394" t="s">
        <v>38</v>
      </c>
      <c r="L3394" t="s">
        <v>38</v>
      </c>
      <c r="M3394" t="s">
        <v>38</v>
      </c>
      <c r="N3394" t="s">
        <v>38</v>
      </c>
      <c r="O3394" t="s">
        <v>41</v>
      </c>
      <c r="P3394" t="s">
        <v>42</v>
      </c>
      <c r="Q3394" t="s">
        <v>43</v>
      </c>
      <c r="R3394" t="s">
        <v>155</v>
      </c>
      <c r="S3394" t="s">
        <v>153</v>
      </c>
      <c r="T3394" t="s">
        <v>38</v>
      </c>
      <c r="U3394" t="s">
        <v>38</v>
      </c>
      <c r="V3394" t="s">
        <v>91</v>
      </c>
      <c r="W3394" t="s">
        <v>38</v>
      </c>
      <c r="X3394" t="s">
        <v>38</v>
      </c>
      <c r="Y3394" t="s">
        <v>5012</v>
      </c>
      <c r="Z3394" t="s">
        <v>42</v>
      </c>
      <c r="AA3394" t="s">
        <v>155</v>
      </c>
      <c r="AB3394" t="s">
        <v>38</v>
      </c>
      <c r="AC3394" t="s">
        <v>153</v>
      </c>
      <c r="AD3394" t="s">
        <v>48</v>
      </c>
      <c r="AG3394" t="str">
        <f>IF(AD3394="United States", IFERROR(INDEX(Sheet2!$C:$C, MATCH(AE3394&amp;AF3394, Sheet2!$E:$E, 0)) &amp; ", " &amp; INDEX(Sheet2!$D:$D, MATCH(AE3394&amp;AF3394, Sheet2!$E:$E, 0)), ""), "-")</f>
        <v/>
      </c>
    </row>
    <row r="3395" spans="1:33" x14ac:dyDescent="0.25">
      <c r="A3395" t="s">
        <v>5004</v>
      </c>
      <c r="B3395" t="s">
        <v>5013</v>
      </c>
      <c r="C3395" t="s">
        <v>5006</v>
      </c>
      <c r="D3395" t="s">
        <v>361</v>
      </c>
      <c r="E3395" t="s">
        <v>38</v>
      </c>
      <c r="F3395">
        <v>1774</v>
      </c>
      <c r="G3395">
        <v>2021</v>
      </c>
      <c r="H3395" t="s">
        <v>38</v>
      </c>
      <c r="I3395" t="s">
        <v>80</v>
      </c>
      <c r="J3395" t="s">
        <v>5001</v>
      </c>
      <c r="K3395" t="s">
        <v>38</v>
      </c>
      <c r="L3395" t="s">
        <v>38</v>
      </c>
      <c r="M3395" t="s">
        <v>38</v>
      </c>
      <c r="N3395" t="s">
        <v>38</v>
      </c>
      <c r="O3395" t="s">
        <v>54</v>
      </c>
      <c r="P3395" t="s">
        <v>42</v>
      </c>
      <c r="Q3395" t="s">
        <v>43</v>
      </c>
      <c r="R3395" t="s">
        <v>38</v>
      </c>
      <c r="S3395" t="s">
        <v>38</v>
      </c>
      <c r="T3395" t="s">
        <v>38</v>
      </c>
      <c r="U3395" t="s">
        <v>38</v>
      </c>
      <c r="V3395" t="s">
        <v>91</v>
      </c>
      <c r="W3395" t="s">
        <v>38</v>
      </c>
      <c r="X3395" t="s">
        <v>38</v>
      </c>
      <c r="Y3395" t="s">
        <v>5014</v>
      </c>
      <c r="Z3395" t="s">
        <v>42</v>
      </c>
      <c r="AA3395" t="s">
        <v>38</v>
      </c>
      <c r="AB3395" t="s">
        <v>38</v>
      </c>
      <c r="AC3395" t="s">
        <v>38</v>
      </c>
      <c r="AD3395" t="s">
        <v>48</v>
      </c>
      <c r="AG3395" t="str">
        <f>IF(AD3395="United States", IFERROR(INDEX(Sheet2!$C:$C, MATCH(AE3395&amp;AF3395, Sheet2!$E:$E, 0)) &amp; ", " &amp; INDEX(Sheet2!$D:$D, MATCH(AE3395&amp;AF3395, Sheet2!$E:$E, 0)), ""), "-")</f>
        <v/>
      </c>
    </row>
    <row r="3396" spans="1:33" x14ac:dyDescent="0.25">
      <c r="A3396" t="s">
        <v>5004</v>
      </c>
      <c r="B3396" t="s">
        <v>5015</v>
      </c>
      <c r="C3396" t="s">
        <v>5006</v>
      </c>
      <c r="D3396" t="s">
        <v>1003</v>
      </c>
      <c r="E3396" t="s">
        <v>38</v>
      </c>
      <c r="F3396">
        <v>1760</v>
      </c>
      <c r="G3396">
        <v>2023</v>
      </c>
      <c r="H3396" t="s">
        <v>38</v>
      </c>
      <c r="I3396" t="s">
        <v>80</v>
      </c>
      <c r="J3396" t="s">
        <v>5001</v>
      </c>
      <c r="K3396" t="s">
        <v>38</v>
      </c>
      <c r="L3396" t="s">
        <v>38</v>
      </c>
      <c r="M3396" t="s">
        <v>38</v>
      </c>
      <c r="N3396" t="s">
        <v>38</v>
      </c>
      <c r="O3396" t="s">
        <v>57</v>
      </c>
      <c r="P3396" t="s">
        <v>42</v>
      </c>
      <c r="Q3396" t="s">
        <v>43</v>
      </c>
      <c r="R3396" t="s">
        <v>155</v>
      </c>
      <c r="S3396" t="s">
        <v>153</v>
      </c>
      <c r="T3396" t="s">
        <v>38</v>
      </c>
      <c r="U3396" t="s">
        <v>38</v>
      </c>
      <c r="V3396" t="s">
        <v>91</v>
      </c>
      <c r="W3396" t="s">
        <v>38</v>
      </c>
      <c r="X3396" t="s">
        <v>38</v>
      </c>
      <c r="Y3396" t="s">
        <v>5016</v>
      </c>
      <c r="Z3396" t="s">
        <v>42</v>
      </c>
      <c r="AA3396" t="s">
        <v>155</v>
      </c>
      <c r="AB3396" t="s">
        <v>38</v>
      </c>
      <c r="AC3396" t="s">
        <v>153</v>
      </c>
      <c r="AD3396" t="s">
        <v>48</v>
      </c>
      <c r="AG3396" t="str">
        <f>IF(AD3396="United States", IFERROR(INDEX(Sheet2!$C:$C, MATCH(AE3396&amp;AF3396, Sheet2!$E:$E, 0)) &amp; ", " &amp; INDEX(Sheet2!$D:$D, MATCH(AE3396&amp;AF3396, Sheet2!$E:$E, 0)), ""), "-")</f>
        <v/>
      </c>
    </row>
    <row r="3397" spans="1:33" x14ac:dyDescent="0.25">
      <c r="A3397" t="s">
        <v>5004</v>
      </c>
      <c r="B3397" t="s">
        <v>5017</v>
      </c>
      <c r="C3397" t="s">
        <v>5006</v>
      </c>
      <c r="D3397" t="s">
        <v>114</v>
      </c>
      <c r="E3397" t="s">
        <v>38</v>
      </c>
      <c r="F3397">
        <v>1742</v>
      </c>
      <c r="G3397">
        <v>2024</v>
      </c>
      <c r="H3397" t="s">
        <v>38</v>
      </c>
      <c r="I3397" t="s">
        <v>80</v>
      </c>
      <c r="J3397" t="s">
        <v>5001</v>
      </c>
      <c r="K3397" t="s">
        <v>38</v>
      </c>
      <c r="L3397" t="s">
        <v>38</v>
      </c>
      <c r="M3397" t="s">
        <v>38</v>
      </c>
      <c r="N3397" t="s">
        <v>38</v>
      </c>
      <c r="O3397" t="s">
        <v>57</v>
      </c>
      <c r="P3397" t="s">
        <v>42</v>
      </c>
      <c r="Q3397" t="s">
        <v>43</v>
      </c>
      <c r="R3397" t="s">
        <v>38</v>
      </c>
      <c r="S3397" t="s">
        <v>38</v>
      </c>
      <c r="T3397" t="s">
        <v>38</v>
      </c>
      <c r="U3397" t="s">
        <v>38</v>
      </c>
      <c r="V3397" t="s">
        <v>91</v>
      </c>
      <c r="W3397" t="s">
        <v>38</v>
      </c>
      <c r="X3397" t="s">
        <v>38</v>
      </c>
      <c r="Y3397" t="s">
        <v>5018</v>
      </c>
      <c r="Z3397" t="s">
        <v>42</v>
      </c>
      <c r="AA3397" t="s">
        <v>38</v>
      </c>
      <c r="AB3397" t="s">
        <v>38</v>
      </c>
      <c r="AC3397" t="s">
        <v>91</v>
      </c>
      <c r="AD3397" t="s">
        <v>48</v>
      </c>
      <c r="AG3397" t="str">
        <f>IF(AD3397="United States", IFERROR(INDEX(Sheet2!$C:$C, MATCH(AE3397&amp;AF3397, Sheet2!$E:$E, 0)) &amp; ", " &amp; INDEX(Sheet2!$D:$D, MATCH(AE3397&amp;AF3397, Sheet2!$E:$E, 0)), ""), "-")</f>
        <v/>
      </c>
    </row>
    <row r="3398" spans="1:33" x14ac:dyDescent="0.25">
      <c r="A3398" t="s">
        <v>5004</v>
      </c>
      <c r="B3398" t="s">
        <v>5019</v>
      </c>
      <c r="C3398" t="s">
        <v>5006</v>
      </c>
      <c r="D3398" t="s">
        <v>245</v>
      </c>
      <c r="E3398" t="s">
        <v>5000</v>
      </c>
      <c r="F3398">
        <v>1769</v>
      </c>
      <c r="G3398">
        <v>2022</v>
      </c>
      <c r="H3398" t="s">
        <v>38</v>
      </c>
      <c r="I3398" t="s">
        <v>80</v>
      </c>
      <c r="J3398" t="s">
        <v>5001</v>
      </c>
      <c r="K3398" t="s">
        <v>38</v>
      </c>
      <c r="L3398" t="s">
        <v>38</v>
      </c>
      <c r="M3398" t="s">
        <v>38</v>
      </c>
      <c r="N3398" t="s">
        <v>38</v>
      </c>
      <c r="O3398" t="s">
        <v>74</v>
      </c>
      <c r="P3398" t="s">
        <v>42</v>
      </c>
      <c r="Q3398" t="s">
        <v>43</v>
      </c>
      <c r="R3398" t="s">
        <v>155</v>
      </c>
      <c r="S3398" t="s">
        <v>153</v>
      </c>
      <c r="T3398" t="s">
        <v>38</v>
      </c>
      <c r="U3398" t="s">
        <v>38</v>
      </c>
      <c r="V3398" t="s">
        <v>91</v>
      </c>
      <c r="W3398" t="s">
        <v>38</v>
      </c>
      <c r="X3398" t="s">
        <v>38</v>
      </c>
      <c r="Y3398" t="s">
        <v>5020</v>
      </c>
      <c r="Z3398" t="s">
        <v>42</v>
      </c>
      <c r="AA3398" t="s">
        <v>155</v>
      </c>
      <c r="AB3398" t="s">
        <v>38</v>
      </c>
      <c r="AC3398" t="s">
        <v>153</v>
      </c>
      <c r="AD3398" t="s">
        <v>48</v>
      </c>
      <c r="AG3398" t="str">
        <f>IF(AD3398="United States", IFERROR(INDEX(Sheet2!$C:$C, MATCH(AE3398&amp;AF3398, Sheet2!$E:$E, 0)) &amp; ", " &amp; INDEX(Sheet2!$D:$D, MATCH(AE3398&amp;AF3398, Sheet2!$E:$E, 0)), ""), "-")</f>
        <v/>
      </c>
    </row>
    <row r="3399" spans="1:33" x14ac:dyDescent="0.25">
      <c r="A3399" t="s">
        <v>803</v>
      </c>
      <c r="B3399" t="s">
        <v>5021</v>
      </c>
      <c r="C3399" t="s">
        <v>5022</v>
      </c>
      <c r="D3399" t="s">
        <v>36</v>
      </c>
      <c r="E3399" t="s">
        <v>38</v>
      </c>
      <c r="F3399">
        <v>1761</v>
      </c>
      <c r="G3399">
        <v>40</v>
      </c>
      <c r="H3399" t="s">
        <v>78</v>
      </c>
      <c r="I3399" t="s">
        <v>39</v>
      </c>
      <c r="J3399" t="s">
        <v>5023</v>
      </c>
      <c r="K3399" t="s">
        <v>38</v>
      </c>
      <c r="L3399" t="s">
        <v>38</v>
      </c>
      <c r="M3399" t="s">
        <v>38</v>
      </c>
      <c r="N3399" t="s">
        <v>38</v>
      </c>
      <c r="O3399" t="s">
        <v>41</v>
      </c>
      <c r="P3399" t="s">
        <v>42</v>
      </c>
      <c r="Q3399" t="s">
        <v>43</v>
      </c>
      <c r="R3399" t="s">
        <v>89</v>
      </c>
      <c r="S3399" t="s">
        <v>38</v>
      </c>
      <c r="T3399" t="s">
        <v>89</v>
      </c>
      <c r="U3399" t="s">
        <v>301</v>
      </c>
      <c r="V3399" t="s">
        <v>137</v>
      </c>
      <c r="W3399" t="s">
        <v>92</v>
      </c>
      <c r="X3399" t="s">
        <v>302</v>
      </c>
      <c r="Y3399" t="s">
        <v>5024</v>
      </c>
      <c r="Z3399" t="s">
        <v>42</v>
      </c>
      <c r="AA3399" t="s">
        <v>38</v>
      </c>
      <c r="AB3399" t="s">
        <v>38</v>
      </c>
      <c r="AC3399" t="s">
        <v>38</v>
      </c>
      <c r="AD3399" t="s">
        <v>48</v>
      </c>
      <c r="AG3399" t="str">
        <f>IF(AD3399="United States", IFERROR(INDEX(Sheet2!$C:$C, MATCH(AE3399&amp;AF3399, Sheet2!$E:$E, 0)) &amp; ", " &amp; INDEX(Sheet2!$D:$D, MATCH(AE3399&amp;AF3399, Sheet2!$E:$E, 0)), ""), "-")</f>
        <v/>
      </c>
    </row>
    <row r="3400" spans="1:33" x14ac:dyDescent="0.25">
      <c r="A3400" t="s">
        <v>803</v>
      </c>
      <c r="D3400" t="s">
        <v>307</v>
      </c>
      <c r="E3400" t="s">
        <v>185</v>
      </c>
      <c r="F3400">
        <v>1761</v>
      </c>
      <c r="G3400">
        <v>48</v>
      </c>
      <c r="H3400">
        <v>18</v>
      </c>
      <c r="J3400" t="s">
        <v>5023</v>
      </c>
      <c r="O3400" t="s">
        <v>57</v>
      </c>
      <c r="R3400" t="s">
        <v>89</v>
      </c>
      <c r="T3400" t="s">
        <v>89</v>
      </c>
      <c r="U3400" t="s">
        <v>301</v>
      </c>
      <c r="V3400" t="s">
        <v>137</v>
      </c>
      <c r="W3400" t="s">
        <v>92</v>
      </c>
      <c r="X3400" t="s">
        <v>302</v>
      </c>
      <c r="Y3400" t="s">
        <v>38</v>
      </c>
      <c r="AA3400" t="s">
        <v>38</v>
      </c>
      <c r="AB3400" t="s">
        <v>38</v>
      </c>
      <c r="AC3400" t="s">
        <v>38</v>
      </c>
      <c r="AD3400" t="s">
        <v>48</v>
      </c>
      <c r="AG3400" t="str">
        <f>IF(AD3400="United States", IFERROR(INDEX(Sheet2!$C:$C, MATCH(AE3400&amp;AF3400, Sheet2!$E:$E, 0)) &amp; ", " &amp; INDEX(Sheet2!$D:$D, MATCH(AE3400&amp;AF3400, Sheet2!$E:$E, 0)), ""), "-")</f>
        <v/>
      </c>
    </row>
    <row r="3401" spans="1:33" x14ac:dyDescent="0.25">
      <c r="A3401" t="s">
        <v>803</v>
      </c>
      <c r="D3401" t="s">
        <v>181</v>
      </c>
      <c r="E3401" t="s">
        <v>2461</v>
      </c>
      <c r="F3401">
        <v>1774</v>
      </c>
      <c r="G3401">
        <v>46</v>
      </c>
      <c r="H3401">
        <v>18</v>
      </c>
      <c r="J3401" t="s">
        <v>5023</v>
      </c>
      <c r="O3401" t="s">
        <v>54</v>
      </c>
      <c r="R3401" t="s">
        <v>89</v>
      </c>
      <c r="T3401" t="s">
        <v>89</v>
      </c>
      <c r="U3401" t="s">
        <v>301</v>
      </c>
      <c r="V3401" t="s">
        <v>137</v>
      </c>
      <c r="W3401" t="s">
        <v>92</v>
      </c>
      <c r="X3401" t="s">
        <v>302</v>
      </c>
      <c r="Y3401" t="s">
        <v>38</v>
      </c>
      <c r="AA3401" t="s">
        <v>38</v>
      </c>
      <c r="AB3401" t="s">
        <v>38</v>
      </c>
      <c r="AC3401" t="s">
        <v>38</v>
      </c>
      <c r="AD3401" t="s">
        <v>48</v>
      </c>
      <c r="AG3401" t="str">
        <f>IF(AD3401="United States", IFERROR(INDEX(Sheet2!$C:$C, MATCH(AE3401&amp;AF3401, Sheet2!$E:$E, 0)) &amp; ", " &amp; INDEX(Sheet2!$D:$D, MATCH(AE3401&amp;AF3401, Sheet2!$E:$E, 0)), ""), "-")</f>
        <v/>
      </c>
    </row>
    <row r="3402" spans="1:33" x14ac:dyDescent="0.25">
      <c r="A3402" t="s">
        <v>803</v>
      </c>
      <c r="D3402" t="s">
        <v>5025</v>
      </c>
      <c r="E3402" t="s">
        <v>2953</v>
      </c>
      <c r="F3402">
        <v>1745</v>
      </c>
      <c r="G3402">
        <v>45</v>
      </c>
      <c r="H3402">
        <v>18</v>
      </c>
      <c r="J3402" t="s">
        <v>5023</v>
      </c>
      <c r="O3402" t="s">
        <v>41</v>
      </c>
      <c r="R3402" t="s">
        <v>89</v>
      </c>
      <c r="T3402" t="s">
        <v>89</v>
      </c>
      <c r="U3402" t="s">
        <v>301</v>
      </c>
      <c r="V3402" t="s">
        <v>137</v>
      </c>
      <c r="W3402" t="s">
        <v>92</v>
      </c>
      <c r="X3402" t="s">
        <v>302</v>
      </c>
      <c r="Y3402" t="s">
        <v>38</v>
      </c>
      <c r="AA3402" t="s">
        <v>38</v>
      </c>
      <c r="AB3402" t="s">
        <v>38</v>
      </c>
      <c r="AC3402" t="s">
        <v>38</v>
      </c>
      <c r="AD3402" t="s">
        <v>48</v>
      </c>
      <c r="AG3402" t="str">
        <f>IF(AD3402="United States", IFERROR(INDEX(Sheet2!$C:$C, MATCH(AE3402&amp;AF3402, Sheet2!$E:$E, 0)) &amp; ", " &amp; INDEX(Sheet2!$D:$D, MATCH(AE3402&amp;AF3402, Sheet2!$E:$E, 0)), ""), "-")</f>
        <v/>
      </c>
    </row>
    <row r="3403" spans="1:33" x14ac:dyDescent="0.25">
      <c r="A3403" t="s">
        <v>803</v>
      </c>
      <c r="B3403" t="s">
        <v>5026</v>
      </c>
      <c r="C3403" t="s">
        <v>5027</v>
      </c>
      <c r="D3403" t="s">
        <v>200</v>
      </c>
      <c r="E3403" t="s">
        <v>2901</v>
      </c>
      <c r="F3403">
        <v>1743</v>
      </c>
      <c r="G3403">
        <v>913</v>
      </c>
      <c r="H3403" t="s">
        <v>78</v>
      </c>
      <c r="I3403" t="s">
        <v>80</v>
      </c>
      <c r="J3403" t="s">
        <v>5023</v>
      </c>
      <c r="K3403" t="s">
        <v>38</v>
      </c>
      <c r="L3403" t="s">
        <v>38</v>
      </c>
      <c r="M3403" t="s">
        <v>38</v>
      </c>
      <c r="N3403" t="s">
        <v>38</v>
      </c>
      <c r="O3403" t="s">
        <v>41</v>
      </c>
      <c r="P3403" t="s">
        <v>42</v>
      </c>
      <c r="Q3403" t="s">
        <v>43</v>
      </c>
      <c r="R3403" t="s">
        <v>89</v>
      </c>
      <c r="S3403" t="s">
        <v>38</v>
      </c>
      <c r="T3403" t="s">
        <v>89</v>
      </c>
      <c r="U3403" t="s">
        <v>301</v>
      </c>
      <c r="V3403" t="s">
        <v>46</v>
      </c>
      <c r="W3403" t="s">
        <v>92</v>
      </c>
      <c r="X3403" t="s">
        <v>302</v>
      </c>
      <c r="Y3403" t="s">
        <v>5028</v>
      </c>
      <c r="Z3403" t="s">
        <v>42</v>
      </c>
      <c r="AA3403" t="s">
        <v>5029</v>
      </c>
      <c r="AB3403" t="s">
        <v>38</v>
      </c>
      <c r="AC3403" t="s">
        <v>233</v>
      </c>
      <c r="AD3403" t="s">
        <v>48</v>
      </c>
      <c r="AG3403" t="str">
        <f>IF(AD3403="United States", IFERROR(INDEX(Sheet2!$C:$C, MATCH(AE3403&amp;AF3403, Sheet2!$E:$E, 0)) &amp; ", " &amp; INDEX(Sheet2!$D:$D, MATCH(AE3403&amp;AF3403, Sheet2!$E:$E, 0)), ""), "-")</f>
        <v/>
      </c>
    </row>
    <row r="3404" spans="1:33" x14ac:dyDescent="0.25">
      <c r="A3404" t="s">
        <v>803</v>
      </c>
      <c r="B3404" t="s">
        <v>5030</v>
      </c>
      <c r="C3404" t="s">
        <v>5027</v>
      </c>
      <c r="D3404" t="s">
        <v>226</v>
      </c>
      <c r="E3404" t="s">
        <v>2293</v>
      </c>
      <c r="F3404">
        <v>1739</v>
      </c>
      <c r="G3404">
        <v>912</v>
      </c>
      <c r="H3404" t="s">
        <v>2270</v>
      </c>
      <c r="I3404" t="s">
        <v>80</v>
      </c>
      <c r="J3404" t="s">
        <v>5023</v>
      </c>
      <c r="K3404" t="s">
        <v>38</v>
      </c>
      <c r="L3404" t="s">
        <v>38</v>
      </c>
      <c r="M3404" t="s">
        <v>38</v>
      </c>
      <c r="N3404" t="s">
        <v>38</v>
      </c>
      <c r="O3404" t="s">
        <v>41</v>
      </c>
      <c r="P3404" t="s">
        <v>42</v>
      </c>
      <c r="Q3404" t="s">
        <v>43</v>
      </c>
      <c r="R3404" t="s">
        <v>89</v>
      </c>
      <c r="S3404" t="s">
        <v>45</v>
      </c>
      <c r="T3404" t="s">
        <v>89</v>
      </c>
      <c r="U3404" t="s">
        <v>301</v>
      </c>
      <c r="V3404" t="s">
        <v>46</v>
      </c>
      <c r="W3404" t="s">
        <v>92</v>
      </c>
      <c r="X3404" t="s">
        <v>302</v>
      </c>
      <c r="Y3404" t="s">
        <v>5028</v>
      </c>
      <c r="Z3404" t="s">
        <v>42</v>
      </c>
      <c r="AA3404" t="s">
        <v>1120</v>
      </c>
      <c r="AB3404" t="s">
        <v>38</v>
      </c>
      <c r="AC3404" t="s">
        <v>45</v>
      </c>
      <c r="AD3404" t="s">
        <v>48</v>
      </c>
      <c r="AG3404" t="str">
        <f>IF(AD3404="United States", IFERROR(INDEX(Sheet2!$C:$C, MATCH(AE3404&amp;AF3404, Sheet2!$E:$E, 0)) &amp; ", " &amp; INDEX(Sheet2!$D:$D, MATCH(AE3404&amp;AF3404, Sheet2!$E:$E, 0)), ""), "-")</f>
        <v/>
      </c>
    </row>
    <row r="3405" spans="1:33" x14ac:dyDescent="0.25">
      <c r="A3405" t="s">
        <v>803</v>
      </c>
      <c r="B3405" t="s">
        <v>5031</v>
      </c>
      <c r="C3405" t="s">
        <v>5027</v>
      </c>
      <c r="D3405" t="s">
        <v>5032</v>
      </c>
      <c r="E3405" t="s">
        <v>1334</v>
      </c>
      <c r="F3405">
        <v>1763</v>
      </c>
      <c r="G3405">
        <v>911</v>
      </c>
      <c r="H3405" t="s">
        <v>2270</v>
      </c>
      <c r="I3405" t="s">
        <v>80</v>
      </c>
      <c r="J3405" t="s">
        <v>5023</v>
      </c>
      <c r="K3405" t="s">
        <v>38</v>
      </c>
      <c r="L3405" t="s">
        <v>38</v>
      </c>
      <c r="M3405" t="s">
        <v>38</v>
      </c>
      <c r="N3405" t="s">
        <v>38</v>
      </c>
      <c r="O3405" t="s">
        <v>41</v>
      </c>
      <c r="P3405" t="s">
        <v>42</v>
      </c>
      <c r="Q3405" t="s">
        <v>43</v>
      </c>
      <c r="R3405" t="s">
        <v>89</v>
      </c>
      <c r="S3405" t="s">
        <v>45</v>
      </c>
      <c r="T3405" t="s">
        <v>89</v>
      </c>
      <c r="U3405" t="s">
        <v>301</v>
      </c>
      <c r="V3405" t="s">
        <v>46</v>
      </c>
      <c r="W3405" t="s">
        <v>92</v>
      </c>
      <c r="X3405" t="s">
        <v>302</v>
      </c>
      <c r="Y3405" t="s">
        <v>5028</v>
      </c>
      <c r="Z3405" t="s">
        <v>42</v>
      </c>
      <c r="AA3405" t="s">
        <v>1120</v>
      </c>
      <c r="AB3405" t="s">
        <v>38</v>
      </c>
      <c r="AC3405" t="s">
        <v>45</v>
      </c>
      <c r="AD3405" t="s">
        <v>48</v>
      </c>
      <c r="AG3405" t="str">
        <f>IF(AD3405="United States", IFERROR(INDEX(Sheet2!$C:$C, MATCH(AE3405&amp;AF3405, Sheet2!$E:$E, 0)) &amp; ", " &amp; INDEX(Sheet2!$D:$D, MATCH(AE3405&amp;AF3405, Sheet2!$E:$E, 0)), ""), "-")</f>
        <v/>
      </c>
    </row>
    <row r="3406" spans="1:33" x14ac:dyDescent="0.25">
      <c r="A3406" t="s">
        <v>803</v>
      </c>
      <c r="B3406" t="s">
        <v>5033</v>
      </c>
      <c r="C3406" t="s">
        <v>5027</v>
      </c>
      <c r="D3406" t="s">
        <v>36</v>
      </c>
      <c r="E3406" t="s">
        <v>5034</v>
      </c>
      <c r="F3406">
        <v>1758</v>
      </c>
      <c r="G3406">
        <v>910</v>
      </c>
      <c r="H3406" t="s">
        <v>78</v>
      </c>
      <c r="I3406" t="s">
        <v>80</v>
      </c>
      <c r="J3406" t="s">
        <v>5023</v>
      </c>
      <c r="K3406" t="s">
        <v>38</v>
      </c>
      <c r="L3406" t="s">
        <v>38</v>
      </c>
      <c r="M3406" t="s">
        <v>38</v>
      </c>
      <c r="N3406" t="s">
        <v>38</v>
      </c>
      <c r="O3406" t="s">
        <v>41</v>
      </c>
      <c r="P3406" t="s">
        <v>42</v>
      </c>
      <c r="Q3406" t="s">
        <v>43</v>
      </c>
      <c r="R3406" t="s">
        <v>89</v>
      </c>
      <c r="S3406" t="s">
        <v>1063</v>
      </c>
      <c r="T3406" t="s">
        <v>89</v>
      </c>
      <c r="U3406" t="s">
        <v>301</v>
      </c>
      <c r="V3406" t="s">
        <v>46</v>
      </c>
      <c r="W3406" t="s">
        <v>92</v>
      </c>
      <c r="X3406" t="s">
        <v>302</v>
      </c>
      <c r="Y3406" t="s">
        <v>5035</v>
      </c>
      <c r="Z3406" t="s">
        <v>42</v>
      </c>
      <c r="AA3406" t="s">
        <v>38</v>
      </c>
      <c r="AB3406" t="s">
        <v>38</v>
      </c>
      <c r="AC3406" t="s">
        <v>1063</v>
      </c>
      <c r="AD3406" t="s">
        <v>48</v>
      </c>
      <c r="AG3406" t="str">
        <f>IF(AD3406="United States", IFERROR(INDEX(Sheet2!$C:$C, MATCH(AE3406&amp;AF3406, Sheet2!$E:$E, 0)) &amp; ", " &amp; INDEX(Sheet2!$D:$D, MATCH(AE3406&amp;AF3406, Sheet2!$E:$E, 0)), ""), "-")</f>
        <v/>
      </c>
    </row>
    <row r="3407" spans="1:33" x14ac:dyDescent="0.25">
      <c r="A3407" t="s">
        <v>803</v>
      </c>
      <c r="B3407" t="s">
        <v>5036</v>
      </c>
      <c r="C3407" t="s">
        <v>5022</v>
      </c>
      <c r="D3407" t="s">
        <v>113</v>
      </c>
      <c r="E3407" t="s">
        <v>38</v>
      </c>
      <c r="F3407">
        <v>1765</v>
      </c>
      <c r="G3407">
        <v>49</v>
      </c>
      <c r="H3407" t="s">
        <v>78</v>
      </c>
      <c r="I3407" t="s">
        <v>39</v>
      </c>
      <c r="J3407" t="s">
        <v>5023</v>
      </c>
      <c r="K3407" t="s">
        <v>38</v>
      </c>
      <c r="L3407" t="s">
        <v>38</v>
      </c>
      <c r="M3407" t="s">
        <v>38</v>
      </c>
      <c r="N3407" t="s">
        <v>38</v>
      </c>
      <c r="O3407" t="s">
        <v>41</v>
      </c>
      <c r="P3407" t="s">
        <v>42</v>
      </c>
      <c r="Q3407" t="s">
        <v>43</v>
      </c>
      <c r="R3407" t="s">
        <v>89</v>
      </c>
      <c r="S3407" t="s">
        <v>153</v>
      </c>
      <c r="T3407" t="s">
        <v>89</v>
      </c>
      <c r="U3407" t="s">
        <v>301</v>
      </c>
      <c r="V3407" t="s">
        <v>137</v>
      </c>
      <c r="W3407" t="s">
        <v>92</v>
      </c>
      <c r="X3407" t="s">
        <v>302</v>
      </c>
      <c r="Y3407" t="s">
        <v>5037</v>
      </c>
      <c r="Z3407" t="s">
        <v>42</v>
      </c>
      <c r="AA3407" t="s">
        <v>38</v>
      </c>
      <c r="AB3407" t="s">
        <v>38</v>
      </c>
      <c r="AC3407" t="s">
        <v>153</v>
      </c>
      <c r="AD3407" t="s">
        <v>48</v>
      </c>
      <c r="AG3407" t="str">
        <f>IF(AD3407="United States", IFERROR(INDEX(Sheet2!$C:$C, MATCH(AE3407&amp;AF3407, Sheet2!$E:$E, 0)) &amp; ", " &amp; INDEX(Sheet2!$D:$D, MATCH(AE3407&amp;AF3407, Sheet2!$E:$E, 0)), ""), "-")</f>
        <v/>
      </c>
    </row>
    <row r="3408" spans="1:33" x14ac:dyDescent="0.25">
      <c r="A3408" t="s">
        <v>803</v>
      </c>
      <c r="B3408" t="s">
        <v>5038</v>
      </c>
      <c r="C3408" t="s">
        <v>5022</v>
      </c>
      <c r="D3408" t="s">
        <v>113</v>
      </c>
      <c r="E3408" t="s">
        <v>38</v>
      </c>
      <c r="F3408">
        <v>1770</v>
      </c>
      <c r="G3408">
        <v>48</v>
      </c>
      <c r="H3408" t="s">
        <v>78</v>
      </c>
      <c r="I3408" t="s">
        <v>39</v>
      </c>
      <c r="J3408" t="s">
        <v>5023</v>
      </c>
      <c r="K3408" t="s">
        <v>38</v>
      </c>
      <c r="L3408" t="s">
        <v>38</v>
      </c>
      <c r="M3408" t="s">
        <v>38</v>
      </c>
      <c r="N3408" t="s">
        <v>38</v>
      </c>
      <c r="O3408" t="s">
        <v>54</v>
      </c>
      <c r="P3408" t="s">
        <v>42</v>
      </c>
      <c r="Q3408" t="s">
        <v>43</v>
      </c>
      <c r="R3408" t="s">
        <v>89</v>
      </c>
      <c r="S3408" t="s">
        <v>38</v>
      </c>
      <c r="T3408" t="s">
        <v>89</v>
      </c>
      <c r="U3408" t="s">
        <v>301</v>
      </c>
      <c r="V3408" t="s">
        <v>137</v>
      </c>
      <c r="W3408" t="s">
        <v>92</v>
      </c>
      <c r="X3408" t="s">
        <v>302</v>
      </c>
      <c r="Y3408" t="s">
        <v>5039</v>
      </c>
      <c r="Z3408" t="s">
        <v>42</v>
      </c>
      <c r="AA3408" t="s">
        <v>38</v>
      </c>
      <c r="AB3408" t="s">
        <v>38</v>
      </c>
      <c r="AC3408" t="s">
        <v>38</v>
      </c>
      <c r="AD3408" t="s">
        <v>48</v>
      </c>
      <c r="AG3408" t="str">
        <f>IF(AD3408="United States", IFERROR(INDEX(Sheet2!$C:$C, MATCH(AE3408&amp;AF3408, Sheet2!$E:$E, 0)) &amp; ", " &amp; INDEX(Sheet2!$D:$D, MATCH(AE3408&amp;AF3408, Sheet2!$E:$E, 0)), ""), "-")</f>
        <v/>
      </c>
    </row>
    <row r="3409" spans="1:33" x14ac:dyDescent="0.25">
      <c r="A3409" t="s">
        <v>803</v>
      </c>
      <c r="B3409" t="s">
        <v>5040</v>
      </c>
      <c r="C3409" t="s">
        <v>5022</v>
      </c>
      <c r="D3409" t="s">
        <v>5041</v>
      </c>
      <c r="E3409" t="s">
        <v>5042</v>
      </c>
      <c r="F3409">
        <v>1748</v>
      </c>
      <c r="G3409">
        <v>47</v>
      </c>
      <c r="H3409" t="s">
        <v>78</v>
      </c>
      <c r="I3409" t="s">
        <v>39</v>
      </c>
      <c r="J3409" t="s">
        <v>5023</v>
      </c>
      <c r="K3409" t="s">
        <v>38</v>
      </c>
      <c r="L3409" t="s">
        <v>38</v>
      </c>
      <c r="M3409" t="s">
        <v>38</v>
      </c>
      <c r="N3409" t="s">
        <v>38</v>
      </c>
      <c r="O3409" t="s">
        <v>74</v>
      </c>
      <c r="P3409" t="s">
        <v>42</v>
      </c>
      <c r="Q3409" t="s">
        <v>43</v>
      </c>
      <c r="R3409" t="s">
        <v>89</v>
      </c>
      <c r="S3409" t="s">
        <v>38</v>
      </c>
      <c r="T3409" t="s">
        <v>89</v>
      </c>
      <c r="U3409" t="s">
        <v>301</v>
      </c>
      <c r="V3409" t="s">
        <v>137</v>
      </c>
      <c r="W3409" t="s">
        <v>92</v>
      </c>
      <c r="X3409" t="s">
        <v>302</v>
      </c>
      <c r="Y3409" t="s">
        <v>5024</v>
      </c>
      <c r="Z3409" t="s">
        <v>42</v>
      </c>
      <c r="AA3409" t="s">
        <v>38</v>
      </c>
      <c r="AB3409" t="s">
        <v>38</v>
      </c>
      <c r="AC3409" t="s">
        <v>38</v>
      </c>
      <c r="AD3409" t="s">
        <v>48</v>
      </c>
      <c r="AG3409" t="str">
        <f>IF(AD3409="United States", IFERROR(INDEX(Sheet2!$C:$C, MATCH(AE3409&amp;AF3409, Sheet2!$E:$E, 0)) &amp; ", " &amp; INDEX(Sheet2!$D:$D, MATCH(AE3409&amp;AF3409, Sheet2!$E:$E, 0)), ""), "-")</f>
        <v/>
      </c>
    </row>
    <row r="3410" spans="1:33" x14ac:dyDescent="0.25">
      <c r="A3410" t="s">
        <v>803</v>
      </c>
      <c r="B3410" t="s">
        <v>5043</v>
      </c>
      <c r="C3410" t="s">
        <v>5022</v>
      </c>
      <c r="D3410" t="s">
        <v>1174</v>
      </c>
      <c r="E3410" t="s">
        <v>38</v>
      </c>
      <c r="F3410">
        <v>1764</v>
      </c>
      <c r="G3410">
        <v>46</v>
      </c>
      <c r="H3410" t="s">
        <v>78</v>
      </c>
      <c r="I3410" t="s">
        <v>39</v>
      </c>
      <c r="J3410" t="s">
        <v>5023</v>
      </c>
      <c r="K3410" t="s">
        <v>38</v>
      </c>
      <c r="L3410" t="s">
        <v>38</v>
      </c>
      <c r="M3410" t="s">
        <v>38</v>
      </c>
      <c r="N3410" t="s">
        <v>38</v>
      </c>
      <c r="O3410" t="s">
        <v>41</v>
      </c>
      <c r="P3410" t="s">
        <v>42</v>
      </c>
      <c r="Q3410" t="s">
        <v>43</v>
      </c>
      <c r="R3410" t="s">
        <v>89</v>
      </c>
      <c r="S3410" t="s">
        <v>45</v>
      </c>
      <c r="T3410" t="s">
        <v>89</v>
      </c>
      <c r="U3410" t="s">
        <v>301</v>
      </c>
      <c r="V3410" t="s">
        <v>137</v>
      </c>
      <c r="W3410" t="s">
        <v>92</v>
      </c>
      <c r="X3410" t="s">
        <v>302</v>
      </c>
      <c r="Y3410" t="s">
        <v>5044</v>
      </c>
      <c r="Z3410" t="s">
        <v>42</v>
      </c>
      <c r="AA3410" t="s">
        <v>38</v>
      </c>
      <c r="AB3410" t="s">
        <v>38</v>
      </c>
      <c r="AC3410" t="s">
        <v>45</v>
      </c>
      <c r="AD3410" t="s">
        <v>48</v>
      </c>
      <c r="AG3410" t="str">
        <f>IF(AD3410="United States", IFERROR(INDEX(Sheet2!$C:$C, MATCH(AE3410&amp;AF3410, Sheet2!$E:$E, 0)) &amp; ", " &amp; INDEX(Sheet2!$D:$D, MATCH(AE3410&amp;AF3410, Sheet2!$E:$E, 0)), ""), "-")</f>
        <v/>
      </c>
    </row>
    <row r="3411" spans="1:33" x14ac:dyDescent="0.25">
      <c r="A3411" t="s">
        <v>803</v>
      </c>
      <c r="B3411" t="s">
        <v>5045</v>
      </c>
      <c r="C3411" t="s">
        <v>5022</v>
      </c>
      <c r="D3411" t="s">
        <v>200</v>
      </c>
      <c r="E3411" t="s">
        <v>38</v>
      </c>
      <c r="F3411">
        <v>1773</v>
      </c>
      <c r="G3411">
        <v>39</v>
      </c>
      <c r="H3411" t="s">
        <v>78</v>
      </c>
      <c r="I3411" t="s">
        <v>39</v>
      </c>
      <c r="J3411" t="s">
        <v>5023</v>
      </c>
      <c r="K3411" t="s">
        <v>38</v>
      </c>
      <c r="L3411" t="s">
        <v>38</v>
      </c>
      <c r="M3411" t="s">
        <v>38</v>
      </c>
      <c r="N3411" t="s">
        <v>38</v>
      </c>
      <c r="O3411" t="s">
        <v>54</v>
      </c>
      <c r="P3411" t="s">
        <v>42</v>
      </c>
      <c r="Q3411" t="s">
        <v>43</v>
      </c>
      <c r="R3411" t="s">
        <v>89</v>
      </c>
      <c r="S3411" t="s">
        <v>38</v>
      </c>
      <c r="T3411" t="s">
        <v>89</v>
      </c>
      <c r="U3411" t="s">
        <v>301</v>
      </c>
      <c r="V3411" t="s">
        <v>137</v>
      </c>
      <c r="W3411" t="s">
        <v>92</v>
      </c>
      <c r="X3411" t="s">
        <v>302</v>
      </c>
      <c r="Y3411" t="s">
        <v>5024</v>
      </c>
      <c r="Z3411" t="s">
        <v>42</v>
      </c>
      <c r="AA3411" t="s">
        <v>672</v>
      </c>
      <c r="AB3411" t="s">
        <v>38</v>
      </c>
      <c r="AC3411" t="s">
        <v>60</v>
      </c>
      <c r="AD3411" t="s">
        <v>672</v>
      </c>
      <c r="AG3411" t="str">
        <f>IF(AD3411="United States", IFERROR(INDEX(Sheet2!$C:$C, MATCH(AE3411&amp;AF3411, Sheet2!$E:$E, 0)) &amp; ", " &amp; INDEX(Sheet2!$D:$D, MATCH(AE3411&amp;AF3411, Sheet2!$E:$E, 0)), ""), "18.1850507, -77.3947693")</f>
        <v>18.1850507, -77.3947693</v>
      </c>
    </row>
    <row r="3412" spans="1:33" x14ac:dyDescent="0.25">
      <c r="A3412" t="s">
        <v>803</v>
      </c>
      <c r="B3412" t="s">
        <v>5046</v>
      </c>
      <c r="C3412" t="s">
        <v>5022</v>
      </c>
      <c r="D3412" t="s">
        <v>1560</v>
      </c>
      <c r="E3412" t="s">
        <v>275</v>
      </c>
      <c r="F3412">
        <v>1741</v>
      </c>
      <c r="G3412">
        <v>32</v>
      </c>
      <c r="H3412" t="s">
        <v>506</v>
      </c>
      <c r="I3412" t="s">
        <v>39</v>
      </c>
      <c r="J3412" t="s">
        <v>5023</v>
      </c>
      <c r="K3412" t="s">
        <v>38</v>
      </c>
      <c r="L3412" t="s">
        <v>38</v>
      </c>
      <c r="M3412" t="s">
        <v>38</v>
      </c>
      <c r="N3412" t="s">
        <v>38</v>
      </c>
      <c r="O3412" t="s">
        <v>41</v>
      </c>
      <c r="P3412" t="s">
        <v>42</v>
      </c>
      <c r="Q3412" t="s">
        <v>43</v>
      </c>
      <c r="R3412" t="s">
        <v>89</v>
      </c>
      <c r="S3412" t="s">
        <v>45</v>
      </c>
      <c r="T3412" t="s">
        <v>89</v>
      </c>
      <c r="U3412" t="s">
        <v>301</v>
      </c>
      <c r="V3412" t="s">
        <v>137</v>
      </c>
      <c r="W3412" t="s">
        <v>92</v>
      </c>
      <c r="X3412" t="s">
        <v>302</v>
      </c>
      <c r="Y3412" t="s">
        <v>5047</v>
      </c>
      <c r="Z3412" t="s">
        <v>42</v>
      </c>
      <c r="AA3412" t="s">
        <v>143</v>
      </c>
      <c r="AB3412" t="s">
        <v>38</v>
      </c>
      <c r="AC3412" t="s">
        <v>45</v>
      </c>
      <c r="AD3412" t="s">
        <v>48</v>
      </c>
      <c r="AG3412" t="str">
        <f>IF(AD3412="United States", IFERROR(INDEX(Sheet2!$C:$C, MATCH(AE3412&amp;AF3412, Sheet2!$E:$E, 0)) &amp; ", " &amp; INDEX(Sheet2!$D:$D, MATCH(AE3412&amp;AF3412, Sheet2!$E:$E, 0)), ""), "-")</f>
        <v/>
      </c>
    </row>
    <row r="3413" spans="1:33" x14ac:dyDescent="0.25">
      <c r="A3413" t="s">
        <v>803</v>
      </c>
      <c r="B3413" t="s">
        <v>5048</v>
      </c>
      <c r="C3413" t="s">
        <v>5022</v>
      </c>
      <c r="D3413" t="s">
        <v>552</v>
      </c>
      <c r="E3413" t="s">
        <v>5049</v>
      </c>
      <c r="F3413">
        <v>1754</v>
      </c>
      <c r="G3413">
        <v>34</v>
      </c>
      <c r="H3413" t="s">
        <v>78</v>
      </c>
      <c r="I3413" t="s">
        <v>39</v>
      </c>
      <c r="J3413" t="s">
        <v>5023</v>
      </c>
      <c r="K3413" t="s">
        <v>38</v>
      </c>
      <c r="L3413" t="s">
        <v>38</v>
      </c>
      <c r="M3413" t="s">
        <v>38</v>
      </c>
      <c r="N3413" t="s">
        <v>38</v>
      </c>
      <c r="O3413" t="s">
        <v>41</v>
      </c>
      <c r="P3413" t="s">
        <v>42</v>
      </c>
      <c r="Q3413" t="s">
        <v>43</v>
      </c>
      <c r="R3413" t="s">
        <v>89</v>
      </c>
      <c r="S3413" t="s">
        <v>38</v>
      </c>
      <c r="T3413" t="s">
        <v>89</v>
      </c>
      <c r="U3413" t="s">
        <v>301</v>
      </c>
      <c r="V3413" t="s">
        <v>137</v>
      </c>
      <c r="W3413" t="s">
        <v>92</v>
      </c>
      <c r="X3413" t="s">
        <v>302</v>
      </c>
      <c r="Y3413" t="s">
        <v>996</v>
      </c>
      <c r="Z3413" t="s">
        <v>42</v>
      </c>
      <c r="AA3413" t="s">
        <v>38</v>
      </c>
      <c r="AB3413" t="s">
        <v>38</v>
      </c>
      <c r="AC3413" t="s">
        <v>38</v>
      </c>
      <c r="AD3413" t="s">
        <v>48</v>
      </c>
      <c r="AG3413" t="str">
        <f>IF(AD3413="United States", IFERROR(INDEX(Sheet2!$C:$C, MATCH(AE3413&amp;AF3413, Sheet2!$E:$E, 0)) &amp; ", " &amp; INDEX(Sheet2!$D:$D, MATCH(AE3413&amp;AF3413, Sheet2!$E:$E, 0)), ""), "-")</f>
        <v/>
      </c>
    </row>
    <row r="3414" spans="1:33" x14ac:dyDescent="0.25">
      <c r="A3414" t="s">
        <v>803</v>
      </c>
      <c r="B3414" t="s">
        <v>5050</v>
      </c>
      <c r="C3414" t="s">
        <v>5022</v>
      </c>
      <c r="D3414" t="s">
        <v>193</v>
      </c>
      <c r="E3414" t="s">
        <v>38</v>
      </c>
      <c r="F3414">
        <v>1760</v>
      </c>
      <c r="G3414">
        <v>35</v>
      </c>
      <c r="H3414" t="s">
        <v>78</v>
      </c>
      <c r="I3414" t="s">
        <v>39</v>
      </c>
      <c r="J3414" t="s">
        <v>5023</v>
      </c>
      <c r="K3414" t="s">
        <v>38</v>
      </c>
      <c r="L3414" t="s">
        <v>38</v>
      </c>
      <c r="M3414" t="s">
        <v>38</v>
      </c>
      <c r="N3414" t="s">
        <v>38</v>
      </c>
      <c r="O3414" t="s">
        <v>41</v>
      </c>
      <c r="P3414" t="s">
        <v>42</v>
      </c>
      <c r="Q3414" t="s">
        <v>43</v>
      </c>
      <c r="R3414" t="s">
        <v>89</v>
      </c>
      <c r="S3414" t="s">
        <v>38</v>
      </c>
      <c r="T3414" t="s">
        <v>89</v>
      </c>
      <c r="U3414" t="s">
        <v>301</v>
      </c>
      <c r="V3414" t="s">
        <v>137</v>
      </c>
      <c r="W3414" t="s">
        <v>92</v>
      </c>
      <c r="X3414" t="s">
        <v>302</v>
      </c>
      <c r="Y3414" t="s">
        <v>5051</v>
      </c>
      <c r="Z3414" t="s">
        <v>42</v>
      </c>
      <c r="AA3414" t="s">
        <v>38</v>
      </c>
      <c r="AB3414" t="s">
        <v>38</v>
      </c>
      <c r="AC3414" t="s">
        <v>38</v>
      </c>
      <c r="AD3414" t="s">
        <v>48</v>
      </c>
      <c r="AG3414" t="str">
        <f>IF(AD3414="United States", IFERROR(INDEX(Sheet2!$C:$C, MATCH(AE3414&amp;AF3414, Sheet2!$E:$E, 0)) &amp; ", " &amp; INDEX(Sheet2!$D:$D, MATCH(AE3414&amp;AF3414, Sheet2!$E:$E, 0)), ""), "-")</f>
        <v/>
      </c>
    </row>
    <row r="3415" spans="1:33" x14ac:dyDescent="0.25">
      <c r="A3415" t="s">
        <v>803</v>
      </c>
      <c r="B3415" t="s">
        <v>5052</v>
      </c>
      <c r="C3415" t="s">
        <v>5022</v>
      </c>
      <c r="D3415" t="s">
        <v>1274</v>
      </c>
      <c r="E3415" t="s">
        <v>38</v>
      </c>
      <c r="F3415">
        <v>1762</v>
      </c>
      <c r="G3415">
        <v>36</v>
      </c>
      <c r="H3415" t="s">
        <v>78</v>
      </c>
      <c r="I3415" t="s">
        <v>39</v>
      </c>
      <c r="J3415" t="s">
        <v>5023</v>
      </c>
      <c r="K3415" t="s">
        <v>38</v>
      </c>
      <c r="L3415" t="s">
        <v>38</v>
      </c>
      <c r="M3415" t="s">
        <v>38</v>
      </c>
      <c r="N3415" t="s">
        <v>38</v>
      </c>
      <c r="O3415" t="s">
        <v>57</v>
      </c>
      <c r="P3415" t="s">
        <v>42</v>
      </c>
      <c r="Q3415" t="s">
        <v>43</v>
      </c>
      <c r="R3415" t="s">
        <v>89</v>
      </c>
      <c r="S3415" t="s">
        <v>38</v>
      </c>
      <c r="T3415" t="s">
        <v>89</v>
      </c>
      <c r="U3415" t="s">
        <v>301</v>
      </c>
      <c r="V3415" t="s">
        <v>137</v>
      </c>
      <c r="W3415" t="s">
        <v>92</v>
      </c>
      <c r="X3415" t="s">
        <v>302</v>
      </c>
      <c r="Y3415" t="s">
        <v>5051</v>
      </c>
      <c r="Z3415" t="s">
        <v>42</v>
      </c>
      <c r="AA3415" t="s">
        <v>38</v>
      </c>
      <c r="AB3415" t="s">
        <v>38</v>
      </c>
      <c r="AC3415" t="s">
        <v>1274</v>
      </c>
      <c r="AD3415" t="s">
        <v>48</v>
      </c>
      <c r="AG3415" t="str">
        <f>IF(AD3415="United States", IFERROR(INDEX(Sheet2!$C:$C, MATCH(AE3415&amp;AF3415, Sheet2!$E:$E, 0)) &amp; ", " &amp; INDEX(Sheet2!$D:$D, MATCH(AE3415&amp;AF3415, Sheet2!$E:$E, 0)), ""), "-")</f>
        <v/>
      </c>
    </row>
    <row r="3416" spans="1:33" x14ac:dyDescent="0.25">
      <c r="A3416" t="s">
        <v>803</v>
      </c>
      <c r="D3416" t="s">
        <v>5053</v>
      </c>
      <c r="E3416" t="s">
        <v>2953</v>
      </c>
      <c r="F3416">
        <v>1757</v>
      </c>
      <c r="G3416">
        <v>50</v>
      </c>
      <c r="H3416">
        <v>18</v>
      </c>
      <c r="J3416" t="s">
        <v>5023</v>
      </c>
      <c r="O3416" t="s">
        <v>57</v>
      </c>
      <c r="R3416" t="s">
        <v>89</v>
      </c>
      <c r="T3416" t="s">
        <v>89</v>
      </c>
      <c r="U3416" t="s">
        <v>301</v>
      </c>
      <c r="V3416" t="s">
        <v>137</v>
      </c>
      <c r="W3416" t="s">
        <v>92</v>
      </c>
      <c r="X3416" t="s">
        <v>302</v>
      </c>
      <c r="Y3416" t="s">
        <v>38</v>
      </c>
      <c r="AA3416" t="s">
        <v>38</v>
      </c>
      <c r="AB3416" t="s">
        <v>38</v>
      </c>
      <c r="AC3416" t="s">
        <v>38</v>
      </c>
      <c r="AD3416" t="s">
        <v>48</v>
      </c>
      <c r="AG3416" t="str">
        <f>IF(AD3416="United States", IFERROR(INDEX(Sheet2!$C:$C, MATCH(AE3416&amp;AF3416, Sheet2!$E:$E, 0)) &amp; ", " &amp; INDEX(Sheet2!$D:$D, MATCH(AE3416&amp;AF3416, Sheet2!$E:$E, 0)), ""), "-")</f>
        <v/>
      </c>
    </row>
    <row r="3417" spans="1:33" x14ac:dyDescent="0.25">
      <c r="A3417" t="s">
        <v>803</v>
      </c>
      <c r="B3417" t="s">
        <v>5054</v>
      </c>
      <c r="C3417" t="s">
        <v>5022</v>
      </c>
      <c r="D3417" t="s">
        <v>986</v>
      </c>
      <c r="E3417" t="s">
        <v>38</v>
      </c>
      <c r="F3417">
        <v>1748</v>
      </c>
      <c r="G3417">
        <v>37</v>
      </c>
      <c r="H3417" t="s">
        <v>78</v>
      </c>
      <c r="I3417" t="s">
        <v>39</v>
      </c>
      <c r="J3417" t="s">
        <v>5023</v>
      </c>
      <c r="K3417" t="s">
        <v>38</v>
      </c>
      <c r="L3417" t="s">
        <v>38</v>
      </c>
      <c r="M3417" t="s">
        <v>38</v>
      </c>
      <c r="N3417" t="s">
        <v>38</v>
      </c>
      <c r="O3417" t="s">
        <v>41</v>
      </c>
      <c r="P3417" t="s">
        <v>42</v>
      </c>
      <c r="Q3417" t="s">
        <v>43</v>
      </c>
      <c r="R3417" t="s">
        <v>89</v>
      </c>
      <c r="S3417" t="s">
        <v>38</v>
      </c>
      <c r="T3417" t="s">
        <v>89</v>
      </c>
      <c r="U3417" t="s">
        <v>301</v>
      </c>
      <c r="V3417" t="s">
        <v>137</v>
      </c>
      <c r="W3417" t="s">
        <v>92</v>
      </c>
      <c r="X3417" t="s">
        <v>302</v>
      </c>
      <c r="Y3417" t="s">
        <v>5024</v>
      </c>
      <c r="Z3417" t="s">
        <v>42</v>
      </c>
      <c r="AA3417" t="s">
        <v>38</v>
      </c>
      <c r="AB3417" t="s">
        <v>38</v>
      </c>
      <c r="AC3417" t="s">
        <v>593</v>
      </c>
      <c r="AD3417" t="s">
        <v>48</v>
      </c>
      <c r="AG3417" t="str">
        <f>IF(AD3417="United States", IFERROR(INDEX(Sheet2!$C:$C, MATCH(AE3417&amp;AF3417, Sheet2!$E:$E, 0)) &amp; ", " &amp; INDEX(Sheet2!$D:$D, MATCH(AE3417&amp;AF3417, Sheet2!$E:$E, 0)), ""), "-")</f>
        <v/>
      </c>
    </row>
    <row r="3418" spans="1:33" x14ac:dyDescent="0.25">
      <c r="A3418" t="s">
        <v>803</v>
      </c>
      <c r="B3418" t="s">
        <v>5055</v>
      </c>
      <c r="C3418" t="s">
        <v>5022</v>
      </c>
      <c r="D3418" t="s">
        <v>5056</v>
      </c>
      <c r="E3418" t="s">
        <v>38</v>
      </c>
      <c r="F3418">
        <v>1757</v>
      </c>
      <c r="G3418">
        <v>38</v>
      </c>
      <c r="H3418" t="s">
        <v>78</v>
      </c>
      <c r="I3418" t="s">
        <v>39</v>
      </c>
      <c r="J3418" t="s">
        <v>5023</v>
      </c>
      <c r="K3418" t="s">
        <v>38</v>
      </c>
      <c r="L3418" t="s">
        <v>38</v>
      </c>
      <c r="M3418" t="s">
        <v>38</v>
      </c>
      <c r="N3418" t="s">
        <v>38</v>
      </c>
      <c r="O3418" t="s">
        <v>57</v>
      </c>
      <c r="P3418" t="s">
        <v>42</v>
      </c>
      <c r="Q3418" t="s">
        <v>43</v>
      </c>
      <c r="R3418" t="s">
        <v>89</v>
      </c>
      <c r="S3418" t="s">
        <v>38</v>
      </c>
      <c r="T3418" t="s">
        <v>89</v>
      </c>
      <c r="U3418" t="s">
        <v>301</v>
      </c>
      <c r="V3418" t="s">
        <v>137</v>
      </c>
      <c r="W3418" t="s">
        <v>92</v>
      </c>
      <c r="X3418" t="s">
        <v>302</v>
      </c>
      <c r="Y3418" t="s">
        <v>38</v>
      </c>
      <c r="Z3418" t="s">
        <v>42</v>
      </c>
      <c r="AA3418" t="s">
        <v>38</v>
      </c>
      <c r="AB3418" t="s">
        <v>38</v>
      </c>
      <c r="AC3418" t="s">
        <v>38</v>
      </c>
      <c r="AD3418" t="s">
        <v>48</v>
      </c>
      <c r="AG3418" t="str">
        <f>IF(AD3418="United States", IFERROR(INDEX(Sheet2!$C:$C, MATCH(AE3418&amp;AF3418, Sheet2!$E:$E, 0)) &amp; ", " &amp; INDEX(Sheet2!$D:$D, MATCH(AE3418&amp;AF3418, Sheet2!$E:$E, 0)), ""), "-")</f>
        <v/>
      </c>
    </row>
    <row r="3419" spans="1:33" x14ac:dyDescent="0.25">
      <c r="A3419" t="s">
        <v>803</v>
      </c>
      <c r="B3419" t="s">
        <v>5057</v>
      </c>
      <c r="C3419" t="s">
        <v>5022</v>
      </c>
      <c r="D3419" t="s">
        <v>114</v>
      </c>
      <c r="E3419" t="s">
        <v>5058</v>
      </c>
      <c r="F3419">
        <v>1757</v>
      </c>
      <c r="G3419">
        <v>45</v>
      </c>
      <c r="H3419" t="s">
        <v>78</v>
      </c>
      <c r="I3419" t="s">
        <v>39</v>
      </c>
      <c r="J3419" t="s">
        <v>5023</v>
      </c>
      <c r="K3419" t="s">
        <v>38</v>
      </c>
      <c r="L3419" t="s">
        <v>38</v>
      </c>
      <c r="M3419" t="s">
        <v>38</v>
      </c>
      <c r="N3419" t="s">
        <v>38</v>
      </c>
      <c r="O3419" t="s">
        <v>74</v>
      </c>
      <c r="P3419" t="s">
        <v>42</v>
      </c>
      <c r="Q3419" t="s">
        <v>43</v>
      </c>
      <c r="R3419" t="s">
        <v>89</v>
      </c>
      <c r="S3419" t="s">
        <v>38</v>
      </c>
      <c r="T3419" t="s">
        <v>89</v>
      </c>
      <c r="U3419" t="s">
        <v>301</v>
      </c>
      <c r="V3419" t="s">
        <v>137</v>
      </c>
      <c r="W3419" t="s">
        <v>92</v>
      </c>
      <c r="X3419" t="s">
        <v>302</v>
      </c>
      <c r="Y3419" t="s">
        <v>5059</v>
      </c>
      <c r="Z3419" t="s">
        <v>42</v>
      </c>
      <c r="AA3419" t="s">
        <v>38</v>
      </c>
      <c r="AB3419" t="s">
        <v>38</v>
      </c>
      <c r="AC3419" t="s">
        <v>38</v>
      </c>
      <c r="AD3419" t="s">
        <v>48</v>
      </c>
      <c r="AG3419" t="str">
        <f>IF(AD3419="United States", IFERROR(INDEX(Sheet2!$C:$C, MATCH(AE3419&amp;AF3419, Sheet2!$E:$E, 0)) &amp; ", " &amp; INDEX(Sheet2!$D:$D, MATCH(AE3419&amp;AF3419, Sheet2!$E:$E, 0)), ""), "-")</f>
        <v/>
      </c>
    </row>
    <row r="3420" spans="1:33" x14ac:dyDescent="0.25">
      <c r="A3420" t="s">
        <v>803</v>
      </c>
      <c r="B3420" t="s">
        <v>5060</v>
      </c>
      <c r="C3420" t="s">
        <v>5022</v>
      </c>
      <c r="D3420" t="s">
        <v>150</v>
      </c>
      <c r="E3420" t="s">
        <v>73</v>
      </c>
      <c r="F3420">
        <v>1747</v>
      </c>
      <c r="G3420">
        <v>44</v>
      </c>
      <c r="H3420" t="s">
        <v>78</v>
      </c>
      <c r="I3420" t="s">
        <v>39</v>
      </c>
      <c r="J3420" t="s">
        <v>5023</v>
      </c>
      <c r="K3420" t="s">
        <v>38</v>
      </c>
      <c r="L3420" t="s">
        <v>38</v>
      </c>
      <c r="M3420" t="s">
        <v>38</v>
      </c>
      <c r="N3420" t="s">
        <v>38</v>
      </c>
      <c r="O3420" t="s">
        <v>41</v>
      </c>
      <c r="P3420" t="s">
        <v>42</v>
      </c>
      <c r="Q3420" t="s">
        <v>43</v>
      </c>
      <c r="R3420" t="s">
        <v>89</v>
      </c>
      <c r="S3420" t="s">
        <v>38</v>
      </c>
      <c r="T3420" t="s">
        <v>89</v>
      </c>
      <c r="U3420" t="s">
        <v>301</v>
      </c>
      <c r="V3420" t="s">
        <v>137</v>
      </c>
      <c r="W3420" t="s">
        <v>92</v>
      </c>
      <c r="X3420" t="s">
        <v>302</v>
      </c>
      <c r="Y3420" t="s">
        <v>5059</v>
      </c>
      <c r="Z3420" t="s">
        <v>42</v>
      </c>
      <c r="AA3420" t="s">
        <v>38</v>
      </c>
      <c r="AB3420" t="s">
        <v>38</v>
      </c>
      <c r="AC3420" t="s">
        <v>38</v>
      </c>
      <c r="AD3420" t="s">
        <v>48</v>
      </c>
      <c r="AG3420" t="str">
        <f>IF(AD3420="United States", IFERROR(INDEX(Sheet2!$C:$C, MATCH(AE3420&amp;AF3420, Sheet2!$E:$E, 0)) &amp; ", " &amp; INDEX(Sheet2!$D:$D, MATCH(AE3420&amp;AF3420, Sheet2!$E:$E, 0)), ""), "-")</f>
        <v/>
      </c>
    </row>
    <row r="3421" spans="1:33" x14ac:dyDescent="0.25">
      <c r="A3421" t="s">
        <v>803</v>
      </c>
      <c r="B3421" t="s">
        <v>5061</v>
      </c>
      <c r="C3421" t="s">
        <v>5022</v>
      </c>
      <c r="D3421" t="s">
        <v>72</v>
      </c>
      <c r="E3421" t="s">
        <v>164</v>
      </c>
      <c r="F3421">
        <v>1761</v>
      </c>
      <c r="G3421">
        <v>43</v>
      </c>
      <c r="H3421" t="s">
        <v>78</v>
      </c>
      <c r="I3421" t="s">
        <v>39</v>
      </c>
      <c r="J3421" t="s">
        <v>5023</v>
      </c>
      <c r="K3421" t="s">
        <v>38</v>
      </c>
      <c r="L3421" t="s">
        <v>38</v>
      </c>
      <c r="M3421" t="s">
        <v>38</v>
      </c>
      <c r="N3421" t="s">
        <v>38</v>
      </c>
      <c r="O3421" t="s">
        <v>57</v>
      </c>
      <c r="P3421" t="s">
        <v>42</v>
      </c>
      <c r="Q3421" t="s">
        <v>43</v>
      </c>
      <c r="R3421" t="s">
        <v>89</v>
      </c>
      <c r="S3421" t="s">
        <v>38</v>
      </c>
      <c r="T3421" t="s">
        <v>89</v>
      </c>
      <c r="U3421" t="s">
        <v>301</v>
      </c>
      <c r="V3421" t="s">
        <v>137</v>
      </c>
      <c r="W3421" t="s">
        <v>92</v>
      </c>
      <c r="X3421" t="s">
        <v>302</v>
      </c>
      <c r="Y3421" t="s">
        <v>5062</v>
      </c>
      <c r="Z3421" t="s">
        <v>42</v>
      </c>
      <c r="AA3421" t="s">
        <v>38</v>
      </c>
      <c r="AB3421" t="s">
        <v>38</v>
      </c>
      <c r="AC3421" t="s">
        <v>249</v>
      </c>
      <c r="AD3421" t="s">
        <v>48</v>
      </c>
      <c r="AG3421" t="str">
        <f>IF(AD3421="United States", IFERROR(INDEX(Sheet2!$C:$C, MATCH(AE3421&amp;AF3421, Sheet2!$E:$E, 0)) &amp; ", " &amp; INDEX(Sheet2!$D:$D, MATCH(AE3421&amp;AF3421, Sheet2!$E:$E, 0)), ""), "-")</f>
        <v/>
      </c>
    </row>
    <row r="3422" spans="1:33" x14ac:dyDescent="0.25">
      <c r="A3422" t="s">
        <v>803</v>
      </c>
      <c r="B3422" t="s">
        <v>5063</v>
      </c>
      <c r="C3422" t="s">
        <v>5022</v>
      </c>
      <c r="D3422" t="s">
        <v>1174</v>
      </c>
      <c r="E3422" t="s">
        <v>5064</v>
      </c>
      <c r="F3422">
        <v>1762</v>
      </c>
      <c r="G3422">
        <v>42</v>
      </c>
      <c r="H3422" t="s">
        <v>78</v>
      </c>
      <c r="I3422" t="s">
        <v>39</v>
      </c>
      <c r="J3422" t="s">
        <v>5023</v>
      </c>
      <c r="K3422" t="s">
        <v>38</v>
      </c>
      <c r="L3422" t="s">
        <v>38</v>
      </c>
      <c r="M3422" t="s">
        <v>38</v>
      </c>
      <c r="N3422" t="s">
        <v>38</v>
      </c>
      <c r="O3422" t="s">
        <v>41</v>
      </c>
      <c r="P3422" t="s">
        <v>42</v>
      </c>
      <c r="Q3422" t="s">
        <v>43</v>
      </c>
      <c r="R3422" t="s">
        <v>89</v>
      </c>
      <c r="S3422" t="s">
        <v>38</v>
      </c>
      <c r="T3422" t="s">
        <v>89</v>
      </c>
      <c r="U3422" t="s">
        <v>301</v>
      </c>
      <c r="V3422" t="s">
        <v>137</v>
      </c>
      <c r="W3422" t="s">
        <v>92</v>
      </c>
      <c r="X3422" t="s">
        <v>302</v>
      </c>
      <c r="Y3422" t="s">
        <v>5062</v>
      </c>
      <c r="Z3422" t="s">
        <v>42</v>
      </c>
      <c r="AA3422" t="s">
        <v>38</v>
      </c>
      <c r="AB3422" t="s">
        <v>38</v>
      </c>
      <c r="AC3422" t="s">
        <v>1782</v>
      </c>
      <c r="AD3422" t="s">
        <v>48</v>
      </c>
      <c r="AG3422" t="str">
        <f>IF(AD3422="United States", IFERROR(INDEX(Sheet2!$C:$C, MATCH(AE3422&amp;AF3422, Sheet2!$E:$E, 0)) &amp; ", " &amp; INDEX(Sheet2!$D:$D, MATCH(AE3422&amp;AF3422, Sheet2!$E:$E, 0)), ""), "-")</f>
        <v/>
      </c>
    </row>
    <row r="3423" spans="1:33" x14ac:dyDescent="0.25">
      <c r="A3423" t="s">
        <v>803</v>
      </c>
      <c r="B3423" t="s">
        <v>5065</v>
      </c>
      <c r="C3423" t="s">
        <v>5022</v>
      </c>
      <c r="D3423" t="s">
        <v>2461</v>
      </c>
      <c r="E3423" t="s">
        <v>5066</v>
      </c>
      <c r="F3423">
        <v>1774</v>
      </c>
      <c r="G3423">
        <v>41</v>
      </c>
      <c r="H3423" t="s">
        <v>78</v>
      </c>
      <c r="I3423" t="s">
        <v>39</v>
      </c>
      <c r="J3423" t="s">
        <v>5023</v>
      </c>
      <c r="K3423" t="s">
        <v>38</v>
      </c>
      <c r="L3423" t="s">
        <v>38</v>
      </c>
      <c r="M3423" t="s">
        <v>38</v>
      </c>
      <c r="N3423" t="s">
        <v>38</v>
      </c>
      <c r="O3423" t="s">
        <v>54</v>
      </c>
      <c r="P3423" t="s">
        <v>42</v>
      </c>
      <c r="Q3423" t="s">
        <v>43</v>
      </c>
      <c r="R3423" t="s">
        <v>89</v>
      </c>
      <c r="S3423" t="s">
        <v>38</v>
      </c>
      <c r="T3423" t="s">
        <v>89</v>
      </c>
      <c r="U3423" t="s">
        <v>301</v>
      </c>
      <c r="V3423" t="s">
        <v>137</v>
      </c>
      <c r="W3423" t="s">
        <v>92</v>
      </c>
      <c r="X3423" t="s">
        <v>302</v>
      </c>
      <c r="Y3423" t="s">
        <v>5037</v>
      </c>
      <c r="Z3423" t="s">
        <v>42</v>
      </c>
      <c r="AA3423" t="s">
        <v>38</v>
      </c>
      <c r="AB3423" t="s">
        <v>38</v>
      </c>
      <c r="AC3423" t="s">
        <v>1782</v>
      </c>
      <c r="AD3423" t="s">
        <v>48</v>
      </c>
      <c r="AG3423" t="str">
        <f>IF(AD3423="United States", IFERROR(INDEX(Sheet2!$C:$C, MATCH(AE3423&amp;AF3423, Sheet2!$E:$E, 0)) &amp; ", " &amp; INDEX(Sheet2!$D:$D, MATCH(AE3423&amp;AF3423, Sheet2!$E:$E, 0)), ""), "-")</f>
        <v/>
      </c>
    </row>
    <row r="3424" spans="1:33" x14ac:dyDescent="0.25">
      <c r="A3424" t="s">
        <v>803</v>
      </c>
      <c r="B3424" t="s">
        <v>5067</v>
      </c>
      <c r="C3424" t="s">
        <v>5022</v>
      </c>
      <c r="D3424" t="s">
        <v>62</v>
      </c>
      <c r="E3424" t="s">
        <v>5068</v>
      </c>
      <c r="F3424">
        <v>1744</v>
      </c>
      <c r="G3424">
        <v>33</v>
      </c>
      <c r="H3424" t="s">
        <v>506</v>
      </c>
      <c r="I3424" t="s">
        <v>39</v>
      </c>
      <c r="J3424" t="s">
        <v>5023</v>
      </c>
      <c r="K3424" t="s">
        <v>1560</v>
      </c>
      <c r="L3424" t="s">
        <v>275</v>
      </c>
      <c r="M3424" t="s">
        <v>38</v>
      </c>
      <c r="N3424" t="s">
        <v>38</v>
      </c>
      <c r="O3424" t="s">
        <v>41</v>
      </c>
      <c r="P3424" t="s">
        <v>42</v>
      </c>
      <c r="Q3424" t="s">
        <v>43</v>
      </c>
      <c r="R3424" t="s">
        <v>89</v>
      </c>
      <c r="S3424" t="s">
        <v>38</v>
      </c>
      <c r="T3424" t="s">
        <v>89</v>
      </c>
      <c r="U3424" t="s">
        <v>301</v>
      </c>
      <c r="V3424" t="s">
        <v>137</v>
      </c>
      <c r="W3424" t="s">
        <v>92</v>
      </c>
      <c r="X3424" t="s">
        <v>302</v>
      </c>
      <c r="Y3424" t="s">
        <v>5069</v>
      </c>
      <c r="Z3424" t="s">
        <v>42</v>
      </c>
      <c r="AA3424" t="s">
        <v>38</v>
      </c>
      <c r="AB3424" t="s">
        <v>38</v>
      </c>
      <c r="AC3424" t="s">
        <v>672</v>
      </c>
      <c r="AD3424" t="s">
        <v>672</v>
      </c>
      <c r="AG3424" t="str">
        <f>IF(AD3424="United States", IFERROR(INDEX(Sheet2!$C:$C, MATCH(AE3424&amp;AF3424, Sheet2!$E:$E, 0)) &amp; ", " &amp; INDEX(Sheet2!$D:$D, MATCH(AE3424&amp;AF3424, Sheet2!$E:$E, 0)), ""), "18.1850507, -77.3947693")</f>
        <v>18.1850507, -77.3947693</v>
      </c>
    </row>
    <row r="3425" spans="1:33" x14ac:dyDescent="0.25">
      <c r="A3425" t="s">
        <v>803</v>
      </c>
      <c r="D3425" t="s">
        <v>181</v>
      </c>
      <c r="E3425" t="s">
        <v>114</v>
      </c>
      <c r="F3425" t="s">
        <v>38</v>
      </c>
      <c r="G3425">
        <v>51</v>
      </c>
      <c r="H3425">
        <v>18</v>
      </c>
      <c r="J3425" t="s">
        <v>5023</v>
      </c>
      <c r="O3425" t="s">
        <v>54</v>
      </c>
      <c r="R3425" t="s">
        <v>89</v>
      </c>
      <c r="T3425" t="s">
        <v>89</v>
      </c>
      <c r="U3425" t="s">
        <v>301</v>
      </c>
      <c r="V3425" t="s">
        <v>137</v>
      </c>
      <c r="W3425" t="s">
        <v>92</v>
      </c>
      <c r="X3425" t="s">
        <v>302</v>
      </c>
      <c r="Y3425" t="s">
        <v>38</v>
      </c>
      <c r="AA3425" t="s">
        <v>38</v>
      </c>
      <c r="AB3425" t="s">
        <v>38</v>
      </c>
      <c r="AC3425" t="s">
        <v>38</v>
      </c>
      <c r="AD3425" t="s">
        <v>48</v>
      </c>
      <c r="AG3425" t="str">
        <f>IF(AD3425="United States", IFERROR(INDEX(Sheet2!$C:$C, MATCH(AE3425&amp;AF3425, Sheet2!$E:$E, 0)) &amp; ", " &amp; INDEX(Sheet2!$D:$D, MATCH(AE3425&amp;AF3425, Sheet2!$E:$E, 0)), ""), "-")</f>
        <v/>
      </c>
    </row>
    <row r="3426" spans="1:33" x14ac:dyDescent="0.25">
      <c r="A3426" t="s">
        <v>803</v>
      </c>
      <c r="B3426" t="s">
        <v>5070</v>
      </c>
      <c r="C3426" t="s">
        <v>5027</v>
      </c>
      <c r="D3426" t="s">
        <v>5071</v>
      </c>
      <c r="E3426" t="s">
        <v>38</v>
      </c>
      <c r="F3426">
        <v>1778</v>
      </c>
      <c r="G3426">
        <v>919</v>
      </c>
      <c r="H3426" t="s">
        <v>38</v>
      </c>
      <c r="I3426" t="s">
        <v>80</v>
      </c>
      <c r="J3426" t="s">
        <v>5023</v>
      </c>
      <c r="K3426" t="s">
        <v>38</v>
      </c>
      <c r="L3426" t="s">
        <v>38</v>
      </c>
      <c r="M3426" t="s">
        <v>38</v>
      </c>
      <c r="N3426" t="s">
        <v>38</v>
      </c>
      <c r="O3426" t="s">
        <v>74</v>
      </c>
      <c r="P3426" t="s">
        <v>42</v>
      </c>
      <c r="Q3426" t="s">
        <v>43</v>
      </c>
      <c r="R3426" t="s">
        <v>38</v>
      </c>
      <c r="S3426" t="s">
        <v>38</v>
      </c>
      <c r="T3426" t="s">
        <v>38</v>
      </c>
      <c r="U3426" t="s">
        <v>38</v>
      </c>
      <c r="V3426" t="s">
        <v>46</v>
      </c>
      <c r="W3426" t="s">
        <v>38</v>
      </c>
      <c r="X3426" t="s">
        <v>38</v>
      </c>
      <c r="Y3426" t="s">
        <v>5072</v>
      </c>
      <c r="Z3426" t="s">
        <v>42</v>
      </c>
      <c r="AA3426" t="s">
        <v>38</v>
      </c>
      <c r="AB3426" t="s">
        <v>38</v>
      </c>
      <c r="AC3426" t="s">
        <v>38</v>
      </c>
      <c r="AD3426" t="s">
        <v>48</v>
      </c>
      <c r="AG3426" t="str">
        <f>IF(AD3426="United States", IFERROR(INDEX(Sheet2!$C:$C, MATCH(AE3426&amp;AF3426, Sheet2!$E:$E, 0)) &amp; ", " &amp; INDEX(Sheet2!$D:$D, MATCH(AE3426&amp;AF3426, Sheet2!$E:$E, 0)), ""), "-")</f>
        <v/>
      </c>
    </row>
    <row r="3427" spans="1:33" x14ac:dyDescent="0.25">
      <c r="A3427" t="s">
        <v>803</v>
      </c>
      <c r="B3427" t="s">
        <v>5073</v>
      </c>
      <c r="C3427" t="s">
        <v>5074</v>
      </c>
      <c r="D3427" t="s">
        <v>550</v>
      </c>
      <c r="E3427" t="s">
        <v>5075</v>
      </c>
      <c r="F3427">
        <v>1762</v>
      </c>
      <c r="G3427">
        <v>2815</v>
      </c>
      <c r="I3427" t="s">
        <v>1649</v>
      </c>
      <c r="J3427" t="s">
        <v>5076</v>
      </c>
      <c r="O3427" t="s">
        <v>41</v>
      </c>
      <c r="P3427" t="s">
        <v>42</v>
      </c>
      <c r="Q3427" t="s">
        <v>43</v>
      </c>
      <c r="V3427" t="s">
        <v>38</v>
      </c>
      <c r="Y3427" t="s">
        <v>38</v>
      </c>
      <c r="Z3427" t="s">
        <v>42</v>
      </c>
      <c r="AA3427" t="s">
        <v>38</v>
      </c>
      <c r="AB3427" t="s">
        <v>38</v>
      </c>
      <c r="AC3427" t="s">
        <v>38</v>
      </c>
      <c r="AD3427" t="s">
        <v>48</v>
      </c>
      <c r="AG3427" t="str">
        <f>IF(AD3427="United States", IFERROR(INDEX(Sheet2!$C:$C, MATCH(AE3427&amp;AF3427, Sheet2!$E:$E, 0)) &amp; ", " &amp; INDEX(Sheet2!$D:$D, MATCH(AE3427&amp;AF3427, Sheet2!$E:$E, 0)), ""), "-")</f>
        <v/>
      </c>
    </row>
    <row r="3428" spans="1:33" x14ac:dyDescent="0.25">
      <c r="A3428" t="s">
        <v>803</v>
      </c>
      <c r="B3428" t="s">
        <v>5077</v>
      </c>
      <c r="C3428" t="s">
        <v>5027</v>
      </c>
      <c r="D3428" t="s">
        <v>210</v>
      </c>
      <c r="E3428" t="s">
        <v>38</v>
      </c>
      <c r="F3428">
        <v>1775</v>
      </c>
      <c r="G3428">
        <v>918</v>
      </c>
      <c r="H3428" t="s">
        <v>2270</v>
      </c>
      <c r="I3428" t="s">
        <v>80</v>
      </c>
      <c r="J3428" t="s">
        <v>5023</v>
      </c>
      <c r="K3428" t="s">
        <v>38</v>
      </c>
      <c r="L3428" t="s">
        <v>38</v>
      </c>
      <c r="M3428" t="s">
        <v>38</v>
      </c>
      <c r="N3428" t="s">
        <v>38</v>
      </c>
      <c r="O3428" t="s">
        <v>54</v>
      </c>
      <c r="P3428" t="s">
        <v>42</v>
      </c>
      <c r="Q3428" t="s">
        <v>43</v>
      </c>
      <c r="R3428" t="s">
        <v>89</v>
      </c>
      <c r="S3428" t="s">
        <v>38</v>
      </c>
      <c r="T3428" t="s">
        <v>89</v>
      </c>
      <c r="U3428" t="s">
        <v>301</v>
      </c>
      <c r="V3428" t="s">
        <v>46</v>
      </c>
      <c r="W3428" t="s">
        <v>92</v>
      </c>
      <c r="X3428" t="s">
        <v>302</v>
      </c>
      <c r="Y3428" t="s">
        <v>5072</v>
      </c>
      <c r="Z3428" t="s">
        <v>42</v>
      </c>
      <c r="AA3428" t="s">
        <v>38</v>
      </c>
      <c r="AB3428" t="s">
        <v>38</v>
      </c>
      <c r="AC3428" t="s">
        <v>2612</v>
      </c>
      <c r="AD3428" t="s">
        <v>48</v>
      </c>
      <c r="AG3428" t="str">
        <f>IF(AD3428="United States", IFERROR(INDEX(Sheet2!$C:$C, MATCH(AE3428&amp;AF3428, Sheet2!$E:$E, 0)) &amp; ", " &amp; INDEX(Sheet2!$D:$D, MATCH(AE3428&amp;AF3428, Sheet2!$E:$E, 0)), ""), "-")</f>
        <v/>
      </c>
    </row>
    <row r="3429" spans="1:33" x14ac:dyDescent="0.25">
      <c r="A3429" t="s">
        <v>803</v>
      </c>
      <c r="B3429" t="s">
        <v>5078</v>
      </c>
      <c r="C3429" t="s">
        <v>5027</v>
      </c>
      <c r="D3429" t="s">
        <v>245</v>
      </c>
      <c r="E3429" t="s">
        <v>5079</v>
      </c>
      <c r="F3429">
        <v>1760</v>
      </c>
      <c r="G3429">
        <v>917</v>
      </c>
      <c r="H3429" t="s">
        <v>2270</v>
      </c>
      <c r="I3429" t="s">
        <v>80</v>
      </c>
      <c r="J3429" t="s">
        <v>5023</v>
      </c>
      <c r="K3429" t="s">
        <v>38</v>
      </c>
      <c r="L3429" t="s">
        <v>38</v>
      </c>
      <c r="M3429" t="s">
        <v>38</v>
      </c>
      <c r="N3429" t="s">
        <v>38</v>
      </c>
      <c r="O3429" t="s">
        <v>57</v>
      </c>
      <c r="P3429" t="s">
        <v>42</v>
      </c>
      <c r="Q3429" t="s">
        <v>43</v>
      </c>
      <c r="R3429" t="s">
        <v>89</v>
      </c>
      <c r="S3429" t="s">
        <v>38</v>
      </c>
      <c r="T3429" t="s">
        <v>89</v>
      </c>
      <c r="U3429" t="s">
        <v>301</v>
      </c>
      <c r="V3429" t="s">
        <v>46</v>
      </c>
      <c r="W3429" t="s">
        <v>92</v>
      </c>
      <c r="X3429" t="s">
        <v>302</v>
      </c>
      <c r="Y3429" t="s">
        <v>5072</v>
      </c>
      <c r="Z3429" t="s">
        <v>42</v>
      </c>
      <c r="AA3429" t="s">
        <v>38</v>
      </c>
      <c r="AB3429" t="s">
        <v>38</v>
      </c>
      <c r="AC3429" t="s">
        <v>2612</v>
      </c>
      <c r="AD3429" t="s">
        <v>48</v>
      </c>
      <c r="AG3429" t="str">
        <f>IF(AD3429="United States", IFERROR(INDEX(Sheet2!$C:$C, MATCH(AE3429&amp;AF3429, Sheet2!$E:$E, 0)) &amp; ", " &amp; INDEX(Sheet2!$D:$D, MATCH(AE3429&amp;AF3429, Sheet2!$E:$E, 0)), ""), "-")</f>
        <v/>
      </c>
    </row>
    <row r="3430" spans="1:33" x14ac:dyDescent="0.25">
      <c r="A3430" t="s">
        <v>803</v>
      </c>
      <c r="B3430" t="s">
        <v>5080</v>
      </c>
      <c r="C3430" t="s">
        <v>5027</v>
      </c>
      <c r="D3430" t="s">
        <v>3720</v>
      </c>
      <c r="E3430" t="s">
        <v>5079</v>
      </c>
      <c r="F3430">
        <v>1747</v>
      </c>
      <c r="G3430">
        <v>916</v>
      </c>
      <c r="H3430" t="s">
        <v>2270</v>
      </c>
      <c r="I3430" t="s">
        <v>80</v>
      </c>
      <c r="J3430" t="s">
        <v>5023</v>
      </c>
      <c r="K3430" t="s">
        <v>38</v>
      </c>
      <c r="L3430" t="s">
        <v>38</v>
      </c>
      <c r="M3430" t="s">
        <v>38</v>
      </c>
      <c r="N3430" t="s">
        <v>38</v>
      </c>
      <c r="O3430" t="s">
        <v>41</v>
      </c>
      <c r="P3430" t="s">
        <v>42</v>
      </c>
      <c r="Q3430" t="s">
        <v>43</v>
      </c>
      <c r="R3430" t="s">
        <v>89</v>
      </c>
      <c r="S3430" t="s">
        <v>38</v>
      </c>
      <c r="T3430" t="s">
        <v>89</v>
      </c>
      <c r="U3430" t="s">
        <v>301</v>
      </c>
      <c r="V3430" t="s">
        <v>46</v>
      </c>
      <c r="W3430" t="s">
        <v>92</v>
      </c>
      <c r="X3430" t="s">
        <v>302</v>
      </c>
      <c r="Y3430" t="s">
        <v>5072</v>
      </c>
      <c r="Z3430" t="s">
        <v>42</v>
      </c>
      <c r="AA3430" t="s">
        <v>38</v>
      </c>
      <c r="AB3430" t="s">
        <v>38</v>
      </c>
      <c r="AC3430" t="s">
        <v>2612</v>
      </c>
      <c r="AD3430" t="s">
        <v>48</v>
      </c>
      <c r="AG3430" t="str">
        <f>IF(AD3430="United States", IFERROR(INDEX(Sheet2!$C:$C, MATCH(AE3430&amp;AF3430, Sheet2!$E:$E, 0)) &amp; ", " &amp; INDEX(Sheet2!$D:$D, MATCH(AE3430&amp;AF3430, Sheet2!$E:$E, 0)), ""), "-")</f>
        <v/>
      </c>
    </row>
    <row r="3431" spans="1:33" x14ac:dyDescent="0.25">
      <c r="A3431" t="s">
        <v>803</v>
      </c>
      <c r="B3431" t="s">
        <v>5081</v>
      </c>
      <c r="C3431" t="s">
        <v>5027</v>
      </c>
      <c r="D3431" t="s">
        <v>834</v>
      </c>
      <c r="E3431" t="s">
        <v>38</v>
      </c>
      <c r="F3431">
        <v>1769</v>
      </c>
      <c r="G3431">
        <v>915</v>
      </c>
      <c r="H3431" t="s">
        <v>2270</v>
      </c>
      <c r="I3431" t="s">
        <v>80</v>
      </c>
      <c r="J3431" t="s">
        <v>5023</v>
      </c>
      <c r="K3431" t="s">
        <v>38</v>
      </c>
      <c r="L3431" t="s">
        <v>38</v>
      </c>
      <c r="M3431" t="s">
        <v>38</v>
      </c>
      <c r="N3431" t="s">
        <v>38</v>
      </c>
      <c r="O3431" t="s">
        <v>74</v>
      </c>
      <c r="P3431" t="s">
        <v>125</v>
      </c>
      <c r="Q3431" t="s">
        <v>124</v>
      </c>
      <c r="R3431" t="s">
        <v>89</v>
      </c>
      <c r="S3431" t="s">
        <v>38</v>
      </c>
      <c r="T3431" t="s">
        <v>89</v>
      </c>
      <c r="U3431" t="s">
        <v>301</v>
      </c>
      <c r="V3431" t="s">
        <v>46</v>
      </c>
      <c r="W3431" t="s">
        <v>92</v>
      </c>
      <c r="X3431" t="s">
        <v>302</v>
      </c>
      <c r="Y3431" t="s">
        <v>5028</v>
      </c>
      <c r="Z3431" t="s">
        <v>125</v>
      </c>
      <c r="AA3431" t="s">
        <v>38</v>
      </c>
      <c r="AB3431" t="s">
        <v>38</v>
      </c>
      <c r="AC3431" t="s">
        <v>38</v>
      </c>
      <c r="AD3431" t="s">
        <v>48</v>
      </c>
      <c r="AG3431" t="str">
        <f>IF(AD3431="United States", IFERROR(INDEX(Sheet2!$C:$C, MATCH(AE3431&amp;AF3431, Sheet2!$E:$E, 0)) &amp; ", " &amp; INDEX(Sheet2!$D:$D, MATCH(AE3431&amp;AF3431, Sheet2!$E:$E, 0)), ""), "-")</f>
        <v/>
      </c>
    </row>
    <row r="3432" spans="1:33" x14ac:dyDescent="0.25">
      <c r="A3432" t="s">
        <v>803</v>
      </c>
      <c r="B3432" t="s">
        <v>5082</v>
      </c>
      <c r="C3432" t="s">
        <v>5027</v>
      </c>
      <c r="D3432" t="s">
        <v>195</v>
      </c>
      <c r="E3432" t="s">
        <v>5083</v>
      </c>
      <c r="F3432">
        <v>1765</v>
      </c>
      <c r="G3432">
        <v>921</v>
      </c>
      <c r="H3432" t="s">
        <v>2270</v>
      </c>
      <c r="I3432" t="s">
        <v>80</v>
      </c>
      <c r="J3432" t="s">
        <v>5023</v>
      </c>
      <c r="K3432" t="s">
        <v>38</v>
      </c>
      <c r="L3432" t="s">
        <v>38</v>
      </c>
      <c r="M3432" t="s">
        <v>38</v>
      </c>
      <c r="N3432" t="s">
        <v>38</v>
      </c>
      <c r="O3432" t="s">
        <v>41</v>
      </c>
      <c r="P3432" t="s">
        <v>42</v>
      </c>
      <c r="Q3432" t="s">
        <v>43</v>
      </c>
      <c r="R3432" t="s">
        <v>89</v>
      </c>
      <c r="S3432" t="s">
        <v>153</v>
      </c>
      <c r="T3432" t="s">
        <v>89</v>
      </c>
      <c r="U3432" t="s">
        <v>301</v>
      </c>
      <c r="V3432" t="s">
        <v>46</v>
      </c>
      <c r="W3432" t="s">
        <v>92</v>
      </c>
      <c r="X3432" t="s">
        <v>302</v>
      </c>
      <c r="Y3432" t="s">
        <v>5035</v>
      </c>
      <c r="Z3432" t="s">
        <v>42</v>
      </c>
      <c r="AA3432" t="s">
        <v>155</v>
      </c>
      <c r="AB3432" t="s">
        <v>38</v>
      </c>
      <c r="AC3432" t="s">
        <v>153</v>
      </c>
      <c r="AD3432" t="s">
        <v>48</v>
      </c>
      <c r="AG3432" t="str">
        <f>IF(AD3432="United States", IFERROR(INDEX(Sheet2!$C:$C, MATCH(AE3432&amp;AF3432, Sheet2!$E:$E, 0)) &amp; ", " &amp; INDEX(Sheet2!$D:$D, MATCH(AE3432&amp;AF3432, Sheet2!$E:$E, 0)), ""), "-")</f>
        <v/>
      </c>
    </row>
    <row r="3433" spans="1:33" x14ac:dyDescent="0.25">
      <c r="A3433" t="s">
        <v>803</v>
      </c>
      <c r="B3433" t="s">
        <v>5084</v>
      </c>
      <c r="C3433" t="s">
        <v>5027</v>
      </c>
      <c r="D3433" t="s">
        <v>114</v>
      </c>
      <c r="E3433" t="s">
        <v>5085</v>
      </c>
      <c r="F3433">
        <v>1740</v>
      </c>
      <c r="G3433">
        <v>922</v>
      </c>
      <c r="H3433" t="s">
        <v>78</v>
      </c>
      <c r="I3433" t="s">
        <v>80</v>
      </c>
      <c r="J3433" t="s">
        <v>5023</v>
      </c>
      <c r="K3433" t="s">
        <v>38</v>
      </c>
      <c r="L3433" t="s">
        <v>38</v>
      </c>
      <c r="M3433" t="s">
        <v>38</v>
      </c>
      <c r="N3433" t="s">
        <v>38</v>
      </c>
      <c r="O3433" t="s">
        <v>57</v>
      </c>
      <c r="P3433" t="s">
        <v>42</v>
      </c>
      <c r="Q3433" t="s">
        <v>43</v>
      </c>
      <c r="R3433" t="s">
        <v>89</v>
      </c>
      <c r="S3433" t="s">
        <v>38</v>
      </c>
      <c r="T3433" t="s">
        <v>89</v>
      </c>
      <c r="U3433" t="s">
        <v>301</v>
      </c>
      <c r="V3433" t="s">
        <v>46</v>
      </c>
      <c r="W3433" t="s">
        <v>92</v>
      </c>
      <c r="X3433" t="s">
        <v>302</v>
      </c>
      <c r="Y3433" t="s">
        <v>5086</v>
      </c>
      <c r="Z3433" t="s">
        <v>42</v>
      </c>
      <c r="AA3433" t="s">
        <v>38</v>
      </c>
      <c r="AB3433" t="s">
        <v>38</v>
      </c>
      <c r="AC3433" t="s">
        <v>38</v>
      </c>
      <c r="AD3433" t="s">
        <v>48</v>
      </c>
      <c r="AG3433" t="str">
        <f>IF(AD3433="United States", IFERROR(INDEX(Sheet2!$C:$C, MATCH(AE3433&amp;AF3433, Sheet2!$E:$E, 0)) &amp; ", " &amp; INDEX(Sheet2!$D:$D, MATCH(AE3433&amp;AF3433, Sheet2!$E:$E, 0)), ""), "-")</f>
        <v/>
      </c>
    </row>
    <row r="3434" spans="1:33" x14ac:dyDescent="0.25">
      <c r="A3434" t="s">
        <v>803</v>
      </c>
      <c r="B3434" t="s">
        <v>5087</v>
      </c>
      <c r="C3434" t="s">
        <v>5027</v>
      </c>
      <c r="D3434" t="s">
        <v>1103</v>
      </c>
      <c r="E3434" t="s">
        <v>38</v>
      </c>
      <c r="F3434">
        <v>1771</v>
      </c>
      <c r="G3434">
        <v>923</v>
      </c>
      <c r="H3434" t="s">
        <v>2270</v>
      </c>
      <c r="I3434" t="s">
        <v>80</v>
      </c>
      <c r="J3434" t="s">
        <v>5023</v>
      </c>
      <c r="K3434" t="s">
        <v>38</v>
      </c>
      <c r="L3434" t="s">
        <v>38</v>
      </c>
      <c r="M3434" t="s">
        <v>38</v>
      </c>
      <c r="N3434" t="s">
        <v>38</v>
      </c>
      <c r="O3434" t="s">
        <v>74</v>
      </c>
      <c r="P3434" t="s">
        <v>42</v>
      </c>
      <c r="Q3434" t="s">
        <v>43</v>
      </c>
      <c r="R3434" t="s">
        <v>89</v>
      </c>
      <c r="S3434" t="s">
        <v>38</v>
      </c>
      <c r="T3434" t="s">
        <v>89</v>
      </c>
      <c r="U3434" t="s">
        <v>301</v>
      </c>
      <c r="V3434" t="s">
        <v>46</v>
      </c>
      <c r="W3434" t="s">
        <v>92</v>
      </c>
      <c r="X3434" t="s">
        <v>302</v>
      </c>
      <c r="Y3434" t="s">
        <v>5088</v>
      </c>
      <c r="Z3434" t="s">
        <v>42</v>
      </c>
      <c r="AA3434" t="s">
        <v>38</v>
      </c>
      <c r="AB3434" t="s">
        <v>38</v>
      </c>
      <c r="AC3434" t="s">
        <v>1103</v>
      </c>
      <c r="AD3434" t="s">
        <v>48</v>
      </c>
      <c r="AG3434" t="str">
        <f>IF(AD3434="United States", IFERROR(INDEX(Sheet2!$C:$C, MATCH(AE3434&amp;AF3434, Sheet2!$E:$E, 0)) &amp; ", " &amp; INDEX(Sheet2!$D:$D, MATCH(AE3434&amp;AF3434, Sheet2!$E:$E, 0)), ""), "-")</f>
        <v/>
      </c>
    </row>
    <row r="3435" spans="1:33" x14ac:dyDescent="0.25">
      <c r="A3435" t="s">
        <v>803</v>
      </c>
      <c r="B3435" t="s">
        <v>5089</v>
      </c>
      <c r="C3435" t="s">
        <v>5027</v>
      </c>
      <c r="D3435" t="s">
        <v>3438</v>
      </c>
      <c r="E3435" t="s">
        <v>728</v>
      </c>
      <c r="F3435">
        <v>1747</v>
      </c>
      <c r="G3435">
        <v>924</v>
      </c>
      <c r="H3435" t="s">
        <v>2270</v>
      </c>
      <c r="I3435" t="s">
        <v>80</v>
      </c>
      <c r="J3435" t="s">
        <v>5023</v>
      </c>
      <c r="K3435" t="s">
        <v>38</v>
      </c>
      <c r="L3435" t="s">
        <v>38</v>
      </c>
      <c r="M3435" t="s">
        <v>38</v>
      </c>
      <c r="N3435" t="s">
        <v>38</v>
      </c>
      <c r="O3435" t="s">
        <v>57</v>
      </c>
      <c r="P3435" t="s">
        <v>42</v>
      </c>
      <c r="Q3435" t="s">
        <v>43</v>
      </c>
      <c r="R3435" t="s">
        <v>89</v>
      </c>
      <c r="S3435" t="s">
        <v>153</v>
      </c>
      <c r="T3435" t="s">
        <v>89</v>
      </c>
      <c r="U3435" t="s">
        <v>301</v>
      </c>
      <c r="V3435" t="s">
        <v>46</v>
      </c>
      <c r="W3435" t="s">
        <v>92</v>
      </c>
      <c r="X3435" t="s">
        <v>302</v>
      </c>
      <c r="Y3435" t="s">
        <v>5035</v>
      </c>
      <c r="Z3435" t="s">
        <v>42</v>
      </c>
      <c r="AA3435" t="s">
        <v>38</v>
      </c>
      <c r="AB3435" t="s">
        <v>38</v>
      </c>
      <c r="AC3435" t="s">
        <v>155</v>
      </c>
      <c r="AD3435" t="s">
        <v>48</v>
      </c>
      <c r="AG3435" t="str">
        <f>IF(AD3435="United States", IFERROR(INDEX(Sheet2!$C:$C, MATCH(AE3435&amp;AF3435, Sheet2!$E:$E, 0)) &amp; ", " &amp; INDEX(Sheet2!$D:$D, MATCH(AE3435&amp;AF3435, Sheet2!$E:$E, 0)), ""), "-")</f>
        <v/>
      </c>
    </row>
    <row r="3436" spans="1:33" x14ac:dyDescent="0.25">
      <c r="A3436" t="s">
        <v>803</v>
      </c>
      <c r="B3436" t="s">
        <v>5033</v>
      </c>
      <c r="C3436" t="s">
        <v>5027</v>
      </c>
      <c r="D3436" t="s">
        <v>36</v>
      </c>
      <c r="E3436" t="s">
        <v>5034</v>
      </c>
      <c r="F3436">
        <v>1758</v>
      </c>
      <c r="G3436">
        <v>1186</v>
      </c>
      <c r="H3436" t="s">
        <v>78</v>
      </c>
      <c r="I3436" t="s">
        <v>80</v>
      </c>
      <c r="J3436" t="s">
        <v>5023</v>
      </c>
      <c r="K3436" t="s">
        <v>38</v>
      </c>
      <c r="L3436" t="s">
        <v>38</v>
      </c>
      <c r="M3436" t="s">
        <v>38</v>
      </c>
      <c r="N3436" t="s">
        <v>38</v>
      </c>
      <c r="O3436" t="s">
        <v>41</v>
      </c>
      <c r="P3436" t="s">
        <v>42</v>
      </c>
      <c r="Q3436" t="s">
        <v>43</v>
      </c>
      <c r="R3436" t="s">
        <v>89</v>
      </c>
      <c r="S3436" t="s">
        <v>1063</v>
      </c>
      <c r="T3436" t="s">
        <v>89</v>
      </c>
      <c r="U3436" t="s">
        <v>301</v>
      </c>
      <c r="V3436" t="s">
        <v>46</v>
      </c>
      <c r="W3436" t="s">
        <v>92</v>
      </c>
      <c r="X3436" t="s">
        <v>302</v>
      </c>
      <c r="Y3436" t="s">
        <v>5035</v>
      </c>
      <c r="Z3436" t="s">
        <v>42</v>
      </c>
      <c r="AA3436" t="s">
        <v>38</v>
      </c>
      <c r="AB3436" t="s">
        <v>38</v>
      </c>
      <c r="AC3436" t="s">
        <v>1063</v>
      </c>
      <c r="AD3436" t="s">
        <v>48</v>
      </c>
      <c r="AG3436" t="str">
        <f>IF(AD3436="United States", IFERROR(INDEX(Sheet2!$C:$C, MATCH(AE3436&amp;AF3436, Sheet2!$E:$E, 0)) &amp; ", " &amp; INDEX(Sheet2!$D:$D, MATCH(AE3436&amp;AF3436, Sheet2!$E:$E, 0)), ""), "-")</f>
        <v/>
      </c>
    </row>
    <row r="3437" spans="1:33" x14ac:dyDescent="0.25">
      <c r="A3437" t="s">
        <v>803</v>
      </c>
      <c r="B3437" t="s">
        <v>5031</v>
      </c>
      <c r="C3437" t="s">
        <v>5027</v>
      </c>
      <c r="D3437" t="s">
        <v>5032</v>
      </c>
      <c r="E3437" t="s">
        <v>1334</v>
      </c>
      <c r="F3437">
        <v>1763</v>
      </c>
      <c r="G3437">
        <v>1187</v>
      </c>
      <c r="H3437" t="s">
        <v>2270</v>
      </c>
      <c r="I3437" t="s">
        <v>80</v>
      </c>
      <c r="J3437" t="s">
        <v>5023</v>
      </c>
      <c r="K3437" t="s">
        <v>38</v>
      </c>
      <c r="L3437" t="s">
        <v>38</v>
      </c>
      <c r="M3437" t="s">
        <v>38</v>
      </c>
      <c r="N3437" t="s">
        <v>38</v>
      </c>
      <c r="O3437" t="s">
        <v>41</v>
      </c>
      <c r="P3437" t="s">
        <v>42</v>
      </c>
      <c r="Q3437" t="s">
        <v>43</v>
      </c>
      <c r="R3437" t="s">
        <v>89</v>
      </c>
      <c r="S3437" t="s">
        <v>45</v>
      </c>
      <c r="T3437" t="s">
        <v>89</v>
      </c>
      <c r="U3437" t="s">
        <v>301</v>
      </c>
      <c r="V3437" t="s">
        <v>46</v>
      </c>
      <c r="W3437" t="s">
        <v>92</v>
      </c>
      <c r="X3437" t="s">
        <v>302</v>
      </c>
      <c r="Y3437" t="s">
        <v>5028</v>
      </c>
      <c r="Z3437" t="s">
        <v>42</v>
      </c>
      <c r="AA3437" t="s">
        <v>1120</v>
      </c>
      <c r="AB3437" t="s">
        <v>38</v>
      </c>
      <c r="AC3437" t="s">
        <v>45</v>
      </c>
      <c r="AD3437" t="s">
        <v>48</v>
      </c>
      <c r="AG3437" t="str">
        <f>IF(AD3437="United States", IFERROR(INDEX(Sheet2!$C:$C, MATCH(AE3437&amp;AF3437, Sheet2!$E:$E, 0)) &amp; ", " &amp; INDEX(Sheet2!$D:$D, MATCH(AE3437&amp;AF3437, Sheet2!$E:$E, 0)), ""), "-")</f>
        <v/>
      </c>
    </row>
    <row r="3438" spans="1:33" x14ac:dyDescent="0.25">
      <c r="A3438" t="s">
        <v>803</v>
      </c>
      <c r="B3438" t="s">
        <v>5030</v>
      </c>
      <c r="C3438" t="s">
        <v>5027</v>
      </c>
      <c r="D3438" t="s">
        <v>226</v>
      </c>
      <c r="E3438" t="s">
        <v>2293</v>
      </c>
      <c r="F3438">
        <v>1739</v>
      </c>
      <c r="G3438">
        <v>1188</v>
      </c>
      <c r="H3438" t="s">
        <v>2270</v>
      </c>
      <c r="I3438" t="s">
        <v>80</v>
      </c>
      <c r="J3438" t="s">
        <v>5023</v>
      </c>
      <c r="K3438" t="s">
        <v>38</v>
      </c>
      <c r="L3438" t="s">
        <v>38</v>
      </c>
      <c r="M3438" t="s">
        <v>38</v>
      </c>
      <c r="N3438" t="s">
        <v>38</v>
      </c>
      <c r="O3438" t="s">
        <v>41</v>
      </c>
      <c r="P3438" t="s">
        <v>42</v>
      </c>
      <c r="Q3438" t="s">
        <v>43</v>
      </c>
      <c r="R3438" t="s">
        <v>89</v>
      </c>
      <c r="S3438" t="s">
        <v>45</v>
      </c>
      <c r="T3438" t="s">
        <v>89</v>
      </c>
      <c r="U3438" t="s">
        <v>301</v>
      </c>
      <c r="V3438" t="s">
        <v>46</v>
      </c>
      <c r="W3438" t="s">
        <v>92</v>
      </c>
      <c r="X3438" t="s">
        <v>302</v>
      </c>
      <c r="Y3438" t="s">
        <v>5028</v>
      </c>
      <c r="Z3438" t="s">
        <v>42</v>
      </c>
      <c r="AA3438" t="s">
        <v>1120</v>
      </c>
      <c r="AB3438" t="s">
        <v>38</v>
      </c>
      <c r="AC3438" t="s">
        <v>45</v>
      </c>
      <c r="AD3438" t="s">
        <v>48</v>
      </c>
      <c r="AG3438" t="str">
        <f>IF(AD3438="United States", IFERROR(INDEX(Sheet2!$C:$C, MATCH(AE3438&amp;AF3438, Sheet2!$E:$E, 0)) &amp; ", " &amp; INDEX(Sheet2!$D:$D, MATCH(AE3438&amp;AF3438, Sheet2!$E:$E, 0)), ""), "-")</f>
        <v/>
      </c>
    </row>
    <row r="3439" spans="1:33" x14ac:dyDescent="0.25">
      <c r="A3439" t="s">
        <v>803</v>
      </c>
      <c r="B3439" t="s">
        <v>5026</v>
      </c>
      <c r="C3439" t="s">
        <v>5027</v>
      </c>
      <c r="D3439" t="s">
        <v>200</v>
      </c>
      <c r="E3439" t="s">
        <v>2901</v>
      </c>
      <c r="F3439">
        <v>1743</v>
      </c>
      <c r="G3439">
        <v>1189</v>
      </c>
      <c r="H3439" t="s">
        <v>78</v>
      </c>
      <c r="I3439" t="s">
        <v>80</v>
      </c>
      <c r="J3439" t="s">
        <v>5023</v>
      </c>
      <c r="K3439" t="s">
        <v>38</v>
      </c>
      <c r="L3439" t="s">
        <v>38</v>
      </c>
      <c r="M3439" t="s">
        <v>38</v>
      </c>
      <c r="N3439" t="s">
        <v>38</v>
      </c>
      <c r="O3439" t="s">
        <v>41</v>
      </c>
      <c r="P3439" t="s">
        <v>42</v>
      </c>
      <c r="Q3439" t="s">
        <v>43</v>
      </c>
      <c r="R3439" t="s">
        <v>89</v>
      </c>
      <c r="S3439" t="s">
        <v>38</v>
      </c>
      <c r="T3439" t="s">
        <v>89</v>
      </c>
      <c r="U3439" t="s">
        <v>301</v>
      </c>
      <c r="V3439" t="s">
        <v>46</v>
      </c>
      <c r="W3439" t="s">
        <v>92</v>
      </c>
      <c r="X3439" t="s">
        <v>302</v>
      </c>
      <c r="Y3439" t="s">
        <v>5028</v>
      </c>
      <c r="Z3439" t="s">
        <v>42</v>
      </c>
      <c r="AA3439" t="s">
        <v>5029</v>
      </c>
      <c r="AB3439" t="s">
        <v>38</v>
      </c>
      <c r="AC3439" t="s">
        <v>233</v>
      </c>
      <c r="AD3439" t="s">
        <v>48</v>
      </c>
      <c r="AG3439" t="str">
        <f>IF(AD3439="United States", IFERROR(INDEX(Sheet2!$C:$C, MATCH(AE3439&amp;AF3439, Sheet2!$E:$E, 0)) &amp; ", " &amp; INDEX(Sheet2!$D:$D, MATCH(AE3439&amp;AF3439, Sheet2!$E:$E, 0)), ""), "-")</f>
        <v/>
      </c>
    </row>
    <row r="3440" spans="1:33" x14ac:dyDescent="0.25">
      <c r="A3440" t="s">
        <v>803</v>
      </c>
      <c r="D3440" t="s">
        <v>5090</v>
      </c>
      <c r="E3440" t="s">
        <v>2836</v>
      </c>
      <c r="F3440">
        <v>1753</v>
      </c>
      <c r="G3440">
        <v>2726</v>
      </c>
      <c r="H3440">
        <v>83</v>
      </c>
      <c r="J3440" t="s">
        <v>5076</v>
      </c>
      <c r="O3440" t="s">
        <v>57</v>
      </c>
      <c r="R3440" t="s">
        <v>89</v>
      </c>
      <c r="T3440" t="s">
        <v>89</v>
      </c>
      <c r="U3440" t="s">
        <v>301</v>
      </c>
      <c r="V3440" t="s">
        <v>1619</v>
      </c>
      <c r="W3440" t="s">
        <v>92</v>
      </c>
      <c r="X3440" t="s">
        <v>302</v>
      </c>
      <c r="Y3440" t="s">
        <v>38</v>
      </c>
      <c r="AA3440" t="s">
        <v>38</v>
      </c>
      <c r="AB3440" t="s">
        <v>38</v>
      </c>
      <c r="AC3440" t="s">
        <v>38</v>
      </c>
      <c r="AD3440" t="s">
        <v>48</v>
      </c>
      <c r="AG3440" t="str">
        <f>IF(AD3440="United States", IFERROR(INDEX(Sheet2!$C:$C, MATCH(AE3440&amp;AF3440, Sheet2!$E:$E, 0)) &amp; ", " &amp; INDEX(Sheet2!$D:$D, MATCH(AE3440&amp;AF3440, Sheet2!$E:$E, 0)), ""), "-")</f>
        <v/>
      </c>
    </row>
    <row r="3441" spans="1:33" x14ac:dyDescent="0.25">
      <c r="A3441" t="s">
        <v>803</v>
      </c>
      <c r="B3441" t="s">
        <v>5091</v>
      </c>
      <c r="C3441" t="s">
        <v>5027</v>
      </c>
      <c r="D3441" t="s">
        <v>834</v>
      </c>
      <c r="E3441" t="s">
        <v>38</v>
      </c>
      <c r="F3441">
        <v>1761</v>
      </c>
      <c r="G3441">
        <v>1190</v>
      </c>
      <c r="H3441" t="s">
        <v>2270</v>
      </c>
      <c r="I3441" t="s">
        <v>80</v>
      </c>
      <c r="J3441" t="s">
        <v>5023</v>
      </c>
      <c r="K3441" t="s">
        <v>38</v>
      </c>
      <c r="L3441" t="s">
        <v>38</v>
      </c>
      <c r="M3441" t="s">
        <v>38</v>
      </c>
      <c r="N3441" t="s">
        <v>38</v>
      </c>
      <c r="O3441" t="s">
        <v>57</v>
      </c>
      <c r="P3441" t="s">
        <v>42</v>
      </c>
      <c r="Q3441" t="s">
        <v>43</v>
      </c>
      <c r="R3441" t="s">
        <v>89</v>
      </c>
      <c r="S3441" t="s">
        <v>45</v>
      </c>
      <c r="T3441" t="s">
        <v>89</v>
      </c>
      <c r="U3441" t="s">
        <v>301</v>
      </c>
      <c r="V3441" t="s">
        <v>46</v>
      </c>
      <c r="W3441" t="s">
        <v>92</v>
      </c>
      <c r="X3441" t="s">
        <v>302</v>
      </c>
      <c r="Y3441" t="s">
        <v>5028</v>
      </c>
      <c r="Z3441" t="s">
        <v>42</v>
      </c>
      <c r="AA3441" t="s">
        <v>38</v>
      </c>
      <c r="AB3441" t="s">
        <v>38</v>
      </c>
      <c r="AC3441" t="s">
        <v>45</v>
      </c>
      <c r="AD3441" t="s">
        <v>48</v>
      </c>
      <c r="AG3441" t="str">
        <f>IF(AD3441="United States", IFERROR(INDEX(Sheet2!$C:$C, MATCH(AE3441&amp;AF3441, Sheet2!$E:$E, 0)) &amp; ", " &amp; INDEX(Sheet2!$D:$D, MATCH(AE3441&amp;AF3441, Sheet2!$E:$E, 0)), ""), "-")</f>
        <v/>
      </c>
    </row>
    <row r="3442" spans="1:33" x14ac:dyDescent="0.25">
      <c r="A3442" t="s">
        <v>803</v>
      </c>
      <c r="B3442" t="s">
        <v>5081</v>
      </c>
      <c r="C3442" t="s">
        <v>5027</v>
      </c>
      <c r="D3442" t="s">
        <v>834</v>
      </c>
      <c r="E3442" t="s">
        <v>38</v>
      </c>
      <c r="F3442">
        <v>1769</v>
      </c>
      <c r="G3442">
        <v>1191</v>
      </c>
      <c r="H3442" t="s">
        <v>2270</v>
      </c>
      <c r="I3442" t="s">
        <v>80</v>
      </c>
      <c r="J3442" t="s">
        <v>5023</v>
      </c>
      <c r="K3442" t="s">
        <v>38</v>
      </c>
      <c r="L3442" t="s">
        <v>38</v>
      </c>
      <c r="M3442" t="s">
        <v>38</v>
      </c>
      <c r="N3442" t="s">
        <v>38</v>
      </c>
      <c r="O3442" t="s">
        <v>74</v>
      </c>
      <c r="P3442" t="s">
        <v>125</v>
      </c>
      <c r="Q3442" t="s">
        <v>124</v>
      </c>
      <c r="R3442" t="s">
        <v>89</v>
      </c>
      <c r="S3442" t="s">
        <v>38</v>
      </c>
      <c r="T3442" t="s">
        <v>89</v>
      </c>
      <c r="U3442" t="s">
        <v>301</v>
      </c>
      <c r="V3442" t="s">
        <v>46</v>
      </c>
      <c r="W3442" t="s">
        <v>92</v>
      </c>
      <c r="X3442" t="s">
        <v>302</v>
      </c>
      <c r="Y3442" t="s">
        <v>5028</v>
      </c>
      <c r="Z3442" t="s">
        <v>125</v>
      </c>
      <c r="AA3442" t="s">
        <v>38</v>
      </c>
      <c r="AB3442" t="s">
        <v>38</v>
      </c>
      <c r="AC3442" t="s">
        <v>38</v>
      </c>
      <c r="AD3442" t="s">
        <v>48</v>
      </c>
      <c r="AG3442" t="str">
        <f>IF(AD3442="United States", IFERROR(INDEX(Sheet2!$C:$C, MATCH(AE3442&amp;AF3442, Sheet2!$E:$E, 0)) &amp; ", " &amp; INDEX(Sheet2!$D:$D, MATCH(AE3442&amp;AF3442, Sheet2!$E:$E, 0)), ""), "-")</f>
        <v/>
      </c>
    </row>
    <row r="3443" spans="1:33" x14ac:dyDescent="0.25">
      <c r="A3443" t="s">
        <v>803</v>
      </c>
      <c r="B3443" t="s">
        <v>5080</v>
      </c>
      <c r="C3443" t="s">
        <v>5027</v>
      </c>
      <c r="D3443" t="s">
        <v>3720</v>
      </c>
      <c r="E3443" t="s">
        <v>5079</v>
      </c>
      <c r="F3443">
        <v>1747</v>
      </c>
      <c r="G3443">
        <v>1192</v>
      </c>
      <c r="H3443" t="s">
        <v>2270</v>
      </c>
      <c r="I3443" t="s">
        <v>80</v>
      </c>
      <c r="J3443" t="s">
        <v>5023</v>
      </c>
      <c r="K3443" t="s">
        <v>38</v>
      </c>
      <c r="L3443" t="s">
        <v>38</v>
      </c>
      <c r="M3443" t="s">
        <v>38</v>
      </c>
      <c r="N3443" t="s">
        <v>38</v>
      </c>
      <c r="O3443" t="s">
        <v>41</v>
      </c>
      <c r="P3443" t="s">
        <v>42</v>
      </c>
      <c r="Q3443" t="s">
        <v>43</v>
      </c>
      <c r="R3443" t="s">
        <v>89</v>
      </c>
      <c r="S3443" t="s">
        <v>38</v>
      </c>
      <c r="T3443" t="s">
        <v>89</v>
      </c>
      <c r="U3443" t="s">
        <v>301</v>
      </c>
      <c r="V3443" t="s">
        <v>46</v>
      </c>
      <c r="W3443" t="s">
        <v>92</v>
      </c>
      <c r="X3443" t="s">
        <v>302</v>
      </c>
      <c r="Y3443" t="s">
        <v>5072</v>
      </c>
      <c r="Z3443" t="s">
        <v>42</v>
      </c>
      <c r="AA3443" t="s">
        <v>38</v>
      </c>
      <c r="AB3443" t="s">
        <v>38</v>
      </c>
      <c r="AC3443" t="s">
        <v>2612</v>
      </c>
      <c r="AD3443" t="s">
        <v>48</v>
      </c>
      <c r="AG3443" t="str">
        <f>IF(AD3443="United States", IFERROR(INDEX(Sheet2!$C:$C, MATCH(AE3443&amp;AF3443, Sheet2!$E:$E, 0)) &amp; ", " &amp; INDEX(Sheet2!$D:$D, MATCH(AE3443&amp;AF3443, Sheet2!$E:$E, 0)), ""), "-")</f>
        <v/>
      </c>
    </row>
    <row r="3444" spans="1:33" x14ac:dyDescent="0.25">
      <c r="A3444" t="s">
        <v>803</v>
      </c>
      <c r="B3444" t="s">
        <v>5078</v>
      </c>
      <c r="C3444" t="s">
        <v>5027</v>
      </c>
      <c r="D3444" t="s">
        <v>245</v>
      </c>
      <c r="E3444" t="s">
        <v>5079</v>
      </c>
      <c r="F3444">
        <v>1760</v>
      </c>
      <c r="G3444">
        <v>1193</v>
      </c>
      <c r="H3444" t="s">
        <v>2270</v>
      </c>
      <c r="I3444" t="s">
        <v>80</v>
      </c>
      <c r="J3444" t="s">
        <v>5023</v>
      </c>
      <c r="K3444" t="s">
        <v>38</v>
      </c>
      <c r="L3444" t="s">
        <v>38</v>
      </c>
      <c r="M3444" t="s">
        <v>38</v>
      </c>
      <c r="N3444" t="s">
        <v>38</v>
      </c>
      <c r="O3444" t="s">
        <v>57</v>
      </c>
      <c r="P3444" t="s">
        <v>42</v>
      </c>
      <c r="Q3444" t="s">
        <v>43</v>
      </c>
      <c r="R3444" t="s">
        <v>89</v>
      </c>
      <c r="S3444" t="s">
        <v>38</v>
      </c>
      <c r="T3444" t="s">
        <v>89</v>
      </c>
      <c r="U3444" t="s">
        <v>301</v>
      </c>
      <c r="V3444" t="s">
        <v>46</v>
      </c>
      <c r="W3444" t="s">
        <v>92</v>
      </c>
      <c r="X3444" t="s">
        <v>302</v>
      </c>
      <c r="Y3444" t="s">
        <v>5072</v>
      </c>
      <c r="Z3444" t="s">
        <v>42</v>
      </c>
      <c r="AA3444" t="s">
        <v>38</v>
      </c>
      <c r="AB3444" t="s">
        <v>38</v>
      </c>
      <c r="AC3444" t="s">
        <v>2612</v>
      </c>
      <c r="AD3444" t="s">
        <v>48</v>
      </c>
      <c r="AG3444" t="str">
        <f>IF(AD3444="United States", IFERROR(INDEX(Sheet2!$C:$C, MATCH(AE3444&amp;AF3444, Sheet2!$E:$E, 0)) &amp; ", " &amp; INDEX(Sheet2!$D:$D, MATCH(AE3444&amp;AF3444, Sheet2!$E:$E, 0)), ""), "-")</f>
        <v/>
      </c>
    </row>
    <row r="3445" spans="1:33" x14ac:dyDescent="0.25">
      <c r="A3445" t="s">
        <v>803</v>
      </c>
      <c r="B3445" t="s">
        <v>5077</v>
      </c>
      <c r="C3445" t="s">
        <v>5027</v>
      </c>
      <c r="D3445" t="s">
        <v>210</v>
      </c>
      <c r="E3445" t="s">
        <v>38</v>
      </c>
      <c r="F3445">
        <v>1775</v>
      </c>
      <c r="G3445">
        <v>1194</v>
      </c>
      <c r="H3445" t="s">
        <v>2270</v>
      </c>
      <c r="I3445" t="s">
        <v>80</v>
      </c>
      <c r="J3445" t="s">
        <v>5023</v>
      </c>
      <c r="K3445" t="s">
        <v>38</v>
      </c>
      <c r="L3445" t="s">
        <v>38</v>
      </c>
      <c r="M3445" t="s">
        <v>38</v>
      </c>
      <c r="N3445" t="s">
        <v>38</v>
      </c>
      <c r="O3445" t="s">
        <v>54</v>
      </c>
      <c r="P3445" t="s">
        <v>42</v>
      </c>
      <c r="Q3445" t="s">
        <v>43</v>
      </c>
      <c r="R3445" t="s">
        <v>89</v>
      </c>
      <c r="S3445" t="s">
        <v>38</v>
      </c>
      <c r="T3445" t="s">
        <v>89</v>
      </c>
      <c r="U3445" t="s">
        <v>301</v>
      </c>
      <c r="V3445" t="s">
        <v>46</v>
      </c>
      <c r="W3445" t="s">
        <v>92</v>
      </c>
      <c r="X3445" t="s">
        <v>302</v>
      </c>
      <c r="Y3445" t="s">
        <v>5072</v>
      </c>
      <c r="Z3445" t="s">
        <v>42</v>
      </c>
      <c r="AA3445" t="s">
        <v>38</v>
      </c>
      <c r="AB3445" t="s">
        <v>38</v>
      </c>
      <c r="AC3445" t="s">
        <v>2612</v>
      </c>
      <c r="AD3445" t="s">
        <v>48</v>
      </c>
      <c r="AG3445" t="str">
        <f>IF(AD3445="United States", IFERROR(INDEX(Sheet2!$C:$C, MATCH(AE3445&amp;AF3445, Sheet2!$E:$E, 0)) &amp; ", " &amp; INDEX(Sheet2!$D:$D, MATCH(AE3445&amp;AF3445, Sheet2!$E:$E, 0)), ""), "-")</f>
        <v/>
      </c>
    </row>
    <row r="3446" spans="1:33" x14ac:dyDescent="0.25">
      <c r="A3446" t="s">
        <v>803</v>
      </c>
      <c r="B3446" t="s">
        <v>5070</v>
      </c>
      <c r="C3446" t="s">
        <v>5027</v>
      </c>
      <c r="D3446" t="s">
        <v>5071</v>
      </c>
      <c r="E3446" t="s">
        <v>38</v>
      </c>
      <c r="F3446">
        <v>1778</v>
      </c>
      <c r="G3446">
        <v>1195</v>
      </c>
      <c r="H3446" t="s">
        <v>38</v>
      </c>
      <c r="I3446" t="s">
        <v>80</v>
      </c>
      <c r="J3446" t="s">
        <v>5023</v>
      </c>
      <c r="K3446" t="s">
        <v>38</v>
      </c>
      <c r="L3446" t="s">
        <v>38</v>
      </c>
      <c r="M3446" t="s">
        <v>38</v>
      </c>
      <c r="N3446" t="s">
        <v>38</v>
      </c>
      <c r="O3446" t="s">
        <v>74</v>
      </c>
      <c r="P3446" t="s">
        <v>42</v>
      </c>
      <c r="Q3446" t="s">
        <v>43</v>
      </c>
      <c r="R3446" t="s">
        <v>38</v>
      </c>
      <c r="S3446" t="s">
        <v>38</v>
      </c>
      <c r="T3446" t="s">
        <v>38</v>
      </c>
      <c r="U3446" t="s">
        <v>38</v>
      </c>
      <c r="V3446" t="s">
        <v>46</v>
      </c>
      <c r="W3446" t="s">
        <v>38</v>
      </c>
      <c r="X3446" t="s">
        <v>38</v>
      </c>
      <c r="Y3446" t="s">
        <v>5072</v>
      </c>
      <c r="Z3446" t="s">
        <v>42</v>
      </c>
      <c r="AA3446" t="s">
        <v>38</v>
      </c>
      <c r="AB3446" t="s">
        <v>38</v>
      </c>
      <c r="AC3446" t="s">
        <v>38</v>
      </c>
      <c r="AD3446" t="s">
        <v>48</v>
      </c>
      <c r="AG3446" t="str">
        <f>IF(AD3446="United States", IFERROR(INDEX(Sheet2!$C:$C, MATCH(AE3446&amp;AF3446, Sheet2!$E:$E, 0)) &amp; ", " &amp; INDEX(Sheet2!$D:$D, MATCH(AE3446&amp;AF3446, Sheet2!$E:$E, 0)), ""), "-")</f>
        <v/>
      </c>
    </row>
    <row r="3447" spans="1:33" x14ac:dyDescent="0.25">
      <c r="A3447" t="s">
        <v>803</v>
      </c>
      <c r="B3447" t="s">
        <v>5092</v>
      </c>
      <c r="C3447" t="s">
        <v>5027</v>
      </c>
      <c r="D3447" t="s">
        <v>104</v>
      </c>
      <c r="E3447" t="s">
        <v>5093</v>
      </c>
      <c r="F3447">
        <v>1743</v>
      </c>
      <c r="G3447">
        <v>1196</v>
      </c>
      <c r="H3447" t="s">
        <v>2270</v>
      </c>
      <c r="I3447" t="s">
        <v>80</v>
      </c>
      <c r="J3447" t="s">
        <v>5023</v>
      </c>
      <c r="K3447" t="s">
        <v>38</v>
      </c>
      <c r="L3447" t="s">
        <v>38</v>
      </c>
      <c r="M3447" t="s">
        <v>38</v>
      </c>
      <c r="N3447" t="s">
        <v>38</v>
      </c>
      <c r="O3447" t="s">
        <v>41</v>
      </c>
      <c r="P3447" t="s">
        <v>42</v>
      </c>
      <c r="Q3447" t="s">
        <v>43</v>
      </c>
      <c r="R3447" t="s">
        <v>89</v>
      </c>
      <c r="S3447" t="s">
        <v>153</v>
      </c>
      <c r="T3447" t="s">
        <v>89</v>
      </c>
      <c r="U3447" t="s">
        <v>301</v>
      </c>
      <c r="V3447" t="s">
        <v>46</v>
      </c>
      <c r="W3447" t="s">
        <v>92</v>
      </c>
      <c r="X3447" t="s">
        <v>302</v>
      </c>
      <c r="Y3447" t="s">
        <v>5072</v>
      </c>
      <c r="Z3447" t="s">
        <v>42</v>
      </c>
      <c r="AA3447" t="s">
        <v>5094</v>
      </c>
      <c r="AB3447" t="s">
        <v>38</v>
      </c>
      <c r="AC3447" t="s">
        <v>153</v>
      </c>
      <c r="AD3447" t="s">
        <v>48</v>
      </c>
      <c r="AG3447" t="str">
        <f>IF(AD3447="United States", IFERROR(INDEX(Sheet2!$C:$C, MATCH(AE3447&amp;AF3447, Sheet2!$E:$E, 0)) &amp; ", " &amp; INDEX(Sheet2!$D:$D, MATCH(AE3447&amp;AF3447, Sheet2!$E:$E, 0)), ""), "-")</f>
        <v/>
      </c>
    </row>
    <row r="3448" spans="1:33" x14ac:dyDescent="0.25">
      <c r="A3448" t="s">
        <v>803</v>
      </c>
      <c r="B3448" t="s">
        <v>5082</v>
      </c>
      <c r="C3448" t="s">
        <v>5027</v>
      </c>
      <c r="D3448" t="s">
        <v>195</v>
      </c>
      <c r="E3448" t="s">
        <v>5083</v>
      </c>
      <c r="F3448">
        <v>1765</v>
      </c>
      <c r="G3448">
        <v>1197</v>
      </c>
      <c r="H3448" t="s">
        <v>2270</v>
      </c>
      <c r="I3448" t="s">
        <v>80</v>
      </c>
      <c r="J3448" t="s">
        <v>5023</v>
      </c>
      <c r="K3448" t="s">
        <v>38</v>
      </c>
      <c r="L3448" t="s">
        <v>38</v>
      </c>
      <c r="M3448" t="s">
        <v>38</v>
      </c>
      <c r="N3448" t="s">
        <v>38</v>
      </c>
      <c r="O3448" t="s">
        <v>41</v>
      </c>
      <c r="P3448" t="s">
        <v>42</v>
      </c>
      <c r="Q3448" t="s">
        <v>43</v>
      </c>
      <c r="R3448" t="s">
        <v>89</v>
      </c>
      <c r="S3448" t="s">
        <v>153</v>
      </c>
      <c r="T3448" t="s">
        <v>89</v>
      </c>
      <c r="U3448" t="s">
        <v>301</v>
      </c>
      <c r="V3448" t="s">
        <v>46</v>
      </c>
      <c r="W3448" t="s">
        <v>92</v>
      </c>
      <c r="X3448" t="s">
        <v>302</v>
      </c>
      <c r="Y3448" t="s">
        <v>5035</v>
      </c>
      <c r="Z3448" t="s">
        <v>42</v>
      </c>
      <c r="AA3448" t="s">
        <v>155</v>
      </c>
      <c r="AB3448" t="s">
        <v>38</v>
      </c>
      <c r="AC3448" t="s">
        <v>153</v>
      </c>
      <c r="AD3448" t="s">
        <v>48</v>
      </c>
      <c r="AG3448" t="str">
        <f>IF(AD3448="United States", IFERROR(INDEX(Sheet2!$C:$C, MATCH(AE3448&amp;AF3448, Sheet2!$E:$E, 0)) &amp; ", " &amp; INDEX(Sheet2!$D:$D, MATCH(AE3448&amp;AF3448, Sheet2!$E:$E, 0)), ""), "-")</f>
        <v/>
      </c>
    </row>
    <row r="3449" spans="1:33" x14ac:dyDescent="0.25">
      <c r="A3449" t="s">
        <v>803</v>
      </c>
      <c r="B3449" t="s">
        <v>5084</v>
      </c>
      <c r="C3449" t="s">
        <v>5027</v>
      </c>
      <c r="D3449" t="s">
        <v>114</v>
      </c>
      <c r="E3449" t="s">
        <v>5085</v>
      </c>
      <c r="F3449">
        <v>1740</v>
      </c>
      <c r="G3449">
        <v>1198</v>
      </c>
      <c r="H3449" t="s">
        <v>78</v>
      </c>
      <c r="I3449" t="s">
        <v>80</v>
      </c>
      <c r="J3449" t="s">
        <v>5023</v>
      </c>
      <c r="K3449" t="s">
        <v>38</v>
      </c>
      <c r="L3449" t="s">
        <v>38</v>
      </c>
      <c r="M3449" t="s">
        <v>38</v>
      </c>
      <c r="N3449" t="s">
        <v>38</v>
      </c>
      <c r="O3449" t="s">
        <v>57</v>
      </c>
      <c r="P3449" t="s">
        <v>42</v>
      </c>
      <c r="Q3449" t="s">
        <v>43</v>
      </c>
      <c r="R3449" t="s">
        <v>89</v>
      </c>
      <c r="S3449" t="s">
        <v>38</v>
      </c>
      <c r="T3449" t="s">
        <v>89</v>
      </c>
      <c r="U3449" t="s">
        <v>301</v>
      </c>
      <c r="V3449" t="s">
        <v>46</v>
      </c>
      <c r="W3449" t="s">
        <v>92</v>
      </c>
      <c r="X3449" t="s">
        <v>302</v>
      </c>
      <c r="Y3449" t="s">
        <v>5086</v>
      </c>
      <c r="Z3449" t="s">
        <v>42</v>
      </c>
      <c r="AA3449" t="s">
        <v>38</v>
      </c>
      <c r="AB3449" t="s">
        <v>38</v>
      </c>
      <c r="AC3449" t="s">
        <v>38</v>
      </c>
      <c r="AD3449" t="s">
        <v>48</v>
      </c>
      <c r="AG3449" t="str">
        <f>IF(AD3449="United States", IFERROR(INDEX(Sheet2!$C:$C, MATCH(AE3449&amp;AF3449, Sheet2!$E:$E, 0)) &amp; ", " &amp; INDEX(Sheet2!$D:$D, MATCH(AE3449&amp;AF3449, Sheet2!$E:$E, 0)), ""), "-")</f>
        <v/>
      </c>
    </row>
    <row r="3450" spans="1:33" x14ac:dyDescent="0.25">
      <c r="A3450" t="s">
        <v>803</v>
      </c>
      <c r="B3450" t="s">
        <v>5087</v>
      </c>
      <c r="C3450" t="s">
        <v>5027</v>
      </c>
      <c r="D3450" t="s">
        <v>1103</v>
      </c>
      <c r="E3450" t="s">
        <v>38</v>
      </c>
      <c r="F3450">
        <v>1771</v>
      </c>
      <c r="G3450">
        <v>1199</v>
      </c>
      <c r="H3450" t="s">
        <v>2270</v>
      </c>
      <c r="I3450" t="s">
        <v>80</v>
      </c>
      <c r="J3450" t="s">
        <v>5023</v>
      </c>
      <c r="K3450" t="s">
        <v>38</v>
      </c>
      <c r="L3450" t="s">
        <v>38</v>
      </c>
      <c r="M3450" t="s">
        <v>38</v>
      </c>
      <c r="N3450" t="s">
        <v>38</v>
      </c>
      <c r="O3450" t="s">
        <v>74</v>
      </c>
      <c r="P3450" t="s">
        <v>42</v>
      </c>
      <c r="Q3450" t="s">
        <v>43</v>
      </c>
      <c r="R3450" t="s">
        <v>89</v>
      </c>
      <c r="S3450" t="s">
        <v>38</v>
      </c>
      <c r="T3450" t="s">
        <v>89</v>
      </c>
      <c r="U3450" t="s">
        <v>301</v>
      </c>
      <c r="V3450" t="s">
        <v>46</v>
      </c>
      <c r="W3450" t="s">
        <v>92</v>
      </c>
      <c r="X3450" t="s">
        <v>302</v>
      </c>
      <c r="Y3450" t="s">
        <v>5088</v>
      </c>
      <c r="Z3450" t="s">
        <v>42</v>
      </c>
      <c r="AA3450" t="s">
        <v>38</v>
      </c>
      <c r="AB3450" t="s">
        <v>38</v>
      </c>
      <c r="AC3450" t="s">
        <v>1103</v>
      </c>
      <c r="AD3450" t="s">
        <v>48</v>
      </c>
      <c r="AG3450" t="str">
        <f>IF(AD3450="United States", IFERROR(INDEX(Sheet2!$C:$C, MATCH(AE3450&amp;AF3450, Sheet2!$E:$E, 0)) &amp; ", " &amp; INDEX(Sheet2!$D:$D, MATCH(AE3450&amp;AF3450, Sheet2!$E:$E, 0)), ""), "-")</f>
        <v/>
      </c>
    </row>
    <row r="3451" spans="1:33" x14ac:dyDescent="0.25">
      <c r="A3451" t="s">
        <v>803</v>
      </c>
      <c r="B3451" t="s">
        <v>5092</v>
      </c>
      <c r="C3451" t="s">
        <v>5027</v>
      </c>
      <c r="D3451" t="s">
        <v>104</v>
      </c>
      <c r="E3451" t="s">
        <v>5093</v>
      </c>
      <c r="F3451">
        <v>1743</v>
      </c>
      <c r="G3451">
        <v>920</v>
      </c>
      <c r="H3451" t="s">
        <v>2270</v>
      </c>
      <c r="I3451" t="s">
        <v>80</v>
      </c>
      <c r="J3451" t="s">
        <v>5023</v>
      </c>
      <c r="K3451" t="s">
        <v>38</v>
      </c>
      <c r="L3451" t="s">
        <v>38</v>
      </c>
      <c r="M3451" t="s">
        <v>38</v>
      </c>
      <c r="N3451" t="s">
        <v>38</v>
      </c>
      <c r="O3451" t="s">
        <v>41</v>
      </c>
      <c r="P3451" t="s">
        <v>42</v>
      </c>
      <c r="Q3451" t="s">
        <v>43</v>
      </c>
      <c r="R3451" t="s">
        <v>89</v>
      </c>
      <c r="S3451" t="s">
        <v>153</v>
      </c>
      <c r="T3451" t="s">
        <v>89</v>
      </c>
      <c r="U3451" t="s">
        <v>301</v>
      </c>
      <c r="V3451" t="s">
        <v>46</v>
      </c>
      <c r="W3451" t="s">
        <v>92</v>
      </c>
      <c r="X3451" t="s">
        <v>302</v>
      </c>
      <c r="Y3451" t="s">
        <v>5072</v>
      </c>
      <c r="Z3451" t="s">
        <v>42</v>
      </c>
      <c r="AA3451" t="s">
        <v>5094</v>
      </c>
      <c r="AB3451" t="s">
        <v>38</v>
      </c>
      <c r="AC3451" t="s">
        <v>153</v>
      </c>
      <c r="AD3451" t="s">
        <v>48</v>
      </c>
      <c r="AG3451" t="str">
        <f>IF(AD3451="United States", IFERROR(INDEX(Sheet2!$C:$C, MATCH(AE3451&amp;AF3451, Sheet2!$E:$E, 0)) &amp; ", " &amp; INDEX(Sheet2!$D:$D, MATCH(AE3451&amp;AF3451, Sheet2!$E:$E, 0)), ""), "-")</f>
        <v/>
      </c>
    </row>
    <row r="3452" spans="1:33" x14ac:dyDescent="0.25">
      <c r="A3452" t="s">
        <v>803</v>
      </c>
      <c r="D3452" t="s">
        <v>220</v>
      </c>
      <c r="E3452" t="s">
        <v>2499</v>
      </c>
      <c r="F3452">
        <v>1751</v>
      </c>
      <c r="G3452">
        <v>2732</v>
      </c>
      <c r="H3452">
        <v>83</v>
      </c>
      <c r="J3452" t="s">
        <v>5076</v>
      </c>
      <c r="O3452" t="s">
        <v>41</v>
      </c>
      <c r="R3452" t="s">
        <v>89</v>
      </c>
      <c r="T3452" t="s">
        <v>89</v>
      </c>
      <c r="U3452" t="s">
        <v>301</v>
      </c>
      <c r="V3452" t="s">
        <v>1619</v>
      </c>
      <c r="W3452" t="s">
        <v>92</v>
      </c>
      <c r="X3452" t="s">
        <v>302</v>
      </c>
      <c r="Y3452" t="s">
        <v>38</v>
      </c>
      <c r="AA3452" t="s">
        <v>38</v>
      </c>
      <c r="AB3452" t="s">
        <v>38</v>
      </c>
      <c r="AC3452" t="s">
        <v>38</v>
      </c>
      <c r="AD3452" t="s">
        <v>48</v>
      </c>
      <c r="AG3452" t="str">
        <f>IF(AD3452="United States", IFERROR(INDEX(Sheet2!$C:$C, MATCH(AE3452&amp;AF3452, Sheet2!$E:$E, 0)) &amp; ", " &amp; INDEX(Sheet2!$D:$D, MATCH(AE3452&amp;AF3452, Sheet2!$E:$E, 0)), ""), "-")</f>
        <v/>
      </c>
    </row>
    <row r="3453" spans="1:33" x14ac:dyDescent="0.25">
      <c r="A3453" t="s">
        <v>803</v>
      </c>
      <c r="D3453" t="s">
        <v>357</v>
      </c>
      <c r="E3453" t="s">
        <v>1831</v>
      </c>
      <c r="F3453">
        <v>1723</v>
      </c>
      <c r="G3453">
        <v>2731</v>
      </c>
      <c r="H3453">
        <v>83</v>
      </c>
      <c r="J3453" t="s">
        <v>5076</v>
      </c>
      <c r="O3453" t="s">
        <v>41</v>
      </c>
      <c r="R3453" t="s">
        <v>89</v>
      </c>
      <c r="T3453" t="s">
        <v>89</v>
      </c>
      <c r="U3453" t="s">
        <v>301</v>
      </c>
      <c r="V3453" t="s">
        <v>1619</v>
      </c>
      <c r="W3453" t="s">
        <v>92</v>
      </c>
      <c r="X3453" t="s">
        <v>302</v>
      </c>
      <c r="Y3453" t="s">
        <v>38</v>
      </c>
      <c r="AA3453" t="s">
        <v>38</v>
      </c>
      <c r="AB3453" t="s">
        <v>38</v>
      </c>
      <c r="AC3453" t="s">
        <v>38</v>
      </c>
      <c r="AD3453" t="s">
        <v>48</v>
      </c>
      <c r="AG3453" t="str">
        <f>IF(AD3453="United States", IFERROR(INDEX(Sheet2!$C:$C, MATCH(AE3453&amp;AF3453, Sheet2!$E:$E, 0)) &amp; ", " &amp; INDEX(Sheet2!$D:$D, MATCH(AE3453&amp;AF3453, Sheet2!$E:$E, 0)), ""), "-")</f>
        <v/>
      </c>
    </row>
    <row r="3454" spans="1:33" x14ac:dyDescent="0.25">
      <c r="A3454" t="s">
        <v>803</v>
      </c>
      <c r="B3454" t="s">
        <v>5091</v>
      </c>
      <c r="C3454" t="s">
        <v>5027</v>
      </c>
      <c r="D3454" t="s">
        <v>834</v>
      </c>
      <c r="E3454" t="s">
        <v>38</v>
      </c>
      <c r="F3454">
        <v>1761</v>
      </c>
      <c r="G3454">
        <v>914</v>
      </c>
      <c r="H3454" t="s">
        <v>2270</v>
      </c>
      <c r="I3454" t="s">
        <v>80</v>
      </c>
      <c r="J3454" t="s">
        <v>5023</v>
      </c>
      <c r="K3454" t="s">
        <v>38</v>
      </c>
      <c r="L3454" t="s">
        <v>38</v>
      </c>
      <c r="M3454" t="s">
        <v>38</v>
      </c>
      <c r="N3454" t="s">
        <v>38</v>
      </c>
      <c r="O3454" t="s">
        <v>57</v>
      </c>
      <c r="P3454" t="s">
        <v>42</v>
      </c>
      <c r="Q3454" t="s">
        <v>43</v>
      </c>
      <c r="R3454" t="s">
        <v>89</v>
      </c>
      <c r="S3454" t="s">
        <v>45</v>
      </c>
      <c r="T3454" t="s">
        <v>89</v>
      </c>
      <c r="U3454" t="s">
        <v>301</v>
      </c>
      <c r="V3454" t="s">
        <v>46</v>
      </c>
      <c r="W3454" t="s">
        <v>92</v>
      </c>
      <c r="X3454" t="s">
        <v>302</v>
      </c>
      <c r="Y3454" t="s">
        <v>5028</v>
      </c>
      <c r="Z3454" t="s">
        <v>42</v>
      </c>
      <c r="AA3454" t="s">
        <v>38</v>
      </c>
      <c r="AB3454" t="s">
        <v>38</v>
      </c>
      <c r="AC3454" t="s">
        <v>45</v>
      </c>
      <c r="AD3454" t="s">
        <v>48</v>
      </c>
      <c r="AG3454" t="str">
        <f>IF(AD3454="United States", IFERROR(INDEX(Sheet2!$C:$C, MATCH(AE3454&amp;AF3454, Sheet2!$E:$E, 0)) &amp; ", " &amp; INDEX(Sheet2!$D:$D, MATCH(AE3454&amp;AF3454, Sheet2!$E:$E, 0)), ""), "-")</f>
        <v/>
      </c>
    </row>
    <row r="3455" spans="1:33" x14ac:dyDescent="0.25">
      <c r="A3455" t="s">
        <v>803</v>
      </c>
      <c r="B3455" t="s">
        <v>5089</v>
      </c>
      <c r="C3455" t="s">
        <v>5027</v>
      </c>
      <c r="D3455" t="s">
        <v>3438</v>
      </c>
      <c r="E3455" t="s">
        <v>728</v>
      </c>
      <c r="F3455">
        <v>1747</v>
      </c>
      <c r="G3455">
        <v>1200</v>
      </c>
      <c r="H3455" t="s">
        <v>2270</v>
      </c>
      <c r="I3455" t="s">
        <v>80</v>
      </c>
      <c r="J3455" t="s">
        <v>5023</v>
      </c>
      <c r="K3455" t="s">
        <v>38</v>
      </c>
      <c r="L3455" t="s">
        <v>38</v>
      </c>
      <c r="M3455" t="s">
        <v>38</v>
      </c>
      <c r="N3455" t="s">
        <v>38</v>
      </c>
      <c r="O3455" t="s">
        <v>57</v>
      </c>
      <c r="P3455" t="s">
        <v>42</v>
      </c>
      <c r="Q3455" t="s">
        <v>43</v>
      </c>
      <c r="R3455" t="s">
        <v>89</v>
      </c>
      <c r="S3455" t="s">
        <v>153</v>
      </c>
      <c r="T3455" t="s">
        <v>89</v>
      </c>
      <c r="U3455" t="s">
        <v>301</v>
      </c>
      <c r="V3455" t="s">
        <v>46</v>
      </c>
      <c r="W3455" t="s">
        <v>92</v>
      </c>
      <c r="X3455" t="s">
        <v>302</v>
      </c>
      <c r="Y3455" t="s">
        <v>5035</v>
      </c>
      <c r="Z3455" t="s">
        <v>42</v>
      </c>
      <c r="AA3455" t="s">
        <v>38</v>
      </c>
      <c r="AB3455" t="s">
        <v>38</v>
      </c>
      <c r="AC3455" t="s">
        <v>155</v>
      </c>
      <c r="AD3455" t="s">
        <v>48</v>
      </c>
      <c r="AG3455" t="str">
        <f>IF(AD3455="United States", IFERROR(INDEX(Sheet2!$C:$C, MATCH(AE3455&amp;AF3455, Sheet2!$E:$E, 0)) &amp; ", " &amp; INDEX(Sheet2!$D:$D, MATCH(AE3455&amp;AF3455, Sheet2!$E:$E, 0)), ""), "-")</f>
        <v/>
      </c>
    </row>
    <row r="3456" spans="1:33" x14ac:dyDescent="0.25">
      <c r="A3456" t="s">
        <v>803</v>
      </c>
      <c r="B3456" t="s">
        <v>5095</v>
      </c>
      <c r="C3456" t="s">
        <v>5074</v>
      </c>
      <c r="D3456" t="s">
        <v>210</v>
      </c>
      <c r="E3456" t="s">
        <v>5096</v>
      </c>
      <c r="F3456">
        <v>1760</v>
      </c>
      <c r="G3456">
        <v>2814</v>
      </c>
      <c r="I3456" t="s">
        <v>1649</v>
      </c>
      <c r="J3456" t="s">
        <v>5076</v>
      </c>
      <c r="O3456" t="s">
        <v>41</v>
      </c>
      <c r="P3456" t="s">
        <v>42</v>
      </c>
      <c r="Q3456" t="s">
        <v>43</v>
      </c>
      <c r="R3456" t="s">
        <v>155</v>
      </c>
      <c r="S3456" t="s">
        <v>153</v>
      </c>
      <c r="V3456" t="s">
        <v>38</v>
      </c>
      <c r="Y3456" t="s">
        <v>38</v>
      </c>
      <c r="Z3456" t="s">
        <v>42</v>
      </c>
      <c r="AA3456" t="s">
        <v>155</v>
      </c>
      <c r="AB3456" t="s">
        <v>38</v>
      </c>
      <c r="AC3456" t="s">
        <v>153</v>
      </c>
      <c r="AD3456" t="s">
        <v>48</v>
      </c>
      <c r="AG3456" t="str">
        <f>IF(AD3456="United States", IFERROR(INDEX(Sheet2!$C:$C, MATCH(AE3456&amp;AF3456, Sheet2!$E:$E, 0)) &amp; ", " &amp; INDEX(Sheet2!$D:$D, MATCH(AE3456&amp;AF3456, Sheet2!$E:$E, 0)), ""), "-")</f>
        <v/>
      </c>
    </row>
    <row r="3457" spans="1:33" x14ac:dyDescent="0.25">
      <c r="A3457" t="s">
        <v>803</v>
      </c>
      <c r="D3457" t="s">
        <v>4923</v>
      </c>
      <c r="E3457" t="s">
        <v>1342</v>
      </c>
      <c r="F3457">
        <v>1733</v>
      </c>
      <c r="G3457">
        <v>2728</v>
      </c>
      <c r="H3457">
        <v>83</v>
      </c>
      <c r="J3457" t="s">
        <v>5076</v>
      </c>
      <c r="O3457" t="s">
        <v>57</v>
      </c>
      <c r="R3457" t="s">
        <v>89</v>
      </c>
      <c r="T3457" t="s">
        <v>89</v>
      </c>
      <c r="U3457" t="s">
        <v>301</v>
      </c>
      <c r="V3457" t="s">
        <v>1619</v>
      </c>
      <c r="W3457" t="s">
        <v>92</v>
      </c>
      <c r="X3457" t="s">
        <v>302</v>
      </c>
      <c r="Y3457" t="s">
        <v>38</v>
      </c>
      <c r="AA3457" t="s">
        <v>38</v>
      </c>
      <c r="AB3457" t="s">
        <v>38</v>
      </c>
      <c r="AC3457" t="s">
        <v>38</v>
      </c>
      <c r="AD3457" t="s">
        <v>48</v>
      </c>
      <c r="AG3457" t="str">
        <f>IF(AD3457="United States", IFERROR(INDEX(Sheet2!$C:$C, MATCH(AE3457&amp;AF3457, Sheet2!$E:$E, 0)) &amp; ", " &amp; INDEX(Sheet2!$D:$D, MATCH(AE3457&amp;AF3457, Sheet2!$E:$E, 0)), ""), "-")</f>
        <v/>
      </c>
    </row>
    <row r="3458" spans="1:33" x14ac:dyDescent="0.25">
      <c r="A3458" t="s">
        <v>803</v>
      </c>
      <c r="B3458" t="s">
        <v>5074</v>
      </c>
      <c r="C3458" t="s">
        <v>5074</v>
      </c>
      <c r="D3458" t="s">
        <v>1647</v>
      </c>
      <c r="E3458" t="s">
        <v>5097</v>
      </c>
      <c r="F3458" t="s">
        <v>38</v>
      </c>
      <c r="G3458">
        <v>2813</v>
      </c>
      <c r="I3458" t="s">
        <v>1649</v>
      </c>
      <c r="J3458" t="s">
        <v>5076</v>
      </c>
      <c r="O3458" t="s">
        <v>41</v>
      </c>
      <c r="P3458" t="s">
        <v>42</v>
      </c>
      <c r="Q3458" t="s">
        <v>43</v>
      </c>
      <c r="V3458" t="s">
        <v>38</v>
      </c>
      <c r="Y3458" t="s">
        <v>38</v>
      </c>
      <c r="Z3458" t="s">
        <v>42</v>
      </c>
      <c r="AA3458" t="s">
        <v>38</v>
      </c>
      <c r="AB3458" t="s">
        <v>38</v>
      </c>
      <c r="AC3458" t="s">
        <v>38</v>
      </c>
      <c r="AD3458" t="s">
        <v>48</v>
      </c>
      <c r="AG3458" t="str">
        <f>IF(AD3458="United States", IFERROR(INDEX(Sheet2!$C:$C, MATCH(AE3458&amp;AF3458, Sheet2!$E:$E, 0)) &amp; ", " &amp; INDEX(Sheet2!$D:$D, MATCH(AE3458&amp;AF3458, Sheet2!$E:$E, 0)), ""), "-")</f>
        <v/>
      </c>
    </row>
    <row r="3459" spans="1:33" x14ac:dyDescent="0.25">
      <c r="A3459" t="s">
        <v>285</v>
      </c>
      <c r="B3459" t="s">
        <v>5098</v>
      </c>
      <c r="C3459" t="s">
        <v>5099</v>
      </c>
      <c r="D3459" t="s">
        <v>113</v>
      </c>
      <c r="E3459" t="s">
        <v>5100</v>
      </c>
      <c r="F3459">
        <v>1741</v>
      </c>
      <c r="G3459">
        <v>145</v>
      </c>
      <c r="H3459" t="s">
        <v>3838</v>
      </c>
      <c r="I3459" t="s">
        <v>39</v>
      </c>
      <c r="J3459" t="s">
        <v>2876</v>
      </c>
      <c r="K3459" t="s">
        <v>38</v>
      </c>
      <c r="L3459" t="s">
        <v>38</v>
      </c>
      <c r="M3459" t="s">
        <v>38</v>
      </c>
      <c r="N3459" t="s">
        <v>38</v>
      </c>
      <c r="O3459" t="s">
        <v>41</v>
      </c>
      <c r="P3459" t="s">
        <v>42</v>
      </c>
      <c r="Q3459" t="s">
        <v>43</v>
      </c>
      <c r="R3459" t="s">
        <v>89</v>
      </c>
      <c r="S3459" t="s">
        <v>45</v>
      </c>
      <c r="T3459" t="s">
        <v>89</v>
      </c>
      <c r="U3459" t="s">
        <v>301</v>
      </c>
      <c r="V3459" t="s">
        <v>137</v>
      </c>
      <c r="W3459" t="s">
        <v>92</v>
      </c>
      <c r="X3459" t="s">
        <v>302</v>
      </c>
      <c r="Y3459" t="s">
        <v>5101</v>
      </c>
      <c r="Z3459" t="s">
        <v>42</v>
      </c>
      <c r="AA3459" t="s">
        <v>38</v>
      </c>
      <c r="AB3459" t="s">
        <v>38</v>
      </c>
      <c r="AC3459" t="s">
        <v>45</v>
      </c>
      <c r="AD3459" t="s">
        <v>48</v>
      </c>
      <c r="AG3459" t="str">
        <f>IF(AD3459="United States", IFERROR(INDEX(Sheet2!$C:$C, MATCH(AE3459&amp;AF3459, Sheet2!$E:$E, 0)) &amp; ", " &amp; INDEX(Sheet2!$D:$D, MATCH(AE3459&amp;AF3459, Sheet2!$E:$E, 0)), ""), "-")</f>
        <v/>
      </c>
    </row>
    <row r="3460" spans="1:33" x14ac:dyDescent="0.25">
      <c r="A3460" t="s">
        <v>285</v>
      </c>
      <c r="B3460" t="s">
        <v>5102</v>
      </c>
      <c r="C3460" t="s">
        <v>5099</v>
      </c>
      <c r="D3460" t="s">
        <v>1168</v>
      </c>
      <c r="E3460" t="s">
        <v>164</v>
      </c>
      <c r="F3460">
        <v>1750</v>
      </c>
      <c r="G3460">
        <v>146</v>
      </c>
      <c r="H3460" t="s">
        <v>3838</v>
      </c>
      <c r="I3460" t="s">
        <v>39</v>
      </c>
      <c r="J3460" t="s">
        <v>2876</v>
      </c>
      <c r="K3460" t="s">
        <v>38</v>
      </c>
      <c r="L3460" t="s">
        <v>38</v>
      </c>
      <c r="M3460" t="s">
        <v>38</v>
      </c>
      <c r="N3460" t="s">
        <v>38</v>
      </c>
      <c r="O3460" t="s">
        <v>57</v>
      </c>
      <c r="P3460" t="s">
        <v>125</v>
      </c>
      <c r="Q3460" t="s">
        <v>124</v>
      </c>
      <c r="R3460" t="s">
        <v>89</v>
      </c>
      <c r="S3460" t="s">
        <v>45</v>
      </c>
      <c r="T3460" t="s">
        <v>89</v>
      </c>
      <c r="U3460" t="s">
        <v>301</v>
      </c>
      <c r="V3460" t="s">
        <v>137</v>
      </c>
      <c r="W3460" t="s">
        <v>92</v>
      </c>
      <c r="X3460" t="s">
        <v>302</v>
      </c>
      <c r="Y3460" t="s">
        <v>5101</v>
      </c>
      <c r="Z3460" t="s">
        <v>125</v>
      </c>
      <c r="AA3460" t="s">
        <v>1351</v>
      </c>
      <c r="AB3460" t="s">
        <v>38</v>
      </c>
      <c r="AC3460" t="s">
        <v>45</v>
      </c>
      <c r="AD3460" t="s">
        <v>48</v>
      </c>
      <c r="AG3460" t="str">
        <f>IF(AD3460="United States", IFERROR(INDEX(Sheet2!$C:$C, MATCH(AE3460&amp;AF3460, Sheet2!$E:$E, 0)) &amp; ", " &amp; INDEX(Sheet2!$D:$D, MATCH(AE3460&amp;AF3460, Sheet2!$E:$E, 0)), ""), "-")</f>
        <v/>
      </c>
    </row>
    <row r="3461" spans="1:33" x14ac:dyDescent="0.25">
      <c r="A3461" t="s">
        <v>285</v>
      </c>
      <c r="B3461" t="s">
        <v>5103</v>
      </c>
      <c r="C3461" t="s">
        <v>5099</v>
      </c>
      <c r="D3461" t="s">
        <v>1003</v>
      </c>
      <c r="E3461" t="s">
        <v>163</v>
      </c>
      <c r="F3461">
        <v>1767</v>
      </c>
      <c r="G3461">
        <v>147</v>
      </c>
      <c r="H3461" t="s">
        <v>3838</v>
      </c>
      <c r="I3461" t="s">
        <v>39</v>
      </c>
      <c r="J3461" t="s">
        <v>2876</v>
      </c>
      <c r="K3461" t="s">
        <v>38</v>
      </c>
      <c r="L3461" t="s">
        <v>38</v>
      </c>
      <c r="M3461" t="s">
        <v>1168</v>
      </c>
      <c r="N3461" t="s">
        <v>164</v>
      </c>
      <c r="O3461" t="s">
        <v>74</v>
      </c>
      <c r="P3461" t="s">
        <v>125</v>
      </c>
      <c r="Q3461" t="s">
        <v>124</v>
      </c>
      <c r="R3461" t="s">
        <v>89</v>
      </c>
      <c r="S3461" t="s">
        <v>38</v>
      </c>
      <c r="T3461" t="s">
        <v>89</v>
      </c>
      <c r="U3461" t="s">
        <v>301</v>
      </c>
      <c r="V3461" t="s">
        <v>137</v>
      </c>
      <c r="W3461" t="s">
        <v>92</v>
      </c>
      <c r="X3461" t="s">
        <v>302</v>
      </c>
      <c r="Y3461" t="s">
        <v>5101</v>
      </c>
      <c r="Z3461" t="s">
        <v>125</v>
      </c>
      <c r="AA3461" t="s">
        <v>38</v>
      </c>
      <c r="AB3461" t="s">
        <v>38</v>
      </c>
      <c r="AC3461" t="s">
        <v>38</v>
      </c>
      <c r="AD3461" t="s">
        <v>48</v>
      </c>
      <c r="AG3461" t="str">
        <f>IF(AD3461="United States", IFERROR(INDEX(Sheet2!$C:$C, MATCH(AE3461&amp;AF3461, Sheet2!$E:$E, 0)) &amp; ", " &amp; INDEX(Sheet2!$D:$D, MATCH(AE3461&amp;AF3461, Sheet2!$E:$E, 0)), ""), "-")</f>
        <v/>
      </c>
    </row>
    <row r="3462" spans="1:33" x14ac:dyDescent="0.25">
      <c r="A3462" t="s">
        <v>285</v>
      </c>
      <c r="B3462" t="s">
        <v>5104</v>
      </c>
      <c r="C3462" t="s">
        <v>5099</v>
      </c>
      <c r="D3462" t="s">
        <v>2562</v>
      </c>
      <c r="E3462" t="s">
        <v>38</v>
      </c>
      <c r="F3462">
        <v>1762</v>
      </c>
      <c r="G3462">
        <v>148</v>
      </c>
      <c r="H3462" t="s">
        <v>3838</v>
      </c>
      <c r="I3462" t="s">
        <v>39</v>
      </c>
      <c r="J3462" t="s">
        <v>2876</v>
      </c>
      <c r="K3462" t="s">
        <v>38</v>
      </c>
      <c r="L3462" t="s">
        <v>38</v>
      </c>
      <c r="M3462" t="s">
        <v>38</v>
      </c>
      <c r="N3462" t="s">
        <v>38</v>
      </c>
      <c r="O3462" t="s">
        <v>41</v>
      </c>
      <c r="P3462" t="s">
        <v>42</v>
      </c>
      <c r="Q3462" t="s">
        <v>43</v>
      </c>
      <c r="R3462" t="s">
        <v>89</v>
      </c>
      <c r="S3462" t="s">
        <v>38</v>
      </c>
      <c r="T3462" t="s">
        <v>89</v>
      </c>
      <c r="U3462" t="s">
        <v>301</v>
      </c>
      <c r="V3462" t="s">
        <v>137</v>
      </c>
      <c r="W3462" t="s">
        <v>92</v>
      </c>
      <c r="X3462" t="s">
        <v>302</v>
      </c>
      <c r="Y3462" t="s">
        <v>5105</v>
      </c>
      <c r="Z3462" t="s">
        <v>42</v>
      </c>
      <c r="AA3462" t="s">
        <v>2562</v>
      </c>
      <c r="AB3462" t="s">
        <v>2562</v>
      </c>
      <c r="AC3462" t="s">
        <v>672</v>
      </c>
      <c r="AD3462" t="s">
        <v>672</v>
      </c>
      <c r="AG3462" t="str">
        <f>IF(AD3462="United States", IFERROR(INDEX(Sheet2!$C:$C, MATCH(AE3462&amp;AF3462, Sheet2!$E:$E, 0)) &amp; ", " &amp; INDEX(Sheet2!$D:$D, MATCH(AE3462&amp;AF3462, Sheet2!$E:$E, 0)), ""), "-")</f>
        <v>-</v>
      </c>
    </row>
    <row r="3463" spans="1:33" x14ac:dyDescent="0.25">
      <c r="A3463" t="s">
        <v>285</v>
      </c>
      <c r="B3463" t="s">
        <v>5106</v>
      </c>
      <c r="C3463" t="s">
        <v>5107</v>
      </c>
      <c r="D3463" t="s">
        <v>72</v>
      </c>
      <c r="E3463" t="s">
        <v>38</v>
      </c>
      <c r="F3463">
        <v>1751</v>
      </c>
      <c r="G3463">
        <v>1792</v>
      </c>
      <c r="H3463" t="s">
        <v>313</v>
      </c>
      <c r="I3463" t="s">
        <v>80</v>
      </c>
      <c r="J3463" t="s">
        <v>38</v>
      </c>
      <c r="K3463" t="s">
        <v>38</v>
      </c>
      <c r="L3463" t="s">
        <v>38</v>
      </c>
      <c r="M3463" t="s">
        <v>38</v>
      </c>
      <c r="N3463" t="s">
        <v>38</v>
      </c>
      <c r="O3463" t="s">
        <v>57</v>
      </c>
      <c r="P3463" t="s">
        <v>42</v>
      </c>
      <c r="Q3463" t="s">
        <v>43</v>
      </c>
      <c r="R3463" t="s">
        <v>89</v>
      </c>
      <c r="S3463" t="s">
        <v>38</v>
      </c>
      <c r="T3463" t="s">
        <v>89</v>
      </c>
      <c r="U3463" t="s">
        <v>301</v>
      </c>
      <c r="V3463" t="s">
        <v>38</v>
      </c>
      <c r="W3463" t="s">
        <v>92</v>
      </c>
      <c r="X3463" t="s">
        <v>302</v>
      </c>
      <c r="Y3463" t="s">
        <v>5108</v>
      </c>
      <c r="Z3463" t="s">
        <v>42</v>
      </c>
      <c r="AA3463" t="s">
        <v>38</v>
      </c>
      <c r="AB3463" t="s">
        <v>38</v>
      </c>
      <c r="AC3463" t="s">
        <v>38</v>
      </c>
      <c r="AD3463" t="s">
        <v>48</v>
      </c>
      <c r="AG3463" t="str">
        <f>IF(AD3463="United States", IFERROR(INDEX(Sheet2!$C:$C, MATCH(AE3463&amp;AF3463, Sheet2!$E:$E, 0)) &amp; ", " &amp; INDEX(Sheet2!$D:$D, MATCH(AE3463&amp;AF3463, Sheet2!$E:$E, 0)), ""), "-")</f>
        <v/>
      </c>
    </row>
    <row r="3464" spans="1:33" x14ac:dyDescent="0.25">
      <c r="A3464" t="s">
        <v>285</v>
      </c>
      <c r="B3464" t="s">
        <v>5109</v>
      </c>
      <c r="C3464" t="s">
        <v>5099</v>
      </c>
      <c r="D3464" t="s">
        <v>5110</v>
      </c>
      <c r="E3464" t="s">
        <v>164</v>
      </c>
      <c r="F3464">
        <v>1763</v>
      </c>
      <c r="G3464">
        <v>150</v>
      </c>
      <c r="H3464" t="s">
        <v>3838</v>
      </c>
      <c r="I3464" t="s">
        <v>39</v>
      </c>
      <c r="J3464" t="s">
        <v>2876</v>
      </c>
      <c r="K3464" t="s">
        <v>38</v>
      </c>
      <c r="L3464" t="s">
        <v>38</v>
      </c>
      <c r="M3464" t="s">
        <v>38</v>
      </c>
      <c r="N3464" t="s">
        <v>38</v>
      </c>
      <c r="O3464" t="s">
        <v>57</v>
      </c>
      <c r="P3464" t="s">
        <v>42</v>
      </c>
      <c r="Q3464" t="s">
        <v>43</v>
      </c>
      <c r="R3464" t="s">
        <v>89</v>
      </c>
      <c r="S3464" t="s">
        <v>38</v>
      </c>
      <c r="T3464" t="s">
        <v>89</v>
      </c>
      <c r="U3464" t="s">
        <v>301</v>
      </c>
      <c r="V3464" t="s">
        <v>137</v>
      </c>
      <c r="W3464" t="s">
        <v>92</v>
      </c>
      <c r="X3464" t="s">
        <v>302</v>
      </c>
      <c r="Y3464" t="s">
        <v>5111</v>
      </c>
      <c r="Z3464" t="s">
        <v>42</v>
      </c>
      <c r="AA3464" t="s">
        <v>38</v>
      </c>
      <c r="AB3464" t="s">
        <v>38</v>
      </c>
      <c r="AC3464" t="s">
        <v>3052</v>
      </c>
      <c r="AD3464" t="s">
        <v>48</v>
      </c>
      <c r="AG3464" t="str">
        <f>IF(AD3464="United States", IFERROR(INDEX(Sheet2!$C:$C, MATCH(AE3464&amp;AF3464, Sheet2!$E:$E, 0)) &amp; ", " &amp; INDEX(Sheet2!$D:$D, MATCH(AE3464&amp;AF3464, Sheet2!$E:$E, 0)), ""), "-")</f>
        <v/>
      </c>
    </row>
    <row r="3465" spans="1:33" x14ac:dyDescent="0.25">
      <c r="A3465" t="s">
        <v>285</v>
      </c>
      <c r="B3465" t="s">
        <v>5112</v>
      </c>
      <c r="C3465" t="s">
        <v>5099</v>
      </c>
      <c r="D3465" t="s">
        <v>106</v>
      </c>
      <c r="E3465" t="s">
        <v>4713</v>
      </c>
      <c r="F3465">
        <v>1738</v>
      </c>
      <c r="G3465">
        <v>151</v>
      </c>
      <c r="H3465" t="s">
        <v>3838</v>
      </c>
      <c r="I3465" t="s">
        <v>39</v>
      </c>
      <c r="J3465" t="s">
        <v>2876</v>
      </c>
      <c r="K3465" t="s">
        <v>38</v>
      </c>
      <c r="L3465" t="s">
        <v>38</v>
      </c>
      <c r="M3465" t="s">
        <v>38</v>
      </c>
      <c r="N3465" t="s">
        <v>38</v>
      </c>
      <c r="O3465" t="s">
        <v>41</v>
      </c>
      <c r="P3465" t="s">
        <v>42</v>
      </c>
      <c r="Q3465" t="s">
        <v>43</v>
      </c>
      <c r="R3465" t="s">
        <v>89</v>
      </c>
      <c r="S3465" t="s">
        <v>201</v>
      </c>
      <c r="T3465" t="s">
        <v>89</v>
      </c>
      <c r="U3465" t="s">
        <v>301</v>
      </c>
      <c r="V3465" t="s">
        <v>137</v>
      </c>
      <c r="W3465" t="s">
        <v>92</v>
      </c>
      <c r="X3465" t="s">
        <v>302</v>
      </c>
      <c r="Y3465" t="s">
        <v>5113</v>
      </c>
      <c r="Z3465" t="s">
        <v>42</v>
      </c>
      <c r="AA3465" t="s">
        <v>38</v>
      </c>
      <c r="AB3465" t="s">
        <v>38</v>
      </c>
      <c r="AC3465" t="s">
        <v>201</v>
      </c>
      <c r="AD3465" t="s">
        <v>48</v>
      </c>
      <c r="AG3465" t="str">
        <f>IF(AD3465="United States", IFERROR(INDEX(Sheet2!$C:$C, MATCH(AE3465&amp;AF3465, Sheet2!$E:$E, 0)) &amp; ", " &amp; INDEX(Sheet2!$D:$D, MATCH(AE3465&amp;AF3465, Sheet2!$E:$E, 0)), ""), "-")</f>
        <v/>
      </c>
    </row>
    <row r="3466" spans="1:33" x14ac:dyDescent="0.25">
      <c r="A3466" t="s">
        <v>285</v>
      </c>
      <c r="B3466" t="s">
        <v>5114</v>
      </c>
      <c r="C3466" t="s">
        <v>5107</v>
      </c>
      <c r="D3466" t="s">
        <v>113</v>
      </c>
      <c r="E3466" t="s">
        <v>38</v>
      </c>
      <c r="F3466">
        <v>1753</v>
      </c>
      <c r="G3466">
        <v>1786</v>
      </c>
      <c r="H3466" t="s">
        <v>3838</v>
      </c>
      <c r="I3466" t="s">
        <v>80</v>
      </c>
      <c r="J3466" t="s">
        <v>38</v>
      </c>
      <c r="K3466" t="s">
        <v>38</v>
      </c>
      <c r="L3466" t="s">
        <v>38</v>
      </c>
      <c r="M3466" t="s">
        <v>38</v>
      </c>
      <c r="N3466" t="s">
        <v>38</v>
      </c>
      <c r="O3466" t="s">
        <v>41</v>
      </c>
      <c r="P3466" t="s">
        <v>42</v>
      </c>
      <c r="Q3466" t="s">
        <v>43</v>
      </c>
      <c r="R3466" t="s">
        <v>89</v>
      </c>
      <c r="S3466" t="s">
        <v>153</v>
      </c>
      <c r="T3466" t="s">
        <v>89</v>
      </c>
      <c r="U3466" t="s">
        <v>301</v>
      </c>
      <c r="V3466" t="s">
        <v>38</v>
      </c>
      <c r="W3466" t="s">
        <v>92</v>
      </c>
      <c r="X3466" t="s">
        <v>302</v>
      </c>
      <c r="Y3466" t="s">
        <v>5115</v>
      </c>
      <c r="Z3466" t="s">
        <v>42</v>
      </c>
      <c r="AA3466" t="s">
        <v>155</v>
      </c>
      <c r="AB3466" t="s">
        <v>38</v>
      </c>
      <c r="AC3466" t="s">
        <v>153</v>
      </c>
      <c r="AD3466" t="s">
        <v>48</v>
      </c>
      <c r="AG3466" t="str">
        <f>IF(AD3466="United States", IFERROR(INDEX(Sheet2!$C:$C, MATCH(AE3466&amp;AF3466, Sheet2!$E:$E, 0)) &amp; ", " &amp; INDEX(Sheet2!$D:$D, MATCH(AE3466&amp;AF3466, Sheet2!$E:$E, 0)), ""), "-")</f>
        <v/>
      </c>
    </row>
    <row r="3467" spans="1:33" x14ac:dyDescent="0.25">
      <c r="A3467" t="s">
        <v>285</v>
      </c>
      <c r="B3467" t="s">
        <v>5116</v>
      </c>
      <c r="C3467" t="s">
        <v>5107</v>
      </c>
      <c r="D3467" t="s">
        <v>113</v>
      </c>
      <c r="E3467" t="s">
        <v>38</v>
      </c>
      <c r="F3467">
        <v>1757</v>
      </c>
      <c r="G3467">
        <v>1787</v>
      </c>
      <c r="H3467" t="s">
        <v>3838</v>
      </c>
      <c r="I3467" t="s">
        <v>80</v>
      </c>
      <c r="J3467" t="s">
        <v>38</v>
      </c>
      <c r="K3467" t="s">
        <v>38</v>
      </c>
      <c r="L3467" t="s">
        <v>38</v>
      </c>
      <c r="M3467" t="s">
        <v>38</v>
      </c>
      <c r="N3467" t="s">
        <v>38</v>
      </c>
      <c r="O3467" t="s">
        <v>41</v>
      </c>
      <c r="P3467" t="s">
        <v>42</v>
      </c>
      <c r="Q3467" t="s">
        <v>43</v>
      </c>
      <c r="R3467" t="s">
        <v>89</v>
      </c>
      <c r="S3467" t="s">
        <v>165</v>
      </c>
      <c r="T3467" t="s">
        <v>89</v>
      </c>
      <c r="U3467" t="s">
        <v>301</v>
      </c>
      <c r="V3467" t="s">
        <v>38</v>
      </c>
      <c r="W3467" t="s">
        <v>92</v>
      </c>
      <c r="X3467" t="s">
        <v>302</v>
      </c>
      <c r="Y3467" t="s">
        <v>5117</v>
      </c>
      <c r="Z3467" t="s">
        <v>42</v>
      </c>
      <c r="AA3467" t="s">
        <v>166</v>
      </c>
      <c r="AB3467" t="s">
        <v>38</v>
      </c>
      <c r="AC3467" t="s">
        <v>165</v>
      </c>
      <c r="AD3467" t="s">
        <v>48</v>
      </c>
      <c r="AG3467" t="str">
        <f>IF(AD3467="United States", IFERROR(INDEX(Sheet2!$C:$C, MATCH(AE3467&amp;AF3467, Sheet2!$E:$E, 0)) &amp; ", " &amp; INDEX(Sheet2!$D:$D, MATCH(AE3467&amp;AF3467, Sheet2!$E:$E, 0)), ""), "-")</f>
        <v/>
      </c>
    </row>
    <row r="3468" spans="1:33" x14ac:dyDescent="0.25">
      <c r="A3468" t="s">
        <v>285</v>
      </c>
      <c r="B3468" t="s">
        <v>5118</v>
      </c>
      <c r="C3468" t="s">
        <v>5107</v>
      </c>
      <c r="D3468" t="s">
        <v>113</v>
      </c>
      <c r="E3468" t="s">
        <v>38</v>
      </c>
      <c r="F3468">
        <v>1760</v>
      </c>
      <c r="G3468">
        <v>1788</v>
      </c>
      <c r="H3468" t="s">
        <v>3838</v>
      </c>
      <c r="I3468" t="s">
        <v>80</v>
      </c>
      <c r="J3468" t="s">
        <v>38</v>
      </c>
      <c r="K3468" t="s">
        <v>38</v>
      </c>
      <c r="L3468" t="s">
        <v>38</v>
      </c>
      <c r="M3468" t="s">
        <v>38</v>
      </c>
      <c r="N3468" t="s">
        <v>38</v>
      </c>
      <c r="O3468" t="s">
        <v>41</v>
      </c>
      <c r="P3468" t="s">
        <v>42</v>
      </c>
      <c r="Q3468" t="s">
        <v>43</v>
      </c>
      <c r="R3468" t="s">
        <v>89</v>
      </c>
      <c r="S3468" t="s">
        <v>165</v>
      </c>
      <c r="T3468" t="s">
        <v>89</v>
      </c>
      <c r="U3468" t="s">
        <v>301</v>
      </c>
      <c r="V3468" t="s">
        <v>38</v>
      </c>
      <c r="W3468" t="s">
        <v>92</v>
      </c>
      <c r="X3468" t="s">
        <v>302</v>
      </c>
      <c r="Y3468" t="s">
        <v>5119</v>
      </c>
      <c r="Z3468" t="s">
        <v>42</v>
      </c>
      <c r="AA3468" t="s">
        <v>166</v>
      </c>
      <c r="AB3468" t="s">
        <v>38</v>
      </c>
      <c r="AC3468" t="s">
        <v>165</v>
      </c>
      <c r="AD3468" t="s">
        <v>48</v>
      </c>
      <c r="AG3468" t="str">
        <f>IF(AD3468="United States", IFERROR(INDEX(Sheet2!$C:$C, MATCH(AE3468&amp;AF3468, Sheet2!$E:$E, 0)) &amp; ", " &amp; INDEX(Sheet2!$D:$D, MATCH(AE3468&amp;AF3468, Sheet2!$E:$E, 0)), ""), "-")</f>
        <v/>
      </c>
    </row>
    <row r="3469" spans="1:33" x14ac:dyDescent="0.25">
      <c r="A3469" t="s">
        <v>285</v>
      </c>
      <c r="B3469" t="s">
        <v>5120</v>
      </c>
      <c r="C3469" t="s">
        <v>5107</v>
      </c>
      <c r="D3469" t="s">
        <v>807</v>
      </c>
      <c r="E3469" t="s">
        <v>1377</v>
      </c>
      <c r="F3469">
        <v>1753</v>
      </c>
      <c r="G3469">
        <v>1789</v>
      </c>
      <c r="H3469" t="s">
        <v>313</v>
      </c>
      <c r="I3469" t="s">
        <v>80</v>
      </c>
      <c r="J3469" t="s">
        <v>38</v>
      </c>
      <c r="K3469" t="s">
        <v>38</v>
      </c>
      <c r="L3469" t="s">
        <v>38</v>
      </c>
      <c r="M3469" t="s">
        <v>38</v>
      </c>
      <c r="N3469" t="s">
        <v>38</v>
      </c>
      <c r="O3469" t="s">
        <v>41</v>
      </c>
      <c r="P3469" t="s">
        <v>42</v>
      </c>
      <c r="Q3469" t="s">
        <v>124</v>
      </c>
      <c r="R3469" t="s">
        <v>89</v>
      </c>
      <c r="S3469" t="s">
        <v>153</v>
      </c>
      <c r="T3469" t="s">
        <v>89</v>
      </c>
      <c r="U3469" t="s">
        <v>301</v>
      </c>
      <c r="V3469" t="s">
        <v>38</v>
      </c>
      <c r="W3469" t="s">
        <v>92</v>
      </c>
      <c r="X3469" t="s">
        <v>302</v>
      </c>
      <c r="Y3469" t="s">
        <v>5121</v>
      </c>
      <c r="Z3469" t="s">
        <v>42</v>
      </c>
      <c r="AA3469" t="s">
        <v>38</v>
      </c>
      <c r="AB3469" t="s">
        <v>38</v>
      </c>
      <c r="AC3469" t="s">
        <v>153</v>
      </c>
      <c r="AD3469" t="s">
        <v>48</v>
      </c>
      <c r="AG3469" t="str">
        <f>IF(AD3469="United States", IFERROR(INDEX(Sheet2!$C:$C, MATCH(AE3469&amp;AF3469, Sheet2!$E:$E, 0)) &amp; ", " &amp; INDEX(Sheet2!$D:$D, MATCH(AE3469&amp;AF3469, Sheet2!$E:$E, 0)), ""), "-")</f>
        <v/>
      </c>
    </row>
    <row r="3470" spans="1:33" x14ac:dyDescent="0.25">
      <c r="A3470" t="s">
        <v>285</v>
      </c>
      <c r="B3470" t="s">
        <v>5122</v>
      </c>
      <c r="C3470" t="s">
        <v>5107</v>
      </c>
      <c r="D3470" t="s">
        <v>4173</v>
      </c>
      <c r="E3470" t="s">
        <v>38</v>
      </c>
      <c r="F3470">
        <v>1763</v>
      </c>
      <c r="G3470">
        <v>1790</v>
      </c>
      <c r="H3470" t="s">
        <v>313</v>
      </c>
      <c r="I3470" t="s">
        <v>80</v>
      </c>
      <c r="J3470" t="s">
        <v>38</v>
      </c>
      <c r="K3470" t="s">
        <v>38</v>
      </c>
      <c r="L3470" t="s">
        <v>38</v>
      </c>
      <c r="M3470" t="s">
        <v>38</v>
      </c>
      <c r="N3470" t="s">
        <v>38</v>
      </c>
      <c r="O3470" t="s">
        <v>41</v>
      </c>
      <c r="P3470" t="s">
        <v>42</v>
      </c>
      <c r="Q3470" t="s">
        <v>124</v>
      </c>
      <c r="R3470" t="s">
        <v>89</v>
      </c>
      <c r="S3470" t="s">
        <v>153</v>
      </c>
      <c r="T3470" t="s">
        <v>89</v>
      </c>
      <c r="U3470" t="s">
        <v>301</v>
      </c>
      <c r="V3470" t="s">
        <v>38</v>
      </c>
      <c r="W3470" t="s">
        <v>92</v>
      </c>
      <c r="X3470" t="s">
        <v>302</v>
      </c>
      <c r="Y3470" t="s">
        <v>5121</v>
      </c>
      <c r="Z3470" t="s">
        <v>42</v>
      </c>
      <c r="AA3470" t="s">
        <v>38</v>
      </c>
      <c r="AB3470" t="s">
        <v>38</v>
      </c>
      <c r="AC3470" t="s">
        <v>153</v>
      </c>
      <c r="AD3470" t="s">
        <v>48</v>
      </c>
      <c r="AG3470" t="str">
        <f>IF(AD3470="United States", IFERROR(INDEX(Sheet2!$C:$C, MATCH(AE3470&amp;AF3470, Sheet2!$E:$E, 0)) &amp; ", " &amp; INDEX(Sheet2!$D:$D, MATCH(AE3470&amp;AF3470, Sheet2!$E:$E, 0)), ""), "-")</f>
        <v/>
      </c>
    </row>
    <row r="3471" spans="1:33" x14ac:dyDescent="0.25">
      <c r="A3471" t="s">
        <v>285</v>
      </c>
      <c r="B3471" t="s">
        <v>5123</v>
      </c>
      <c r="C3471" t="s">
        <v>5107</v>
      </c>
      <c r="D3471" t="s">
        <v>1164</v>
      </c>
      <c r="E3471" t="s">
        <v>38</v>
      </c>
      <c r="F3471">
        <v>1782</v>
      </c>
      <c r="G3471">
        <v>1797</v>
      </c>
      <c r="H3471" t="s">
        <v>313</v>
      </c>
      <c r="I3471" t="s">
        <v>80</v>
      </c>
      <c r="J3471" t="s">
        <v>38</v>
      </c>
      <c r="K3471" t="s">
        <v>38</v>
      </c>
      <c r="L3471" t="s">
        <v>38</v>
      </c>
      <c r="M3471" t="s">
        <v>38</v>
      </c>
      <c r="N3471" t="s">
        <v>38</v>
      </c>
      <c r="O3471" t="s">
        <v>54</v>
      </c>
      <c r="P3471" t="s">
        <v>42</v>
      </c>
      <c r="Q3471" t="s">
        <v>43</v>
      </c>
      <c r="R3471" t="s">
        <v>89</v>
      </c>
      <c r="S3471" t="s">
        <v>38</v>
      </c>
      <c r="T3471" t="s">
        <v>89</v>
      </c>
      <c r="U3471" t="s">
        <v>301</v>
      </c>
      <c r="V3471" t="s">
        <v>38</v>
      </c>
      <c r="W3471" t="s">
        <v>92</v>
      </c>
      <c r="X3471" t="s">
        <v>302</v>
      </c>
      <c r="Y3471" t="s">
        <v>5108</v>
      </c>
      <c r="Z3471" t="s">
        <v>42</v>
      </c>
      <c r="AA3471" t="s">
        <v>38</v>
      </c>
      <c r="AB3471" t="s">
        <v>38</v>
      </c>
      <c r="AC3471" t="s">
        <v>38</v>
      </c>
      <c r="AD3471" t="s">
        <v>48</v>
      </c>
      <c r="AG3471" t="str">
        <f>IF(AD3471="United States", IFERROR(INDEX(Sheet2!$C:$C, MATCH(AE3471&amp;AF3471, Sheet2!$E:$E, 0)) &amp; ", " &amp; INDEX(Sheet2!$D:$D, MATCH(AE3471&amp;AF3471, Sheet2!$E:$E, 0)), ""), "-")</f>
        <v/>
      </c>
    </row>
    <row r="3472" spans="1:33" x14ac:dyDescent="0.25">
      <c r="A3472" t="s">
        <v>285</v>
      </c>
      <c r="B3472" t="s">
        <v>5124</v>
      </c>
      <c r="C3472" t="s">
        <v>5107</v>
      </c>
      <c r="D3472" t="s">
        <v>352</v>
      </c>
      <c r="E3472" t="s">
        <v>38</v>
      </c>
      <c r="F3472">
        <v>1779</v>
      </c>
      <c r="G3472">
        <v>1796</v>
      </c>
      <c r="H3472" t="s">
        <v>313</v>
      </c>
      <c r="I3472" t="s">
        <v>80</v>
      </c>
      <c r="J3472" t="s">
        <v>38</v>
      </c>
      <c r="K3472" t="s">
        <v>38</v>
      </c>
      <c r="L3472" t="s">
        <v>38</v>
      </c>
      <c r="M3472" t="s">
        <v>38</v>
      </c>
      <c r="N3472" t="s">
        <v>38</v>
      </c>
      <c r="O3472" t="s">
        <v>54</v>
      </c>
      <c r="P3472" t="s">
        <v>42</v>
      </c>
      <c r="Q3472" t="s">
        <v>43</v>
      </c>
      <c r="R3472" t="s">
        <v>89</v>
      </c>
      <c r="S3472" t="s">
        <v>38</v>
      </c>
      <c r="T3472" t="s">
        <v>89</v>
      </c>
      <c r="U3472" t="s">
        <v>301</v>
      </c>
      <c r="V3472" t="s">
        <v>38</v>
      </c>
      <c r="W3472" t="s">
        <v>92</v>
      </c>
      <c r="X3472" t="s">
        <v>302</v>
      </c>
      <c r="Y3472" t="s">
        <v>5108</v>
      </c>
      <c r="Z3472" t="s">
        <v>42</v>
      </c>
      <c r="AA3472" t="s">
        <v>38</v>
      </c>
      <c r="AB3472" t="s">
        <v>38</v>
      </c>
      <c r="AC3472" t="s">
        <v>38</v>
      </c>
      <c r="AD3472" t="s">
        <v>48</v>
      </c>
      <c r="AG3472" t="str">
        <f>IF(AD3472="United States", IFERROR(INDEX(Sheet2!$C:$C, MATCH(AE3472&amp;AF3472, Sheet2!$E:$E, 0)) &amp; ", " &amp; INDEX(Sheet2!$D:$D, MATCH(AE3472&amp;AF3472, Sheet2!$E:$E, 0)), ""), "-")</f>
        <v/>
      </c>
    </row>
    <row r="3473" spans="1:33" x14ac:dyDescent="0.25">
      <c r="A3473" t="s">
        <v>285</v>
      </c>
      <c r="B3473" t="s">
        <v>5125</v>
      </c>
      <c r="C3473" t="s">
        <v>5107</v>
      </c>
      <c r="D3473" t="s">
        <v>1573</v>
      </c>
      <c r="E3473" t="s">
        <v>38</v>
      </c>
      <c r="F3473">
        <v>1761</v>
      </c>
      <c r="G3473">
        <v>1795</v>
      </c>
      <c r="H3473" t="s">
        <v>313</v>
      </c>
      <c r="I3473" t="s">
        <v>80</v>
      </c>
      <c r="J3473" t="s">
        <v>38</v>
      </c>
      <c r="K3473" t="s">
        <v>38</v>
      </c>
      <c r="L3473" t="s">
        <v>38</v>
      </c>
      <c r="M3473" t="s">
        <v>38</v>
      </c>
      <c r="N3473" t="s">
        <v>38</v>
      </c>
      <c r="O3473" t="s">
        <v>57</v>
      </c>
      <c r="P3473" t="s">
        <v>42</v>
      </c>
      <c r="Q3473" t="s">
        <v>43</v>
      </c>
      <c r="R3473" t="s">
        <v>89</v>
      </c>
      <c r="S3473" t="s">
        <v>153</v>
      </c>
      <c r="T3473" t="s">
        <v>89</v>
      </c>
      <c r="U3473" t="s">
        <v>301</v>
      </c>
      <c r="V3473" t="s">
        <v>38</v>
      </c>
      <c r="W3473" t="s">
        <v>92</v>
      </c>
      <c r="X3473" t="s">
        <v>302</v>
      </c>
      <c r="Y3473" t="s">
        <v>5108</v>
      </c>
      <c r="Z3473" t="s">
        <v>42</v>
      </c>
      <c r="AA3473" t="s">
        <v>38</v>
      </c>
      <c r="AB3473" t="s">
        <v>38</v>
      </c>
      <c r="AC3473" t="s">
        <v>153</v>
      </c>
      <c r="AD3473" t="s">
        <v>48</v>
      </c>
      <c r="AG3473" t="str">
        <f>IF(AD3473="United States", IFERROR(INDEX(Sheet2!$C:$C, MATCH(AE3473&amp;AF3473, Sheet2!$E:$E, 0)) &amp; ", " &amp; INDEX(Sheet2!$D:$D, MATCH(AE3473&amp;AF3473, Sheet2!$E:$E, 0)), ""), "-")</f>
        <v/>
      </c>
    </row>
    <row r="3474" spans="1:33" x14ac:dyDescent="0.25">
      <c r="A3474" t="s">
        <v>285</v>
      </c>
      <c r="B3474" t="s">
        <v>5126</v>
      </c>
      <c r="C3474" t="s">
        <v>5107</v>
      </c>
      <c r="D3474" t="s">
        <v>5127</v>
      </c>
      <c r="E3474" t="s">
        <v>38</v>
      </c>
      <c r="F3474">
        <v>1768</v>
      </c>
      <c r="G3474">
        <v>1794</v>
      </c>
      <c r="H3474" t="s">
        <v>313</v>
      </c>
      <c r="I3474" t="s">
        <v>80</v>
      </c>
      <c r="J3474" t="s">
        <v>38</v>
      </c>
      <c r="K3474" t="s">
        <v>38</v>
      </c>
      <c r="L3474" t="s">
        <v>38</v>
      </c>
      <c r="M3474" t="s">
        <v>38</v>
      </c>
      <c r="N3474" t="s">
        <v>38</v>
      </c>
      <c r="O3474" t="s">
        <v>74</v>
      </c>
      <c r="P3474" t="s">
        <v>42</v>
      </c>
      <c r="Q3474" t="s">
        <v>43</v>
      </c>
      <c r="R3474" t="s">
        <v>89</v>
      </c>
      <c r="S3474" t="s">
        <v>38</v>
      </c>
      <c r="T3474" t="s">
        <v>89</v>
      </c>
      <c r="U3474" t="s">
        <v>301</v>
      </c>
      <c r="V3474" t="s">
        <v>38</v>
      </c>
      <c r="W3474" t="s">
        <v>92</v>
      </c>
      <c r="X3474" t="s">
        <v>302</v>
      </c>
      <c r="Y3474" t="s">
        <v>5128</v>
      </c>
      <c r="Z3474" t="s">
        <v>42</v>
      </c>
      <c r="AA3474" t="s">
        <v>38</v>
      </c>
      <c r="AB3474" t="s">
        <v>38</v>
      </c>
      <c r="AC3474" t="s">
        <v>5127</v>
      </c>
      <c r="AD3474" t="s">
        <v>48</v>
      </c>
      <c r="AG3474" t="str">
        <f>IF(AD3474="United States", IFERROR(INDEX(Sheet2!$C:$C, MATCH(AE3474&amp;AF3474, Sheet2!$E:$E, 0)) &amp; ", " &amp; INDEX(Sheet2!$D:$D, MATCH(AE3474&amp;AF3474, Sheet2!$E:$E, 0)), ""), "-")</f>
        <v/>
      </c>
    </row>
    <row r="3475" spans="1:33" x14ac:dyDescent="0.25">
      <c r="A3475" t="s">
        <v>285</v>
      </c>
      <c r="B3475" t="s">
        <v>5129</v>
      </c>
      <c r="C3475" t="s">
        <v>5107</v>
      </c>
      <c r="D3475" t="s">
        <v>803</v>
      </c>
      <c r="E3475" t="s">
        <v>38</v>
      </c>
      <c r="F3475">
        <v>1763</v>
      </c>
      <c r="G3475">
        <v>1793</v>
      </c>
      <c r="H3475" t="s">
        <v>313</v>
      </c>
      <c r="I3475" t="s">
        <v>80</v>
      </c>
      <c r="J3475" t="s">
        <v>38</v>
      </c>
      <c r="K3475" t="s">
        <v>38</v>
      </c>
      <c r="L3475" t="s">
        <v>38</v>
      </c>
      <c r="M3475" t="s">
        <v>38</v>
      </c>
      <c r="N3475" t="s">
        <v>38</v>
      </c>
      <c r="O3475" t="s">
        <v>57</v>
      </c>
      <c r="P3475" t="s">
        <v>42</v>
      </c>
      <c r="Q3475" t="s">
        <v>43</v>
      </c>
      <c r="R3475" t="s">
        <v>89</v>
      </c>
      <c r="S3475" t="s">
        <v>38</v>
      </c>
      <c r="T3475" t="s">
        <v>89</v>
      </c>
      <c r="U3475" t="s">
        <v>301</v>
      </c>
      <c r="V3475" t="s">
        <v>38</v>
      </c>
      <c r="W3475" t="s">
        <v>92</v>
      </c>
      <c r="X3475" t="s">
        <v>302</v>
      </c>
      <c r="Y3475" t="s">
        <v>5108</v>
      </c>
      <c r="Z3475" t="s">
        <v>42</v>
      </c>
      <c r="AA3475" t="s">
        <v>38</v>
      </c>
      <c r="AB3475" t="s">
        <v>38</v>
      </c>
      <c r="AC3475" t="s">
        <v>38</v>
      </c>
      <c r="AD3475" t="s">
        <v>48</v>
      </c>
      <c r="AG3475" t="str">
        <f>IF(AD3475="United States", IFERROR(INDEX(Sheet2!$C:$C, MATCH(AE3475&amp;AF3475, Sheet2!$E:$E, 0)) &amp; ", " &amp; INDEX(Sheet2!$D:$D, MATCH(AE3475&amp;AF3475, Sheet2!$E:$E, 0)), ""), "-")</f>
        <v/>
      </c>
    </row>
    <row r="3476" spans="1:33" x14ac:dyDescent="0.25">
      <c r="A3476" t="s">
        <v>285</v>
      </c>
      <c r="B3476" t="s">
        <v>5130</v>
      </c>
      <c r="C3476" t="s">
        <v>5099</v>
      </c>
      <c r="D3476" t="s">
        <v>1011</v>
      </c>
      <c r="E3476" t="s">
        <v>5131</v>
      </c>
      <c r="F3476">
        <v>1749</v>
      </c>
      <c r="G3476">
        <v>144</v>
      </c>
      <c r="H3476" t="s">
        <v>3838</v>
      </c>
      <c r="I3476" t="s">
        <v>39</v>
      </c>
      <c r="J3476" t="s">
        <v>2876</v>
      </c>
      <c r="K3476" t="s">
        <v>38</v>
      </c>
      <c r="L3476" t="s">
        <v>38</v>
      </c>
      <c r="M3476" t="s">
        <v>38</v>
      </c>
      <c r="N3476" t="s">
        <v>38</v>
      </c>
      <c r="O3476" t="s">
        <v>57</v>
      </c>
      <c r="P3476" t="s">
        <v>42</v>
      </c>
      <c r="Q3476" t="s">
        <v>43</v>
      </c>
      <c r="R3476" t="s">
        <v>89</v>
      </c>
      <c r="S3476" t="s">
        <v>38</v>
      </c>
      <c r="T3476" t="s">
        <v>89</v>
      </c>
      <c r="U3476" t="s">
        <v>301</v>
      </c>
      <c r="V3476" t="s">
        <v>137</v>
      </c>
      <c r="W3476" t="s">
        <v>92</v>
      </c>
      <c r="X3476" t="s">
        <v>302</v>
      </c>
      <c r="Y3476" t="s">
        <v>5132</v>
      </c>
      <c r="Z3476" t="s">
        <v>42</v>
      </c>
      <c r="AA3476" t="s">
        <v>38</v>
      </c>
      <c r="AB3476" t="s">
        <v>38</v>
      </c>
      <c r="AC3476" t="s">
        <v>38</v>
      </c>
      <c r="AD3476" t="s">
        <v>48</v>
      </c>
      <c r="AG3476" t="str">
        <f>IF(AD3476="United States", IFERROR(INDEX(Sheet2!$C:$C, MATCH(AE3476&amp;AF3476, Sheet2!$E:$E, 0)) &amp; ", " &amp; INDEX(Sheet2!$D:$D, MATCH(AE3476&amp;AF3476, Sheet2!$E:$E, 0)), ""), "-")</f>
        <v/>
      </c>
    </row>
    <row r="3477" spans="1:33" x14ac:dyDescent="0.25">
      <c r="A3477" t="s">
        <v>285</v>
      </c>
      <c r="B3477" t="s">
        <v>5133</v>
      </c>
      <c r="C3477" t="s">
        <v>5099</v>
      </c>
      <c r="D3477" t="s">
        <v>1168</v>
      </c>
      <c r="E3477" t="s">
        <v>38</v>
      </c>
      <c r="F3477">
        <v>1750</v>
      </c>
      <c r="G3477">
        <v>143</v>
      </c>
      <c r="H3477" t="s">
        <v>3838</v>
      </c>
      <c r="I3477" t="s">
        <v>39</v>
      </c>
      <c r="J3477" t="s">
        <v>2876</v>
      </c>
      <c r="K3477" t="s">
        <v>38</v>
      </c>
      <c r="L3477" t="s">
        <v>38</v>
      </c>
      <c r="M3477" t="s">
        <v>38</v>
      </c>
      <c r="N3477" t="s">
        <v>38</v>
      </c>
      <c r="O3477" t="s">
        <v>57</v>
      </c>
      <c r="P3477" t="s">
        <v>42</v>
      </c>
      <c r="Q3477" t="s">
        <v>43</v>
      </c>
      <c r="R3477" t="s">
        <v>89</v>
      </c>
      <c r="S3477" t="s">
        <v>38</v>
      </c>
      <c r="T3477" t="s">
        <v>89</v>
      </c>
      <c r="U3477" t="s">
        <v>301</v>
      </c>
      <c r="V3477" t="s">
        <v>137</v>
      </c>
      <c r="W3477" t="s">
        <v>92</v>
      </c>
      <c r="X3477" t="s">
        <v>302</v>
      </c>
      <c r="Y3477" t="s">
        <v>5134</v>
      </c>
      <c r="Z3477" t="s">
        <v>42</v>
      </c>
      <c r="AA3477" t="s">
        <v>38</v>
      </c>
      <c r="AB3477" t="s">
        <v>38</v>
      </c>
      <c r="AC3477" t="s">
        <v>340</v>
      </c>
      <c r="AD3477" t="s">
        <v>340</v>
      </c>
      <c r="AG3477" t="str">
        <f>IF(AD3477="United States", IFERROR(INDEX(Sheet2!$C:$C, MATCH(AE3477&amp;AF3477, Sheet2!$E:$E, 0)) &amp; ", " &amp; INDEX(Sheet2!$D:$D, MATCH(AE3477&amp;AF3477, Sheet2!$E:$E, 0)), ""), "52.5310214, -1.2649062")</f>
        <v>52.5310214, -1.2649062</v>
      </c>
    </row>
    <row r="3478" spans="1:33" x14ac:dyDescent="0.25">
      <c r="A3478" t="s">
        <v>285</v>
      </c>
      <c r="B3478" t="s">
        <v>5135</v>
      </c>
      <c r="C3478" t="s">
        <v>5099</v>
      </c>
      <c r="D3478" t="s">
        <v>193</v>
      </c>
      <c r="E3478" t="s">
        <v>5136</v>
      </c>
      <c r="F3478">
        <v>1761</v>
      </c>
      <c r="G3478">
        <v>149</v>
      </c>
      <c r="H3478" t="s">
        <v>3838</v>
      </c>
      <c r="I3478" t="s">
        <v>39</v>
      </c>
      <c r="J3478" t="s">
        <v>2876</v>
      </c>
      <c r="K3478" t="s">
        <v>38</v>
      </c>
      <c r="L3478" t="s">
        <v>38</v>
      </c>
      <c r="M3478" t="s">
        <v>38</v>
      </c>
      <c r="N3478" t="s">
        <v>38</v>
      </c>
      <c r="O3478" t="s">
        <v>41</v>
      </c>
      <c r="P3478" t="s">
        <v>42</v>
      </c>
      <c r="Q3478" t="s">
        <v>43</v>
      </c>
      <c r="R3478" t="s">
        <v>89</v>
      </c>
      <c r="S3478" t="s">
        <v>38</v>
      </c>
      <c r="T3478" t="s">
        <v>89</v>
      </c>
      <c r="U3478" t="s">
        <v>301</v>
      </c>
      <c r="V3478" t="s">
        <v>137</v>
      </c>
      <c r="W3478" t="s">
        <v>92</v>
      </c>
      <c r="X3478" t="s">
        <v>302</v>
      </c>
      <c r="Y3478" t="s">
        <v>5111</v>
      </c>
      <c r="Z3478" t="s">
        <v>42</v>
      </c>
      <c r="AA3478" t="s">
        <v>38</v>
      </c>
      <c r="AB3478" t="s">
        <v>38</v>
      </c>
      <c r="AC3478" t="s">
        <v>38</v>
      </c>
      <c r="AD3478" t="s">
        <v>48</v>
      </c>
      <c r="AG3478" t="str">
        <f>IF(AD3478="United States", IFERROR(INDEX(Sheet2!$C:$C, MATCH(AE3478&amp;AF3478, Sheet2!$E:$E, 0)) &amp; ", " &amp; INDEX(Sheet2!$D:$D, MATCH(AE3478&amp;AF3478, Sheet2!$E:$E, 0)), ""), "-")</f>
        <v/>
      </c>
    </row>
    <row r="3479" spans="1:33" x14ac:dyDescent="0.25">
      <c r="A3479" t="s">
        <v>285</v>
      </c>
      <c r="D3479" t="s">
        <v>5137</v>
      </c>
      <c r="E3479" t="s">
        <v>185</v>
      </c>
      <c r="F3479">
        <v>1763</v>
      </c>
      <c r="G3479">
        <v>165</v>
      </c>
      <c r="H3479">
        <v>20</v>
      </c>
      <c r="J3479" t="s">
        <v>5138</v>
      </c>
      <c r="O3479" t="s">
        <v>57</v>
      </c>
      <c r="R3479" t="s">
        <v>89</v>
      </c>
      <c r="T3479" t="s">
        <v>89</v>
      </c>
      <c r="U3479" t="s">
        <v>301</v>
      </c>
      <c r="V3479" t="s">
        <v>137</v>
      </c>
      <c r="W3479" t="s">
        <v>92</v>
      </c>
      <c r="X3479" t="s">
        <v>302</v>
      </c>
      <c r="Y3479" t="s">
        <v>38</v>
      </c>
      <c r="AA3479" t="s">
        <v>38</v>
      </c>
      <c r="AB3479" t="s">
        <v>38</v>
      </c>
      <c r="AC3479" t="s">
        <v>38</v>
      </c>
      <c r="AD3479" t="s">
        <v>48</v>
      </c>
      <c r="AG3479" t="str">
        <f>IF(AD3479="United States", IFERROR(INDEX(Sheet2!$C:$C, MATCH(AE3479&amp;AF3479, Sheet2!$E:$E, 0)) &amp; ", " &amp; INDEX(Sheet2!$D:$D, MATCH(AE3479&amp;AF3479, Sheet2!$E:$E, 0)), ""), "-")</f>
        <v/>
      </c>
    </row>
    <row r="3480" spans="1:33" x14ac:dyDescent="0.25">
      <c r="A3480" t="s">
        <v>285</v>
      </c>
      <c r="B3480" t="s">
        <v>5139</v>
      </c>
      <c r="C3480" t="s">
        <v>5107</v>
      </c>
      <c r="D3480" t="s">
        <v>210</v>
      </c>
      <c r="F3480">
        <v>1768</v>
      </c>
      <c r="G3480">
        <v>2711</v>
      </c>
      <c r="I3480" t="s">
        <v>80</v>
      </c>
      <c r="J3480" t="s">
        <v>5138</v>
      </c>
      <c r="O3480" t="s">
        <v>54</v>
      </c>
      <c r="P3480" t="s">
        <v>42</v>
      </c>
      <c r="Q3480" t="s">
        <v>43</v>
      </c>
      <c r="V3480" t="s">
        <v>2569</v>
      </c>
      <c r="Y3480" t="s">
        <v>5140</v>
      </c>
      <c r="Z3480" t="s">
        <v>42</v>
      </c>
      <c r="AA3480" t="s">
        <v>2571</v>
      </c>
      <c r="AB3480" t="s">
        <v>672</v>
      </c>
      <c r="AC3480" t="s">
        <v>60</v>
      </c>
      <c r="AD3480" t="s">
        <v>672</v>
      </c>
      <c r="AG3480" t="str">
        <f>IF(AD3480="United States", IFERROR(INDEX(Sheet2!$C:$C, MATCH(AE3480&amp;AF3480, Sheet2!$E:$E, 0)) &amp; ", " &amp; INDEX(Sheet2!$D:$D, MATCH(AE3480&amp;AF3480, Sheet2!$E:$E, 0)), ""), "-")</f>
        <v>-</v>
      </c>
    </row>
    <row r="3481" spans="1:33" x14ac:dyDescent="0.25">
      <c r="A3481" t="s">
        <v>285</v>
      </c>
      <c r="B3481" t="s">
        <v>5141</v>
      </c>
      <c r="C3481" t="s">
        <v>5099</v>
      </c>
      <c r="D3481" t="s">
        <v>226</v>
      </c>
      <c r="E3481" t="s">
        <v>5131</v>
      </c>
      <c r="F3481">
        <v>1755</v>
      </c>
      <c r="G3481">
        <v>2687</v>
      </c>
      <c r="I3481" t="s">
        <v>39</v>
      </c>
      <c r="J3481" t="s">
        <v>2876</v>
      </c>
      <c r="O3481" t="s">
        <v>41</v>
      </c>
      <c r="P3481" t="s">
        <v>42</v>
      </c>
      <c r="Q3481" t="s">
        <v>43</v>
      </c>
      <c r="S3481" t="s">
        <v>89</v>
      </c>
      <c r="V3481" t="s">
        <v>137</v>
      </c>
      <c r="Y3481" t="s">
        <v>5132</v>
      </c>
      <c r="Z3481" t="s">
        <v>42</v>
      </c>
      <c r="AA3481" t="s">
        <v>38</v>
      </c>
      <c r="AB3481" t="s">
        <v>38</v>
      </c>
      <c r="AC3481" t="s">
        <v>89</v>
      </c>
      <c r="AD3481" t="s">
        <v>48</v>
      </c>
      <c r="AG3481" t="str">
        <f>IF(AD3481="United States", IFERROR(INDEX(Sheet2!$C:$C, MATCH(AE3481&amp;AF3481, Sheet2!$E:$E, 0)) &amp; ", " &amp; INDEX(Sheet2!$D:$D, MATCH(AE3481&amp;AF3481, Sheet2!$E:$E, 0)), ""), "-")</f>
        <v/>
      </c>
    </row>
    <row r="3482" spans="1:33" x14ac:dyDescent="0.25">
      <c r="A3482" t="s">
        <v>285</v>
      </c>
      <c r="B3482" t="s">
        <v>5142</v>
      </c>
      <c r="C3482" t="s">
        <v>5099</v>
      </c>
      <c r="D3482" t="s">
        <v>927</v>
      </c>
      <c r="E3482" t="s">
        <v>5143</v>
      </c>
      <c r="F3482">
        <v>1757</v>
      </c>
      <c r="G3482">
        <v>133</v>
      </c>
      <c r="H3482" t="s">
        <v>3838</v>
      </c>
      <c r="I3482" t="s">
        <v>39</v>
      </c>
      <c r="J3482" t="s">
        <v>2876</v>
      </c>
      <c r="K3482" t="s">
        <v>245</v>
      </c>
      <c r="L3482" t="s">
        <v>2465</v>
      </c>
      <c r="M3482" t="s">
        <v>38</v>
      </c>
      <c r="N3482" t="s">
        <v>38</v>
      </c>
      <c r="O3482" t="s">
        <v>41</v>
      </c>
      <c r="P3482" t="s">
        <v>42</v>
      </c>
      <c r="Q3482" t="s">
        <v>43</v>
      </c>
      <c r="R3482" t="s">
        <v>89</v>
      </c>
      <c r="S3482" t="s">
        <v>417</v>
      </c>
      <c r="T3482" t="s">
        <v>89</v>
      </c>
      <c r="U3482" t="s">
        <v>301</v>
      </c>
      <c r="V3482" t="s">
        <v>137</v>
      </c>
      <c r="W3482" t="s">
        <v>92</v>
      </c>
      <c r="X3482" t="s">
        <v>302</v>
      </c>
      <c r="Y3482" t="s">
        <v>5144</v>
      </c>
      <c r="Z3482" t="s">
        <v>42</v>
      </c>
      <c r="AA3482" t="s">
        <v>38</v>
      </c>
      <c r="AB3482" t="s">
        <v>38</v>
      </c>
      <c r="AC3482" t="s">
        <v>417</v>
      </c>
      <c r="AD3482" t="s">
        <v>48</v>
      </c>
      <c r="AG3482" t="str">
        <f>IF(AD3482="United States", IFERROR(INDEX(Sheet2!$C:$C, MATCH(AE3482&amp;AF3482, Sheet2!$E:$E, 0)) &amp; ", " &amp; INDEX(Sheet2!$D:$D, MATCH(AE3482&amp;AF3482, Sheet2!$E:$E, 0)), ""), "-")</f>
        <v/>
      </c>
    </row>
    <row r="3483" spans="1:33" x14ac:dyDescent="0.25">
      <c r="A3483" t="s">
        <v>285</v>
      </c>
      <c r="B3483" t="s">
        <v>5145</v>
      </c>
      <c r="C3483" t="s">
        <v>5099</v>
      </c>
      <c r="D3483" t="s">
        <v>361</v>
      </c>
      <c r="E3483" t="s">
        <v>275</v>
      </c>
      <c r="F3483">
        <v>1752</v>
      </c>
      <c r="G3483">
        <v>134</v>
      </c>
      <c r="H3483" t="s">
        <v>3838</v>
      </c>
      <c r="I3483" t="s">
        <v>39</v>
      </c>
      <c r="J3483" t="s">
        <v>2876</v>
      </c>
      <c r="K3483" t="s">
        <v>38</v>
      </c>
      <c r="L3483" t="s">
        <v>38</v>
      </c>
      <c r="M3483" t="s">
        <v>38</v>
      </c>
      <c r="N3483" t="s">
        <v>38</v>
      </c>
      <c r="O3483" t="s">
        <v>41</v>
      </c>
      <c r="P3483" t="s">
        <v>42</v>
      </c>
      <c r="Q3483" t="s">
        <v>43</v>
      </c>
      <c r="R3483" t="s">
        <v>89</v>
      </c>
      <c r="S3483" t="s">
        <v>38</v>
      </c>
      <c r="T3483" t="s">
        <v>89</v>
      </c>
      <c r="U3483" t="s">
        <v>301</v>
      </c>
      <c r="V3483" t="s">
        <v>137</v>
      </c>
      <c r="W3483" t="s">
        <v>92</v>
      </c>
      <c r="X3483" t="s">
        <v>302</v>
      </c>
      <c r="Y3483" t="s">
        <v>5146</v>
      </c>
      <c r="Z3483" t="s">
        <v>42</v>
      </c>
      <c r="AA3483" t="s">
        <v>38</v>
      </c>
      <c r="AB3483" t="s">
        <v>38</v>
      </c>
      <c r="AC3483" t="s">
        <v>38</v>
      </c>
      <c r="AD3483" t="s">
        <v>48</v>
      </c>
      <c r="AG3483" t="str">
        <f>IF(AD3483="United States", IFERROR(INDEX(Sheet2!$C:$C, MATCH(AE3483&amp;AF3483, Sheet2!$E:$E, 0)) &amp; ", " &amp; INDEX(Sheet2!$D:$D, MATCH(AE3483&amp;AF3483, Sheet2!$E:$E, 0)), ""), "-")</f>
        <v/>
      </c>
    </row>
    <row r="3484" spans="1:33" x14ac:dyDescent="0.25">
      <c r="A3484" t="s">
        <v>285</v>
      </c>
      <c r="B3484" t="s">
        <v>5147</v>
      </c>
      <c r="C3484" t="s">
        <v>5099</v>
      </c>
      <c r="D3484" t="s">
        <v>36</v>
      </c>
      <c r="E3484" t="s">
        <v>268</v>
      </c>
      <c r="F3484">
        <v>1758</v>
      </c>
      <c r="G3484">
        <v>135</v>
      </c>
      <c r="H3484" t="s">
        <v>3838</v>
      </c>
      <c r="I3484" t="s">
        <v>39</v>
      </c>
      <c r="J3484" t="s">
        <v>2876</v>
      </c>
      <c r="K3484" t="s">
        <v>38</v>
      </c>
      <c r="L3484" t="s">
        <v>38</v>
      </c>
      <c r="M3484" t="s">
        <v>38</v>
      </c>
      <c r="N3484" t="s">
        <v>38</v>
      </c>
      <c r="O3484" t="s">
        <v>41</v>
      </c>
      <c r="P3484" t="s">
        <v>42</v>
      </c>
      <c r="Q3484" t="s">
        <v>43</v>
      </c>
      <c r="R3484" t="s">
        <v>89</v>
      </c>
      <c r="S3484" t="s">
        <v>417</v>
      </c>
      <c r="T3484" t="s">
        <v>89</v>
      </c>
      <c r="U3484" t="s">
        <v>301</v>
      </c>
      <c r="V3484" t="s">
        <v>137</v>
      </c>
      <c r="W3484" t="s">
        <v>92</v>
      </c>
      <c r="X3484" t="s">
        <v>302</v>
      </c>
      <c r="Y3484" t="s">
        <v>5144</v>
      </c>
      <c r="Z3484" t="s">
        <v>42</v>
      </c>
      <c r="AA3484" t="s">
        <v>38</v>
      </c>
      <c r="AB3484" t="s">
        <v>38</v>
      </c>
      <c r="AC3484" t="s">
        <v>417</v>
      </c>
      <c r="AD3484" t="s">
        <v>48</v>
      </c>
      <c r="AG3484" t="str">
        <f>IF(AD3484="United States", IFERROR(INDEX(Sheet2!$C:$C, MATCH(AE3484&amp;AF3484, Sheet2!$E:$E, 0)) &amp; ", " &amp; INDEX(Sheet2!$D:$D, MATCH(AE3484&amp;AF3484, Sheet2!$E:$E, 0)), ""), "-")</f>
        <v/>
      </c>
    </row>
    <row r="3485" spans="1:33" x14ac:dyDescent="0.25">
      <c r="A3485" t="s">
        <v>285</v>
      </c>
      <c r="B3485" t="s">
        <v>5148</v>
      </c>
      <c r="C3485" t="s">
        <v>5099</v>
      </c>
      <c r="D3485" t="s">
        <v>230</v>
      </c>
      <c r="E3485" t="s">
        <v>973</v>
      </c>
      <c r="F3485">
        <v>1753</v>
      </c>
      <c r="G3485">
        <v>136</v>
      </c>
      <c r="H3485" t="s">
        <v>3838</v>
      </c>
      <c r="I3485" t="s">
        <v>39</v>
      </c>
      <c r="J3485" t="s">
        <v>2876</v>
      </c>
      <c r="K3485" t="s">
        <v>38</v>
      </c>
      <c r="L3485" t="s">
        <v>38</v>
      </c>
      <c r="M3485" t="s">
        <v>38</v>
      </c>
      <c r="N3485" t="s">
        <v>38</v>
      </c>
      <c r="O3485" t="s">
        <v>41</v>
      </c>
      <c r="P3485" t="s">
        <v>42</v>
      </c>
      <c r="Q3485" t="s">
        <v>43</v>
      </c>
      <c r="R3485" t="s">
        <v>89</v>
      </c>
      <c r="S3485" t="s">
        <v>45</v>
      </c>
      <c r="T3485" t="s">
        <v>89</v>
      </c>
      <c r="U3485" t="s">
        <v>301</v>
      </c>
      <c r="V3485" t="s">
        <v>137</v>
      </c>
      <c r="W3485" t="s">
        <v>92</v>
      </c>
      <c r="X3485" t="s">
        <v>302</v>
      </c>
      <c r="Y3485" t="s">
        <v>5149</v>
      </c>
      <c r="Z3485" t="s">
        <v>42</v>
      </c>
      <c r="AA3485" t="s">
        <v>38</v>
      </c>
      <c r="AB3485" t="s">
        <v>38</v>
      </c>
      <c r="AC3485" t="s">
        <v>45</v>
      </c>
      <c r="AD3485" t="s">
        <v>48</v>
      </c>
      <c r="AG3485" t="str">
        <f>IF(AD3485="United States", IFERROR(INDEX(Sheet2!$C:$C, MATCH(AE3485&amp;AF3485, Sheet2!$E:$E, 0)) &amp; ", " &amp; INDEX(Sheet2!$D:$D, MATCH(AE3485&amp;AF3485, Sheet2!$E:$E, 0)), ""), "-")</f>
        <v/>
      </c>
    </row>
    <row r="3486" spans="1:33" x14ac:dyDescent="0.25">
      <c r="A3486" t="s">
        <v>285</v>
      </c>
      <c r="B3486" t="s">
        <v>5150</v>
      </c>
      <c r="C3486" t="s">
        <v>5099</v>
      </c>
      <c r="D3486" t="s">
        <v>238</v>
      </c>
      <c r="E3486" t="s">
        <v>164</v>
      </c>
      <c r="F3486">
        <v>1777</v>
      </c>
      <c r="G3486">
        <v>137</v>
      </c>
      <c r="H3486" t="s">
        <v>3838</v>
      </c>
      <c r="I3486" t="s">
        <v>39</v>
      </c>
      <c r="J3486" t="s">
        <v>2876</v>
      </c>
      <c r="K3486" t="s">
        <v>38</v>
      </c>
      <c r="L3486" t="s">
        <v>38</v>
      </c>
      <c r="M3486" t="s">
        <v>38</v>
      </c>
      <c r="N3486" t="s">
        <v>38</v>
      </c>
      <c r="O3486" t="s">
        <v>54</v>
      </c>
      <c r="P3486" t="s">
        <v>42</v>
      </c>
      <c r="Q3486" t="s">
        <v>43</v>
      </c>
      <c r="R3486" t="s">
        <v>89</v>
      </c>
      <c r="S3486" t="s">
        <v>45</v>
      </c>
      <c r="T3486" t="s">
        <v>89</v>
      </c>
      <c r="U3486" t="s">
        <v>301</v>
      </c>
      <c r="V3486" t="s">
        <v>137</v>
      </c>
      <c r="W3486" t="s">
        <v>92</v>
      </c>
      <c r="X3486" t="s">
        <v>302</v>
      </c>
      <c r="Y3486" t="s">
        <v>5151</v>
      </c>
      <c r="Z3486" t="s">
        <v>42</v>
      </c>
      <c r="AA3486" t="s">
        <v>38</v>
      </c>
      <c r="AB3486" t="s">
        <v>38</v>
      </c>
      <c r="AC3486" t="s">
        <v>45</v>
      </c>
      <c r="AD3486" t="s">
        <v>48</v>
      </c>
      <c r="AG3486" t="str">
        <f>IF(AD3486="United States", IFERROR(INDEX(Sheet2!$C:$C, MATCH(AE3486&amp;AF3486, Sheet2!$E:$E, 0)) &amp; ", " &amp; INDEX(Sheet2!$D:$D, MATCH(AE3486&amp;AF3486, Sheet2!$E:$E, 0)), ""), "-")</f>
        <v/>
      </c>
    </row>
    <row r="3487" spans="1:33" x14ac:dyDescent="0.25">
      <c r="A3487" t="s">
        <v>285</v>
      </c>
      <c r="B3487" t="s">
        <v>5152</v>
      </c>
      <c r="C3487" t="s">
        <v>5099</v>
      </c>
      <c r="D3487" t="s">
        <v>837</v>
      </c>
      <c r="E3487" t="s">
        <v>5153</v>
      </c>
      <c r="F3487">
        <v>1758</v>
      </c>
      <c r="G3487">
        <v>138</v>
      </c>
      <c r="H3487" t="s">
        <v>3838</v>
      </c>
      <c r="I3487" t="s">
        <v>39</v>
      </c>
      <c r="J3487" t="s">
        <v>2876</v>
      </c>
      <c r="K3487" t="s">
        <v>38</v>
      </c>
      <c r="L3487" t="s">
        <v>38</v>
      </c>
      <c r="M3487" t="s">
        <v>38</v>
      </c>
      <c r="N3487" t="s">
        <v>38</v>
      </c>
      <c r="O3487" t="s">
        <v>41</v>
      </c>
      <c r="P3487" t="s">
        <v>42</v>
      </c>
      <c r="Q3487" t="s">
        <v>43</v>
      </c>
      <c r="R3487" t="s">
        <v>89</v>
      </c>
      <c r="S3487" t="s">
        <v>38</v>
      </c>
      <c r="T3487" t="s">
        <v>89</v>
      </c>
      <c r="U3487" t="s">
        <v>301</v>
      </c>
      <c r="V3487" t="s">
        <v>137</v>
      </c>
      <c r="W3487" t="s">
        <v>92</v>
      </c>
      <c r="X3487" t="s">
        <v>302</v>
      </c>
      <c r="Y3487" t="s">
        <v>5144</v>
      </c>
      <c r="Z3487" t="s">
        <v>42</v>
      </c>
      <c r="AA3487" t="s">
        <v>3527</v>
      </c>
      <c r="AB3487" t="s">
        <v>38</v>
      </c>
      <c r="AC3487" t="s">
        <v>70</v>
      </c>
      <c r="AD3487" t="s">
        <v>48</v>
      </c>
      <c r="AG3487" t="str">
        <f>IF(AD3487="United States", IFERROR(INDEX(Sheet2!$C:$C, MATCH(AE3487&amp;AF3487, Sheet2!$E:$E, 0)) &amp; ", " &amp; INDEX(Sheet2!$D:$D, MATCH(AE3487&amp;AF3487, Sheet2!$E:$E, 0)), ""), "-")</f>
        <v/>
      </c>
    </row>
    <row r="3488" spans="1:33" x14ac:dyDescent="0.25">
      <c r="A3488" t="s">
        <v>285</v>
      </c>
      <c r="B3488" t="s">
        <v>5154</v>
      </c>
      <c r="C3488" t="s">
        <v>5099</v>
      </c>
      <c r="D3488" t="s">
        <v>193</v>
      </c>
      <c r="E3488" t="s">
        <v>260</v>
      </c>
      <c r="F3488">
        <v>1753</v>
      </c>
      <c r="G3488">
        <v>139</v>
      </c>
      <c r="H3488" t="s">
        <v>3838</v>
      </c>
      <c r="I3488" t="s">
        <v>39</v>
      </c>
      <c r="J3488" t="s">
        <v>2876</v>
      </c>
      <c r="K3488" t="s">
        <v>38</v>
      </c>
      <c r="L3488" t="s">
        <v>38</v>
      </c>
      <c r="M3488" t="s">
        <v>38</v>
      </c>
      <c r="N3488" t="s">
        <v>38</v>
      </c>
      <c r="O3488" t="s">
        <v>41</v>
      </c>
      <c r="P3488" t="s">
        <v>42</v>
      </c>
      <c r="Q3488" t="s">
        <v>43</v>
      </c>
      <c r="R3488" t="s">
        <v>89</v>
      </c>
      <c r="S3488" t="s">
        <v>45</v>
      </c>
      <c r="T3488" t="s">
        <v>89</v>
      </c>
      <c r="U3488" t="s">
        <v>301</v>
      </c>
      <c r="V3488" t="s">
        <v>137</v>
      </c>
      <c r="W3488" t="s">
        <v>92</v>
      </c>
      <c r="X3488" t="s">
        <v>302</v>
      </c>
      <c r="Y3488" t="s">
        <v>5155</v>
      </c>
      <c r="Z3488" t="s">
        <v>42</v>
      </c>
      <c r="AA3488" t="s">
        <v>1351</v>
      </c>
      <c r="AB3488" t="s">
        <v>38</v>
      </c>
      <c r="AC3488" t="s">
        <v>45</v>
      </c>
      <c r="AD3488" t="s">
        <v>48</v>
      </c>
      <c r="AG3488" t="str">
        <f>IF(AD3488="United States", IFERROR(INDEX(Sheet2!$C:$C, MATCH(AE3488&amp;AF3488, Sheet2!$E:$E, 0)) &amp; ", " &amp; INDEX(Sheet2!$D:$D, MATCH(AE3488&amp;AF3488, Sheet2!$E:$E, 0)), ""), "-")</f>
        <v/>
      </c>
    </row>
    <row r="3489" spans="1:33" x14ac:dyDescent="0.25">
      <c r="A3489" t="s">
        <v>285</v>
      </c>
      <c r="B3489" t="s">
        <v>5156</v>
      </c>
      <c r="C3489" t="s">
        <v>5107</v>
      </c>
      <c r="D3489" t="s">
        <v>1129</v>
      </c>
      <c r="E3489" t="s">
        <v>38</v>
      </c>
      <c r="F3489">
        <v>1765</v>
      </c>
      <c r="G3489">
        <v>1791</v>
      </c>
      <c r="H3489" t="s">
        <v>313</v>
      </c>
      <c r="I3489" t="s">
        <v>80</v>
      </c>
      <c r="J3489" t="s">
        <v>38</v>
      </c>
      <c r="K3489" t="s">
        <v>38</v>
      </c>
      <c r="L3489" t="s">
        <v>38</v>
      </c>
      <c r="M3489" t="s">
        <v>38</v>
      </c>
      <c r="N3489" t="s">
        <v>38</v>
      </c>
      <c r="O3489" t="s">
        <v>41</v>
      </c>
      <c r="P3489" t="s">
        <v>42</v>
      </c>
      <c r="Q3489" t="s">
        <v>124</v>
      </c>
      <c r="R3489" t="s">
        <v>89</v>
      </c>
      <c r="S3489" t="s">
        <v>153</v>
      </c>
      <c r="T3489" t="s">
        <v>89</v>
      </c>
      <c r="U3489" t="s">
        <v>301</v>
      </c>
      <c r="V3489" t="s">
        <v>38</v>
      </c>
      <c r="W3489" t="s">
        <v>92</v>
      </c>
      <c r="X3489" t="s">
        <v>302</v>
      </c>
      <c r="Y3489" t="s">
        <v>38</v>
      </c>
      <c r="Z3489" t="s">
        <v>42</v>
      </c>
      <c r="AA3489" t="s">
        <v>1129</v>
      </c>
      <c r="AB3489" t="s">
        <v>38</v>
      </c>
      <c r="AC3489" t="s">
        <v>153</v>
      </c>
      <c r="AD3489" t="s">
        <v>48</v>
      </c>
      <c r="AG3489" t="str">
        <f>IF(AD3489="United States", IFERROR(INDEX(Sheet2!$C:$C, MATCH(AE3489&amp;AF3489, Sheet2!$E:$E, 0)) &amp; ", " &amp; INDEX(Sheet2!$D:$D, MATCH(AE3489&amp;AF3489, Sheet2!$E:$E, 0)), ""), "-")</f>
        <v/>
      </c>
    </row>
    <row r="3490" spans="1:33" x14ac:dyDescent="0.25">
      <c r="A3490" t="s">
        <v>285</v>
      </c>
      <c r="D3490" t="s">
        <v>5157</v>
      </c>
      <c r="E3490" t="s">
        <v>187</v>
      </c>
      <c r="F3490">
        <v>1767</v>
      </c>
      <c r="G3490">
        <v>162</v>
      </c>
      <c r="H3490">
        <v>20</v>
      </c>
      <c r="J3490" t="s">
        <v>5138</v>
      </c>
      <c r="O3490" t="s">
        <v>57</v>
      </c>
      <c r="R3490" t="s">
        <v>89</v>
      </c>
      <c r="T3490" t="s">
        <v>89</v>
      </c>
      <c r="U3490" t="s">
        <v>301</v>
      </c>
      <c r="V3490" t="s">
        <v>137</v>
      </c>
      <c r="W3490" t="s">
        <v>92</v>
      </c>
      <c r="X3490" t="s">
        <v>302</v>
      </c>
      <c r="Y3490" t="s">
        <v>38</v>
      </c>
      <c r="AA3490" t="s">
        <v>38</v>
      </c>
      <c r="AB3490" t="s">
        <v>38</v>
      </c>
      <c r="AC3490" t="s">
        <v>38</v>
      </c>
      <c r="AD3490" t="s">
        <v>48</v>
      </c>
      <c r="AG3490" t="str">
        <f>IF(AD3490="United States", IFERROR(INDEX(Sheet2!$C:$C, MATCH(AE3490&amp;AF3490, Sheet2!$E:$E, 0)) &amp; ", " &amp; INDEX(Sheet2!$D:$D, MATCH(AE3490&amp;AF3490, Sheet2!$E:$E, 0)), ""), "-")</f>
        <v/>
      </c>
    </row>
    <row r="3491" spans="1:33" x14ac:dyDescent="0.25">
      <c r="A3491" t="s">
        <v>285</v>
      </c>
      <c r="D3491" t="s">
        <v>5158</v>
      </c>
      <c r="E3491" t="s">
        <v>185</v>
      </c>
      <c r="F3491">
        <v>1750</v>
      </c>
      <c r="G3491">
        <v>161</v>
      </c>
      <c r="H3491">
        <v>20</v>
      </c>
      <c r="J3491" t="s">
        <v>5138</v>
      </c>
      <c r="O3491" t="s">
        <v>57</v>
      </c>
      <c r="R3491" t="s">
        <v>89</v>
      </c>
      <c r="T3491" t="s">
        <v>89</v>
      </c>
      <c r="U3491" t="s">
        <v>301</v>
      </c>
      <c r="V3491" t="s">
        <v>137</v>
      </c>
      <c r="W3491" t="s">
        <v>92</v>
      </c>
      <c r="X3491" t="s">
        <v>302</v>
      </c>
      <c r="Y3491" t="s">
        <v>38</v>
      </c>
      <c r="AA3491" t="s">
        <v>38</v>
      </c>
      <c r="AB3491" t="s">
        <v>38</v>
      </c>
      <c r="AC3491" t="s">
        <v>38</v>
      </c>
      <c r="AD3491" t="s">
        <v>48</v>
      </c>
      <c r="AG3491" t="str">
        <f>IF(AD3491="United States", IFERROR(INDEX(Sheet2!$C:$C, MATCH(AE3491&amp;AF3491, Sheet2!$E:$E, 0)) &amp; ", " &amp; INDEX(Sheet2!$D:$D, MATCH(AE3491&amp;AF3491, Sheet2!$E:$E, 0)), ""), "-")</f>
        <v/>
      </c>
    </row>
    <row r="3492" spans="1:33" x14ac:dyDescent="0.25">
      <c r="A3492" t="s">
        <v>285</v>
      </c>
      <c r="D3492" t="s">
        <v>357</v>
      </c>
      <c r="E3492" t="s">
        <v>4716</v>
      </c>
      <c r="F3492">
        <v>1759</v>
      </c>
      <c r="G3492">
        <v>155</v>
      </c>
      <c r="H3492">
        <v>20</v>
      </c>
      <c r="J3492" t="s">
        <v>5138</v>
      </c>
      <c r="O3492" t="s">
        <v>41</v>
      </c>
      <c r="R3492" t="s">
        <v>89</v>
      </c>
      <c r="T3492" t="s">
        <v>89</v>
      </c>
      <c r="U3492" t="s">
        <v>301</v>
      </c>
      <c r="V3492" t="s">
        <v>137</v>
      </c>
      <c r="W3492" t="s">
        <v>92</v>
      </c>
      <c r="X3492" t="s">
        <v>302</v>
      </c>
      <c r="Y3492" t="s">
        <v>38</v>
      </c>
      <c r="AA3492" t="s">
        <v>38</v>
      </c>
      <c r="AB3492" t="s">
        <v>38</v>
      </c>
      <c r="AC3492" t="s">
        <v>38</v>
      </c>
      <c r="AD3492" t="s">
        <v>48</v>
      </c>
      <c r="AG3492" t="str">
        <f>IF(AD3492="United States", IFERROR(INDEX(Sheet2!$C:$C, MATCH(AE3492&amp;AF3492, Sheet2!$E:$E, 0)) &amp; ", " &amp; INDEX(Sheet2!$D:$D, MATCH(AE3492&amp;AF3492, Sheet2!$E:$E, 0)), ""), "-")</f>
        <v/>
      </c>
    </row>
    <row r="3493" spans="1:33" x14ac:dyDescent="0.25">
      <c r="A3493" t="s">
        <v>285</v>
      </c>
      <c r="D3493" t="s">
        <v>5159</v>
      </c>
      <c r="E3493" t="s">
        <v>185</v>
      </c>
      <c r="F3493">
        <v>1755</v>
      </c>
      <c r="G3493">
        <v>154</v>
      </c>
      <c r="H3493">
        <v>20</v>
      </c>
      <c r="J3493" t="s">
        <v>5138</v>
      </c>
      <c r="O3493" t="s">
        <v>57</v>
      </c>
      <c r="R3493" t="s">
        <v>89</v>
      </c>
      <c r="T3493" t="s">
        <v>89</v>
      </c>
      <c r="U3493" t="s">
        <v>301</v>
      </c>
      <c r="V3493" t="s">
        <v>137</v>
      </c>
      <c r="W3493" t="s">
        <v>92</v>
      </c>
      <c r="X3493" t="s">
        <v>302</v>
      </c>
      <c r="Y3493" t="s">
        <v>38</v>
      </c>
      <c r="AA3493" t="s">
        <v>38</v>
      </c>
      <c r="AB3493" t="s">
        <v>38</v>
      </c>
      <c r="AC3493" t="s">
        <v>38</v>
      </c>
      <c r="AD3493" t="s">
        <v>48</v>
      </c>
      <c r="AG3493" t="str">
        <f>IF(AD3493="United States", IFERROR(INDEX(Sheet2!$C:$C, MATCH(AE3493&amp;AF3493, Sheet2!$E:$E, 0)) &amp; ", " &amp; INDEX(Sheet2!$D:$D, MATCH(AE3493&amp;AF3493, Sheet2!$E:$E, 0)), ""), "-")</f>
        <v/>
      </c>
    </row>
    <row r="3494" spans="1:33" x14ac:dyDescent="0.25">
      <c r="A3494" t="s">
        <v>285</v>
      </c>
      <c r="D3494" t="s">
        <v>5160</v>
      </c>
      <c r="E3494" t="s">
        <v>185</v>
      </c>
      <c r="F3494" t="s">
        <v>38</v>
      </c>
      <c r="G3494">
        <v>151</v>
      </c>
      <c r="H3494">
        <v>20</v>
      </c>
      <c r="J3494" t="s">
        <v>5138</v>
      </c>
      <c r="O3494" t="s">
        <v>57</v>
      </c>
      <c r="R3494" t="s">
        <v>89</v>
      </c>
      <c r="T3494" t="s">
        <v>89</v>
      </c>
      <c r="U3494" t="s">
        <v>301</v>
      </c>
      <c r="V3494" t="s">
        <v>137</v>
      </c>
      <c r="W3494" t="s">
        <v>92</v>
      </c>
      <c r="X3494" t="s">
        <v>302</v>
      </c>
      <c r="Y3494" t="s">
        <v>38</v>
      </c>
      <c r="AA3494" t="s">
        <v>38</v>
      </c>
      <c r="AB3494" t="s">
        <v>38</v>
      </c>
      <c r="AC3494" t="s">
        <v>38</v>
      </c>
      <c r="AD3494" t="s">
        <v>48</v>
      </c>
      <c r="AG3494" t="str">
        <f>IF(AD3494="United States", IFERROR(INDEX(Sheet2!$C:$C, MATCH(AE3494&amp;AF3494, Sheet2!$E:$E, 0)) &amp; ", " &amp; INDEX(Sheet2!$D:$D, MATCH(AE3494&amp;AF3494, Sheet2!$E:$E, 0)), ""), "-")</f>
        <v/>
      </c>
    </row>
    <row r="3495" spans="1:33" x14ac:dyDescent="0.25">
      <c r="A3495" t="s">
        <v>285</v>
      </c>
      <c r="B3495" t="s">
        <v>5161</v>
      </c>
      <c r="C3495" t="s">
        <v>5099</v>
      </c>
      <c r="D3495" t="s">
        <v>361</v>
      </c>
      <c r="E3495" t="s">
        <v>368</v>
      </c>
      <c r="F3495">
        <v>1743</v>
      </c>
      <c r="G3495">
        <v>142</v>
      </c>
      <c r="H3495" t="s">
        <v>3838</v>
      </c>
      <c r="I3495" t="s">
        <v>39</v>
      </c>
      <c r="J3495" t="s">
        <v>2876</v>
      </c>
      <c r="K3495" t="s">
        <v>38</v>
      </c>
      <c r="L3495" t="s">
        <v>38</v>
      </c>
      <c r="M3495" t="s">
        <v>38</v>
      </c>
      <c r="N3495" t="s">
        <v>38</v>
      </c>
      <c r="O3495" t="s">
        <v>41</v>
      </c>
      <c r="P3495" t="s">
        <v>42</v>
      </c>
      <c r="Q3495" t="s">
        <v>43</v>
      </c>
      <c r="R3495" t="s">
        <v>89</v>
      </c>
      <c r="S3495" t="s">
        <v>38</v>
      </c>
      <c r="T3495" t="s">
        <v>89</v>
      </c>
      <c r="U3495" t="s">
        <v>301</v>
      </c>
      <c r="V3495" t="s">
        <v>137</v>
      </c>
      <c r="W3495" t="s">
        <v>92</v>
      </c>
      <c r="X3495" t="s">
        <v>302</v>
      </c>
      <c r="Y3495" t="s">
        <v>5105</v>
      </c>
      <c r="Z3495" t="s">
        <v>42</v>
      </c>
      <c r="AA3495" t="s">
        <v>38</v>
      </c>
      <c r="AB3495" t="s">
        <v>38</v>
      </c>
      <c r="AC3495" t="s">
        <v>155</v>
      </c>
      <c r="AD3495" t="s">
        <v>48</v>
      </c>
      <c r="AG3495" t="str">
        <f>IF(AD3495="United States", IFERROR(INDEX(Sheet2!$C:$C, MATCH(AE3495&amp;AF3495, Sheet2!$E:$E, 0)) &amp; ", " &amp; INDEX(Sheet2!$D:$D, MATCH(AE3495&amp;AF3495, Sheet2!$E:$E, 0)), ""), "-")</f>
        <v/>
      </c>
    </row>
    <row r="3496" spans="1:33" x14ac:dyDescent="0.25">
      <c r="A3496" t="s">
        <v>285</v>
      </c>
      <c r="B3496" t="s">
        <v>5162</v>
      </c>
      <c r="C3496" t="s">
        <v>5099</v>
      </c>
      <c r="D3496" t="s">
        <v>106</v>
      </c>
      <c r="E3496" t="s">
        <v>4825</v>
      </c>
      <c r="F3496">
        <v>1759</v>
      </c>
      <c r="G3496">
        <v>141</v>
      </c>
      <c r="H3496" t="s">
        <v>3838</v>
      </c>
      <c r="I3496" t="s">
        <v>39</v>
      </c>
      <c r="J3496" t="s">
        <v>2876</v>
      </c>
      <c r="K3496" t="s">
        <v>38</v>
      </c>
      <c r="L3496" t="s">
        <v>38</v>
      </c>
      <c r="M3496" t="s">
        <v>38</v>
      </c>
      <c r="N3496" t="s">
        <v>38</v>
      </c>
      <c r="O3496" t="s">
        <v>41</v>
      </c>
      <c r="P3496" t="s">
        <v>42</v>
      </c>
      <c r="Q3496" t="s">
        <v>43</v>
      </c>
      <c r="R3496" t="s">
        <v>89</v>
      </c>
      <c r="S3496" t="s">
        <v>38</v>
      </c>
      <c r="T3496" t="s">
        <v>89</v>
      </c>
      <c r="U3496" t="s">
        <v>301</v>
      </c>
      <c r="V3496" t="s">
        <v>137</v>
      </c>
      <c r="W3496" t="s">
        <v>92</v>
      </c>
      <c r="X3496" t="s">
        <v>302</v>
      </c>
      <c r="Y3496" t="s">
        <v>5163</v>
      </c>
      <c r="Z3496" t="s">
        <v>42</v>
      </c>
      <c r="AA3496" t="s">
        <v>38</v>
      </c>
      <c r="AB3496" t="s">
        <v>38</v>
      </c>
      <c r="AC3496" t="s">
        <v>38</v>
      </c>
      <c r="AD3496" t="s">
        <v>48</v>
      </c>
      <c r="AG3496" t="str">
        <f>IF(AD3496="United States", IFERROR(INDEX(Sheet2!$C:$C, MATCH(AE3496&amp;AF3496, Sheet2!$E:$E, 0)) &amp; ", " &amp; INDEX(Sheet2!$D:$D, MATCH(AE3496&amp;AF3496, Sheet2!$E:$E, 0)), ""), "-")</f>
        <v/>
      </c>
    </row>
    <row r="3497" spans="1:33" x14ac:dyDescent="0.25">
      <c r="A3497" t="s">
        <v>285</v>
      </c>
      <c r="B3497" t="s">
        <v>5164</v>
      </c>
      <c r="C3497" t="s">
        <v>5099</v>
      </c>
      <c r="D3497" t="s">
        <v>3235</v>
      </c>
      <c r="E3497" t="s">
        <v>164</v>
      </c>
      <c r="F3497">
        <v>1755</v>
      </c>
      <c r="G3497">
        <v>140</v>
      </c>
      <c r="H3497" t="s">
        <v>3838</v>
      </c>
      <c r="I3497" t="s">
        <v>39</v>
      </c>
      <c r="J3497" t="s">
        <v>2876</v>
      </c>
      <c r="K3497" t="s">
        <v>38</v>
      </c>
      <c r="L3497" t="s">
        <v>38</v>
      </c>
      <c r="M3497" t="s">
        <v>38</v>
      </c>
      <c r="N3497" t="s">
        <v>38</v>
      </c>
      <c r="O3497" t="s">
        <v>57</v>
      </c>
      <c r="P3497" t="s">
        <v>42</v>
      </c>
      <c r="Q3497" t="s">
        <v>43</v>
      </c>
      <c r="R3497" t="s">
        <v>89</v>
      </c>
      <c r="S3497" t="s">
        <v>45</v>
      </c>
      <c r="T3497" t="s">
        <v>89</v>
      </c>
      <c r="U3497" t="s">
        <v>301</v>
      </c>
      <c r="V3497" t="s">
        <v>137</v>
      </c>
      <c r="W3497" t="s">
        <v>92</v>
      </c>
      <c r="X3497" t="s">
        <v>302</v>
      </c>
      <c r="Y3497" t="s">
        <v>5155</v>
      </c>
      <c r="Z3497" t="s">
        <v>42</v>
      </c>
      <c r="AA3497" t="s">
        <v>1351</v>
      </c>
      <c r="AB3497" t="s">
        <v>38</v>
      </c>
      <c r="AC3497" t="s">
        <v>45</v>
      </c>
      <c r="AD3497" t="s">
        <v>48</v>
      </c>
      <c r="AG3497" t="str">
        <f>IF(AD3497="United States", IFERROR(INDEX(Sheet2!$C:$C, MATCH(AE3497&amp;AF3497, Sheet2!$E:$E, 0)) &amp; ", " &amp; INDEX(Sheet2!$D:$D, MATCH(AE3497&amp;AF3497, Sheet2!$E:$E, 0)), ""), "-")</f>
        <v/>
      </c>
    </row>
    <row r="3498" spans="1:33" x14ac:dyDescent="0.25">
      <c r="A3498" t="s">
        <v>5165</v>
      </c>
      <c r="B3498" t="s">
        <v>5166</v>
      </c>
      <c r="C3498" t="s">
        <v>5167</v>
      </c>
      <c r="D3498" t="s">
        <v>36</v>
      </c>
      <c r="E3498" t="s">
        <v>38</v>
      </c>
      <c r="F3498">
        <v>1732</v>
      </c>
      <c r="G3498">
        <v>2260</v>
      </c>
      <c r="H3498" t="s">
        <v>86</v>
      </c>
      <c r="I3498" t="s">
        <v>87</v>
      </c>
      <c r="J3498" t="s">
        <v>5168</v>
      </c>
      <c r="K3498" t="s">
        <v>38</v>
      </c>
      <c r="L3498" t="s">
        <v>38</v>
      </c>
      <c r="M3498" t="s">
        <v>38</v>
      </c>
      <c r="N3498" t="s">
        <v>38</v>
      </c>
      <c r="O3498" t="s">
        <v>41</v>
      </c>
      <c r="P3498" t="s">
        <v>42</v>
      </c>
      <c r="Q3498" t="s">
        <v>43</v>
      </c>
      <c r="R3498" t="s">
        <v>89</v>
      </c>
      <c r="S3498" t="s">
        <v>45</v>
      </c>
      <c r="T3498" t="s">
        <v>89</v>
      </c>
      <c r="U3498" t="s">
        <v>301</v>
      </c>
      <c r="V3498" t="s">
        <v>137</v>
      </c>
      <c r="W3498" t="s">
        <v>92</v>
      </c>
      <c r="X3498" t="s">
        <v>302</v>
      </c>
      <c r="Y3498" t="s">
        <v>5169</v>
      </c>
      <c r="Z3498" t="s">
        <v>42</v>
      </c>
      <c r="AA3498" t="s">
        <v>1212</v>
      </c>
      <c r="AB3498" t="s">
        <v>38</v>
      </c>
      <c r="AC3498" t="s">
        <v>45</v>
      </c>
      <c r="AD3498" t="s">
        <v>48</v>
      </c>
      <c r="AG3498" t="str">
        <f>IF(AD3498="United States", IFERROR(INDEX(Sheet2!$C:$C, MATCH(AE3498&amp;AF3498, Sheet2!$E:$E, 0)) &amp; ", " &amp; INDEX(Sheet2!$D:$D, MATCH(AE3498&amp;AF3498, Sheet2!$E:$E, 0)), ""), "-")</f>
        <v/>
      </c>
    </row>
    <row r="3499" spans="1:33" x14ac:dyDescent="0.25">
      <c r="A3499" t="s">
        <v>5170</v>
      </c>
      <c r="B3499" t="s">
        <v>5171</v>
      </c>
      <c r="C3499" t="s">
        <v>5172</v>
      </c>
      <c r="D3499" t="s">
        <v>195</v>
      </c>
      <c r="E3499" t="s">
        <v>38</v>
      </c>
      <c r="F3499">
        <v>1760</v>
      </c>
      <c r="G3499">
        <v>2039</v>
      </c>
      <c r="H3499" t="s">
        <v>1096</v>
      </c>
      <c r="I3499" t="s">
        <v>87</v>
      </c>
      <c r="J3499" t="s">
        <v>5173</v>
      </c>
      <c r="K3499" t="s">
        <v>38</v>
      </c>
      <c r="L3499" t="s">
        <v>38</v>
      </c>
      <c r="M3499" t="s">
        <v>38</v>
      </c>
      <c r="N3499" t="s">
        <v>38</v>
      </c>
      <c r="O3499" t="s">
        <v>41</v>
      </c>
      <c r="P3499" t="s">
        <v>42</v>
      </c>
      <c r="Q3499" t="s">
        <v>43</v>
      </c>
      <c r="R3499" t="s">
        <v>38</v>
      </c>
      <c r="S3499" t="s">
        <v>38</v>
      </c>
      <c r="T3499" t="s">
        <v>38</v>
      </c>
      <c r="U3499" t="s">
        <v>38</v>
      </c>
      <c r="V3499" t="s">
        <v>137</v>
      </c>
      <c r="W3499" t="s">
        <v>92</v>
      </c>
      <c r="X3499" t="s">
        <v>38</v>
      </c>
      <c r="Y3499" t="s">
        <v>5174</v>
      </c>
      <c r="Z3499" t="s">
        <v>42</v>
      </c>
      <c r="AA3499" t="s">
        <v>38</v>
      </c>
      <c r="AB3499" t="s">
        <v>38</v>
      </c>
      <c r="AC3499" t="s">
        <v>38</v>
      </c>
      <c r="AD3499" t="s">
        <v>48</v>
      </c>
      <c r="AG3499" t="str">
        <f>IF(AD3499="United States", IFERROR(INDEX(Sheet2!$C:$C, MATCH(AE3499&amp;AF3499, Sheet2!$E:$E, 0)) &amp; ", " &amp; INDEX(Sheet2!$D:$D, MATCH(AE3499&amp;AF3499, Sheet2!$E:$E, 0)), ""), "-")</f>
        <v/>
      </c>
    </row>
    <row r="3500" spans="1:33" x14ac:dyDescent="0.25">
      <c r="A3500" t="s">
        <v>5170</v>
      </c>
      <c r="B3500" t="s">
        <v>5175</v>
      </c>
      <c r="C3500" t="s">
        <v>5172</v>
      </c>
      <c r="D3500" t="s">
        <v>4770</v>
      </c>
      <c r="E3500" t="s">
        <v>4671</v>
      </c>
      <c r="F3500">
        <v>1731</v>
      </c>
      <c r="G3500">
        <v>2038</v>
      </c>
      <c r="H3500" t="s">
        <v>38</v>
      </c>
      <c r="I3500" t="s">
        <v>87</v>
      </c>
      <c r="J3500" t="s">
        <v>5173</v>
      </c>
      <c r="K3500" t="s">
        <v>38</v>
      </c>
      <c r="L3500" t="s">
        <v>38</v>
      </c>
      <c r="M3500" t="s">
        <v>38</v>
      </c>
      <c r="N3500" t="s">
        <v>38</v>
      </c>
      <c r="O3500" t="s">
        <v>41</v>
      </c>
      <c r="P3500" t="s">
        <v>42</v>
      </c>
      <c r="Q3500" t="s">
        <v>43</v>
      </c>
      <c r="R3500" t="s">
        <v>241</v>
      </c>
      <c r="S3500" t="s">
        <v>45</v>
      </c>
      <c r="T3500" t="s">
        <v>38</v>
      </c>
      <c r="U3500" t="s">
        <v>38</v>
      </c>
      <c r="V3500" t="s">
        <v>137</v>
      </c>
      <c r="W3500" t="s">
        <v>38</v>
      </c>
      <c r="X3500" t="s">
        <v>38</v>
      </c>
      <c r="Y3500" t="s">
        <v>5176</v>
      </c>
      <c r="Z3500" t="s">
        <v>42</v>
      </c>
      <c r="AA3500" t="s">
        <v>241</v>
      </c>
      <c r="AB3500" t="s">
        <v>38</v>
      </c>
      <c r="AC3500" t="s">
        <v>45</v>
      </c>
      <c r="AD3500" t="s">
        <v>48</v>
      </c>
      <c r="AG3500" t="str">
        <f>IF(AD3500="United States", IFERROR(INDEX(Sheet2!$C:$C, MATCH(AE3500&amp;AF3500, Sheet2!$E:$E, 0)) &amp; ", " &amp; INDEX(Sheet2!$D:$D, MATCH(AE3500&amp;AF3500, Sheet2!$E:$E, 0)), ""), "-")</f>
        <v/>
      </c>
    </row>
    <row r="3501" spans="1:33" x14ac:dyDescent="0.25">
      <c r="A3501" t="s">
        <v>5170</v>
      </c>
      <c r="B3501" t="s">
        <v>5177</v>
      </c>
      <c r="C3501" t="s">
        <v>5172</v>
      </c>
      <c r="D3501" t="s">
        <v>1082</v>
      </c>
      <c r="E3501" t="s">
        <v>38</v>
      </c>
      <c r="F3501">
        <v>1758</v>
      </c>
      <c r="G3501">
        <v>2037</v>
      </c>
      <c r="H3501" t="s">
        <v>1096</v>
      </c>
      <c r="I3501" t="s">
        <v>87</v>
      </c>
      <c r="J3501" t="s">
        <v>5173</v>
      </c>
      <c r="K3501" t="s">
        <v>38</v>
      </c>
      <c r="L3501" t="s">
        <v>38</v>
      </c>
      <c r="M3501" t="s">
        <v>38</v>
      </c>
      <c r="N3501" t="s">
        <v>38</v>
      </c>
      <c r="O3501" t="s">
        <v>57</v>
      </c>
      <c r="P3501" t="s">
        <v>42</v>
      </c>
      <c r="Q3501" t="s">
        <v>43</v>
      </c>
      <c r="R3501" t="s">
        <v>38</v>
      </c>
      <c r="S3501" t="s">
        <v>38</v>
      </c>
      <c r="T3501" t="s">
        <v>38</v>
      </c>
      <c r="U3501" t="s">
        <v>38</v>
      </c>
      <c r="V3501" t="s">
        <v>137</v>
      </c>
      <c r="W3501" t="s">
        <v>92</v>
      </c>
      <c r="X3501" t="s">
        <v>38</v>
      </c>
      <c r="Y3501" t="s">
        <v>5174</v>
      </c>
      <c r="Z3501" t="s">
        <v>42</v>
      </c>
      <c r="AA3501" t="s">
        <v>38</v>
      </c>
      <c r="AB3501" t="s">
        <v>38</v>
      </c>
      <c r="AC3501" t="s">
        <v>38</v>
      </c>
      <c r="AD3501" t="s">
        <v>48</v>
      </c>
      <c r="AG3501" t="str">
        <f>IF(AD3501="United States", IFERROR(INDEX(Sheet2!$C:$C, MATCH(AE3501&amp;AF3501, Sheet2!$E:$E, 0)) &amp; ", " &amp; INDEX(Sheet2!$D:$D, MATCH(AE3501&amp;AF3501, Sheet2!$E:$E, 0)), ""), "-")</f>
        <v/>
      </c>
    </row>
    <row r="3502" spans="1:33" x14ac:dyDescent="0.25">
      <c r="A3502" t="s">
        <v>5170</v>
      </c>
      <c r="B3502" t="s">
        <v>5178</v>
      </c>
      <c r="C3502" t="s">
        <v>5172</v>
      </c>
      <c r="D3502" t="s">
        <v>834</v>
      </c>
      <c r="E3502" t="s">
        <v>4671</v>
      </c>
      <c r="F3502">
        <v>1772</v>
      </c>
      <c r="G3502">
        <v>2042</v>
      </c>
      <c r="H3502" t="s">
        <v>38</v>
      </c>
      <c r="I3502" t="s">
        <v>87</v>
      </c>
      <c r="J3502" t="s">
        <v>5173</v>
      </c>
      <c r="K3502" t="s">
        <v>38</v>
      </c>
      <c r="L3502" t="s">
        <v>38</v>
      </c>
      <c r="M3502" t="s">
        <v>38</v>
      </c>
      <c r="N3502" t="s">
        <v>38</v>
      </c>
      <c r="O3502" t="s">
        <v>74</v>
      </c>
      <c r="P3502" t="s">
        <v>42</v>
      </c>
      <c r="Q3502" t="s">
        <v>43</v>
      </c>
      <c r="R3502" t="s">
        <v>38</v>
      </c>
      <c r="S3502" t="s">
        <v>38</v>
      </c>
      <c r="T3502" t="s">
        <v>38</v>
      </c>
      <c r="U3502" t="s">
        <v>38</v>
      </c>
      <c r="V3502" t="s">
        <v>137</v>
      </c>
      <c r="W3502" t="s">
        <v>38</v>
      </c>
      <c r="X3502" t="s">
        <v>38</v>
      </c>
      <c r="Y3502" t="s">
        <v>5179</v>
      </c>
      <c r="Z3502" t="s">
        <v>42</v>
      </c>
      <c r="AA3502" t="s">
        <v>38</v>
      </c>
      <c r="AB3502" t="s">
        <v>38</v>
      </c>
      <c r="AC3502" t="s">
        <v>38</v>
      </c>
      <c r="AD3502" t="s">
        <v>48</v>
      </c>
      <c r="AG3502" t="str">
        <f>IF(AD3502="United States", IFERROR(INDEX(Sheet2!$C:$C, MATCH(AE3502&amp;AF3502, Sheet2!$E:$E, 0)) &amp; ", " &amp; INDEX(Sheet2!$D:$D, MATCH(AE3502&amp;AF3502, Sheet2!$E:$E, 0)), ""), "-")</f>
        <v/>
      </c>
    </row>
    <row r="3503" spans="1:33" x14ac:dyDescent="0.25">
      <c r="A3503" t="s">
        <v>5170</v>
      </c>
      <c r="B3503" t="s">
        <v>5180</v>
      </c>
      <c r="C3503" t="s">
        <v>5172</v>
      </c>
      <c r="D3503" t="s">
        <v>1057</v>
      </c>
      <c r="E3503" t="s">
        <v>4671</v>
      </c>
      <c r="F3503">
        <v>1741</v>
      </c>
      <c r="G3503">
        <v>2040</v>
      </c>
      <c r="H3503" t="s">
        <v>1096</v>
      </c>
      <c r="I3503" t="s">
        <v>87</v>
      </c>
      <c r="J3503" t="s">
        <v>5173</v>
      </c>
      <c r="K3503" t="s">
        <v>38</v>
      </c>
      <c r="L3503" t="s">
        <v>38</v>
      </c>
      <c r="M3503" t="s">
        <v>38</v>
      </c>
      <c r="N3503" t="s">
        <v>38</v>
      </c>
      <c r="O3503" t="s">
        <v>57</v>
      </c>
      <c r="P3503" t="s">
        <v>42</v>
      </c>
      <c r="Q3503" t="s">
        <v>43</v>
      </c>
      <c r="R3503" t="s">
        <v>241</v>
      </c>
      <c r="S3503" t="s">
        <v>45</v>
      </c>
      <c r="T3503" t="s">
        <v>38</v>
      </c>
      <c r="U3503" t="s">
        <v>38</v>
      </c>
      <c r="V3503" t="s">
        <v>137</v>
      </c>
      <c r="W3503" t="s">
        <v>92</v>
      </c>
      <c r="X3503" t="s">
        <v>38</v>
      </c>
      <c r="Y3503" t="s">
        <v>5174</v>
      </c>
      <c r="Z3503" t="s">
        <v>42</v>
      </c>
      <c r="AA3503" t="s">
        <v>241</v>
      </c>
      <c r="AB3503" t="s">
        <v>38</v>
      </c>
      <c r="AC3503" t="s">
        <v>45</v>
      </c>
      <c r="AD3503" t="s">
        <v>48</v>
      </c>
      <c r="AG3503" t="str">
        <f>IF(AD3503="United States", IFERROR(INDEX(Sheet2!$C:$C, MATCH(AE3503&amp;AF3503, Sheet2!$E:$E, 0)) &amp; ", " &amp; INDEX(Sheet2!$D:$D, MATCH(AE3503&amp;AF3503, Sheet2!$E:$E, 0)), ""), "-")</f>
        <v/>
      </c>
    </row>
    <row r="3504" spans="1:33" x14ac:dyDescent="0.25">
      <c r="A3504" t="s">
        <v>5170</v>
      </c>
      <c r="B3504" t="s">
        <v>5181</v>
      </c>
      <c r="C3504" t="s">
        <v>5172</v>
      </c>
      <c r="D3504" t="s">
        <v>1592</v>
      </c>
      <c r="E3504" t="s">
        <v>38</v>
      </c>
      <c r="F3504">
        <v>1752</v>
      </c>
      <c r="G3504">
        <v>2041</v>
      </c>
      <c r="H3504" t="s">
        <v>1096</v>
      </c>
      <c r="I3504" t="s">
        <v>87</v>
      </c>
      <c r="J3504" t="s">
        <v>5173</v>
      </c>
      <c r="K3504" t="s">
        <v>38</v>
      </c>
      <c r="L3504" t="s">
        <v>38</v>
      </c>
      <c r="M3504" t="s">
        <v>38</v>
      </c>
      <c r="N3504" t="s">
        <v>38</v>
      </c>
      <c r="O3504" t="s">
        <v>41</v>
      </c>
      <c r="P3504" t="s">
        <v>42</v>
      </c>
      <c r="Q3504" t="s">
        <v>43</v>
      </c>
      <c r="R3504" t="s">
        <v>38</v>
      </c>
      <c r="S3504" t="s">
        <v>38</v>
      </c>
      <c r="T3504" t="s">
        <v>38</v>
      </c>
      <c r="U3504" t="s">
        <v>38</v>
      </c>
      <c r="V3504" t="s">
        <v>137</v>
      </c>
      <c r="W3504" t="s">
        <v>92</v>
      </c>
      <c r="X3504" t="s">
        <v>38</v>
      </c>
      <c r="Y3504" t="s">
        <v>5179</v>
      </c>
      <c r="Z3504" t="s">
        <v>42</v>
      </c>
      <c r="AA3504" t="s">
        <v>5182</v>
      </c>
      <c r="AB3504" t="s">
        <v>38</v>
      </c>
      <c r="AC3504" t="s">
        <v>1303</v>
      </c>
      <c r="AD3504" t="s">
        <v>48</v>
      </c>
      <c r="AG3504" t="str">
        <f>IF(AD3504="United States", IFERROR(INDEX(Sheet2!$C:$C, MATCH(AE3504&amp;AF3504, Sheet2!$E:$E, 0)) &amp; ", " &amp; INDEX(Sheet2!$D:$D, MATCH(AE3504&amp;AF3504, Sheet2!$E:$E, 0)), ""), "-")</f>
        <v/>
      </c>
    </row>
    <row r="3505" spans="1:33" x14ac:dyDescent="0.25">
      <c r="A3505" t="s">
        <v>5029</v>
      </c>
      <c r="B3505" t="s">
        <v>5183</v>
      </c>
      <c r="C3505" t="s">
        <v>5184</v>
      </c>
      <c r="D3505" t="s">
        <v>807</v>
      </c>
      <c r="E3505" t="s">
        <v>38</v>
      </c>
      <c r="F3505">
        <v>1733</v>
      </c>
      <c r="G3505">
        <v>463</v>
      </c>
      <c r="H3505" t="s">
        <v>4315</v>
      </c>
      <c r="I3505" t="s">
        <v>39</v>
      </c>
      <c r="J3505" t="s">
        <v>5185</v>
      </c>
      <c r="K3505" t="s">
        <v>38</v>
      </c>
      <c r="L3505" t="s">
        <v>38</v>
      </c>
      <c r="M3505" t="s">
        <v>38</v>
      </c>
      <c r="N3505" t="s">
        <v>38</v>
      </c>
      <c r="O3505" t="s">
        <v>41</v>
      </c>
      <c r="P3505" t="s">
        <v>42</v>
      </c>
      <c r="Q3505" t="s">
        <v>43</v>
      </c>
      <c r="R3505" t="s">
        <v>89</v>
      </c>
      <c r="S3505" t="s">
        <v>165</v>
      </c>
      <c r="T3505" t="s">
        <v>89</v>
      </c>
      <c r="U3505" t="s">
        <v>301</v>
      </c>
      <c r="V3505" t="s">
        <v>137</v>
      </c>
      <c r="W3505" t="s">
        <v>92</v>
      </c>
      <c r="X3505" t="s">
        <v>302</v>
      </c>
      <c r="Y3505" t="s">
        <v>5186</v>
      </c>
      <c r="Z3505" t="s">
        <v>42</v>
      </c>
      <c r="AA3505" t="s">
        <v>166</v>
      </c>
      <c r="AB3505" t="s">
        <v>38</v>
      </c>
      <c r="AC3505" t="s">
        <v>165</v>
      </c>
      <c r="AD3505" t="s">
        <v>48</v>
      </c>
      <c r="AG3505" t="str">
        <f>IF(AD3505="United States", IFERROR(INDEX(Sheet2!$C:$C, MATCH(AE3505&amp;AF3505, Sheet2!$E:$E, 0)) &amp; ", " &amp; INDEX(Sheet2!$D:$D, MATCH(AE3505&amp;AF3505, Sheet2!$E:$E, 0)), ""), "-")</f>
        <v/>
      </c>
    </row>
    <row r="3506" spans="1:33" x14ac:dyDescent="0.25">
      <c r="A3506" t="s">
        <v>5029</v>
      </c>
      <c r="B3506" t="s">
        <v>5187</v>
      </c>
      <c r="C3506" t="s">
        <v>5184</v>
      </c>
      <c r="D3506" t="s">
        <v>774</v>
      </c>
      <c r="E3506" t="s">
        <v>38</v>
      </c>
      <c r="F3506">
        <v>1771</v>
      </c>
      <c r="G3506">
        <v>465</v>
      </c>
      <c r="H3506" t="s">
        <v>4315</v>
      </c>
      <c r="I3506" t="s">
        <v>39</v>
      </c>
      <c r="J3506" t="s">
        <v>5185</v>
      </c>
      <c r="K3506" t="s">
        <v>38</v>
      </c>
      <c r="L3506" t="s">
        <v>38</v>
      </c>
      <c r="M3506" t="s">
        <v>38</v>
      </c>
      <c r="N3506" t="s">
        <v>38</v>
      </c>
      <c r="O3506" t="s">
        <v>54</v>
      </c>
      <c r="P3506" t="s">
        <v>42</v>
      </c>
      <c r="Q3506" t="s">
        <v>43</v>
      </c>
      <c r="R3506" t="s">
        <v>89</v>
      </c>
      <c r="S3506" t="s">
        <v>165</v>
      </c>
      <c r="T3506" t="s">
        <v>89</v>
      </c>
      <c r="U3506" t="s">
        <v>301</v>
      </c>
      <c r="V3506" t="s">
        <v>137</v>
      </c>
      <c r="W3506" t="s">
        <v>92</v>
      </c>
      <c r="X3506" t="s">
        <v>302</v>
      </c>
      <c r="Y3506" t="s">
        <v>5186</v>
      </c>
      <c r="Z3506" t="s">
        <v>42</v>
      </c>
      <c r="AA3506" t="s">
        <v>166</v>
      </c>
      <c r="AB3506" t="s">
        <v>38</v>
      </c>
      <c r="AC3506" t="s">
        <v>165</v>
      </c>
      <c r="AD3506" t="s">
        <v>48</v>
      </c>
      <c r="AG3506" t="str">
        <f>IF(AD3506="United States", IFERROR(INDEX(Sheet2!$C:$C, MATCH(AE3506&amp;AF3506, Sheet2!$E:$E, 0)) &amp; ", " &amp; INDEX(Sheet2!$D:$D, MATCH(AE3506&amp;AF3506, Sheet2!$E:$E, 0)), ""), "-")</f>
        <v/>
      </c>
    </row>
    <row r="3507" spans="1:33" x14ac:dyDescent="0.25">
      <c r="A3507" t="s">
        <v>5029</v>
      </c>
      <c r="B3507" t="s">
        <v>5188</v>
      </c>
      <c r="C3507" t="s">
        <v>5184</v>
      </c>
      <c r="D3507" t="s">
        <v>569</v>
      </c>
      <c r="E3507" t="s">
        <v>5189</v>
      </c>
      <c r="F3507">
        <v>1747</v>
      </c>
      <c r="G3507">
        <v>466</v>
      </c>
      <c r="H3507" t="s">
        <v>4315</v>
      </c>
      <c r="I3507" t="s">
        <v>39</v>
      </c>
      <c r="J3507" t="s">
        <v>5185</v>
      </c>
      <c r="K3507" t="s">
        <v>38</v>
      </c>
      <c r="L3507" t="s">
        <v>38</v>
      </c>
      <c r="M3507" t="s">
        <v>38</v>
      </c>
      <c r="N3507" t="s">
        <v>38</v>
      </c>
      <c r="O3507" t="s">
        <v>41</v>
      </c>
      <c r="P3507" t="s">
        <v>42</v>
      </c>
      <c r="Q3507" t="s">
        <v>43</v>
      </c>
      <c r="R3507" t="s">
        <v>89</v>
      </c>
      <c r="S3507" t="s">
        <v>201</v>
      </c>
      <c r="T3507" t="s">
        <v>89</v>
      </c>
      <c r="U3507" t="s">
        <v>301</v>
      </c>
      <c r="V3507" t="s">
        <v>137</v>
      </c>
      <c r="W3507" t="s">
        <v>92</v>
      </c>
      <c r="X3507" t="s">
        <v>302</v>
      </c>
      <c r="Y3507" t="s">
        <v>5190</v>
      </c>
      <c r="Z3507" t="s">
        <v>42</v>
      </c>
      <c r="AA3507" t="s">
        <v>202</v>
      </c>
      <c r="AB3507" t="s">
        <v>201</v>
      </c>
      <c r="AC3507" t="s">
        <v>5191</v>
      </c>
      <c r="AD3507" t="s">
        <v>48</v>
      </c>
      <c r="AG3507" t="str">
        <f>IF(AD3507="United States", IFERROR(INDEX(Sheet2!$C:$C, MATCH(AE3507&amp;AF3507, Sheet2!$E:$E, 0)) &amp; ", " &amp; INDEX(Sheet2!$D:$D, MATCH(AE3507&amp;AF3507, Sheet2!$E:$E, 0)), ""), "-")</f>
        <v/>
      </c>
    </row>
    <row r="3508" spans="1:33" x14ac:dyDescent="0.25">
      <c r="A3508" t="s">
        <v>5029</v>
      </c>
      <c r="B3508" t="s">
        <v>5192</v>
      </c>
      <c r="C3508" t="s">
        <v>5184</v>
      </c>
      <c r="D3508" t="s">
        <v>1197</v>
      </c>
      <c r="E3508" t="s">
        <v>164</v>
      </c>
      <c r="F3508">
        <v>1748</v>
      </c>
      <c r="G3508">
        <v>467</v>
      </c>
      <c r="H3508" t="s">
        <v>4315</v>
      </c>
      <c r="I3508" t="s">
        <v>39</v>
      </c>
      <c r="J3508" t="s">
        <v>5185</v>
      </c>
      <c r="K3508" t="s">
        <v>38</v>
      </c>
      <c r="L3508" t="s">
        <v>38</v>
      </c>
      <c r="M3508" t="s">
        <v>38</v>
      </c>
      <c r="N3508" t="s">
        <v>38</v>
      </c>
      <c r="O3508" t="s">
        <v>57</v>
      </c>
      <c r="P3508" t="s">
        <v>42</v>
      </c>
      <c r="Q3508" t="s">
        <v>43</v>
      </c>
      <c r="R3508" t="s">
        <v>89</v>
      </c>
      <c r="S3508" t="s">
        <v>201</v>
      </c>
      <c r="T3508" t="s">
        <v>89</v>
      </c>
      <c r="U3508" t="s">
        <v>301</v>
      </c>
      <c r="V3508" t="s">
        <v>137</v>
      </c>
      <c r="W3508" t="s">
        <v>92</v>
      </c>
      <c r="X3508" t="s">
        <v>302</v>
      </c>
      <c r="Y3508" t="s">
        <v>5190</v>
      </c>
      <c r="Z3508" t="s">
        <v>42</v>
      </c>
      <c r="AA3508" t="s">
        <v>202</v>
      </c>
      <c r="AB3508" t="s">
        <v>38</v>
      </c>
      <c r="AC3508" t="s">
        <v>201</v>
      </c>
      <c r="AD3508" t="s">
        <v>48</v>
      </c>
      <c r="AG3508" t="str">
        <f>IF(AD3508="United States", IFERROR(INDEX(Sheet2!$C:$C, MATCH(AE3508&amp;AF3508, Sheet2!$E:$E, 0)) &amp; ", " &amp; INDEX(Sheet2!$D:$D, MATCH(AE3508&amp;AF3508, Sheet2!$E:$E, 0)), ""), "-")</f>
        <v/>
      </c>
    </row>
    <row r="3509" spans="1:33" x14ac:dyDescent="0.25">
      <c r="A3509" t="s">
        <v>5029</v>
      </c>
      <c r="B3509" t="s">
        <v>5193</v>
      </c>
      <c r="C3509" t="s">
        <v>5184</v>
      </c>
      <c r="D3509" t="s">
        <v>5194</v>
      </c>
      <c r="E3509" t="s">
        <v>5195</v>
      </c>
      <c r="F3509">
        <v>1767</v>
      </c>
      <c r="G3509">
        <v>468</v>
      </c>
      <c r="H3509" t="s">
        <v>38</v>
      </c>
      <c r="I3509" t="s">
        <v>39</v>
      </c>
      <c r="J3509" t="s">
        <v>5185</v>
      </c>
      <c r="K3509" t="s">
        <v>38</v>
      </c>
      <c r="L3509" t="s">
        <v>38</v>
      </c>
      <c r="M3509" t="s">
        <v>38</v>
      </c>
      <c r="N3509" t="s">
        <v>38</v>
      </c>
      <c r="O3509" t="s">
        <v>54</v>
      </c>
      <c r="P3509" t="s">
        <v>42</v>
      </c>
      <c r="Q3509" t="s">
        <v>43</v>
      </c>
      <c r="R3509" t="s">
        <v>5196</v>
      </c>
      <c r="S3509" t="s">
        <v>286</v>
      </c>
      <c r="T3509" t="s">
        <v>38</v>
      </c>
      <c r="U3509" t="s">
        <v>38</v>
      </c>
      <c r="V3509" t="s">
        <v>137</v>
      </c>
      <c r="W3509" t="s">
        <v>38</v>
      </c>
      <c r="X3509" t="s">
        <v>38</v>
      </c>
      <c r="Y3509" t="s">
        <v>5190</v>
      </c>
      <c r="Z3509" t="s">
        <v>42</v>
      </c>
      <c r="AA3509" t="s">
        <v>5196</v>
      </c>
      <c r="AB3509" t="s">
        <v>38</v>
      </c>
      <c r="AC3509" t="s">
        <v>286</v>
      </c>
      <c r="AD3509" t="s">
        <v>48</v>
      </c>
      <c r="AG3509" t="str">
        <f>IF(AD3509="United States", IFERROR(INDEX(Sheet2!$C:$C, MATCH(AE3509&amp;AF3509, Sheet2!$E:$E, 0)) &amp; ", " &amp; INDEX(Sheet2!$D:$D, MATCH(AE3509&amp;AF3509, Sheet2!$E:$E, 0)), ""), "-")</f>
        <v/>
      </c>
    </row>
    <row r="3510" spans="1:33" x14ac:dyDescent="0.25">
      <c r="A3510" t="s">
        <v>5029</v>
      </c>
      <c r="B3510" t="s">
        <v>5197</v>
      </c>
      <c r="C3510" t="s">
        <v>5184</v>
      </c>
      <c r="D3510" t="s">
        <v>343</v>
      </c>
      <c r="E3510" t="s">
        <v>38</v>
      </c>
      <c r="F3510">
        <v>1757</v>
      </c>
      <c r="G3510">
        <v>470</v>
      </c>
      <c r="H3510" t="s">
        <v>4315</v>
      </c>
      <c r="I3510" t="s">
        <v>39</v>
      </c>
      <c r="J3510" t="s">
        <v>5185</v>
      </c>
      <c r="K3510" t="s">
        <v>38</v>
      </c>
      <c r="L3510" t="s">
        <v>38</v>
      </c>
      <c r="M3510" t="s">
        <v>38</v>
      </c>
      <c r="N3510" t="s">
        <v>38</v>
      </c>
      <c r="O3510" t="s">
        <v>41</v>
      </c>
      <c r="P3510" t="s">
        <v>42</v>
      </c>
      <c r="Q3510" t="s">
        <v>43</v>
      </c>
      <c r="R3510" t="s">
        <v>89</v>
      </c>
      <c r="S3510" t="s">
        <v>38</v>
      </c>
      <c r="T3510" t="s">
        <v>89</v>
      </c>
      <c r="U3510" t="s">
        <v>301</v>
      </c>
      <c r="V3510" t="s">
        <v>137</v>
      </c>
      <c r="W3510" t="s">
        <v>92</v>
      </c>
      <c r="X3510" t="s">
        <v>302</v>
      </c>
      <c r="Y3510" t="s">
        <v>3203</v>
      </c>
      <c r="Z3510" t="s">
        <v>42</v>
      </c>
      <c r="AA3510" t="s">
        <v>38</v>
      </c>
      <c r="AB3510" t="s">
        <v>38</v>
      </c>
      <c r="AC3510" t="s">
        <v>38</v>
      </c>
      <c r="AD3510" t="s">
        <v>48</v>
      </c>
      <c r="AG3510" t="str">
        <f>IF(AD3510="United States", IFERROR(INDEX(Sheet2!$C:$C, MATCH(AE3510&amp;AF3510, Sheet2!$E:$E, 0)) &amp; ", " &amp; INDEX(Sheet2!$D:$D, MATCH(AE3510&amp;AF3510, Sheet2!$E:$E, 0)), ""), "-")</f>
        <v/>
      </c>
    </row>
    <row r="3511" spans="1:33" x14ac:dyDescent="0.25">
      <c r="A3511" t="s">
        <v>5029</v>
      </c>
      <c r="B3511" t="s">
        <v>5198</v>
      </c>
      <c r="C3511" t="s">
        <v>5184</v>
      </c>
      <c r="D3511" t="s">
        <v>210</v>
      </c>
      <c r="E3511" t="s">
        <v>177</v>
      </c>
      <c r="F3511">
        <v>1758</v>
      </c>
      <c r="G3511">
        <v>472</v>
      </c>
      <c r="H3511" t="s">
        <v>4315</v>
      </c>
      <c r="I3511" t="s">
        <v>39</v>
      </c>
      <c r="J3511" t="s">
        <v>5185</v>
      </c>
      <c r="K3511" t="s">
        <v>38</v>
      </c>
      <c r="L3511" t="s">
        <v>38</v>
      </c>
      <c r="M3511" t="s">
        <v>38</v>
      </c>
      <c r="N3511" t="s">
        <v>38</v>
      </c>
      <c r="O3511" t="s">
        <v>41</v>
      </c>
      <c r="P3511" t="s">
        <v>42</v>
      </c>
      <c r="Q3511" t="s">
        <v>43</v>
      </c>
      <c r="R3511" t="s">
        <v>89</v>
      </c>
      <c r="S3511" t="s">
        <v>38</v>
      </c>
      <c r="T3511" t="s">
        <v>89</v>
      </c>
      <c r="U3511" t="s">
        <v>301</v>
      </c>
      <c r="V3511" t="s">
        <v>137</v>
      </c>
      <c r="W3511" t="s">
        <v>92</v>
      </c>
      <c r="X3511" t="s">
        <v>302</v>
      </c>
      <c r="Y3511" t="s">
        <v>5199</v>
      </c>
      <c r="Z3511" t="s">
        <v>42</v>
      </c>
      <c r="AA3511" t="s">
        <v>2865</v>
      </c>
      <c r="AB3511" t="s">
        <v>38</v>
      </c>
      <c r="AC3511" t="s">
        <v>672</v>
      </c>
      <c r="AD3511" t="s">
        <v>672</v>
      </c>
      <c r="AG3511" t="str">
        <f>IF(AD3511="United States", IFERROR(INDEX(Sheet2!$C:$C, MATCH(AE3511&amp;AF3511, Sheet2!$E:$E, 0)) &amp; ", " &amp; INDEX(Sheet2!$D:$D, MATCH(AE3511&amp;AF3511, Sheet2!$E:$E, 0)), ""), "17.9712148, -76.7928128")</f>
        <v>17.9712148, -76.7928128</v>
      </c>
    </row>
    <row r="3512" spans="1:33" x14ac:dyDescent="0.25">
      <c r="A3512" t="s">
        <v>5029</v>
      </c>
      <c r="B3512" t="s">
        <v>5200</v>
      </c>
      <c r="C3512" t="s">
        <v>5184</v>
      </c>
      <c r="D3512" t="s">
        <v>334</v>
      </c>
      <c r="E3512" t="s">
        <v>268</v>
      </c>
      <c r="F3512">
        <v>1760</v>
      </c>
      <c r="G3512">
        <v>473</v>
      </c>
      <c r="H3512" t="s">
        <v>4315</v>
      </c>
      <c r="I3512" t="s">
        <v>39</v>
      </c>
      <c r="J3512" t="s">
        <v>5185</v>
      </c>
      <c r="K3512" t="s">
        <v>38</v>
      </c>
      <c r="L3512" t="s">
        <v>38</v>
      </c>
      <c r="M3512" t="s">
        <v>38</v>
      </c>
      <c r="N3512" t="s">
        <v>38</v>
      </c>
      <c r="O3512" t="s">
        <v>41</v>
      </c>
      <c r="P3512" t="s">
        <v>42</v>
      </c>
      <c r="Q3512" t="s">
        <v>43</v>
      </c>
      <c r="R3512" t="s">
        <v>89</v>
      </c>
      <c r="S3512" t="s">
        <v>38</v>
      </c>
      <c r="T3512" t="s">
        <v>89</v>
      </c>
      <c r="U3512" t="s">
        <v>301</v>
      </c>
      <c r="V3512" t="s">
        <v>137</v>
      </c>
      <c r="W3512" t="s">
        <v>92</v>
      </c>
      <c r="X3512" t="s">
        <v>302</v>
      </c>
      <c r="Y3512" t="s">
        <v>5199</v>
      </c>
      <c r="Z3512" t="s">
        <v>42</v>
      </c>
      <c r="AA3512" t="s">
        <v>5201</v>
      </c>
      <c r="AB3512" t="s">
        <v>38</v>
      </c>
      <c r="AC3512" t="s">
        <v>1824</v>
      </c>
      <c r="AD3512" t="s">
        <v>48</v>
      </c>
      <c r="AG3512" t="str">
        <f>IF(AD3512="United States", IFERROR(INDEX(Sheet2!$C:$C, MATCH(AE3512&amp;AF3512, Sheet2!$E:$E, 0)) &amp; ", " &amp; INDEX(Sheet2!$D:$D, MATCH(AE3512&amp;AF3512, Sheet2!$E:$E, 0)), ""), "-")</f>
        <v/>
      </c>
    </row>
    <row r="3513" spans="1:33" x14ac:dyDescent="0.25">
      <c r="A3513" t="s">
        <v>5029</v>
      </c>
      <c r="B3513" t="s">
        <v>5202</v>
      </c>
      <c r="C3513" t="s">
        <v>5184</v>
      </c>
      <c r="D3513" t="s">
        <v>282</v>
      </c>
      <c r="E3513" t="s">
        <v>38</v>
      </c>
      <c r="F3513">
        <v>1753</v>
      </c>
      <c r="G3513">
        <v>464</v>
      </c>
      <c r="H3513" t="s">
        <v>4315</v>
      </c>
      <c r="I3513" t="s">
        <v>39</v>
      </c>
      <c r="J3513" t="s">
        <v>5185</v>
      </c>
      <c r="K3513" t="s">
        <v>38</v>
      </c>
      <c r="L3513" t="s">
        <v>38</v>
      </c>
      <c r="M3513" t="s">
        <v>38</v>
      </c>
      <c r="N3513" t="s">
        <v>38</v>
      </c>
      <c r="O3513" t="s">
        <v>57</v>
      </c>
      <c r="P3513" t="s">
        <v>42</v>
      </c>
      <c r="Q3513" t="s">
        <v>43</v>
      </c>
      <c r="R3513" t="s">
        <v>89</v>
      </c>
      <c r="S3513" t="s">
        <v>165</v>
      </c>
      <c r="T3513" t="s">
        <v>89</v>
      </c>
      <c r="U3513" t="s">
        <v>301</v>
      </c>
      <c r="V3513" t="s">
        <v>137</v>
      </c>
      <c r="W3513" t="s">
        <v>92</v>
      </c>
      <c r="X3513" t="s">
        <v>302</v>
      </c>
      <c r="Y3513" t="s">
        <v>5186</v>
      </c>
      <c r="Z3513" t="s">
        <v>42</v>
      </c>
      <c r="AA3513" t="s">
        <v>166</v>
      </c>
      <c r="AB3513" t="s">
        <v>38</v>
      </c>
      <c r="AC3513" t="s">
        <v>165</v>
      </c>
      <c r="AD3513" t="s">
        <v>48</v>
      </c>
      <c r="AG3513" t="str">
        <f>IF(AD3513="United States", IFERROR(INDEX(Sheet2!$C:$C, MATCH(AE3513&amp;AF3513, Sheet2!$E:$E, 0)) &amp; ", " &amp; INDEX(Sheet2!$D:$D, MATCH(AE3513&amp;AF3513, Sheet2!$E:$E, 0)), ""), "-")</f>
        <v/>
      </c>
    </row>
    <row r="3514" spans="1:33" x14ac:dyDescent="0.25">
      <c r="A3514" t="s">
        <v>5029</v>
      </c>
      <c r="B3514" t="s">
        <v>5203</v>
      </c>
      <c r="C3514" t="s">
        <v>5184</v>
      </c>
      <c r="D3514" t="s">
        <v>132</v>
      </c>
      <c r="E3514" t="s">
        <v>1941</v>
      </c>
      <c r="F3514">
        <v>1761</v>
      </c>
      <c r="G3514">
        <v>469</v>
      </c>
      <c r="H3514" t="s">
        <v>4315</v>
      </c>
      <c r="I3514" t="s">
        <v>39</v>
      </c>
      <c r="J3514" t="s">
        <v>5185</v>
      </c>
      <c r="K3514" t="s">
        <v>38</v>
      </c>
      <c r="L3514" t="s">
        <v>38</v>
      </c>
      <c r="M3514" t="s">
        <v>38</v>
      </c>
      <c r="N3514" t="s">
        <v>38</v>
      </c>
      <c r="O3514" t="s">
        <v>41</v>
      </c>
      <c r="P3514" t="s">
        <v>42</v>
      </c>
      <c r="Q3514" t="s">
        <v>43</v>
      </c>
      <c r="R3514" t="s">
        <v>89</v>
      </c>
      <c r="S3514" t="s">
        <v>153</v>
      </c>
      <c r="T3514" t="s">
        <v>89</v>
      </c>
      <c r="U3514" t="s">
        <v>301</v>
      </c>
      <c r="V3514" t="s">
        <v>137</v>
      </c>
      <c r="W3514" t="s">
        <v>92</v>
      </c>
      <c r="X3514" t="s">
        <v>302</v>
      </c>
      <c r="Y3514" t="s">
        <v>322</v>
      </c>
      <c r="Z3514" t="s">
        <v>42</v>
      </c>
      <c r="AA3514" t="s">
        <v>155</v>
      </c>
      <c r="AB3514" t="s">
        <v>38</v>
      </c>
      <c r="AC3514" t="s">
        <v>153</v>
      </c>
      <c r="AD3514" t="s">
        <v>48</v>
      </c>
      <c r="AG3514" t="str">
        <f>IF(AD3514="United States", IFERROR(INDEX(Sheet2!$C:$C, MATCH(AE3514&amp;AF3514, Sheet2!$E:$E, 0)) &amp; ", " &amp; INDEX(Sheet2!$D:$D, MATCH(AE3514&amp;AF3514, Sheet2!$E:$E, 0)), ""), "-")</f>
        <v/>
      </c>
    </row>
    <row r="3515" spans="1:33" x14ac:dyDescent="0.25">
      <c r="A3515" t="s">
        <v>5029</v>
      </c>
      <c r="B3515" t="s">
        <v>5204</v>
      </c>
      <c r="C3515" t="s">
        <v>5184</v>
      </c>
      <c r="D3515" t="s">
        <v>837</v>
      </c>
      <c r="E3515" t="s">
        <v>37</v>
      </c>
      <c r="F3515">
        <v>1765</v>
      </c>
      <c r="G3515">
        <v>471</v>
      </c>
      <c r="H3515" t="s">
        <v>4315</v>
      </c>
      <c r="I3515" t="s">
        <v>39</v>
      </c>
      <c r="J3515" t="s">
        <v>5185</v>
      </c>
      <c r="K3515" t="s">
        <v>38</v>
      </c>
      <c r="L3515" t="s">
        <v>38</v>
      </c>
      <c r="M3515" t="s">
        <v>38</v>
      </c>
      <c r="N3515" t="s">
        <v>38</v>
      </c>
      <c r="O3515" t="s">
        <v>41</v>
      </c>
      <c r="P3515" t="s">
        <v>42</v>
      </c>
      <c r="Q3515" t="s">
        <v>43</v>
      </c>
      <c r="R3515" t="s">
        <v>89</v>
      </c>
      <c r="S3515" t="s">
        <v>45</v>
      </c>
      <c r="T3515" t="s">
        <v>89</v>
      </c>
      <c r="U3515" t="s">
        <v>301</v>
      </c>
      <c r="V3515" t="s">
        <v>137</v>
      </c>
      <c r="W3515" t="s">
        <v>92</v>
      </c>
      <c r="X3515" t="s">
        <v>302</v>
      </c>
      <c r="Y3515" t="s">
        <v>322</v>
      </c>
      <c r="Z3515" t="s">
        <v>42</v>
      </c>
      <c r="AA3515" t="s">
        <v>169</v>
      </c>
      <c r="AB3515" t="s">
        <v>38</v>
      </c>
      <c r="AC3515" t="s">
        <v>45</v>
      </c>
      <c r="AD3515" t="s">
        <v>48</v>
      </c>
      <c r="AG3515" t="str">
        <f>IF(AD3515="United States", IFERROR(INDEX(Sheet2!$C:$C, MATCH(AE3515&amp;AF3515, Sheet2!$E:$E, 0)) &amp; ", " &amp; INDEX(Sheet2!$D:$D, MATCH(AE3515&amp;AF3515, Sheet2!$E:$E, 0)), ""), "-")</f>
        <v/>
      </c>
    </row>
    <row r="3516" spans="1:33" x14ac:dyDescent="0.25">
      <c r="A3516" t="s">
        <v>5029</v>
      </c>
      <c r="B3516" t="s">
        <v>5205</v>
      </c>
      <c r="C3516" t="s">
        <v>5184</v>
      </c>
      <c r="D3516" t="s">
        <v>222</v>
      </c>
      <c r="E3516" t="s">
        <v>191</v>
      </c>
      <c r="F3516">
        <v>1777</v>
      </c>
      <c r="G3516">
        <v>461</v>
      </c>
      <c r="H3516" t="s">
        <v>4315</v>
      </c>
      <c r="I3516" t="s">
        <v>39</v>
      </c>
      <c r="J3516" t="s">
        <v>5185</v>
      </c>
      <c r="K3516" t="s">
        <v>38</v>
      </c>
      <c r="L3516" t="s">
        <v>38</v>
      </c>
      <c r="M3516" t="s">
        <v>5206</v>
      </c>
      <c r="N3516" t="s">
        <v>191</v>
      </c>
      <c r="O3516" t="s">
        <v>74</v>
      </c>
      <c r="P3516" t="s">
        <v>42</v>
      </c>
      <c r="Q3516" t="s">
        <v>43</v>
      </c>
      <c r="R3516" t="s">
        <v>89</v>
      </c>
      <c r="S3516" t="s">
        <v>38</v>
      </c>
      <c r="T3516" t="s">
        <v>89</v>
      </c>
      <c r="U3516" t="s">
        <v>301</v>
      </c>
      <c r="V3516" t="s">
        <v>137</v>
      </c>
      <c r="W3516" t="s">
        <v>92</v>
      </c>
      <c r="X3516" t="s">
        <v>302</v>
      </c>
      <c r="Y3516" t="s">
        <v>38</v>
      </c>
      <c r="Z3516" t="s">
        <v>42</v>
      </c>
      <c r="AA3516" t="s">
        <v>38</v>
      </c>
      <c r="AB3516" t="s">
        <v>38</v>
      </c>
      <c r="AC3516" t="s">
        <v>233</v>
      </c>
      <c r="AD3516" t="s">
        <v>48</v>
      </c>
      <c r="AG3516" t="str">
        <f>IF(AD3516="United States", IFERROR(INDEX(Sheet2!$C:$C, MATCH(AE3516&amp;AF3516, Sheet2!$E:$E, 0)) &amp; ", " &amp; INDEX(Sheet2!$D:$D, MATCH(AE3516&amp;AF3516, Sheet2!$E:$E, 0)), ""), "-")</f>
        <v/>
      </c>
    </row>
    <row r="3517" spans="1:33" x14ac:dyDescent="0.25">
      <c r="A3517" t="s">
        <v>5029</v>
      </c>
      <c r="B3517" t="s">
        <v>5207</v>
      </c>
      <c r="C3517" t="s">
        <v>5184</v>
      </c>
      <c r="D3517" t="s">
        <v>626</v>
      </c>
      <c r="E3517" t="s">
        <v>191</v>
      </c>
      <c r="F3517">
        <v>1777</v>
      </c>
      <c r="G3517">
        <v>462</v>
      </c>
      <c r="H3517" t="s">
        <v>4315</v>
      </c>
      <c r="I3517" t="s">
        <v>39</v>
      </c>
      <c r="J3517" t="s">
        <v>5185</v>
      </c>
      <c r="K3517" t="s">
        <v>226</v>
      </c>
      <c r="L3517" t="s">
        <v>5208</v>
      </c>
      <c r="M3517" t="s">
        <v>38</v>
      </c>
      <c r="N3517" t="s">
        <v>38</v>
      </c>
      <c r="O3517" t="s">
        <v>54</v>
      </c>
      <c r="P3517" t="s">
        <v>42</v>
      </c>
      <c r="Q3517" t="s">
        <v>43</v>
      </c>
      <c r="R3517" t="s">
        <v>89</v>
      </c>
      <c r="S3517" t="s">
        <v>38</v>
      </c>
      <c r="T3517" t="s">
        <v>89</v>
      </c>
      <c r="U3517" t="s">
        <v>301</v>
      </c>
      <c r="V3517" t="s">
        <v>137</v>
      </c>
      <c r="W3517" t="s">
        <v>92</v>
      </c>
      <c r="X3517" t="s">
        <v>302</v>
      </c>
      <c r="Y3517" t="s">
        <v>38</v>
      </c>
      <c r="Z3517" t="s">
        <v>42</v>
      </c>
      <c r="AA3517" t="s">
        <v>38</v>
      </c>
      <c r="AB3517" t="s">
        <v>38</v>
      </c>
      <c r="AC3517" t="s">
        <v>233</v>
      </c>
      <c r="AD3517" t="s">
        <v>48</v>
      </c>
      <c r="AG3517" t="str">
        <f>IF(AD3517="United States", IFERROR(INDEX(Sheet2!$C:$C, MATCH(AE3517&amp;AF3517, Sheet2!$E:$E, 0)) &amp; ", " &amp; INDEX(Sheet2!$D:$D, MATCH(AE3517&amp;AF3517, Sheet2!$E:$E, 0)), ""), "-")</f>
        <v/>
      </c>
    </row>
    <row r="3518" spans="1:33" x14ac:dyDescent="0.25">
      <c r="A3518" t="s">
        <v>5029</v>
      </c>
      <c r="D3518" t="s">
        <v>5209</v>
      </c>
      <c r="E3518" t="s">
        <v>185</v>
      </c>
      <c r="F3518">
        <v>1748</v>
      </c>
      <c r="G3518">
        <v>514</v>
      </c>
      <c r="H3518">
        <v>28</v>
      </c>
      <c r="J3518" t="s">
        <v>5210</v>
      </c>
      <c r="O3518" t="s">
        <v>57</v>
      </c>
      <c r="R3518" t="s">
        <v>89</v>
      </c>
      <c r="T3518" t="s">
        <v>89</v>
      </c>
      <c r="U3518" t="s">
        <v>301</v>
      </c>
      <c r="V3518" t="s">
        <v>137</v>
      </c>
      <c r="W3518" t="s">
        <v>92</v>
      </c>
      <c r="X3518" t="s">
        <v>302</v>
      </c>
      <c r="Y3518" t="s">
        <v>38</v>
      </c>
      <c r="AA3518" t="s">
        <v>38</v>
      </c>
      <c r="AB3518" t="s">
        <v>38</v>
      </c>
      <c r="AC3518" t="s">
        <v>38</v>
      </c>
      <c r="AD3518" t="s">
        <v>48</v>
      </c>
      <c r="AG3518" t="str">
        <f>IF(AD3518="United States", IFERROR(INDEX(Sheet2!$C:$C, MATCH(AE3518&amp;AF3518, Sheet2!$E:$E, 0)) &amp; ", " &amp; INDEX(Sheet2!$D:$D, MATCH(AE3518&amp;AF3518, Sheet2!$E:$E, 0)), ""), "-")</f>
        <v/>
      </c>
    </row>
    <row r="3519" spans="1:33" x14ac:dyDescent="0.25">
      <c r="A3519" t="s">
        <v>5029</v>
      </c>
      <c r="B3519" t="s">
        <v>5211</v>
      </c>
      <c r="C3519" t="s">
        <v>5184</v>
      </c>
      <c r="D3519" t="s">
        <v>2016</v>
      </c>
      <c r="E3519" t="s">
        <v>5212</v>
      </c>
      <c r="F3519">
        <v>1761</v>
      </c>
      <c r="G3519">
        <v>443</v>
      </c>
      <c r="H3519" t="s">
        <v>4315</v>
      </c>
      <c r="I3519" t="s">
        <v>39</v>
      </c>
      <c r="J3519" t="s">
        <v>5185</v>
      </c>
      <c r="K3519" t="s">
        <v>38</v>
      </c>
      <c r="L3519" t="s">
        <v>38</v>
      </c>
      <c r="M3519" t="s">
        <v>38</v>
      </c>
      <c r="N3519" t="s">
        <v>38</v>
      </c>
      <c r="O3519" t="s">
        <v>41</v>
      </c>
      <c r="P3519" t="s">
        <v>42</v>
      </c>
      <c r="Q3519" t="s">
        <v>43</v>
      </c>
      <c r="R3519" t="s">
        <v>89</v>
      </c>
      <c r="S3519" t="s">
        <v>165</v>
      </c>
      <c r="T3519" t="s">
        <v>89</v>
      </c>
      <c r="U3519" t="s">
        <v>301</v>
      </c>
      <c r="V3519" t="s">
        <v>137</v>
      </c>
      <c r="W3519" t="s">
        <v>92</v>
      </c>
      <c r="X3519" t="s">
        <v>302</v>
      </c>
      <c r="Y3519" t="s">
        <v>322</v>
      </c>
      <c r="Z3519" t="s">
        <v>42</v>
      </c>
      <c r="AA3519" t="s">
        <v>38</v>
      </c>
      <c r="AB3519" t="s">
        <v>38</v>
      </c>
      <c r="AC3519" t="s">
        <v>165</v>
      </c>
      <c r="AD3519" t="s">
        <v>48</v>
      </c>
      <c r="AG3519" t="str">
        <f>IF(AD3519="United States", IFERROR(INDEX(Sheet2!$C:$C, MATCH(AE3519&amp;AF3519, Sheet2!$E:$E, 0)) &amp; ", " &amp; INDEX(Sheet2!$D:$D, MATCH(AE3519&amp;AF3519, Sheet2!$E:$E, 0)), ""), "-")</f>
        <v/>
      </c>
    </row>
    <row r="3520" spans="1:33" x14ac:dyDescent="0.25">
      <c r="A3520" t="s">
        <v>5029</v>
      </c>
      <c r="B3520" t="s">
        <v>5213</v>
      </c>
      <c r="C3520" t="s">
        <v>5184</v>
      </c>
      <c r="D3520" t="s">
        <v>1413</v>
      </c>
      <c r="E3520" t="s">
        <v>5214</v>
      </c>
      <c r="F3520">
        <v>1763</v>
      </c>
      <c r="G3520">
        <v>444</v>
      </c>
      <c r="H3520" t="s">
        <v>4315</v>
      </c>
      <c r="I3520" t="s">
        <v>39</v>
      </c>
      <c r="J3520" t="s">
        <v>5185</v>
      </c>
      <c r="K3520" t="s">
        <v>38</v>
      </c>
      <c r="L3520" t="s">
        <v>38</v>
      </c>
      <c r="M3520" t="s">
        <v>38</v>
      </c>
      <c r="N3520" t="s">
        <v>38</v>
      </c>
      <c r="O3520" t="s">
        <v>74</v>
      </c>
      <c r="P3520" t="s">
        <v>42</v>
      </c>
      <c r="Q3520" t="s">
        <v>43</v>
      </c>
      <c r="R3520" t="s">
        <v>89</v>
      </c>
      <c r="S3520" t="s">
        <v>38</v>
      </c>
      <c r="T3520" t="s">
        <v>89</v>
      </c>
      <c r="U3520" t="s">
        <v>301</v>
      </c>
      <c r="V3520" t="s">
        <v>137</v>
      </c>
      <c r="W3520" t="s">
        <v>92</v>
      </c>
      <c r="X3520" t="s">
        <v>302</v>
      </c>
      <c r="Y3520" t="s">
        <v>322</v>
      </c>
      <c r="Z3520" t="s">
        <v>42</v>
      </c>
      <c r="AA3520" t="s">
        <v>55</v>
      </c>
      <c r="AB3520" t="s">
        <v>38</v>
      </c>
      <c r="AC3520" t="s">
        <v>155</v>
      </c>
      <c r="AD3520" t="s">
        <v>48</v>
      </c>
      <c r="AG3520" t="str">
        <f>IF(AD3520="United States", IFERROR(INDEX(Sheet2!$C:$C, MATCH(AE3520&amp;AF3520, Sheet2!$E:$E, 0)) &amp; ", " &amp; INDEX(Sheet2!$D:$D, MATCH(AE3520&amp;AF3520, Sheet2!$E:$E, 0)), ""), "-")</f>
        <v/>
      </c>
    </row>
    <row r="3521" spans="1:33" x14ac:dyDescent="0.25">
      <c r="A3521" t="s">
        <v>5029</v>
      </c>
      <c r="B3521" t="s">
        <v>5215</v>
      </c>
      <c r="C3521" t="s">
        <v>5184</v>
      </c>
      <c r="D3521" t="s">
        <v>132</v>
      </c>
      <c r="E3521" t="s">
        <v>811</v>
      </c>
      <c r="F3521">
        <v>1763</v>
      </c>
      <c r="G3521">
        <v>448</v>
      </c>
      <c r="H3521" t="s">
        <v>4315</v>
      </c>
      <c r="I3521" t="s">
        <v>39</v>
      </c>
      <c r="J3521" t="s">
        <v>5185</v>
      </c>
      <c r="K3521" t="s">
        <v>38</v>
      </c>
      <c r="L3521" t="s">
        <v>38</v>
      </c>
      <c r="M3521" t="s">
        <v>38</v>
      </c>
      <c r="N3521" t="s">
        <v>38</v>
      </c>
      <c r="O3521" t="s">
        <v>41</v>
      </c>
      <c r="P3521" t="s">
        <v>42</v>
      </c>
      <c r="Q3521" t="s">
        <v>43</v>
      </c>
      <c r="R3521" t="s">
        <v>89</v>
      </c>
      <c r="S3521" t="s">
        <v>45</v>
      </c>
      <c r="T3521" t="s">
        <v>89</v>
      </c>
      <c r="U3521" t="s">
        <v>301</v>
      </c>
      <c r="V3521" t="s">
        <v>137</v>
      </c>
      <c r="W3521" t="s">
        <v>92</v>
      </c>
      <c r="X3521" t="s">
        <v>302</v>
      </c>
      <c r="Y3521" t="s">
        <v>38</v>
      </c>
      <c r="Z3521" t="s">
        <v>42</v>
      </c>
      <c r="AA3521" t="s">
        <v>169</v>
      </c>
      <c r="AB3521" t="s">
        <v>38</v>
      </c>
      <c r="AC3521" t="s">
        <v>45</v>
      </c>
      <c r="AD3521" t="s">
        <v>48</v>
      </c>
      <c r="AG3521" t="str">
        <f>IF(AD3521="United States", IFERROR(INDEX(Sheet2!$C:$C, MATCH(AE3521&amp;AF3521, Sheet2!$E:$E, 0)) &amp; ", " &amp; INDEX(Sheet2!$D:$D, MATCH(AE3521&amp;AF3521, Sheet2!$E:$E, 0)), ""), "-")</f>
        <v/>
      </c>
    </row>
    <row r="3522" spans="1:33" x14ac:dyDescent="0.25">
      <c r="A3522" t="s">
        <v>5029</v>
      </c>
      <c r="B3522" t="s">
        <v>5216</v>
      </c>
      <c r="C3522" t="s">
        <v>5184</v>
      </c>
      <c r="D3522" t="s">
        <v>5217</v>
      </c>
      <c r="E3522" t="s">
        <v>5218</v>
      </c>
      <c r="F3522">
        <v>1747</v>
      </c>
      <c r="G3522">
        <v>449</v>
      </c>
      <c r="H3522" t="s">
        <v>4315</v>
      </c>
      <c r="I3522" t="s">
        <v>39</v>
      </c>
      <c r="J3522" t="s">
        <v>5185</v>
      </c>
      <c r="K3522" t="s">
        <v>38</v>
      </c>
      <c r="L3522" t="s">
        <v>38</v>
      </c>
      <c r="M3522" t="s">
        <v>38</v>
      </c>
      <c r="N3522" t="s">
        <v>38</v>
      </c>
      <c r="O3522" t="s">
        <v>57</v>
      </c>
      <c r="P3522" t="s">
        <v>42</v>
      </c>
      <c r="Q3522" t="s">
        <v>43</v>
      </c>
      <c r="R3522" t="s">
        <v>89</v>
      </c>
      <c r="S3522" t="s">
        <v>38</v>
      </c>
      <c r="T3522" t="s">
        <v>89</v>
      </c>
      <c r="U3522" t="s">
        <v>301</v>
      </c>
      <c r="V3522" t="s">
        <v>137</v>
      </c>
      <c r="W3522" t="s">
        <v>92</v>
      </c>
      <c r="X3522" t="s">
        <v>302</v>
      </c>
      <c r="Y3522" t="s">
        <v>5219</v>
      </c>
      <c r="Z3522" t="s">
        <v>42</v>
      </c>
      <c r="AA3522" t="s">
        <v>38</v>
      </c>
      <c r="AB3522" t="s">
        <v>38</v>
      </c>
      <c r="AC3522" t="s">
        <v>233</v>
      </c>
      <c r="AD3522" t="s">
        <v>48</v>
      </c>
      <c r="AG3522" t="str">
        <f>IF(AD3522="United States", IFERROR(INDEX(Sheet2!$C:$C, MATCH(AE3522&amp;AF3522, Sheet2!$E:$E, 0)) &amp; ", " &amp; INDEX(Sheet2!$D:$D, MATCH(AE3522&amp;AF3522, Sheet2!$E:$E, 0)), ""), "-")</f>
        <v/>
      </c>
    </row>
    <row r="3523" spans="1:33" x14ac:dyDescent="0.25">
      <c r="A3523" t="s">
        <v>5029</v>
      </c>
      <c r="B3523" t="s">
        <v>5220</v>
      </c>
      <c r="C3523" t="s">
        <v>5184</v>
      </c>
      <c r="D3523" t="s">
        <v>120</v>
      </c>
      <c r="E3523" t="s">
        <v>5221</v>
      </c>
      <c r="F3523">
        <v>1743</v>
      </c>
      <c r="G3523">
        <v>445</v>
      </c>
      <c r="H3523" t="s">
        <v>4315</v>
      </c>
      <c r="I3523" t="s">
        <v>39</v>
      </c>
      <c r="J3523" t="s">
        <v>5185</v>
      </c>
      <c r="K3523" t="s">
        <v>38</v>
      </c>
      <c r="L3523" t="s">
        <v>38</v>
      </c>
      <c r="M3523" t="s">
        <v>38</v>
      </c>
      <c r="N3523" t="s">
        <v>38</v>
      </c>
      <c r="O3523" t="s">
        <v>41</v>
      </c>
      <c r="P3523" t="s">
        <v>42</v>
      </c>
      <c r="Q3523" t="s">
        <v>43</v>
      </c>
      <c r="R3523" t="s">
        <v>89</v>
      </c>
      <c r="S3523" t="s">
        <v>45</v>
      </c>
      <c r="T3523" t="s">
        <v>89</v>
      </c>
      <c r="U3523" t="s">
        <v>301</v>
      </c>
      <c r="V3523" t="s">
        <v>137</v>
      </c>
      <c r="W3523" t="s">
        <v>92</v>
      </c>
      <c r="X3523" t="s">
        <v>302</v>
      </c>
      <c r="Y3523" t="s">
        <v>5222</v>
      </c>
      <c r="Z3523" t="s">
        <v>42</v>
      </c>
      <c r="AA3523" t="s">
        <v>59</v>
      </c>
      <c r="AB3523" t="s">
        <v>38</v>
      </c>
      <c r="AC3523" t="s">
        <v>45</v>
      </c>
      <c r="AD3523" t="s">
        <v>48</v>
      </c>
      <c r="AG3523" t="str">
        <f>IF(AD3523="United States", IFERROR(INDEX(Sheet2!$C:$C, MATCH(AE3523&amp;AF3523, Sheet2!$E:$E, 0)) &amp; ", " &amp; INDEX(Sheet2!$D:$D, MATCH(AE3523&amp;AF3523, Sheet2!$E:$E, 0)), ""), "-")</f>
        <v/>
      </c>
    </row>
    <row r="3524" spans="1:33" x14ac:dyDescent="0.25">
      <c r="A3524" t="s">
        <v>5029</v>
      </c>
      <c r="B3524" t="s">
        <v>5223</v>
      </c>
      <c r="C3524" t="s">
        <v>5184</v>
      </c>
      <c r="D3524" t="s">
        <v>1354</v>
      </c>
      <c r="E3524" t="s">
        <v>507</v>
      </c>
      <c r="F3524">
        <v>1774</v>
      </c>
      <c r="G3524">
        <v>447</v>
      </c>
      <c r="H3524" t="s">
        <v>4315</v>
      </c>
      <c r="I3524" t="s">
        <v>39</v>
      </c>
      <c r="J3524" t="s">
        <v>5185</v>
      </c>
      <c r="K3524" t="s">
        <v>38</v>
      </c>
      <c r="L3524" t="s">
        <v>38</v>
      </c>
      <c r="M3524" t="s">
        <v>38</v>
      </c>
      <c r="N3524" t="s">
        <v>38</v>
      </c>
      <c r="O3524" t="s">
        <v>74</v>
      </c>
      <c r="P3524" t="s">
        <v>42</v>
      </c>
      <c r="Q3524" t="s">
        <v>43</v>
      </c>
      <c r="R3524" t="s">
        <v>89</v>
      </c>
      <c r="S3524" t="s">
        <v>45</v>
      </c>
      <c r="T3524" t="s">
        <v>89</v>
      </c>
      <c r="U3524" t="s">
        <v>301</v>
      </c>
      <c r="V3524" t="s">
        <v>137</v>
      </c>
      <c r="W3524" t="s">
        <v>92</v>
      </c>
      <c r="X3524" t="s">
        <v>302</v>
      </c>
      <c r="Y3524" t="s">
        <v>5222</v>
      </c>
      <c r="Z3524" t="s">
        <v>42</v>
      </c>
      <c r="AA3524" t="s">
        <v>38</v>
      </c>
      <c r="AB3524" t="s">
        <v>38</v>
      </c>
      <c r="AC3524" t="s">
        <v>45</v>
      </c>
      <c r="AD3524" t="s">
        <v>48</v>
      </c>
      <c r="AG3524" t="str">
        <f>IF(AD3524="United States", IFERROR(INDEX(Sheet2!$C:$C, MATCH(AE3524&amp;AF3524, Sheet2!$E:$E, 0)) &amp; ", " &amp; INDEX(Sheet2!$D:$D, MATCH(AE3524&amp;AF3524, Sheet2!$E:$E, 0)), ""), "-")</f>
        <v/>
      </c>
    </row>
    <row r="3525" spans="1:33" x14ac:dyDescent="0.25">
      <c r="A3525" t="s">
        <v>5029</v>
      </c>
      <c r="B3525" t="s">
        <v>5224</v>
      </c>
      <c r="C3525" t="s">
        <v>5184</v>
      </c>
      <c r="D3525" t="s">
        <v>1491</v>
      </c>
      <c r="E3525" t="s">
        <v>728</v>
      </c>
      <c r="F3525">
        <v>1743</v>
      </c>
      <c r="G3525">
        <v>451</v>
      </c>
      <c r="H3525" t="s">
        <v>4315</v>
      </c>
      <c r="I3525" t="s">
        <v>39</v>
      </c>
      <c r="J3525" t="s">
        <v>5185</v>
      </c>
      <c r="K3525" t="s">
        <v>38</v>
      </c>
      <c r="L3525" t="s">
        <v>38</v>
      </c>
      <c r="M3525" t="s">
        <v>38</v>
      </c>
      <c r="N3525" t="s">
        <v>38</v>
      </c>
      <c r="O3525" t="s">
        <v>41</v>
      </c>
      <c r="P3525" t="s">
        <v>42</v>
      </c>
      <c r="Q3525" t="s">
        <v>43</v>
      </c>
      <c r="R3525" t="s">
        <v>89</v>
      </c>
      <c r="S3525" t="s">
        <v>153</v>
      </c>
      <c r="T3525" t="s">
        <v>89</v>
      </c>
      <c r="U3525" t="s">
        <v>301</v>
      </c>
      <c r="V3525" t="s">
        <v>137</v>
      </c>
      <c r="W3525" t="s">
        <v>92</v>
      </c>
      <c r="X3525" t="s">
        <v>302</v>
      </c>
      <c r="Y3525" t="s">
        <v>322</v>
      </c>
      <c r="Z3525" t="s">
        <v>42</v>
      </c>
      <c r="AA3525" t="s">
        <v>38</v>
      </c>
      <c r="AB3525" t="s">
        <v>38</v>
      </c>
      <c r="AC3525" t="s">
        <v>153</v>
      </c>
      <c r="AD3525" t="s">
        <v>48</v>
      </c>
      <c r="AG3525" t="str">
        <f>IF(AD3525="United States", IFERROR(INDEX(Sheet2!$C:$C, MATCH(AE3525&amp;AF3525, Sheet2!$E:$E, 0)) &amp; ", " &amp; INDEX(Sheet2!$D:$D, MATCH(AE3525&amp;AF3525, Sheet2!$E:$E, 0)), ""), "-")</f>
        <v/>
      </c>
    </row>
    <row r="3526" spans="1:33" x14ac:dyDescent="0.25">
      <c r="A3526" t="s">
        <v>5029</v>
      </c>
      <c r="B3526" t="s">
        <v>5225</v>
      </c>
      <c r="C3526" t="s">
        <v>5184</v>
      </c>
      <c r="D3526" t="s">
        <v>774</v>
      </c>
      <c r="E3526" t="s">
        <v>5218</v>
      </c>
      <c r="F3526">
        <v>1772</v>
      </c>
      <c r="G3526">
        <v>450</v>
      </c>
      <c r="H3526" t="s">
        <v>4315</v>
      </c>
      <c r="I3526" t="s">
        <v>39</v>
      </c>
      <c r="J3526" t="s">
        <v>5185</v>
      </c>
      <c r="K3526" t="s">
        <v>38</v>
      </c>
      <c r="L3526" t="s">
        <v>38</v>
      </c>
      <c r="M3526" t="s">
        <v>38</v>
      </c>
      <c r="N3526" t="s">
        <v>38</v>
      </c>
      <c r="O3526" t="s">
        <v>54</v>
      </c>
      <c r="P3526" t="s">
        <v>42</v>
      </c>
      <c r="Q3526" t="s">
        <v>43</v>
      </c>
      <c r="R3526" t="s">
        <v>89</v>
      </c>
      <c r="S3526" t="s">
        <v>38</v>
      </c>
      <c r="T3526" t="s">
        <v>89</v>
      </c>
      <c r="U3526" t="s">
        <v>301</v>
      </c>
      <c r="V3526" t="s">
        <v>137</v>
      </c>
      <c r="W3526" t="s">
        <v>92</v>
      </c>
      <c r="X3526" t="s">
        <v>302</v>
      </c>
      <c r="Y3526" t="s">
        <v>5226</v>
      </c>
      <c r="Z3526" t="s">
        <v>42</v>
      </c>
      <c r="AA3526" t="s">
        <v>38</v>
      </c>
      <c r="AB3526" t="s">
        <v>38</v>
      </c>
      <c r="AC3526" t="s">
        <v>233</v>
      </c>
      <c r="AD3526" t="s">
        <v>48</v>
      </c>
      <c r="AG3526" t="str">
        <f>IF(AD3526="United States", IFERROR(INDEX(Sheet2!$C:$C, MATCH(AE3526&amp;AF3526, Sheet2!$E:$E, 0)) &amp; ", " &amp; INDEX(Sheet2!$D:$D, MATCH(AE3526&amp;AF3526, Sheet2!$E:$E, 0)), ""), "-")</f>
        <v/>
      </c>
    </row>
    <row r="3527" spans="1:33" x14ac:dyDescent="0.25">
      <c r="A3527" t="s">
        <v>5029</v>
      </c>
      <c r="B3527" t="s">
        <v>5227</v>
      </c>
      <c r="C3527" t="s">
        <v>5184</v>
      </c>
      <c r="D3527" t="s">
        <v>3431</v>
      </c>
      <c r="E3527" t="s">
        <v>1496</v>
      </c>
      <c r="F3527">
        <v>1748</v>
      </c>
      <c r="G3527">
        <v>453</v>
      </c>
      <c r="H3527" t="s">
        <v>4315</v>
      </c>
      <c r="I3527" t="s">
        <v>39</v>
      </c>
      <c r="J3527" t="s">
        <v>5185</v>
      </c>
      <c r="K3527" t="s">
        <v>38</v>
      </c>
      <c r="L3527" t="s">
        <v>38</v>
      </c>
      <c r="M3527" t="s">
        <v>38</v>
      </c>
      <c r="N3527" t="s">
        <v>38</v>
      </c>
      <c r="O3527" t="s">
        <v>57</v>
      </c>
      <c r="P3527" t="s">
        <v>42</v>
      </c>
      <c r="Q3527" t="s">
        <v>43</v>
      </c>
      <c r="R3527" t="s">
        <v>89</v>
      </c>
      <c r="S3527" t="s">
        <v>45</v>
      </c>
      <c r="T3527" t="s">
        <v>89</v>
      </c>
      <c r="U3527" t="s">
        <v>301</v>
      </c>
      <c r="V3527" t="s">
        <v>137</v>
      </c>
      <c r="W3527" t="s">
        <v>92</v>
      </c>
      <c r="X3527" t="s">
        <v>302</v>
      </c>
      <c r="Y3527" t="s">
        <v>322</v>
      </c>
      <c r="Z3527" t="s">
        <v>42</v>
      </c>
      <c r="AA3527" t="s">
        <v>169</v>
      </c>
      <c r="AB3527" t="s">
        <v>38</v>
      </c>
      <c r="AC3527" t="s">
        <v>45</v>
      </c>
      <c r="AD3527" t="s">
        <v>48</v>
      </c>
      <c r="AG3527" t="str">
        <f>IF(AD3527="United States", IFERROR(INDEX(Sheet2!$C:$C, MATCH(AE3527&amp;AF3527, Sheet2!$E:$E, 0)) &amp; ", " &amp; INDEX(Sheet2!$D:$D, MATCH(AE3527&amp;AF3527, Sheet2!$E:$E, 0)), ""), "-")</f>
        <v/>
      </c>
    </row>
    <row r="3528" spans="1:33" x14ac:dyDescent="0.25">
      <c r="A3528" t="s">
        <v>5029</v>
      </c>
      <c r="B3528" t="s">
        <v>5228</v>
      </c>
      <c r="C3528" t="s">
        <v>5184</v>
      </c>
      <c r="D3528" t="s">
        <v>263</v>
      </c>
      <c r="E3528" t="s">
        <v>811</v>
      </c>
      <c r="F3528">
        <v>1768</v>
      </c>
      <c r="G3528">
        <v>454</v>
      </c>
      <c r="H3528" t="s">
        <v>4315</v>
      </c>
      <c r="I3528" t="s">
        <v>39</v>
      </c>
      <c r="J3528" t="s">
        <v>5185</v>
      </c>
      <c r="K3528" t="s">
        <v>38</v>
      </c>
      <c r="L3528" t="s">
        <v>38</v>
      </c>
      <c r="M3528" t="s">
        <v>38</v>
      </c>
      <c r="N3528" t="s">
        <v>38</v>
      </c>
      <c r="O3528" t="s">
        <v>74</v>
      </c>
      <c r="P3528" t="s">
        <v>42</v>
      </c>
      <c r="Q3528" t="s">
        <v>43</v>
      </c>
      <c r="R3528" t="s">
        <v>89</v>
      </c>
      <c r="S3528" t="s">
        <v>38</v>
      </c>
      <c r="T3528" t="s">
        <v>89</v>
      </c>
      <c r="U3528" t="s">
        <v>301</v>
      </c>
      <c r="V3528" t="s">
        <v>137</v>
      </c>
      <c r="W3528" t="s">
        <v>92</v>
      </c>
      <c r="X3528" t="s">
        <v>302</v>
      </c>
      <c r="Y3528" t="s">
        <v>322</v>
      </c>
      <c r="Z3528" t="s">
        <v>42</v>
      </c>
      <c r="AA3528" t="s">
        <v>38</v>
      </c>
      <c r="AB3528" t="s">
        <v>38</v>
      </c>
      <c r="AC3528" t="s">
        <v>38</v>
      </c>
      <c r="AD3528" t="s">
        <v>48</v>
      </c>
      <c r="AG3528" t="str">
        <f>IF(AD3528="United States", IFERROR(INDEX(Sheet2!$C:$C, MATCH(AE3528&amp;AF3528, Sheet2!$E:$E, 0)) &amp; ", " &amp; INDEX(Sheet2!$D:$D, MATCH(AE3528&amp;AF3528, Sheet2!$E:$E, 0)), ""), "-")</f>
        <v/>
      </c>
    </row>
    <row r="3529" spans="1:33" x14ac:dyDescent="0.25">
      <c r="A3529" t="s">
        <v>5029</v>
      </c>
      <c r="B3529" t="s">
        <v>5229</v>
      </c>
      <c r="C3529" t="s">
        <v>5184</v>
      </c>
      <c r="D3529" t="s">
        <v>140</v>
      </c>
      <c r="E3529" t="s">
        <v>811</v>
      </c>
      <c r="F3529">
        <v>1773</v>
      </c>
      <c r="G3529">
        <v>455</v>
      </c>
      <c r="H3529" t="s">
        <v>38</v>
      </c>
      <c r="I3529" t="s">
        <v>39</v>
      </c>
      <c r="J3529" t="s">
        <v>5185</v>
      </c>
      <c r="K3529" t="s">
        <v>38</v>
      </c>
      <c r="L3529" t="s">
        <v>38</v>
      </c>
      <c r="M3529" t="s">
        <v>38</v>
      </c>
      <c r="N3529" t="s">
        <v>38</v>
      </c>
      <c r="O3529" t="s">
        <v>74</v>
      </c>
      <c r="P3529" t="s">
        <v>42</v>
      </c>
      <c r="Q3529" t="s">
        <v>43</v>
      </c>
      <c r="R3529" t="s">
        <v>38</v>
      </c>
      <c r="S3529" t="s">
        <v>38</v>
      </c>
      <c r="T3529" t="s">
        <v>38</v>
      </c>
      <c r="U3529" t="s">
        <v>38</v>
      </c>
      <c r="V3529" t="s">
        <v>137</v>
      </c>
      <c r="W3529" t="s">
        <v>38</v>
      </c>
      <c r="X3529" t="s">
        <v>38</v>
      </c>
      <c r="Y3529" t="s">
        <v>322</v>
      </c>
      <c r="Z3529" t="s">
        <v>42</v>
      </c>
      <c r="AA3529" t="s">
        <v>38</v>
      </c>
      <c r="AB3529" t="s">
        <v>38</v>
      </c>
      <c r="AC3529" t="s">
        <v>38</v>
      </c>
      <c r="AD3529" t="s">
        <v>48</v>
      </c>
      <c r="AG3529" t="str">
        <f>IF(AD3529="United States", IFERROR(INDEX(Sheet2!$C:$C, MATCH(AE3529&amp;AF3529, Sheet2!$E:$E, 0)) &amp; ", " &amp; INDEX(Sheet2!$D:$D, MATCH(AE3529&amp;AF3529, Sheet2!$E:$E, 0)), ""), "-")</f>
        <v/>
      </c>
    </row>
    <row r="3530" spans="1:33" x14ac:dyDescent="0.25">
      <c r="A3530" t="s">
        <v>5029</v>
      </c>
      <c r="B3530" t="s">
        <v>5230</v>
      </c>
      <c r="C3530" t="s">
        <v>5184</v>
      </c>
      <c r="D3530" t="s">
        <v>226</v>
      </c>
      <c r="E3530" t="s">
        <v>5208</v>
      </c>
      <c r="F3530">
        <v>1758</v>
      </c>
      <c r="G3530">
        <v>456</v>
      </c>
      <c r="H3530" t="s">
        <v>4315</v>
      </c>
      <c r="I3530" t="s">
        <v>39</v>
      </c>
      <c r="J3530" t="s">
        <v>5185</v>
      </c>
      <c r="K3530" t="s">
        <v>38</v>
      </c>
      <c r="L3530" t="s">
        <v>38</v>
      </c>
      <c r="M3530" t="s">
        <v>38</v>
      </c>
      <c r="N3530" t="s">
        <v>38</v>
      </c>
      <c r="O3530" t="s">
        <v>41</v>
      </c>
      <c r="P3530" t="s">
        <v>42</v>
      </c>
      <c r="Q3530" t="s">
        <v>43</v>
      </c>
      <c r="R3530" t="s">
        <v>89</v>
      </c>
      <c r="S3530" t="s">
        <v>201</v>
      </c>
      <c r="T3530" t="s">
        <v>89</v>
      </c>
      <c r="U3530" t="s">
        <v>301</v>
      </c>
      <c r="V3530" t="s">
        <v>137</v>
      </c>
      <c r="W3530" t="s">
        <v>92</v>
      </c>
      <c r="X3530" t="s">
        <v>302</v>
      </c>
      <c r="Y3530" t="s">
        <v>322</v>
      </c>
      <c r="Z3530" t="s">
        <v>42</v>
      </c>
      <c r="AA3530" t="s">
        <v>265</v>
      </c>
      <c r="AB3530" t="s">
        <v>38</v>
      </c>
      <c r="AC3530" t="s">
        <v>201</v>
      </c>
      <c r="AD3530" t="s">
        <v>48</v>
      </c>
      <c r="AG3530" t="str">
        <f>IF(AD3530="United States", IFERROR(INDEX(Sheet2!$C:$C, MATCH(AE3530&amp;AF3530, Sheet2!$E:$E, 0)) &amp; ", " &amp; INDEX(Sheet2!$D:$D, MATCH(AE3530&amp;AF3530, Sheet2!$E:$E, 0)), ""), "-")</f>
        <v/>
      </c>
    </row>
    <row r="3531" spans="1:33" x14ac:dyDescent="0.25">
      <c r="A3531" t="s">
        <v>5029</v>
      </c>
      <c r="B3531" t="s">
        <v>5231</v>
      </c>
      <c r="C3531" t="s">
        <v>5184</v>
      </c>
      <c r="D3531" t="s">
        <v>222</v>
      </c>
      <c r="E3531" t="s">
        <v>5208</v>
      </c>
      <c r="F3531">
        <v>1758</v>
      </c>
      <c r="G3531">
        <v>457</v>
      </c>
      <c r="H3531" t="s">
        <v>4315</v>
      </c>
      <c r="I3531" t="s">
        <v>39</v>
      </c>
      <c r="J3531" t="s">
        <v>5185</v>
      </c>
      <c r="K3531" t="s">
        <v>38</v>
      </c>
      <c r="L3531" t="s">
        <v>38</v>
      </c>
      <c r="M3531" t="s">
        <v>38</v>
      </c>
      <c r="N3531" t="s">
        <v>38</v>
      </c>
      <c r="O3531" t="s">
        <v>57</v>
      </c>
      <c r="P3531" t="s">
        <v>42</v>
      </c>
      <c r="Q3531" t="s">
        <v>43</v>
      </c>
      <c r="R3531" t="s">
        <v>89</v>
      </c>
      <c r="S3531" t="s">
        <v>201</v>
      </c>
      <c r="T3531" t="s">
        <v>89</v>
      </c>
      <c r="U3531" t="s">
        <v>301</v>
      </c>
      <c r="V3531" t="s">
        <v>137</v>
      </c>
      <c r="W3531" t="s">
        <v>92</v>
      </c>
      <c r="X3531" t="s">
        <v>302</v>
      </c>
      <c r="Y3531" t="s">
        <v>322</v>
      </c>
      <c r="Z3531" t="s">
        <v>42</v>
      </c>
      <c r="AA3531" t="s">
        <v>265</v>
      </c>
      <c r="AB3531" t="s">
        <v>38</v>
      </c>
      <c r="AC3531" t="s">
        <v>201</v>
      </c>
      <c r="AD3531" t="s">
        <v>48</v>
      </c>
      <c r="AG3531" t="str">
        <f>IF(AD3531="United States", IFERROR(INDEX(Sheet2!$C:$C, MATCH(AE3531&amp;AF3531, Sheet2!$E:$E, 0)) &amp; ", " &amp; INDEX(Sheet2!$D:$D, MATCH(AE3531&amp;AF3531, Sheet2!$E:$E, 0)), ""), "-")</f>
        <v/>
      </c>
    </row>
    <row r="3532" spans="1:33" x14ac:dyDescent="0.25">
      <c r="A3532" t="s">
        <v>5029</v>
      </c>
      <c r="B3532" t="s">
        <v>5232</v>
      </c>
      <c r="C3532" t="s">
        <v>5184</v>
      </c>
      <c r="D3532" t="s">
        <v>357</v>
      </c>
      <c r="E3532" t="s">
        <v>5208</v>
      </c>
      <c r="F3532">
        <v>1778</v>
      </c>
      <c r="G3532">
        <v>458</v>
      </c>
      <c r="H3532" t="s">
        <v>4315</v>
      </c>
      <c r="I3532" t="s">
        <v>39</v>
      </c>
      <c r="J3532" t="s">
        <v>5185</v>
      </c>
      <c r="K3532" t="s">
        <v>38</v>
      </c>
      <c r="L3532" t="s">
        <v>38</v>
      </c>
      <c r="M3532" t="s">
        <v>38</v>
      </c>
      <c r="N3532" t="s">
        <v>38</v>
      </c>
      <c r="O3532" t="s">
        <v>54</v>
      </c>
      <c r="P3532" t="s">
        <v>42</v>
      </c>
      <c r="Q3532" t="s">
        <v>43</v>
      </c>
      <c r="R3532" t="s">
        <v>89</v>
      </c>
      <c r="S3532" t="s">
        <v>201</v>
      </c>
      <c r="T3532" t="s">
        <v>89</v>
      </c>
      <c r="U3532" t="s">
        <v>301</v>
      </c>
      <c r="V3532" t="s">
        <v>137</v>
      </c>
      <c r="W3532" t="s">
        <v>92</v>
      </c>
      <c r="X3532" t="s">
        <v>302</v>
      </c>
      <c r="Y3532" t="s">
        <v>322</v>
      </c>
      <c r="Z3532" t="s">
        <v>42</v>
      </c>
      <c r="AA3532" t="s">
        <v>265</v>
      </c>
      <c r="AB3532" t="s">
        <v>38</v>
      </c>
      <c r="AC3532" t="s">
        <v>201</v>
      </c>
      <c r="AD3532" t="s">
        <v>48</v>
      </c>
      <c r="AG3532" t="str">
        <f>IF(AD3532="United States", IFERROR(INDEX(Sheet2!$C:$C, MATCH(AE3532&amp;AF3532, Sheet2!$E:$E, 0)) &amp; ", " &amp; INDEX(Sheet2!$D:$D, MATCH(AE3532&amp;AF3532, Sheet2!$E:$E, 0)), ""), "-")</f>
        <v/>
      </c>
    </row>
    <row r="3533" spans="1:33" x14ac:dyDescent="0.25">
      <c r="A3533" t="s">
        <v>5029</v>
      </c>
      <c r="B3533" t="s">
        <v>5233</v>
      </c>
      <c r="C3533" t="s">
        <v>5184</v>
      </c>
      <c r="D3533" t="s">
        <v>1164</v>
      </c>
      <c r="E3533" t="s">
        <v>5208</v>
      </c>
      <c r="F3533">
        <v>1780</v>
      </c>
      <c r="G3533">
        <v>459</v>
      </c>
      <c r="H3533" t="s">
        <v>4315</v>
      </c>
      <c r="I3533" t="s">
        <v>39</v>
      </c>
      <c r="J3533" t="s">
        <v>5185</v>
      </c>
      <c r="K3533" t="s">
        <v>38</v>
      </c>
      <c r="L3533" t="s">
        <v>38</v>
      </c>
      <c r="M3533" t="s">
        <v>38</v>
      </c>
      <c r="N3533" t="s">
        <v>38</v>
      </c>
      <c r="O3533" t="s">
        <v>74</v>
      </c>
      <c r="P3533" t="s">
        <v>42</v>
      </c>
      <c r="Q3533" t="s">
        <v>43</v>
      </c>
      <c r="R3533" t="s">
        <v>89</v>
      </c>
      <c r="S3533" t="s">
        <v>38</v>
      </c>
      <c r="T3533" t="s">
        <v>89</v>
      </c>
      <c r="U3533" t="s">
        <v>301</v>
      </c>
      <c r="V3533" t="s">
        <v>137</v>
      </c>
      <c r="W3533" t="s">
        <v>92</v>
      </c>
      <c r="X3533" t="s">
        <v>302</v>
      </c>
      <c r="Y3533" t="s">
        <v>322</v>
      </c>
      <c r="Z3533" t="s">
        <v>42</v>
      </c>
      <c r="AA3533" t="s">
        <v>38</v>
      </c>
      <c r="AB3533" t="s">
        <v>38</v>
      </c>
      <c r="AC3533" t="s">
        <v>38</v>
      </c>
      <c r="AD3533" t="s">
        <v>48</v>
      </c>
      <c r="AG3533" t="str">
        <f>IF(AD3533="United States", IFERROR(INDEX(Sheet2!$C:$C, MATCH(AE3533&amp;AF3533, Sheet2!$E:$E, 0)) &amp; ", " &amp; INDEX(Sheet2!$D:$D, MATCH(AE3533&amp;AF3533, Sheet2!$E:$E, 0)), ""), "-")</f>
        <v/>
      </c>
    </row>
    <row r="3534" spans="1:33" x14ac:dyDescent="0.25">
      <c r="A3534" t="s">
        <v>5029</v>
      </c>
      <c r="B3534" t="s">
        <v>5234</v>
      </c>
      <c r="C3534" t="s">
        <v>5184</v>
      </c>
      <c r="D3534" t="s">
        <v>5206</v>
      </c>
      <c r="E3534" t="s">
        <v>191</v>
      </c>
      <c r="F3534">
        <v>1758</v>
      </c>
      <c r="G3534">
        <v>460</v>
      </c>
      <c r="H3534" t="s">
        <v>4315</v>
      </c>
      <c r="I3534" t="s">
        <v>39</v>
      </c>
      <c r="J3534" t="s">
        <v>5185</v>
      </c>
      <c r="K3534" t="s">
        <v>38</v>
      </c>
      <c r="L3534" t="s">
        <v>38</v>
      </c>
      <c r="M3534" t="s">
        <v>222</v>
      </c>
      <c r="N3534" t="s">
        <v>5208</v>
      </c>
      <c r="O3534" t="s">
        <v>57</v>
      </c>
      <c r="P3534" t="s">
        <v>42</v>
      </c>
      <c r="Q3534" t="s">
        <v>43</v>
      </c>
      <c r="R3534" t="s">
        <v>89</v>
      </c>
      <c r="S3534" t="s">
        <v>38</v>
      </c>
      <c r="T3534" t="s">
        <v>89</v>
      </c>
      <c r="U3534" t="s">
        <v>301</v>
      </c>
      <c r="V3534" t="s">
        <v>137</v>
      </c>
      <c r="W3534" t="s">
        <v>92</v>
      </c>
      <c r="X3534" t="s">
        <v>302</v>
      </c>
      <c r="Y3534" t="s">
        <v>38</v>
      </c>
      <c r="Z3534" t="s">
        <v>42</v>
      </c>
      <c r="AA3534" t="s">
        <v>38</v>
      </c>
      <c r="AB3534" t="s">
        <v>38</v>
      </c>
      <c r="AC3534" t="s">
        <v>233</v>
      </c>
      <c r="AD3534" t="s">
        <v>48</v>
      </c>
      <c r="AG3534" t="str">
        <f>IF(AD3534="United States", IFERROR(INDEX(Sheet2!$C:$C, MATCH(AE3534&amp;AF3534, Sheet2!$E:$E, 0)) &amp; ", " &amp; INDEX(Sheet2!$D:$D, MATCH(AE3534&amp;AF3534, Sheet2!$E:$E, 0)), ""), "-")</f>
        <v/>
      </c>
    </row>
    <row r="3535" spans="1:33" x14ac:dyDescent="0.25">
      <c r="A3535" t="s">
        <v>5029</v>
      </c>
      <c r="B3535" t="s">
        <v>5235</v>
      </c>
      <c r="C3535" t="s">
        <v>5184</v>
      </c>
      <c r="D3535" t="s">
        <v>458</v>
      </c>
      <c r="E3535" t="s">
        <v>811</v>
      </c>
      <c r="F3535">
        <v>1738</v>
      </c>
      <c r="G3535">
        <v>452</v>
      </c>
      <c r="H3535" t="s">
        <v>4315</v>
      </c>
      <c r="I3535" t="s">
        <v>39</v>
      </c>
      <c r="J3535" t="s">
        <v>5185</v>
      </c>
      <c r="K3535" t="s">
        <v>38</v>
      </c>
      <c r="L3535" t="s">
        <v>38</v>
      </c>
      <c r="M3535" t="s">
        <v>38</v>
      </c>
      <c r="N3535" t="s">
        <v>38</v>
      </c>
      <c r="O3535" t="s">
        <v>41</v>
      </c>
      <c r="P3535" t="s">
        <v>42</v>
      </c>
      <c r="Q3535" t="s">
        <v>43</v>
      </c>
      <c r="R3535" t="s">
        <v>89</v>
      </c>
      <c r="S3535" t="s">
        <v>45</v>
      </c>
      <c r="T3535" t="s">
        <v>89</v>
      </c>
      <c r="U3535" t="s">
        <v>301</v>
      </c>
      <c r="V3535" t="s">
        <v>137</v>
      </c>
      <c r="W3535" t="s">
        <v>92</v>
      </c>
      <c r="X3535" t="s">
        <v>302</v>
      </c>
      <c r="Y3535" t="s">
        <v>322</v>
      </c>
      <c r="Z3535" t="s">
        <v>42</v>
      </c>
      <c r="AA3535" t="s">
        <v>169</v>
      </c>
      <c r="AB3535" t="s">
        <v>38</v>
      </c>
      <c r="AC3535" t="s">
        <v>45</v>
      </c>
      <c r="AD3535" t="s">
        <v>48</v>
      </c>
      <c r="AG3535" t="str">
        <f>IF(AD3535="United States", IFERROR(INDEX(Sheet2!$C:$C, MATCH(AE3535&amp;AF3535, Sheet2!$E:$E, 0)) &amp; ", " &amp; INDEX(Sheet2!$D:$D, MATCH(AE3535&amp;AF3535, Sheet2!$E:$E, 0)), ""), "-")</f>
        <v/>
      </c>
    </row>
    <row r="3536" spans="1:33" x14ac:dyDescent="0.25">
      <c r="A3536" t="s">
        <v>5029</v>
      </c>
      <c r="B3536" t="s">
        <v>5236</v>
      </c>
      <c r="C3536" t="s">
        <v>5184</v>
      </c>
      <c r="D3536" t="s">
        <v>182</v>
      </c>
      <c r="E3536" t="s">
        <v>507</v>
      </c>
      <c r="F3536">
        <v>1745</v>
      </c>
      <c r="G3536">
        <v>446</v>
      </c>
      <c r="H3536" t="s">
        <v>4315</v>
      </c>
      <c r="I3536" t="s">
        <v>39</v>
      </c>
      <c r="J3536" t="s">
        <v>5185</v>
      </c>
      <c r="K3536" t="s">
        <v>38</v>
      </c>
      <c r="L3536" t="s">
        <v>38</v>
      </c>
      <c r="M3536" t="s">
        <v>38</v>
      </c>
      <c r="N3536" t="s">
        <v>38</v>
      </c>
      <c r="O3536" t="s">
        <v>57</v>
      </c>
      <c r="P3536" t="s">
        <v>42</v>
      </c>
      <c r="Q3536" t="s">
        <v>43</v>
      </c>
      <c r="R3536" t="s">
        <v>89</v>
      </c>
      <c r="S3536" t="s">
        <v>45</v>
      </c>
      <c r="T3536" t="s">
        <v>89</v>
      </c>
      <c r="U3536" t="s">
        <v>301</v>
      </c>
      <c r="V3536" t="s">
        <v>137</v>
      </c>
      <c r="W3536" t="s">
        <v>92</v>
      </c>
      <c r="X3536" t="s">
        <v>302</v>
      </c>
      <c r="Y3536" t="s">
        <v>5222</v>
      </c>
      <c r="Z3536" t="s">
        <v>42</v>
      </c>
      <c r="AA3536" t="s">
        <v>169</v>
      </c>
      <c r="AB3536" t="s">
        <v>38</v>
      </c>
      <c r="AC3536" t="s">
        <v>45</v>
      </c>
      <c r="AD3536" t="s">
        <v>48</v>
      </c>
      <c r="AG3536" t="str">
        <f>IF(AD3536="United States", IFERROR(INDEX(Sheet2!$C:$C, MATCH(AE3536&amp;AF3536, Sheet2!$E:$E, 0)) &amp; ", " &amp; INDEX(Sheet2!$D:$D, MATCH(AE3536&amp;AF3536, Sheet2!$E:$E, 0)), ""), "-")</f>
        <v/>
      </c>
    </row>
    <row r="3537" spans="1:33" x14ac:dyDescent="0.25">
      <c r="A3537" t="s">
        <v>5237</v>
      </c>
      <c r="D3537" t="s">
        <v>623</v>
      </c>
      <c r="E3537" t="s">
        <v>939</v>
      </c>
      <c r="F3537">
        <v>1747</v>
      </c>
      <c r="G3537">
        <v>2824</v>
      </c>
      <c r="H3537">
        <v>85</v>
      </c>
      <c r="J3537" t="s">
        <v>1650</v>
      </c>
      <c r="O3537" t="s">
        <v>57</v>
      </c>
      <c r="V3537" t="s">
        <v>1619</v>
      </c>
      <c r="W3537" t="s">
        <v>92</v>
      </c>
      <c r="Y3537" t="s">
        <v>38</v>
      </c>
      <c r="AA3537" t="s">
        <v>38</v>
      </c>
      <c r="AB3537" t="s">
        <v>38</v>
      </c>
      <c r="AC3537" t="s">
        <v>38</v>
      </c>
      <c r="AD3537" t="s">
        <v>48</v>
      </c>
      <c r="AG3537" t="str">
        <f>IF(AD3537="United States", IFERROR(INDEX(Sheet2!$C:$C, MATCH(AE3537&amp;AF3537, Sheet2!$E:$E, 0)) &amp; ", " &amp; INDEX(Sheet2!$D:$D, MATCH(AE3537&amp;AF3537, Sheet2!$E:$E, 0)), ""), "-")</f>
        <v/>
      </c>
    </row>
    <row r="3538" spans="1:33" x14ac:dyDescent="0.25">
      <c r="A3538" t="s">
        <v>5237</v>
      </c>
      <c r="D3538" t="s">
        <v>1116</v>
      </c>
      <c r="E3538" t="s">
        <v>3807</v>
      </c>
      <c r="F3538">
        <v>1746</v>
      </c>
      <c r="G3538">
        <v>2828</v>
      </c>
      <c r="H3538">
        <v>85</v>
      </c>
      <c r="J3538" t="s">
        <v>1650</v>
      </c>
      <c r="O3538" t="s">
        <v>41</v>
      </c>
      <c r="V3538" t="s">
        <v>1619</v>
      </c>
      <c r="W3538" t="s">
        <v>92</v>
      </c>
      <c r="Y3538" t="s">
        <v>38</v>
      </c>
      <c r="AA3538" t="s">
        <v>38</v>
      </c>
      <c r="AB3538" t="s">
        <v>38</v>
      </c>
      <c r="AC3538" t="s">
        <v>38</v>
      </c>
      <c r="AD3538" t="s">
        <v>48</v>
      </c>
      <c r="AG3538" t="str">
        <f>IF(AD3538="United States", IFERROR(INDEX(Sheet2!$C:$C, MATCH(AE3538&amp;AF3538, Sheet2!$E:$E, 0)) &amp; ", " &amp; INDEX(Sheet2!$D:$D, MATCH(AE3538&amp;AF3538, Sheet2!$E:$E, 0)), ""), "-")</f>
        <v/>
      </c>
    </row>
    <row r="3539" spans="1:33" x14ac:dyDescent="0.25">
      <c r="A3539" t="s">
        <v>5237</v>
      </c>
      <c r="D3539" t="s">
        <v>834</v>
      </c>
      <c r="E3539" t="s">
        <v>3807</v>
      </c>
      <c r="F3539">
        <v>1751</v>
      </c>
      <c r="G3539">
        <v>2829</v>
      </c>
      <c r="H3539">
        <v>85</v>
      </c>
      <c r="J3539" t="s">
        <v>1650</v>
      </c>
      <c r="O3539" t="s">
        <v>57</v>
      </c>
      <c r="V3539" t="s">
        <v>1619</v>
      </c>
      <c r="W3539" t="s">
        <v>92</v>
      </c>
      <c r="Y3539" t="s">
        <v>38</v>
      </c>
      <c r="AA3539" t="s">
        <v>38</v>
      </c>
      <c r="AB3539" t="s">
        <v>38</v>
      </c>
      <c r="AC3539" t="s">
        <v>38</v>
      </c>
      <c r="AD3539" t="s">
        <v>48</v>
      </c>
      <c r="AG3539" t="str">
        <f>IF(AD3539="United States", IFERROR(INDEX(Sheet2!$C:$C, MATCH(AE3539&amp;AF3539, Sheet2!$E:$E, 0)) &amp; ", " &amp; INDEX(Sheet2!$D:$D, MATCH(AE3539&amp;AF3539, Sheet2!$E:$E, 0)), ""), "-")</f>
        <v/>
      </c>
    </row>
    <row r="3540" spans="1:33" x14ac:dyDescent="0.25">
      <c r="A3540" t="s">
        <v>5237</v>
      </c>
      <c r="D3540" t="s">
        <v>1174</v>
      </c>
      <c r="E3540" t="s">
        <v>5238</v>
      </c>
      <c r="F3540">
        <v>1779</v>
      </c>
      <c r="G3540">
        <v>2835</v>
      </c>
      <c r="H3540">
        <v>85</v>
      </c>
      <c r="J3540" t="s">
        <v>1650</v>
      </c>
      <c r="O3540" t="s">
        <v>54</v>
      </c>
      <c r="V3540" t="s">
        <v>1619</v>
      </c>
      <c r="W3540" t="s">
        <v>92</v>
      </c>
      <c r="Y3540" t="s">
        <v>38</v>
      </c>
      <c r="AA3540" t="s">
        <v>38</v>
      </c>
      <c r="AB3540" t="s">
        <v>38</v>
      </c>
      <c r="AC3540" t="s">
        <v>38</v>
      </c>
      <c r="AD3540" t="s">
        <v>48</v>
      </c>
      <c r="AG3540" t="str">
        <f>IF(AD3540="United States", IFERROR(INDEX(Sheet2!$C:$C, MATCH(AE3540&amp;AF3540, Sheet2!$E:$E, 0)) &amp; ", " &amp; INDEX(Sheet2!$D:$D, MATCH(AE3540&amp;AF3540, Sheet2!$E:$E, 0)), ""), "-")</f>
        <v/>
      </c>
    </row>
    <row r="3541" spans="1:33" x14ac:dyDescent="0.25">
      <c r="A3541" t="s">
        <v>5237</v>
      </c>
      <c r="D3541" t="s">
        <v>5090</v>
      </c>
      <c r="E3541" t="s">
        <v>2962</v>
      </c>
      <c r="F3541">
        <v>1761</v>
      </c>
      <c r="G3541">
        <v>2832</v>
      </c>
      <c r="H3541">
        <v>85</v>
      </c>
      <c r="J3541" t="s">
        <v>1650</v>
      </c>
      <c r="O3541" t="s">
        <v>57</v>
      </c>
      <c r="V3541" t="s">
        <v>1619</v>
      </c>
      <c r="W3541" t="s">
        <v>92</v>
      </c>
      <c r="Y3541" t="s">
        <v>38</v>
      </c>
      <c r="AA3541" t="s">
        <v>38</v>
      </c>
      <c r="AB3541" t="s">
        <v>38</v>
      </c>
      <c r="AC3541" t="s">
        <v>38</v>
      </c>
      <c r="AD3541" t="s">
        <v>48</v>
      </c>
      <c r="AG3541" t="str">
        <f>IF(AD3541="United States", IFERROR(INDEX(Sheet2!$C:$C, MATCH(AE3541&amp;AF3541, Sheet2!$E:$E, 0)) &amp; ", " &amp; INDEX(Sheet2!$D:$D, MATCH(AE3541&amp;AF3541, Sheet2!$E:$E, 0)), ""), "-")</f>
        <v/>
      </c>
    </row>
    <row r="3542" spans="1:33" x14ac:dyDescent="0.25">
      <c r="A3542" t="s">
        <v>5237</v>
      </c>
      <c r="D3542" t="s">
        <v>230</v>
      </c>
      <c r="E3542" t="s">
        <v>2962</v>
      </c>
      <c r="F3542">
        <v>1743</v>
      </c>
      <c r="G3542">
        <v>2833</v>
      </c>
      <c r="H3542">
        <v>85</v>
      </c>
      <c r="J3542" t="s">
        <v>1650</v>
      </c>
      <c r="O3542" t="s">
        <v>41</v>
      </c>
      <c r="V3542" t="s">
        <v>1619</v>
      </c>
      <c r="W3542" t="s">
        <v>92</v>
      </c>
      <c r="Y3542" t="s">
        <v>38</v>
      </c>
      <c r="AA3542" t="s">
        <v>38</v>
      </c>
      <c r="AB3542" t="s">
        <v>38</v>
      </c>
      <c r="AC3542" t="s">
        <v>38</v>
      </c>
      <c r="AD3542" t="s">
        <v>48</v>
      </c>
      <c r="AG3542" t="str">
        <f>IF(AD3542="United States", IFERROR(INDEX(Sheet2!$C:$C, MATCH(AE3542&amp;AF3542, Sheet2!$E:$E, 0)) &amp; ", " &amp; INDEX(Sheet2!$D:$D, MATCH(AE3542&amp;AF3542, Sheet2!$E:$E, 0)), ""), "-")</f>
        <v/>
      </c>
    </row>
    <row r="3543" spans="1:33" x14ac:dyDescent="0.25">
      <c r="A3543" t="s">
        <v>5237</v>
      </c>
      <c r="D3543" t="s">
        <v>72</v>
      </c>
      <c r="E3543" t="s">
        <v>5208</v>
      </c>
      <c r="F3543">
        <v>1763</v>
      </c>
      <c r="G3543">
        <v>2834</v>
      </c>
      <c r="H3543">
        <v>85</v>
      </c>
      <c r="J3543" t="s">
        <v>1650</v>
      </c>
      <c r="O3543" t="s">
        <v>57</v>
      </c>
      <c r="V3543" t="s">
        <v>1619</v>
      </c>
      <c r="W3543" t="s">
        <v>92</v>
      </c>
      <c r="Y3543" t="s">
        <v>38</v>
      </c>
      <c r="AA3543" t="s">
        <v>38</v>
      </c>
      <c r="AB3543" t="s">
        <v>38</v>
      </c>
      <c r="AC3543" t="s">
        <v>38</v>
      </c>
      <c r="AD3543" t="s">
        <v>48</v>
      </c>
      <c r="AG3543" t="str">
        <f>IF(AD3543="United States", IFERROR(INDEX(Sheet2!$C:$C, MATCH(AE3543&amp;AF3543, Sheet2!$E:$E, 0)) &amp; ", " &amp; INDEX(Sheet2!$D:$D, MATCH(AE3543&amp;AF3543, Sheet2!$E:$E, 0)), ""), "-")</f>
        <v/>
      </c>
    </row>
    <row r="3544" spans="1:33" x14ac:dyDescent="0.25">
      <c r="A3544" t="s">
        <v>5237</v>
      </c>
      <c r="D3544" t="s">
        <v>1686</v>
      </c>
      <c r="E3544" t="s">
        <v>5239</v>
      </c>
      <c r="F3544">
        <v>1747</v>
      </c>
      <c r="G3544">
        <v>2822</v>
      </c>
      <c r="H3544">
        <v>85</v>
      </c>
      <c r="J3544" t="s">
        <v>1650</v>
      </c>
      <c r="O3544" t="s">
        <v>57</v>
      </c>
      <c r="V3544" t="s">
        <v>1619</v>
      </c>
      <c r="W3544" t="s">
        <v>92</v>
      </c>
      <c r="Y3544" t="s">
        <v>38</v>
      </c>
      <c r="AA3544" t="s">
        <v>38</v>
      </c>
      <c r="AB3544" t="s">
        <v>38</v>
      </c>
      <c r="AC3544" t="s">
        <v>38</v>
      </c>
      <c r="AD3544" t="s">
        <v>48</v>
      </c>
      <c r="AG3544" t="str">
        <f>IF(AD3544="United States", IFERROR(INDEX(Sheet2!$C:$C, MATCH(AE3544&amp;AF3544, Sheet2!$E:$E, 0)) &amp; ", " &amp; INDEX(Sheet2!$D:$D, MATCH(AE3544&amp;AF3544, Sheet2!$E:$E, 0)), ""), "-")</f>
        <v/>
      </c>
    </row>
    <row r="3545" spans="1:33" x14ac:dyDescent="0.25">
      <c r="A3545" t="s">
        <v>5237</v>
      </c>
      <c r="D3545" t="s">
        <v>361</v>
      </c>
      <c r="E3545" t="s">
        <v>2943</v>
      </c>
      <c r="F3545">
        <v>1761</v>
      </c>
      <c r="G3545">
        <v>2836</v>
      </c>
      <c r="H3545">
        <v>85</v>
      </c>
      <c r="J3545" t="s">
        <v>1650</v>
      </c>
      <c r="O3545" t="s">
        <v>41</v>
      </c>
      <c r="V3545" t="s">
        <v>1619</v>
      </c>
      <c r="W3545" t="s">
        <v>92</v>
      </c>
      <c r="Y3545" t="s">
        <v>38</v>
      </c>
      <c r="AA3545" t="s">
        <v>38</v>
      </c>
      <c r="AB3545" t="s">
        <v>38</v>
      </c>
      <c r="AC3545" t="s">
        <v>38</v>
      </c>
      <c r="AD3545" t="s">
        <v>48</v>
      </c>
      <c r="AG3545" t="str">
        <f>IF(AD3545="United States", IFERROR(INDEX(Sheet2!$C:$C, MATCH(AE3545&amp;AF3545, Sheet2!$E:$E, 0)) &amp; ", " &amp; INDEX(Sheet2!$D:$D, MATCH(AE3545&amp;AF3545, Sheet2!$E:$E, 0)), ""), "-")</f>
        <v/>
      </c>
    </row>
    <row r="3546" spans="1:33" x14ac:dyDescent="0.25">
      <c r="A3546" t="s">
        <v>5237</v>
      </c>
      <c r="D3546" t="s">
        <v>3723</v>
      </c>
      <c r="E3546" t="s">
        <v>5240</v>
      </c>
      <c r="F3546">
        <v>1754</v>
      </c>
      <c r="G3546">
        <v>2837</v>
      </c>
      <c r="H3546">
        <v>85</v>
      </c>
      <c r="J3546" t="s">
        <v>1650</v>
      </c>
      <c r="O3546" t="s">
        <v>41</v>
      </c>
      <c r="V3546" t="s">
        <v>1619</v>
      </c>
      <c r="W3546" t="s">
        <v>92</v>
      </c>
      <c r="Y3546" t="s">
        <v>38</v>
      </c>
      <c r="AA3546" t="s">
        <v>38</v>
      </c>
      <c r="AB3546" t="s">
        <v>38</v>
      </c>
      <c r="AC3546" t="s">
        <v>38</v>
      </c>
      <c r="AD3546" t="s">
        <v>48</v>
      </c>
      <c r="AG3546" t="str">
        <f>IF(AD3546="United States", IFERROR(INDEX(Sheet2!$C:$C, MATCH(AE3546&amp;AF3546, Sheet2!$E:$E, 0)) &amp; ", " &amp; INDEX(Sheet2!$D:$D, MATCH(AE3546&amp;AF3546, Sheet2!$E:$E, 0)), ""), "-")</f>
        <v/>
      </c>
    </row>
    <row r="3547" spans="1:33" x14ac:dyDescent="0.25">
      <c r="A3547" t="s">
        <v>5237</v>
      </c>
      <c r="D3547" t="s">
        <v>4711</v>
      </c>
      <c r="E3547" t="s">
        <v>5241</v>
      </c>
      <c r="F3547">
        <v>1728</v>
      </c>
      <c r="G3547">
        <v>2831</v>
      </c>
      <c r="H3547">
        <v>85</v>
      </c>
      <c r="J3547" t="s">
        <v>1650</v>
      </c>
      <c r="O3547" t="s">
        <v>57</v>
      </c>
      <c r="V3547" t="s">
        <v>1619</v>
      </c>
      <c r="W3547" t="s">
        <v>92</v>
      </c>
      <c r="Y3547" t="s">
        <v>38</v>
      </c>
      <c r="AA3547" t="s">
        <v>38</v>
      </c>
      <c r="AB3547" t="s">
        <v>38</v>
      </c>
      <c r="AC3547" t="s">
        <v>38</v>
      </c>
      <c r="AD3547" t="s">
        <v>48</v>
      </c>
      <c r="AG3547" t="str">
        <f>IF(AD3547="United States", IFERROR(INDEX(Sheet2!$C:$C, MATCH(AE3547&amp;AF3547, Sheet2!$E:$E, 0)) &amp; ", " &amp; INDEX(Sheet2!$D:$D, MATCH(AE3547&amp;AF3547, Sheet2!$E:$E, 0)), ""), "-")</f>
        <v/>
      </c>
    </row>
    <row r="3548" spans="1:33" x14ac:dyDescent="0.25">
      <c r="A3548" t="s">
        <v>5237</v>
      </c>
      <c r="D3548" t="s">
        <v>3110</v>
      </c>
      <c r="E3548" t="s">
        <v>939</v>
      </c>
      <c r="F3548">
        <v>1753</v>
      </c>
      <c r="G3548">
        <v>2821</v>
      </c>
      <c r="H3548">
        <v>85</v>
      </c>
      <c r="J3548" t="s">
        <v>1650</v>
      </c>
      <c r="O3548" t="s">
        <v>41</v>
      </c>
      <c r="V3548" t="s">
        <v>1619</v>
      </c>
      <c r="W3548" t="s">
        <v>92</v>
      </c>
      <c r="Y3548" t="s">
        <v>38</v>
      </c>
      <c r="AA3548" t="s">
        <v>38</v>
      </c>
      <c r="AB3548" t="s">
        <v>38</v>
      </c>
      <c r="AC3548" t="s">
        <v>38</v>
      </c>
      <c r="AD3548" t="s">
        <v>48</v>
      </c>
      <c r="AG3548" t="str">
        <f>IF(AD3548="United States", IFERROR(INDEX(Sheet2!$C:$C, MATCH(AE3548&amp;AF3548, Sheet2!$E:$E, 0)) &amp; ", " &amp; INDEX(Sheet2!$D:$D, MATCH(AE3548&amp;AF3548, Sheet2!$E:$E, 0)), ""), "-")</f>
        <v/>
      </c>
    </row>
    <row r="3549" spans="1:33" x14ac:dyDescent="0.25">
      <c r="A3549" t="s">
        <v>5237</v>
      </c>
      <c r="D3549" t="s">
        <v>334</v>
      </c>
      <c r="E3549" t="s">
        <v>5242</v>
      </c>
      <c r="F3549">
        <v>1750</v>
      </c>
      <c r="G3549">
        <v>2813</v>
      </c>
      <c r="H3549">
        <v>85</v>
      </c>
      <c r="J3549" t="s">
        <v>1650</v>
      </c>
      <c r="O3549" t="s">
        <v>41</v>
      </c>
      <c r="V3549" t="s">
        <v>1619</v>
      </c>
      <c r="W3549" t="s">
        <v>92</v>
      </c>
      <c r="Y3549" t="s">
        <v>38</v>
      </c>
      <c r="AA3549" t="s">
        <v>38</v>
      </c>
      <c r="AB3549" t="s">
        <v>38</v>
      </c>
      <c r="AC3549" t="s">
        <v>38</v>
      </c>
      <c r="AD3549" t="s">
        <v>48</v>
      </c>
      <c r="AG3549" t="str">
        <f>IF(AD3549="United States", IFERROR(INDEX(Sheet2!$C:$C, MATCH(AE3549&amp;AF3549, Sheet2!$E:$E, 0)) &amp; ", " &amp; INDEX(Sheet2!$D:$D, MATCH(AE3549&amp;AF3549, Sheet2!$E:$E, 0)), ""), "-")</f>
        <v/>
      </c>
    </row>
    <row r="3550" spans="1:33" x14ac:dyDescent="0.25">
      <c r="A3550" t="s">
        <v>5237</v>
      </c>
      <c r="D3550" t="s">
        <v>1686</v>
      </c>
      <c r="E3550" t="s">
        <v>5243</v>
      </c>
      <c r="F3550">
        <v>1743</v>
      </c>
      <c r="G3550">
        <v>2819</v>
      </c>
      <c r="H3550">
        <v>85</v>
      </c>
      <c r="J3550" t="s">
        <v>1650</v>
      </c>
      <c r="O3550" t="s">
        <v>57</v>
      </c>
      <c r="V3550" t="s">
        <v>1619</v>
      </c>
      <c r="W3550" t="s">
        <v>92</v>
      </c>
      <c r="Y3550" t="s">
        <v>38</v>
      </c>
      <c r="AA3550" t="s">
        <v>38</v>
      </c>
      <c r="AB3550" t="s">
        <v>38</v>
      </c>
      <c r="AC3550" t="s">
        <v>38</v>
      </c>
      <c r="AD3550" t="s">
        <v>48</v>
      </c>
      <c r="AG3550" t="str">
        <f>IF(AD3550="United States", IFERROR(INDEX(Sheet2!$C:$C, MATCH(AE3550&amp;AF3550, Sheet2!$E:$E, 0)) &amp; ", " &amp; INDEX(Sheet2!$D:$D, MATCH(AE3550&amp;AF3550, Sheet2!$E:$E, 0)), ""), "-")</f>
        <v/>
      </c>
    </row>
    <row r="3551" spans="1:33" x14ac:dyDescent="0.25">
      <c r="A3551" t="s">
        <v>5237</v>
      </c>
      <c r="D3551" t="s">
        <v>132</v>
      </c>
      <c r="E3551" t="s">
        <v>945</v>
      </c>
      <c r="F3551">
        <v>1743</v>
      </c>
      <c r="G3551">
        <v>2801</v>
      </c>
      <c r="H3551">
        <v>84</v>
      </c>
      <c r="J3551" t="s">
        <v>1650</v>
      </c>
      <c r="O3551" t="s">
        <v>41</v>
      </c>
      <c r="V3551" t="s">
        <v>1619</v>
      </c>
      <c r="W3551" t="s">
        <v>92</v>
      </c>
      <c r="Y3551" t="s">
        <v>38</v>
      </c>
      <c r="AA3551" t="s">
        <v>38</v>
      </c>
      <c r="AB3551" t="s">
        <v>38</v>
      </c>
      <c r="AC3551" t="s">
        <v>38</v>
      </c>
      <c r="AD3551" t="s">
        <v>48</v>
      </c>
      <c r="AG3551" t="str">
        <f>IF(AD3551="United States", IFERROR(INDEX(Sheet2!$C:$C, MATCH(AE3551&amp;AF3551, Sheet2!$E:$E, 0)) &amp; ", " &amp; INDEX(Sheet2!$D:$D, MATCH(AE3551&amp;AF3551, Sheet2!$E:$E, 0)), ""), "-")</f>
        <v/>
      </c>
    </row>
    <row r="3552" spans="1:33" x14ac:dyDescent="0.25">
      <c r="A3552" t="s">
        <v>5237</v>
      </c>
      <c r="D3552" t="s">
        <v>200</v>
      </c>
      <c r="E3552" t="s">
        <v>5244</v>
      </c>
      <c r="F3552">
        <v>1764</v>
      </c>
      <c r="G3552">
        <v>2802</v>
      </c>
      <c r="H3552">
        <v>84</v>
      </c>
      <c r="J3552" t="s">
        <v>1650</v>
      </c>
      <c r="O3552" t="s">
        <v>41</v>
      </c>
      <c r="V3552" t="s">
        <v>1619</v>
      </c>
      <c r="W3552" t="s">
        <v>92</v>
      </c>
      <c r="Y3552" t="s">
        <v>38</v>
      </c>
      <c r="AA3552" t="s">
        <v>38</v>
      </c>
      <c r="AB3552" t="s">
        <v>38</v>
      </c>
      <c r="AC3552" t="s">
        <v>38</v>
      </c>
      <c r="AD3552" t="s">
        <v>48</v>
      </c>
      <c r="AG3552" t="str">
        <f>IF(AD3552="United States", IFERROR(INDEX(Sheet2!$C:$C, MATCH(AE3552&amp;AF3552, Sheet2!$E:$E, 0)) &amp; ", " &amp; INDEX(Sheet2!$D:$D, MATCH(AE3552&amp;AF3552, Sheet2!$E:$E, 0)), ""), "-")</f>
        <v/>
      </c>
    </row>
    <row r="3553" spans="1:33" x14ac:dyDescent="0.25">
      <c r="A3553" t="s">
        <v>5237</v>
      </c>
      <c r="D3553" t="s">
        <v>106</v>
      </c>
      <c r="E3553" t="s">
        <v>5245</v>
      </c>
      <c r="F3553">
        <v>1738</v>
      </c>
      <c r="G3553">
        <v>2806</v>
      </c>
      <c r="H3553">
        <v>84</v>
      </c>
      <c r="J3553" t="s">
        <v>1650</v>
      </c>
      <c r="O3553" t="s">
        <v>41</v>
      </c>
      <c r="V3553" t="s">
        <v>1619</v>
      </c>
      <c r="W3553" t="s">
        <v>92</v>
      </c>
      <c r="Y3553" t="s">
        <v>38</v>
      </c>
      <c r="AA3553" t="s">
        <v>38</v>
      </c>
      <c r="AB3553" t="s">
        <v>38</v>
      </c>
      <c r="AC3553" t="s">
        <v>38</v>
      </c>
      <c r="AD3553" t="s">
        <v>48</v>
      </c>
      <c r="AG3553" t="str">
        <f>IF(AD3553="United States", IFERROR(INDEX(Sheet2!$C:$C, MATCH(AE3553&amp;AF3553, Sheet2!$E:$E, 0)) &amp; ", " &amp; INDEX(Sheet2!$D:$D, MATCH(AE3553&amp;AF3553, Sheet2!$E:$E, 0)), ""), "-")</f>
        <v/>
      </c>
    </row>
    <row r="3554" spans="1:33" x14ac:dyDescent="0.25">
      <c r="A3554" t="s">
        <v>5237</v>
      </c>
      <c r="D3554" t="s">
        <v>1116</v>
      </c>
      <c r="E3554" t="s">
        <v>5246</v>
      </c>
      <c r="F3554">
        <v>1753</v>
      </c>
      <c r="G3554">
        <v>2807</v>
      </c>
      <c r="H3554">
        <v>84</v>
      </c>
      <c r="J3554" t="s">
        <v>1650</v>
      </c>
      <c r="O3554" t="s">
        <v>41</v>
      </c>
      <c r="V3554" t="s">
        <v>1619</v>
      </c>
      <c r="W3554" t="s">
        <v>92</v>
      </c>
      <c r="Y3554" t="s">
        <v>38</v>
      </c>
      <c r="AA3554" t="s">
        <v>38</v>
      </c>
      <c r="AB3554" t="s">
        <v>38</v>
      </c>
      <c r="AC3554" t="s">
        <v>38</v>
      </c>
      <c r="AD3554" t="s">
        <v>48</v>
      </c>
      <c r="AG3554" t="str">
        <f>IF(AD3554="United States", IFERROR(INDEX(Sheet2!$C:$C, MATCH(AE3554&amp;AF3554, Sheet2!$E:$E, 0)) &amp; ", " &amp; INDEX(Sheet2!$D:$D, MATCH(AE3554&amp;AF3554, Sheet2!$E:$E, 0)), ""), "-")</f>
        <v/>
      </c>
    </row>
    <row r="3555" spans="1:33" x14ac:dyDescent="0.25">
      <c r="A3555" t="s">
        <v>5237</v>
      </c>
      <c r="D3555" t="s">
        <v>991</v>
      </c>
      <c r="E3555" t="s">
        <v>5247</v>
      </c>
      <c r="F3555">
        <v>1733</v>
      </c>
      <c r="G3555">
        <v>2808</v>
      </c>
      <c r="H3555">
        <v>84</v>
      </c>
      <c r="J3555" t="s">
        <v>1650</v>
      </c>
      <c r="O3555" t="s">
        <v>41</v>
      </c>
      <c r="V3555" t="s">
        <v>1619</v>
      </c>
      <c r="W3555" t="s">
        <v>92</v>
      </c>
      <c r="Y3555" t="s">
        <v>38</v>
      </c>
      <c r="AA3555" t="s">
        <v>38</v>
      </c>
      <c r="AB3555" t="s">
        <v>38</v>
      </c>
      <c r="AC3555" t="s">
        <v>38</v>
      </c>
      <c r="AD3555" t="s">
        <v>48</v>
      </c>
      <c r="AG3555" t="str">
        <f>IF(AD3555="United States", IFERROR(INDEX(Sheet2!$C:$C, MATCH(AE3555&amp;AF3555, Sheet2!$E:$E, 0)) &amp; ", " &amp; INDEX(Sheet2!$D:$D, MATCH(AE3555&amp;AF3555, Sheet2!$E:$E, 0)), ""), "-")</f>
        <v/>
      </c>
    </row>
    <row r="3556" spans="1:33" x14ac:dyDescent="0.25">
      <c r="A3556" t="s">
        <v>5237</v>
      </c>
      <c r="D3556" t="s">
        <v>114</v>
      </c>
      <c r="E3556" t="s">
        <v>5240</v>
      </c>
      <c r="F3556">
        <v>1758</v>
      </c>
      <c r="G3556">
        <v>2809</v>
      </c>
      <c r="H3556">
        <v>85</v>
      </c>
      <c r="J3556" t="s">
        <v>1650</v>
      </c>
      <c r="O3556" t="s">
        <v>57</v>
      </c>
      <c r="V3556" t="s">
        <v>1619</v>
      </c>
      <c r="W3556" t="s">
        <v>92</v>
      </c>
      <c r="Y3556" t="s">
        <v>38</v>
      </c>
      <c r="AA3556" t="s">
        <v>38</v>
      </c>
      <c r="AB3556" t="s">
        <v>38</v>
      </c>
      <c r="AC3556" t="s">
        <v>38</v>
      </c>
      <c r="AD3556" t="s">
        <v>48</v>
      </c>
      <c r="AG3556" t="str">
        <f>IF(AD3556="United States", IFERROR(INDEX(Sheet2!$C:$C, MATCH(AE3556&amp;AF3556, Sheet2!$E:$E, 0)) &amp; ", " &amp; INDEX(Sheet2!$D:$D, MATCH(AE3556&amp;AF3556, Sheet2!$E:$E, 0)), ""), "-")</f>
        <v/>
      </c>
    </row>
    <row r="3557" spans="1:33" x14ac:dyDescent="0.25">
      <c r="A3557" t="s">
        <v>5237</v>
      </c>
      <c r="D3557" t="s">
        <v>1091</v>
      </c>
      <c r="E3557" t="s">
        <v>1507</v>
      </c>
      <c r="F3557">
        <v>1732</v>
      </c>
      <c r="G3557">
        <v>2810</v>
      </c>
      <c r="H3557">
        <v>85</v>
      </c>
      <c r="J3557" t="s">
        <v>1650</v>
      </c>
      <c r="O3557" t="s">
        <v>41</v>
      </c>
      <c r="V3557" t="s">
        <v>1619</v>
      </c>
      <c r="W3557" t="s">
        <v>92</v>
      </c>
      <c r="Y3557" t="s">
        <v>38</v>
      </c>
      <c r="AA3557" t="s">
        <v>38</v>
      </c>
      <c r="AB3557" t="s">
        <v>38</v>
      </c>
      <c r="AC3557" t="s">
        <v>38</v>
      </c>
      <c r="AD3557" t="s">
        <v>48</v>
      </c>
      <c r="AG3557" t="str">
        <f>IF(AD3557="United States", IFERROR(INDEX(Sheet2!$C:$C, MATCH(AE3557&amp;AF3557, Sheet2!$E:$E, 0)) &amp; ", " &amp; INDEX(Sheet2!$D:$D, MATCH(AE3557&amp;AF3557, Sheet2!$E:$E, 0)), ""), "-")</f>
        <v/>
      </c>
    </row>
    <row r="3558" spans="1:33" x14ac:dyDescent="0.25">
      <c r="A3558" t="s">
        <v>5237</v>
      </c>
      <c r="D3558" t="s">
        <v>1966</v>
      </c>
      <c r="E3558" t="s">
        <v>1507</v>
      </c>
      <c r="F3558">
        <v>1761</v>
      </c>
      <c r="G3558">
        <v>2811</v>
      </c>
      <c r="H3558">
        <v>85</v>
      </c>
      <c r="J3558" t="s">
        <v>1650</v>
      </c>
      <c r="O3558" t="s">
        <v>57</v>
      </c>
      <c r="V3558" t="s">
        <v>1619</v>
      </c>
      <c r="W3558" t="s">
        <v>92</v>
      </c>
      <c r="Y3558" t="s">
        <v>38</v>
      </c>
      <c r="AA3558" t="s">
        <v>38</v>
      </c>
      <c r="AB3558" t="s">
        <v>38</v>
      </c>
      <c r="AC3558" t="s">
        <v>38</v>
      </c>
      <c r="AD3558" t="s">
        <v>48</v>
      </c>
      <c r="AG3558" t="str">
        <f>IF(AD3558="United States", IFERROR(INDEX(Sheet2!$C:$C, MATCH(AE3558&amp;AF3558, Sheet2!$E:$E, 0)) &amp; ", " &amp; INDEX(Sheet2!$D:$D, MATCH(AE3558&amp;AF3558, Sheet2!$E:$E, 0)), ""), "-")</f>
        <v/>
      </c>
    </row>
    <row r="3559" spans="1:33" x14ac:dyDescent="0.25">
      <c r="A3559" t="s">
        <v>5237</v>
      </c>
      <c r="D3559" t="s">
        <v>5248</v>
      </c>
      <c r="E3559" t="s">
        <v>465</v>
      </c>
      <c r="F3559">
        <v>1761</v>
      </c>
      <c r="G3559">
        <v>2812</v>
      </c>
      <c r="H3559">
        <v>85</v>
      </c>
      <c r="J3559" t="s">
        <v>1650</v>
      </c>
      <c r="O3559" t="s">
        <v>41</v>
      </c>
      <c r="V3559" t="s">
        <v>1619</v>
      </c>
      <c r="W3559" t="s">
        <v>92</v>
      </c>
      <c r="Y3559" t="s">
        <v>38</v>
      </c>
      <c r="AA3559" t="s">
        <v>38</v>
      </c>
      <c r="AB3559" t="s">
        <v>38</v>
      </c>
      <c r="AC3559" t="s">
        <v>38</v>
      </c>
      <c r="AD3559" t="s">
        <v>48</v>
      </c>
      <c r="AG3559" t="str">
        <f>IF(AD3559="United States", IFERROR(INDEX(Sheet2!$C:$C, MATCH(AE3559&amp;AF3559, Sheet2!$E:$E, 0)) &amp; ", " &amp; INDEX(Sheet2!$D:$D, MATCH(AE3559&amp;AF3559, Sheet2!$E:$E, 0)), ""), "-")</f>
        <v/>
      </c>
    </row>
    <row r="3560" spans="1:33" x14ac:dyDescent="0.25">
      <c r="A3560" t="s">
        <v>5237</v>
      </c>
      <c r="D3560" t="s">
        <v>5249</v>
      </c>
      <c r="E3560" t="s">
        <v>5240</v>
      </c>
      <c r="F3560">
        <v>1754</v>
      </c>
      <c r="G3560">
        <v>2838</v>
      </c>
      <c r="H3560">
        <v>85</v>
      </c>
      <c r="J3560" t="s">
        <v>1650</v>
      </c>
      <c r="O3560" t="s">
        <v>57</v>
      </c>
      <c r="V3560" t="s">
        <v>1619</v>
      </c>
      <c r="W3560" t="s">
        <v>92</v>
      </c>
      <c r="Y3560" t="s">
        <v>38</v>
      </c>
      <c r="AA3560" t="s">
        <v>38</v>
      </c>
      <c r="AB3560" t="s">
        <v>38</v>
      </c>
      <c r="AC3560" t="s">
        <v>38</v>
      </c>
      <c r="AD3560" t="s">
        <v>48</v>
      </c>
      <c r="AG3560" t="str">
        <f>IF(AD3560="United States", IFERROR(INDEX(Sheet2!$C:$C, MATCH(AE3560&amp;AF3560, Sheet2!$E:$E, 0)) &amp; ", " &amp; INDEX(Sheet2!$D:$D, MATCH(AE3560&amp;AF3560, Sheet2!$E:$E, 0)), ""), "-")</f>
        <v/>
      </c>
    </row>
    <row r="3561" spans="1:33" x14ac:dyDescent="0.25">
      <c r="A3561" t="s">
        <v>5237</v>
      </c>
      <c r="D3561" t="s">
        <v>473</v>
      </c>
      <c r="E3561" t="s">
        <v>1684</v>
      </c>
      <c r="F3561">
        <v>1718</v>
      </c>
      <c r="G3561">
        <v>2814</v>
      </c>
      <c r="H3561">
        <v>85</v>
      </c>
      <c r="J3561" t="s">
        <v>1650</v>
      </c>
      <c r="O3561" t="s">
        <v>41</v>
      </c>
      <c r="V3561" t="s">
        <v>1619</v>
      </c>
      <c r="W3561" t="s">
        <v>92</v>
      </c>
      <c r="Y3561" t="s">
        <v>38</v>
      </c>
      <c r="AA3561" t="s">
        <v>38</v>
      </c>
      <c r="AB3561" t="s">
        <v>38</v>
      </c>
      <c r="AC3561" t="s">
        <v>38</v>
      </c>
      <c r="AD3561" t="s">
        <v>48</v>
      </c>
      <c r="AG3561" t="str">
        <f>IF(AD3561="United States", IFERROR(INDEX(Sheet2!$C:$C, MATCH(AE3561&amp;AF3561, Sheet2!$E:$E, 0)) &amp; ", " &amp; INDEX(Sheet2!$D:$D, MATCH(AE3561&amp;AF3561, Sheet2!$E:$E, 0)), ""), "-")</f>
        <v/>
      </c>
    </row>
    <row r="3562" spans="1:33" x14ac:dyDescent="0.25">
      <c r="A3562" t="s">
        <v>5237</v>
      </c>
      <c r="D3562" t="s">
        <v>357</v>
      </c>
      <c r="E3562" t="s">
        <v>1318</v>
      </c>
      <c r="F3562">
        <v>1744</v>
      </c>
      <c r="G3562">
        <v>2815</v>
      </c>
      <c r="H3562">
        <v>85</v>
      </c>
      <c r="J3562" t="s">
        <v>1650</v>
      </c>
      <c r="O3562" t="s">
        <v>41</v>
      </c>
      <c r="V3562" t="s">
        <v>1619</v>
      </c>
      <c r="W3562" t="s">
        <v>92</v>
      </c>
      <c r="Y3562" t="s">
        <v>38</v>
      </c>
      <c r="AA3562" t="s">
        <v>38</v>
      </c>
      <c r="AB3562" t="s">
        <v>38</v>
      </c>
      <c r="AC3562" t="s">
        <v>38</v>
      </c>
      <c r="AD3562" t="s">
        <v>48</v>
      </c>
      <c r="AG3562" t="str">
        <f>IF(AD3562="United States", IFERROR(INDEX(Sheet2!$C:$C, MATCH(AE3562&amp;AF3562, Sheet2!$E:$E, 0)) &amp; ", " &amp; INDEX(Sheet2!$D:$D, MATCH(AE3562&amp;AF3562, Sheet2!$E:$E, 0)), ""), "-")</f>
        <v/>
      </c>
    </row>
    <row r="3563" spans="1:33" x14ac:dyDescent="0.25">
      <c r="A3563" t="s">
        <v>5237</v>
      </c>
      <c r="D3563" t="s">
        <v>1164</v>
      </c>
      <c r="E3563" t="s">
        <v>1318</v>
      </c>
      <c r="F3563">
        <v>1753</v>
      </c>
      <c r="G3563">
        <v>2816</v>
      </c>
      <c r="H3563">
        <v>85</v>
      </c>
      <c r="J3563" t="s">
        <v>1650</v>
      </c>
      <c r="O3563" t="s">
        <v>57</v>
      </c>
      <c r="V3563" t="s">
        <v>1619</v>
      </c>
      <c r="W3563" t="s">
        <v>92</v>
      </c>
      <c r="Y3563" t="s">
        <v>38</v>
      </c>
      <c r="AA3563" t="s">
        <v>38</v>
      </c>
      <c r="AB3563" t="s">
        <v>38</v>
      </c>
      <c r="AC3563" t="s">
        <v>38</v>
      </c>
      <c r="AD3563" t="s">
        <v>48</v>
      </c>
      <c r="AG3563" t="str">
        <f>IF(AD3563="United States", IFERROR(INDEX(Sheet2!$C:$C, MATCH(AE3563&amp;AF3563, Sheet2!$E:$E, 0)) &amp; ", " &amp; INDEX(Sheet2!$D:$D, MATCH(AE3563&amp;AF3563, Sheet2!$E:$E, 0)), ""), "-")</f>
        <v/>
      </c>
    </row>
    <row r="3564" spans="1:33" x14ac:dyDescent="0.25">
      <c r="A3564" t="s">
        <v>5237</v>
      </c>
      <c r="D3564" t="s">
        <v>5250</v>
      </c>
      <c r="E3564" t="s">
        <v>465</v>
      </c>
      <c r="F3564">
        <v>1733</v>
      </c>
      <c r="G3564">
        <v>2817</v>
      </c>
      <c r="H3564">
        <v>85</v>
      </c>
      <c r="J3564" t="s">
        <v>1650</v>
      </c>
      <c r="O3564" t="s">
        <v>41</v>
      </c>
      <c r="V3564" t="s">
        <v>1619</v>
      </c>
      <c r="W3564" t="s">
        <v>92</v>
      </c>
      <c r="Y3564" t="s">
        <v>38</v>
      </c>
      <c r="AA3564" t="s">
        <v>38</v>
      </c>
      <c r="AB3564" t="s">
        <v>38</v>
      </c>
      <c r="AC3564" t="s">
        <v>38</v>
      </c>
      <c r="AD3564" t="s">
        <v>48</v>
      </c>
      <c r="AG3564" t="str">
        <f>IF(AD3564="United States", IFERROR(INDEX(Sheet2!$C:$C, MATCH(AE3564&amp;AF3564, Sheet2!$E:$E, 0)) &amp; ", " &amp; INDEX(Sheet2!$D:$D, MATCH(AE3564&amp;AF3564, Sheet2!$E:$E, 0)), ""), "-")</f>
        <v/>
      </c>
    </row>
    <row r="3565" spans="1:33" x14ac:dyDescent="0.25">
      <c r="A3565" t="s">
        <v>5237</v>
      </c>
      <c r="D3565" t="s">
        <v>774</v>
      </c>
      <c r="E3565" t="s">
        <v>5243</v>
      </c>
      <c r="F3565">
        <v>1740</v>
      </c>
      <c r="G3565">
        <v>2818</v>
      </c>
      <c r="H3565">
        <v>85</v>
      </c>
      <c r="J3565" t="s">
        <v>1650</v>
      </c>
      <c r="O3565" t="s">
        <v>41</v>
      </c>
      <c r="V3565" t="s">
        <v>1619</v>
      </c>
      <c r="W3565" t="s">
        <v>92</v>
      </c>
      <c r="Y3565" t="s">
        <v>38</v>
      </c>
      <c r="AA3565" t="s">
        <v>38</v>
      </c>
      <c r="AB3565" t="s">
        <v>38</v>
      </c>
      <c r="AC3565" t="s">
        <v>38</v>
      </c>
      <c r="AD3565" t="s">
        <v>48</v>
      </c>
      <c r="AG3565" t="str">
        <f>IF(AD3565="United States", IFERROR(INDEX(Sheet2!$C:$C, MATCH(AE3565&amp;AF3565, Sheet2!$E:$E, 0)) &amp; ", " &amp; INDEX(Sheet2!$D:$D, MATCH(AE3565&amp;AF3565, Sheet2!$E:$E, 0)), ""), "-")</f>
        <v/>
      </c>
    </row>
    <row r="3566" spans="1:33" x14ac:dyDescent="0.25">
      <c r="A3566" t="s">
        <v>5237</v>
      </c>
      <c r="D3566" t="s">
        <v>361</v>
      </c>
      <c r="E3566" t="s">
        <v>5208</v>
      </c>
      <c r="F3566">
        <v>1755</v>
      </c>
      <c r="G3566">
        <v>2820</v>
      </c>
      <c r="H3566">
        <v>85</v>
      </c>
      <c r="J3566" t="s">
        <v>1650</v>
      </c>
      <c r="O3566" t="s">
        <v>41</v>
      </c>
      <c r="V3566" t="s">
        <v>1619</v>
      </c>
      <c r="W3566" t="s">
        <v>92</v>
      </c>
      <c r="Y3566" t="s">
        <v>38</v>
      </c>
      <c r="AA3566" t="s">
        <v>38</v>
      </c>
      <c r="AB3566" t="s">
        <v>38</v>
      </c>
      <c r="AC3566" t="s">
        <v>38</v>
      </c>
      <c r="AD3566" t="s">
        <v>48</v>
      </c>
      <c r="AG3566" t="str">
        <f>IF(AD3566="United States", IFERROR(INDEX(Sheet2!$C:$C, MATCH(AE3566&amp;AF3566, Sheet2!$E:$E, 0)) &amp; ", " &amp; INDEX(Sheet2!$D:$D, MATCH(AE3566&amp;AF3566, Sheet2!$E:$E, 0)), ""), "-")</f>
        <v/>
      </c>
    </row>
    <row r="3567" spans="1:33" x14ac:dyDescent="0.25">
      <c r="A3567" t="s">
        <v>5237</v>
      </c>
      <c r="D3567" t="s">
        <v>3766</v>
      </c>
      <c r="E3567" t="s">
        <v>5251</v>
      </c>
      <c r="F3567">
        <v>1756</v>
      </c>
      <c r="G3567">
        <v>2839</v>
      </c>
      <c r="H3567">
        <v>85</v>
      </c>
      <c r="J3567" t="s">
        <v>1650</v>
      </c>
      <c r="O3567" t="s">
        <v>57</v>
      </c>
      <c r="V3567" t="s">
        <v>1619</v>
      </c>
      <c r="W3567" t="s">
        <v>92</v>
      </c>
      <c r="Y3567" t="s">
        <v>38</v>
      </c>
      <c r="AA3567" t="s">
        <v>38</v>
      </c>
      <c r="AB3567" t="s">
        <v>38</v>
      </c>
      <c r="AC3567" t="s">
        <v>38</v>
      </c>
      <c r="AD3567" t="s">
        <v>48</v>
      </c>
      <c r="AG3567" t="str">
        <f>IF(AD3567="United States", IFERROR(INDEX(Sheet2!$C:$C, MATCH(AE3567&amp;AF3567, Sheet2!$E:$E, 0)) &amp; ", " &amp; INDEX(Sheet2!$D:$D, MATCH(AE3567&amp;AF3567, Sheet2!$E:$E, 0)), ""), "-")</f>
        <v/>
      </c>
    </row>
    <row r="3568" spans="1:33" x14ac:dyDescent="0.25">
      <c r="A3568" t="s">
        <v>5237</v>
      </c>
      <c r="D3568" t="s">
        <v>5252</v>
      </c>
      <c r="E3568" t="s">
        <v>2943</v>
      </c>
      <c r="F3568">
        <v>1738</v>
      </c>
      <c r="G3568">
        <v>2851</v>
      </c>
      <c r="H3568">
        <v>85</v>
      </c>
      <c r="J3568" t="s">
        <v>1650</v>
      </c>
      <c r="O3568" t="s">
        <v>41</v>
      </c>
      <c r="V3568" t="s">
        <v>1619</v>
      </c>
      <c r="W3568" t="s">
        <v>92</v>
      </c>
      <c r="Y3568" t="s">
        <v>38</v>
      </c>
      <c r="AA3568" t="s">
        <v>38</v>
      </c>
      <c r="AB3568" t="s">
        <v>38</v>
      </c>
      <c r="AC3568" t="s">
        <v>38</v>
      </c>
      <c r="AD3568" t="s">
        <v>48</v>
      </c>
      <c r="AG3568" t="str">
        <f>IF(AD3568="United States", IFERROR(INDEX(Sheet2!$C:$C, MATCH(AE3568&amp;AF3568, Sheet2!$E:$E, 0)) &amp; ", " &amp; INDEX(Sheet2!$D:$D, MATCH(AE3568&amp;AF3568, Sheet2!$E:$E, 0)), ""), "-")</f>
        <v/>
      </c>
    </row>
    <row r="3569" spans="1:33" x14ac:dyDescent="0.25">
      <c r="A3569" t="s">
        <v>5237</v>
      </c>
      <c r="D3569" t="s">
        <v>72</v>
      </c>
      <c r="E3569" t="s">
        <v>2943</v>
      </c>
      <c r="F3569">
        <v>1751</v>
      </c>
      <c r="G3569">
        <v>2842</v>
      </c>
      <c r="H3569">
        <v>85</v>
      </c>
      <c r="J3569" t="s">
        <v>1650</v>
      </c>
      <c r="O3569" t="s">
        <v>57</v>
      </c>
      <c r="V3569" t="s">
        <v>1619</v>
      </c>
      <c r="W3569" t="s">
        <v>92</v>
      </c>
      <c r="Y3569" t="s">
        <v>38</v>
      </c>
      <c r="AA3569" t="s">
        <v>38</v>
      </c>
      <c r="AB3569" t="s">
        <v>38</v>
      </c>
      <c r="AC3569" t="s">
        <v>38</v>
      </c>
      <c r="AD3569" t="s">
        <v>48</v>
      </c>
      <c r="AG3569" t="str">
        <f>IF(AD3569="United States", IFERROR(INDEX(Sheet2!$C:$C, MATCH(AE3569&amp;AF3569, Sheet2!$E:$E, 0)) &amp; ", " &amp; INDEX(Sheet2!$D:$D, MATCH(AE3569&amp;AF3569, Sheet2!$E:$E, 0)), ""), "-")</f>
        <v/>
      </c>
    </row>
    <row r="3570" spans="1:33" x14ac:dyDescent="0.25">
      <c r="A3570" t="s">
        <v>5237</v>
      </c>
      <c r="D3570" t="s">
        <v>5253</v>
      </c>
      <c r="E3570" t="s">
        <v>2873</v>
      </c>
      <c r="F3570">
        <v>1759</v>
      </c>
      <c r="G3570">
        <v>2799</v>
      </c>
      <c r="H3570">
        <v>84</v>
      </c>
      <c r="J3570" t="s">
        <v>1650</v>
      </c>
      <c r="O3570" t="s">
        <v>57</v>
      </c>
      <c r="V3570" t="s">
        <v>1619</v>
      </c>
      <c r="W3570" t="s">
        <v>92</v>
      </c>
      <c r="Y3570" t="s">
        <v>38</v>
      </c>
      <c r="AA3570" t="s">
        <v>38</v>
      </c>
      <c r="AB3570" t="s">
        <v>38</v>
      </c>
      <c r="AC3570" t="s">
        <v>38</v>
      </c>
      <c r="AD3570" t="s">
        <v>48</v>
      </c>
      <c r="AG3570" t="str">
        <f>IF(AD3570="United States", IFERROR(INDEX(Sheet2!$C:$C, MATCH(AE3570&amp;AF3570, Sheet2!$E:$E, 0)) &amp; ", " &amp; INDEX(Sheet2!$D:$D, MATCH(AE3570&amp;AF3570, Sheet2!$E:$E, 0)), ""), "-")</f>
        <v/>
      </c>
    </row>
    <row r="3571" spans="1:33" x14ac:dyDescent="0.25">
      <c r="A3571" t="s">
        <v>5237</v>
      </c>
      <c r="B3571" t="s">
        <v>5254</v>
      </c>
      <c r="C3571" t="s">
        <v>5255</v>
      </c>
      <c r="D3571" t="s">
        <v>569</v>
      </c>
      <c r="E3571" t="s">
        <v>5256</v>
      </c>
      <c r="F3571">
        <v>1760</v>
      </c>
      <c r="G3571">
        <v>526</v>
      </c>
      <c r="H3571" t="s">
        <v>381</v>
      </c>
      <c r="I3571" t="s">
        <v>39</v>
      </c>
      <c r="J3571" t="s">
        <v>5257</v>
      </c>
      <c r="K3571" t="s">
        <v>38</v>
      </c>
      <c r="L3571" t="s">
        <v>38</v>
      </c>
      <c r="M3571" t="s">
        <v>38</v>
      </c>
      <c r="N3571" t="s">
        <v>38</v>
      </c>
      <c r="O3571" t="s">
        <v>41</v>
      </c>
      <c r="P3571" t="s">
        <v>42</v>
      </c>
      <c r="Q3571" t="s">
        <v>43</v>
      </c>
      <c r="R3571" t="s">
        <v>38</v>
      </c>
      <c r="S3571" t="s">
        <v>38</v>
      </c>
      <c r="T3571" t="s">
        <v>38</v>
      </c>
      <c r="U3571" t="s">
        <v>38</v>
      </c>
      <c r="V3571" t="s">
        <v>740</v>
      </c>
      <c r="W3571" t="s">
        <v>92</v>
      </c>
      <c r="X3571" t="s">
        <v>38</v>
      </c>
      <c r="Y3571" t="s">
        <v>5039</v>
      </c>
      <c r="Z3571" t="s">
        <v>42</v>
      </c>
      <c r="AA3571" t="s">
        <v>38</v>
      </c>
      <c r="AB3571" t="s">
        <v>38</v>
      </c>
      <c r="AC3571" t="s">
        <v>38</v>
      </c>
      <c r="AD3571" t="s">
        <v>48</v>
      </c>
      <c r="AG3571" t="str">
        <f>IF(AD3571="United States", IFERROR(INDEX(Sheet2!$C:$C, MATCH(AE3571&amp;AF3571, Sheet2!$E:$E, 0)) &amp; ", " &amp; INDEX(Sheet2!$D:$D, MATCH(AE3571&amp;AF3571, Sheet2!$E:$E, 0)), ""), "-")</f>
        <v/>
      </c>
    </row>
    <row r="3572" spans="1:33" x14ac:dyDescent="0.25">
      <c r="A3572" t="s">
        <v>5237</v>
      </c>
      <c r="B3572" t="s">
        <v>5258</v>
      </c>
      <c r="C3572" t="s">
        <v>5255</v>
      </c>
      <c r="D3572" t="s">
        <v>195</v>
      </c>
      <c r="E3572" t="s">
        <v>5259</v>
      </c>
      <c r="F3572">
        <v>1760</v>
      </c>
      <c r="G3572">
        <v>527</v>
      </c>
      <c r="H3572" t="s">
        <v>381</v>
      </c>
      <c r="I3572" t="s">
        <v>39</v>
      </c>
      <c r="J3572" t="s">
        <v>5257</v>
      </c>
      <c r="K3572" t="s">
        <v>38</v>
      </c>
      <c r="L3572" t="s">
        <v>38</v>
      </c>
      <c r="M3572" t="s">
        <v>38</v>
      </c>
      <c r="N3572" t="s">
        <v>38</v>
      </c>
      <c r="O3572" t="s">
        <v>41</v>
      </c>
      <c r="P3572" t="s">
        <v>125</v>
      </c>
      <c r="Q3572" t="s">
        <v>124</v>
      </c>
      <c r="R3572" t="s">
        <v>38</v>
      </c>
      <c r="S3572" t="s">
        <v>38</v>
      </c>
      <c r="T3572" t="s">
        <v>38</v>
      </c>
      <c r="U3572" t="s">
        <v>38</v>
      </c>
      <c r="V3572" t="s">
        <v>740</v>
      </c>
      <c r="W3572" t="s">
        <v>92</v>
      </c>
      <c r="X3572" t="s">
        <v>38</v>
      </c>
      <c r="Y3572" t="s">
        <v>5260</v>
      </c>
      <c r="Z3572" t="s">
        <v>125</v>
      </c>
      <c r="AA3572" t="s">
        <v>38</v>
      </c>
      <c r="AB3572" t="s">
        <v>38</v>
      </c>
      <c r="AC3572" t="s">
        <v>38</v>
      </c>
      <c r="AD3572" t="s">
        <v>48</v>
      </c>
      <c r="AG3572" t="str">
        <f>IF(AD3572="United States", IFERROR(INDEX(Sheet2!$C:$C, MATCH(AE3572&amp;AF3572, Sheet2!$E:$E, 0)) &amp; ", " &amp; INDEX(Sheet2!$D:$D, MATCH(AE3572&amp;AF3572, Sheet2!$E:$E, 0)), ""), "-")</f>
        <v/>
      </c>
    </row>
    <row r="3573" spans="1:33" x14ac:dyDescent="0.25">
      <c r="A3573" t="s">
        <v>5237</v>
      </c>
      <c r="B3573" t="s">
        <v>5261</v>
      </c>
      <c r="C3573" t="s">
        <v>5255</v>
      </c>
      <c r="D3573" t="s">
        <v>3144</v>
      </c>
      <c r="E3573" t="s">
        <v>5262</v>
      </c>
      <c r="F3573">
        <v>1776</v>
      </c>
      <c r="G3573">
        <v>528</v>
      </c>
      <c r="H3573" t="s">
        <v>381</v>
      </c>
      <c r="I3573" t="s">
        <v>39</v>
      </c>
      <c r="J3573" t="s">
        <v>5257</v>
      </c>
      <c r="K3573" t="s">
        <v>38</v>
      </c>
      <c r="L3573" t="s">
        <v>38</v>
      </c>
      <c r="M3573" t="s">
        <v>38</v>
      </c>
      <c r="N3573" t="s">
        <v>38</v>
      </c>
      <c r="O3573" t="s">
        <v>74</v>
      </c>
      <c r="P3573" t="s">
        <v>42</v>
      </c>
      <c r="Q3573" t="s">
        <v>43</v>
      </c>
      <c r="R3573" t="s">
        <v>38</v>
      </c>
      <c r="S3573" t="s">
        <v>38</v>
      </c>
      <c r="T3573" t="s">
        <v>38</v>
      </c>
      <c r="U3573" t="s">
        <v>38</v>
      </c>
      <c r="V3573" t="s">
        <v>740</v>
      </c>
      <c r="W3573" t="s">
        <v>92</v>
      </c>
      <c r="X3573" t="s">
        <v>38</v>
      </c>
      <c r="Y3573" t="s">
        <v>5263</v>
      </c>
      <c r="Z3573" t="s">
        <v>42</v>
      </c>
      <c r="AA3573" t="s">
        <v>38</v>
      </c>
      <c r="AB3573" t="s">
        <v>38</v>
      </c>
      <c r="AC3573" t="s">
        <v>38</v>
      </c>
      <c r="AD3573" t="s">
        <v>48</v>
      </c>
      <c r="AG3573" t="str">
        <f>IF(AD3573="United States", IFERROR(INDEX(Sheet2!$C:$C, MATCH(AE3573&amp;AF3573, Sheet2!$E:$E, 0)) &amp; ", " &amp; INDEX(Sheet2!$D:$D, MATCH(AE3573&amp;AF3573, Sheet2!$E:$E, 0)), ""), "-")</f>
        <v/>
      </c>
    </row>
    <row r="3574" spans="1:33" x14ac:dyDescent="0.25">
      <c r="A3574" t="s">
        <v>5237</v>
      </c>
      <c r="B3574" t="s">
        <v>5264</v>
      </c>
      <c r="C3574" t="s">
        <v>5255</v>
      </c>
      <c r="D3574" t="s">
        <v>3666</v>
      </c>
      <c r="E3574" t="s">
        <v>5262</v>
      </c>
      <c r="F3574">
        <v>1777</v>
      </c>
      <c r="G3574">
        <v>529</v>
      </c>
      <c r="H3574" t="s">
        <v>381</v>
      </c>
      <c r="I3574" t="s">
        <v>39</v>
      </c>
      <c r="J3574" t="s">
        <v>5257</v>
      </c>
      <c r="K3574" t="s">
        <v>38</v>
      </c>
      <c r="L3574" t="s">
        <v>38</v>
      </c>
      <c r="M3574" t="s">
        <v>38</v>
      </c>
      <c r="N3574" t="s">
        <v>38</v>
      </c>
      <c r="O3574" t="s">
        <v>54</v>
      </c>
      <c r="P3574" t="s">
        <v>42</v>
      </c>
      <c r="Q3574" t="s">
        <v>43</v>
      </c>
      <c r="R3574" t="s">
        <v>38</v>
      </c>
      <c r="S3574" t="s">
        <v>38</v>
      </c>
      <c r="T3574" t="s">
        <v>38</v>
      </c>
      <c r="U3574" t="s">
        <v>38</v>
      </c>
      <c r="V3574" t="s">
        <v>740</v>
      </c>
      <c r="W3574" t="s">
        <v>92</v>
      </c>
      <c r="X3574" t="s">
        <v>38</v>
      </c>
      <c r="Y3574" t="s">
        <v>5263</v>
      </c>
      <c r="Z3574" t="s">
        <v>42</v>
      </c>
      <c r="AA3574" t="s">
        <v>38</v>
      </c>
      <c r="AB3574" t="s">
        <v>38</v>
      </c>
      <c r="AC3574" t="s">
        <v>38</v>
      </c>
      <c r="AD3574" t="s">
        <v>48</v>
      </c>
      <c r="AG3574" t="str">
        <f>IF(AD3574="United States", IFERROR(INDEX(Sheet2!$C:$C, MATCH(AE3574&amp;AF3574, Sheet2!$E:$E, 0)) &amp; ", " &amp; INDEX(Sheet2!$D:$D, MATCH(AE3574&amp;AF3574, Sheet2!$E:$E, 0)), ""), "-")</f>
        <v/>
      </c>
    </row>
    <row r="3575" spans="1:33" x14ac:dyDescent="0.25">
      <c r="A3575" t="s">
        <v>5237</v>
      </c>
      <c r="B3575" t="s">
        <v>5265</v>
      </c>
      <c r="C3575" t="s">
        <v>5255</v>
      </c>
      <c r="D3575" t="s">
        <v>220</v>
      </c>
      <c r="E3575" t="s">
        <v>38</v>
      </c>
      <c r="F3575">
        <v>1764</v>
      </c>
      <c r="G3575">
        <v>530</v>
      </c>
      <c r="H3575" t="s">
        <v>381</v>
      </c>
      <c r="I3575" t="s">
        <v>39</v>
      </c>
      <c r="J3575" t="s">
        <v>5257</v>
      </c>
      <c r="K3575" t="s">
        <v>38</v>
      </c>
      <c r="L3575" t="s">
        <v>38</v>
      </c>
      <c r="M3575" t="s">
        <v>38</v>
      </c>
      <c r="N3575" t="s">
        <v>38</v>
      </c>
      <c r="O3575" t="s">
        <v>41</v>
      </c>
      <c r="P3575" t="s">
        <v>42</v>
      </c>
      <c r="Q3575" t="s">
        <v>43</v>
      </c>
      <c r="R3575" t="s">
        <v>38</v>
      </c>
      <c r="S3575" t="s">
        <v>38</v>
      </c>
      <c r="T3575" t="s">
        <v>38</v>
      </c>
      <c r="U3575" t="s">
        <v>38</v>
      </c>
      <c r="V3575" t="s">
        <v>740</v>
      </c>
      <c r="W3575" t="s">
        <v>92</v>
      </c>
      <c r="X3575" t="s">
        <v>38</v>
      </c>
      <c r="Y3575" t="s">
        <v>5266</v>
      </c>
      <c r="Z3575" t="s">
        <v>42</v>
      </c>
      <c r="AA3575" t="s">
        <v>38</v>
      </c>
      <c r="AB3575" t="s">
        <v>38</v>
      </c>
      <c r="AC3575" t="s">
        <v>2721</v>
      </c>
      <c r="AD3575" t="s">
        <v>48</v>
      </c>
      <c r="AG3575" t="str">
        <f>IF(AD3575="United States", IFERROR(INDEX(Sheet2!$C:$C, MATCH(AE3575&amp;AF3575, Sheet2!$E:$E, 0)) &amp; ", " &amp; INDEX(Sheet2!$D:$D, MATCH(AE3575&amp;AF3575, Sheet2!$E:$E, 0)), ""), "-")</f>
        <v/>
      </c>
    </row>
    <row r="3576" spans="1:33" x14ac:dyDescent="0.25">
      <c r="A3576" t="s">
        <v>5237</v>
      </c>
      <c r="B3576" t="s">
        <v>5267</v>
      </c>
      <c r="C3576" t="s">
        <v>5255</v>
      </c>
      <c r="D3576" t="s">
        <v>101</v>
      </c>
      <c r="E3576" t="s">
        <v>268</v>
      </c>
      <c r="F3576">
        <v>1760</v>
      </c>
      <c r="G3576">
        <v>531</v>
      </c>
      <c r="H3576" t="s">
        <v>381</v>
      </c>
      <c r="I3576" t="s">
        <v>39</v>
      </c>
      <c r="J3576" t="s">
        <v>5257</v>
      </c>
      <c r="K3576" t="s">
        <v>38</v>
      </c>
      <c r="L3576" t="s">
        <v>38</v>
      </c>
      <c r="M3576" t="s">
        <v>38</v>
      </c>
      <c r="N3576" t="s">
        <v>38</v>
      </c>
      <c r="O3576" t="s">
        <v>41</v>
      </c>
      <c r="P3576" t="s">
        <v>42</v>
      </c>
      <c r="Q3576" t="s">
        <v>43</v>
      </c>
      <c r="R3576" t="s">
        <v>5268</v>
      </c>
      <c r="S3576" t="s">
        <v>201</v>
      </c>
      <c r="T3576" t="s">
        <v>38</v>
      </c>
      <c r="U3576" t="s">
        <v>38</v>
      </c>
      <c r="V3576" t="s">
        <v>740</v>
      </c>
      <c r="W3576" t="s">
        <v>92</v>
      </c>
      <c r="X3576" t="s">
        <v>38</v>
      </c>
      <c r="Y3576" t="s">
        <v>5263</v>
      </c>
      <c r="Z3576" t="s">
        <v>42</v>
      </c>
      <c r="AA3576" t="s">
        <v>324</v>
      </c>
      <c r="AB3576" t="s">
        <v>38</v>
      </c>
      <c r="AC3576" t="s">
        <v>201</v>
      </c>
      <c r="AD3576" t="s">
        <v>48</v>
      </c>
      <c r="AG3576" t="str">
        <f>IF(AD3576="United States", IFERROR(INDEX(Sheet2!$C:$C, MATCH(AE3576&amp;AF3576, Sheet2!$E:$E, 0)) &amp; ", " &amp; INDEX(Sheet2!$D:$D, MATCH(AE3576&amp;AF3576, Sheet2!$E:$E, 0)), ""), "-")</f>
        <v/>
      </c>
    </row>
    <row r="3577" spans="1:33" x14ac:dyDescent="0.25">
      <c r="A3577" t="s">
        <v>5237</v>
      </c>
      <c r="B3577" t="s">
        <v>5269</v>
      </c>
      <c r="C3577" t="s">
        <v>5255</v>
      </c>
      <c r="D3577" t="s">
        <v>210</v>
      </c>
      <c r="E3577" t="s">
        <v>5270</v>
      </c>
      <c r="F3577">
        <v>1758</v>
      </c>
      <c r="G3577">
        <v>532</v>
      </c>
      <c r="H3577" t="s">
        <v>381</v>
      </c>
      <c r="I3577" t="s">
        <v>39</v>
      </c>
      <c r="J3577" t="s">
        <v>5257</v>
      </c>
      <c r="K3577" t="s">
        <v>38</v>
      </c>
      <c r="L3577" t="s">
        <v>38</v>
      </c>
      <c r="M3577" t="s">
        <v>38</v>
      </c>
      <c r="N3577" t="s">
        <v>38</v>
      </c>
      <c r="O3577" t="s">
        <v>41</v>
      </c>
      <c r="P3577" t="s">
        <v>42</v>
      </c>
      <c r="Q3577" t="s">
        <v>43</v>
      </c>
      <c r="R3577" t="s">
        <v>5271</v>
      </c>
      <c r="S3577" t="s">
        <v>45</v>
      </c>
      <c r="T3577" t="s">
        <v>38</v>
      </c>
      <c r="U3577" t="s">
        <v>38</v>
      </c>
      <c r="V3577" t="s">
        <v>740</v>
      </c>
      <c r="W3577" t="s">
        <v>92</v>
      </c>
      <c r="X3577" t="s">
        <v>38</v>
      </c>
      <c r="Y3577" t="s">
        <v>5263</v>
      </c>
      <c r="Z3577" t="s">
        <v>42</v>
      </c>
      <c r="AA3577" t="s">
        <v>5272</v>
      </c>
      <c r="AB3577" t="s">
        <v>38</v>
      </c>
      <c r="AC3577" t="s">
        <v>45</v>
      </c>
      <c r="AD3577" t="s">
        <v>48</v>
      </c>
      <c r="AG3577" t="str">
        <f>IF(AD3577="United States", IFERROR(INDEX(Sheet2!$C:$C, MATCH(AE3577&amp;AF3577, Sheet2!$E:$E, 0)) &amp; ", " &amp; INDEX(Sheet2!$D:$D, MATCH(AE3577&amp;AF3577, Sheet2!$E:$E, 0)), ""), "-")</f>
        <v/>
      </c>
    </row>
    <row r="3578" spans="1:33" x14ac:dyDescent="0.25">
      <c r="A3578" t="s">
        <v>5237</v>
      </c>
      <c r="B3578" t="s">
        <v>5273</v>
      </c>
      <c r="C3578" t="s">
        <v>5255</v>
      </c>
      <c r="D3578" t="s">
        <v>36</v>
      </c>
      <c r="E3578" t="s">
        <v>38</v>
      </c>
      <c r="F3578">
        <v>1777</v>
      </c>
      <c r="G3578">
        <v>533</v>
      </c>
      <c r="H3578" t="s">
        <v>381</v>
      </c>
      <c r="I3578" t="s">
        <v>39</v>
      </c>
      <c r="J3578" t="s">
        <v>5257</v>
      </c>
      <c r="K3578" t="s">
        <v>38</v>
      </c>
      <c r="L3578" t="s">
        <v>38</v>
      </c>
      <c r="M3578" t="s">
        <v>38</v>
      </c>
      <c r="N3578" t="s">
        <v>38</v>
      </c>
      <c r="O3578" t="s">
        <v>54</v>
      </c>
      <c r="P3578" t="s">
        <v>42</v>
      </c>
      <c r="Q3578" t="s">
        <v>43</v>
      </c>
      <c r="R3578" t="s">
        <v>38</v>
      </c>
      <c r="S3578" t="s">
        <v>38</v>
      </c>
      <c r="T3578" t="s">
        <v>38</v>
      </c>
      <c r="U3578" t="s">
        <v>38</v>
      </c>
      <c r="V3578" t="s">
        <v>740</v>
      </c>
      <c r="W3578" t="s">
        <v>92</v>
      </c>
      <c r="X3578" t="s">
        <v>38</v>
      </c>
      <c r="Y3578" t="s">
        <v>5274</v>
      </c>
      <c r="Z3578" t="s">
        <v>42</v>
      </c>
      <c r="AA3578" t="s">
        <v>38</v>
      </c>
      <c r="AB3578" t="s">
        <v>38</v>
      </c>
      <c r="AC3578" t="s">
        <v>2721</v>
      </c>
      <c r="AD3578" t="s">
        <v>48</v>
      </c>
      <c r="AG3578" t="str">
        <f>IF(AD3578="United States", IFERROR(INDEX(Sheet2!$C:$C, MATCH(AE3578&amp;AF3578, Sheet2!$E:$E, 0)) &amp; ", " &amp; INDEX(Sheet2!$D:$D, MATCH(AE3578&amp;AF3578, Sheet2!$E:$E, 0)), ""), "-")</f>
        <v/>
      </c>
    </row>
    <row r="3579" spans="1:33" x14ac:dyDescent="0.25">
      <c r="A3579" t="s">
        <v>5237</v>
      </c>
      <c r="B3579" t="s">
        <v>5275</v>
      </c>
      <c r="C3579" t="s">
        <v>5255</v>
      </c>
      <c r="D3579" t="s">
        <v>5276</v>
      </c>
      <c r="E3579" t="s">
        <v>38</v>
      </c>
      <c r="F3579">
        <v>1772</v>
      </c>
      <c r="G3579">
        <v>534</v>
      </c>
      <c r="H3579" t="s">
        <v>381</v>
      </c>
      <c r="I3579" t="s">
        <v>39</v>
      </c>
      <c r="J3579" t="s">
        <v>5257</v>
      </c>
      <c r="K3579" t="s">
        <v>38</v>
      </c>
      <c r="L3579" t="s">
        <v>38</v>
      </c>
      <c r="M3579" t="s">
        <v>38</v>
      </c>
      <c r="N3579" t="s">
        <v>38</v>
      </c>
      <c r="O3579" t="s">
        <v>74</v>
      </c>
      <c r="P3579" t="s">
        <v>42</v>
      </c>
      <c r="Q3579" t="s">
        <v>43</v>
      </c>
      <c r="R3579" t="s">
        <v>38</v>
      </c>
      <c r="S3579" t="s">
        <v>38</v>
      </c>
      <c r="T3579" t="s">
        <v>38</v>
      </c>
      <c r="U3579" t="s">
        <v>38</v>
      </c>
      <c r="V3579" t="s">
        <v>740</v>
      </c>
      <c r="W3579" t="s">
        <v>92</v>
      </c>
      <c r="X3579" t="s">
        <v>38</v>
      </c>
      <c r="Y3579" t="s">
        <v>5277</v>
      </c>
      <c r="Z3579" t="s">
        <v>42</v>
      </c>
      <c r="AA3579" t="s">
        <v>5276</v>
      </c>
      <c r="AB3579" t="s">
        <v>38</v>
      </c>
      <c r="AC3579" t="s">
        <v>2721</v>
      </c>
      <c r="AD3579" t="s">
        <v>48</v>
      </c>
      <c r="AG3579" t="str">
        <f>IF(AD3579="United States", IFERROR(INDEX(Sheet2!$C:$C, MATCH(AE3579&amp;AF3579, Sheet2!$E:$E, 0)) &amp; ", " &amp; INDEX(Sheet2!$D:$D, MATCH(AE3579&amp;AF3579, Sheet2!$E:$E, 0)), ""), "-")</f>
        <v/>
      </c>
    </row>
    <row r="3580" spans="1:33" x14ac:dyDescent="0.25">
      <c r="A3580" t="s">
        <v>5237</v>
      </c>
      <c r="D3580" t="s">
        <v>230</v>
      </c>
      <c r="E3580" t="s">
        <v>5278</v>
      </c>
      <c r="F3580">
        <v>1743</v>
      </c>
      <c r="G3580">
        <v>2866</v>
      </c>
      <c r="H3580">
        <v>86</v>
      </c>
      <c r="J3580" t="s">
        <v>1650</v>
      </c>
      <c r="O3580" t="s">
        <v>41</v>
      </c>
      <c r="V3580" t="s">
        <v>1619</v>
      </c>
      <c r="W3580" t="s">
        <v>92</v>
      </c>
      <c r="Y3580" t="s">
        <v>38</v>
      </c>
      <c r="AA3580" t="s">
        <v>38</v>
      </c>
      <c r="AB3580" t="s">
        <v>38</v>
      </c>
      <c r="AC3580" t="s">
        <v>38</v>
      </c>
      <c r="AD3580" t="s">
        <v>48</v>
      </c>
      <c r="AG3580" t="str">
        <f>IF(AD3580="United States", IFERROR(INDEX(Sheet2!$C:$C, MATCH(AE3580&amp;AF3580, Sheet2!$E:$E, 0)) &amp; ", " &amp; INDEX(Sheet2!$D:$D, MATCH(AE3580&amp;AF3580, Sheet2!$E:$E, 0)), ""), "-")</f>
        <v/>
      </c>
    </row>
    <row r="3581" spans="1:33" x14ac:dyDescent="0.25">
      <c r="A3581" t="s">
        <v>5237</v>
      </c>
      <c r="D3581" t="s">
        <v>245</v>
      </c>
      <c r="E3581" t="s">
        <v>5279</v>
      </c>
      <c r="F3581">
        <v>1757</v>
      </c>
      <c r="G3581">
        <v>2865</v>
      </c>
      <c r="H3581">
        <v>86</v>
      </c>
      <c r="J3581" t="s">
        <v>1650</v>
      </c>
      <c r="O3581" t="s">
        <v>57</v>
      </c>
      <c r="V3581" t="s">
        <v>1619</v>
      </c>
      <c r="W3581" t="s">
        <v>92</v>
      </c>
      <c r="Y3581" t="s">
        <v>38</v>
      </c>
      <c r="AA3581" t="s">
        <v>38</v>
      </c>
      <c r="AB3581" t="s">
        <v>38</v>
      </c>
      <c r="AC3581" t="s">
        <v>38</v>
      </c>
      <c r="AD3581" t="s">
        <v>48</v>
      </c>
      <c r="AG3581" t="str">
        <f>IF(AD3581="United States", IFERROR(INDEX(Sheet2!$C:$C, MATCH(AE3581&amp;AF3581, Sheet2!$E:$E, 0)) &amp; ", " &amp; INDEX(Sheet2!$D:$D, MATCH(AE3581&amp;AF3581, Sheet2!$E:$E, 0)), ""), "-")</f>
        <v/>
      </c>
    </row>
    <row r="3582" spans="1:33" x14ac:dyDescent="0.25">
      <c r="A3582" t="s">
        <v>5237</v>
      </c>
      <c r="D3582" t="s">
        <v>2493</v>
      </c>
      <c r="E3582" t="s">
        <v>2100</v>
      </c>
      <c r="F3582">
        <v>1755</v>
      </c>
      <c r="G3582">
        <v>2864</v>
      </c>
      <c r="H3582">
        <v>86</v>
      </c>
      <c r="J3582" t="s">
        <v>1650</v>
      </c>
      <c r="O3582" t="s">
        <v>57</v>
      </c>
      <c r="V3582" t="s">
        <v>1619</v>
      </c>
      <c r="W3582" t="s">
        <v>92</v>
      </c>
      <c r="Y3582" t="s">
        <v>38</v>
      </c>
      <c r="AA3582" t="s">
        <v>38</v>
      </c>
      <c r="AB3582" t="s">
        <v>38</v>
      </c>
      <c r="AC3582" t="s">
        <v>38</v>
      </c>
      <c r="AD3582" t="s">
        <v>48</v>
      </c>
      <c r="AG3582" t="str">
        <f>IF(AD3582="United States", IFERROR(INDEX(Sheet2!$C:$C, MATCH(AE3582&amp;AF3582, Sheet2!$E:$E, 0)) &amp; ", " &amp; INDEX(Sheet2!$D:$D, MATCH(AE3582&amp;AF3582, Sheet2!$E:$E, 0)), ""), "-")</f>
        <v/>
      </c>
    </row>
    <row r="3583" spans="1:33" x14ac:dyDescent="0.25">
      <c r="A3583" t="s">
        <v>5237</v>
      </c>
      <c r="D3583" t="s">
        <v>458</v>
      </c>
      <c r="E3583" t="s">
        <v>811</v>
      </c>
      <c r="F3583">
        <v>1733</v>
      </c>
      <c r="G3583">
        <v>2861</v>
      </c>
      <c r="H3583">
        <v>86</v>
      </c>
      <c r="J3583" t="s">
        <v>1650</v>
      </c>
      <c r="O3583" t="s">
        <v>41</v>
      </c>
      <c r="V3583" t="s">
        <v>1619</v>
      </c>
      <c r="W3583" t="s">
        <v>92</v>
      </c>
      <c r="Y3583" t="s">
        <v>38</v>
      </c>
      <c r="AA3583" t="s">
        <v>38</v>
      </c>
      <c r="AB3583" t="s">
        <v>38</v>
      </c>
      <c r="AC3583" t="s">
        <v>38</v>
      </c>
      <c r="AD3583" t="s">
        <v>48</v>
      </c>
      <c r="AG3583" t="str">
        <f>IF(AD3583="United States", IFERROR(INDEX(Sheet2!$C:$C, MATCH(AE3583&amp;AF3583, Sheet2!$E:$E, 0)) &amp; ", " &amp; INDEX(Sheet2!$D:$D, MATCH(AE3583&amp;AF3583, Sheet2!$E:$E, 0)), ""), "-")</f>
        <v/>
      </c>
    </row>
    <row r="3584" spans="1:33" x14ac:dyDescent="0.25">
      <c r="A3584" t="s">
        <v>5237</v>
      </c>
      <c r="D3584" t="s">
        <v>463</v>
      </c>
      <c r="E3584" t="s">
        <v>1635</v>
      </c>
      <c r="F3584">
        <v>1733</v>
      </c>
      <c r="G3584">
        <v>2859</v>
      </c>
      <c r="H3584">
        <v>86</v>
      </c>
      <c r="J3584" t="s">
        <v>1650</v>
      </c>
      <c r="O3584" t="s">
        <v>41</v>
      </c>
      <c r="V3584" t="s">
        <v>1619</v>
      </c>
      <c r="W3584" t="s">
        <v>92</v>
      </c>
      <c r="Y3584" t="s">
        <v>38</v>
      </c>
      <c r="AA3584" t="s">
        <v>38</v>
      </c>
      <c r="AB3584" t="s">
        <v>38</v>
      </c>
      <c r="AC3584" t="s">
        <v>38</v>
      </c>
      <c r="AD3584" t="s">
        <v>48</v>
      </c>
      <c r="AG3584" t="str">
        <f>IF(AD3584="United States", IFERROR(INDEX(Sheet2!$C:$C, MATCH(AE3584&amp;AF3584, Sheet2!$E:$E, 0)) &amp; ", " &amp; INDEX(Sheet2!$D:$D, MATCH(AE3584&amp;AF3584, Sheet2!$E:$E, 0)), ""), "-")</f>
        <v/>
      </c>
    </row>
    <row r="3585" spans="1:33" x14ac:dyDescent="0.25">
      <c r="A3585" t="s">
        <v>5237</v>
      </c>
      <c r="D3585" t="s">
        <v>980</v>
      </c>
      <c r="E3585" t="s">
        <v>5280</v>
      </c>
      <c r="F3585">
        <v>1753</v>
      </c>
      <c r="G3585">
        <v>2858</v>
      </c>
      <c r="H3585">
        <v>86</v>
      </c>
      <c r="J3585" t="s">
        <v>1650</v>
      </c>
      <c r="O3585" t="s">
        <v>57</v>
      </c>
      <c r="V3585" t="s">
        <v>1619</v>
      </c>
      <c r="W3585" t="s">
        <v>92</v>
      </c>
      <c r="Y3585" t="s">
        <v>38</v>
      </c>
      <c r="AA3585" t="s">
        <v>38</v>
      </c>
      <c r="AB3585" t="s">
        <v>38</v>
      </c>
      <c r="AC3585" t="s">
        <v>38</v>
      </c>
      <c r="AD3585" t="s">
        <v>48</v>
      </c>
      <c r="AG3585" t="str">
        <f>IF(AD3585="United States", IFERROR(INDEX(Sheet2!$C:$C, MATCH(AE3585&amp;AF3585, Sheet2!$E:$E, 0)) &amp; ", " &amp; INDEX(Sheet2!$D:$D, MATCH(AE3585&amp;AF3585, Sheet2!$E:$E, 0)), ""), "-")</f>
        <v/>
      </c>
    </row>
    <row r="3586" spans="1:33" x14ac:dyDescent="0.25">
      <c r="A3586" t="s">
        <v>5237</v>
      </c>
      <c r="D3586" t="s">
        <v>3110</v>
      </c>
      <c r="E3586" t="s">
        <v>5280</v>
      </c>
      <c r="F3586">
        <v>1750</v>
      </c>
      <c r="G3586">
        <v>2857</v>
      </c>
      <c r="H3586">
        <v>86</v>
      </c>
      <c r="J3586" t="s">
        <v>1650</v>
      </c>
      <c r="O3586" t="s">
        <v>41</v>
      </c>
      <c r="V3586" t="s">
        <v>1619</v>
      </c>
      <c r="W3586" t="s">
        <v>92</v>
      </c>
      <c r="Y3586" t="s">
        <v>38</v>
      </c>
      <c r="AA3586" t="s">
        <v>38</v>
      </c>
      <c r="AB3586" t="s">
        <v>38</v>
      </c>
      <c r="AC3586" t="s">
        <v>38</v>
      </c>
      <c r="AD3586" t="s">
        <v>48</v>
      </c>
      <c r="AG3586" t="str">
        <f>IF(AD3586="United States", IFERROR(INDEX(Sheet2!$C:$C, MATCH(AE3586&amp;AF3586, Sheet2!$E:$E, 0)) &amp; ", " &amp; INDEX(Sheet2!$D:$D, MATCH(AE3586&amp;AF3586, Sheet2!$E:$E, 0)), ""), "-")</f>
        <v/>
      </c>
    </row>
    <row r="3587" spans="1:33" x14ac:dyDescent="0.25">
      <c r="A3587" t="s">
        <v>5237</v>
      </c>
      <c r="D3587" t="s">
        <v>245</v>
      </c>
      <c r="E3587" t="s">
        <v>1684</v>
      </c>
      <c r="F3587">
        <v>1774</v>
      </c>
      <c r="G3587">
        <v>2856</v>
      </c>
      <c r="H3587">
        <v>86</v>
      </c>
      <c r="J3587" t="s">
        <v>1650</v>
      </c>
      <c r="O3587" t="s">
        <v>74</v>
      </c>
      <c r="V3587" t="s">
        <v>1619</v>
      </c>
      <c r="W3587" t="s">
        <v>92</v>
      </c>
      <c r="Y3587" t="s">
        <v>38</v>
      </c>
      <c r="AA3587" t="s">
        <v>38</v>
      </c>
      <c r="AB3587" t="s">
        <v>38</v>
      </c>
      <c r="AC3587" t="s">
        <v>38</v>
      </c>
      <c r="AD3587" t="s">
        <v>48</v>
      </c>
      <c r="AG3587" t="str">
        <f>IF(AD3587="United States", IFERROR(INDEX(Sheet2!$C:$C, MATCH(AE3587&amp;AF3587, Sheet2!$E:$E, 0)) &amp; ", " &amp; INDEX(Sheet2!$D:$D, MATCH(AE3587&amp;AF3587, Sheet2!$E:$E, 0)), ""), "-")</f>
        <v/>
      </c>
    </row>
    <row r="3588" spans="1:33" x14ac:dyDescent="0.25">
      <c r="A3588" t="s">
        <v>5237</v>
      </c>
      <c r="D3588" t="s">
        <v>834</v>
      </c>
      <c r="E3588" t="s">
        <v>1684</v>
      </c>
      <c r="F3588">
        <v>1733</v>
      </c>
      <c r="G3588">
        <v>2855</v>
      </c>
      <c r="H3588">
        <v>86</v>
      </c>
      <c r="J3588" t="s">
        <v>1650</v>
      </c>
      <c r="O3588" t="s">
        <v>57</v>
      </c>
      <c r="V3588" t="s">
        <v>1619</v>
      </c>
      <c r="W3588" t="s">
        <v>92</v>
      </c>
      <c r="Y3588" t="s">
        <v>38</v>
      </c>
      <c r="AA3588" t="s">
        <v>38</v>
      </c>
      <c r="AB3588" t="s">
        <v>38</v>
      </c>
      <c r="AC3588" t="s">
        <v>38</v>
      </c>
      <c r="AD3588" t="s">
        <v>48</v>
      </c>
      <c r="AG3588" t="str">
        <f>IF(AD3588="United States", IFERROR(INDEX(Sheet2!$C:$C, MATCH(AE3588&amp;AF3588, Sheet2!$E:$E, 0)) &amp; ", " &amp; INDEX(Sheet2!$D:$D, MATCH(AE3588&amp;AF3588, Sheet2!$E:$E, 0)), ""), "-")</f>
        <v/>
      </c>
    </row>
    <row r="3589" spans="1:33" x14ac:dyDescent="0.25">
      <c r="A3589" t="s">
        <v>5237</v>
      </c>
      <c r="D3589" t="s">
        <v>513</v>
      </c>
      <c r="E3589" t="s">
        <v>1684</v>
      </c>
      <c r="F3589">
        <v>1713</v>
      </c>
      <c r="G3589">
        <v>2854</v>
      </c>
      <c r="H3589">
        <v>86</v>
      </c>
      <c r="J3589" t="s">
        <v>1650</v>
      </c>
      <c r="O3589" t="s">
        <v>41</v>
      </c>
      <c r="V3589" t="s">
        <v>1619</v>
      </c>
      <c r="W3589" t="s">
        <v>92</v>
      </c>
      <c r="Y3589" t="s">
        <v>38</v>
      </c>
      <c r="AA3589" t="s">
        <v>38</v>
      </c>
      <c r="AB3589" t="s">
        <v>38</v>
      </c>
      <c r="AC3589" t="s">
        <v>38</v>
      </c>
      <c r="AD3589" t="s">
        <v>48</v>
      </c>
      <c r="AG3589" t="str">
        <f>IF(AD3589="United States", IFERROR(INDEX(Sheet2!$C:$C, MATCH(AE3589&amp;AF3589, Sheet2!$E:$E, 0)) &amp; ", " &amp; INDEX(Sheet2!$D:$D, MATCH(AE3589&amp;AF3589, Sheet2!$E:$E, 0)), ""), "-")</f>
        <v/>
      </c>
    </row>
    <row r="3590" spans="1:33" x14ac:dyDescent="0.25">
      <c r="A3590" t="s">
        <v>5237</v>
      </c>
      <c r="D3590" t="s">
        <v>361</v>
      </c>
      <c r="E3590" t="s">
        <v>5281</v>
      </c>
      <c r="F3590">
        <v>1760</v>
      </c>
      <c r="G3590">
        <v>2853</v>
      </c>
      <c r="H3590">
        <v>85</v>
      </c>
      <c r="J3590" t="s">
        <v>1650</v>
      </c>
      <c r="O3590" t="s">
        <v>41</v>
      </c>
      <c r="V3590" t="s">
        <v>1619</v>
      </c>
      <c r="W3590" t="s">
        <v>92</v>
      </c>
      <c r="Y3590" t="s">
        <v>38</v>
      </c>
      <c r="AA3590" t="s">
        <v>38</v>
      </c>
      <c r="AB3590" t="s">
        <v>38</v>
      </c>
      <c r="AC3590" t="s">
        <v>38</v>
      </c>
      <c r="AD3590" t="s">
        <v>48</v>
      </c>
      <c r="AG3590" t="str">
        <f>IF(AD3590="United States", IFERROR(INDEX(Sheet2!$C:$C, MATCH(AE3590&amp;AF3590, Sheet2!$E:$E, 0)) &amp; ", " &amp; INDEX(Sheet2!$D:$D, MATCH(AE3590&amp;AF3590, Sheet2!$E:$E, 0)), ""), "-")</f>
        <v/>
      </c>
    </row>
    <row r="3591" spans="1:33" x14ac:dyDescent="0.25">
      <c r="A3591" t="s">
        <v>5237</v>
      </c>
      <c r="D3591" t="s">
        <v>650</v>
      </c>
      <c r="E3591" t="s">
        <v>5252</v>
      </c>
      <c r="F3591">
        <v>1733</v>
      </c>
      <c r="G3591">
        <v>2852</v>
      </c>
      <c r="H3591">
        <v>85</v>
      </c>
      <c r="J3591" t="s">
        <v>1650</v>
      </c>
      <c r="O3591" t="s">
        <v>57</v>
      </c>
      <c r="V3591" t="s">
        <v>1619</v>
      </c>
      <c r="W3591" t="s">
        <v>92</v>
      </c>
      <c r="Y3591" t="s">
        <v>38</v>
      </c>
      <c r="AA3591" t="s">
        <v>38</v>
      </c>
      <c r="AB3591" t="s">
        <v>38</v>
      </c>
      <c r="AC3591" t="s">
        <v>38</v>
      </c>
      <c r="AD3591" t="s">
        <v>48</v>
      </c>
      <c r="AG3591" t="str">
        <f>IF(AD3591="United States", IFERROR(INDEX(Sheet2!$C:$C, MATCH(AE3591&amp;AF3591, Sheet2!$E:$E, 0)) &amp; ", " &amp; INDEX(Sheet2!$D:$D, MATCH(AE3591&amp;AF3591, Sheet2!$E:$E, 0)), ""), "-")</f>
        <v/>
      </c>
    </row>
    <row r="3592" spans="1:33" x14ac:dyDescent="0.25">
      <c r="A3592" t="s">
        <v>5237</v>
      </c>
      <c r="D3592" t="s">
        <v>177</v>
      </c>
      <c r="E3592" t="s">
        <v>5243</v>
      </c>
      <c r="F3592">
        <v>1764</v>
      </c>
      <c r="G3592">
        <v>2849</v>
      </c>
      <c r="H3592">
        <v>85</v>
      </c>
      <c r="J3592" t="s">
        <v>1650</v>
      </c>
      <c r="O3592" t="s">
        <v>41</v>
      </c>
      <c r="V3592" t="s">
        <v>1619</v>
      </c>
      <c r="W3592" t="s">
        <v>92</v>
      </c>
      <c r="Y3592" t="s">
        <v>38</v>
      </c>
      <c r="AA3592" t="s">
        <v>38</v>
      </c>
      <c r="AB3592" t="s">
        <v>38</v>
      </c>
      <c r="AC3592" t="s">
        <v>38</v>
      </c>
      <c r="AD3592" t="s">
        <v>48</v>
      </c>
      <c r="AG3592" t="str">
        <f>IF(AD3592="United States", IFERROR(INDEX(Sheet2!$C:$C, MATCH(AE3592&amp;AF3592, Sheet2!$E:$E, 0)) &amp; ", " &amp; INDEX(Sheet2!$D:$D, MATCH(AE3592&amp;AF3592, Sheet2!$E:$E, 0)), ""), "-")</f>
        <v/>
      </c>
    </row>
    <row r="3593" spans="1:33" x14ac:dyDescent="0.25">
      <c r="A3593" t="s">
        <v>5237</v>
      </c>
      <c r="D3593" t="s">
        <v>691</v>
      </c>
      <c r="E3593" t="s">
        <v>5282</v>
      </c>
      <c r="F3593">
        <v>1723</v>
      </c>
      <c r="G3593">
        <v>2848</v>
      </c>
      <c r="H3593">
        <v>85</v>
      </c>
      <c r="J3593" t="s">
        <v>1650</v>
      </c>
      <c r="O3593" t="s">
        <v>41</v>
      </c>
      <c r="V3593" t="s">
        <v>1619</v>
      </c>
      <c r="W3593" t="s">
        <v>92</v>
      </c>
      <c r="Y3593" t="s">
        <v>38</v>
      </c>
      <c r="AA3593" t="s">
        <v>38</v>
      </c>
      <c r="AB3593" t="s">
        <v>38</v>
      </c>
      <c r="AC3593" t="s">
        <v>38</v>
      </c>
      <c r="AD3593" t="s">
        <v>48</v>
      </c>
      <c r="AG3593" t="str">
        <f>IF(AD3593="United States", IFERROR(INDEX(Sheet2!$C:$C, MATCH(AE3593&amp;AF3593, Sheet2!$E:$E, 0)) &amp; ", " &amp; INDEX(Sheet2!$D:$D, MATCH(AE3593&amp;AF3593, Sheet2!$E:$E, 0)), ""), "-")</f>
        <v/>
      </c>
    </row>
    <row r="3594" spans="1:33" x14ac:dyDescent="0.25">
      <c r="A3594" t="s">
        <v>5237</v>
      </c>
      <c r="D3594" t="s">
        <v>1164</v>
      </c>
      <c r="E3594" t="s">
        <v>5283</v>
      </c>
      <c r="F3594">
        <v>1774</v>
      </c>
      <c r="G3594">
        <v>2847</v>
      </c>
      <c r="H3594">
        <v>85</v>
      </c>
      <c r="J3594" t="s">
        <v>1650</v>
      </c>
      <c r="O3594" t="s">
        <v>74</v>
      </c>
      <c r="V3594" t="s">
        <v>1619</v>
      </c>
      <c r="W3594" t="s">
        <v>92</v>
      </c>
      <c r="Y3594" t="s">
        <v>38</v>
      </c>
      <c r="AA3594" t="s">
        <v>38</v>
      </c>
      <c r="AB3594" t="s">
        <v>38</v>
      </c>
      <c r="AC3594" t="s">
        <v>38</v>
      </c>
      <c r="AD3594" t="s">
        <v>48</v>
      </c>
      <c r="AG3594" t="str">
        <f>IF(AD3594="United States", IFERROR(INDEX(Sheet2!$C:$C, MATCH(AE3594&amp;AF3594, Sheet2!$E:$E, 0)) &amp; ", " &amp; INDEX(Sheet2!$D:$D, MATCH(AE3594&amp;AF3594, Sheet2!$E:$E, 0)), ""), "-")</f>
        <v/>
      </c>
    </row>
    <row r="3595" spans="1:33" x14ac:dyDescent="0.25">
      <c r="A3595" t="s">
        <v>5237</v>
      </c>
      <c r="D3595" t="s">
        <v>495</v>
      </c>
      <c r="E3595" t="s">
        <v>5283</v>
      </c>
      <c r="F3595">
        <v>1754</v>
      </c>
      <c r="G3595">
        <v>2846</v>
      </c>
      <c r="H3595">
        <v>85</v>
      </c>
      <c r="J3595" t="s">
        <v>1650</v>
      </c>
      <c r="O3595" t="s">
        <v>57</v>
      </c>
      <c r="V3595" t="s">
        <v>1619</v>
      </c>
      <c r="W3595" t="s">
        <v>92</v>
      </c>
      <c r="Y3595" t="s">
        <v>38</v>
      </c>
      <c r="AA3595" t="s">
        <v>38</v>
      </c>
      <c r="AB3595" t="s">
        <v>38</v>
      </c>
      <c r="AC3595" t="s">
        <v>38</v>
      </c>
      <c r="AD3595" t="s">
        <v>48</v>
      </c>
      <c r="AG3595" t="str">
        <f>IF(AD3595="United States", IFERROR(INDEX(Sheet2!$C:$C, MATCH(AE3595&amp;AF3595, Sheet2!$E:$E, 0)) &amp; ", " &amp; INDEX(Sheet2!$D:$D, MATCH(AE3595&amp;AF3595, Sheet2!$E:$E, 0)), ""), "-")</f>
        <v/>
      </c>
    </row>
    <row r="3596" spans="1:33" x14ac:dyDescent="0.25">
      <c r="A3596" t="s">
        <v>5237</v>
      </c>
      <c r="D3596" t="s">
        <v>615</v>
      </c>
      <c r="E3596" t="s">
        <v>5283</v>
      </c>
      <c r="F3596">
        <v>1744</v>
      </c>
      <c r="G3596">
        <v>2845</v>
      </c>
      <c r="H3596">
        <v>85</v>
      </c>
      <c r="J3596" t="s">
        <v>1650</v>
      </c>
      <c r="O3596" t="s">
        <v>41</v>
      </c>
      <c r="V3596" t="s">
        <v>1619</v>
      </c>
      <c r="W3596" t="s">
        <v>92</v>
      </c>
      <c r="Y3596" t="s">
        <v>38</v>
      </c>
      <c r="AA3596" t="s">
        <v>38</v>
      </c>
      <c r="AB3596" t="s">
        <v>38</v>
      </c>
      <c r="AC3596" t="s">
        <v>38</v>
      </c>
      <c r="AD3596" t="s">
        <v>48</v>
      </c>
      <c r="AG3596" t="str">
        <f>IF(AD3596="United States", IFERROR(INDEX(Sheet2!$C:$C, MATCH(AE3596&amp;AF3596, Sheet2!$E:$E, 0)) &amp; ", " &amp; INDEX(Sheet2!$D:$D, MATCH(AE3596&amp;AF3596, Sheet2!$E:$E, 0)), ""), "-")</f>
        <v/>
      </c>
    </row>
    <row r="3597" spans="1:33" x14ac:dyDescent="0.25">
      <c r="A3597" t="s">
        <v>5237</v>
      </c>
      <c r="D3597" t="s">
        <v>63</v>
      </c>
      <c r="E3597" t="s">
        <v>1513</v>
      </c>
      <c r="F3597">
        <v>1733</v>
      </c>
      <c r="G3597">
        <v>2844</v>
      </c>
      <c r="H3597">
        <v>85</v>
      </c>
      <c r="J3597" t="s">
        <v>1650</v>
      </c>
      <c r="O3597" t="s">
        <v>41</v>
      </c>
      <c r="V3597" t="s">
        <v>1619</v>
      </c>
      <c r="W3597" t="s">
        <v>92</v>
      </c>
      <c r="Y3597" t="s">
        <v>38</v>
      </c>
      <c r="AA3597" t="s">
        <v>38</v>
      </c>
      <c r="AB3597" t="s">
        <v>38</v>
      </c>
      <c r="AC3597" t="s">
        <v>38</v>
      </c>
      <c r="AD3597" t="s">
        <v>48</v>
      </c>
      <c r="AG3597" t="str">
        <f>IF(AD3597="United States", IFERROR(INDEX(Sheet2!$C:$C, MATCH(AE3597&amp;AF3597, Sheet2!$E:$E, 0)) &amp; ", " &amp; INDEX(Sheet2!$D:$D, MATCH(AE3597&amp;AF3597, Sheet2!$E:$E, 0)), ""), "-")</f>
        <v/>
      </c>
    </row>
    <row r="3598" spans="1:33" x14ac:dyDescent="0.25">
      <c r="A3598" t="s">
        <v>5237</v>
      </c>
      <c r="D3598" t="s">
        <v>803</v>
      </c>
      <c r="E3598" t="s">
        <v>2943</v>
      </c>
      <c r="F3598">
        <v>1771</v>
      </c>
      <c r="G3598">
        <v>2843</v>
      </c>
      <c r="H3598">
        <v>85</v>
      </c>
      <c r="J3598" t="s">
        <v>1650</v>
      </c>
      <c r="O3598" t="s">
        <v>74</v>
      </c>
      <c r="V3598" t="s">
        <v>1619</v>
      </c>
      <c r="W3598" t="s">
        <v>92</v>
      </c>
      <c r="Y3598" t="s">
        <v>38</v>
      </c>
      <c r="AA3598" t="s">
        <v>38</v>
      </c>
      <c r="AB3598" t="s">
        <v>38</v>
      </c>
      <c r="AC3598" t="s">
        <v>38</v>
      </c>
      <c r="AD3598" t="s">
        <v>48</v>
      </c>
      <c r="AG3598" t="str">
        <f>IF(AD3598="United States", IFERROR(INDEX(Sheet2!$C:$C, MATCH(AE3598&amp;AF3598, Sheet2!$E:$E, 0)) &amp; ", " &amp; INDEX(Sheet2!$D:$D, MATCH(AE3598&amp;AF3598, Sheet2!$E:$E, 0)), ""), "-")</f>
        <v/>
      </c>
    </row>
    <row r="3599" spans="1:33" x14ac:dyDescent="0.25">
      <c r="A3599" t="s">
        <v>5237</v>
      </c>
      <c r="D3599" t="s">
        <v>5284</v>
      </c>
      <c r="E3599" t="s">
        <v>5251</v>
      </c>
      <c r="F3599">
        <v>1775</v>
      </c>
      <c r="G3599">
        <v>2840</v>
      </c>
      <c r="H3599">
        <v>85</v>
      </c>
      <c r="J3599" t="s">
        <v>1650</v>
      </c>
      <c r="O3599" t="s">
        <v>74</v>
      </c>
      <c r="V3599" t="s">
        <v>1619</v>
      </c>
      <c r="W3599" t="s">
        <v>92</v>
      </c>
      <c r="Y3599" t="s">
        <v>38</v>
      </c>
      <c r="AA3599" t="s">
        <v>38</v>
      </c>
      <c r="AB3599" t="s">
        <v>38</v>
      </c>
      <c r="AC3599" t="s">
        <v>38</v>
      </c>
      <c r="AD3599" t="s">
        <v>48</v>
      </c>
      <c r="AG3599" t="str">
        <f>IF(AD3599="United States", IFERROR(INDEX(Sheet2!$C:$C, MATCH(AE3599&amp;AF3599, Sheet2!$E:$E, 0)) &amp; ", " &amp; INDEX(Sheet2!$D:$D, MATCH(AE3599&amp;AF3599, Sheet2!$E:$E, 0)), ""), "-")</f>
        <v/>
      </c>
    </row>
    <row r="3600" spans="1:33" x14ac:dyDescent="0.25">
      <c r="A3600" t="s">
        <v>5237</v>
      </c>
      <c r="D3600" t="s">
        <v>463</v>
      </c>
      <c r="E3600" t="s">
        <v>275</v>
      </c>
      <c r="F3600">
        <v>1729</v>
      </c>
      <c r="G3600">
        <v>2798</v>
      </c>
      <c r="H3600">
        <v>84</v>
      </c>
      <c r="J3600" t="s">
        <v>1650</v>
      </c>
      <c r="O3600" t="s">
        <v>41</v>
      </c>
      <c r="V3600" t="s">
        <v>1619</v>
      </c>
      <c r="W3600" t="s">
        <v>92</v>
      </c>
      <c r="Y3600" t="s">
        <v>38</v>
      </c>
      <c r="AA3600" t="s">
        <v>38</v>
      </c>
      <c r="AB3600" t="s">
        <v>38</v>
      </c>
      <c r="AC3600" t="s">
        <v>38</v>
      </c>
      <c r="AD3600" t="s">
        <v>48</v>
      </c>
      <c r="AG3600" t="str">
        <f>IF(AD3600="United States", IFERROR(INDEX(Sheet2!$C:$C, MATCH(AE3600&amp;AF3600, Sheet2!$E:$E, 0)) &amp; ", " &amp; INDEX(Sheet2!$D:$D, MATCH(AE3600&amp;AF3600, Sheet2!$E:$E, 0)), ""), "-")</f>
        <v/>
      </c>
    </row>
    <row r="3601" spans="1:33" x14ac:dyDescent="0.25">
      <c r="A3601" t="s">
        <v>5237</v>
      </c>
      <c r="D3601" t="s">
        <v>5090</v>
      </c>
      <c r="E3601" t="s">
        <v>1377</v>
      </c>
      <c r="F3601">
        <v>1757</v>
      </c>
      <c r="G3601">
        <v>2827</v>
      </c>
      <c r="H3601">
        <v>85</v>
      </c>
      <c r="J3601" t="s">
        <v>1650</v>
      </c>
      <c r="O3601" t="s">
        <v>57</v>
      </c>
      <c r="V3601" t="s">
        <v>1619</v>
      </c>
      <c r="W3601" t="s">
        <v>92</v>
      </c>
      <c r="Y3601" t="s">
        <v>38</v>
      </c>
      <c r="AA3601" t="s">
        <v>38</v>
      </c>
      <c r="AB3601" t="s">
        <v>38</v>
      </c>
      <c r="AC3601" t="s">
        <v>38</v>
      </c>
      <c r="AD3601" t="s">
        <v>48</v>
      </c>
      <c r="AG3601" t="str">
        <f>IF(AD3601="United States", IFERROR(INDEX(Sheet2!$C:$C, MATCH(AE3601&amp;AF3601, Sheet2!$E:$E, 0)) &amp; ", " &amp; INDEX(Sheet2!$D:$D, MATCH(AE3601&amp;AF3601, Sheet2!$E:$E, 0)), ""), "-")</f>
        <v/>
      </c>
    </row>
    <row r="3602" spans="1:33" x14ac:dyDescent="0.25">
      <c r="A3602" t="s">
        <v>5237</v>
      </c>
      <c r="D3602" t="s">
        <v>1966</v>
      </c>
      <c r="E3602" t="s">
        <v>646</v>
      </c>
      <c r="F3602">
        <v>1758</v>
      </c>
      <c r="G3602">
        <v>2796</v>
      </c>
      <c r="H3602">
        <v>84</v>
      </c>
      <c r="J3602" t="s">
        <v>1650</v>
      </c>
      <c r="O3602" t="s">
        <v>57</v>
      </c>
      <c r="V3602" t="s">
        <v>1619</v>
      </c>
      <c r="W3602" t="s">
        <v>92</v>
      </c>
      <c r="Y3602" t="s">
        <v>38</v>
      </c>
      <c r="AA3602" t="s">
        <v>38</v>
      </c>
      <c r="AB3602" t="s">
        <v>38</v>
      </c>
      <c r="AC3602" t="s">
        <v>38</v>
      </c>
      <c r="AD3602" t="s">
        <v>48</v>
      </c>
      <c r="AG3602" t="str">
        <f>IF(AD3602="United States", IFERROR(INDEX(Sheet2!$C:$C, MATCH(AE3602&amp;AF3602, Sheet2!$E:$E, 0)) &amp; ", " &amp; INDEX(Sheet2!$D:$D, MATCH(AE3602&amp;AF3602, Sheet2!$E:$E, 0)), ""), "-")</f>
        <v/>
      </c>
    </row>
    <row r="3603" spans="1:33" x14ac:dyDescent="0.25">
      <c r="A3603" t="s">
        <v>5237</v>
      </c>
      <c r="D3603" t="s">
        <v>834</v>
      </c>
      <c r="E3603" t="s">
        <v>633</v>
      </c>
      <c r="F3603">
        <v>1778</v>
      </c>
      <c r="G3603">
        <v>2772</v>
      </c>
      <c r="H3603">
        <v>84</v>
      </c>
      <c r="J3603" t="s">
        <v>1650</v>
      </c>
      <c r="O3603" t="s">
        <v>74</v>
      </c>
      <c r="V3603" t="s">
        <v>1619</v>
      </c>
      <c r="W3603" t="s">
        <v>92</v>
      </c>
      <c r="Y3603" t="s">
        <v>38</v>
      </c>
      <c r="AA3603" t="s">
        <v>38</v>
      </c>
      <c r="AB3603" t="s">
        <v>38</v>
      </c>
      <c r="AC3603" t="s">
        <v>38</v>
      </c>
      <c r="AD3603" t="s">
        <v>48</v>
      </c>
      <c r="AG3603" t="str">
        <f>IF(AD3603="United States", IFERROR(INDEX(Sheet2!$C:$C, MATCH(AE3603&amp;AF3603, Sheet2!$E:$E, 0)) &amp; ", " &amp; INDEX(Sheet2!$D:$D, MATCH(AE3603&amp;AF3603, Sheet2!$E:$E, 0)), ""), "-")</f>
        <v/>
      </c>
    </row>
    <row r="3604" spans="1:33" x14ac:dyDescent="0.25">
      <c r="A3604" t="s">
        <v>5237</v>
      </c>
      <c r="D3604" t="s">
        <v>803</v>
      </c>
      <c r="E3604" t="s">
        <v>633</v>
      </c>
      <c r="F3604">
        <v>1753</v>
      </c>
      <c r="G3604">
        <v>2771</v>
      </c>
      <c r="H3604">
        <v>84</v>
      </c>
      <c r="J3604" t="s">
        <v>1650</v>
      </c>
      <c r="O3604" t="s">
        <v>57</v>
      </c>
      <c r="V3604" t="s">
        <v>1619</v>
      </c>
      <c r="W3604" t="s">
        <v>92</v>
      </c>
      <c r="Y3604" t="s">
        <v>38</v>
      </c>
      <c r="AA3604" t="s">
        <v>38</v>
      </c>
      <c r="AB3604" t="s">
        <v>38</v>
      </c>
      <c r="AC3604" t="s">
        <v>38</v>
      </c>
      <c r="AD3604" t="s">
        <v>48</v>
      </c>
      <c r="AG3604" t="str">
        <f>IF(AD3604="United States", IFERROR(INDEX(Sheet2!$C:$C, MATCH(AE3604&amp;AF3604, Sheet2!$E:$E, 0)) &amp; ", " &amp; INDEX(Sheet2!$D:$D, MATCH(AE3604&amp;AF3604, Sheet2!$E:$E, 0)), ""), "-")</f>
        <v/>
      </c>
    </row>
    <row r="3605" spans="1:33" x14ac:dyDescent="0.25">
      <c r="A3605" t="s">
        <v>5237</v>
      </c>
      <c r="D3605" t="s">
        <v>1515</v>
      </c>
      <c r="E3605" t="s">
        <v>5285</v>
      </c>
      <c r="F3605">
        <v>1756</v>
      </c>
      <c r="G3605">
        <v>2769</v>
      </c>
      <c r="H3605">
        <v>84</v>
      </c>
      <c r="J3605" t="s">
        <v>1650</v>
      </c>
      <c r="O3605" t="s">
        <v>41</v>
      </c>
      <c r="V3605" t="s">
        <v>1619</v>
      </c>
      <c r="W3605" t="s">
        <v>92</v>
      </c>
      <c r="Y3605" t="s">
        <v>38</v>
      </c>
      <c r="AA3605" t="s">
        <v>38</v>
      </c>
      <c r="AB3605" t="s">
        <v>38</v>
      </c>
      <c r="AC3605" t="s">
        <v>38</v>
      </c>
      <c r="AD3605" t="s">
        <v>48</v>
      </c>
      <c r="AG3605" t="str">
        <f>IF(AD3605="United States", IFERROR(INDEX(Sheet2!$C:$C, MATCH(AE3605&amp;AF3605, Sheet2!$E:$E, 0)) &amp; ", " &amp; INDEX(Sheet2!$D:$D, MATCH(AE3605&amp;AF3605, Sheet2!$E:$E, 0)), ""), "-")</f>
        <v/>
      </c>
    </row>
    <row r="3606" spans="1:33" x14ac:dyDescent="0.25">
      <c r="A3606" t="s">
        <v>5237</v>
      </c>
      <c r="D3606" t="s">
        <v>1683</v>
      </c>
      <c r="E3606" t="s">
        <v>1654</v>
      </c>
      <c r="F3606">
        <v>1723</v>
      </c>
      <c r="G3606">
        <v>2755</v>
      </c>
      <c r="H3606">
        <v>83</v>
      </c>
      <c r="J3606" t="s">
        <v>1650</v>
      </c>
      <c r="O3606" t="s">
        <v>57</v>
      </c>
      <c r="V3606" t="s">
        <v>1619</v>
      </c>
      <c r="W3606" t="s">
        <v>92</v>
      </c>
      <c r="Y3606" t="s">
        <v>38</v>
      </c>
      <c r="AA3606" t="s">
        <v>38</v>
      </c>
      <c r="AB3606" t="s">
        <v>38</v>
      </c>
      <c r="AC3606" t="s">
        <v>38</v>
      </c>
      <c r="AD3606" t="s">
        <v>48</v>
      </c>
      <c r="AG3606" t="str">
        <f>IF(AD3606="United States", IFERROR(INDEX(Sheet2!$C:$C, MATCH(AE3606&amp;AF3606, Sheet2!$E:$E, 0)) &amp; ", " &amp; INDEX(Sheet2!$D:$D, MATCH(AE3606&amp;AF3606, Sheet2!$E:$E, 0)), ""), "-")</f>
        <v/>
      </c>
    </row>
    <row r="3607" spans="1:33" x14ac:dyDescent="0.25">
      <c r="A3607" t="s">
        <v>5237</v>
      </c>
      <c r="D3607" t="s">
        <v>1164</v>
      </c>
      <c r="E3607" t="s">
        <v>5241</v>
      </c>
      <c r="F3607">
        <v>1776</v>
      </c>
      <c r="G3607">
        <v>2767</v>
      </c>
      <c r="H3607">
        <v>84</v>
      </c>
      <c r="J3607" t="s">
        <v>1650</v>
      </c>
      <c r="O3607" t="s">
        <v>74</v>
      </c>
      <c r="V3607" t="s">
        <v>1619</v>
      </c>
      <c r="W3607" t="s">
        <v>92</v>
      </c>
      <c r="Y3607" t="s">
        <v>38</v>
      </c>
      <c r="AA3607" t="s">
        <v>38</v>
      </c>
      <c r="AB3607" t="s">
        <v>38</v>
      </c>
      <c r="AC3607" t="s">
        <v>38</v>
      </c>
      <c r="AD3607" t="s">
        <v>48</v>
      </c>
      <c r="AG3607" t="str">
        <f>IF(AD3607="United States", IFERROR(INDEX(Sheet2!$C:$C, MATCH(AE3607&amp;AF3607, Sheet2!$E:$E, 0)) &amp; ", " &amp; INDEX(Sheet2!$D:$D, MATCH(AE3607&amp;AF3607, Sheet2!$E:$E, 0)), ""), "-")</f>
        <v/>
      </c>
    </row>
    <row r="3608" spans="1:33" x14ac:dyDescent="0.25">
      <c r="A3608" t="s">
        <v>5237</v>
      </c>
      <c r="D3608" t="s">
        <v>5286</v>
      </c>
      <c r="E3608" t="s">
        <v>5241</v>
      </c>
      <c r="F3608">
        <v>1771</v>
      </c>
      <c r="G3608">
        <v>2766</v>
      </c>
      <c r="H3608">
        <v>84</v>
      </c>
      <c r="J3608" t="s">
        <v>1650</v>
      </c>
      <c r="O3608" t="s">
        <v>54</v>
      </c>
      <c r="V3608" t="s">
        <v>1619</v>
      </c>
      <c r="W3608" t="s">
        <v>92</v>
      </c>
      <c r="Y3608" t="s">
        <v>38</v>
      </c>
      <c r="AA3608" t="s">
        <v>38</v>
      </c>
      <c r="AB3608" t="s">
        <v>38</v>
      </c>
      <c r="AC3608" t="s">
        <v>38</v>
      </c>
      <c r="AD3608" t="s">
        <v>48</v>
      </c>
      <c r="AG3608" t="str">
        <f>IF(AD3608="United States", IFERROR(INDEX(Sheet2!$C:$C, MATCH(AE3608&amp;AF3608, Sheet2!$E:$E, 0)) &amp; ", " &amp; INDEX(Sheet2!$D:$D, MATCH(AE3608&amp;AF3608, Sheet2!$E:$E, 0)), ""), "-")</f>
        <v/>
      </c>
    </row>
    <row r="3609" spans="1:33" x14ac:dyDescent="0.25">
      <c r="A3609" t="s">
        <v>5237</v>
      </c>
      <c r="D3609" t="s">
        <v>1003</v>
      </c>
      <c r="E3609" t="s">
        <v>5241</v>
      </c>
      <c r="F3609">
        <v>1753</v>
      </c>
      <c r="G3609">
        <v>2765</v>
      </c>
      <c r="H3609">
        <v>84</v>
      </c>
      <c r="J3609" t="s">
        <v>1650</v>
      </c>
      <c r="O3609" t="s">
        <v>57</v>
      </c>
      <c r="V3609" t="s">
        <v>1619</v>
      </c>
      <c r="W3609" t="s">
        <v>92</v>
      </c>
      <c r="Y3609" t="s">
        <v>38</v>
      </c>
      <c r="AA3609" t="s">
        <v>38</v>
      </c>
      <c r="AB3609" t="s">
        <v>38</v>
      </c>
      <c r="AC3609" t="s">
        <v>38</v>
      </c>
      <c r="AD3609" t="s">
        <v>48</v>
      </c>
      <c r="AG3609" t="str">
        <f>IF(AD3609="United States", IFERROR(INDEX(Sheet2!$C:$C, MATCH(AE3609&amp;AF3609, Sheet2!$E:$E, 0)) &amp; ", " &amp; INDEX(Sheet2!$D:$D, MATCH(AE3609&amp;AF3609, Sheet2!$E:$E, 0)), ""), "-")</f>
        <v/>
      </c>
    </row>
    <row r="3610" spans="1:33" x14ac:dyDescent="0.25">
      <c r="A3610" t="s">
        <v>5237</v>
      </c>
      <c r="D3610" t="s">
        <v>938</v>
      </c>
      <c r="E3610" t="s">
        <v>1660</v>
      </c>
      <c r="F3610">
        <v>1745</v>
      </c>
      <c r="G3610">
        <v>2744</v>
      </c>
      <c r="H3610">
        <v>83</v>
      </c>
      <c r="J3610" t="s">
        <v>1650</v>
      </c>
      <c r="O3610" t="s">
        <v>41</v>
      </c>
      <c r="V3610" t="s">
        <v>1619</v>
      </c>
      <c r="W3610" t="s">
        <v>92</v>
      </c>
      <c r="Y3610" t="s">
        <v>38</v>
      </c>
      <c r="AA3610" t="s">
        <v>38</v>
      </c>
      <c r="AB3610" t="s">
        <v>38</v>
      </c>
      <c r="AC3610" t="s">
        <v>38</v>
      </c>
      <c r="AD3610" t="s">
        <v>48</v>
      </c>
      <c r="AG3610" t="str">
        <f>IF(AD3610="United States", IFERROR(INDEX(Sheet2!$C:$C, MATCH(AE3610&amp;AF3610, Sheet2!$E:$E, 0)) &amp; ", " &amp; INDEX(Sheet2!$D:$D, MATCH(AE3610&amp;AF3610, Sheet2!$E:$E, 0)), ""), "-")</f>
        <v/>
      </c>
    </row>
    <row r="3611" spans="1:33" x14ac:dyDescent="0.25">
      <c r="A3611" t="s">
        <v>5237</v>
      </c>
      <c r="D3611" t="s">
        <v>72</v>
      </c>
      <c r="E3611" t="s">
        <v>1660</v>
      </c>
      <c r="F3611">
        <v>1761</v>
      </c>
      <c r="G3611">
        <v>2745</v>
      </c>
      <c r="H3611">
        <v>83</v>
      </c>
      <c r="J3611" t="s">
        <v>1650</v>
      </c>
      <c r="O3611" t="s">
        <v>57</v>
      </c>
      <c r="V3611" t="s">
        <v>1619</v>
      </c>
      <c r="W3611" t="s">
        <v>92</v>
      </c>
      <c r="Y3611" t="s">
        <v>38</v>
      </c>
      <c r="AA3611" t="s">
        <v>38</v>
      </c>
      <c r="AB3611" t="s">
        <v>38</v>
      </c>
      <c r="AC3611" t="s">
        <v>38</v>
      </c>
      <c r="AD3611" t="s">
        <v>48</v>
      </c>
      <c r="AG3611" t="str">
        <f>IF(AD3611="United States", IFERROR(INDEX(Sheet2!$C:$C, MATCH(AE3611&amp;AF3611, Sheet2!$E:$E, 0)) &amp; ", " &amp; INDEX(Sheet2!$D:$D, MATCH(AE3611&amp;AF3611, Sheet2!$E:$E, 0)), ""), "-")</f>
        <v/>
      </c>
    </row>
    <row r="3612" spans="1:33" x14ac:dyDescent="0.25">
      <c r="A3612" t="s">
        <v>5237</v>
      </c>
      <c r="D3612" t="s">
        <v>177</v>
      </c>
      <c r="E3612" t="s">
        <v>1660</v>
      </c>
      <c r="F3612">
        <v>1779</v>
      </c>
      <c r="G3612">
        <v>2746</v>
      </c>
      <c r="H3612">
        <v>83</v>
      </c>
      <c r="J3612" t="s">
        <v>1650</v>
      </c>
      <c r="O3612" t="s">
        <v>54</v>
      </c>
      <c r="V3612" t="s">
        <v>1619</v>
      </c>
      <c r="W3612" t="s">
        <v>92</v>
      </c>
      <c r="Y3612" t="s">
        <v>38</v>
      </c>
      <c r="AA3612" t="s">
        <v>38</v>
      </c>
      <c r="AB3612" t="s">
        <v>38</v>
      </c>
      <c r="AC3612" t="s">
        <v>38</v>
      </c>
      <c r="AD3612" t="s">
        <v>48</v>
      </c>
      <c r="AG3612" t="str">
        <f>IF(AD3612="United States", IFERROR(INDEX(Sheet2!$C:$C, MATCH(AE3612&amp;AF3612, Sheet2!$E:$E, 0)) &amp; ", " &amp; INDEX(Sheet2!$D:$D, MATCH(AE3612&amp;AF3612, Sheet2!$E:$E, 0)), ""), "-")</f>
        <v/>
      </c>
    </row>
    <row r="3613" spans="1:33" x14ac:dyDescent="0.25">
      <c r="A3613" t="s">
        <v>5237</v>
      </c>
      <c r="D3613" t="s">
        <v>4994</v>
      </c>
      <c r="E3613" t="s">
        <v>334</v>
      </c>
      <c r="F3613">
        <v>1753</v>
      </c>
      <c r="G3613">
        <v>2747</v>
      </c>
      <c r="H3613">
        <v>83</v>
      </c>
      <c r="J3613" t="s">
        <v>1650</v>
      </c>
      <c r="O3613" t="s">
        <v>41</v>
      </c>
      <c r="V3613" t="s">
        <v>1619</v>
      </c>
      <c r="W3613" t="s">
        <v>92</v>
      </c>
      <c r="Y3613" t="s">
        <v>38</v>
      </c>
      <c r="AA3613" t="s">
        <v>38</v>
      </c>
      <c r="AB3613" t="s">
        <v>38</v>
      </c>
      <c r="AC3613" t="s">
        <v>38</v>
      </c>
      <c r="AD3613" t="s">
        <v>48</v>
      </c>
      <c r="AG3613" t="str">
        <f>IF(AD3613="United States", IFERROR(INDEX(Sheet2!$C:$C, MATCH(AE3613&amp;AF3613, Sheet2!$E:$E, 0)) &amp; ", " &amp; INDEX(Sheet2!$D:$D, MATCH(AE3613&amp;AF3613, Sheet2!$E:$E, 0)), ""), "-")</f>
        <v/>
      </c>
    </row>
    <row r="3614" spans="1:33" x14ac:dyDescent="0.25">
      <c r="A3614" t="s">
        <v>5237</v>
      </c>
      <c r="D3614" t="s">
        <v>5287</v>
      </c>
      <c r="E3614" t="s">
        <v>334</v>
      </c>
      <c r="F3614">
        <v>1758</v>
      </c>
      <c r="G3614">
        <v>2748</v>
      </c>
      <c r="H3614">
        <v>83</v>
      </c>
      <c r="J3614" t="s">
        <v>1650</v>
      </c>
      <c r="O3614" t="s">
        <v>57</v>
      </c>
      <c r="V3614" t="s">
        <v>1619</v>
      </c>
      <c r="W3614" t="s">
        <v>92</v>
      </c>
      <c r="Y3614" t="s">
        <v>38</v>
      </c>
      <c r="AA3614" t="s">
        <v>38</v>
      </c>
      <c r="AB3614" t="s">
        <v>38</v>
      </c>
      <c r="AC3614" t="s">
        <v>38</v>
      </c>
      <c r="AD3614" t="s">
        <v>48</v>
      </c>
      <c r="AG3614" t="str">
        <f>IF(AD3614="United States", IFERROR(INDEX(Sheet2!$C:$C, MATCH(AE3614&amp;AF3614, Sheet2!$E:$E, 0)) &amp; ", " &amp; INDEX(Sheet2!$D:$D, MATCH(AE3614&amp;AF3614, Sheet2!$E:$E, 0)), ""), "-")</f>
        <v/>
      </c>
    </row>
    <row r="3615" spans="1:33" x14ac:dyDescent="0.25">
      <c r="A3615" t="s">
        <v>5237</v>
      </c>
      <c r="D3615" t="s">
        <v>458</v>
      </c>
      <c r="E3615" t="s">
        <v>5288</v>
      </c>
      <c r="F3615">
        <v>1781</v>
      </c>
      <c r="G3615">
        <v>2743</v>
      </c>
      <c r="H3615">
        <v>83</v>
      </c>
      <c r="J3615" t="s">
        <v>1650</v>
      </c>
      <c r="O3615" t="s">
        <v>54</v>
      </c>
      <c r="V3615" t="s">
        <v>1619</v>
      </c>
      <c r="W3615" t="s">
        <v>92</v>
      </c>
      <c r="Y3615" t="s">
        <v>38</v>
      </c>
      <c r="AA3615" t="s">
        <v>38</v>
      </c>
      <c r="AB3615" t="s">
        <v>38</v>
      </c>
      <c r="AC3615" t="s">
        <v>38</v>
      </c>
      <c r="AD3615" t="s">
        <v>48</v>
      </c>
      <c r="AG3615" t="str">
        <f>IF(AD3615="United States", IFERROR(INDEX(Sheet2!$C:$C, MATCH(AE3615&amp;AF3615, Sheet2!$E:$E, 0)) &amp; ", " &amp; INDEX(Sheet2!$D:$D, MATCH(AE3615&amp;AF3615, Sheet2!$E:$E, 0)), ""), "-")</f>
        <v/>
      </c>
    </row>
    <row r="3616" spans="1:33" x14ac:dyDescent="0.25">
      <c r="A3616" t="s">
        <v>5237</v>
      </c>
      <c r="D3616" t="s">
        <v>535</v>
      </c>
      <c r="E3616" t="s">
        <v>334</v>
      </c>
      <c r="F3616">
        <v>1779</v>
      </c>
      <c r="G3616">
        <v>2749</v>
      </c>
      <c r="H3616">
        <v>83</v>
      </c>
      <c r="J3616" t="s">
        <v>1650</v>
      </c>
      <c r="O3616" t="s">
        <v>74</v>
      </c>
      <c r="V3616" t="s">
        <v>1619</v>
      </c>
      <c r="W3616" t="s">
        <v>92</v>
      </c>
      <c r="Y3616" t="s">
        <v>38</v>
      </c>
      <c r="AA3616" t="s">
        <v>38</v>
      </c>
      <c r="AB3616" t="s">
        <v>38</v>
      </c>
      <c r="AC3616" t="s">
        <v>38</v>
      </c>
      <c r="AD3616" t="s">
        <v>48</v>
      </c>
      <c r="AG3616" t="str">
        <f>IF(AD3616="United States", IFERROR(INDEX(Sheet2!$C:$C, MATCH(AE3616&amp;AF3616, Sheet2!$E:$E, 0)) &amp; ", " &amp; INDEX(Sheet2!$D:$D, MATCH(AE3616&amp;AF3616, Sheet2!$E:$E, 0)), ""), "-")</f>
        <v/>
      </c>
    </row>
    <row r="3617" spans="1:33" x14ac:dyDescent="0.25">
      <c r="A3617" t="s">
        <v>5237</v>
      </c>
      <c r="D3617" t="s">
        <v>5289</v>
      </c>
      <c r="E3617" t="s">
        <v>5290</v>
      </c>
      <c r="F3617">
        <v>1760</v>
      </c>
      <c r="G3617">
        <v>2764</v>
      </c>
      <c r="H3617">
        <v>83</v>
      </c>
      <c r="J3617" t="s">
        <v>1650</v>
      </c>
      <c r="O3617" t="s">
        <v>57</v>
      </c>
      <c r="V3617" t="s">
        <v>1619</v>
      </c>
      <c r="W3617" t="s">
        <v>92</v>
      </c>
      <c r="Y3617" t="s">
        <v>38</v>
      </c>
      <c r="AA3617" t="s">
        <v>38</v>
      </c>
      <c r="AB3617" t="s">
        <v>38</v>
      </c>
      <c r="AC3617" t="s">
        <v>38</v>
      </c>
      <c r="AD3617" t="s">
        <v>48</v>
      </c>
      <c r="AG3617" t="str">
        <f>IF(AD3617="United States", IFERROR(INDEX(Sheet2!$C:$C, MATCH(AE3617&amp;AF3617, Sheet2!$E:$E, 0)) &amp; ", " &amp; INDEX(Sheet2!$D:$D, MATCH(AE3617&amp;AF3617, Sheet2!$E:$E, 0)), ""), "-")</f>
        <v/>
      </c>
    </row>
    <row r="3618" spans="1:33" x14ac:dyDescent="0.25">
      <c r="A3618" t="s">
        <v>5237</v>
      </c>
      <c r="D3618" t="s">
        <v>361</v>
      </c>
      <c r="E3618" t="s">
        <v>5290</v>
      </c>
      <c r="F3618">
        <v>1757</v>
      </c>
      <c r="G3618">
        <v>2763</v>
      </c>
      <c r="H3618">
        <v>83</v>
      </c>
      <c r="J3618" t="s">
        <v>1650</v>
      </c>
      <c r="O3618" t="s">
        <v>41</v>
      </c>
      <c r="V3618" t="s">
        <v>1619</v>
      </c>
      <c r="W3618" t="s">
        <v>92</v>
      </c>
      <c r="Y3618" t="s">
        <v>38</v>
      </c>
      <c r="AA3618" t="s">
        <v>38</v>
      </c>
      <c r="AB3618" t="s">
        <v>38</v>
      </c>
      <c r="AC3618" t="s">
        <v>38</v>
      </c>
      <c r="AD3618" t="s">
        <v>48</v>
      </c>
      <c r="AG3618" t="str">
        <f>IF(AD3618="United States", IFERROR(INDEX(Sheet2!$C:$C, MATCH(AE3618&amp;AF3618, Sheet2!$E:$E, 0)) &amp; ", " &amp; INDEX(Sheet2!$D:$D, MATCH(AE3618&amp;AF3618, Sheet2!$E:$E, 0)), ""), "-")</f>
        <v/>
      </c>
    </row>
    <row r="3619" spans="1:33" x14ac:dyDescent="0.25">
      <c r="A3619" t="s">
        <v>5237</v>
      </c>
      <c r="D3619" t="s">
        <v>535</v>
      </c>
      <c r="E3619" t="s">
        <v>5291</v>
      </c>
      <c r="F3619">
        <v>1753</v>
      </c>
      <c r="G3619">
        <v>2762</v>
      </c>
      <c r="H3619">
        <v>83</v>
      </c>
      <c r="J3619" t="s">
        <v>1650</v>
      </c>
      <c r="O3619" t="s">
        <v>57</v>
      </c>
      <c r="V3619" t="s">
        <v>1619</v>
      </c>
      <c r="W3619" t="s">
        <v>92</v>
      </c>
      <c r="Y3619" t="s">
        <v>38</v>
      </c>
      <c r="AA3619" t="s">
        <v>38</v>
      </c>
      <c r="AB3619" t="s">
        <v>38</v>
      </c>
      <c r="AC3619" t="s">
        <v>38</v>
      </c>
      <c r="AD3619" t="s">
        <v>48</v>
      </c>
      <c r="AG3619" t="str">
        <f>IF(AD3619="United States", IFERROR(INDEX(Sheet2!$C:$C, MATCH(AE3619&amp;AF3619, Sheet2!$E:$E, 0)) &amp; ", " &amp; INDEX(Sheet2!$D:$D, MATCH(AE3619&amp;AF3619, Sheet2!$E:$E, 0)), ""), "-")</f>
        <v/>
      </c>
    </row>
    <row r="3620" spans="1:33" x14ac:dyDescent="0.25">
      <c r="A3620" t="s">
        <v>5237</v>
      </c>
      <c r="D3620" t="s">
        <v>3180</v>
      </c>
      <c r="E3620" t="s">
        <v>5291</v>
      </c>
      <c r="F3620">
        <v>1755</v>
      </c>
      <c r="G3620">
        <v>2761</v>
      </c>
      <c r="H3620">
        <v>83</v>
      </c>
      <c r="J3620" t="s">
        <v>1650</v>
      </c>
      <c r="O3620" t="s">
        <v>41</v>
      </c>
      <c r="V3620" t="s">
        <v>1619</v>
      </c>
      <c r="W3620" t="s">
        <v>92</v>
      </c>
      <c r="Y3620" t="s">
        <v>38</v>
      </c>
      <c r="AA3620" t="s">
        <v>38</v>
      </c>
      <c r="AB3620" t="s">
        <v>38</v>
      </c>
      <c r="AC3620" t="s">
        <v>38</v>
      </c>
      <c r="AD3620" t="s">
        <v>48</v>
      </c>
      <c r="AG3620" t="str">
        <f>IF(AD3620="United States", IFERROR(INDEX(Sheet2!$C:$C, MATCH(AE3620&amp;AF3620, Sheet2!$E:$E, 0)) &amp; ", " &amp; INDEX(Sheet2!$D:$D, MATCH(AE3620&amp;AF3620, Sheet2!$E:$E, 0)), ""), "-")</f>
        <v/>
      </c>
    </row>
    <row r="3621" spans="1:33" x14ac:dyDescent="0.25">
      <c r="A3621" t="s">
        <v>5237</v>
      </c>
      <c r="D3621" t="s">
        <v>867</v>
      </c>
      <c r="E3621" t="s">
        <v>633</v>
      </c>
      <c r="F3621">
        <v>1732</v>
      </c>
      <c r="G3621">
        <v>2760</v>
      </c>
      <c r="H3621">
        <v>83</v>
      </c>
      <c r="J3621" t="s">
        <v>1650</v>
      </c>
      <c r="O3621" t="s">
        <v>41</v>
      </c>
      <c r="V3621" t="s">
        <v>1619</v>
      </c>
      <c r="W3621" t="s">
        <v>92</v>
      </c>
      <c r="Y3621" t="s">
        <v>38</v>
      </c>
      <c r="AA3621" t="s">
        <v>38</v>
      </c>
      <c r="AB3621" t="s">
        <v>38</v>
      </c>
      <c r="AC3621" t="s">
        <v>38</v>
      </c>
      <c r="AD3621" t="s">
        <v>48</v>
      </c>
      <c r="AG3621" t="str">
        <f>IF(AD3621="United States", IFERROR(INDEX(Sheet2!$C:$C, MATCH(AE3621&amp;AF3621, Sheet2!$E:$E, 0)) &amp; ", " &amp; INDEX(Sheet2!$D:$D, MATCH(AE3621&amp;AF3621, Sheet2!$E:$E, 0)), ""), "-")</f>
        <v/>
      </c>
    </row>
    <row r="3622" spans="1:33" x14ac:dyDescent="0.25">
      <c r="A3622" t="s">
        <v>5237</v>
      </c>
      <c r="D3622" t="s">
        <v>190</v>
      </c>
      <c r="E3622" t="s">
        <v>191</v>
      </c>
      <c r="F3622">
        <v>1730</v>
      </c>
      <c r="G3622">
        <v>2759</v>
      </c>
      <c r="H3622">
        <v>83</v>
      </c>
      <c r="J3622" t="s">
        <v>1650</v>
      </c>
      <c r="O3622" t="s">
        <v>57</v>
      </c>
      <c r="V3622" t="s">
        <v>1619</v>
      </c>
      <c r="W3622" t="s">
        <v>92</v>
      </c>
      <c r="Y3622" t="s">
        <v>38</v>
      </c>
      <c r="AA3622" t="s">
        <v>38</v>
      </c>
      <c r="AB3622" t="s">
        <v>38</v>
      </c>
      <c r="AC3622" t="s">
        <v>38</v>
      </c>
      <c r="AD3622" t="s">
        <v>48</v>
      </c>
      <c r="AG3622" t="str">
        <f>IF(AD3622="United States", IFERROR(INDEX(Sheet2!$C:$C, MATCH(AE3622&amp;AF3622, Sheet2!$E:$E, 0)) &amp; ", " &amp; INDEX(Sheet2!$D:$D, MATCH(AE3622&amp;AF3622, Sheet2!$E:$E, 0)), ""), "-")</f>
        <v/>
      </c>
    </row>
    <row r="3623" spans="1:33" x14ac:dyDescent="0.25">
      <c r="A3623" t="s">
        <v>5237</v>
      </c>
      <c r="D3623" t="s">
        <v>1695</v>
      </c>
      <c r="E3623" t="s">
        <v>1515</v>
      </c>
      <c r="F3623">
        <v>1743</v>
      </c>
      <c r="G3623">
        <v>2758</v>
      </c>
      <c r="H3623">
        <v>83</v>
      </c>
      <c r="J3623" t="s">
        <v>1650</v>
      </c>
      <c r="O3623" t="s">
        <v>41</v>
      </c>
      <c r="V3623" t="s">
        <v>1619</v>
      </c>
      <c r="W3623" t="s">
        <v>92</v>
      </c>
      <c r="Y3623" t="s">
        <v>38</v>
      </c>
      <c r="AA3623" t="s">
        <v>38</v>
      </c>
      <c r="AB3623" t="s">
        <v>38</v>
      </c>
      <c r="AC3623" t="s">
        <v>38</v>
      </c>
      <c r="AD3623" t="s">
        <v>48</v>
      </c>
      <c r="AG3623" t="str">
        <f>IF(AD3623="United States", IFERROR(INDEX(Sheet2!$C:$C, MATCH(AE3623&amp;AF3623, Sheet2!$E:$E, 0)) &amp; ", " &amp; INDEX(Sheet2!$D:$D, MATCH(AE3623&amp;AF3623, Sheet2!$E:$E, 0)), ""), "-")</f>
        <v/>
      </c>
    </row>
    <row r="3624" spans="1:33" x14ac:dyDescent="0.25">
      <c r="A3624" t="s">
        <v>5237</v>
      </c>
      <c r="D3624" t="s">
        <v>245</v>
      </c>
      <c r="E3624" t="s">
        <v>1654</v>
      </c>
      <c r="F3624">
        <v>1779</v>
      </c>
      <c r="G3624">
        <v>2757</v>
      </c>
      <c r="H3624">
        <v>83</v>
      </c>
      <c r="J3624" t="s">
        <v>1650</v>
      </c>
      <c r="O3624" t="s">
        <v>74</v>
      </c>
      <c r="V3624" t="s">
        <v>1619</v>
      </c>
      <c r="W3624" t="s">
        <v>92</v>
      </c>
      <c r="Y3624" t="s">
        <v>38</v>
      </c>
      <c r="AA3624" t="s">
        <v>38</v>
      </c>
      <c r="AB3624" t="s">
        <v>38</v>
      </c>
      <c r="AC3624" t="s">
        <v>38</v>
      </c>
      <c r="AD3624" t="s">
        <v>48</v>
      </c>
      <c r="AG3624" t="str">
        <f>IF(AD3624="United States", IFERROR(INDEX(Sheet2!$C:$C, MATCH(AE3624&amp;AF3624, Sheet2!$E:$E, 0)) &amp; ", " &amp; INDEX(Sheet2!$D:$D, MATCH(AE3624&amp;AF3624, Sheet2!$E:$E, 0)), ""), "-")</f>
        <v/>
      </c>
    </row>
    <row r="3625" spans="1:33" x14ac:dyDescent="0.25">
      <c r="A3625" t="s">
        <v>5237</v>
      </c>
      <c r="D3625" t="s">
        <v>132</v>
      </c>
      <c r="E3625" t="s">
        <v>1377</v>
      </c>
      <c r="F3625">
        <v>1754</v>
      </c>
      <c r="G3625">
        <v>2797</v>
      </c>
      <c r="H3625">
        <v>84</v>
      </c>
      <c r="J3625" t="s">
        <v>1650</v>
      </c>
      <c r="O3625" t="s">
        <v>41</v>
      </c>
      <c r="V3625" t="s">
        <v>1619</v>
      </c>
      <c r="W3625" t="s">
        <v>92</v>
      </c>
      <c r="Y3625" t="s">
        <v>38</v>
      </c>
      <c r="AA3625" t="s">
        <v>38</v>
      </c>
      <c r="AB3625" t="s">
        <v>38</v>
      </c>
      <c r="AC3625" t="s">
        <v>38</v>
      </c>
      <c r="AD3625" t="s">
        <v>48</v>
      </c>
      <c r="AG3625" t="str">
        <f>IF(AD3625="United States", IFERROR(INDEX(Sheet2!$C:$C, MATCH(AE3625&amp;AF3625, Sheet2!$E:$E, 0)) &amp; ", " &amp; INDEX(Sheet2!$D:$D, MATCH(AE3625&amp;AF3625, Sheet2!$E:$E, 0)), ""), "-")</f>
        <v/>
      </c>
    </row>
    <row r="3626" spans="1:33" x14ac:dyDescent="0.25">
      <c r="A3626" t="s">
        <v>5237</v>
      </c>
      <c r="D3626" t="s">
        <v>285</v>
      </c>
      <c r="E3626" t="s">
        <v>4966</v>
      </c>
      <c r="F3626">
        <v>1760</v>
      </c>
      <c r="G3626">
        <v>2751</v>
      </c>
      <c r="H3626">
        <v>83</v>
      </c>
      <c r="J3626" t="s">
        <v>1650</v>
      </c>
      <c r="O3626" t="s">
        <v>57</v>
      </c>
      <c r="V3626" t="s">
        <v>1619</v>
      </c>
      <c r="W3626" t="s">
        <v>92</v>
      </c>
      <c r="Y3626" t="s">
        <v>38</v>
      </c>
      <c r="AA3626" t="s">
        <v>38</v>
      </c>
      <c r="AB3626" t="s">
        <v>38</v>
      </c>
      <c r="AC3626" t="s">
        <v>38</v>
      </c>
      <c r="AD3626" t="s">
        <v>48</v>
      </c>
      <c r="AG3626" t="str">
        <f>IF(AD3626="United States", IFERROR(INDEX(Sheet2!$C:$C, MATCH(AE3626&amp;AF3626, Sheet2!$E:$E, 0)) &amp; ", " &amp; INDEX(Sheet2!$D:$D, MATCH(AE3626&amp;AF3626, Sheet2!$E:$E, 0)), ""), "-")</f>
        <v/>
      </c>
    </row>
    <row r="3627" spans="1:33" x14ac:dyDescent="0.25">
      <c r="A3627" t="s">
        <v>5237</v>
      </c>
      <c r="D3627" t="s">
        <v>4702</v>
      </c>
      <c r="E3627" t="s">
        <v>5292</v>
      </c>
      <c r="F3627">
        <v>1751</v>
      </c>
      <c r="G3627">
        <v>2752</v>
      </c>
      <c r="H3627">
        <v>83</v>
      </c>
      <c r="J3627" t="s">
        <v>1650</v>
      </c>
      <c r="O3627" t="s">
        <v>41</v>
      </c>
      <c r="V3627" t="s">
        <v>1619</v>
      </c>
      <c r="W3627" t="s">
        <v>92</v>
      </c>
      <c r="Y3627" t="s">
        <v>38</v>
      </c>
      <c r="AA3627" t="s">
        <v>38</v>
      </c>
      <c r="AB3627" t="s">
        <v>38</v>
      </c>
      <c r="AC3627" t="s">
        <v>38</v>
      </c>
      <c r="AD3627" t="s">
        <v>48</v>
      </c>
      <c r="AG3627" t="str">
        <f>IF(AD3627="United States", IFERROR(INDEX(Sheet2!$C:$C, MATCH(AE3627&amp;AF3627, Sheet2!$E:$E, 0)) &amp; ", " &amp; INDEX(Sheet2!$D:$D, MATCH(AE3627&amp;AF3627, Sheet2!$E:$E, 0)), ""), "-")</f>
        <v/>
      </c>
    </row>
    <row r="3628" spans="1:33" x14ac:dyDescent="0.25">
      <c r="A3628" t="s">
        <v>5237</v>
      </c>
      <c r="D3628" t="s">
        <v>495</v>
      </c>
      <c r="E3628" t="s">
        <v>5293</v>
      </c>
      <c r="F3628">
        <v>1763</v>
      </c>
      <c r="G3628">
        <v>2753</v>
      </c>
      <c r="H3628">
        <v>83</v>
      </c>
      <c r="J3628" t="s">
        <v>1650</v>
      </c>
      <c r="O3628" t="s">
        <v>57</v>
      </c>
      <c r="V3628" t="s">
        <v>1619</v>
      </c>
      <c r="W3628" t="s">
        <v>92</v>
      </c>
      <c r="Y3628" t="s">
        <v>38</v>
      </c>
      <c r="AA3628" t="s">
        <v>38</v>
      </c>
      <c r="AB3628" t="s">
        <v>38</v>
      </c>
      <c r="AC3628" t="s">
        <v>38</v>
      </c>
      <c r="AD3628" t="s">
        <v>48</v>
      </c>
      <c r="AG3628" t="str">
        <f>IF(AD3628="United States", IFERROR(INDEX(Sheet2!$C:$C, MATCH(AE3628&amp;AF3628, Sheet2!$E:$E, 0)) &amp; ", " &amp; INDEX(Sheet2!$D:$D, MATCH(AE3628&amp;AF3628, Sheet2!$E:$E, 0)), ""), "-")</f>
        <v/>
      </c>
    </row>
    <row r="3629" spans="1:33" x14ac:dyDescent="0.25">
      <c r="A3629" t="s">
        <v>5237</v>
      </c>
      <c r="D3629" t="s">
        <v>132</v>
      </c>
      <c r="E3629" t="s">
        <v>4966</v>
      </c>
      <c r="F3629">
        <v>1750</v>
      </c>
      <c r="G3629">
        <v>2750</v>
      </c>
      <c r="H3629">
        <v>83</v>
      </c>
      <c r="J3629" t="s">
        <v>1650</v>
      </c>
      <c r="O3629" t="s">
        <v>41</v>
      </c>
      <c r="V3629" t="s">
        <v>1619</v>
      </c>
      <c r="W3629" t="s">
        <v>92</v>
      </c>
      <c r="Y3629" t="s">
        <v>38</v>
      </c>
      <c r="AA3629" t="s">
        <v>38</v>
      </c>
      <c r="AB3629" t="s">
        <v>38</v>
      </c>
      <c r="AC3629" t="s">
        <v>38</v>
      </c>
      <c r="AD3629" t="s">
        <v>48</v>
      </c>
      <c r="AG3629" t="str">
        <f>IF(AD3629="United States", IFERROR(INDEX(Sheet2!$C:$C, MATCH(AE3629&amp;AF3629, Sheet2!$E:$E, 0)) &amp; ", " &amp; INDEX(Sheet2!$D:$D, MATCH(AE3629&amp;AF3629, Sheet2!$E:$E, 0)), ""), "-")</f>
        <v/>
      </c>
    </row>
    <row r="3630" spans="1:33" x14ac:dyDescent="0.25">
      <c r="A3630" t="s">
        <v>5237</v>
      </c>
      <c r="D3630" t="s">
        <v>4986</v>
      </c>
      <c r="E3630" t="s">
        <v>5288</v>
      </c>
      <c r="F3630">
        <v>1762</v>
      </c>
      <c r="G3630">
        <v>2742</v>
      </c>
      <c r="H3630">
        <v>83</v>
      </c>
      <c r="J3630" t="s">
        <v>1650</v>
      </c>
      <c r="O3630" t="s">
        <v>57</v>
      </c>
      <c r="V3630" t="s">
        <v>1619</v>
      </c>
      <c r="W3630" t="s">
        <v>92</v>
      </c>
      <c r="Y3630" t="s">
        <v>38</v>
      </c>
      <c r="AA3630" t="s">
        <v>38</v>
      </c>
      <c r="AB3630" t="s">
        <v>38</v>
      </c>
      <c r="AC3630" t="s">
        <v>38</v>
      </c>
      <c r="AD3630" t="s">
        <v>48</v>
      </c>
      <c r="AG3630" t="str">
        <f>IF(AD3630="United States", IFERROR(INDEX(Sheet2!$C:$C, MATCH(AE3630&amp;AF3630, Sheet2!$E:$E, 0)) &amp; ", " &amp; INDEX(Sheet2!$D:$D, MATCH(AE3630&amp;AF3630, Sheet2!$E:$E, 0)), ""), "-")</f>
        <v/>
      </c>
    </row>
    <row r="3631" spans="1:33" x14ac:dyDescent="0.25">
      <c r="A3631" t="s">
        <v>5237</v>
      </c>
      <c r="D3631" t="s">
        <v>5090</v>
      </c>
      <c r="E3631" t="s">
        <v>5241</v>
      </c>
      <c r="F3631">
        <v>1782</v>
      </c>
      <c r="G3631">
        <v>2768</v>
      </c>
      <c r="H3631">
        <v>84</v>
      </c>
      <c r="J3631" t="s">
        <v>1650</v>
      </c>
      <c r="O3631" t="s">
        <v>74</v>
      </c>
      <c r="V3631" t="s">
        <v>1619</v>
      </c>
      <c r="W3631" t="s">
        <v>92</v>
      </c>
      <c r="Y3631" t="s">
        <v>38</v>
      </c>
      <c r="AA3631" t="s">
        <v>38</v>
      </c>
      <c r="AB3631" t="s">
        <v>38</v>
      </c>
      <c r="AC3631" t="s">
        <v>38</v>
      </c>
      <c r="AD3631" t="s">
        <v>48</v>
      </c>
      <c r="AG3631" t="str">
        <f>IF(AD3631="United States", IFERROR(INDEX(Sheet2!$C:$C, MATCH(AE3631&amp;AF3631, Sheet2!$E:$E, 0)) &amp; ", " &amp; INDEX(Sheet2!$D:$D, MATCH(AE3631&amp;AF3631, Sheet2!$E:$E, 0)), ""), "-")</f>
        <v/>
      </c>
    </row>
    <row r="3632" spans="1:33" x14ac:dyDescent="0.25">
      <c r="A3632" t="s">
        <v>5237</v>
      </c>
      <c r="D3632" t="s">
        <v>63</v>
      </c>
      <c r="E3632" t="s">
        <v>4912</v>
      </c>
      <c r="F3632">
        <v>1773</v>
      </c>
      <c r="G3632">
        <v>2740</v>
      </c>
      <c r="H3632">
        <v>83</v>
      </c>
      <c r="J3632" t="s">
        <v>1650</v>
      </c>
      <c r="O3632" t="s">
        <v>54</v>
      </c>
      <c r="V3632" t="s">
        <v>1619</v>
      </c>
      <c r="W3632" t="s">
        <v>92</v>
      </c>
      <c r="Y3632" t="s">
        <v>38</v>
      </c>
      <c r="AA3632" t="s">
        <v>38</v>
      </c>
      <c r="AB3632" t="s">
        <v>38</v>
      </c>
      <c r="AC3632" t="s">
        <v>38</v>
      </c>
      <c r="AD3632" t="s">
        <v>48</v>
      </c>
      <c r="AG3632" t="str">
        <f>IF(AD3632="United States", IFERROR(INDEX(Sheet2!$C:$C, MATCH(AE3632&amp;AF3632, Sheet2!$E:$E, 0)) &amp; ", " &amp; INDEX(Sheet2!$D:$D, MATCH(AE3632&amp;AF3632, Sheet2!$E:$E, 0)), ""), "-")</f>
        <v/>
      </c>
    </row>
    <row r="3633" spans="1:33" x14ac:dyDescent="0.25">
      <c r="A3633" t="s">
        <v>5237</v>
      </c>
      <c r="D3633" t="s">
        <v>226</v>
      </c>
      <c r="E3633" t="s">
        <v>226</v>
      </c>
      <c r="F3633">
        <v>1747</v>
      </c>
      <c r="G3633">
        <v>2735</v>
      </c>
      <c r="H3633">
        <v>83</v>
      </c>
      <c r="J3633" t="s">
        <v>1650</v>
      </c>
      <c r="O3633" t="s">
        <v>41</v>
      </c>
      <c r="V3633" t="s">
        <v>1619</v>
      </c>
      <c r="W3633" t="s">
        <v>92</v>
      </c>
      <c r="Y3633" t="s">
        <v>38</v>
      </c>
      <c r="AA3633" t="s">
        <v>38</v>
      </c>
      <c r="AB3633" t="s">
        <v>38</v>
      </c>
      <c r="AC3633" t="s">
        <v>38</v>
      </c>
      <c r="AD3633" t="s">
        <v>48</v>
      </c>
      <c r="AG3633" t="str">
        <f>IF(AD3633="United States", IFERROR(INDEX(Sheet2!$C:$C, MATCH(AE3633&amp;AF3633, Sheet2!$E:$E, 0)) &amp; ", " &amp; INDEX(Sheet2!$D:$D, MATCH(AE3633&amp;AF3633, Sheet2!$E:$E, 0)), ""), "-")</f>
        <v/>
      </c>
    </row>
    <row r="3634" spans="1:33" x14ac:dyDescent="0.25">
      <c r="A3634" t="s">
        <v>5237</v>
      </c>
      <c r="D3634" t="s">
        <v>4911</v>
      </c>
      <c r="E3634" t="s">
        <v>4912</v>
      </c>
      <c r="F3634">
        <v>1758</v>
      </c>
      <c r="G3634">
        <v>2736</v>
      </c>
      <c r="H3634">
        <v>83</v>
      </c>
      <c r="J3634" t="s">
        <v>1650</v>
      </c>
      <c r="O3634" t="s">
        <v>41</v>
      </c>
      <c r="V3634" t="s">
        <v>1619</v>
      </c>
      <c r="W3634" t="s">
        <v>92</v>
      </c>
      <c r="Y3634" t="s">
        <v>38</v>
      </c>
      <c r="AA3634" t="s">
        <v>38</v>
      </c>
      <c r="AB3634" t="s">
        <v>38</v>
      </c>
      <c r="AC3634" t="s">
        <v>38</v>
      </c>
      <c r="AD3634" t="s">
        <v>48</v>
      </c>
      <c r="AG3634" t="str">
        <f>IF(AD3634="United States", IFERROR(INDEX(Sheet2!$C:$C, MATCH(AE3634&amp;AF3634, Sheet2!$E:$E, 0)) &amp; ", " &amp; INDEX(Sheet2!$D:$D, MATCH(AE3634&amp;AF3634, Sheet2!$E:$E, 0)), ""), "-")</f>
        <v/>
      </c>
    </row>
    <row r="3635" spans="1:33" x14ac:dyDescent="0.25">
      <c r="A3635" t="s">
        <v>5237</v>
      </c>
      <c r="D3635" t="s">
        <v>5294</v>
      </c>
      <c r="E3635" t="s">
        <v>4912</v>
      </c>
      <c r="F3635">
        <v>1750</v>
      </c>
      <c r="G3635">
        <v>2737</v>
      </c>
      <c r="H3635">
        <v>83</v>
      </c>
      <c r="J3635" t="s">
        <v>1650</v>
      </c>
      <c r="O3635" t="s">
        <v>57</v>
      </c>
      <c r="V3635" t="s">
        <v>1619</v>
      </c>
      <c r="W3635" t="s">
        <v>92</v>
      </c>
      <c r="Y3635" t="s">
        <v>38</v>
      </c>
      <c r="AA3635" t="s">
        <v>38</v>
      </c>
      <c r="AB3635" t="s">
        <v>38</v>
      </c>
      <c r="AC3635" t="s">
        <v>38</v>
      </c>
      <c r="AD3635" t="s">
        <v>48</v>
      </c>
      <c r="AG3635" t="str">
        <f>IF(AD3635="United States", IFERROR(INDEX(Sheet2!$C:$C, MATCH(AE3635&amp;AF3635, Sheet2!$E:$E, 0)) &amp; ", " &amp; INDEX(Sheet2!$D:$D, MATCH(AE3635&amp;AF3635, Sheet2!$E:$E, 0)), ""), "-")</f>
        <v/>
      </c>
    </row>
    <row r="3636" spans="1:33" x14ac:dyDescent="0.25">
      <c r="A3636" t="s">
        <v>5237</v>
      </c>
      <c r="D3636" t="s">
        <v>5295</v>
      </c>
      <c r="E3636" t="s">
        <v>4912</v>
      </c>
      <c r="F3636">
        <v>1769</v>
      </c>
      <c r="G3636">
        <v>2738</v>
      </c>
      <c r="H3636">
        <v>83</v>
      </c>
      <c r="J3636" t="s">
        <v>1650</v>
      </c>
      <c r="O3636" t="s">
        <v>74</v>
      </c>
      <c r="V3636" t="s">
        <v>1619</v>
      </c>
      <c r="W3636" t="s">
        <v>92</v>
      </c>
      <c r="Y3636" t="s">
        <v>38</v>
      </c>
      <c r="AA3636" t="s">
        <v>38</v>
      </c>
      <c r="AB3636" t="s">
        <v>38</v>
      </c>
      <c r="AC3636" t="s">
        <v>38</v>
      </c>
      <c r="AD3636" t="s">
        <v>48</v>
      </c>
      <c r="AG3636" t="str">
        <f>IF(AD3636="United States", IFERROR(INDEX(Sheet2!$C:$C, MATCH(AE3636&amp;AF3636, Sheet2!$E:$E, 0)) &amp; ", " &amp; INDEX(Sheet2!$D:$D, MATCH(AE3636&amp;AF3636, Sheet2!$E:$E, 0)), ""), "-")</f>
        <v/>
      </c>
    </row>
    <row r="3637" spans="1:33" x14ac:dyDescent="0.25">
      <c r="A3637" t="s">
        <v>5237</v>
      </c>
      <c r="D3637" t="s">
        <v>1382</v>
      </c>
      <c r="E3637" t="s">
        <v>4912</v>
      </c>
      <c r="F3637">
        <v>1772</v>
      </c>
      <c r="G3637">
        <v>2739</v>
      </c>
      <c r="H3637">
        <v>83</v>
      </c>
      <c r="J3637" t="s">
        <v>1650</v>
      </c>
      <c r="O3637" t="s">
        <v>74</v>
      </c>
      <c r="V3637" t="s">
        <v>1619</v>
      </c>
      <c r="W3637" t="s">
        <v>92</v>
      </c>
      <c r="Y3637" t="s">
        <v>38</v>
      </c>
      <c r="AA3637" t="s">
        <v>38</v>
      </c>
      <c r="AB3637" t="s">
        <v>38</v>
      </c>
      <c r="AC3637" t="s">
        <v>38</v>
      </c>
      <c r="AD3637" t="s">
        <v>48</v>
      </c>
      <c r="AG3637" t="str">
        <f>IF(AD3637="United States", IFERROR(INDEX(Sheet2!$C:$C, MATCH(AE3637&amp;AF3637, Sheet2!$E:$E, 0)) &amp; ", " &amp; INDEX(Sheet2!$D:$D, MATCH(AE3637&amp;AF3637, Sheet2!$E:$E, 0)), ""), "-")</f>
        <v/>
      </c>
    </row>
    <row r="3638" spans="1:33" x14ac:dyDescent="0.25">
      <c r="A3638" t="s">
        <v>5237</v>
      </c>
      <c r="D3638" t="s">
        <v>5296</v>
      </c>
      <c r="E3638" t="s">
        <v>646</v>
      </c>
      <c r="F3638">
        <v>1748</v>
      </c>
      <c r="G3638">
        <v>2795</v>
      </c>
      <c r="H3638">
        <v>84</v>
      </c>
      <c r="J3638" t="s">
        <v>1650</v>
      </c>
      <c r="O3638" t="s">
        <v>41</v>
      </c>
      <c r="V3638" t="s">
        <v>1619</v>
      </c>
      <c r="W3638" t="s">
        <v>92</v>
      </c>
      <c r="Y3638" t="s">
        <v>38</v>
      </c>
      <c r="AA3638" t="s">
        <v>38</v>
      </c>
      <c r="AB3638" t="s">
        <v>38</v>
      </c>
      <c r="AC3638" t="s">
        <v>38</v>
      </c>
      <c r="AD3638" t="s">
        <v>48</v>
      </c>
      <c r="AG3638" t="str">
        <f>IF(AD3638="United States", IFERROR(INDEX(Sheet2!$C:$C, MATCH(AE3638&amp;AF3638, Sheet2!$E:$E, 0)) &amp; ", " &amp; INDEX(Sheet2!$D:$D, MATCH(AE3638&amp;AF3638, Sheet2!$E:$E, 0)), ""), "-")</f>
        <v/>
      </c>
    </row>
    <row r="3639" spans="1:33" x14ac:dyDescent="0.25">
      <c r="A3639" t="s">
        <v>5237</v>
      </c>
      <c r="D3639" t="s">
        <v>5090</v>
      </c>
      <c r="E3639" t="s">
        <v>4215</v>
      </c>
      <c r="F3639">
        <v>1763</v>
      </c>
      <c r="G3639">
        <v>2794</v>
      </c>
      <c r="H3639">
        <v>84</v>
      </c>
      <c r="J3639" t="s">
        <v>1650</v>
      </c>
      <c r="O3639" t="s">
        <v>57</v>
      </c>
      <c r="V3639" t="s">
        <v>1619</v>
      </c>
      <c r="W3639" t="s">
        <v>92</v>
      </c>
      <c r="Y3639" t="s">
        <v>38</v>
      </c>
      <c r="AA3639" t="s">
        <v>38</v>
      </c>
      <c r="AB3639" t="s">
        <v>38</v>
      </c>
      <c r="AC3639" t="s">
        <v>38</v>
      </c>
      <c r="AD3639" t="s">
        <v>48</v>
      </c>
      <c r="AG3639" t="str">
        <f>IF(AD3639="United States", IFERROR(INDEX(Sheet2!$C:$C, MATCH(AE3639&amp;AF3639, Sheet2!$E:$E, 0)) &amp; ", " &amp; INDEX(Sheet2!$D:$D, MATCH(AE3639&amp;AF3639, Sheet2!$E:$E, 0)), ""), "-")</f>
        <v/>
      </c>
    </row>
    <row r="3640" spans="1:33" x14ac:dyDescent="0.25">
      <c r="A3640" t="s">
        <v>5237</v>
      </c>
      <c r="D3640" t="s">
        <v>106</v>
      </c>
      <c r="E3640" t="s">
        <v>4215</v>
      </c>
      <c r="F3640">
        <v>1751</v>
      </c>
      <c r="G3640">
        <v>2793</v>
      </c>
      <c r="H3640">
        <v>84</v>
      </c>
      <c r="J3640" t="s">
        <v>1650</v>
      </c>
      <c r="O3640" t="s">
        <v>41</v>
      </c>
      <c r="V3640" t="s">
        <v>1619</v>
      </c>
      <c r="W3640" t="s">
        <v>92</v>
      </c>
      <c r="Y3640" t="s">
        <v>38</v>
      </c>
      <c r="AA3640" t="s">
        <v>38</v>
      </c>
      <c r="AB3640" t="s">
        <v>38</v>
      </c>
      <c r="AC3640" t="s">
        <v>38</v>
      </c>
      <c r="AD3640" t="s">
        <v>48</v>
      </c>
      <c r="AG3640" t="str">
        <f>IF(AD3640="United States", IFERROR(INDEX(Sheet2!$C:$C, MATCH(AE3640&amp;AF3640, Sheet2!$E:$E, 0)) &amp; ", " &amp; INDEX(Sheet2!$D:$D, MATCH(AE3640&amp;AF3640, Sheet2!$E:$E, 0)), ""), "-")</f>
        <v/>
      </c>
    </row>
    <row r="3641" spans="1:33" x14ac:dyDescent="0.25">
      <c r="A3641" t="s">
        <v>5237</v>
      </c>
      <c r="D3641" t="s">
        <v>132</v>
      </c>
      <c r="E3641" t="s">
        <v>5241</v>
      </c>
      <c r="F3641">
        <v>1782</v>
      </c>
      <c r="G3641">
        <v>2792</v>
      </c>
      <c r="H3641">
        <v>84</v>
      </c>
      <c r="J3641" t="s">
        <v>1650</v>
      </c>
      <c r="O3641" t="s">
        <v>54</v>
      </c>
      <c r="V3641" t="s">
        <v>1619</v>
      </c>
      <c r="W3641" t="s">
        <v>92</v>
      </c>
      <c r="Y3641" t="s">
        <v>38</v>
      </c>
      <c r="AA3641" t="s">
        <v>38</v>
      </c>
      <c r="AB3641" t="s">
        <v>38</v>
      </c>
      <c r="AC3641" t="s">
        <v>38</v>
      </c>
      <c r="AD3641" t="s">
        <v>48</v>
      </c>
      <c r="AG3641" t="str">
        <f>IF(AD3641="United States", IFERROR(INDEX(Sheet2!$C:$C, MATCH(AE3641&amp;AF3641, Sheet2!$E:$E, 0)) &amp; ", " &amp; INDEX(Sheet2!$D:$D, MATCH(AE3641&amp;AF3641, Sheet2!$E:$E, 0)), ""), "-")</f>
        <v/>
      </c>
    </row>
    <row r="3642" spans="1:33" x14ac:dyDescent="0.25">
      <c r="A3642" t="s">
        <v>5237</v>
      </c>
      <c r="D3642" t="s">
        <v>5090</v>
      </c>
      <c r="E3642" t="s">
        <v>5241</v>
      </c>
      <c r="F3642">
        <v>1777</v>
      </c>
      <c r="G3642">
        <v>2790</v>
      </c>
      <c r="H3642">
        <v>84</v>
      </c>
      <c r="J3642" t="s">
        <v>1650</v>
      </c>
      <c r="O3642" t="s">
        <v>74</v>
      </c>
      <c r="V3642" t="s">
        <v>1619</v>
      </c>
      <c r="W3642" t="s">
        <v>92</v>
      </c>
      <c r="Y3642" t="s">
        <v>38</v>
      </c>
      <c r="AA3642" t="s">
        <v>38</v>
      </c>
      <c r="AB3642" t="s">
        <v>38</v>
      </c>
      <c r="AC3642" t="s">
        <v>38</v>
      </c>
      <c r="AD3642" t="s">
        <v>48</v>
      </c>
      <c r="AG3642" t="str">
        <f>IF(AD3642="United States", IFERROR(INDEX(Sheet2!$C:$C, MATCH(AE3642&amp;AF3642, Sheet2!$E:$E, 0)) &amp; ", " &amp; INDEX(Sheet2!$D:$D, MATCH(AE3642&amp;AF3642, Sheet2!$E:$E, 0)), ""), "-")</f>
        <v/>
      </c>
    </row>
    <row r="3643" spans="1:33" x14ac:dyDescent="0.25">
      <c r="A3643" t="s">
        <v>5237</v>
      </c>
      <c r="D3643" t="s">
        <v>5297</v>
      </c>
      <c r="E3643" t="s">
        <v>5241</v>
      </c>
      <c r="F3643">
        <v>1761</v>
      </c>
      <c r="G3643">
        <v>2789</v>
      </c>
      <c r="H3643">
        <v>84</v>
      </c>
      <c r="J3643" t="s">
        <v>1650</v>
      </c>
      <c r="O3643" t="s">
        <v>57</v>
      </c>
      <c r="V3643" t="s">
        <v>1619</v>
      </c>
      <c r="W3643" t="s">
        <v>92</v>
      </c>
      <c r="Y3643" t="s">
        <v>38</v>
      </c>
      <c r="AA3643" t="s">
        <v>38</v>
      </c>
      <c r="AB3643" t="s">
        <v>38</v>
      </c>
      <c r="AC3643" t="s">
        <v>38</v>
      </c>
      <c r="AD3643" t="s">
        <v>48</v>
      </c>
      <c r="AG3643" t="str">
        <f>IF(AD3643="United States", IFERROR(INDEX(Sheet2!$C:$C, MATCH(AE3643&amp;AF3643, Sheet2!$E:$E, 0)) &amp; ", " &amp; INDEX(Sheet2!$D:$D, MATCH(AE3643&amp;AF3643, Sheet2!$E:$E, 0)), ""), "-")</f>
        <v/>
      </c>
    </row>
    <row r="3644" spans="1:33" x14ac:dyDescent="0.25">
      <c r="A3644" t="s">
        <v>5237</v>
      </c>
      <c r="D3644" t="s">
        <v>106</v>
      </c>
      <c r="E3644" t="s">
        <v>5241</v>
      </c>
      <c r="F3644">
        <v>1757</v>
      </c>
      <c r="G3644">
        <v>2788</v>
      </c>
      <c r="H3644">
        <v>84</v>
      </c>
      <c r="J3644" t="s">
        <v>1650</v>
      </c>
      <c r="O3644" t="s">
        <v>41</v>
      </c>
      <c r="V3644" t="s">
        <v>1619</v>
      </c>
      <c r="W3644" t="s">
        <v>92</v>
      </c>
      <c r="Y3644" t="s">
        <v>38</v>
      </c>
      <c r="AA3644" t="s">
        <v>38</v>
      </c>
      <c r="AB3644" t="s">
        <v>38</v>
      </c>
      <c r="AC3644" t="s">
        <v>38</v>
      </c>
      <c r="AD3644" t="s">
        <v>48</v>
      </c>
      <c r="AG3644" t="str">
        <f>IF(AD3644="United States", IFERROR(INDEX(Sheet2!$C:$C, MATCH(AE3644&amp;AF3644, Sheet2!$E:$E, 0)) &amp; ", " &amp; INDEX(Sheet2!$D:$D, MATCH(AE3644&amp;AF3644, Sheet2!$E:$E, 0)), ""), "-")</f>
        <v/>
      </c>
    </row>
    <row r="3645" spans="1:33" x14ac:dyDescent="0.25">
      <c r="A3645" t="s">
        <v>5237</v>
      </c>
      <c r="D3645" t="s">
        <v>63</v>
      </c>
      <c r="E3645" t="s">
        <v>5288</v>
      </c>
      <c r="F3645">
        <v>1748</v>
      </c>
      <c r="G3645">
        <v>2741</v>
      </c>
      <c r="H3645">
        <v>83</v>
      </c>
      <c r="J3645" t="s">
        <v>1650</v>
      </c>
      <c r="O3645" t="s">
        <v>41</v>
      </c>
      <c r="V3645" t="s">
        <v>1619</v>
      </c>
      <c r="W3645" t="s">
        <v>92</v>
      </c>
      <c r="Y3645" t="s">
        <v>38</v>
      </c>
      <c r="AA3645" t="s">
        <v>38</v>
      </c>
      <c r="AB3645" t="s">
        <v>38</v>
      </c>
      <c r="AC3645" t="s">
        <v>38</v>
      </c>
      <c r="AD3645" t="s">
        <v>48</v>
      </c>
      <c r="AG3645" t="str">
        <f>IF(AD3645="United States", IFERROR(INDEX(Sheet2!$C:$C, MATCH(AE3645&amp;AF3645, Sheet2!$E:$E, 0)) &amp; ", " &amp; INDEX(Sheet2!$D:$D, MATCH(AE3645&amp;AF3645, Sheet2!$E:$E, 0)), ""), "-")</f>
        <v/>
      </c>
    </row>
    <row r="3646" spans="1:33" x14ac:dyDescent="0.25">
      <c r="A3646" t="s">
        <v>5237</v>
      </c>
      <c r="D3646" t="s">
        <v>621</v>
      </c>
      <c r="E3646" t="s">
        <v>1654</v>
      </c>
      <c r="F3646">
        <v>1769</v>
      </c>
      <c r="G3646">
        <v>2756</v>
      </c>
      <c r="H3646">
        <v>83</v>
      </c>
      <c r="J3646" t="s">
        <v>1650</v>
      </c>
      <c r="O3646" t="s">
        <v>54</v>
      </c>
      <c r="V3646" t="s">
        <v>1619</v>
      </c>
      <c r="W3646" t="s">
        <v>92</v>
      </c>
      <c r="Y3646" t="s">
        <v>38</v>
      </c>
      <c r="AA3646" t="s">
        <v>38</v>
      </c>
      <c r="AB3646" t="s">
        <v>38</v>
      </c>
      <c r="AC3646" t="s">
        <v>38</v>
      </c>
      <c r="AD3646" t="s">
        <v>48</v>
      </c>
      <c r="AG3646" t="str">
        <f>IF(AD3646="United States", IFERROR(INDEX(Sheet2!$C:$C, MATCH(AE3646&amp;AF3646, Sheet2!$E:$E, 0)) &amp; ", " &amp; INDEX(Sheet2!$D:$D, MATCH(AE3646&amp;AF3646, Sheet2!$E:$E, 0)), ""), "-")</f>
        <v/>
      </c>
    </row>
    <row r="3647" spans="1:33" x14ac:dyDescent="0.25">
      <c r="A3647" t="s">
        <v>5237</v>
      </c>
      <c r="D3647" t="s">
        <v>63</v>
      </c>
      <c r="E3647" t="s">
        <v>5298</v>
      </c>
      <c r="F3647" t="s">
        <v>38</v>
      </c>
      <c r="G3647">
        <v>2779</v>
      </c>
      <c r="H3647">
        <v>84</v>
      </c>
      <c r="J3647" t="s">
        <v>1650</v>
      </c>
      <c r="O3647" t="s">
        <v>54</v>
      </c>
      <c r="V3647" t="s">
        <v>1619</v>
      </c>
      <c r="W3647" t="s">
        <v>92</v>
      </c>
      <c r="Y3647" t="s">
        <v>38</v>
      </c>
      <c r="AA3647" t="s">
        <v>38</v>
      </c>
      <c r="AB3647" t="s">
        <v>38</v>
      </c>
      <c r="AC3647" t="s">
        <v>38</v>
      </c>
      <c r="AD3647" t="s">
        <v>48</v>
      </c>
      <c r="AG3647" t="str">
        <f>IF(AD3647="United States", IFERROR(INDEX(Sheet2!$C:$C, MATCH(AE3647&amp;AF3647, Sheet2!$E:$E, 0)) &amp; ", " &amp; INDEX(Sheet2!$D:$D, MATCH(AE3647&amp;AF3647, Sheet2!$E:$E, 0)), ""), "-")</f>
        <v/>
      </c>
    </row>
    <row r="3648" spans="1:33" x14ac:dyDescent="0.25">
      <c r="A3648" t="s">
        <v>5237</v>
      </c>
      <c r="D3648" t="s">
        <v>132</v>
      </c>
      <c r="E3648" t="s">
        <v>633</v>
      </c>
      <c r="F3648">
        <v>1781</v>
      </c>
      <c r="G3648">
        <v>2773</v>
      </c>
      <c r="H3648">
        <v>84</v>
      </c>
      <c r="J3648" t="s">
        <v>1650</v>
      </c>
      <c r="O3648" t="s">
        <v>54</v>
      </c>
      <c r="V3648" t="s">
        <v>1619</v>
      </c>
      <c r="W3648" t="s">
        <v>92</v>
      </c>
      <c r="Y3648" t="s">
        <v>38</v>
      </c>
      <c r="AA3648" t="s">
        <v>38</v>
      </c>
      <c r="AB3648" t="s">
        <v>38</v>
      </c>
      <c r="AC3648" t="s">
        <v>38</v>
      </c>
      <c r="AD3648" t="s">
        <v>48</v>
      </c>
      <c r="AG3648" t="str">
        <f>IF(AD3648="United States", IFERROR(INDEX(Sheet2!$C:$C, MATCH(AE3648&amp;AF3648, Sheet2!$E:$E, 0)) &amp; ", " &amp; INDEX(Sheet2!$D:$D, MATCH(AE3648&amp;AF3648, Sheet2!$E:$E, 0)), ""), "-")</f>
        <v/>
      </c>
    </row>
    <row r="3649" spans="1:33" x14ac:dyDescent="0.25">
      <c r="A3649" t="s">
        <v>5237</v>
      </c>
      <c r="D3649" t="s">
        <v>245</v>
      </c>
      <c r="E3649" t="s">
        <v>633</v>
      </c>
      <c r="F3649">
        <v>1782</v>
      </c>
      <c r="G3649">
        <v>2774</v>
      </c>
      <c r="H3649">
        <v>84</v>
      </c>
      <c r="J3649" t="s">
        <v>1650</v>
      </c>
      <c r="O3649" t="s">
        <v>74</v>
      </c>
      <c r="V3649" t="s">
        <v>1619</v>
      </c>
      <c r="W3649" t="s">
        <v>92</v>
      </c>
      <c r="Y3649" t="s">
        <v>38</v>
      </c>
      <c r="AA3649" t="s">
        <v>38</v>
      </c>
      <c r="AB3649" t="s">
        <v>38</v>
      </c>
      <c r="AC3649" t="s">
        <v>38</v>
      </c>
      <c r="AD3649" t="s">
        <v>48</v>
      </c>
      <c r="AG3649" t="str">
        <f>IF(AD3649="United States", IFERROR(INDEX(Sheet2!$C:$C, MATCH(AE3649&amp;AF3649, Sheet2!$E:$E, 0)) &amp; ", " &amp; INDEX(Sheet2!$D:$D, MATCH(AE3649&amp;AF3649, Sheet2!$E:$E, 0)), ""), "-")</f>
        <v/>
      </c>
    </row>
    <row r="3650" spans="1:33" x14ac:dyDescent="0.25">
      <c r="A3650" t="s">
        <v>5237</v>
      </c>
      <c r="D3650" t="s">
        <v>120</v>
      </c>
      <c r="E3650" t="s">
        <v>5299</v>
      </c>
      <c r="F3650">
        <v>1743</v>
      </c>
      <c r="G3650">
        <v>2775</v>
      </c>
      <c r="H3650">
        <v>84</v>
      </c>
      <c r="J3650" t="s">
        <v>1650</v>
      </c>
      <c r="O3650" t="s">
        <v>41</v>
      </c>
      <c r="V3650" t="s">
        <v>1619</v>
      </c>
      <c r="W3650" t="s">
        <v>92</v>
      </c>
      <c r="Y3650" t="s">
        <v>38</v>
      </c>
      <c r="AA3650" t="s">
        <v>38</v>
      </c>
      <c r="AB3650" t="s">
        <v>38</v>
      </c>
      <c r="AC3650" t="s">
        <v>38</v>
      </c>
      <c r="AD3650" t="s">
        <v>48</v>
      </c>
      <c r="AG3650" t="str">
        <f>IF(AD3650="United States", IFERROR(INDEX(Sheet2!$C:$C, MATCH(AE3650&amp;AF3650, Sheet2!$E:$E, 0)) &amp; ", " &amp; INDEX(Sheet2!$D:$D, MATCH(AE3650&amp;AF3650, Sheet2!$E:$E, 0)), ""), "-")</f>
        <v/>
      </c>
    </row>
    <row r="3651" spans="1:33" x14ac:dyDescent="0.25">
      <c r="A3651" t="s">
        <v>5237</v>
      </c>
      <c r="D3651" t="s">
        <v>2792</v>
      </c>
      <c r="E3651" t="s">
        <v>1695</v>
      </c>
      <c r="F3651">
        <v>1753</v>
      </c>
      <c r="G3651">
        <v>2785</v>
      </c>
      <c r="H3651">
        <v>84</v>
      </c>
      <c r="J3651" t="s">
        <v>1650</v>
      </c>
      <c r="O3651" t="s">
        <v>57</v>
      </c>
      <c r="V3651" t="s">
        <v>1619</v>
      </c>
      <c r="W3651" t="s">
        <v>92</v>
      </c>
      <c r="Y3651" t="s">
        <v>38</v>
      </c>
      <c r="AA3651" t="s">
        <v>38</v>
      </c>
      <c r="AB3651" t="s">
        <v>38</v>
      </c>
      <c r="AC3651" t="s">
        <v>38</v>
      </c>
      <c r="AD3651" t="s">
        <v>48</v>
      </c>
      <c r="AG3651" t="str">
        <f>IF(AD3651="United States", IFERROR(INDEX(Sheet2!$C:$C, MATCH(AE3651&amp;AF3651, Sheet2!$E:$E, 0)) &amp; ", " &amp; INDEX(Sheet2!$D:$D, MATCH(AE3651&amp;AF3651, Sheet2!$E:$E, 0)), ""), "-")</f>
        <v/>
      </c>
    </row>
    <row r="3652" spans="1:33" x14ac:dyDescent="0.25">
      <c r="A3652" t="s">
        <v>5237</v>
      </c>
      <c r="D3652" t="s">
        <v>132</v>
      </c>
      <c r="E3652" t="s">
        <v>1695</v>
      </c>
      <c r="F3652">
        <v>1728</v>
      </c>
      <c r="G3652">
        <v>2784</v>
      </c>
      <c r="H3652">
        <v>84</v>
      </c>
      <c r="J3652" t="s">
        <v>1650</v>
      </c>
      <c r="O3652" t="s">
        <v>41</v>
      </c>
      <c r="V3652" t="s">
        <v>1619</v>
      </c>
      <c r="W3652" t="s">
        <v>92</v>
      </c>
      <c r="Y3652" t="s">
        <v>38</v>
      </c>
      <c r="AA3652" t="s">
        <v>38</v>
      </c>
      <c r="AB3652" t="s">
        <v>38</v>
      </c>
      <c r="AC3652" t="s">
        <v>38</v>
      </c>
      <c r="AD3652" t="s">
        <v>48</v>
      </c>
      <c r="AG3652" t="str">
        <f>IF(AD3652="United States", IFERROR(INDEX(Sheet2!$C:$C, MATCH(AE3652&amp;AF3652, Sheet2!$E:$E, 0)) &amp; ", " &amp; INDEX(Sheet2!$D:$D, MATCH(AE3652&amp;AF3652, Sheet2!$E:$E, 0)), ""), "-")</f>
        <v/>
      </c>
    </row>
    <row r="3653" spans="1:33" x14ac:dyDescent="0.25">
      <c r="A3653" t="s">
        <v>5237</v>
      </c>
      <c r="D3653" t="s">
        <v>4191</v>
      </c>
      <c r="E3653" t="s">
        <v>5300</v>
      </c>
      <c r="F3653">
        <v>1736</v>
      </c>
      <c r="G3653">
        <v>2783</v>
      </c>
      <c r="H3653">
        <v>84</v>
      </c>
      <c r="J3653" t="s">
        <v>1650</v>
      </c>
      <c r="O3653" t="s">
        <v>41</v>
      </c>
      <c r="V3653" t="s">
        <v>1619</v>
      </c>
      <c r="W3653" t="s">
        <v>92</v>
      </c>
      <c r="Y3653" t="s">
        <v>38</v>
      </c>
      <c r="AA3653" t="s">
        <v>38</v>
      </c>
      <c r="AB3653" t="s">
        <v>38</v>
      </c>
      <c r="AC3653" t="s">
        <v>38</v>
      </c>
      <c r="AD3653" t="s">
        <v>48</v>
      </c>
      <c r="AG3653" t="str">
        <f>IF(AD3653="United States", IFERROR(INDEX(Sheet2!$C:$C, MATCH(AE3653&amp;AF3653, Sheet2!$E:$E, 0)) &amp; ", " &amp; INDEX(Sheet2!$D:$D, MATCH(AE3653&amp;AF3653, Sheet2!$E:$E, 0)), ""), "-")</f>
        <v/>
      </c>
    </row>
    <row r="3654" spans="1:33" x14ac:dyDescent="0.25">
      <c r="A3654" t="s">
        <v>5237</v>
      </c>
      <c r="D3654" t="s">
        <v>1491</v>
      </c>
      <c r="E3654" t="s">
        <v>226</v>
      </c>
      <c r="F3654">
        <v>1778</v>
      </c>
      <c r="G3654">
        <v>2782</v>
      </c>
      <c r="H3654">
        <v>84</v>
      </c>
      <c r="J3654" t="s">
        <v>1650</v>
      </c>
      <c r="O3654" t="s">
        <v>54</v>
      </c>
      <c r="V3654" t="s">
        <v>1619</v>
      </c>
      <c r="W3654" t="s">
        <v>92</v>
      </c>
      <c r="Y3654" t="s">
        <v>38</v>
      </c>
      <c r="AA3654" t="s">
        <v>38</v>
      </c>
      <c r="AB3654" t="s">
        <v>38</v>
      </c>
      <c r="AC3654" t="s">
        <v>38</v>
      </c>
      <c r="AD3654" t="s">
        <v>48</v>
      </c>
      <c r="AG3654" t="str">
        <f>IF(AD3654="United States", IFERROR(INDEX(Sheet2!$C:$C, MATCH(AE3654&amp;AF3654, Sheet2!$E:$E, 0)) &amp; ", " &amp; INDEX(Sheet2!$D:$D, MATCH(AE3654&amp;AF3654, Sheet2!$E:$E, 0)), ""), "-")</f>
        <v/>
      </c>
    </row>
    <row r="3655" spans="1:33" x14ac:dyDescent="0.25">
      <c r="A3655" t="s">
        <v>5237</v>
      </c>
      <c r="D3655" t="s">
        <v>803</v>
      </c>
      <c r="E3655" t="s">
        <v>226</v>
      </c>
      <c r="F3655">
        <v>1761</v>
      </c>
      <c r="G3655">
        <v>2781</v>
      </c>
      <c r="H3655">
        <v>84</v>
      </c>
      <c r="J3655" t="s">
        <v>1650</v>
      </c>
      <c r="O3655" t="s">
        <v>57</v>
      </c>
      <c r="V3655" t="s">
        <v>1619</v>
      </c>
      <c r="W3655" t="s">
        <v>92</v>
      </c>
      <c r="Y3655" t="s">
        <v>38</v>
      </c>
      <c r="AA3655" t="s">
        <v>38</v>
      </c>
      <c r="AB3655" t="s">
        <v>38</v>
      </c>
      <c r="AC3655" t="s">
        <v>38</v>
      </c>
      <c r="AD3655" t="s">
        <v>48</v>
      </c>
      <c r="AG3655" t="str">
        <f>IF(AD3655="United States", IFERROR(INDEX(Sheet2!$C:$C, MATCH(AE3655&amp;AF3655, Sheet2!$E:$E, 0)) &amp; ", " &amp; INDEX(Sheet2!$D:$D, MATCH(AE3655&amp;AF3655, Sheet2!$E:$E, 0)), ""), "-")</f>
        <v/>
      </c>
    </row>
    <row r="3656" spans="1:33" x14ac:dyDescent="0.25">
      <c r="A3656" t="s">
        <v>5237</v>
      </c>
      <c r="D3656" t="s">
        <v>5301</v>
      </c>
      <c r="E3656" t="s">
        <v>5302</v>
      </c>
      <c r="F3656">
        <v>1761</v>
      </c>
      <c r="G3656">
        <v>2780</v>
      </c>
      <c r="H3656">
        <v>84</v>
      </c>
      <c r="J3656" t="s">
        <v>1650</v>
      </c>
      <c r="O3656" t="s">
        <v>41</v>
      </c>
      <c r="V3656" t="s">
        <v>1619</v>
      </c>
      <c r="W3656" t="s">
        <v>92</v>
      </c>
      <c r="Y3656" t="s">
        <v>38</v>
      </c>
      <c r="AA3656" t="s">
        <v>38</v>
      </c>
      <c r="AB3656" t="s">
        <v>38</v>
      </c>
      <c r="AC3656" t="s">
        <v>38</v>
      </c>
      <c r="AD3656" t="s">
        <v>48</v>
      </c>
      <c r="AG3656" t="str">
        <f>IF(AD3656="United States", IFERROR(INDEX(Sheet2!$C:$C, MATCH(AE3656&amp;AF3656, Sheet2!$E:$E, 0)) &amp; ", " &amp; INDEX(Sheet2!$D:$D, MATCH(AE3656&amp;AF3656, Sheet2!$E:$E, 0)), ""), "-")</f>
        <v/>
      </c>
    </row>
    <row r="3657" spans="1:33" x14ac:dyDescent="0.25">
      <c r="A3657" t="s">
        <v>5237</v>
      </c>
      <c r="D3657" t="s">
        <v>1003</v>
      </c>
      <c r="E3657" t="s">
        <v>1695</v>
      </c>
      <c r="F3657">
        <v>1775</v>
      </c>
      <c r="G3657">
        <v>2786</v>
      </c>
      <c r="H3657">
        <v>84</v>
      </c>
      <c r="J3657" t="s">
        <v>1650</v>
      </c>
      <c r="O3657" t="s">
        <v>74</v>
      </c>
      <c r="V3657" t="s">
        <v>1619</v>
      </c>
      <c r="W3657" t="s">
        <v>92</v>
      </c>
      <c r="Y3657" t="s">
        <v>38</v>
      </c>
      <c r="AA3657" t="s">
        <v>38</v>
      </c>
      <c r="AB3657" t="s">
        <v>38</v>
      </c>
      <c r="AC3657" t="s">
        <v>38</v>
      </c>
      <c r="AD3657" t="s">
        <v>48</v>
      </c>
      <c r="AG3657" t="str">
        <f>IF(AD3657="United States", IFERROR(INDEX(Sheet2!$C:$C, MATCH(AE3657&amp;AF3657, Sheet2!$E:$E, 0)) &amp; ", " &amp; INDEX(Sheet2!$D:$D, MATCH(AE3657&amp;AF3657, Sheet2!$E:$E, 0)), ""), "-")</f>
        <v/>
      </c>
    </row>
    <row r="3658" spans="1:33" x14ac:dyDescent="0.25">
      <c r="A3658" t="s">
        <v>5237</v>
      </c>
      <c r="D3658" t="s">
        <v>256</v>
      </c>
      <c r="E3658" t="s">
        <v>5298</v>
      </c>
      <c r="F3658">
        <v>1753</v>
      </c>
      <c r="G3658">
        <v>2778</v>
      </c>
      <c r="H3658">
        <v>84</v>
      </c>
      <c r="J3658" t="s">
        <v>1650</v>
      </c>
      <c r="O3658" t="s">
        <v>57</v>
      </c>
      <c r="V3658" t="s">
        <v>1619</v>
      </c>
      <c r="W3658" t="s">
        <v>92</v>
      </c>
      <c r="Y3658" t="s">
        <v>38</v>
      </c>
      <c r="AA3658" t="s">
        <v>38</v>
      </c>
      <c r="AB3658" t="s">
        <v>38</v>
      </c>
      <c r="AC3658" t="s">
        <v>38</v>
      </c>
      <c r="AD3658" t="s">
        <v>48</v>
      </c>
      <c r="AG3658" t="str">
        <f>IF(AD3658="United States", IFERROR(INDEX(Sheet2!$C:$C, MATCH(AE3658&amp;AF3658, Sheet2!$E:$E, 0)) &amp; ", " &amp; INDEX(Sheet2!$D:$D, MATCH(AE3658&amp;AF3658, Sheet2!$E:$E, 0)), ""), "-")</f>
        <v/>
      </c>
    </row>
    <row r="3659" spans="1:33" x14ac:dyDescent="0.25">
      <c r="A3659" t="s">
        <v>5237</v>
      </c>
      <c r="D3659" t="s">
        <v>1515</v>
      </c>
      <c r="E3659" t="s">
        <v>5298</v>
      </c>
      <c r="F3659">
        <v>1753</v>
      </c>
      <c r="G3659">
        <v>2777</v>
      </c>
      <c r="H3659">
        <v>84</v>
      </c>
      <c r="J3659" t="s">
        <v>1650</v>
      </c>
      <c r="O3659" t="s">
        <v>41</v>
      </c>
      <c r="V3659" t="s">
        <v>1619</v>
      </c>
      <c r="W3659" t="s">
        <v>92</v>
      </c>
      <c r="Y3659" t="s">
        <v>38</v>
      </c>
      <c r="AA3659" t="s">
        <v>38</v>
      </c>
      <c r="AB3659" t="s">
        <v>38</v>
      </c>
      <c r="AC3659" t="s">
        <v>38</v>
      </c>
      <c r="AD3659" t="s">
        <v>48</v>
      </c>
      <c r="AG3659" t="str">
        <f>IF(AD3659="United States", IFERROR(INDEX(Sheet2!$C:$C, MATCH(AE3659&amp;AF3659, Sheet2!$E:$E, 0)) &amp; ", " &amp; INDEX(Sheet2!$D:$D, MATCH(AE3659&amp;AF3659, Sheet2!$E:$E, 0)), ""), "-")</f>
        <v/>
      </c>
    </row>
    <row r="3660" spans="1:33" x14ac:dyDescent="0.25">
      <c r="A3660" t="s">
        <v>5237</v>
      </c>
      <c r="D3660" t="s">
        <v>132</v>
      </c>
      <c r="E3660" t="s">
        <v>1507</v>
      </c>
      <c r="F3660">
        <v>1728</v>
      </c>
      <c r="G3660">
        <v>2776</v>
      </c>
      <c r="H3660">
        <v>84</v>
      </c>
      <c r="J3660" t="s">
        <v>1650</v>
      </c>
      <c r="O3660" t="s">
        <v>41</v>
      </c>
      <c r="V3660" t="s">
        <v>1619</v>
      </c>
      <c r="W3660" t="s">
        <v>92</v>
      </c>
      <c r="Y3660" t="s">
        <v>38</v>
      </c>
      <c r="AA3660" t="s">
        <v>38</v>
      </c>
      <c r="AB3660" t="s">
        <v>38</v>
      </c>
      <c r="AC3660" t="s">
        <v>38</v>
      </c>
      <c r="AD3660" t="s">
        <v>48</v>
      </c>
      <c r="AG3660" t="str">
        <f>IF(AD3660="United States", IFERROR(INDEX(Sheet2!$C:$C, MATCH(AE3660&amp;AF3660, Sheet2!$E:$E, 0)) &amp; ", " &amp; INDEX(Sheet2!$D:$D, MATCH(AE3660&amp;AF3660, Sheet2!$E:$E, 0)), ""), "-")</f>
        <v/>
      </c>
    </row>
    <row r="3661" spans="1:33" x14ac:dyDescent="0.25">
      <c r="A3661" t="s">
        <v>1103</v>
      </c>
      <c r="B3661" t="s">
        <v>5303</v>
      </c>
      <c r="C3661" t="s">
        <v>5304</v>
      </c>
      <c r="D3661" t="s">
        <v>5305</v>
      </c>
      <c r="E3661" t="s">
        <v>38</v>
      </c>
      <c r="F3661">
        <v>1758</v>
      </c>
      <c r="G3661">
        <v>1800</v>
      </c>
      <c r="H3661" t="s">
        <v>313</v>
      </c>
      <c r="I3661" t="s">
        <v>80</v>
      </c>
      <c r="J3661" t="s">
        <v>38</v>
      </c>
      <c r="K3661" t="s">
        <v>38</v>
      </c>
      <c r="L3661" t="s">
        <v>38</v>
      </c>
      <c r="M3661" t="s">
        <v>38</v>
      </c>
      <c r="N3661" t="s">
        <v>38</v>
      </c>
      <c r="O3661" t="s">
        <v>41</v>
      </c>
      <c r="P3661" t="s">
        <v>42</v>
      </c>
      <c r="Q3661" t="s">
        <v>124</v>
      </c>
      <c r="R3661" t="s">
        <v>89</v>
      </c>
      <c r="S3661" t="s">
        <v>153</v>
      </c>
      <c r="T3661" t="s">
        <v>89</v>
      </c>
      <c r="U3661" t="s">
        <v>301</v>
      </c>
      <c r="V3661" t="s">
        <v>38</v>
      </c>
      <c r="W3661" t="s">
        <v>92</v>
      </c>
      <c r="X3661" t="s">
        <v>302</v>
      </c>
      <c r="Y3661" t="s">
        <v>4433</v>
      </c>
      <c r="Z3661" t="s">
        <v>42</v>
      </c>
      <c r="AA3661" t="s">
        <v>5305</v>
      </c>
      <c r="AB3661" t="s">
        <v>2715</v>
      </c>
      <c r="AC3661" t="s">
        <v>153</v>
      </c>
      <c r="AD3661" t="s">
        <v>48</v>
      </c>
      <c r="AG3661" t="str">
        <f>IF(AD3661="United States", IFERROR(INDEX(Sheet2!$C:$C, MATCH(AE3661&amp;AF3661, Sheet2!$E:$E, 0)) &amp; ", " &amp; INDEX(Sheet2!$D:$D, MATCH(AE3661&amp;AF3661, Sheet2!$E:$E, 0)), ""), "-")</f>
        <v/>
      </c>
    </row>
    <row r="3662" spans="1:33" x14ac:dyDescent="0.25">
      <c r="A3662" t="s">
        <v>1103</v>
      </c>
      <c r="B3662" t="s">
        <v>5306</v>
      </c>
      <c r="C3662" t="s">
        <v>5304</v>
      </c>
      <c r="D3662" t="s">
        <v>1107</v>
      </c>
      <c r="E3662" t="s">
        <v>38</v>
      </c>
      <c r="F3662">
        <v>1758</v>
      </c>
      <c r="G3662">
        <v>1801</v>
      </c>
      <c r="H3662" t="s">
        <v>38</v>
      </c>
      <c r="I3662" t="s">
        <v>80</v>
      </c>
      <c r="J3662" t="s">
        <v>38</v>
      </c>
      <c r="K3662" t="s">
        <v>38</v>
      </c>
      <c r="L3662" t="s">
        <v>38</v>
      </c>
      <c r="M3662" t="s">
        <v>38</v>
      </c>
      <c r="N3662" t="s">
        <v>38</v>
      </c>
      <c r="O3662" t="s">
        <v>41</v>
      </c>
      <c r="P3662" t="s">
        <v>42</v>
      </c>
      <c r="Q3662" t="s">
        <v>124</v>
      </c>
      <c r="R3662" t="s">
        <v>2715</v>
      </c>
      <c r="S3662" t="s">
        <v>153</v>
      </c>
      <c r="T3662" t="s">
        <v>38</v>
      </c>
      <c r="U3662" t="s">
        <v>38</v>
      </c>
      <c r="V3662" t="s">
        <v>38</v>
      </c>
      <c r="W3662" t="s">
        <v>38</v>
      </c>
      <c r="X3662" t="s">
        <v>38</v>
      </c>
      <c r="Y3662" t="s">
        <v>4433</v>
      </c>
      <c r="Z3662" t="s">
        <v>42</v>
      </c>
      <c r="AA3662" t="s">
        <v>2715</v>
      </c>
      <c r="AB3662" t="s">
        <v>38</v>
      </c>
      <c r="AC3662" t="s">
        <v>153</v>
      </c>
      <c r="AD3662" t="s">
        <v>48</v>
      </c>
      <c r="AG3662" t="str">
        <f>IF(AD3662="United States", IFERROR(INDEX(Sheet2!$C:$C, MATCH(AE3662&amp;AF3662, Sheet2!$E:$E, 0)) &amp; ", " &amp; INDEX(Sheet2!$D:$D, MATCH(AE3662&amp;AF3662, Sheet2!$E:$E, 0)), ""), "-")</f>
        <v/>
      </c>
    </row>
    <row r="3663" spans="1:33" x14ac:dyDescent="0.25">
      <c r="A3663" t="s">
        <v>1103</v>
      </c>
      <c r="B3663" t="s">
        <v>5307</v>
      </c>
      <c r="C3663" t="s">
        <v>5304</v>
      </c>
      <c r="D3663" t="s">
        <v>5308</v>
      </c>
      <c r="E3663" t="s">
        <v>38</v>
      </c>
      <c r="F3663">
        <v>1764</v>
      </c>
      <c r="G3663">
        <v>1811</v>
      </c>
      <c r="H3663" t="s">
        <v>38</v>
      </c>
      <c r="I3663" t="s">
        <v>80</v>
      </c>
      <c r="J3663" t="s">
        <v>38</v>
      </c>
      <c r="K3663" t="s">
        <v>38</v>
      </c>
      <c r="L3663" t="s">
        <v>38</v>
      </c>
      <c r="M3663" t="s">
        <v>38</v>
      </c>
      <c r="N3663" t="s">
        <v>38</v>
      </c>
      <c r="O3663" t="s">
        <v>57</v>
      </c>
      <c r="P3663" t="s">
        <v>42</v>
      </c>
      <c r="Q3663" t="s">
        <v>43</v>
      </c>
      <c r="R3663" t="s">
        <v>166</v>
      </c>
      <c r="S3663" t="s">
        <v>165</v>
      </c>
      <c r="T3663" t="s">
        <v>38</v>
      </c>
      <c r="U3663" t="s">
        <v>38</v>
      </c>
      <c r="V3663" t="s">
        <v>38</v>
      </c>
      <c r="W3663" t="s">
        <v>38</v>
      </c>
      <c r="X3663" t="s">
        <v>38</v>
      </c>
      <c r="Y3663" t="s">
        <v>5309</v>
      </c>
      <c r="Z3663" t="s">
        <v>42</v>
      </c>
      <c r="AA3663" t="s">
        <v>166</v>
      </c>
      <c r="AB3663" t="s">
        <v>38</v>
      </c>
      <c r="AC3663" t="s">
        <v>165</v>
      </c>
      <c r="AD3663" t="s">
        <v>48</v>
      </c>
      <c r="AG3663" t="str">
        <f>IF(AD3663="United States", IFERROR(INDEX(Sheet2!$C:$C, MATCH(AE3663&amp;AF3663, Sheet2!$E:$E, 0)) &amp; ", " &amp; INDEX(Sheet2!$D:$D, MATCH(AE3663&amp;AF3663, Sheet2!$E:$E, 0)), ""), "-")</f>
        <v/>
      </c>
    </row>
    <row r="3664" spans="1:33" x14ac:dyDescent="0.25">
      <c r="A3664" t="s">
        <v>1103</v>
      </c>
      <c r="B3664" t="s">
        <v>5310</v>
      </c>
      <c r="C3664" t="s">
        <v>5304</v>
      </c>
      <c r="D3664" t="s">
        <v>245</v>
      </c>
      <c r="E3664" t="s">
        <v>38</v>
      </c>
      <c r="F3664">
        <v>1758</v>
      </c>
      <c r="G3664">
        <v>1804</v>
      </c>
      <c r="H3664" t="s">
        <v>313</v>
      </c>
      <c r="I3664" t="s">
        <v>80</v>
      </c>
      <c r="J3664" t="s">
        <v>38</v>
      </c>
      <c r="K3664" t="s">
        <v>38</v>
      </c>
      <c r="L3664" t="s">
        <v>38</v>
      </c>
      <c r="M3664" t="s">
        <v>38</v>
      </c>
      <c r="N3664" t="s">
        <v>38</v>
      </c>
      <c r="O3664" t="s">
        <v>74</v>
      </c>
      <c r="P3664" t="s">
        <v>42</v>
      </c>
      <c r="Q3664" t="s">
        <v>43</v>
      </c>
      <c r="R3664" t="s">
        <v>89</v>
      </c>
      <c r="S3664" t="s">
        <v>38</v>
      </c>
      <c r="T3664" t="s">
        <v>89</v>
      </c>
      <c r="U3664" t="s">
        <v>301</v>
      </c>
      <c r="V3664" t="s">
        <v>38</v>
      </c>
      <c r="W3664" t="s">
        <v>92</v>
      </c>
      <c r="X3664" t="s">
        <v>302</v>
      </c>
      <c r="Y3664" t="s">
        <v>38</v>
      </c>
      <c r="Z3664" t="s">
        <v>42</v>
      </c>
      <c r="AA3664" t="s">
        <v>38</v>
      </c>
      <c r="AB3664" t="s">
        <v>38</v>
      </c>
      <c r="AC3664" t="s">
        <v>38</v>
      </c>
      <c r="AD3664" t="s">
        <v>48</v>
      </c>
      <c r="AG3664" t="str">
        <f>IF(AD3664="United States", IFERROR(INDEX(Sheet2!$C:$C, MATCH(AE3664&amp;AF3664, Sheet2!$E:$E, 0)) &amp; ", " &amp; INDEX(Sheet2!$D:$D, MATCH(AE3664&amp;AF3664, Sheet2!$E:$E, 0)), ""), "-")</f>
        <v/>
      </c>
    </row>
    <row r="3665" spans="1:33" x14ac:dyDescent="0.25">
      <c r="A3665" t="s">
        <v>1103</v>
      </c>
      <c r="B3665" t="s">
        <v>5311</v>
      </c>
      <c r="C3665" t="s">
        <v>5304</v>
      </c>
      <c r="D3665" t="s">
        <v>113</v>
      </c>
      <c r="E3665" t="s">
        <v>38</v>
      </c>
      <c r="F3665">
        <v>1756</v>
      </c>
      <c r="G3665">
        <v>1805</v>
      </c>
      <c r="H3665" t="s">
        <v>313</v>
      </c>
      <c r="I3665" t="s">
        <v>80</v>
      </c>
      <c r="J3665" t="s">
        <v>38</v>
      </c>
      <c r="K3665" t="s">
        <v>38</v>
      </c>
      <c r="L3665" t="s">
        <v>38</v>
      </c>
      <c r="M3665" t="s">
        <v>38</v>
      </c>
      <c r="N3665" t="s">
        <v>38</v>
      </c>
      <c r="O3665" t="s">
        <v>41</v>
      </c>
      <c r="P3665" t="s">
        <v>42</v>
      </c>
      <c r="Q3665" t="s">
        <v>43</v>
      </c>
      <c r="R3665" t="s">
        <v>89</v>
      </c>
      <c r="S3665" t="s">
        <v>153</v>
      </c>
      <c r="T3665" t="s">
        <v>89</v>
      </c>
      <c r="U3665" t="s">
        <v>301</v>
      </c>
      <c r="V3665" t="s">
        <v>38</v>
      </c>
      <c r="W3665" t="s">
        <v>92</v>
      </c>
      <c r="X3665" t="s">
        <v>302</v>
      </c>
      <c r="Y3665" t="s">
        <v>38</v>
      </c>
      <c r="Z3665" t="s">
        <v>42</v>
      </c>
      <c r="AA3665" t="s">
        <v>155</v>
      </c>
      <c r="AB3665" t="s">
        <v>38</v>
      </c>
      <c r="AC3665" t="s">
        <v>153</v>
      </c>
      <c r="AD3665" t="s">
        <v>48</v>
      </c>
      <c r="AG3665" t="str">
        <f>IF(AD3665="United States", IFERROR(INDEX(Sheet2!$C:$C, MATCH(AE3665&amp;AF3665, Sheet2!$E:$E, 0)) &amp; ", " &amp; INDEX(Sheet2!$D:$D, MATCH(AE3665&amp;AF3665, Sheet2!$E:$E, 0)), ""), "-")</f>
        <v/>
      </c>
    </row>
    <row r="3666" spans="1:33" x14ac:dyDescent="0.25">
      <c r="A3666" t="s">
        <v>1103</v>
      </c>
      <c r="B3666" t="s">
        <v>5312</v>
      </c>
      <c r="C3666" t="s">
        <v>5304</v>
      </c>
      <c r="D3666" t="s">
        <v>2376</v>
      </c>
      <c r="E3666" t="s">
        <v>38</v>
      </c>
      <c r="F3666">
        <v>1764</v>
      </c>
      <c r="G3666">
        <v>1806</v>
      </c>
      <c r="H3666" t="s">
        <v>313</v>
      </c>
      <c r="I3666" t="s">
        <v>80</v>
      </c>
      <c r="J3666" t="s">
        <v>38</v>
      </c>
      <c r="K3666" t="s">
        <v>38</v>
      </c>
      <c r="L3666" t="s">
        <v>38</v>
      </c>
      <c r="M3666" t="s">
        <v>38</v>
      </c>
      <c r="N3666" t="s">
        <v>38</v>
      </c>
      <c r="O3666" t="s">
        <v>41</v>
      </c>
      <c r="P3666" t="s">
        <v>42</v>
      </c>
      <c r="Q3666" t="s">
        <v>43</v>
      </c>
      <c r="R3666" t="s">
        <v>89</v>
      </c>
      <c r="S3666" t="s">
        <v>45</v>
      </c>
      <c r="T3666" t="s">
        <v>89</v>
      </c>
      <c r="U3666" t="s">
        <v>301</v>
      </c>
      <c r="V3666" t="s">
        <v>38</v>
      </c>
      <c r="W3666" t="s">
        <v>92</v>
      </c>
      <c r="X3666" t="s">
        <v>302</v>
      </c>
      <c r="Y3666" t="s">
        <v>38</v>
      </c>
      <c r="Z3666" t="s">
        <v>42</v>
      </c>
      <c r="AA3666" t="s">
        <v>1103</v>
      </c>
      <c r="AB3666" t="s">
        <v>38</v>
      </c>
      <c r="AC3666" t="s">
        <v>45</v>
      </c>
      <c r="AD3666" t="s">
        <v>48</v>
      </c>
      <c r="AG3666" t="str">
        <f>IF(AD3666="United States", IFERROR(INDEX(Sheet2!$C:$C, MATCH(AE3666&amp;AF3666, Sheet2!$E:$E, 0)) &amp; ", " &amp; INDEX(Sheet2!$D:$D, MATCH(AE3666&amp;AF3666, Sheet2!$E:$E, 0)), ""), "-")</f>
        <v/>
      </c>
    </row>
    <row r="3667" spans="1:33" x14ac:dyDescent="0.25">
      <c r="A3667" t="s">
        <v>1103</v>
      </c>
      <c r="B3667" t="s">
        <v>5313</v>
      </c>
      <c r="C3667" t="s">
        <v>5304</v>
      </c>
      <c r="D3667" t="s">
        <v>210</v>
      </c>
      <c r="E3667" t="s">
        <v>38</v>
      </c>
      <c r="F3667">
        <v>1758</v>
      </c>
      <c r="G3667">
        <v>1808</v>
      </c>
      <c r="H3667" t="s">
        <v>313</v>
      </c>
      <c r="I3667" t="s">
        <v>80</v>
      </c>
      <c r="J3667" t="s">
        <v>38</v>
      </c>
      <c r="K3667" t="s">
        <v>38</v>
      </c>
      <c r="L3667" t="s">
        <v>38</v>
      </c>
      <c r="M3667" t="s">
        <v>38</v>
      </c>
      <c r="N3667" t="s">
        <v>38</v>
      </c>
      <c r="O3667" t="s">
        <v>41</v>
      </c>
      <c r="P3667" t="s">
        <v>42</v>
      </c>
      <c r="Q3667" t="s">
        <v>43</v>
      </c>
      <c r="R3667" t="s">
        <v>89</v>
      </c>
      <c r="S3667" t="s">
        <v>153</v>
      </c>
      <c r="T3667" t="s">
        <v>89</v>
      </c>
      <c r="U3667" t="s">
        <v>301</v>
      </c>
      <c r="V3667" t="s">
        <v>38</v>
      </c>
      <c r="W3667" t="s">
        <v>92</v>
      </c>
      <c r="X3667" t="s">
        <v>302</v>
      </c>
      <c r="Y3667" t="s">
        <v>4433</v>
      </c>
      <c r="Z3667" t="s">
        <v>42</v>
      </c>
      <c r="AA3667" t="s">
        <v>155</v>
      </c>
      <c r="AB3667" t="s">
        <v>38</v>
      </c>
      <c r="AC3667" t="s">
        <v>153</v>
      </c>
      <c r="AD3667" t="s">
        <v>48</v>
      </c>
      <c r="AG3667" t="str">
        <f>IF(AD3667="United States", IFERROR(INDEX(Sheet2!$C:$C, MATCH(AE3667&amp;AF3667, Sheet2!$E:$E, 0)) &amp; ", " &amp; INDEX(Sheet2!$D:$D, MATCH(AE3667&amp;AF3667, Sheet2!$E:$E, 0)), ""), "-")</f>
        <v/>
      </c>
    </row>
    <row r="3668" spans="1:33" x14ac:dyDescent="0.25">
      <c r="A3668" t="s">
        <v>1103</v>
      </c>
      <c r="B3668" t="s">
        <v>5314</v>
      </c>
      <c r="C3668" t="s">
        <v>5304</v>
      </c>
      <c r="D3668" t="s">
        <v>518</v>
      </c>
      <c r="E3668" t="s">
        <v>38</v>
      </c>
      <c r="F3668">
        <v>1755</v>
      </c>
      <c r="G3668">
        <v>1809</v>
      </c>
      <c r="H3668" t="s">
        <v>313</v>
      </c>
      <c r="I3668" t="s">
        <v>80</v>
      </c>
      <c r="J3668" t="s">
        <v>38</v>
      </c>
      <c r="K3668" t="s">
        <v>38</v>
      </c>
      <c r="L3668" t="s">
        <v>38</v>
      </c>
      <c r="M3668" t="s">
        <v>38</v>
      </c>
      <c r="N3668" t="s">
        <v>38</v>
      </c>
      <c r="O3668" t="s">
        <v>57</v>
      </c>
      <c r="P3668" t="s">
        <v>42</v>
      </c>
      <c r="Q3668" t="s">
        <v>43</v>
      </c>
      <c r="R3668" t="s">
        <v>89</v>
      </c>
      <c r="S3668" t="s">
        <v>153</v>
      </c>
      <c r="T3668" t="s">
        <v>89</v>
      </c>
      <c r="U3668" t="s">
        <v>301</v>
      </c>
      <c r="V3668" t="s">
        <v>38</v>
      </c>
      <c r="W3668" t="s">
        <v>92</v>
      </c>
      <c r="X3668" t="s">
        <v>302</v>
      </c>
      <c r="Y3668" t="s">
        <v>5315</v>
      </c>
      <c r="Z3668" t="s">
        <v>42</v>
      </c>
      <c r="AA3668" t="s">
        <v>3920</v>
      </c>
      <c r="AB3668" t="s">
        <v>38</v>
      </c>
      <c r="AC3668" t="s">
        <v>153</v>
      </c>
      <c r="AD3668" t="s">
        <v>48</v>
      </c>
      <c r="AG3668" t="str">
        <f>IF(AD3668="United States", IFERROR(INDEX(Sheet2!$C:$C, MATCH(AE3668&amp;AF3668, Sheet2!$E:$E, 0)) &amp; ", " &amp; INDEX(Sheet2!$D:$D, MATCH(AE3668&amp;AF3668, Sheet2!$E:$E, 0)), ""), "-")</f>
        <v/>
      </c>
    </row>
    <row r="3669" spans="1:33" x14ac:dyDescent="0.25">
      <c r="A3669" t="s">
        <v>1103</v>
      </c>
      <c r="B3669" t="s">
        <v>5316</v>
      </c>
      <c r="C3669" t="s">
        <v>5304</v>
      </c>
      <c r="D3669" t="s">
        <v>5317</v>
      </c>
      <c r="E3669" t="s">
        <v>38</v>
      </c>
      <c r="F3669">
        <v>1763</v>
      </c>
      <c r="G3669">
        <v>1810</v>
      </c>
      <c r="H3669" t="s">
        <v>313</v>
      </c>
      <c r="I3669" t="s">
        <v>80</v>
      </c>
      <c r="J3669" t="s">
        <v>38</v>
      </c>
      <c r="K3669" t="s">
        <v>38</v>
      </c>
      <c r="L3669" t="s">
        <v>38</v>
      </c>
      <c r="M3669" t="s">
        <v>38</v>
      </c>
      <c r="N3669" t="s">
        <v>38</v>
      </c>
      <c r="O3669" t="s">
        <v>57</v>
      </c>
      <c r="P3669" t="s">
        <v>42</v>
      </c>
      <c r="Q3669" t="s">
        <v>43</v>
      </c>
      <c r="R3669" t="s">
        <v>89</v>
      </c>
      <c r="S3669" t="s">
        <v>153</v>
      </c>
      <c r="T3669" t="s">
        <v>89</v>
      </c>
      <c r="U3669" t="s">
        <v>301</v>
      </c>
      <c r="V3669" t="s">
        <v>38</v>
      </c>
      <c r="W3669" t="s">
        <v>92</v>
      </c>
      <c r="X3669" t="s">
        <v>302</v>
      </c>
      <c r="Y3669" t="s">
        <v>5315</v>
      </c>
      <c r="Z3669" t="s">
        <v>42</v>
      </c>
      <c r="AA3669" t="s">
        <v>155</v>
      </c>
      <c r="AB3669" t="s">
        <v>38</v>
      </c>
      <c r="AC3669" t="s">
        <v>153</v>
      </c>
      <c r="AD3669" t="s">
        <v>48</v>
      </c>
      <c r="AG3669" t="str">
        <f>IF(AD3669="United States", IFERROR(INDEX(Sheet2!$C:$C, MATCH(AE3669&amp;AF3669, Sheet2!$E:$E, 0)) &amp; ", " &amp; INDEX(Sheet2!$D:$D, MATCH(AE3669&amp;AF3669, Sheet2!$E:$E, 0)), ""), "-")</f>
        <v/>
      </c>
    </row>
    <row r="3670" spans="1:33" x14ac:dyDescent="0.25">
      <c r="A3670" t="s">
        <v>1103</v>
      </c>
      <c r="B3670" t="s">
        <v>5318</v>
      </c>
      <c r="C3670" t="s">
        <v>5304</v>
      </c>
      <c r="D3670" t="s">
        <v>991</v>
      </c>
      <c r="E3670" t="s">
        <v>38</v>
      </c>
      <c r="F3670">
        <v>1753</v>
      </c>
      <c r="G3670">
        <v>1803</v>
      </c>
      <c r="H3670" t="s">
        <v>313</v>
      </c>
      <c r="I3670" t="s">
        <v>80</v>
      </c>
      <c r="J3670" t="s">
        <v>38</v>
      </c>
      <c r="K3670" t="s">
        <v>38</v>
      </c>
      <c r="L3670" t="s">
        <v>38</v>
      </c>
      <c r="M3670" t="s">
        <v>38</v>
      </c>
      <c r="N3670" t="s">
        <v>38</v>
      </c>
      <c r="O3670" t="s">
        <v>41</v>
      </c>
      <c r="P3670" t="s">
        <v>42</v>
      </c>
      <c r="Q3670" t="s">
        <v>43</v>
      </c>
      <c r="R3670" t="s">
        <v>89</v>
      </c>
      <c r="S3670" t="s">
        <v>153</v>
      </c>
      <c r="T3670" t="s">
        <v>89</v>
      </c>
      <c r="U3670" t="s">
        <v>301</v>
      </c>
      <c r="V3670" t="s">
        <v>38</v>
      </c>
      <c r="W3670" t="s">
        <v>92</v>
      </c>
      <c r="X3670" t="s">
        <v>302</v>
      </c>
      <c r="Y3670" t="s">
        <v>4433</v>
      </c>
      <c r="Z3670" t="s">
        <v>42</v>
      </c>
      <c r="AA3670" t="s">
        <v>991</v>
      </c>
      <c r="AB3670" t="s">
        <v>155</v>
      </c>
      <c r="AC3670" t="s">
        <v>153</v>
      </c>
      <c r="AD3670" t="s">
        <v>48</v>
      </c>
      <c r="AG3670" t="str">
        <f>IF(AD3670="United States", IFERROR(INDEX(Sheet2!$C:$C, MATCH(AE3670&amp;AF3670, Sheet2!$E:$E, 0)) &amp; ", " &amp; INDEX(Sheet2!$D:$D, MATCH(AE3670&amp;AF3670, Sheet2!$E:$E, 0)), ""), "-")</f>
        <v/>
      </c>
    </row>
    <row r="3671" spans="1:33" x14ac:dyDescent="0.25">
      <c r="A3671" t="s">
        <v>1103</v>
      </c>
      <c r="B3671" t="s">
        <v>5319</v>
      </c>
      <c r="C3671" t="s">
        <v>5304</v>
      </c>
      <c r="D3671" t="s">
        <v>569</v>
      </c>
      <c r="E3671" t="s">
        <v>5320</v>
      </c>
      <c r="F3671">
        <v>1738</v>
      </c>
      <c r="G3671">
        <v>1807</v>
      </c>
      <c r="H3671" t="s">
        <v>313</v>
      </c>
      <c r="I3671" t="s">
        <v>80</v>
      </c>
      <c r="J3671" t="s">
        <v>38</v>
      </c>
      <c r="K3671" t="s">
        <v>38</v>
      </c>
      <c r="L3671" t="s">
        <v>38</v>
      </c>
      <c r="M3671" t="s">
        <v>38</v>
      </c>
      <c r="N3671" t="s">
        <v>38</v>
      </c>
      <c r="O3671" t="s">
        <v>41</v>
      </c>
      <c r="P3671" t="s">
        <v>42</v>
      </c>
      <c r="Q3671" t="s">
        <v>43</v>
      </c>
      <c r="R3671" t="s">
        <v>89</v>
      </c>
      <c r="S3671" t="s">
        <v>38</v>
      </c>
      <c r="T3671" t="s">
        <v>89</v>
      </c>
      <c r="U3671" t="s">
        <v>301</v>
      </c>
      <c r="V3671" t="s">
        <v>38</v>
      </c>
      <c r="W3671" t="s">
        <v>92</v>
      </c>
      <c r="X3671" t="s">
        <v>302</v>
      </c>
      <c r="Y3671" t="s">
        <v>38</v>
      </c>
      <c r="Z3671" t="s">
        <v>42</v>
      </c>
      <c r="AA3671" t="s">
        <v>1103</v>
      </c>
      <c r="AB3671" t="s">
        <v>38</v>
      </c>
      <c r="AC3671" t="s">
        <v>5321</v>
      </c>
      <c r="AD3671" t="s">
        <v>48</v>
      </c>
      <c r="AG3671" t="str">
        <f>IF(AD3671="United States", IFERROR(INDEX(Sheet2!$C:$C, MATCH(AE3671&amp;AF3671, Sheet2!$E:$E, 0)) &amp; ", " &amp; INDEX(Sheet2!$D:$D, MATCH(AE3671&amp;AF3671, Sheet2!$E:$E, 0)), ""), "-")</f>
        <v/>
      </c>
    </row>
    <row r="3672" spans="1:33" x14ac:dyDescent="0.25">
      <c r="A3672" t="s">
        <v>1103</v>
      </c>
      <c r="B3672" t="s">
        <v>5322</v>
      </c>
      <c r="C3672" t="s">
        <v>5304</v>
      </c>
      <c r="D3672" t="s">
        <v>113</v>
      </c>
      <c r="E3672" t="s">
        <v>38</v>
      </c>
      <c r="F3672">
        <v>1763</v>
      </c>
      <c r="G3672">
        <v>1802</v>
      </c>
      <c r="H3672" t="s">
        <v>313</v>
      </c>
      <c r="I3672" t="s">
        <v>80</v>
      </c>
      <c r="J3672" t="s">
        <v>38</v>
      </c>
      <c r="K3672" t="s">
        <v>38</v>
      </c>
      <c r="L3672" t="s">
        <v>38</v>
      </c>
      <c r="M3672" t="s">
        <v>38</v>
      </c>
      <c r="N3672" t="s">
        <v>38</v>
      </c>
      <c r="O3672" t="s">
        <v>41</v>
      </c>
      <c r="P3672" t="s">
        <v>42</v>
      </c>
      <c r="Q3672" t="s">
        <v>43</v>
      </c>
      <c r="R3672" t="s">
        <v>89</v>
      </c>
      <c r="S3672" t="s">
        <v>165</v>
      </c>
      <c r="T3672" t="s">
        <v>89</v>
      </c>
      <c r="U3672" t="s">
        <v>301</v>
      </c>
      <c r="V3672" t="s">
        <v>38</v>
      </c>
      <c r="W3672" t="s">
        <v>92</v>
      </c>
      <c r="X3672" t="s">
        <v>302</v>
      </c>
      <c r="Y3672" t="s">
        <v>4433</v>
      </c>
      <c r="Z3672" t="s">
        <v>42</v>
      </c>
      <c r="AA3672" t="s">
        <v>166</v>
      </c>
      <c r="AB3672" t="s">
        <v>38</v>
      </c>
      <c r="AC3672" t="s">
        <v>165</v>
      </c>
      <c r="AD3672" t="s">
        <v>48</v>
      </c>
      <c r="AG3672" t="str">
        <f>IF(AD3672="United States", IFERROR(INDEX(Sheet2!$C:$C, MATCH(AE3672&amp;AF3672, Sheet2!$E:$E, 0)) &amp; ", " &amp; INDEX(Sheet2!$D:$D, MATCH(AE3672&amp;AF3672, Sheet2!$E:$E, 0)), ""), "-")</f>
        <v/>
      </c>
    </row>
    <row r="3673" spans="1:33" x14ac:dyDescent="0.25">
      <c r="A3673" t="s">
        <v>1103</v>
      </c>
      <c r="D3673" t="s">
        <v>181</v>
      </c>
      <c r="E3673" t="s">
        <v>245</v>
      </c>
      <c r="F3673">
        <v>1779</v>
      </c>
      <c r="G3673">
        <v>1721</v>
      </c>
      <c r="H3673">
        <v>58</v>
      </c>
      <c r="J3673" t="s">
        <v>5323</v>
      </c>
      <c r="O3673" t="s">
        <v>183</v>
      </c>
      <c r="R3673" t="s">
        <v>89</v>
      </c>
      <c r="T3673" t="s">
        <v>89</v>
      </c>
      <c r="U3673" t="s">
        <v>301</v>
      </c>
      <c r="V3673" t="s">
        <v>5324</v>
      </c>
      <c r="W3673" t="s">
        <v>92</v>
      </c>
      <c r="X3673" t="s">
        <v>302</v>
      </c>
      <c r="Y3673" t="s">
        <v>38</v>
      </c>
      <c r="AA3673" t="s">
        <v>38</v>
      </c>
      <c r="AB3673" t="s">
        <v>38</v>
      </c>
      <c r="AC3673" t="s">
        <v>38</v>
      </c>
      <c r="AD3673" t="s">
        <v>48</v>
      </c>
      <c r="AG3673" t="str">
        <f>IF(AD3673="United States", IFERROR(INDEX(Sheet2!$C:$C, MATCH(AE3673&amp;AF3673, Sheet2!$E:$E, 0)) &amp; ", " &amp; INDEX(Sheet2!$D:$D, MATCH(AE3673&amp;AF3673, Sheet2!$E:$E, 0)), ""), "-")</f>
        <v/>
      </c>
    </row>
    <row r="3674" spans="1:33" x14ac:dyDescent="0.25">
      <c r="A3674" t="s">
        <v>5325</v>
      </c>
      <c r="D3674" t="s">
        <v>4193</v>
      </c>
      <c r="E3674" t="s">
        <v>38</v>
      </c>
      <c r="F3674">
        <v>1753</v>
      </c>
      <c r="G3674">
        <v>2249</v>
      </c>
      <c r="H3674">
        <v>71</v>
      </c>
      <c r="O3674" t="s">
        <v>41</v>
      </c>
      <c r="R3674" t="s">
        <v>2452</v>
      </c>
      <c r="T3674" t="s">
        <v>89</v>
      </c>
      <c r="U3674" t="s">
        <v>2453</v>
      </c>
      <c r="V3674" t="s">
        <v>597</v>
      </c>
      <c r="W3674" t="s">
        <v>92</v>
      </c>
      <c r="Y3674" t="s">
        <v>38</v>
      </c>
      <c r="AA3674" t="s">
        <v>38</v>
      </c>
      <c r="AB3674" t="s">
        <v>38</v>
      </c>
      <c r="AC3674" t="s">
        <v>38</v>
      </c>
      <c r="AD3674" t="s">
        <v>48</v>
      </c>
      <c r="AG3674" t="str">
        <f>IF(AD3674="United States", IFERROR(INDEX(Sheet2!$C:$C, MATCH(AE3674&amp;AF3674, Sheet2!$E:$E, 0)) &amp; ", " &amp; INDEX(Sheet2!$D:$D, MATCH(AE3674&amp;AF3674, Sheet2!$E:$E, 0)), ""), "-")</f>
        <v/>
      </c>
    </row>
    <row r="3675" spans="1:33" x14ac:dyDescent="0.25">
      <c r="A3675" t="s">
        <v>5326</v>
      </c>
      <c r="B3675" t="s">
        <v>5327</v>
      </c>
      <c r="C3675" t="s">
        <v>5328</v>
      </c>
      <c r="D3675" t="s">
        <v>5329</v>
      </c>
      <c r="E3675" t="s">
        <v>38</v>
      </c>
      <c r="F3675">
        <v>1774</v>
      </c>
      <c r="G3675">
        <v>2171</v>
      </c>
      <c r="H3675" t="s">
        <v>38</v>
      </c>
      <c r="I3675" t="s">
        <v>87</v>
      </c>
      <c r="J3675" t="s">
        <v>38</v>
      </c>
      <c r="K3675" t="s">
        <v>38</v>
      </c>
      <c r="L3675" t="s">
        <v>38</v>
      </c>
      <c r="M3675" t="s">
        <v>38</v>
      </c>
      <c r="N3675" t="s">
        <v>38</v>
      </c>
      <c r="O3675" t="s">
        <v>74</v>
      </c>
      <c r="P3675" t="s">
        <v>42</v>
      </c>
      <c r="Q3675" t="s">
        <v>43</v>
      </c>
      <c r="R3675" t="s">
        <v>38</v>
      </c>
      <c r="S3675" t="s">
        <v>38</v>
      </c>
      <c r="T3675" t="s">
        <v>38</v>
      </c>
      <c r="U3675" t="s">
        <v>38</v>
      </c>
      <c r="V3675" t="s">
        <v>38</v>
      </c>
      <c r="W3675" t="s">
        <v>38</v>
      </c>
      <c r="X3675" t="s">
        <v>38</v>
      </c>
      <c r="Y3675" t="s">
        <v>5330</v>
      </c>
      <c r="Z3675" t="s">
        <v>42</v>
      </c>
      <c r="AA3675" t="s">
        <v>38</v>
      </c>
      <c r="AB3675" t="s">
        <v>38</v>
      </c>
      <c r="AC3675" t="s">
        <v>5329</v>
      </c>
      <c r="AD3675" t="s">
        <v>48</v>
      </c>
      <c r="AG3675" t="str">
        <f>IF(AD3675="United States", IFERROR(INDEX(Sheet2!$C:$C, MATCH(AE3675&amp;AF3675, Sheet2!$E:$E, 0)) &amp; ", " &amp; INDEX(Sheet2!$D:$D, MATCH(AE3675&amp;AF3675, Sheet2!$E:$E, 0)), ""), "-")</f>
        <v/>
      </c>
    </row>
    <row r="3676" spans="1:33" x14ac:dyDescent="0.25">
      <c r="A3676" t="s">
        <v>5326</v>
      </c>
      <c r="B3676" t="s">
        <v>5331</v>
      </c>
      <c r="C3676" t="s">
        <v>5328</v>
      </c>
      <c r="D3676" t="s">
        <v>5332</v>
      </c>
      <c r="E3676" t="s">
        <v>38</v>
      </c>
      <c r="F3676">
        <v>1772</v>
      </c>
      <c r="G3676">
        <v>2172</v>
      </c>
      <c r="H3676" t="s">
        <v>38</v>
      </c>
      <c r="I3676" t="s">
        <v>87</v>
      </c>
      <c r="J3676" t="s">
        <v>38</v>
      </c>
      <c r="K3676" t="s">
        <v>38</v>
      </c>
      <c r="L3676" t="s">
        <v>38</v>
      </c>
      <c r="M3676" t="s">
        <v>38</v>
      </c>
      <c r="N3676" t="s">
        <v>38</v>
      </c>
      <c r="O3676" t="s">
        <v>74</v>
      </c>
      <c r="P3676" t="s">
        <v>42</v>
      </c>
      <c r="Q3676" t="s">
        <v>43</v>
      </c>
      <c r="R3676" t="s">
        <v>38</v>
      </c>
      <c r="S3676" t="s">
        <v>38</v>
      </c>
      <c r="T3676" t="s">
        <v>38</v>
      </c>
      <c r="U3676" t="s">
        <v>38</v>
      </c>
      <c r="V3676" t="s">
        <v>38</v>
      </c>
      <c r="W3676" t="s">
        <v>38</v>
      </c>
      <c r="X3676" t="s">
        <v>38</v>
      </c>
      <c r="Y3676" t="s">
        <v>5333</v>
      </c>
      <c r="Z3676" t="s">
        <v>42</v>
      </c>
      <c r="AA3676" t="s">
        <v>38</v>
      </c>
      <c r="AB3676" t="s">
        <v>38</v>
      </c>
      <c r="AC3676" t="s">
        <v>5332</v>
      </c>
      <c r="AD3676" t="s">
        <v>48</v>
      </c>
      <c r="AG3676" t="str">
        <f>IF(AD3676="United States", IFERROR(INDEX(Sheet2!$C:$C, MATCH(AE3676&amp;AF3676, Sheet2!$E:$E, 0)) &amp; ", " &amp; INDEX(Sheet2!$D:$D, MATCH(AE3676&amp;AF3676, Sheet2!$E:$E, 0)), ""), "-")</f>
        <v/>
      </c>
    </row>
    <row r="3677" spans="1:33" x14ac:dyDescent="0.25">
      <c r="A3677" t="s">
        <v>5334</v>
      </c>
      <c r="D3677" t="s">
        <v>5335</v>
      </c>
      <c r="E3677" t="s">
        <v>38</v>
      </c>
      <c r="F3677">
        <v>1774</v>
      </c>
      <c r="G3677">
        <v>2122</v>
      </c>
      <c r="H3677">
        <v>68</v>
      </c>
      <c r="J3677" t="s">
        <v>5336</v>
      </c>
      <c r="O3677" t="s">
        <v>74</v>
      </c>
      <c r="R3677" t="s">
        <v>89</v>
      </c>
      <c r="T3677" t="s">
        <v>89</v>
      </c>
      <c r="U3677" t="s">
        <v>5337</v>
      </c>
      <c r="V3677" t="s">
        <v>2589</v>
      </c>
      <c r="W3677" t="s">
        <v>92</v>
      </c>
      <c r="X3677" t="s">
        <v>5338</v>
      </c>
      <c r="Y3677" t="s">
        <v>38</v>
      </c>
      <c r="AA3677" t="s">
        <v>38</v>
      </c>
      <c r="AB3677" t="s">
        <v>38</v>
      </c>
      <c r="AC3677" t="s">
        <v>38</v>
      </c>
      <c r="AD3677" t="s">
        <v>48</v>
      </c>
      <c r="AG3677" t="str">
        <f>IF(AD3677="United States", IFERROR(INDEX(Sheet2!$C:$C, MATCH(AE3677&amp;AF3677, Sheet2!$E:$E, 0)) &amp; ", " &amp; INDEX(Sheet2!$D:$D, MATCH(AE3677&amp;AF3677, Sheet2!$E:$E, 0)), ""), "-")</f>
        <v/>
      </c>
    </row>
    <row r="3678" spans="1:33" x14ac:dyDescent="0.25">
      <c r="A3678" t="s">
        <v>5334</v>
      </c>
      <c r="D3678" t="s">
        <v>5332</v>
      </c>
      <c r="E3678" t="s">
        <v>38</v>
      </c>
      <c r="F3678">
        <v>1772</v>
      </c>
      <c r="G3678">
        <v>2123</v>
      </c>
      <c r="H3678">
        <v>68</v>
      </c>
      <c r="J3678" t="s">
        <v>5336</v>
      </c>
      <c r="O3678" t="s">
        <v>74</v>
      </c>
      <c r="R3678" t="s">
        <v>89</v>
      </c>
      <c r="T3678" t="s">
        <v>89</v>
      </c>
      <c r="U3678" t="s">
        <v>5337</v>
      </c>
      <c r="V3678" t="s">
        <v>2589</v>
      </c>
      <c r="W3678" t="s">
        <v>92</v>
      </c>
      <c r="X3678" t="s">
        <v>5338</v>
      </c>
      <c r="Y3678" t="s">
        <v>38</v>
      </c>
      <c r="AA3678" t="s">
        <v>38</v>
      </c>
      <c r="AB3678" t="s">
        <v>38</v>
      </c>
      <c r="AC3678" t="s">
        <v>38</v>
      </c>
      <c r="AD3678" t="s">
        <v>48</v>
      </c>
      <c r="AG3678" t="str">
        <f>IF(AD3678="United States", IFERROR(INDEX(Sheet2!$C:$C, MATCH(AE3678&amp;AF3678, Sheet2!$E:$E, 0)) &amp; ", " &amp; INDEX(Sheet2!$D:$D, MATCH(AE3678&amp;AF3678, Sheet2!$E:$E, 0)), ""), "-")</f>
        <v/>
      </c>
    </row>
    <row r="3679" spans="1:33" x14ac:dyDescent="0.25">
      <c r="A3679" t="s">
        <v>5339</v>
      </c>
      <c r="B3679" t="s">
        <v>5340</v>
      </c>
      <c r="C3679" t="s">
        <v>5341</v>
      </c>
      <c r="D3679" t="s">
        <v>774</v>
      </c>
      <c r="E3679" t="s">
        <v>38</v>
      </c>
      <c r="F3679">
        <v>1763</v>
      </c>
      <c r="G3679">
        <v>1819</v>
      </c>
      <c r="H3679" t="s">
        <v>38</v>
      </c>
      <c r="I3679" t="s">
        <v>80</v>
      </c>
      <c r="J3679" t="s">
        <v>38</v>
      </c>
      <c r="K3679" t="s">
        <v>38</v>
      </c>
      <c r="L3679" t="s">
        <v>38</v>
      </c>
      <c r="M3679" t="s">
        <v>38</v>
      </c>
      <c r="N3679" t="s">
        <v>38</v>
      </c>
      <c r="O3679" t="s">
        <v>41</v>
      </c>
      <c r="P3679" t="s">
        <v>42</v>
      </c>
      <c r="Q3679" t="s">
        <v>43</v>
      </c>
      <c r="R3679" t="s">
        <v>5342</v>
      </c>
      <c r="S3679" t="s">
        <v>153</v>
      </c>
      <c r="T3679" t="s">
        <v>38</v>
      </c>
      <c r="U3679" t="s">
        <v>38</v>
      </c>
      <c r="V3679" t="s">
        <v>38</v>
      </c>
      <c r="W3679" t="s">
        <v>38</v>
      </c>
      <c r="X3679" t="s">
        <v>38</v>
      </c>
      <c r="Y3679" t="s">
        <v>5343</v>
      </c>
      <c r="Z3679" t="s">
        <v>42</v>
      </c>
      <c r="AA3679" t="s">
        <v>155</v>
      </c>
      <c r="AB3679" t="s">
        <v>38</v>
      </c>
      <c r="AC3679" t="s">
        <v>153</v>
      </c>
      <c r="AD3679" t="s">
        <v>48</v>
      </c>
      <c r="AG3679" t="str">
        <f>IF(AD3679="United States", IFERROR(INDEX(Sheet2!$C:$C, MATCH(AE3679&amp;AF3679, Sheet2!$E:$E, 0)) &amp; ", " &amp; INDEX(Sheet2!$D:$D, MATCH(AE3679&amp;AF3679, Sheet2!$E:$E, 0)), ""), "-")</f>
        <v/>
      </c>
    </row>
    <row r="3680" spans="1:33" x14ac:dyDescent="0.25">
      <c r="A3680" t="s">
        <v>5344</v>
      </c>
      <c r="D3680" t="s">
        <v>774</v>
      </c>
      <c r="E3680" t="s">
        <v>38</v>
      </c>
      <c r="F3680">
        <v>1763</v>
      </c>
      <c r="G3680">
        <v>1736</v>
      </c>
      <c r="H3680">
        <v>58</v>
      </c>
      <c r="J3680" t="s">
        <v>5345</v>
      </c>
      <c r="O3680" t="s">
        <v>41</v>
      </c>
      <c r="R3680" t="s">
        <v>89</v>
      </c>
      <c r="T3680" t="s">
        <v>89</v>
      </c>
      <c r="U3680" t="s">
        <v>301</v>
      </c>
      <c r="V3680" t="s">
        <v>2571</v>
      </c>
      <c r="W3680" t="s">
        <v>92</v>
      </c>
      <c r="X3680" t="s">
        <v>302</v>
      </c>
      <c r="Y3680" t="s">
        <v>38</v>
      </c>
      <c r="AA3680" t="s">
        <v>38</v>
      </c>
      <c r="AB3680" t="s">
        <v>38</v>
      </c>
      <c r="AC3680" t="s">
        <v>38</v>
      </c>
      <c r="AD3680" t="s">
        <v>48</v>
      </c>
      <c r="AG3680" t="str">
        <f>IF(AD3680="United States", IFERROR(INDEX(Sheet2!$C:$C, MATCH(AE3680&amp;AF3680, Sheet2!$E:$E, 0)) &amp; ", " &amp; INDEX(Sheet2!$D:$D, MATCH(AE3680&amp;AF3680, Sheet2!$E:$E, 0)), ""), "-")</f>
        <v/>
      </c>
    </row>
    <row r="3681" spans="1:33" x14ac:dyDescent="0.25">
      <c r="A3681" t="s">
        <v>50</v>
      </c>
      <c r="B3681" t="s">
        <v>5346</v>
      </c>
      <c r="C3681" t="s">
        <v>5347</v>
      </c>
      <c r="D3681" t="s">
        <v>361</v>
      </c>
      <c r="E3681" t="s">
        <v>38</v>
      </c>
      <c r="F3681">
        <v>1760</v>
      </c>
      <c r="G3681">
        <v>595</v>
      </c>
      <c r="H3681" t="s">
        <v>1810</v>
      </c>
      <c r="I3681" t="s">
        <v>39</v>
      </c>
      <c r="J3681" t="s">
        <v>5348</v>
      </c>
      <c r="K3681" t="s">
        <v>38</v>
      </c>
      <c r="L3681" t="s">
        <v>38</v>
      </c>
      <c r="M3681" t="s">
        <v>38</v>
      </c>
      <c r="N3681" t="s">
        <v>38</v>
      </c>
      <c r="O3681" t="s">
        <v>41</v>
      </c>
      <c r="P3681" t="s">
        <v>42</v>
      </c>
      <c r="Q3681" t="s">
        <v>43</v>
      </c>
      <c r="R3681" t="s">
        <v>89</v>
      </c>
      <c r="S3681" t="s">
        <v>38</v>
      </c>
      <c r="T3681" t="s">
        <v>89</v>
      </c>
      <c r="U3681" t="s">
        <v>4276</v>
      </c>
      <c r="V3681" t="s">
        <v>137</v>
      </c>
      <c r="W3681" t="s">
        <v>92</v>
      </c>
      <c r="X3681" t="s">
        <v>93</v>
      </c>
      <c r="Y3681" t="s">
        <v>5349</v>
      </c>
      <c r="Z3681" t="s">
        <v>42</v>
      </c>
      <c r="AA3681" t="s">
        <v>38</v>
      </c>
      <c r="AB3681" t="s">
        <v>38</v>
      </c>
      <c r="AC3681" t="s">
        <v>38</v>
      </c>
      <c r="AD3681" t="s">
        <v>48</v>
      </c>
      <c r="AG3681" t="str">
        <f>IF(AD3681="United States", IFERROR(INDEX(Sheet2!$C:$C, MATCH(AE3681&amp;AF3681, Sheet2!$E:$E, 0)) &amp; ", " &amp; INDEX(Sheet2!$D:$D, MATCH(AE3681&amp;AF3681, Sheet2!$E:$E, 0)), ""), "-")</f>
        <v/>
      </c>
    </row>
    <row r="3682" spans="1:33" x14ac:dyDescent="0.25">
      <c r="A3682" t="s">
        <v>50</v>
      </c>
      <c r="B3682" t="s">
        <v>5350</v>
      </c>
      <c r="C3682" t="s">
        <v>5347</v>
      </c>
      <c r="D3682" t="s">
        <v>106</v>
      </c>
      <c r="E3682" t="s">
        <v>38</v>
      </c>
      <c r="F3682">
        <v>1757</v>
      </c>
      <c r="G3682">
        <v>594</v>
      </c>
      <c r="H3682" t="s">
        <v>1810</v>
      </c>
      <c r="I3682" t="s">
        <v>39</v>
      </c>
      <c r="J3682" t="s">
        <v>5348</v>
      </c>
      <c r="K3682" t="s">
        <v>38</v>
      </c>
      <c r="L3682" t="s">
        <v>38</v>
      </c>
      <c r="M3682" t="s">
        <v>38</v>
      </c>
      <c r="N3682" t="s">
        <v>38</v>
      </c>
      <c r="O3682" t="s">
        <v>41</v>
      </c>
      <c r="P3682" t="s">
        <v>42</v>
      </c>
      <c r="Q3682" t="s">
        <v>43</v>
      </c>
      <c r="R3682" t="s">
        <v>89</v>
      </c>
      <c r="S3682" t="s">
        <v>38</v>
      </c>
      <c r="T3682" t="s">
        <v>89</v>
      </c>
      <c r="U3682" t="s">
        <v>4276</v>
      </c>
      <c r="V3682" t="s">
        <v>137</v>
      </c>
      <c r="W3682" t="s">
        <v>92</v>
      </c>
      <c r="X3682" t="s">
        <v>93</v>
      </c>
      <c r="Y3682" t="s">
        <v>5349</v>
      </c>
      <c r="Z3682" t="s">
        <v>42</v>
      </c>
      <c r="AA3682" t="s">
        <v>38</v>
      </c>
      <c r="AB3682" t="s">
        <v>38</v>
      </c>
      <c r="AC3682" t="s">
        <v>38</v>
      </c>
      <c r="AD3682" t="s">
        <v>48</v>
      </c>
      <c r="AG3682" t="str">
        <f>IF(AD3682="United States", IFERROR(INDEX(Sheet2!$C:$C, MATCH(AE3682&amp;AF3682, Sheet2!$E:$E, 0)) &amp; ", " &amp; INDEX(Sheet2!$D:$D, MATCH(AE3682&amp;AF3682, Sheet2!$E:$E, 0)), ""), "-")</f>
        <v/>
      </c>
    </row>
    <row r="3683" spans="1:33" x14ac:dyDescent="0.25">
      <c r="A3683" t="s">
        <v>50</v>
      </c>
      <c r="B3683" t="s">
        <v>5351</v>
      </c>
      <c r="C3683" t="s">
        <v>5352</v>
      </c>
      <c r="D3683" t="s">
        <v>210</v>
      </c>
      <c r="E3683" t="s">
        <v>1989</v>
      </c>
      <c r="F3683">
        <v>1761</v>
      </c>
      <c r="G3683">
        <v>1163</v>
      </c>
      <c r="H3683" t="s">
        <v>2270</v>
      </c>
      <c r="I3683" t="s">
        <v>80</v>
      </c>
      <c r="J3683" t="s">
        <v>5353</v>
      </c>
      <c r="K3683" t="s">
        <v>38</v>
      </c>
      <c r="L3683" t="s">
        <v>38</v>
      </c>
      <c r="M3683" t="s">
        <v>38</v>
      </c>
      <c r="N3683" t="s">
        <v>38</v>
      </c>
      <c r="O3683" t="s">
        <v>41</v>
      </c>
      <c r="P3683" t="s">
        <v>42</v>
      </c>
      <c r="Q3683" t="s">
        <v>43</v>
      </c>
      <c r="R3683" t="s">
        <v>89</v>
      </c>
      <c r="S3683" t="s">
        <v>38</v>
      </c>
      <c r="T3683" t="s">
        <v>89</v>
      </c>
      <c r="U3683" t="s">
        <v>4276</v>
      </c>
      <c r="V3683" t="s">
        <v>46</v>
      </c>
      <c r="W3683" t="s">
        <v>92</v>
      </c>
      <c r="X3683" t="s">
        <v>93</v>
      </c>
      <c r="Y3683" t="s">
        <v>5353</v>
      </c>
      <c r="Z3683" t="s">
        <v>42</v>
      </c>
      <c r="AA3683" t="s">
        <v>38</v>
      </c>
      <c r="AB3683" t="s">
        <v>38</v>
      </c>
      <c r="AC3683" t="s">
        <v>155</v>
      </c>
      <c r="AD3683" t="s">
        <v>48</v>
      </c>
      <c r="AG3683" t="str">
        <f>IF(AD3683="United States", IFERROR(INDEX(Sheet2!$C:$C, MATCH(AE3683&amp;AF3683, Sheet2!$E:$E, 0)) &amp; ", " &amp; INDEX(Sheet2!$D:$D, MATCH(AE3683&amp;AF3683, Sheet2!$E:$E, 0)), ""), "-")</f>
        <v/>
      </c>
    </row>
    <row r="3684" spans="1:33" x14ac:dyDescent="0.25">
      <c r="A3684" t="s">
        <v>50</v>
      </c>
      <c r="B3684" t="s">
        <v>5354</v>
      </c>
      <c r="C3684" t="s">
        <v>5355</v>
      </c>
      <c r="D3684" t="s">
        <v>1116</v>
      </c>
      <c r="E3684" t="s">
        <v>1854</v>
      </c>
      <c r="F3684">
        <v>1763</v>
      </c>
      <c r="G3684">
        <v>2245</v>
      </c>
      <c r="H3684" t="s">
        <v>86</v>
      </c>
      <c r="I3684" t="s">
        <v>87</v>
      </c>
      <c r="J3684" t="s">
        <v>5353</v>
      </c>
      <c r="K3684" t="s">
        <v>38</v>
      </c>
      <c r="L3684" t="s">
        <v>38</v>
      </c>
      <c r="M3684" t="s">
        <v>1845</v>
      </c>
      <c r="N3684" t="s">
        <v>2658</v>
      </c>
      <c r="O3684" t="s">
        <v>41</v>
      </c>
      <c r="P3684" t="s">
        <v>42</v>
      </c>
      <c r="Q3684" t="s">
        <v>43</v>
      </c>
      <c r="R3684" t="s">
        <v>89</v>
      </c>
      <c r="S3684" t="s">
        <v>38</v>
      </c>
      <c r="T3684" t="s">
        <v>89</v>
      </c>
      <c r="U3684" t="s">
        <v>4276</v>
      </c>
      <c r="V3684" t="s">
        <v>91</v>
      </c>
      <c r="W3684" t="s">
        <v>92</v>
      </c>
      <c r="X3684" t="s">
        <v>93</v>
      </c>
      <c r="Y3684" t="s">
        <v>5356</v>
      </c>
      <c r="Z3684" t="s">
        <v>42</v>
      </c>
      <c r="AA3684" t="s">
        <v>38</v>
      </c>
      <c r="AB3684" t="s">
        <v>38</v>
      </c>
      <c r="AC3684" t="s">
        <v>593</v>
      </c>
      <c r="AD3684" t="s">
        <v>48</v>
      </c>
      <c r="AG3684" t="str">
        <f>IF(AD3684="United States", IFERROR(INDEX(Sheet2!$C:$C, MATCH(AE3684&amp;AF3684, Sheet2!$E:$E, 0)) &amp; ", " &amp; INDEX(Sheet2!$D:$D, MATCH(AE3684&amp;AF3684, Sheet2!$E:$E, 0)), ""), "-")</f>
        <v/>
      </c>
    </row>
    <row r="3685" spans="1:33" x14ac:dyDescent="0.25">
      <c r="A3685" t="s">
        <v>50</v>
      </c>
      <c r="B3685" t="s">
        <v>5357</v>
      </c>
      <c r="C3685" t="s">
        <v>5347</v>
      </c>
      <c r="D3685" t="s">
        <v>867</v>
      </c>
      <c r="E3685" t="s">
        <v>38</v>
      </c>
      <c r="F3685">
        <v>1752</v>
      </c>
      <c r="G3685">
        <v>593</v>
      </c>
      <c r="H3685" t="s">
        <v>1810</v>
      </c>
      <c r="I3685" t="s">
        <v>39</v>
      </c>
      <c r="J3685" t="s">
        <v>5348</v>
      </c>
      <c r="K3685" t="s">
        <v>38</v>
      </c>
      <c r="L3685" t="s">
        <v>38</v>
      </c>
      <c r="M3685" t="s">
        <v>38</v>
      </c>
      <c r="N3685" t="s">
        <v>38</v>
      </c>
      <c r="O3685" t="s">
        <v>41</v>
      </c>
      <c r="P3685" t="s">
        <v>42</v>
      </c>
      <c r="Q3685" t="s">
        <v>43</v>
      </c>
      <c r="R3685" t="s">
        <v>89</v>
      </c>
      <c r="S3685" t="s">
        <v>417</v>
      </c>
      <c r="T3685" t="s">
        <v>89</v>
      </c>
      <c r="U3685" t="s">
        <v>4276</v>
      </c>
      <c r="V3685" t="s">
        <v>137</v>
      </c>
      <c r="W3685" t="s">
        <v>92</v>
      </c>
      <c r="X3685" t="s">
        <v>93</v>
      </c>
      <c r="Y3685" t="s">
        <v>5358</v>
      </c>
      <c r="Z3685" t="s">
        <v>42</v>
      </c>
      <c r="AA3685" t="s">
        <v>5359</v>
      </c>
      <c r="AB3685" t="s">
        <v>38</v>
      </c>
      <c r="AC3685" t="s">
        <v>417</v>
      </c>
      <c r="AD3685" t="s">
        <v>48</v>
      </c>
      <c r="AG3685" t="str">
        <f>IF(AD3685="United States", IFERROR(INDEX(Sheet2!$C:$C, MATCH(AE3685&amp;AF3685, Sheet2!$E:$E, 0)) &amp; ", " &amp; INDEX(Sheet2!$D:$D, MATCH(AE3685&amp;AF3685, Sheet2!$E:$E, 0)), ""), "-")</f>
        <v/>
      </c>
    </row>
    <row r="3686" spans="1:33" x14ac:dyDescent="0.25">
      <c r="A3686" t="s">
        <v>50</v>
      </c>
      <c r="B3686" t="s">
        <v>5360</v>
      </c>
      <c r="C3686" t="s">
        <v>5355</v>
      </c>
      <c r="D3686" t="s">
        <v>626</v>
      </c>
      <c r="E3686" t="s">
        <v>38</v>
      </c>
      <c r="F3686">
        <v>1743</v>
      </c>
      <c r="G3686">
        <v>2252</v>
      </c>
      <c r="H3686" t="s">
        <v>86</v>
      </c>
      <c r="I3686" t="s">
        <v>87</v>
      </c>
      <c r="J3686" t="s">
        <v>5353</v>
      </c>
      <c r="K3686" t="s">
        <v>38</v>
      </c>
      <c r="L3686" t="s">
        <v>38</v>
      </c>
      <c r="M3686" t="s">
        <v>38</v>
      </c>
      <c r="N3686" t="s">
        <v>38</v>
      </c>
      <c r="O3686" t="s">
        <v>41</v>
      </c>
      <c r="P3686" t="s">
        <v>42</v>
      </c>
      <c r="Q3686" t="s">
        <v>43</v>
      </c>
      <c r="R3686" t="s">
        <v>89</v>
      </c>
      <c r="S3686" t="s">
        <v>38</v>
      </c>
      <c r="T3686" t="s">
        <v>89</v>
      </c>
      <c r="U3686" t="s">
        <v>4276</v>
      </c>
      <c r="V3686" t="s">
        <v>91</v>
      </c>
      <c r="W3686" t="s">
        <v>92</v>
      </c>
      <c r="X3686" t="s">
        <v>93</v>
      </c>
      <c r="Y3686" t="s">
        <v>5361</v>
      </c>
      <c r="Z3686" t="s">
        <v>42</v>
      </c>
      <c r="AA3686" t="s">
        <v>38</v>
      </c>
      <c r="AB3686" t="s">
        <v>38</v>
      </c>
      <c r="AC3686" t="s">
        <v>38</v>
      </c>
      <c r="AD3686" t="s">
        <v>48</v>
      </c>
      <c r="AG3686" t="str">
        <f>IF(AD3686="United States", IFERROR(INDEX(Sheet2!$C:$C, MATCH(AE3686&amp;AF3686, Sheet2!$E:$E, 0)) &amp; ", " &amp; INDEX(Sheet2!$D:$D, MATCH(AE3686&amp;AF3686, Sheet2!$E:$E, 0)), ""), "-")</f>
        <v/>
      </c>
    </row>
    <row r="3687" spans="1:33" x14ac:dyDescent="0.25">
      <c r="A3687" t="s">
        <v>50</v>
      </c>
      <c r="B3687" t="s">
        <v>5351</v>
      </c>
      <c r="C3687" t="s">
        <v>5352</v>
      </c>
      <c r="D3687" t="s">
        <v>210</v>
      </c>
      <c r="E3687" t="s">
        <v>1989</v>
      </c>
      <c r="F3687">
        <v>1761</v>
      </c>
      <c r="G3687">
        <v>887</v>
      </c>
      <c r="H3687" t="s">
        <v>2270</v>
      </c>
      <c r="I3687" t="s">
        <v>80</v>
      </c>
      <c r="J3687" t="s">
        <v>5353</v>
      </c>
      <c r="K3687" t="s">
        <v>38</v>
      </c>
      <c r="L3687" t="s">
        <v>38</v>
      </c>
      <c r="M3687" t="s">
        <v>38</v>
      </c>
      <c r="N3687" t="s">
        <v>38</v>
      </c>
      <c r="O3687" t="s">
        <v>41</v>
      </c>
      <c r="P3687" t="s">
        <v>42</v>
      </c>
      <c r="Q3687" t="s">
        <v>43</v>
      </c>
      <c r="R3687" t="s">
        <v>89</v>
      </c>
      <c r="S3687" t="s">
        <v>38</v>
      </c>
      <c r="T3687" t="s">
        <v>89</v>
      </c>
      <c r="U3687" t="s">
        <v>4276</v>
      </c>
      <c r="V3687" t="s">
        <v>46</v>
      </c>
      <c r="W3687" t="s">
        <v>92</v>
      </c>
      <c r="X3687" t="s">
        <v>93</v>
      </c>
      <c r="Y3687" t="s">
        <v>5353</v>
      </c>
      <c r="Z3687" t="s">
        <v>42</v>
      </c>
      <c r="AA3687" t="s">
        <v>38</v>
      </c>
      <c r="AB3687" t="s">
        <v>38</v>
      </c>
      <c r="AC3687" t="s">
        <v>155</v>
      </c>
      <c r="AD3687" t="s">
        <v>48</v>
      </c>
      <c r="AG3687" t="str">
        <f>IF(AD3687="United States", IFERROR(INDEX(Sheet2!$C:$C, MATCH(AE3687&amp;AF3687, Sheet2!$E:$E, 0)) &amp; ", " &amp; INDEX(Sheet2!$D:$D, MATCH(AE3687&amp;AF3687, Sheet2!$E:$E, 0)), ""), "-")</f>
        <v/>
      </c>
    </row>
    <row r="3688" spans="1:33" x14ac:dyDescent="0.25">
      <c r="A3688" t="s">
        <v>50</v>
      </c>
      <c r="B3688" t="s">
        <v>5362</v>
      </c>
      <c r="C3688" t="s">
        <v>5352</v>
      </c>
      <c r="D3688" t="s">
        <v>132</v>
      </c>
      <c r="E3688" t="s">
        <v>38</v>
      </c>
      <c r="F3688">
        <v>1757</v>
      </c>
      <c r="G3688">
        <v>888</v>
      </c>
      <c r="H3688" t="s">
        <v>2270</v>
      </c>
      <c r="I3688" t="s">
        <v>80</v>
      </c>
      <c r="J3688" t="s">
        <v>5353</v>
      </c>
      <c r="K3688" t="s">
        <v>38</v>
      </c>
      <c r="L3688" t="s">
        <v>38</v>
      </c>
      <c r="M3688" t="s">
        <v>38</v>
      </c>
      <c r="N3688" t="s">
        <v>38</v>
      </c>
      <c r="O3688" t="s">
        <v>41</v>
      </c>
      <c r="P3688" t="s">
        <v>42</v>
      </c>
      <c r="Q3688" t="s">
        <v>43</v>
      </c>
      <c r="R3688" t="s">
        <v>89</v>
      </c>
      <c r="S3688" t="s">
        <v>165</v>
      </c>
      <c r="T3688" t="s">
        <v>89</v>
      </c>
      <c r="U3688" t="s">
        <v>4276</v>
      </c>
      <c r="V3688" t="s">
        <v>46</v>
      </c>
      <c r="W3688" t="s">
        <v>92</v>
      </c>
      <c r="X3688" t="s">
        <v>93</v>
      </c>
      <c r="Y3688" t="s">
        <v>5353</v>
      </c>
      <c r="Z3688" t="s">
        <v>42</v>
      </c>
      <c r="AA3688" t="s">
        <v>166</v>
      </c>
      <c r="AB3688" t="s">
        <v>38</v>
      </c>
      <c r="AC3688" t="s">
        <v>165</v>
      </c>
      <c r="AD3688" t="s">
        <v>48</v>
      </c>
      <c r="AG3688" t="str">
        <f>IF(AD3688="United States", IFERROR(INDEX(Sheet2!$C:$C, MATCH(AE3688&amp;AF3688, Sheet2!$E:$E, 0)) &amp; ", " &amp; INDEX(Sheet2!$D:$D, MATCH(AE3688&amp;AF3688, Sheet2!$E:$E, 0)), ""), "-")</f>
        <v/>
      </c>
    </row>
    <row r="3689" spans="1:33" x14ac:dyDescent="0.25">
      <c r="A3689" t="s">
        <v>50</v>
      </c>
      <c r="B3689" t="s">
        <v>5363</v>
      </c>
      <c r="C3689" t="s">
        <v>5355</v>
      </c>
      <c r="D3689" t="s">
        <v>114</v>
      </c>
      <c r="E3689" t="s">
        <v>38</v>
      </c>
      <c r="F3689">
        <v>1747</v>
      </c>
      <c r="G3689">
        <v>2247</v>
      </c>
      <c r="H3689" t="s">
        <v>86</v>
      </c>
      <c r="I3689" t="s">
        <v>87</v>
      </c>
      <c r="J3689" t="s">
        <v>5353</v>
      </c>
      <c r="K3689" t="s">
        <v>38</v>
      </c>
      <c r="L3689" t="s">
        <v>38</v>
      </c>
      <c r="M3689" t="s">
        <v>38</v>
      </c>
      <c r="N3689" t="s">
        <v>38</v>
      </c>
      <c r="O3689" t="s">
        <v>57</v>
      </c>
      <c r="P3689" t="s">
        <v>42</v>
      </c>
      <c r="Q3689" t="s">
        <v>43</v>
      </c>
      <c r="R3689" t="s">
        <v>89</v>
      </c>
      <c r="S3689" t="s">
        <v>38</v>
      </c>
      <c r="T3689" t="s">
        <v>89</v>
      </c>
      <c r="U3689" t="s">
        <v>4276</v>
      </c>
      <c r="V3689" t="s">
        <v>91</v>
      </c>
      <c r="W3689" t="s">
        <v>92</v>
      </c>
      <c r="X3689" t="s">
        <v>93</v>
      </c>
      <c r="Y3689" t="s">
        <v>5364</v>
      </c>
      <c r="Z3689" t="s">
        <v>42</v>
      </c>
      <c r="AA3689" t="s">
        <v>38</v>
      </c>
      <c r="AB3689" t="s">
        <v>38</v>
      </c>
      <c r="AC3689" t="s">
        <v>38</v>
      </c>
      <c r="AD3689" t="s">
        <v>48</v>
      </c>
      <c r="AG3689" t="str">
        <f>IF(AD3689="United States", IFERROR(INDEX(Sheet2!$C:$C, MATCH(AE3689&amp;AF3689, Sheet2!$E:$E, 0)) &amp; ", " &amp; INDEX(Sheet2!$D:$D, MATCH(AE3689&amp;AF3689, Sheet2!$E:$E, 0)), ""), "-")</f>
        <v/>
      </c>
    </row>
    <row r="3690" spans="1:33" x14ac:dyDescent="0.25">
      <c r="A3690" t="s">
        <v>50</v>
      </c>
      <c r="B3690" t="s">
        <v>5365</v>
      </c>
      <c r="C3690" t="s">
        <v>5355</v>
      </c>
      <c r="D3690" t="s">
        <v>834</v>
      </c>
      <c r="E3690" t="s">
        <v>38</v>
      </c>
      <c r="F3690">
        <v>1743</v>
      </c>
      <c r="G3690">
        <v>2253</v>
      </c>
      <c r="H3690" t="s">
        <v>38</v>
      </c>
      <c r="I3690" t="s">
        <v>87</v>
      </c>
      <c r="J3690" t="s">
        <v>5353</v>
      </c>
      <c r="K3690" t="s">
        <v>38</v>
      </c>
      <c r="L3690" t="s">
        <v>38</v>
      </c>
      <c r="M3690" t="s">
        <v>38</v>
      </c>
      <c r="N3690" t="s">
        <v>38</v>
      </c>
      <c r="O3690" t="s">
        <v>57</v>
      </c>
      <c r="P3690" t="s">
        <v>42</v>
      </c>
      <c r="Q3690" t="s">
        <v>43</v>
      </c>
      <c r="R3690" t="s">
        <v>38</v>
      </c>
      <c r="S3690" t="s">
        <v>38</v>
      </c>
      <c r="T3690" t="s">
        <v>38</v>
      </c>
      <c r="U3690" t="s">
        <v>38</v>
      </c>
      <c r="V3690" t="s">
        <v>91</v>
      </c>
      <c r="W3690" t="s">
        <v>38</v>
      </c>
      <c r="X3690" t="s">
        <v>38</v>
      </c>
      <c r="Y3690" t="s">
        <v>5361</v>
      </c>
      <c r="Z3690" t="s">
        <v>42</v>
      </c>
      <c r="AA3690" t="s">
        <v>38</v>
      </c>
      <c r="AB3690" t="s">
        <v>38</v>
      </c>
      <c r="AC3690" t="s">
        <v>38</v>
      </c>
      <c r="AD3690" t="s">
        <v>48</v>
      </c>
      <c r="AG3690" t="str">
        <f>IF(AD3690="United States", IFERROR(INDEX(Sheet2!$C:$C, MATCH(AE3690&amp;AF3690, Sheet2!$E:$E, 0)) &amp; ", " &amp; INDEX(Sheet2!$D:$D, MATCH(AE3690&amp;AF3690, Sheet2!$E:$E, 0)), ""), "-")</f>
        <v/>
      </c>
    </row>
    <row r="3691" spans="1:33" x14ac:dyDescent="0.25">
      <c r="A3691" t="s">
        <v>50</v>
      </c>
      <c r="B3691" t="s">
        <v>5366</v>
      </c>
      <c r="C3691" t="s">
        <v>5355</v>
      </c>
      <c r="D3691" t="s">
        <v>50</v>
      </c>
      <c r="E3691" t="s">
        <v>38</v>
      </c>
      <c r="F3691">
        <v>1777</v>
      </c>
      <c r="G3691">
        <v>2248</v>
      </c>
      <c r="H3691" t="s">
        <v>86</v>
      </c>
      <c r="I3691" t="s">
        <v>87</v>
      </c>
      <c r="J3691" t="s">
        <v>5353</v>
      </c>
      <c r="K3691" t="s">
        <v>38</v>
      </c>
      <c r="L3691" t="s">
        <v>38</v>
      </c>
      <c r="M3691" t="s">
        <v>38</v>
      </c>
      <c r="N3691" t="s">
        <v>38</v>
      </c>
      <c r="O3691" t="s">
        <v>74</v>
      </c>
      <c r="P3691" t="s">
        <v>42</v>
      </c>
      <c r="Q3691" t="s">
        <v>43</v>
      </c>
      <c r="R3691" t="s">
        <v>89</v>
      </c>
      <c r="S3691" t="s">
        <v>38</v>
      </c>
      <c r="T3691" t="s">
        <v>89</v>
      </c>
      <c r="U3691" t="s">
        <v>4276</v>
      </c>
      <c r="V3691" t="s">
        <v>91</v>
      </c>
      <c r="W3691" t="s">
        <v>92</v>
      </c>
      <c r="X3691" t="s">
        <v>93</v>
      </c>
      <c r="Y3691" t="s">
        <v>5364</v>
      </c>
      <c r="Z3691" t="s">
        <v>42</v>
      </c>
      <c r="AA3691" t="s">
        <v>38</v>
      </c>
      <c r="AB3691" t="s">
        <v>38</v>
      </c>
      <c r="AC3691" t="s">
        <v>38</v>
      </c>
      <c r="AD3691" t="s">
        <v>48</v>
      </c>
      <c r="AG3691" t="str">
        <f>IF(AD3691="United States", IFERROR(INDEX(Sheet2!$C:$C, MATCH(AE3691&amp;AF3691, Sheet2!$E:$E, 0)) &amp; ", " &amp; INDEX(Sheet2!$D:$D, MATCH(AE3691&amp;AF3691, Sheet2!$E:$E, 0)), ""), "-")</f>
        <v/>
      </c>
    </row>
    <row r="3692" spans="1:33" x14ac:dyDescent="0.25">
      <c r="A3692" t="s">
        <v>50</v>
      </c>
      <c r="B3692" t="s">
        <v>5362</v>
      </c>
      <c r="C3692" t="s">
        <v>5352</v>
      </c>
      <c r="D3692" t="s">
        <v>132</v>
      </c>
      <c r="E3692" t="s">
        <v>38</v>
      </c>
      <c r="F3692">
        <v>1757</v>
      </c>
      <c r="G3692">
        <v>1164</v>
      </c>
      <c r="H3692" t="s">
        <v>2270</v>
      </c>
      <c r="I3692" t="s">
        <v>80</v>
      </c>
      <c r="J3692" t="s">
        <v>5353</v>
      </c>
      <c r="K3692" t="s">
        <v>38</v>
      </c>
      <c r="L3692" t="s">
        <v>38</v>
      </c>
      <c r="M3692" t="s">
        <v>38</v>
      </c>
      <c r="N3692" t="s">
        <v>38</v>
      </c>
      <c r="O3692" t="s">
        <v>41</v>
      </c>
      <c r="P3692" t="s">
        <v>42</v>
      </c>
      <c r="Q3692" t="s">
        <v>43</v>
      </c>
      <c r="R3692" t="s">
        <v>89</v>
      </c>
      <c r="S3692" t="s">
        <v>165</v>
      </c>
      <c r="T3692" t="s">
        <v>89</v>
      </c>
      <c r="U3692" t="s">
        <v>4276</v>
      </c>
      <c r="V3692" t="s">
        <v>46</v>
      </c>
      <c r="W3692" t="s">
        <v>92</v>
      </c>
      <c r="X3692" t="s">
        <v>93</v>
      </c>
      <c r="Y3692" t="s">
        <v>5353</v>
      </c>
      <c r="Z3692" t="s">
        <v>42</v>
      </c>
      <c r="AA3692" t="s">
        <v>166</v>
      </c>
      <c r="AB3692" t="s">
        <v>38</v>
      </c>
      <c r="AC3692" t="s">
        <v>165</v>
      </c>
      <c r="AD3692" t="s">
        <v>48</v>
      </c>
      <c r="AG3692" t="str">
        <f>IF(AD3692="United States", IFERROR(INDEX(Sheet2!$C:$C, MATCH(AE3692&amp;AF3692, Sheet2!$E:$E, 0)) &amp; ", " &amp; INDEX(Sheet2!$D:$D, MATCH(AE3692&amp;AF3692, Sheet2!$E:$E, 0)), ""), "-")</f>
        <v/>
      </c>
    </row>
    <row r="3693" spans="1:33" x14ac:dyDescent="0.25">
      <c r="A3693" t="s">
        <v>50</v>
      </c>
      <c r="B3693" t="s">
        <v>5367</v>
      </c>
      <c r="C3693" t="s">
        <v>5355</v>
      </c>
      <c r="D3693" t="s">
        <v>5368</v>
      </c>
      <c r="E3693" t="s">
        <v>38</v>
      </c>
      <c r="F3693">
        <v>1780</v>
      </c>
      <c r="G3693">
        <v>2249</v>
      </c>
      <c r="H3693" t="s">
        <v>38</v>
      </c>
      <c r="I3693" t="s">
        <v>87</v>
      </c>
      <c r="J3693" t="s">
        <v>5353</v>
      </c>
      <c r="K3693" t="s">
        <v>38</v>
      </c>
      <c r="L3693" t="s">
        <v>38</v>
      </c>
      <c r="M3693" t="s">
        <v>38</v>
      </c>
      <c r="N3693" t="s">
        <v>38</v>
      </c>
      <c r="O3693" t="s">
        <v>74</v>
      </c>
      <c r="P3693" t="s">
        <v>42</v>
      </c>
      <c r="Q3693" t="s">
        <v>43</v>
      </c>
      <c r="R3693" t="s">
        <v>38</v>
      </c>
      <c r="S3693" t="s">
        <v>38</v>
      </c>
      <c r="T3693" t="s">
        <v>38</v>
      </c>
      <c r="U3693" t="s">
        <v>38</v>
      </c>
      <c r="V3693" t="s">
        <v>91</v>
      </c>
      <c r="W3693" t="s">
        <v>38</v>
      </c>
      <c r="X3693" t="s">
        <v>38</v>
      </c>
      <c r="Y3693" t="s">
        <v>5364</v>
      </c>
      <c r="Z3693" t="s">
        <v>42</v>
      </c>
      <c r="AA3693" t="s">
        <v>38</v>
      </c>
      <c r="AB3693" t="s">
        <v>38</v>
      </c>
      <c r="AC3693" t="s">
        <v>38</v>
      </c>
      <c r="AD3693" t="s">
        <v>48</v>
      </c>
      <c r="AG3693" t="str">
        <f>IF(AD3693="United States", IFERROR(INDEX(Sheet2!$C:$C, MATCH(AE3693&amp;AF3693, Sheet2!$E:$E, 0)) &amp; ", " &amp; INDEX(Sheet2!$D:$D, MATCH(AE3693&amp;AF3693, Sheet2!$E:$E, 0)), ""), "-")</f>
        <v/>
      </c>
    </row>
    <row r="3694" spans="1:33" x14ac:dyDescent="0.25">
      <c r="A3694" t="s">
        <v>50</v>
      </c>
      <c r="B3694" t="s">
        <v>5363</v>
      </c>
      <c r="C3694" t="s">
        <v>5355</v>
      </c>
      <c r="D3694" t="s">
        <v>114</v>
      </c>
      <c r="E3694" t="s">
        <v>38</v>
      </c>
      <c r="F3694">
        <v>1747</v>
      </c>
      <c r="G3694">
        <v>2246</v>
      </c>
      <c r="H3694" t="s">
        <v>86</v>
      </c>
      <c r="I3694" t="s">
        <v>87</v>
      </c>
      <c r="J3694" t="s">
        <v>5353</v>
      </c>
      <c r="K3694" t="s">
        <v>38</v>
      </c>
      <c r="L3694" t="s">
        <v>38</v>
      </c>
      <c r="M3694" t="s">
        <v>38</v>
      </c>
      <c r="N3694" t="s">
        <v>38</v>
      </c>
      <c r="O3694" t="s">
        <v>57</v>
      </c>
      <c r="P3694" t="s">
        <v>42</v>
      </c>
      <c r="Q3694" t="s">
        <v>43</v>
      </c>
      <c r="R3694" t="s">
        <v>89</v>
      </c>
      <c r="S3694" t="s">
        <v>38</v>
      </c>
      <c r="T3694" t="s">
        <v>89</v>
      </c>
      <c r="U3694" t="s">
        <v>4276</v>
      </c>
      <c r="V3694" t="s">
        <v>91</v>
      </c>
      <c r="W3694" t="s">
        <v>92</v>
      </c>
      <c r="X3694" t="s">
        <v>93</v>
      </c>
      <c r="Y3694" t="s">
        <v>5364</v>
      </c>
      <c r="Z3694" t="s">
        <v>42</v>
      </c>
      <c r="AA3694" t="s">
        <v>38</v>
      </c>
      <c r="AB3694" t="s">
        <v>38</v>
      </c>
      <c r="AC3694" t="s">
        <v>38</v>
      </c>
      <c r="AD3694" t="s">
        <v>48</v>
      </c>
      <c r="AG3694" t="str">
        <f>IF(AD3694="United States", IFERROR(INDEX(Sheet2!$C:$C, MATCH(AE3694&amp;AF3694, Sheet2!$E:$E, 0)) &amp; ", " &amp; INDEX(Sheet2!$D:$D, MATCH(AE3694&amp;AF3694, Sheet2!$E:$E, 0)), ""), "-")</f>
        <v/>
      </c>
    </row>
    <row r="3695" spans="1:33" x14ac:dyDescent="0.25">
      <c r="A3695" t="s">
        <v>50</v>
      </c>
      <c r="B3695" t="s">
        <v>5369</v>
      </c>
      <c r="C3695" t="s">
        <v>5355</v>
      </c>
      <c r="D3695" t="s">
        <v>1174</v>
      </c>
      <c r="E3695" t="s">
        <v>38</v>
      </c>
      <c r="F3695">
        <v>1753</v>
      </c>
      <c r="G3695">
        <v>2250</v>
      </c>
      <c r="H3695" t="s">
        <v>86</v>
      </c>
      <c r="I3695" t="s">
        <v>87</v>
      </c>
      <c r="J3695" t="s">
        <v>5353</v>
      </c>
      <c r="K3695" t="s">
        <v>38</v>
      </c>
      <c r="L3695" t="s">
        <v>38</v>
      </c>
      <c r="M3695" t="s">
        <v>38</v>
      </c>
      <c r="N3695" t="s">
        <v>38</v>
      </c>
      <c r="O3695" t="s">
        <v>41</v>
      </c>
      <c r="P3695" t="s">
        <v>42</v>
      </c>
      <c r="Q3695" t="s">
        <v>43</v>
      </c>
      <c r="R3695" t="s">
        <v>89</v>
      </c>
      <c r="S3695" t="s">
        <v>38</v>
      </c>
      <c r="T3695" t="s">
        <v>89</v>
      </c>
      <c r="U3695" t="s">
        <v>4276</v>
      </c>
      <c r="V3695" t="s">
        <v>91</v>
      </c>
      <c r="W3695" t="s">
        <v>92</v>
      </c>
      <c r="X3695" t="s">
        <v>93</v>
      </c>
      <c r="Y3695" t="s">
        <v>5364</v>
      </c>
      <c r="Z3695" t="s">
        <v>42</v>
      </c>
      <c r="AA3695" t="s">
        <v>38</v>
      </c>
      <c r="AB3695" t="s">
        <v>38</v>
      </c>
      <c r="AC3695" t="s">
        <v>38</v>
      </c>
      <c r="AD3695" t="s">
        <v>48</v>
      </c>
      <c r="AG3695" t="str">
        <f>IF(AD3695="United States", IFERROR(INDEX(Sheet2!$C:$C, MATCH(AE3695&amp;AF3695, Sheet2!$E:$E, 0)) &amp; ", " &amp; INDEX(Sheet2!$D:$D, MATCH(AE3695&amp;AF3695, Sheet2!$E:$E, 0)), ""), "-")</f>
        <v/>
      </c>
    </row>
    <row r="3696" spans="1:33" x14ac:dyDescent="0.25">
      <c r="A3696" t="s">
        <v>50</v>
      </c>
      <c r="B3696" t="s">
        <v>5370</v>
      </c>
      <c r="C3696" t="s">
        <v>5355</v>
      </c>
      <c r="D3696" t="s">
        <v>36</v>
      </c>
      <c r="E3696" t="s">
        <v>5371</v>
      </c>
      <c r="F3696">
        <v>1770</v>
      </c>
      <c r="G3696">
        <v>2251</v>
      </c>
      <c r="H3696" t="s">
        <v>86</v>
      </c>
      <c r="I3696" t="s">
        <v>87</v>
      </c>
      <c r="J3696" t="s">
        <v>5353</v>
      </c>
      <c r="K3696" t="s">
        <v>38</v>
      </c>
      <c r="L3696" t="s">
        <v>38</v>
      </c>
      <c r="M3696" t="s">
        <v>38</v>
      </c>
      <c r="N3696" t="s">
        <v>38</v>
      </c>
      <c r="O3696" t="s">
        <v>54</v>
      </c>
      <c r="P3696" t="s">
        <v>42</v>
      </c>
      <c r="Q3696" t="s">
        <v>43</v>
      </c>
      <c r="R3696" t="s">
        <v>89</v>
      </c>
      <c r="S3696" t="s">
        <v>38</v>
      </c>
      <c r="T3696" t="s">
        <v>89</v>
      </c>
      <c r="U3696" t="s">
        <v>4276</v>
      </c>
      <c r="V3696" t="s">
        <v>91</v>
      </c>
      <c r="W3696" t="s">
        <v>92</v>
      </c>
      <c r="X3696" t="s">
        <v>93</v>
      </c>
      <c r="Y3696" t="s">
        <v>5364</v>
      </c>
      <c r="Z3696" t="s">
        <v>42</v>
      </c>
      <c r="AA3696" t="s">
        <v>38</v>
      </c>
      <c r="AB3696" t="s">
        <v>38</v>
      </c>
      <c r="AC3696" t="s">
        <v>38</v>
      </c>
      <c r="AD3696" t="s">
        <v>48</v>
      </c>
      <c r="AG3696" t="str">
        <f>IF(AD3696="United States", IFERROR(INDEX(Sheet2!$C:$C, MATCH(AE3696&amp;AF3696, Sheet2!$E:$E, 0)) &amp; ", " &amp; INDEX(Sheet2!$D:$D, MATCH(AE3696&amp;AF3696, Sheet2!$E:$E, 0)), ""), "-")</f>
        <v/>
      </c>
    </row>
    <row r="3697" spans="1:33" x14ac:dyDescent="0.25">
      <c r="A3697" t="s">
        <v>5372</v>
      </c>
      <c r="D3697" t="s">
        <v>106</v>
      </c>
      <c r="E3697" t="s">
        <v>1259</v>
      </c>
      <c r="F3697">
        <v>1754</v>
      </c>
      <c r="G3697">
        <v>2248</v>
      </c>
      <c r="H3697">
        <v>71</v>
      </c>
      <c r="J3697" t="s">
        <v>4224</v>
      </c>
      <c r="O3697" t="s">
        <v>41</v>
      </c>
      <c r="V3697" t="s">
        <v>597</v>
      </c>
      <c r="W3697" t="s">
        <v>92</v>
      </c>
      <c r="Y3697" t="s">
        <v>38</v>
      </c>
      <c r="AA3697" t="s">
        <v>38</v>
      </c>
      <c r="AB3697" t="s">
        <v>38</v>
      </c>
      <c r="AC3697" t="s">
        <v>38</v>
      </c>
      <c r="AD3697" t="s">
        <v>48</v>
      </c>
      <c r="AG3697" t="str">
        <f>IF(AD3697="United States", IFERROR(INDEX(Sheet2!$C:$C, MATCH(AE3697&amp;AF3697, Sheet2!$E:$E, 0)) &amp; ", " &amp; INDEX(Sheet2!$D:$D, MATCH(AE3697&amp;AF3697, Sheet2!$E:$E, 0)), ""), "-")</f>
        <v/>
      </c>
    </row>
    <row r="3698" spans="1:33" x14ac:dyDescent="0.25">
      <c r="A3698" t="s">
        <v>5372</v>
      </c>
      <c r="D3698" t="s">
        <v>1129</v>
      </c>
      <c r="E3698" t="s">
        <v>5373</v>
      </c>
      <c r="F3698">
        <v>1759</v>
      </c>
      <c r="G3698">
        <v>2247</v>
      </c>
      <c r="H3698">
        <v>71</v>
      </c>
      <c r="J3698" t="s">
        <v>4224</v>
      </c>
      <c r="O3698" t="s">
        <v>41</v>
      </c>
      <c r="V3698" t="s">
        <v>597</v>
      </c>
      <c r="W3698" t="s">
        <v>92</v>
      </c>
      <c r="Y3698" t="s">
        <v>38</v>
      </c>
      <c r="AA3698" t="s">
        <v>38</v>
      </c>
      <c r="AB3698" t="s">
        <v>38</v>
      </c>
      <c r="AC3698" t="s">
        <v>38</v>
      </c>
      <c r="AD3698" t="s">
        <v>48</v>
      </c>
      <c r="AG3698" t="str">
        <f>IF(AD3698="United States", IFERROR(INDEX(Sheet2!$C:$C, MATCH(AE3698&amp;AF3698, Sheet2!$E:$E, 0)) &amp; ", " &amp; INDEX(Sheet2!$D:$D, MATCH(AE3698&amp;AF3698, Sheet2!$E:$E, 0)), ""), "-")</f>
        <v/>
      </c>
    </row>
    <row r="3699" spans="1:33" x14ac:dyDescent="0.25">
      <c r="A3699" t="s">
        <v>5374</v>
      </c>
      <c r="B3699" t="s">
        <v>5375</v>
      </c>
      <c r="C3699" t="s">
        <v>5376</v>
      </c>
      <c r="D3699" t="s">
        <v>204</v>
      </c>
      <c r="E3699" t="s">
        <v>38</v>
      </c>
      <c r="F3699">
        <v>1743</v>
      </c>
      <c r="G3699">
        <v>2233</v>
      </c>
      <c r="H3699" t="s">
        <v>38</v>
      </c>
      <c r="I3699" t="s">
        <v>87</v>
      </c>
      <c r="J3699" t="s">
        <v>5377</v>
      </c>
      <c r="K3699" t="s">
        <v>38</v>
      </c>
      <c r="L3699" t="s">
        <v>38</v>
      </c>
      <c r="M3699" t="s">
        <v>38</v>
      </c>
      <c r="N3699" t="s">
        <v>38</v>
      </c>
      <c r="O3699" t="s">
        <v>41</v>
      </c>
      <c r="P3699" t="s">
        <v>42</v>
      </c>
      <c r="Q3699" t="s">
        <v>43</v>
      </c>
      <c r="R3699" t="s">
        <v>38</v>
      </c>
      <c r="S3699" t="s">
        <v>38</v>
      </c>
      <c r="T3699" t="s">
        <v>38</v>
      </c>
      <c r="U3699" t="s">
        <v>38</v>
      </c>
      <c r="V3699" t="s">
        <v>137</v>
      </c>
      <c r="W3699" t="s">
        <v>38</v>
      </c>
      <c r="X3699" t="s">
        <v>38</v>
      </c>
      <c r="Y3699" t="s">
        <v>5378</v>
      </c>
      <c r="Z3699" t="s">
        <v>42</v>
      </c>
      <c r="AA3699" t="s">
        <v>38</v>
      </c>
      <c r="AB3699" t="s">
        <v>38</v>
      </c>
      <c r="AC3699" t="s">
        <v>38</v>
      </c>
      <c r="AD3699" t="s">
        <v>48</v>
      </c>
      <c r="AG3699" t="str">
        <f>IF(AD3699="United States", IFERROR(INDEX(Sheet2!$C:$C, MATCH(AE3699&amp;AF3699, Sheet2!$E:$E, 0)) &amp; ", " &amp; INDEX(Sheet2!$D:$D, MATCH(AE3699&amp;AF3699, Sheet2!$E:$E, 0)), ""), "-")</f>
        <v/>
      </c>
    </row>
    <row r="3700" spans="1:33" x14ac:dyDescent="0.25">
      <c r="A3700" t="s">
        <v>5374</v>
      </c>
      <c r="B3700" t="s">
        <v>5379</v>
      </c>
      <c r="C3700" t="s">
        <v>5376</v>
      </c>
      <c r="D3700" t="s">
        <v>101</v>
      </c>
      <c r="E3700" t="s">
        <v>38</v>
      </c>
      <c r="F3700">
        <v>1753</v>
      </c>
      <c r="G3700">
        <v>2234</v>
      </c>
      <c r="H3700" t="s">
        <v>38</v>
      </c>
      <c r="I3700" t="s">
        <v>87</v>
      </c>
      <c r="J3700" t="s">
        <v>5377</v>
      </c>
      <c r="K3700" t="s">
        <v>38</v>
      </c>
      <c r="L3700" t="s">
        <v>38</v>
      </c>
      <c r="M3700" t="s">
        <v>38</v>
      </c>
      <c r="N3700" t="s">
        <v>38</v>
      </c>
      <c r="O3700" t="s">
        <v>41</v>
      </c>
      <c r="P3700" t="s">
        <v>42</v>
      </c>
      <c r="Q3700" t="s">
        <v>43</v>
      </c>
      <c r="R3700" t="s">
        <v>38</v>
      </c>
      <c r="S3700" t="s">
        <v>38</v>
      </c>
      <c r="T3700" t="s">
        <v>38</v>
      </c>
      <c r="U3700" t="s">
        <v>38</v>
      </c>
      <c r="V3700" t="s">
        <v>137</v>
      </c>
      <c r="W3700" t="s">
        <v>38</v>
      </c>
      <c r="X3700" t="s">
        <v>38</v>
      </c>
      <c r="Y3700" t="s">
        <v>5380</v>
      </c>
      <c r="Z3700" t="s">
        <v>42</v>
      </c>
      <c r="AA3700" t="s">
        <v>38</v>
      </c>
      <c r="AB3700" t="s">
        <v>38</v>
      </c>
      <c r="AC3700" t="s">
        <v>38</v>
      </c>
      <c r="AD3700" t="s">
        <v>48</v>
      </c>
      <c r="AG3700" t="str">
        <f>IF(AD3700="United States", IFERROR(INDEX(Sheet2!$C:$C, MATCH(AE3700&amp;AF3700, Sheet2!$E:$E, 0)) &amp; ", " &amp; INDEX(Sheet2!$D:$D, MATCH(AE3700&amp;AF3700, Sheet2!$E:$E, 0)), ""), "-")</f>
        <v/>
      </c>
    </row>
    <row r="3701" spans="1:33" x14ac:dyDescent="0.25">
      <c r="A3701" t="s">
        <v>5374</v>
      </c>
      <c r="B3701" t="s">
        <v>5381</v>
      </c>
      <c r="C3701" t="s">
        <v>5376</v>
      </c>
      <c r="D3701" t="s">
        <v>50</v>
      </c>
      <c r="E3701" t="s">
        <v>38</v>
      </c>
      <c r="F3701">
        <v>1764</v>
      </c>
      <c r="G3701">
        <v>2235</v>
      </c>
      <c r="H3701" t="s">
        <v>38</v>
      </c>
      <c r="I3701" t="s">
        <v>87</v>
      </c>
      <c r="J3701" t="s">
        <v>5377</v>
      </c>
      <c r="K3701" t="s">
        <v>38</v>
      </c>
      <c r="L3701" t="s">
        <v>38</v>
      </c>
      <c r="M3701" t="s">
        <v>38</v>
      </c>
      <c r="N3701" t="s">
        <v>38</v>
      </c>
      <c r="O3701" t="s">
        <v>57</v>
      </c>
      <c r="P3701" t="s">
        <v>42</v>
      </c>
      <c r="Q3701" t="s">
        <v>43</v>
      </c>
      <c r="R3701" t="s">
        <v>38</v>
      </c>
      <c r="S3701" t="s">
        <v>89</v>
      </c>
      <c r="T3701" t="s">
        <v>38</v>
      </c>
      <c r="U3701" t="s">
        <v>38</v>
      </c>
      <c r="V3701" t="s">
        <v>137</v>
      </c>
      <c r="W3701" t="s">
        <v>38</v>
      </c>
      <c r="X3701" t="s">
        <v>38</v>
      </c>
      <c r="Y3701" t="s">
        <v>5382</v>
      </c>
      <c r="Z3701" t="s">
        <v>42</v>
      </c>
      <c r="AA3701" t="s">
        <v>38</v>
      </c>
      <c r="AB3701" t="s">
        <v>38</v>
      </c>
      <c r="AC3701" t="s">
        <v>89</v>
      </c>
      <c r="AD3701" t="s">
        <v>48</v>
      </c>
      <c r="AG3701" t="str">
        <f>IF(AD3701="United States", IFERROR(INDEX(Sheet2!$C:$C, MATCH(AE3701&amp;AF3701, Sheet2!$E:$E, 0)) &amp; ", " &amp; INDEX(Sheet2!$D:$D, MATCH(AE3701&amp;AF3701, Sheet2!$E:$E, 0)), ""), "-")</f>
        <v/>
      </c>
    </row>
    <row r="3702" spans="1:33" x14ac:dyDescent="0.25">
      <c r="A3702" t="s">
        <v>5374</v>
      </c>
      <c r="B3702" t="s">
        <v>5383</v>
      </c>
      <c r="C3702" t="s">
        <v>5376</v>
      </c>
      <c r="D3702" t="s">
        <v>222</v>
      </c>
      <c r="E3702" t="s">
        <v>38</v>
      </c>
      <c r="F3702">
        <v>1745</v>
      </c>
      <c r="G3702">
        <v>2236</v>
      </c>
      <c r="H3702" t="s">
        <v>38</v>
      </c>
      <c r="I3702" t="s">
        <v>87</v>
      </c>
      <c r="J3702" t="s">
        <v>5377</v>
      </c>
      <c r="K3702" t="s">
        <v>38</v>
      </c>
      <c r="L3702" t="s">
        <v>38</v>
      </c>
      <c r="M3702" t="s">
        <v>38</v>
      </c>
      <c r="N3702" t="s">
        <v>38</v>
      </c>
      <c r="O3702" t="s">
        <v>57</v>
      </c>
      <c r="P3702" t="s">
        <v>42</v>
      </c>
      <c r="Q3702" t="s">
        <v>43</v>
      </c>
      <c r="R3702" t="s">
        <v>38</v>
      </c>
      <c r="S3702" t="s">
        <v>38</v>
      </c>
      <c r="T3702" t="s">
        <v>38</v>
      </c>
      <c r="U3702" t="s">
        <v>38</v>
      </c>
      <c r="V3702" t="s">
        <v>137</v>
      </c>
      <c r="W3702" t="s">
        <v>38</v>
      </c>
      <c r="X3702" t="s">
        <v>38</v>
      </c>
      <c r="Y3702" t="s">
        <v>5384</v>
      </c>
      <c r="Z3702" t="s">
        <v>42</v>
      </c>
      <c r="AA3702" t="s">
        <v>38</v>
      </c>
      <c r="AB3702" t="s">
        <v>38</v>
      </c>
      <c r="AC3702" t="s">
        <v>38</v>
      </c>
      <c r="AD3702" t="s">
        <v>48</v>
      </c>
      <c r="AG3702" t="str">
        <f>IF(AD3702="United States", IFERROR(INDEX(Sheet2!$C:$C, MATCH(AE3702&amp;AF3702, Sheet2!$E:$E, 0)) &amp; ", " &amp; INDEX(Sheet2!$D:$D, MATCH(AE3702&amp;AF3702, Sheet2!$E:$E, 0)), ""), "-")</f>
        <v/>
      </c>
    </row>
    <row r="3703" spans="1:33" x14ac:dyDescent="0.25">
      <c r="A3703" t="s">
        <v>5374</v>
      </c>
      <c r="B3703" t="s">
        <v>5385</v>
      </c>
      <c r="C3703" t="s">
        <v>5376</v>
      </c>
      <c r="D3703" t="s">
        <v>5386</v>
      </c>
      <c r="E3703" t="s">
        <v>38</v>
      </c>
      <c r="F3703">
        <v>1767</v>
      </c>
      <c r="G3703">
        <v>2238</v>
      </c>
      <c r="H3703" t="s">
        <v>38</v>
      </c>
      <c r="I3703" t="s">
        <v>87</v>
      </c>
      <c r="J3703" t="s">
        <v>5377</v>
      </c>
      <c r="K3703" t="s">
        <v>38</v>
      </c>
      <c r="L3703" t="s">
        <v>38</v>
      </c>
      <c r="M3703" t="s">
        <v>38</v>
      </c>
      <c r="N3703" t="s">
        <v>38</v>
      </c>
      <c r="O3703" t="s">
        <v>74</v>
      </c>
      <c r="P3703" t="s">
        <v>42</v>
      </c>
      <c r="Q3703" t="s">
        <v>43</v>
      </c>
      <c r="R3703" t="s">
        <v>38</v>
      </c>
      <c r="S3703" t="s">
        <v>38</v>
      </c>
      <c r="T3703" t="s">
        <v>38</v>
      </c>
      <c r="U3703" t="s">
        <v>38</v>
      </c>
      <c r="V3703" t="s">
        <v>137</v>
      </c>
      <c r="W3703" t="s">
        <v>38</v>
      </c>
      <c r="X3703" t="s">
        <v>38</v>
      </c>
      <c r="Y3703" t="s">
        <v>5387</v>
      </c>
      <c r="Z3703" t="s">
        <v>42</v>
      </c>
      <c r="AA3703" t="s">
        <v>38</v>
      </c>
      <c r="AB3703" t="s">
        <v>38</v>
      </c>
      <c r="AC3703" t="s">
        <v>38</v>
      </c>
      <c r="AD3703" t="s">
        <v>48</v>
      </c>
      <c r="AG3703" t="str">
        <f>IF(AD3703="United States", IFERROR(INDEX(Sheet2!$C:$C, MATCH(AE3703&amp;AF3703, Sheet2!$E:$E, 0)) &amp; ", " &amp; INDEX(Sheet2!$D:$D, MATCH(AE3703&amp;AF3703, Sheet2!$E:$E, 0)), ""), "-")</f>
        <v/>
      </c>
    </row>
    <row r="3704" spans="1:33" x14ac:dyDescent="0.25">
      <c r="A3704" t="s">
        <v>5374</v>
      </c>
      <c r="B3704" t="s">
        <v>5388</v>
      </c>
      <c r="C3704" t="s">
        <v>5376</v>
      </c>
      <c r="D3704" t="s">
        <v>113</v>
      </c>
      <c r="E3704" t="s">
        <v>38</v>
      </c>
      <c r="F3704">
        <v>1769</v>
      </c>
      <c r="G3704">
        <v>2237</v>
      </c>
      <c r="H3704" t="s">
        <v>38</v>
      </c>
      <c r="I3704" t="s">
        <v>87</v>
      </c>
      <c r="J3704" t="s">
        <v>5377</v>
      </c>
      <c r="K3704" t="s">
        <v>38</v>
      </c>
      <c r="L3704" t="s">
        <v>38</v>
      </c>
      <c r="M3704" t="s">
        <v>38</v>
      </c>
      <c r="N3704" t="s">
        <v>38</v>
      </c>
      <c r="O3704" t="s">
        <v>54</v>
      </c>
      <c r="P3704" t="s">
        <v>42</v>
      </c>
      <c r="Q3704" t="s">
        <v>43</v>
      </c>
      <c r="R3704" t="s">
        <v>38</v>
      </c>
      <c r="S3704" t="s">
        <v>38</v>
      </c>
      <c r="T3704" t="s">
        <v>38</v>
      </c>
      <c r="U3704" t="s">
        <v>38</v>
      </c>
      <c r="V3704" t="s">
        <v>137</v>
      </c>
      <c r="W3704" t="s">
        <v>38</v>
      </c>
      <c r="X3704" t="s">
        <v>38</v>
      </c>
      <c r="Y3704" t="s">
        <v>5389</v>
      </c>
      <c r="Z3704" t="s">
        <v>42</v>
      </c>
      <c r="AA3704" t="s">
        <v>38</v>
      </c>
      <c r="AB3704" t="s">
        <v>38</v>
      </c>
      <c r="AC3704" t="s">
        <v>38</v>
      </c>
      <c r="AD3704" t="s">
        <v>48</v>
      </c>
      <c r="AG3704" t="str">
        <f>IF(AD3704="United States", IFERROR(INDEX(Sheet2!$C:$C, MATCH(AE3704&amp;AF3704, Sheet2!$E:$E, 0)) &amp; ", " &amp; INDEX(Sheet2!$D:$D, MATCH(AE3704&amp;AF3704, Sheet2!$E:$E, 0)), ""), "-")</f>
        <v/>
      </c>
    </row>
    <row r="3705" spans="1:33" x14ac:dyDescent="0.25">
      <c r="A3705" t="s">
        <v>5390</v>
      </c>
      <c r="D3705" t="s">
        <v>113</v>
      </c>
      <c r="E3705" t="s">
        <v>42</v>
      </c>
      <c r="F3705">
        <v>1748</v>
      </c>
      <c r="G3705">
        <v>1</v>
      </c>
      <c r="H3705">
        <v>17</v>
      </c>
      <c r="O3705" t="s">
        <v>41</v>
      </c>
      <c r="V3705" t="s">
        <v>111</v>
      </c>
      <c r="W3705" t="s">
        <v>92</v>
      </c>
      <c r="Y3705" t="s">
        <v>38</v>
      </c>
      <c r="AA3705" t="s">
        <v>38</v>
      </c>
      <c r="AB3705" t="s">
        <v>38</v>
      </c>
      <c r="AC3705" t="s">
        <v>38</v>
      </c>
      <c r="AD3705" t="s">
        <v>48</v>
      </c>
      <c r="AG3705" t="str">
        <f>IF(AD3705="United States", IFERROR(INDEX(Sheet2!$C:$C, MATCH(AE3705&amp;AF3705, Sheet2!$E:$E, 0)) &amp; ", " &amp; INDEX(Sheet2!$D:$D, MATCH(AE3705&amp;AF3705, Sheet2!$E:$E, 0)), ""), "-")</f>
        <v/>
      </c>
    </row>
    <row r="3706" spans="1:33" x14ac:dyDescent="0.25">
      <c r="A3706" t="s">
        <v>5390</v>
      </c>
      <c r="D3706" t="s">
        <v>129</v>
      </c>
      <c r="E3706" t="s">
        <v>42</v>
      </c>
      <c r="F3706">
        <v>1758</v>
      </c>
      <c r="G3706">
        <v>2</v>
      </c>
      <c r="H3706">
        <v>17</v>
      </c>
      <c r="O3706" t="s">
        <v>57</v>
      </c>
      <c r="V3706" t="s">
        <v>111</v>
      </c>
      <c r="W3706" t="s">
        <v>92</v>
      </c>
      <c r="Y3706" t="s">
        <v>38</v>
      </c>
      <c r="AA3706" t="s">
        <v>38</v>
      </c>
      <c r="AB3706" t="s">
        <v>38</v>
      </c>
      <c r="AC3706" t="s">
        <v>38</v>
      </c>
      <c r="AD3706" t="s">
        <v>48</v>
      </c>
      <c r="AG3706" t="str">
        <f>IF(AD3706="United States", IFERROR(INDEX(Sheet2!$C:$C, MATCH(AE3706&amp;AF3706, Sheet2!$E:$E, 0)) &amp; ", " &amp; INDEX(Sheet2!$D:$D, MATCH(AE3706&amp;AF3706, Sheet2!$E:$E, 0)), ""), "-")</f>
        <v/>
      </c>
    </row>
    <row r="3707" spans="1:33" x14ac:dyDescent="0.25">
      <c r="A3707" t="s">
        <v>5390</v>
      </c>
      <c r="D3707" t="s">
        <v>1876</v>
      </c>
      <c r="E3707" t="s">
        <v>38</v>
      </c>
      <c r="F3707">
        <v>1776</v>
      </c>
      <c r="G3707">
        <v>3</v>
      </c>
      <c r="H3707">
        <v>17</v>
      </c>
      <c r="O3707" t="s">
        <v>54</v>
      </c>
      <c r="V3707" t="s">
        <v>111</v>
      </c>
      <c r="W3707" t="s">
        <v>92</v>
      </c>
      <c r="Y3707" t="s">
        <v>38</v>
      </c>
      <c r="AA3707" t="s">
        <v>38</v>
      </c>
      <c r="AB3707" t="s">
        <v>38</v>
      </c>
      <c r="AC3707" t="s">
        <v>38</v>
      </c>
      <c r="AD3707" t="s">
        <v>48</v>
      </c>
      <c r="AG3707" t="str">
        <f>IF(AD3707="United States", IFERROR(INDEX(Sheet2!$C:$C, MATCH(AE3707&amp;AF3707, Sheet2!$E:$E, 0)) &amp; ", " &amp; INDEX(Sheet2!$D:$D, MATCH(AE3707&amp;AF3707, Sheet2!$E:$E, 0)), ""), "-")</f>
        <v/>
      </c>
    </row>
    <row r="3708" spans="1:33" x14ac:dyDescent="0.25">
      <c r="A3708" t="s">
        <v>5390</v>
      </c>
      <c r="D3708" t="s">
        <v>162</v>
      </c>
      <c r="E3708" t="s">
        <v>38</v>
      </c>
      <c r="F3708">
        <v>1778</v>
      </c>
      <c r="G3708">
        <v>4</v>
      </c>
      <c r="H3708">
        <v>17</v>
      </c>
      <c r="O3708" t="s">
        <v>74</v>
      </c>
      <c r="V3708" t="s">
        <v>111</v>
      </c>
      <c r="W3708" t="s">
        <v>92</v>
      </c>
      <c r="Y3708" t="s">
        <v>38</v>
      </c>
      <c r="AA3708" t="s">
        <v>38</v>
      </c>
      <c r="AB3708" t="s">
        <v>38</v>
      </c>
      <c r="AC3708" t="s">
        <v>38</v>
      </c>
      <c r="AD3708" t="s">
        <v>48</v>
      </c>
      <c r="AG3708" t="str">
        <f>IF(AD3708="United States", IFERROR(INDEX(Sheet2!$C:$C, MATCH(AE3708&amp;AF3708, Sheet2!$E:$E, 0)) &amp; ", " &amp; INDEX(Sheet2!$D:$D, MATCH(AE3708&amp;AF3708, Sheet2!$E:$E, 0)), ""), "-")</f>
        <v/>
      </c>
    </row>
    <row r="3709" spans="1:33" x14ac:dyDescent="0.25">
      <c r="A3709" t="s">
        <v>5391</v>
      </c>
      <c r="D3709" t="s">
        <v>181</v>
      </c>
      <c r="E3709" t="s">
        <v>72</v>
      </c>
      <c r="F3709">
        <v>1781</v>
      </c>
      <c r="G3709">
        <v>2270</v>
      </c>
      <c r="H3709">
        <v>71</v>
      </c>
      <c r="J3709" t="s">
        <v>5392</v>
      </c>
      <c r="O3709" t="s">
        <v>183</v>
      </c>
      <c r="V3709" t="s">
        <v>1045</v>
      </c>
      <c r="W3709" t="s">
        <v>92</v>
      </c>
      <c r="Y3709" t="s">
        <v>38</v>
      </c>
      <c r="AA3709" t="s">
        <v>38</v>
      </c>
      <c r="AB3709" t="s">
        <v>38</v>
      </c>
      <c r="AC3709" t="s">
        <v>38</v>
      </c>
      <c r="AD3709" t="s">
        <v>48</v>
      </c>
      <c r="AG3709" t="str">
        <f>IF(AD3709="United States", IFERROR(INDEX(Sheet2!$C:$C, MATCH(AE3709&amp;AF3709, Sheet2!$E:$E, 0)) &amp; ", " &amp; INDEX(Sheet2!$D:$D, MATCH(AE3709&amp;AF3709, Sheet2!$E:$E, 0)), ""), "-")</f>
        <v/>
      </c>
    </row>
    <row r="3710" spans="1:33" x14ac:dyDescent="0.25">
      <c r="A3710" t="s">
        <v>5391</v>
      </c>
      <c r="D3710" t="s">
        <v>3672</v>
      </c>
      <c r="E3710" t="s">
        <v>38</v>
      </c>
      <c r="F3710">
        <v>1732</v>
      </c>
      <c r="G3710">
        <v>2266</v>
      </c>
      <c r="H3710">
        <v>71</v>
      </c>
      <c r="J3710" t="s">
        <v>5392</v>
      </c>
      <c r="O3710" t="s">
        <v>41</v>
      </c>
      <c r="V3710" t="s">
        <v>1045</v>
      </c>
      <c r="W3710" t="s">
        <v>92</v>
      </c>
      <c r="Y3710" t="s">
        <v>38</v>
      </c>
      <c r="AA3710" t="s">
        <v>38</v>
      </c>
      <c r="AB3710" t="s">
        <v>38</v>
      </c>
      <c r="AC3710" t="s">
        <v>38</v>
      </c>
      <c r="AD3710" t="s">
        <v>48</v>
      </c>
      <c r="AG3710" t="str">
        <f>IF(AD3710="United States", IFERROR(INDEX(Sheet2!$C:$C, MATCH(AE3710&amp;AF3710, Sheet2!$E:$E, 0)) &amp; ", " &amp; INDEX(Sheet2!$D:$D, MATCH(AE3710&amp;AF3710, Sheet2!$E:$E, 0)), ""), "-")</f>
        <v/>
      </c>
    </row>
    <row r="3711" spans="1:33" x14ac:dyDescent="0.25">
      <c r="A3711" t="s">
        <v>5391</v>
      </c>
      <c r="D3711" t="s">
        <v>343</v>
      </c>
      <c r="E3711" t="s">
        <v>38</v>
      </c>
      <c r="F3711">
        <v>1769</v>
      </c>
      <c r="G3711">
        <v>2267</v>
      </c>
      <c r="H3711">
        <v>71</v>
      </c>
      <c r="J3711" t="s">
        <v>5392</v>
      </c>
      <c r="O3711" t="s">
        <v>54</v>
      </c>
      <c r="V3711" t="s">
        <v>1045</v>
      </c>
      <c r="W3711" t="s">
        <v>92</v>
      </c>
      <c r="Y3711" t="s">
        <v>38</v>
      </c>
      <c r="AA3711" t="s">
        <v>38</v>
      </c>
      <c r="AB3711" t="s">
        <v>38</v>
      </c>
      <c r="AC3711" t="s">
        <v>38</v>
      </c>
      <c r="AD3711" t="s">
        <v>48</v>
      </c>
      <c r="AG3711" t="str">
        <f>IF(AD3711="United States", IFERROR(INDEX(Sheet2!$C:$C, MATCH(AE3711&amp;AF3711, Sheet2!$E:$E, 0)) &amp; ", " &amp; INDEX(Sheet2!$D:$D, MATCH(AE3711&amp;AF3711, Sheet2!$E:$E, 0)), ""), "-")</f>
        <v/>
      </c>
    </row>
    <row r="3712" spans="1:33" x14ac:dyDescent="0.25">
      <c r="A3712" t="s">
        <v>5391</v>
      </c>
      <c r="D3712" t="s">
        <v>615</v>
      </c>
      <c r="E3712" t="s">
        <v>38</v>
      </c>
      <c r="F3712">
        <v>1778</v>
      </c>
      <c r="G3712">
        <v>2268</v>
      </c>
      <c r="H3712">
        <v>71</v>
      </c>
      <c r="J3712" t="s">
        <v>5392</v>
      </c>
      <c r="O3712" t="s">
        <v>54</v>
      </c>
      <c r="V3712" t="s">
        <v>1045</v>
      </c>
      <c r="W3712" t="s">
        <v>92</v>
      </c>
      <c r="Y3712" t="s">
        <v>38</v>
      </c>
      <c r="AA3712" t="s">
        <v>38</v>
      </c>
      <c r="AB3712" t="s">
        <v>38</v>
      </c>
      <c r="AC3712" t="s">
        <v>38</v>
      </c>
      <c r="AD3712" t="s">
        <v>48</v>
      </c>
      <c r="AG3712" t="str">
        <f>IF(AD3712="United States", IFERROR(INDEX(Sheet2!$C:$C, MATCH(AE3712&amp;AF3712, Sheet2!$E:$E, 0)) &amp; ", " &amp; INDEX(Sheet2!$D:$D, MATCH(AE3712&amp;AF3712, Sheet2!$E:$E, 0)), ""), "-")</f>
        <v/>
      </c>
    </row>
    <row r="3713" spans="1:33" x14ac:dyDescent="0.25">
      <c r="A3713" t="s">
        <v>5391</v>
      </c>
      <c r="D3713" t="s">
        <v>181</v>
      </c>
      <c r="E3713" t="s">
        <v>5393</v>
      </c>
      <c r="F3713">
        <v>1778</v>
      </c>
      <c r="G3713">
        <v>2265</v>
      </c>
      <c r="H3713">
        <v>71</v>
      </c>
      <c r="J3713" t="s">
        <v>5392</v>
      </c>
      <c r="O3713" t="s">
        <v>183</v>
      </c>
      <c r="V3713" t="s">
        <v>1045</v>
      </c>
      <c r="W3713" t="s">
        <v>92</v>
      </c>
      <c r="Y3713" t="s">
        <v>38</v>
      </c>
      <c r="AA3713" t="s">
        <v>38</v>
      </c>
      <c r="AB3713" t="s">
        <v>38</v>
      </c>
      <c r="AC3713" t="s">
        <v>38</v>
      </c>
      <c r="AD3713" t="s">
        <v>48</v>
      </c>
      <c r="AG3713" t="str">
        <f>IF(AD3713="United States", IFERROR(INDEX(Sheet2!$C:$C, MATCH(AE3713&amp;AF3713, Sheet2!$E:$E, 0)) &amp; ", " &amp; INDEX(Sheet2!$D:$D, MATCH(AE3713&amp;AF3713, Sheet2!$E:$E, 0)), ""), "-")</f>
        <v/>
      </c>
    </row>
    <row r="3714" spans="1:33" x14ac:dyDescent="0.25">
      <c r="A3714" t="s">
        <v>5391</v>
      </c>
      <c r="D3714" t="s">
        <v>140</v>
      </c>
      <c r="E3714" t="s">
        <v>191</v>
      </c>
      <c r="F3714">
        <v>1767</v>
      </c>
      <c r="G3714">
        <v>2278</v>
      </c>
      <c r="H3714">
        <v>71</v>
      </c>
      <c r="J3714" t="s">
        <v>5392</v>
      </c>
      <c r="O3714" t="s">
        <v>57</v>
      </c>
      <c r="V3714" t="s">
        <v>1045</v>
      </c>
      <c r="W3714" t="s">
        <v>92</v>
      </c>
      <c r="Y3714" t="s">
        <v>38</v>
      </c>
      <c r="AA3714" t="s">
        <v>38</v>
      </c>
      <c r="AB3714" t="s">
        <v>38</v>
      </c>
      <c r="AC3714" t="s">
        <v>38</v>
      </c>
      <c r="AD3714" t="s">
        <v>48</v>
      </c>
      <c r="AG3714" t="str">
        <f>IF(AD3714="United States", IFERROR(INDEX(Sheet2!$C:$C, MATCH(AE3714&amp;AF3714, Sheet2!$E:$E, 0)) &amp; ", " &amp; INDEX(Sheet2!$D:$D, MATCH(AE3714&amp;AF3714, Sheet2!$E:$E, 0)), ""), "-")</f>
        <v/>
      </c>
    </row>
    <row r="3715" spans="1:33" x14ac:dyDescent="0.25">
      <c r="A3715" t="s">
        <v>5391</v>
      </c>
      <c r="D3715" t="s">
        <v>2286</v>
      </c>
      <c r="E3715" t="s">
        <v>38</v>
      </c>
      <c r="F3715">
        <v>1768</v>
      </c>
      <c r="G3715">
        <v>2276</v>
      </c>
      <c r="H3715">
        <v>71</v>
      </c>
      <c r="J3715" t="s">
        <v>5392</v>
      </c>
      <c r="O3715" t="s">
        <v>74</v>
      </c>
      <c r="V3715" t="s">
        <v>1045</v>
      </c>
      <c r="W3715" t="s">
        <v>92</v>
      </c>
      <c r="Y3715" t="s">
        <v>38</v>
      </c>
      <c r="AA3715" t="s">
        <v>38</v>
      </c>
      <c r="AB3715" t="s">
        <v>38</v>
      </c>
      <c r="AC3715" t="s">
        <v>38</v>
      </c>
      <c r="AD3715" t="s">
        <v>48</v>
      </c>
      <c r="AG3715" t="str">
        <f>IF(AD3715="United States", IFERROR(INDEX(Sheet2!$C:$C, MATCH(AE3715&amp;AF3715, Sheet2!$E:$E, 0)) &amp; ", " &amp; INDEX(Sheet2!$D:$D, MATCH(AE3715&amp;AF3715, Sheet2!$E:$E, 0)), ""), "-")</f>
        <v/>
      </c>
    </row>
    <row r="3716" spans="1:33" x14ac:dyDescent="0.25">
      <c r="A3716" t="s">
        <v>5391</v>
      </c>
      <c r="D3716" t="s">
        <v>1230</v>
      </c>
      <c r="E3716" t="s">
        <v>38</v>
      </c>
      <c r="F3716">
        <v>1766</v>
      </c>
      <c r="G3716">
        <v>2275</v>
      </c>
      <c r="H3716">
        <v>71</v>
      </c>
      <c r="J3716" t="s">
        <v>5392</v>
      </c>
      <c r="O3716" t="s">
        <v>57</v>
      </c>
      <c r="V3716" t="s">
        <v>1045</v>
      </c>
      <c r="W3716" t="s">
        <v>92</v>
      </c>
      <c r="Y3716" t="s">
        <v>38</v>
      </c>
      <c r="AA3716" t="s">
        <v>38</v>
      </c>
      <c r="AB3716" t="s">
        <v>38</v>
      </c>
      <c r="AC3716" t="s">
        <v>38</v>
      </c>
      <c r="AD3716" t="s">
        <v>48</v>
      </c>
      <c r="AG3716" t="str">
        <f>IF(AD3716="United States", IFERROR(INDEX(Sheet2!$C:$C, MATCH(AE3716&amp;AF3716, Sheet2!$E:$E, 0)) &amp; ", " &amp; INDEX(Sheet2!$D:$D, MATCH(AE3716&amp;AF3716, Sheet2!$E:$E, 0)), ""), "-")</f>
        <v/>
      </c>
    </row>
    <row r="3717" spans="1:33" x14ac:dyDescent="0.25">
      <c r="A3717" t="s">
        <v>5391</v>
      </c>
      <c r="D3717" t="s">
        <v>181</v>
      </c>
      <c r="E3717" t="s">
        <v>834</v>
      </c>
      <c r="F3717" t="s">
        <v>38</v>
      </c>
      <c r="G3717">
        <v>2274</v>
      </c>
      <c r="H3717">
        <v>71</v>
      </c>
      <c r="J3717" t="s">
        <v>5392</v>
      </c>
      <c r="O3717" t="s">
        <v>183</v>
      </c>
      <c r="V3717" t="s">
        <v>1045</v>
      </c>
      <c r="W3717" t="s">
        <v>92</v>
      </c>
      <c r="Y3717" t="s">
        <v>38</v>
      </c>
      <c r="AA3717" t="s">
        <v>38</v>
      </c>
      <c r="AB3717" t="s">
        <v>38</v>
      </c>
      <c r="AC3717" t="s">
        <v>38</v>
      </c>
      <c r="AD3717" t="s">
        <v>48</v>
      </c>
      <c r="AG3717" t="str">
        <f>IF(AD3717="United States", IFERROR(INDEX(Sheet2!$C:$C, MATCH(AE3717&amp;AF3717, Sheet2!$E:$E, 0)) &amp; ", " &amp; INDEX(Sheet2!$D:$D, MATCH(AE3717&amp;AF3717, Sheet2!$E:$E, 0)), ""), "-")</f>
        <v/>
      </c>
    </row>
    <row r="3718" spans="1:33" x14ac:dyDescent="0.25">
      <c r="A3718" t="s">
        <v>5391</v>
      </c>
      <c r="D3718" t="s">
        <v>181</v>
      </c>
      <c r="E3718" t="s">
        <v>834</v>
      </c>
      <c r="F3718">
        <v>1781</v>
      </c>
      <c r="G3718">
        <v>2273</v>
      </c>
      <c r="H3718">
        <v>71</v>
      </c>
      <c r="J3718" t="s">
        <v>5392</v>
      </c>
      <c r="O3718" t="s">
        <v>183</v>
      </c>
      <c r="V3718" t="s">
        <v>1045</v>
      </c>
      <c r="W3718" t="s">
        <v>92</v>
      </c>
      <c r="Y3718" t="s">
        <v>38</v>
      </c>
      <c r="AA3718" t="s">
        <v>38</v>
      </c>
      <c r="AB3718" t="s">
        <v>38</v>
      </c>
      <c r="AC3718" t="s">
        <v>38</v>
      </c>
      <c r="AD3718" t="s">
        <v>48</v>
      </c>
      <c r="AG3718" t="str">
        <f>IF(AD3718="United States", IFERROR(INDEX(Sheet2!$C:$C, MATCH(AE3718&amp;AF3718, Sheet2!$E:$E, 0)) &amp; ", " &amp; INDEX(Sheet2!$D:$D, MATCH(AE3718&amp;AF3718, Sheet2!$E:$E, 0)), ""), "-")</f>
        <v/>
      </c>
    </row>
    <row r="3719" spans="1:33" x14ac:dyDescent="0.25">
      <c r="A3719" t="s">
        <v>5391</v>
      </c>
      <c r="D3719" t="s">
        <v>834</v>
      </c>
      <c r="E3719" t="s">
        <v>38</v>
      </c>
      <c r="F3719">
        <v>1763</v>
      </c>
      <c r="G3719">
        <v>2272</v>
      </c>
      <c r="H3719">
        <v>71</v>
      </c>
      <c r="J3719" t="s">
        <v>5392</v>
      </c>
      <c r="O3719" t="s">
        <v>57</v>
      </c>
      <c r="V3719" t="s">
        <v>1045</v>
      </c>
      <c r="W3719" t="s">
        <v>92</v>
      </c>
      <c r="Y3719" t="s">
        <v>38</v>
      </c>
      <c r="AA3719" t="s">
        <v>38</v>
      </c>
      <c r="AB3719" t="s">
        <v>38</v>
      </c>
      <c r="AC3719" t="s">
        <v>38</v>
      </c>
      <c r="AD3719" t="s">
        <v>48</v>
      </c>
      <c r="AG3719" t="str">
        <f>IF(AD3719="United States", IFERROR(INDEX(Sheet2!$C:$C, MATCH(AE3719&amp;AF3719, Sheet2!$E:$E, 0)) &amp; ", " &amp; INDEX(Sheet2!$D:$D, MATCH(AE3719&amp;AF3719, Sheet2!$E:$E, 0)), ""), "-")</f>
        <v/>
      </c>
    </row>
    <row r="3720" spans="1:33" x14ac:dyDescent="0.25">
      <c r="A3720" t="s">
        <v>5391</v>
      </c>
      <c r="D3720" t="s">
        <v>5394</v>
      </c>
      <c r="E3720" t="s">
        <v>5395</v>
      </c>
      <c r="F3720">
        <v>1759</v>
      </c>
      <c r="G3720">
        <v>2271</v>
      </c>
      <c r="H3720">
        <v>71</v>
      </c>
      <c r="J3720" t="s">
        <v>5392</v>
      </c>
      <c r="O3720" t="s">
        <v>41</v>
      </c>
      <c r="V3720" t="s">
        <v>1045</v>
      </c>
      <c r="W3720" t="s">
        <v>92</v>
      </c>
      <c r="Y3720" t="s">
        <v>38</v>
      </c>
      <c r="AA3720" t="s">
        <v>38</v>
      </c>
      <c r="AB3720" t="s">
        <v>38</v>
      </c>
      <c r="AC3720" t="s">
        <v>38</v>
      </c>
      <c r="AD3720" t="s">
        <v>48</v>
      </c>
      <c r="AG3720" t="str">
        <f>IF(AD3720="United States", IFERROR(INDEX(Sheet2!$C:$C, MATCH(AE3720&amp;AF3720, Sheet2!$E:$E, 0)) &amp; ", " &amp; INDEX(Sheet2!$D:$D, MATCH(AE3720&amp;AF3720, Sheet2!$E:$E, 0)), ""), "-")</f>
        <v/>
      </c>
    </row>
    <row r="3721" spans="1:33" x14ac:dyDescent="0.25">
      <c r="A3721" t="s">
        <v>5391</v>
      </c>
      <c r="D3721" t="s">
        <v>132</v>
      </c>
      <c r="E3721" t="s">
        <v>5396</v>
      </c>
      <c r="F3721">
        <v>1747</v>
      </c>
      <c r="G3721">
        <v>2277</v>
      </c>
      <c r="H3721">
        <v>71</v>
      </c>
      <c r="J3721" t="s">
        <v>5392</v>
      </c>
      <c r="O3721" t="s">
        <v>41</v>
      </c>
      <c r="V3721" t="s">
        <v>1045</v>
      </c>
      <c r="W3721" t="s">
        <v>92</v>
      </c>
      <c r="Y3721" t="s">
        <v>38</v>
      </c>
      <c r="AA3721" t="s">
        <v>38</v>
      </c>
      <c r="AB3721" t="s">
        <v>38</v>
      </c>
      <c r="AC3721" t="s">
        <v>38</v>
      </c>
      <c r="AD3721" t="s">
        <v>48</v>
      </c>
      <c r="AG3721" t="str">
        <f>IF(AD3721="United States", IFERROR(INDEX(Sheet2!$C:$C, MATCH(AE3721&amp;AF3721, Sheet2!$E:$E, 0)) &amp; ", " &amp; INDEX(Sheet2!$D:$D, MATCH(AE3721&amp;AF3721, Sheet2!$E:$E, 0)), ""), "-")</f>
        <v/>
      </c>
    </row>
    <row r="3722" spans="1:33" x14ac:dyDescent="0.25">
      <c r="A3722" t="s">
        <v>5391</v>
      </c>
      <c r="D3722" t="s">
        <v>181</v>
      </c>
      <c r="E3722" t="s">
        <v>5393</v>
      </c>
      <c r="F3722">
        <v>1771</v>
      </c>
      <c r="G3722">
        <v>2264</v>
      </c>
      <c r="H3722">
        <v>71</v>
      </c>
      <c r="J3722" t="s">
        <v>5392</v>
      </c>
      <c r="O3722" t="s">
        <v>183</v>
      </c>
      <c r="V3722" t="s">
        <v>1045</v>
      </c>
      <c r="W3722" t="s">
        <v>92</v>
      </c>
      <c r="Y3722" t="s">
        <v>38</v>
      </c>
      <c r="AA3722" t="s">
        <v>38</v>
      </c>
      <c r="AB3722" t="s">
        <v>38</v>
      </c>
      <c r="AC3722" t="s">
        <v>38</v>
      </c>
      <c r="AD3722" t="s">
        <v>48</v>
      </c>
      <c r="AG3722" t="str">
        <f>IF(AD3722="United States", IFERROR(INDEX(Sheet2!$C:$C, MATCH(AE3722&amp;AF3722, Sheet2!$E:$E, 0)) &amp; ", " &amp; INDEX(Sheet2!$D:$D, MATCH(AE3722&amp;AF3722, Sheet2!$E:$E, 0)), ""), "-")</f>
        <v/>
      </c>
    </row>
    <row r="3723" spans="1:33" x14ac:dyDescent="0.25">
      <c r="A3723" t="s">
        <v>5391</v>
      </c>
      <c r="D3723" t="s">
        <v>72</v>
      </c>
      <c r="E3723" t="s">
        <v>38</v>
      </c>
      <c r="F3723">
        <v>1753</v>
      </c>
      <c r="G3723">
        <v>2269</v>
      </c>
      <c r="H3723">
        <v>71</v>
      </c>
      <c r="J3723" t="s">
        <v>5392</v>
      </c>
      <c r="O3723" t="s">
        <v>57</v>
      </c>
      <c r="V3723" t="s">
        <v>1045</v>
      </c>
      <c r="W3723" t="s">
        <v>92</v>
      </c>
      <c r="Y3723" t="s">
        <v>38</v>
      </c>
      <c r="AA3723" t="s">
        <v>38</v>
      </c>
      <c r="AB3723" t="s">
        <v>38</v>
      </c>
      <c r="AC3723" t="s">
        <v>38</v>
      </c>
      <c r="AD3723" t="s">
        <v>48</v>
      </c>
      <c r="AG3723" t="str">
        <f>IF(AD3723="United States", IFERROR(INDEX(Sheet2!$C:$C, MATCH(AE3723&amp;AF3723, Sheet2!$E:$E, 0)) &amp; ", " &amp; INDEX(Sheet2!$D:$D, MATCH(AE3723&amp;AF3723, Sheet2!$E:$E, 0)), ""), "-")</f>
        <v/>
      </c>
    </row>
    <row r="3724" spans="1:33" x14ac:dyDescent="0.25">
      <c r="A3724" t="s">
        <v>5391</v>
      </c>
      <c r="D3724" t="s">
        <v>495</v>
      </c>
      <c r="E3724" t="s">
        <v>5393</v>
      </c>
      <c r="F3724">
        <v>1753</v>
      </c>
      <c r="G3724">
        <v>2263</v>
      </c>
      <c r="H3724">
        <v>71</v>
      </c>
      <c r="J3724" t="s">
        <v>5392</v>
      </c>
      <c r="O3724" t="s">
        <v>57</v>
      </c>
      <c r="V3724" t="s">
        <v>1045</v>
      </c>
      <c r="W3724" t="s">
        <v>92</v>
      </c>
      <c r="Y3724" t="s">
        <v>38</v>
      </c>
      <c r="AA3724" t="s">
        <v>38</v>
      </c>
      <c r="AB3724" t="s">
        <v>38</v>
      </c>
      <c r="AC3724" t="s">
        <v>38</v>
      </c>
      <c r="AD3724" t="s">
        <v>48</v>
      </c>
      <c r="AG3724" t="str">
        <f>IF(AD3724="United States", IFERROR(INDEX(Sheet2!$C:$C, MATCH(AE3724&amp;AF3724, Sheet2!$E:$E, 0)) &amp; ", " &amp; INDEX(Sheet2!$D:$D, MATCH(AE3724&amp;AF3724, Sheet2!$E:$E, 0)), ""), "-")</f>
        <v/>
      </c>
    </row>
    <row r="3725" spans="1:33" x14ac:dyDescent="0.25">
      <c r="A3725" t="s">
        <v>5391</v>
      </c>
      <c r="D3725" t="s">
        <v>458</v>
      </c>
      <c r="E3725" t="s">
        <v>38</v>
      </c>
      <c r="F3725">
        <v>1748</v>
      </c>
      <c r="G3725">
        <v>2262</v>
      </c>
      <c r="H3725">
        <v>71</v>
      </c>
      <c r="J3725" t="s">
        <v>5392</v>
      </c>
      <c r="O3725" t="s">
        <v>41</v>
      </c>
      <c r="V3725" t="s">
        <v>1045</v>
      </c>
      <c r="W3725" t="s">
        <v>92</v>
      </c>
      <c r="Y3725" t="s">
        <v>38</v>
      </c>
      <c r="AA3725" t="s">
        <v>38</v>
      </c>
      <c r="AB3725" t="s">
        <v>38</v>
      </c>
      <c r="AC3725" t="s">
        <v>38</v>
      </c>
      <c r="AD3725" t="s">
        <v>48</v>
      </c>
      <c r="AG3725" t="str">
        <f>IF(AD3725="United States", IFERROR(INDEX(Sheet2!$C:$C, MATCH(AE3725&amp;AF3725, Sheet2!$E:$E, 0)) &amp; ", " &amp; INDEX(Sheet2!$D:$D, MATCH(AE3725&amp;AF3725, Sheet2!$E:$E, 0)), ""), "-")</f>
        <v/>
      </c>
    </row>
    <row r="3726" spans="1:33" x14ac:dyDescent="0.25">
      <c r="A3726" t="s">
        <v>5397</v>
      </c>
      <c r="D3726" t="s">
        <v>357</v>
      </c>
      <c r="E3726" t="s">
        <v>300</v>
      </c>
      <c r="F3726">
        <v>1756</v>
      </c>
      <c r="G3726">
        <v>1691</v>
      </c>
      <c r="H3726">
        <v>58</v>
      </c>
      <c r="J3726" t="s">
        <v>5398</v>
      </c>
      <c r="O3726" t="s">
        <v>41</v>
      </c>
      <c r="V3726" t="s">
        <v>5399</v>
      </c>
      <c r="W3726" t="s">
        <v>92</v>
      </c>
      <c r="Y3726" t="s">
        <v>38</v>
      </c>
      <c r="AA3726" t="s">
        <v>38</v>
      </c>
      <c r="AB3726" t="s">
        <v>38</v>
      </c>
      <c r="AC3726" t="s">
        <v>38</v>
      </c>
      <c r="AD3726" t="s">
        <v>48</v>
      </c>
      <c r="AG3726" t="str">
        <f>IF(AD3726="United States", IFERROR(INDEX(Sheet2!$C:$C, MATCH(AE3726&amp;AF3726, Sheet2!$E:$E, 0)) &amp; ", " &amp; INDEX(Sheet2!$D:$D, MATCH(AE3726&amp;AF3726, Sheet2!$E:$E, 0)), ""), "-")</f>
        <v/>
      </c>
    </row>
    <row r="3727" spans="1:33" x14ac:dyDescent="0.25">
      <c r="A3727" t="s">
        <v>5400</v>
      </c>
      <c r="D3727" t="s">
        <v>113</v>
      </c>
      <c r="E3727" t="s">
        <v>38</v>
      </c>
      <c r="F3727">
        <v>1769</v>
      </c>
      <c r="G3727">
        <v>2200</v>
      </c>
      <c r="H3727">
        <v>70</v>
      </c>
      <c r="J3727" t="s">
        <v>5401</v>
      </c>
      <c r="O3727" t="s">
        <v>54</v>
      </c>
      <c r="V3727" t="s">
        <v>137</v>
      </c>
      <c r="W3727" t="s">
        <v>92</v>
      </c>
      <c r="Y3727" t="s">
        <v>38</v>
      </c>
      <c r="AA3727" t="s">
        <v>38</v>
      </c>
      <c r="AB3727" t="s">
        <v>38</v>
      </c>
      <c r="AC3727" t="s">
        <v>38</v>
      </c>
      <c r="AD3727" t="s">
        <v>48</v>
      </c>
      <c r="AG3727" t="str">
        <f>IF(AD3727="United States", IFERROR(INDEX(Sheet2!$C:$C, MATCH(AE3727&amp;AF3727, Sheet2!$E:$E, 0)) &amp; ", " &amp; INDEX(Sheet2!$D:$D, MATCH(AE3727&amp;AF3727, Sheet2!$E:$E, 0)), ""), "-")</f>
        <v/>
      </c>
    </row>
    <row r="3728" spans="1:33" x14ac:dyDescent="0.25">
      <c r="A3728" t="s">
        <v>5400</v>
      </c>
      <c r="D3728" t="s">
        <v>222</v>
      </c>
      <c r="E3728" t="s">
        <v>38</v>
      </c>
      <c r="F3728">
        <v>1763</v>
      </c>
      <c r="G3728">
        <v>2199</v>
      </c>
      <c r="H3728">
        <v>70</v>
      </c>
      <c r="J3728" t="s">
        <v>5401</v>
      </c>
      <c r="O3728" t="s">
        <v>57</v>
      </c>
      <c r="V3728" t="s">
        <v>137</v>
      </c>
      <c r="W3728" t="s">
        <v>92</v>
      </c>
      <c r="Y3728" t="s">
        <v>38</v>
      </c>
      <c r="AA3728" t="s">
        <v>38</v>
      </c>
      <c r="AB3728" t="s">
        <v>38</v>
      </c>
      <c r="AC3728" t="s">
        <v>38</v>
      </c>
      <c r="AD3728" t="s">
        <v>48</v>
      </c>
      <c r="AG3728" t="str">
        <f>IF(AD3728="United States", IFERROR(INDEX(Sheet2!$C:$C, MATCH(AE3728&amp;AF3728, Sheet2!$E:$E, 0)) &amp; ", " &amp; INDEX(Sheet2!$D:$D, MATCH(AE3728&amp;AF3728, Sheet2!$E:$E, 0)), ""), "-")</f>
        <v/>
      </c>
    </row>
    <row r="3729" spans="1:33" x14ac:dyDescent="0.25">
      <c r="A3729" t="s">
        <v>5400</v>
      </c>
      <c r="D3729" t="s">
        <v>5386</v>
      </c>
      <c r="E3729" t="s">
        <v>38</v>
      </c>
      <c r="F3729">
        <v>1767</v>
      </c>
      <c r="G3729">
        <v>2201</v>
      </c>
      <c r="H3729">
        <v>70</v>
      </c>
      <c r="J3729" t="s">
        <v>5401</v>
      </c>
      <c r="O3729" t="s">
        <v>57</v>
      </c>
      <c r="V3729" t="s">
        <v>137</v>
      </c>
      <c r="W3729" t="s">
        <v>92</v>
      </c>
      <c r="Y3729" t="s">
        <v>38</v>
      </c>
      <c r="AA3729" t="s">
        <v>38</v>
      </c>
      <c r="AB3729" t="s">
        <v>38</v>
      </c>
      <c r="AC3729" t="s">
        <v>38</v>
      </c>
      <c r="AD3729" t="s">
        <v>48</v>
      </c>
      <c r="AG3729" t="str">
        <f>IF(AD3729="United States", IFERROR(INDEX(Sheet2!$C:$C, MATCH(AE3729&amp;AF3729, Sheet2!$E:$E, 0)) &amp; ", " &amp; INDEX(Sheet2!$D:$D, MATCH(AE3729&amp;AF3729, Sheet2!$E:$E, 0)), ""), "-")</f>
        <v/>
      </c>
    </row>
    <row r="3730" spans="1:33" x14ac:dyDescent="0.25">
      <c r="A3730" t="s">
        <v>5400</v>
      </c>
      <c r="D3730" t="s">
        <v>222</v>
      </c>
      <c r="E3730" t="s">
        <v>38</v>
      </c>
      <c r="F3730">
        <v>1745</v>
      </c>
      <c r="G3730">
        <v>2198</v>
      </c>
      <c r="H3730">
        <v>70</v>
      </c>
      <c r="J3730" t="s">
        <v>5401</v>
      </c>
      <c r="O3730" t="s">
        <v>57</v>
      </c>
      <c r="V3730" t="s">
        <v>137</v>
      </c>
      <c r="W3730" t="s">
        <v>92</v>
      </c>
      <c r="Y3730" t="s">
        <v>38</v>
      </c>
      <c r="AA3730" t="s">
        <v>38</v>
      </c>
      <c r="AB3730" t="s">
        <v>38</v>
      </c>
      <c r="AC3730" t="s">
        <v>38</v>
      </c>
      <c r="AD3730" t="s">
        <v>48</v>
      </c>
      <c r="AG3730" t="str">
        <f>IF(AD3730="United States", IFERROR(INDEX(Sheet2!$C:$C, MATCH(AE3730&amp;AF3730, Sheet2!$E:$E, 0)) &amp; ", " &amp; INDEX(Sheet2!$D:$D, MATCH(AE3730&amp;AF3730, Sheet2!$E:$E, 0)), ""), "-")</f>
        <v/>
      </c>
    </row>
    <row r="3731" spans="1:33" x14ac:dyDescent="0.25">
      <c r="A3731" t="s">
        <v>5400</v>
      </c>
      <c r="D3731" t="s">
        <v>50</v>
      </c>
      <c r="E3731" t="s">
        <v>38</v>
      </c>
      <c r="F3731">
        <v>1764</v>
      </c>
      <c r="G3731">
        <v>2197</v>
      </c>
      <c r="H3731">
        <v>70</v>
      </c>
      <c r="J3731" t="s">
        <v>5401</v>
      </c>
      <c r="O3731" t="s">
        <v>57</v>
      </c>
      <c r="V3731" t="s">
        <v>137</v>
      </c>
      <c r="W3731" t="s">
        <v>92</v>
      </c>
      <c r="Y3731" t="s">
        <v>38</v>
      </c>
      <c r="AA3731" t="s">
        <v>38</v>
      </c>
      <c r="AB3731" t="s">
        <v>38</v>
      </c>
      <c r="AC3731" t="s">
        <v>38</v>
      </c>
      <c r="AD3731" t="s">
        <v>48</v>
      </c>
      <c r="AG3731" t="str">
        <f>IF(AD3731="United States", IFERROR(INDEX(Sheet2!$C:$C, MATCH(AE3731&amp;AF3731, Sheet2!$E:$E, 0)) &amp; ", " &amp; INDEX(Sheet2!$D:$D, MATCH(AE3731&amp;AF3731, Sheet2!$E:$E, 0)), ""), "-")</f>
        <v/>
      </c>
    </row>
    <row r="3732" spans="1:33" x14ac:dyDescent="0.25">
      <c r="A3732" t="s">
        <v>5400</v>
      </c>
      <c r="D3732" t="s">
        <v>101</v>
      </c>
      <c r="E3732" t="s">
        <v>38</v>
      </c>
      <c r="F3732">
        <v>1753</v>
      </c>
      <c r="G3732">
        <v>2196</v>
      </c>
      <c r="H3732">
        <v>70</v>
      </c>
      <c r="J3732" t="s">
        <v>5401</v>
      </c>
      <c r="O3732" t="s">
        <v>41</v>
      </c>
      <c r="V3732" t="s">
        <v>137</v>
      </c>
      <c r="W3732" t="s">
        <v>92</v>
      </c>
      <c r="Y3732" t="s">
        <v>38</v>
      </c>
      <c r="AA3732" t="s">
        <v>38</v>
      </c>
      <c r="AB3732" t="s">
        <v>38</v>
      </c>
      <c r="AC3732" t="s">
        <v>38</v>
      </c>
      <c r="AD3732" t="s">
        <v>48</v>
      </c>
      <c r="AG3732" t="str">
        <f>IF(AD3732="United States", IFERROR(INDEX(Sheet2!$C:$C, MATCH(AE3732&amp;AF3732, Sheet2!$E:$E, 0)) &amp; ", " &amp; INDEX(Sheet2!$D:$D, MATCH(AE3732&amp;AF3732, Sheet2!$E:$E, 0)), ""), "-")</f>
        <v/>
      </c>
    </row>
    <row r="3733" spans="1:33" x14ac:dyDescent="0.25">
      <c r="A3733" t="s">
        <v>5400</v>
      </c>
      <c r="D3733" t="s">
        <v>3672</v>
      </c>
      <c r="E3733" t="s">
        <v>38</v>
      </c>
      <c r="F3733">
        <v>1743</v>
      </c>
      <c r="G3733">
        <v>2195</v>
      </c>
      <c r="H3733">
        <v>70</v>
      </c>
      <c r="J3733" t="s">
        <v>5401</v>
      </c>
      <c r="O3733" t="s">
        <v>41</v>
      </c>
      <c r="V3733" t="s">
        <v>137</v>
      </c>
      <c r="W3733" t="s">
        <v>92</v>
      </c>
      <c r="Y3733" t="s">
        <v>38</v>
      </c>
      <c r="AA3733" t="s">
        <v>38</v>
      </c>
      <c r="AB3733" t="s">
        <v>38</v>
      </c>
      <c r="AC3733" t="s">
        <v>38</v>
      </c>
      <c r="AD3733" t="s">
        <v>48</v>
      </c>
      <c r="AG3733" t="str">
        <f>IF(AD3733="United States", IFERROR(INDEX(Sheet2!$C:$C, MATCH(AE3733&amp;AF3733, Sheet2!$E:$E, 0)) &amp; ", " &amp; INDEX(Sheet2!$D:$D, MATCH(AE3733&amp;AF3733, Sheet2!$E:$E, 0)), ""), "-")</f>
        <v/>
      </c>
    </row>
    <row r="3734" spans="1:33" x14ac:dyDescent="0.25">
      <c r="A3734" t="s">
        <v>5402</v>
      </c>
      <c r="B3734" t="s">
        <v>5403</v>
      </c>
      <c r="C3734" t="s">
        <v>5404</v>
      </c>
      <c r="D3734" t="s">
        <v>495</v>
      </c>
      <c r="E3734" t="s">
        <v>5405</v>
      </c>
      <c r="F3734">
        <v>1753</v>
      </c>
      <c r="G3734">
        <v>2281</v>
      </c>
      <c r="H3734" t="s">
        <v>38</v>
      </c>
      <c r="I3734" t="s">
        <v>87</v>
      </c>
      <c r="J3734" t="s">
        <v>5392</v>
      </c>
      <c r="K3734" t="s">
        <v>38</v>
      </c>
      <c r="L3734" t="s">
        <v>38</v>
      </c>
      <c r="M3734" t="s">
        <v>38</v>
      </c>
      <c r="N3734" t="s">
        <v>38</v>
      </c>
      <c r="O3734" t="s">
        <v>74</v>
      </c>
      <c r="P3734" t="s">
        <v>42</v>
      </c>
      <c r="Q3734" t="s">
        <v>43</v>
      </c>
      <c r="R3734" t="s">
        <v>38</v>
      </c>
      <c r="S3734" t="s">
        <v>38</v>
      </c>
      <c r="T3734" t="s">
        <v>38</v>
      </c>
      <c r="U3734" t="s">
        <v>38</v>
      </c>
      <c r="V3734" t="s">
        <v>740</v>
      </c>
      <c r="W3734" t="s">
        <v>38</v>
      </c>
      <c r="X3734" t="s">
        <v>38</v>
      </c>
      <c r="Y3734" t="s">
        <v>5406</v>
      </c>
      <c r="Z3734" t="s">
        <v>42</v>
      </c>
      <c r="AA3734" t="s">
        <v>38</v>
      </c>
      <c r="AB3734" t="s">
        <v>38</v>
      </c>
      <c r="AC3734" t="s">
        <v>233</v>
      </c>
      <c r="AD3734" t="s">
        <v>48</v>
      </c>
      <c r="AG3734" t="str">
        <f>IF(AD3734="United States", IFERROR(INDEX(Sheet2!$C:$C, MATCH(AE3734&amp;AF3734, Sheet2!$E:$E, 0)) &amp; ", " &amp; INDEX(Sheet2!$D:$D, MATCH(AE3734&amp;AF3734, Sheet2!$E:$E, 0)), ""), "-")</f>
        <v/>
      </c>
    </row>
    <row r="3735" spans="1:33" x14ac:dyDescent="0.25">
      <c r="A3735" t="s">
        <v>5402</v>
      </c>
      <c r="B3735" t="s">
        <v>5407</v>
      </c>
      <c r="C3735" t="s">
        <v>5404</v>
      </c>
      <c r="D3735" t="s">
        <v>204</v>
      </c>
      <c r="E3735" t="s">
        <v>38</v>
      </c>
      <c r="F3735">
        <v>1732</v>
      </c>
      <c r="G3735">
        <v>2282</v>
      </c>
      <c r="H3735" t="s">
        <v>38</v>
      </c>
      <c r="I3735" t="s">
        <v>87</v>
      </c>
      <c r="J3735" t="s">
        <v>5392</v>
      </c>
      <c r="K3735" t="s">
        <v>38</v>
      </c>
      <c r="L3735" t="s">
        <v>38</v>
      </c>
      <c r="M3735" t="s">
        <v>38</v>
      </c>
      <c r="N3735" t="s">
        <v>38</v>
      </c>
      <c r="O3735" t="s">
        <v>41</v>
      </c>
      <c r="P3735" t="s">
        <v>42</v>
      </c>
      <c r="Q3735" t="s">
        <v>43</v>
      </c>
      <c r="R3735" t="s">
        <v>38</v>
      </c>
      <c r="S3735" t="s">
        <v>38</v>
      </c>
      <c r="T3735" t="s">
        <v>38</v>
      </c>
      <c r="U3735" t="s">
        <v>38</v>
      </c>
      <c r="V3735" t="s">
        <v>740</v>
      </c>
      <c r="W3735" t="s">
        <v>38</v>
      </c>
      <c r="X3735" t="s">
        <v>38</v>
      </c>
      <c r="Y3735" t="s">
        <v>5408</v>
      </c>
      <c r="Z3735" t="s">
        <v>42</v>
      </c>
      <c r="AA3735" t="s">
        <v>38</v>
      </c>
      <c r="AB3735" t="s">
        <v>38</v>
      </c>
      <c r="AC3735" t="s">
        <v>38</v>
      </c>
      <c r="AD3735" t="s">
        <v>48</v>
      </c>
      <c r="AG3735" t="str">
        <f>IF(AD3735="United States", IFERROR(INDEX(Sheet2!$C:$C, MATCH(AE3735&amp;AF3735, Sheet2!$E:$E, 0)) &amp; ", " &amp; INDEX(Sheet2!$D:$D, MATCH(AE3735&amp;AF3735, Sheet2!$E:$E, 0)), ""), "-")</f>
        <v/>
      </c>
    </row>
    <row r="3736" spans="1:33" x14ac:dyDescent="0.25">
      <c r="A3736" t="s">
        <v>5402</v>
      </c>
      <c r="B3736" t="s">
        <v>5409</v>
      </c>
      <c r="C3736" t="s">
        <v>5404</v>
      </c>
      <c r="D3736" t="s">
        <v>343</v>
      </c>
      <c r="E3736" t="s">
        <v>38</v>
      </c>
      <c r="F3736">
        <v>1769</v>
      </c>
      <c r="G3736">
        <v>2283</v>
      </c>
      <c r="H3736" t="s">
        <v>38</v>
      </c>
      <c r="I3736" t="s">
        <v>87</v>
      </c>
      <c r="J3736" t="s">
        <v>5392</v>
      </c>
      <c r="K3736" t="s">
        <v>38</v>
      </c>
      <c r="L3736" t="s">
        <v>38</v>
      </c>
      <c r="M3736" t="s">
        <v>38</v>
      </c>
      <c r="N3736" t="s">
        <v>38</v>
      </c>
      <c r="O3736" t="s">
        <v>54</v>
      </c>
      <c r="P3736" t="s">
        <v>42</v>
      </c>
      <c r="Q3736" t="s">
        <v>43</v>
      </c>
      <c r="R3736" t="s">
        <v>38</v>
      </c>
      <c r="S3736" t="s">
        <v>38</v>
      </c>
      <c r="T3736" t="s">
        <v>38</v>
      </c>
      <c r="U3736" t="s">
        <v>38</v>
      </c>
      <c r="V3736" t="s">
        <v>740</v>
      </c>
      <c r="W3736" t="s">
        <v>38</v>
      </c>
      <c r="X3736" t="s">
        <v>38</v>
      </c>
      <c r="Y3736" t="s">
        <v>5408</v>
      </c>
      <c r="Z3736" t="s">
        <v>42</v>
      </c>
      <c r="AA3736" t="s">
        <v>38</v>
      </c>
      <c r="AB3736" t="s">
        <v>38</v>
      </c>
      <c r="AC3736" t="s">
        <v>38</v>
      </c>
      <c r="AD3736" t="s">
        <v>48</v>
      </c>
      <c r="AG3736" t="str">
        <f>IF(AD3736="United States", IFERROR(INDEX(Sheet2!$C:$C, MATCH(AE3736&amp;AF3736, Sheet2!$E:$E, 0)) &amp; ", " &amp; INDEX(Sheet2!$D:$D, MATCH(AE3736&amp;AF3736, Sheet2!$E:$E, 0)), ""), "-")</f>
        <v/>
      </c>
    </row>
    <row r="3737" spans="1:33" x14ac:dyDescent="0.25">
      <c r="A3737" t="s">
        <v>5402</v>
      </c>
      <c r="B3737" t="s">
        <v>5410</v>
      </c>
      <c r="C3737" t="s">
        <v>5404</v>
      </c>
      <c r="D3737" t="s">
        <v>615</v>
      </c>
      <c r="E3737" t="s">
        <v>38</v>
      </c>
      <c r="F3737">
        <v>1778</v>
      </c>
      <c r="G3737">
        <v>2284</v>
      </c>
      <c r="H3737" t="s">
        <v>38</v>
      </c>
      <c r="I3737" t="s">
        <v>87</v>
      </c>
      <c r="J3737" t="s">
        <v>5392</v>
      </c>
      <c r="K3737" t="s">
        <v>38</v>
      </c>
      <c r="L3737" t="s">
        <v>38</v>
      </c>
      <c r="M3737" t="s">
        <v>38</v>
      </c>
      <c r="N3737" t="s">
        <v>38</v>
      </c>
      <c r="O3737" t="s">
        <v>54</v>
      </c>
      <c r="P3737" t="s">
        <v>42</v>
      </c>
      <c r="Q3737" t="s">
        <v>43</v>
      </c>
      <c r="R3737" t="s">
        <v>38</v>
      </c>
      <c r="S3737" t="s">
        <v>38</v>
      </c>
      <c r="T3737" t="s">
        <v>38</v>
      </c>
      <c r="U3737" t="s">
        <v>38</v>
      </c>
      <c r="V3737" t="s">
        <v>740</v>
      </c>
      <c r="W3737" t="s">
        <v>38</v>
      </c>
      <c r="X3737" t="s">
        <v>38</v>
      </c>
      <c r="Y3737" t="s">
        <v>5408</v>
      </c>
      <c r="Z3737" t="s">
        <v>42</v>
      </c>
      <c r="AA3737" t="s">
        <v>38</v>
      </c>
      <c r="AB3737" t="s">
        <v>38</v>
      </c>
      <c r="AC3737" t="s">
        <v>38</v>
      </c>
      <c r="AD3737" t="s">
        <v>48</v>
      </c>
      <c r="AG3737" t="str">
        <f>IF(AD3737="United States", IFERROR(INDEX(Sheet2!$C:$C, MATCH(AE3737&amp;AF3737, Sheet2!$E:$E, 0)) &amp; ", " &amp; INDEX(Sheet2!$D:$D, MATCH(AE3737&amp;AF3737, Sheet2!$E:$E, 0)), ""), "-")</f>
        <v/>
      </c>
    </row>
    <row r="3738" spans="1:33" x14ac:dyDescent="0.25">
      <c r="A3738" t="s">
        <v>5402</v>
      </c>
      <c r="B3738" t="s">
        <v>5411</v>
      </c>
      <c r="C3738" t="s">
        <v>5404</v>
      </c>
      <c r="D3738" t="s">
        <v>458</v>
      </c>
      <c r="E3738" t="s">
        <v>38</v>
      </c>
      <c r="F3738">
        <v>1748</v>
      </c>
      <c r="G3738">
        <v>2280</v>
      </c>
      <c r="H3738" t="s">
        <v>38</v>
      </c>
      <c r="I3738" t="s">
        <v>87</v>
      </c>
      <c r="J3738" t="s">
        <v>5392</v>
      </c>
      <c r="K3738" t="s">
        <v>38</v>
      </c>
      <c r="L3738" t="s">
        <v>38</v>
      </c>
      <c r="M3738" t="s">
        <v>38</v>
      </c>
      <c r="N3738" t="s">
        <v>38</v>
      </c>
      <c r="O3738" t="s">
        <v>41</v>
      </c>
      <c r="P3738" t="s">
        <v>42</v>
      </c>
      <c r="Q3738" t="s">
        <v>43</v>
      </c>
      <c r="R3738" t="s">
        <v>38</v>
      </c>
      <c r="S3738" t="s">
        <v>38</v>
      </c>
      <c r="T3738" t="s">
        <v>38</v>
      </c>
      <c r="U3738" t="s">
        <v>38</v>
      </c>
      <c r="V3738" t="s">
        <v>740</v>
      </c>
      <c r="W3738" t="s">
        <v>38</v>
      </c>
      <c r="X3738" t="s">
        <v>38</v>
      </c>
      <c r="Y3738" t="s">
        <v>5406</v>
      </c>
      <c r="Z3738" t="s">
        <v>42</v>
      </c>
      <c r="AA3738" t="s">
        <v>38</v>
      </c>
      <c r="AB3738" t="s">
        <v>38</v>
      </c>
      <c r="AC3738" t="s">
        <v>38</v>
      </c>
      <c r="AD3738" t="s">
        <v>48</v>
      </c>
      <c r="AG3738" t="str">
        <f>IF(AD3738="United States", IFERROR(INDEX(Sheet2!$C:$C, MATCH(AE3738&amp;AF3738, Sheet2!$E:$E, 0)) &amp; ", " &amp; INDEX(Sheet2!$D:$D, MATCH(AE3738&amp;AF3738, Sheet2!$E:$E, 0)), ""), "-")</f>
        <v/>
      </c>
    </row>
    <row r="3739" spans="1:33" x14ac:dyDescent="0.25">
      <c r="A3739" t="s">
        <v>5402</v>
      </c>
      <c r="B3739" t="s">
        <v>5412</v>
      </c>
      <c r="C3739" t="s">
        <v>5404</v>
      </c>
      <c r="D3739" t="s">
        <v>5413</v>
      </c>
      <c r="E3739" t="s">
        <v>5395</v>
      </c>
      <c r="F3739">
        <v>1759</v>
      </c>
      <c r="G3739">
        <v>2286</v>
      </c>
      <c r="H3739" t="s">
        <v>38</v>
      </c>
      <c r="I3739" t="s">
        <v>87</v>
      </c>
      <c r="J3739" t="s">
        <v>5392</v>
      </c>
      <c r="K3739" t="s">
        <v>38</v>
      </c>
      <c r="L3739" t="s">
        <v>38</v>
      </c>
      <c r="M3739" t="s">
        <v>38</v>
      </c>
      <c r="N3739" t="s">
        <v>38</v>
      </c>
      <c r="O3739" t="s">
        <v>41</v>
      </c>
      <c r="P3739" t="s">
        <v>42</v>
      </c>
      <c r="Q3739" t="s">
        <v>43</v>
      </c>
      <c r="R3739" t="s">
        <v>38</v>
      </c>
      <c r="S3739" t="s">
        <v>38</v>
      </c>
      <c r="T3739" t="s">
        <v>38</v>
      </c>
      <c r="U3739" t="s">
        <v>38</v>
      </c>
      <c r="V3739" t="s">
        <v>740</v>
      </c>
      <c r="W3739" t="s">
        <v>38</v>
      </c>
      <c r="X3739" t="s">
        <v>38</v>
      </c>
      <c r="Y3739" t="s">
        <v>5414</v>
      </c>
      <c r="Z3739" t="s">
        <v>42</v>
      </c>
      <c r="AA3739" t="s">
        <v>38</v>
      </c>
      <c r="AB3739" t="s">
        <v>38</v>
      </c>
      <c r="AC3739" t="s">
        <v>5415</v>
      </c>
      <c r="AD3739" t="s">
        <v>48</v>
      </c>
      <c r="AG3739" t="str">
        <f>IF(AD3739="United States", IFERROR(INDEX(Sheet2!$C:$C, MATCH(AE3739&amp;AF3739, Sheet2!$E:$E, 0)) &amp; ", " &amp; INDEX(Sheet2!$D:$D, MATCH(AE3739&amp;AF3739, Sheet2!$E:$E, 0)), ""), "-")</f>
        <v/>
      </c>
    </row>
    <row r="3740" spans="1:33" x14ac:dyDescent="0.25">
      <c r="A3740" t="s">
        <v>5402</v>
      </c>
      <c r="B3740" t="s">
        <v>5416</v>
      </c>
      <c r="C3740" t="s">
        <v>5404</v>
      </c>
      <c r="D3740" t="s">
        <v>834</v>
      </c>
      <c r="E3740" t="s">
        <v>38</v>
      </c>
      <c r="F3740">
        <v>1763</v>
      </c>
      <c r="G3740">
        <v>2287</v>
      </c>
      <c r="H3740" t="s">
        <v>38</v>
      </c>
      <c r="I3740" t="s">
        <v>87</v>
      </c>
      <c r="J3740" t="s">
        <v>5392</v>
      </c>
      <c r="K3740" t="s">
        <v>38</v>
      </c>
      <c r="L3740" t="s">
        <v>38</v>
      </c>
      <c r="M3740" t="s">
        <v>38</v>
      </c>
      <c r="N3740" t="s">
        <v>38</v>
      </c>
      <c r="O3740" t="s">
        <v>74</v>
      </c>
      <c r="P3740" t="s">
        <v>42</v>
      </c>
      <c r="Q3740" t="s">
        <v>43</v>
      </c>
      <c r="R3740" t="s">
        <v>38</v>
      </c>
      <c r="S3740" t="s">
        <v>38</v>
      </c>
      <c r="T3740" t="s">
        <v>38</v>
      </c>
      <c r="U3740" t="s">
        <v>38</v>
      </c>
      <c r="V3740" t="s">
        <v>740</v>
      </c>
      <c r="W3740" t="s">
        <v>38</v>
      </c>
      <c r="X3740" t="s">
        <v>38</v>
      </c>
      <c r="Y3740" t="s">
        <v>5417</v>
      </c>
      <c r="Z3740" t="s">
        <v>42</v>
      </c>
      <c r="AA3740" t="s">
        <v>38</v>
      </c>
      <c r="AB3740" t="s">
        <v>38</v>
      </c>
      <c r="AC3740" t="s">
        <v>38</v>
      </c>
      <c r="AD3740" t="s">
        <v>48</v>
      </c>
      <c r="AG3740" t="str">
        <f>IF(AD3740="United States", IFERROR(INDEX(Sheet2!$C:$C, MATCH(AE3740&amp;AF3740, Sheet2!$E:$E, 0)) &amp; ", " &amp; INDEX(Sheet2!$D:$D, MATCH(AE3740&amp;AF3740, Sheet2!$E:$E, 0)), ""), "-")</f>
        <v/>
      </c>
    </row>
    <row r="3741" spans="1:33" x14ac:dyDescent="0.25">
      <c r="A3741" t="s">
        <v>5402</v>
      </c>
      <c r="B3741" t="s">
        <v>5418</v>
      </c>
      <c r="C3741" t="s">
        <v>5404</v>
      </c>
      <c r="D3741" t="s">
        <v>1230</v>
      </c>
      <c r="E3741" t="s">
        <v>38</v>
      </c>
      <c r="F3741">
        <v>1766</v>
      </c>
      <c r="G3741">
        <v>2288</v>
      </c>
      <c r="H3741" t="s">
        <v>38</v>
      </c>
      <c r="I3741" t="s">
        <v>87</v>
      </c>
      <c r="J3741" t="s">
        <v>5392</v>
      </c>
      <c r="K3741" t="s">
        <v>38</v>
      </c>
      <c r="L3741" t="s">
        <v>38</v>
      </c>
      <c r="M3741" t="s">
        <v>38</v>
      </c>
      <c r="N3741" t="s">
        <v>38</v>
      </c>
      <c r="O3741" t="s">
        <v>74</v>
      </c>
      <c r="P3741" t="s">
        <v>42</v>
      </c>
      <c r="Q3741" t="s">
        <v>43</v>
      </c>
      <c r="R3741" t="s">
        <v>38</v>
      </c>
      <c r="S3741" t="s">
        <v>38</v>
      </c>
      <c r="T3741" t="s">
        <v>38</v>
      </c>
      <c r="U3741" t="s">
        <v>38</v>
      </c>
      <c r="V3741" t="s">
        <v>740</v>
      </c>
      <c r="W3741" t="s">
        <v>38</v>
      </c>
      <c r="X3741" t="s">
        <v>38</v>
      </c>
      <c r="Y3741" t="s">
        <v>5419</v>
      </c>
      <c r="Z3741" t="s">
        <v>42</v>
      </c>
      <c r="AA3741" t="s">
        <v>38</v>
      </c>
      <c r="AB3741" t="s">
        <v>38</v>
      </c>
      <c r="AC3741" t="s">
        <v>38</v>
      </c>
      <c r="AD3741" t="s">
        <v>48</v>
      </c>
      <c r="AG3741" t="str">
        <f>IF(AD3741="United States", IFERROR(INDEX(Sheet2!$C:$C, MATCH(AE3741&amp;AF3741, Sheet2!$E:$E, 0)) &amp; ", " &amp; INDEX(Sheet2!$D:$D, MATCH(AE3741&amp;AF3741, Sheet2!$E:$E, 0)), ""), "-")</f>
        <v/>
      </c>
    </row>
    <row r="3742" spans="1:33" x14ac:dyDescent="0.25">
      <c r="A3742" t="s">
        <v>5402</v>
      </c>
      <c r="B3742" t="s">
        <v>5420</v>
      </c>
      <c r="C3742" t="s">
        <v>5404</v>
      </c>
      <c r="D3742" t="s">
        <v>676</v>
      </c>
      <c r="E3742" t="s">
        <v>38</v>
      </c>
      <c r="F3742">
        <v>1768</v>
      </c>
      <c r="G3742">
        <v>2289</v>
      </c>
      <c r="H3742" t="s">
        <v>38</v>
      </c>
      <c r="I3742" t="s">
        <v>87</v>
      </c>
      <c r="J3742" t="s">
        <v>5392</v>
      </c>
      <c r="K3742" t="s">
        <v>38</v>
      </c>
      <c r="L3742" t="s">
        <v>38</v>
      </c>
      <c r="M3742" t="s">
        <v>38</v>
      </c>
      <c r="N3742" t="s">
        <v>38</v>
      </c>
      <c r="O3742" t="s">
        <v>74</v>
      </c>
      <c r="P3742" t="s">
        <v>42</v>
      </c>
      <c r="Q3742" t="s">
        <v>43</v>
      </c>
      <c r="R3742" t="s">
        <v>38</v>
      </c>
      <c r="S3742" t="s">
        <v>38</v>
      </c>
      <c r="T3742" t="s">
        <v>38</v>
      </c>
      <c r="U3742" t="s">
        <v>38</v>
      </c>
      <c r="V3742" t="s">
        <v>740</v>
      </c>
      <c r="W3742" t="s">
        <v>38</v>
      </c>
      <c r="X3742" t="s">
        <v>38</v>
      </c>
      <c r="Y3742" t="s">
        <v>5421</v>
      </c>
      <c r="Z3742" t="s">
        <v>42</v>
      </c>
      <c r="AA3742" t="s">
        <v>38</v>
      </c>
      <c r="AB3742" t="s">
        <v>38</v>
      </c>
      <c r="AC3742" t="s">
        <v>38</v>
      </c>
      <c r="AD3742" t="s">
        <v>48</v>
      </c>
      <c r="AG3742" t="str">
        <f>IF(AD3742="United States", IFERROR(INDEX(Sheet2!$C:$C, MATCH(AE3742&amp;AF3742, Sheet2!$E:$E, 0)) &amp; ", " &amp; INDEX(Sheet2!$D:$D, MATCH(AE3742&amp;AF3742, Sheet2!$E:$E, 0)), ""), "-")</f>
        <v/>
      </c>
    </row>
    <row r="3743" spans="1:33" x14ac:dyDescent="0.25">
      <c r="A3743" t="s">
        <v>5402</v>
      </c>
      <c r="B3743" t="s">
        <v>5422</v>
      </c>
      <c r="C3743" t="s">
        <v>5404</v>
      </c>
      <c r="D3743" t="s">
        <v>132</v>
      </c>
      <c r="E3743" t="s">
        <v>191</v>
      </c>
      <c r="F3743">
        <v>1747</v>
      </c>
      <c r="G3743">
        <v>2290</v>
      </c>
      <c r="H3743" t="s">
        <v>38</v>
      </c>
      <c r="I3743" t="s">
        <v>87</v>
      </c>
      <c r="J3743" t="s">
        <v>5392</v>
      </c>
      <c r="K3743" t="s">
        <v>38</v>
      </c>
      <c r="L3743" t="s">
        <v>38</v>
      </c>
      <c r="M3743" t="s">
        <v>38</v>
      </c>
      <c r="N3743" t="s">
        <v>38</v>
      </c>
      <c r="O3743" t="s">
        <v>41</v>
      </c>
      <c r="P3743" t="s">
        <v>42</v>
      </c>
      <c r="Q3743" t="s">
        <v>43</v>
      </c>
      <c r="R3743" t="s">
        <v>38</v>
      </c>
      <c r="S3743" t="s">
        <v>38</v>
      </c>
      <c r="T3743" t="s">
        <v>38</v>
      </c>
      <c r="U3743" t="s">
        <v>38</v>
      </c>
      <c r="V3743" t="s">
        <v>740</v>
      </c>
      <c r="W3743" t="s">
        <v>38</v>
      </c>
      <c r="X3743" t="s">
        <v>38</v>
      </c>
      <c r="Y3743" t="s">
        <v>5423</v>
      </c>
      <c r="Z3743" t="s">
        <v>42</v>
      </c>
      <c r="AA3743" t="s">
        <v>630</v>
      </c>
      <c r="AB3743" t="s">
        <v>38</v>
      </c>
      <c r="AC3743" t="s">
        <v>70</v>
      </c>
      <c r="AD3743" t="s">
        <v>48</v>
      </c>
      <c r="AG3743" t="str">
        <f>IF(AD3743="United States", IFERROR(INDEX(Sheet2!$C:$C, MATCH(AE3743&amp;AF3743, Sheet2!$E:$E, 0)) &amp; ", " &amp; INDEX(Sheet2!$D:$D, MATCH(AE3743&amp;AF3743, Sheet2!$E:$E, 0)), ""), "-")</f>
        <v/>
      </c>
    </row>
    <row r="3744" spans="1:33" x14ac:dyDescent="0.25">
      <c r="A3744" t="s">
        <v>5402</v>
      </c>
      <c r="B3744" t="s">
        <v>5424</v>
      </c>
      <c r="C3744" t="s">
        <v>5404</v>
      </c>
      <c r="D3744" t="s">
        <v>140</v>
      </c>
      <c r="E3744" t="s">
        <v>191</v>
      </c>
      <c r="F3744">
        <v>1767</v>
      </c>
      <c r="G3744">
        <v>2291</v>
      </c>
      <c r="H3744" t="s">
        <v>38</v>
      </c>
      <c r="I3744" t="s">
        <v>87</v>
      </c>
      <c r="J3744" t="s">
        <v>5392</v>
      </c>
      <c r="K3744" t="s">
        <v>38</v>
      </c>
      <c r="L3744" t="s">
        <v>38</v>
      </c>
      <c r="M3744" t="s">
        <v>38</v>
      </c>
      <c r="N3744" t="s">
        <v>38</v>
      </c>
      <c r="O3744" t="s">
        <v>74</v>
      </c>
      <c r="P3744" t="s">
        <v>42</v>
      </c>
      <c r="Q3744" t="s">
        <v>43</v>
      </c>
      <c r="R3744" t="s">
        <v>38</v>
      </c>
      <c r="S3744" t="s">
        <v>38</v>
      </c>
      <c r="T3744" t="s">
        <v>38</v>
      </c>
      <c r="U3744" t="s">
        <v>38</v>
      </c>
      <c r="V3744" t="s">
        <v>740</v>
      </c>
      <c r="W3744" t="s">
        <v>38</v>
      </c>
      <c r="X3744" t="s">
        <v>38</v>
      </c>
      <c r="Y3744" t="s">
        <v>5423</v>
      </c>
      <c r="Z3744" t="s">
        <v>42</v>
      </c>
      <c r="AA3744" t="s">
        <v>38</v>
      </c>
      <c r="AB3744" t="s">
        <v>38</v>
      </c>
      <c r="AC3744" t="s">
        <v>38</v>
      </c>
      <c r="AD3744" t="s">
        <v>48</v>
      </c>
      <c r="AG3744" t="str">
        <f>IF(AD3744="United States", IFERROR(INDEX(Sheet2!$C:$C, MATCH(AE3744&amp;AF3744, Sheet2!$E:$E, 0)) &amp; ", " &amp; INDEX(Sheet2!$D:$D, MATCH(AE3744&amp;AF3744, Sheet2!$E:$E, 0)), ""), "-")</f>
        <v/>
      </c>
    </row>
    <row r="3745" spans="1:33" x14ac:dyDescent="0.25">
      <c r="A3745" t="s">
        <v>5402</v>
      </c>
      <c r="B3745" t="s">
        <v>5425</v>
      </c>
      <c r="C3745" t="s">
        <v>5404</v>
      </c>
      <c r="D3745" t="s">
        <v>72</v>
      </c>
      <c r="E3745" t="s">
        <v>38</v>
      </c>
      <c r="F3745">
        <v>1753</v>
      </c>
      <c r="G3745">
        <v>2285</v>
      </c>
      <c r="H3745" t="s">
        <v>38</v>
      </c>
      <c r="I3745" t="s">
        <v>87</v>
      </c>
      <c r="J3745" t="s">
        <v>5392</v>
      </c>
      <c r="K3745" t="s">
        <v>38</v>
      </c>
      <c r="L3745" t="s">
        <v>38</v>
      </c>
      <c r="M3745" t="s">
        <v>38</v>
      </c>
      <c r="N3745" t="s">
        <v>38</v>
      </c>
      <c r="O3745" t="s">
        <v>74</v>
      </c>
      <c r="P3745" t="s">
        <v>42</v>
      </c>
      <c r="Q3745" t="s">
        <v>43</v>
      </c>
      <c r="R3745" t="s">
        <v>38</v>
      </c>
      <c r="S3745" t="s">
        <v>38</v>
      </c>
      <c r="T3745" t="s">
        <v>38</v>
      </c>
      <c r="U3745" t="s">
        <v>38</v>
      </c>
      <c r="V3745" t="s">
        <v>740</v>
      </c>
      <c r="W3745" t="s">
        <v>38</v>
      </c>
      <c r="X3745" t="s">
        <v>38</v>
      </c>
      <c r="Y3745" t="s">
        <v>5408</v>
      </c>
      <c r="Z3745" t="s">
        <v>42</v>
      </c>
      <c r="AA3745" t="s">
        <v>38</v>
      </c>
      <c r="AB3745" t="s">
        <v>38</v>
      </c>
      <c r="AC3745" t="s">
        <v>38</v>
      </c>
      <c r="AD3745" t="s">
        <v>48</v>
      </c>
      <c r="AG3745" t="str">
        <f>IF(AD3745="United States", IFERROR(INDEX(Sheet2!$C:$C, MATCH(AE3745&amp;AF3745, Sheet2!$E:$E, 0)) &amp; ", " &amp; INDEX(Sheet2!$D:$D, MATCH(AE3745&amp;AF3745, Sheet2!$E:$E, 0)), ""), "-")</f>
        <v/>
      </c>
    </row>
    <row r="3746" spans="1:33" x14ac:dyDescent="0.25">
      <c r="A3746" t="s">
        <v>5426</v>
      </c>
      <c r="B3746" t="s">
        <v>5427</v>
      </c>
      <c r="C3746" t="s">
        <v>5428</v>
      </c>
      <c r="D3746" t="s">
        <v>5429</v>
      </c>
      <c r="E3746" t="s">
        <v>38</v>
      </c>
      <c r="F3746">
        <v>1753</v>
      </c>
      <c r="G3746">
        <v>2004</v>
      </c>
      <c r="H3746" t="s">
        <v>38</v>
      </c>
      <c r="I3746" t="s">
        <v>80</v>
      </c>
      <c r="J3746" t="s">
        <v>1377</v>
      </c>
      <c r="K3746" t="s">
        <v>38</v>
      </c>
      <c r="L3746" t="s">
        <v>38</v>
      </c>
      <c r="M3746" t="s">
        <v>38</v>
      </c>
      <c r="N3746" t="s">
        <v>38</v>
      </c>
      <c r="O3746" t="s">
        <v>57</v>
      </c>
      <c r="P3746" t="s">
        <v>42</v>
      </c>
      <c r="Q3746" t="s">
        <v>43</v>
      </c>
      <c r="R3746" t="s">
        <v>5430</v>
      </c>
      <c r="S3746" t="s">
        <v>45</v>
      </c>
      <c r="T3746" t="s">
        <v>38</v>
      </c>
      <c r="U3746" t="s">
        <v>38</v>
      </c>
      <c r="V3746" t="s">
        <v>91</v>
      </c>
      <c r="W3746" t="s">
        <v>38</v>
      </c>
      <c r="X3746" t="s">
        <v>38</v>
      </c>
      <c r="Y3746" t="s">
        <v>5431</v>
      </c>
      <c r="Z3746" t="s">
        <v>42</v>
      </c>
      <c r="AA3746" t="s">
        <v>38</v>
      </c>
      <c r="AB3746" t="s">
        <v>38</v>
      </c>
      <c r="AC3746" t="s">
        <v>45</v>
      </c>
      <c r="AD3746" t="s">
        <v>48</v>
      </c>
      <c r="AG3746" t="str">
        <f>IF(AD3746="United States", IFERROR(INDEX(Sheet2!$C:$C, MATCH(AE3746&amp;AF3746, Sheet2!$E:$E, 0)) &amp; ", " &amp; INDEX(Sheet2!$D:$D, MATCH(AE3746&amp;AF3746, Sheet2!$E:$E, 0)), ""), "-")</f>
        <v/>
      </c>
    </row>
    <row r="3747" spans="1:33" x14ac:dyDescent="0.25">
      <c r="A3747" t="s">
        <v>5426</v>
      </c>
      <c r="B3747" t="s">
        <v>5432</v>
      </c>
      <c r="C3747" t="s">
        <v>5428</v>
      </c>
      <c r="D3747" t="s">
        <v>132</v>
      </c>
      <c r="E3747" t="s">
        <v>975</v>
      </c>
      <c r="F3747">
        <v>1774</v>
      </c>
      <c r="G3747">
        <v>2003</v>
      </c>
      <c r="H3747" t="s">
        <v>38</v>
      </c>
      <c r="I3747" t="s">
        <v>80</v>
      </c>
      <c r="J3747" t="s">
        <v>1377</v>
      </c>
      <c r="K3747" t="s">
        <v>38</v>
      </c>
      <c r="L3747" t="s">
        <v>38</v>
      </c>
      <c r="M3747" t="s">
        <v>38</v>
      </c>
      <c r="N3747" t="s">
        <v>38</v>
      </c>
      <c r="O3747" t="s">
        <v>54</v>
      </c>
      <c r="P3747" t="s">
        <v>42</v>
      </c>
      <c r="Q3747" t="s">
        <v>43</v>
      </c>
      <c r="R3747" t="s">
        <v>5433</v>
      </c>
      <c r="S3747" t="s">
        <v>45</v>
      </c>
      <c r="T3747" t="s">
        <v>38</v>
      </c>
      <c r="U3747" t="s">
        <v>38</v>
      </c>
      <c r="V3747" t="s">
        <v>91</v>
      </c>
      <c r="W3747" t="s">
        <v>38</v>
      </c>
      <c r="X3747" t="s">
        <v>38</v>
      </c>
      <c r="Y3747" t="s">
        <v>5434</v>
      </c>
      <c r="Z3747" t="s">
        <v>42</v>
      </c>
      <c r="AA3747" t="s">
        <v>38</v>
      </c>
      <c r="AB3747" t="s">
        <v>38</v>
      </c>
      <c r="AC3747" t="s">
        <v>45</v>
      </c>
      <c r="AD3747" t="s">
        <v>48</v>
      </c>
      <c r="AG3747" t="str">
        <f>IF(AD3747="United States", IFERROR(INDEX(Sheet2!$C:$C, MATCH(AE3747&amp;AF3747, Sheet2!$E:$E, 0)) &amp; ", " &amp; INDEX(Sheet2!$D:$D, MATCH(AE3747&amp;AF3747, Sheet2!$E:$E, 0)), ""), "-")</f>
        <v/>
      </c>
    </row>
    <row r="3748" spans="1:33" x14ac:dyDescent="0.25">
      <c r="A3748" t="s">
        <v>5426</v>
      </c>
      <c r="B3748" t="s">
        <v>5435</v>
      </c>
      <c r="C3748" t="s">
        <v>5428</v>
      </c>
      <c r="D3748" t="s">
        <v>72</v>
      </c>
      <c r="E3748" t="s">
        <v>728</v>
      </c>
      <c r="F3748">
        <v>1763</v>
      </c>
      <c r="G3748">
        <v>2002</v>
      </c>
      <c r="H3748" t="s">
        <v>38</v>
      </c>
      <c r="I3748" t="s">
        <v>80</v>
      </c>
      <c r="J3748" t="s">
        <v>1377</v>
      </c>
      <c r="K3748" t="s">
        <v>38</v>
      </c>
      <c r="L3748" t="s">
        <v>38</v>
      </c>
      <c r="M3748" t="s">
        <v>38</v>
      </c>
      <c r="N3748" t="s">
        <v>38</v>
      </c>
      <c r="O3748" t="s">
        <v>57</v>
      </c>
      <c r="P3748" t="s">
        <v>42</v>
      </c>
      <c r="Q3748" t="s">
        <v>43</v>
      </c>
      <c r="R3748" t="s">
        <v>155</v>
      </c>
      <c r="S3748" t="s">
        <v>153</v>
      </c>
      <c r="T3748" t="s">
        <v>38</v>
      </c>
      <c r="U3748" t="s">
        <v>38</v>
      </c>
      <c r="V3748" t="s">
        <v>91</v>
      </c>
      <c r="W3748" t="s">
        <v>38</v>
      </c>
      <c r="X3748" t="s">
        <v>38</v>
      </c>
      <c r="Y3748" t="s">
        <v>5436</v>
      </c>
      <c r="Z3748" t="s">
        <v>42</v>
      </c>
      <c r="AA3748" t="s">
        <v>155</v>
      </c>
      <c r="AB3748" t="s">
        <v>38</v>
      </c>
      <c r="AC3748" t="s">
        <v>153</v>
      </c>
      <c r="AD3748" t="s">
        <v>48</v>
      </c>
      <c r="AG3748" t="str">
        <f>IF(AD3748="United States", IFERROR(INDEX(Sheet2!$C:$C, MATCH(AE3748&amp;AF3748, Sheet2!$E:$E, 0)) &amp; ", " &amp; INDEX(Sheet2!$D:$D, MATCH(AE3748&amp;AF3748, Sheet2!$E:$E, 0)), ""), "-")</f>
        <v/>
      </c>
    </row>
    <row r="3749" spans="1:33" x14ac:dyDescent="0.25">
      <c r="A3749" t="s">
        <v>5426</v>
      </c>
      <c r="B3749" t="s">
        <v>5437</v>
      </c>
      <c r="C3749" t="s">
        <v>5428</v>
      </c>
      <c r="D3749" t="s">
        <v>5438</v>
      </c>
      <c r="E3749" t="s">
        <v>1324</v>
      </c>
      <c r="F3749">
        <v>1757</v>
      </c>
      <c r="G3749">
        <v>2001</v>
      </c>
      <c r="H3749" t="s">
        <v>38</v>
      </c>
      <c r="I3749" t="s">
        <v>80</v>
      </c>
      <c r="J3749" t="s">
        <v>1377</v>
      </c>
      <c r="K3749" t="s">
        <v>38</v>
      </c>
      <c r="L3749" t="s">
        <v>38</v>
      </c>
      <c r="M3749" t="s">
        <v>38</v>
      </c>
      <c r="N3749" t="s">
        <v>38</v>
      </c>
      <c r="O3749" t="s">
        <v>57</v>
      </c>
      <c r="P3749" t="s">
        <v>42</v>
      </c>
      <c r="Q3749" t="s">
        <v>43</v>
      </c>
      <c r="R3749" t="s">
        <v>487</v>
      </c>
      <c r="S3749" t="s">
        <v>153</v>
      </c>
      <c r="T3749" t="s">
        <v>38</v>
      </c>
      <c r="U3749" t="s">
        <v>38</v>
      </c>
      <c r="V3749" t="s">
        <v>91</v>
      </c>
      <c r="W3749" t="s">
        <v>38</v>
      </c>
      <c r="X3749" t="s">
        <v>38</v>
      </c>
      <c r="Y3749" t="s">
        <v>5436</v>
      </c>
      <c r="Z3749" t="s">
        <v>42</v>
      </c>
      <c r="AA3749" t="s">
        <v>38</v>
      </c>
      <c r="AB3749" t="s">
        <v>38</v>
      </c>
      <c r="AC3749" t="s">
        <v>153</v>
      </c>
      <c r="AD3749" t="s">
        <v>48</v>
      </c>
      <c r="AG3749" t="str">
        <f>IF(AD3749="United States", IFERROR(INDEX(Sheet2!$C:$C, MATCH(AE3749&amp;AF3749, Sheet2!$E:$E, 0)) &amp; ", " &amp; INDEX(Sheet2!$D:$D, MATCH(AE3749&amp;AF3749, Sheet2!$E:$E, 0)), ""), "-")</f>
        <v/>
      </c>
    </row>
    <row r="3750" spans="1:33" x14ac:dyDescent="0.25">
      <c r="A3750" t="s">
        <v>5426</v>
      </c>
      <c r="B3750" t="s">
        <v>5439</v>
      </c>
      <c r="C3750" t="s">
        <v>5428</v>
      </c>
      <c r="D3750" t="s">
        <v>927</v>
      </c>
      <c r="E3750" t="s">
        <v>1324</v>
      </c>
      <c r="F3750">
        <v>1745</v>
      </c>
      <c r="G3750">
        <v>2000</v>
      </c>
      <c r="H3750" t="s">
        <v>38</v>
      </c>
      <c r="I3750" t="s">
        <v>80</v>
      </c>
      <c r="J3750" t="s">
        <v>1377</v>
      </c>
      <c r="K3750" t="s">
        <v>38</v>
      </c>
      <c r="L3750" t="s">
        <v>38</v>
      </c>
      <c r="M3750" t="s">
        <v>38</v>
      </c>
      <c r="N3750" t="s">
        <v>38</v>
      </c>
      <c r="O3750" t="s">
        <v>41</v>
      </c>
      <c r="P3750" t="s">
        <v>42</v>
      </c>
      <c r="Q3750" t="s">
        <v>43</v>
      </c>
      <c r="R3750" t="s">
        <v>487</v>
      </c>
      <c r="S3750" t="s">
        <v>153</v>
      </c>
      <c r="T3750" t="s">
        <v>38</v>
      </c>
      <c r="U3750" t="s">
        <v>38</v>
      </c>
      <c r="V3750" t="s">
        <v>91</v>
      </c>
      <c r="W3750" t="s">
        <v>38</v>
      </c>
      <c r="X3750" t="s">
        <v>38</v>
      </c>
      <c r="Y3750" t="s">
        <v>5436</v>
      </c>
      <c r="Z3750" t="s">
        <v>42</v>
      </c>
      <c r="AA3750" t="s">
        <v>38</v>
      </c>
      <c r="AB3750" t="s">
        <v>38</v>
      </c>
      <c r="AC3750" t="s">
        <v>153</v>
      </c>
      <c r="AD3750" t="s">
        <v>48</v>
      </c>
      <c r="AG3750" t="str">
        <f>IF(AD3750="United States", IFERROR(INDEX(Sheet2!$C:$C, MATCH(AE3750&amp;AF3750, Sheet2!$E:$E, 0)) &amp; ", " &amp; INDEX(Sheet2!$D:$D, MATCH(AE3750&amp;AF3750, Sheet2!$E:$E, 0)), ""), "-")</f>
        <v/>
      </c>
    </row>
    <row r="3751" spans="1:33" x14ac:dyDescent="0.25">
      <c r="A3751" t="s">
        <v>5426</v>
      </c>
      <c r="B3751" t="s">
        <v>5440</v>
      </c>
      <c r="C3751" t="s">
        <v>5428</v>
      </c>
      <c r="D3751" t="s">
        <v>2475</v>
      </c>
      <c r="E3751" t="s">
        <v>979</v>
      </c>
      <c r="F3751">
        <v>1758</v>
      </c>
      <c r="G3751">
        <v>1999</v>
      </c>
      <c r="H3751" t="s">
        <v>38</v>
      </c>
      <c r="I3751" t="s">
        <v>80</v>
      </c>
      <c r="J3751" t="s">
        <v>1377</v>
      </c>
      <c r="K3751" t="s">
        <v>38</v>
      </c>
      <c r="L3751" t="s">
        <v>38</v>
      </c>
      <c r="M3751" t="s">
        <v>38</v>
      </c>
      <c r="N3751" t="s">
        <v>38</v>
      </c>
      <c r="O3751" t="s">
        <v>57</v>
      </c>
      <c r="P3751" t="s">
        <v>42</v>
      </c>
      <c r="Q3751" t="s">
        <v>43</v>
      </c>
      <c r="R3751" t="s">
        <v>155</v>
      </c>
      <c r="S3751" t="s">
        <v>153</v>
      </c>
      <c r="T3751" t="s">
        <v>38</v>
      </c>
      <c r="U3751" t="s">
        <v>38</v>
      </c>
      <c r="V3751" t="s">
        <v>91</v>
      </c>
      <c r="W3751" t="s">
        <v>38</v>
      </c>
      <c r="X3751" t="s">
        <v>38</v>
      </c>
      <c r="Y3751" t="s">
        <v>5441</v>
      </c>
      <c r="Z3751" t="s">
        <v>42</v>
      </c>
      <c r="AA3751" t="s">
        <v>155</v>
      </c>
      <c r="AB3751" t="s">
        <v>153</v>
      </c>
      <c r="AC3751" t="s">
        <v>148</v>
      </c>
      <c r="AD3751" t="s">
        <v>48</v>
      </c>
      <c r="AG3751" t="str">
        <f>IF(AD3751="United States", IFERROR(INDEX(Sheet2!$C:$C, MATCH(AE3751&amp;AF3751, Sheet2!$E:$E, 0)) &amp; ", " &amp; INDEX(Sheet2!$D:$D, MATCH(AE3751&amp;AF3751, Sheet2!$E:$E, 0)), ""), "-")</f>
        <v/>
      </c>
    </row>
    <row r="3752" spans="1:33" x14ac:dyDescent="0.25">
      <c r="A3752" t="s">
        <v>5426</v>
      </c>
      <c r="B3752" t="s">
        <v>5442</v>
      </c>
      <c r="C3752" t="s">
        <v>5428</v>
      </c>
      <c r="D3752" t="s">
        <v>210</v>
      </c>
      <c r="E3752" t="s">
        <v>633</v>
      </c>
      <c r="F3752">
        <v>1758</v>
      </c>
      <c r="G3752">
        <v>1998</v>
      </c>
      <c r="H3752" t="s">
        <v>298</v>
      </c>
      <c r="I3752" t="s">
        <v>80</v>
      </c>
      <c r="J3752" t="s">
        <v>1377</v>
      </c>
      <c r="K3752" t="s">
        <v>38</v>
      </c>
      <c r="L3752" t="s">
        <v>38</v>
      </c>
      <c r="M3752" t="s">
        <v>38</v>
      </c>
      <c r="N3752" t="s">
        <v>38</v>
      </c>
      <c r="O3752" t="s">
        <v>41</v>
      </c>
      <c r="P3752" t="s">
        <v>42</v>
      </c>
      <c r="Q3752" t="s">
        <v>43</v>
      </c>
      <c r="R3752" t="s">
        <v>89</v>
      </c>
      <c r="S3752" t="s">
        <v>38</v>
      </c>
      <c r="T3752" t="s">
        <v>89</v>
      </c>
      <c r="U3752" t="s">
        <v>508</v>
      </c>
      <c r="V3752" t="s">
        <v>91</v>
      </c>
      <c r="W3752" t="s">
        <v>92</v>
      </c>
      <c r="X3752" t="s">
        <v>93</v>
      </c>
      <c r="Y3752" t="s">
        <v>5441</v>
      </c>
      <c r="Z3752" t="s">
        <v>42</v>
      </c>
      <c r="AA3752" t="s">
        <v>38</v>
      </c>
      <c r="AB3752" t="s">
        <v>38</v>
      </c>
      <c r="AC3752" t="s">
        <v>38</v>
      </c>
      <c r="AD3752" t="s">
        <v>48</v>
      </c>
      <c r="AG3752" t="str">
        <f>IF(AD3752="United States", IFERROR(INDEX(Sheet2!$C:$C, MATCH(AE3752&amp;AF3752, Sheet2!$E:$E, 0)) &amp; ", " &amp; INDEX(Sheet2!$D:$D, MATCH(AE3752&amp;AF3752, Sheet2!$E:$E, 0)), ""), "-")</f>
        <v/>
      </c>
    </row>
    <row r="3753" spans="1:33" x14ac:dyDescent="0.25">
      <c r="A3753" t="s">
        <v>5426</v>
      </c>
      <c r="B3753" t="s">
        <v>5443</v>
      </c>
      <c r="C3753" t="s">
        <v>5428</v>
      </c>
      <c r="D3753" t="s">
        <v>3397</v>
      </c>
      <c r="E3753" t="s">
        <v>5444</v>
      </c>
      <c r="F3753">
        <v>1758</v>
      </c>
      <c r="G3753">
        <v>1994</v>
      </c>
      <c r="H3753" t="s">
        <v>398</v>
      </c>
      <c r="I3753" t="s">
        <v>80</v>
      </c>
      <c r="J3753" t="s">
        <v>1377</v>
      </c>
      <c r="K3753" t="s">
        <v>38</v>
      </c>
      <c r="L3753" t="s">
        <v>38</v>
      </c>
      <c r="M3753" t="s">
        <v>38</v>
      </c>
      <c r="N3753" t="s">
        <v>38</v>
      </c>
      <c r="O3753" t="s">
        <v>57</v>
      </c>
      <c r="P3753" t="s">
        <v>42</v>
      </c>
      <c r="Q3753" t="s">
        <v>43</v>
      </c>
      <c r="R3753" t="s">
        <v>89</v>
      </c>
      <c r="S3753" t="s">
        <v>38</v>
      </c>
      <c r="T3753" t="s">
        <v>89</v>
      </c>
      <c r="U3753" t="s">
        <v>508</v>
      </c>
      <c r="V3753" t="s">
        <v>91</v>
      </c>
      <c r="W3753" t="s">
        <v>92</v>
      </c>
      <c r="X3753" t="s">
        <v>93</v>
      </c>
      <c r="Y3753" t="s">
        <v>5445</v>
      </c>
      <c r="Z3753" t="s">
        <v>42</v>
      </c>
      <c r="AA3753" t="s">
        <v>38</v>
      </c>
      <c r="AB3753" t="s">
        <v>38</v>
      </c>
      <c r="AC3753" t="s">
        <v>593</v>
      </c>
      <c r="AD3753" t="s">
        <v>48</v>
      </c>
      <c r="AG3753" t="str">
        <f>IF(AD3753="United States", IFERROR(INDEX(Sheet2!$C:$C, MATCH(AE3753&amp;AF3753, Sheet2!$E:$E, 0)) &amp; ", " &amp; INDEX(Sheet2!$D:$D, MATCH(AE3753&amp;AF3753, Sheet2!$E:$E, 0)), ""), "-")</f>
        <v/>
      </c>
    </row>
    <row r="3754" spans="1:33" x14ac:dyDescent="0.25">
      <c r="A3754" t="s">
        <v>5426</v>
      </c>
      <c r="D3754" t="s">
        <v>5446</v>
      </c>
      <c r="E3754" t="s">
        <v>185</v>
      </c>
      <c r="F3754">
        <v>1757</v>
      </c>
      <c r="G3754">
        <v>450</v>
      </c>
      <c r="H3754">
        <v>27</v>
      </c>
      <c r="J3754" t="s">
        <v>5447</v>
      </c>
      <c r="O3754" t="s">
        <v>57</v>
      </c>
      <c r="R3754" t="s">
        <v>89</v>
      </c>
      <c r="T3754" t="s">
        <v>89</v>
      </c>
      <c r="U3754" t="s">
        <v>508</v>
      </c>
      <c r="V3754" t="s">
        <v>5448</v>
      </c>
      <c r="W3754" t="s">
        <v>92</v>
      </c>
      <c r="X3754" t="s">
        <v>93</v>
      </c>
      <c r="Y3754" t="s">
        <v>38</v>
      </c>
      <c r="AA3754" t="s">
        <v>38</v>
      </c>
      <c r="AB3754" t="s">
        <v>38</v>
      </c>
      <c r="AC3754" t="s">
        <v>38</v>
      </c>
      <c r="AD3754" t="s">
        <v>48</v>
      </c>
      <c r="AG3754" t="str">
        <f>IF(AD3754="United States", IFERROR(INDEX(Sheet2!$C:$C, MATCH(AE3754&amp;AF3754, Sheet2!$E:$E, 0)) &amp; ", " &amp; INDEX(Sheet2!$D:$D, MATCH(AE3754&amp;AF3754, Sheet2!$E:$E, 0)), ""), "-")</f>
        <v/>
      </c>
    </row>
    <row r="3755" spans="1:33" x14ac:dyDescent="0.25">
      <c r="A3755" t="s">
        <v>5426</v>
      </c>
      <c r="B3755" t="s">
        <v>5449</v>
      </c>
      <c r="C3755" t="s">
        <v>5428</v>
      </c>
      <c r="D3755" t="s">
        <v>104</v>
      </c>
      <c r="E3755" t="s">
        <v>4593</v>
      </c>
      <c r="F3755">
        <v>1753</v>
      </c>
      <c r="G3755">
        <v>1993</v>
      </c>
      <c r="H3755" t="s">
        <v>298</v>
      </c>
      <c r="I3755" t="s">
        <v>80</v>
      </c>
      <c r="J3755" t="s">
        <v>1377</v>
      </c>
      <c r="K3755" t="s">
        <v>38</v>
      </c>
      <c r="L3755" t="s">
        <v>38</v>
      </c>
      <c r="M3755" t="s">
        <v>38</v>
      </c>
      <c r="N3755" t="s">
        <v>38</v>
      </c>
      <c r="O3755" t="s">
        <v>41</v>
      </c>
      <c r="P3755" t="s">
        <v>42</v>
      </c>
      <c r="Q3755" t="s">
        <v>43</v>
      </c>
      <c r="R3755" t="s">
        <v>89</v>
      </c>
      <c r="S3755" t="s">
        <v>89</v>
      </c>
      <c r="T3755" t="s">
        <v>89</v>
      </c>
      <c r="U3755" t="s">
        <v>508</v>
      </c>
      <c r="V3755" t="s">
        <v>91</v>
      </c>
      <c r="W3755" t="s">
        <v>92</v>
      </c>
      <c r="X3755" t="s">
        <v>93</v>
      </c>
      <c r="Y3755" t="s">
        <v>5450</v>
      </c>
      <c r="Z3755" t="s">
        <v>42</v>
      </c>
      <c r="AA3755" t="s">
        <v>38</v>
      </c>
      <c r="AB3755" t="s">
        <v>38</v>
      </c>
      <c r="AC3755" t="s">
        <v>89</v>
      </c>
      <c r="AD3755" t="s">
        <v>48</v>
      </c>
      <c r="AG3755" t="str">
        <f>IF(AD3755="United States", IFERROR(INDEX(Sheet2!$C:$C, MATCH(AE3755&amp;AF3755, Sheet2!$E:$E, 0)) &amp; ", " &amp; INDEX(Sheet2!$D:$D, MATCH(AE3755&amp;AF3755, Sheet2!$E:$E, 0)), ""), "-")</f>
        <v/>
      </c>
    </row>
    <row r="3756" spans="1:33" x14ac:dyDescent="0.25">
      <c r="A3756" t="s">
        <v>5426</v>
      </c>
      <c r="B3756" t="s">
        <v>5451</v>
      </c>
      <c r="C3756" t="s">
        <v>5452</v>
      </c>
      <c r="D3756" t="s">
        <v>200</v>
      </c>
      <c r="E3756" t="s">
        <v>5453</v>
      </c>
      <c r="F3756">
        <v>1751</v>
      </c>
      <c r="G3756">
        <v>2695</v>
      </c>
      <c r="I3756" t="s">
        <v>39</v>
      </c>
      <c r="J3756" t="s">
        <v>5447</v>
      </c>
      <c r="O3756" t="s">
        <v>41</v>
      </c>
      <c r="P3756" t="s">
        <v>42</v>
      </c>
      <c r="Q3756" t="s">
        <v>43</v>
      </c>
      <c r="V3756" t="s">
        <v>270</v>
      </c>
      <c r="Y3756" t="s">
        <v>5454</v>
      </c>
      <c r="Z3756" t="s">
        <v>42</v>
      </c>
      <c r="AA3756" t="s">
        <v>38</v>
      </c>
      <c r="AB3756" t="s">
        <v>38</v>
      </c>
      <c r="AC3756" t="s">
        <v>38</v>
      </c>
      <c r="AD3756" t="s">
        <v>48</v>
      </c>
      <c r="AG3756" t="str">
        <f>IF(AD3756="United States", IFERROR(INDEX(Sheet2!$C:$C, MATCH(AE3756&amp;AF3756, Sheet2!$E:$E, 0)) &amp; ", " &amp; INDEX(Sheet2!$D:$D, MATCH(AE3756&amp;AF3756, Sheet2!$E:$E, 0)), ""), "-")</f>
        <v/>
      </c>
    </row>
    <row r="3757" spans="1:33" x14ac:dyDescent="0.25">
      <c r="A3757" t="s">
        <v>5426</v>
      </c>
      <c r="B3757" t="s">
        <v>5455</v>
      </c>
      <c r="C3757" t="s">
        <v>5428</v>
      </c>
      <c r="D3757" t="s">
        <v>1238</v>
      </c>
      <c r="E3757" t="s">
        <v>38</v>
      </c>
      <c r="F3757">
        <v>1748</v>
      </c>
      <c r="G3757">
        <v>1995</v>
      </c>
      <c r="H3757" t="s">
        <v>38</v>
      </c>
      <c r="I3757" t="s">
        <v>80</v>
      </c>
      <c r="J3757" t="s">
        <v>1377</v>
      </c>
      <c r="K3757" t="s">
        <v>38</v>
      </c>
      <c r="L3757" t="s">
        <v>38</v>
      </c>
      <c r="M3757" t="s">
        <v>3397</v>
      </c>
      <c r="N3757" t="s">
        <v>5444</v>
      </c>
      <c r="O3757" t="s">
        <v>57</v>
      </c>
      <c r="P3757" t="s">
        <v>42</v>
      </c>
      <c r="Q3757" t="s">
        <v>43</v>
      </c>
      <c r="R3757" t="s">
        <v>38</v>
      </c>
      <c r="S3757" t="s">
        <v>38</v>
      </c>
      <c r="T3757" t="s">
        <v>38</v>
      </c>
      <c r="U3757" t="s">
        <v>38</v>
      </c>
      <c r="V3757" t="s">
        <v>91</v>
      </c>
      <c r="W3757" t="s">
        <v>38</v>
      </c>
      <c r="X3757" t="s">
        <v>38</v>
      </c>
      <c r="Y3757" t="s">
        <v>4186</v>
      </c>
      <c r="Z3757" t="s">
        <v>42</v>
      </c>
      <c r="AA3757" t="s">
        <v>38</v>
      </c>
      <c r="AB3757" t="s">
        <v>38</v>
      </c>
      <c r="AC3757" t="s">
        <v>38</v>
      </c>
      <c r="AD3757" t="s">
        <v>48</v>
      </c>
      <c r="AG3757" t="str">
        <f>IF(AD3757="United States", IFERROR(INDEX(Sheet2!$C:$C, MATCH(AE3757&amp;AF3757, Sheet2!$E:$E, 0)) &amp; ", " &amp; INDEX(Sheet2!$D:$D, MATCH(AE3757&amp;AF3757, Sheet2!$E:$E, 0)), ""), "-")</f>
        <v/>
      </c>
    </row>
    <row r="3758" spans="1:33" x14ac:dyDescent="0.25">
      <c r="A3758" t="s">
        <v>5426</v>
      </c>
      <c r="B3758" t="s">
        <v>5456</v>
      </c>
      <c r="C3758" t="s">
        <v>5428</v>
      </c>
      <c r="D3758" t="s">
        <v>980</v>
      </c>
      <c r="E3758" t="s">
        <v>981</v>
      </c>
      <c r="F3758">
        <v>1763</v>
      </c>
      <c r="G3758">
        <v>1997</v>
      </c>
      <c r="H3758" t="s">
        <v>38</v>
      </c>
      <c r="I3758" t="s">
        <v>80</v>
      </c>
      <c r="J3758" t="s">
        <v>1377</v>
      </c>
      <c r="K3758" t="s">
        <v>38</v>
      </c>
      <c r="L3758" t="s">
        <v>38</v>
      </c>
      <c r="M3758" t="s">
        <v>38</v>
      </c>
      <c r="N3758" t="s">
        <v>38</v>
      </c>
      <c r="O3758" t="s">
        <v>57</v>
      </c>
      <c r="P3758" t="s">
        <v>42</v>
      </c>
      <c r="Q3758" t="s">
        <v>43</v>
      </c>
      <c r="R3758" t="s">
        <v>5457</v>
      </c>
      <c r="S3758" t="s">
        <v>153</v>
      </c>
      <c r="T3758" t="s">
        <v>38</v>
      </c>
      <c r="U3758" t="s">
        <v>38</v>
      </c>
      <c r="V3758" t="s">
        <v>91</v>
      </c>
      <c r="W3758" t="s">
        <v>38</v>
      </c>
      <c r="X3758" t="s">
        <v>38</v>
      </c>
      <c r="Y3758" t="s">
        <v>5436</v>
      </c>
      <c r="Z3758" t="s">
        <v>42</v>
      </c>
      <c r="AA3758" t="s">
        <v>155</v>
      </c>
      <c r="AB3758" t="s">
        <v>38</v>
      </c>
      <c r="AC3758" t="s">
        <v>153</v>
      </c>
      <c r="AD3758" t="s">
        <v>48</v>
      </c>
      <c r="AG3758" t="str">
        <f>IF(AD3758="United States", IFERROR(INDEX(Sheet2!$C:$C, MATCH(AE3758&amp;AF3758, Sheet2!$E:$E, 0)) &amp; ", " &amp; INDEX(Sheet2!$D:$D, MATCH(AE3758&amp;AF3758, Sheet2!$E:$E, 0)), ""), "-")</f>
        <v/>
      </c>
    </row>
    <row r="3759" spans="1:33" x14ac:dyDescent="0.25">
      <c r="A3759" t="s">
        <v>5426</v>
      </c>
      <c r="B3759" t="s">
        <v>5458</v>
      </c>
      <c r="C3759" t="s">
        <v>5428</v>
      </c>
      <c r="D3759" t="s">
        <v>938</v>
      </c>
      <c r="E3759" t="s">
        <v>939</v>
      </c>
      <c r="F3759">
        <v>1758</v>
      </c>
      <c r="G3759">
        <v>1996</v>
      </c>
      <c r="H3759" t="s">
        <v>38</v>
      </c>
      <c r="I3759" t="s">
        <v>80</v>
      </c>
      <c r="J3759" t="s">
        <v>1377</v>
      </c>
      <c r="K3759" t="s">
        <v>38</v>
      </c>
      <c r="L3759" t="s">
        <v>38</v>
      </c>
      <c r="M3759" t="s">
        <v>38</v>
      </c>
      <c r="N3759" t="s">
        <v>38</v>
      </c>
      <c r="O3759" t="s">
        <v>54</v>
      </c>
      <c r="P3759" t="s">
        <v>42</v>
      </c>
      <c r="Q3759" t="s">
        <v>43</v>
      </c>
      <c r="R3759" t="s">
        <v>5459</v>
      </c>
      <c r="S3759" t="s">
        <v>45</v>
      </c>
      <c r="T3759" t="s">
        <v>38</v>
      </c>
      <c r="U3759" t="s">
        <v>38</v>
      </c>
      <c r="V3759" t="s">
        <v>91</v>
      </c>
      <c r="W3759" t="s">
        <v>38</v>
      </c>
      <c r="X3759" t="s">
        <v>38</v>
      </c>
      <c r="Y3759" t="s">
        <v>5460</v>
      </c>
      <c r="Z3759" t="s">
        <v>42</v>
      </c>
      <c r="AA3759" t="s">
        <v>5459</v>
      </c>
      <c r="AB3759" t="s">
        <v>38</v>
      </c>
      <c r="AC3759" t="s">
        <v>45</v>
      </c>
      <c r="AD3759" t="s">
        <v>48</v>
      </c>
      <c r="AG3759" t="str">
        <f>IF(AD3759="United States", IFERROR(INDEX(Sheet2!$C:$C, MATCH(AE3759&amp;AF3759, Sheet2!$E:$E, 0)) &amp; ", " &amp; INDEX(Sheet2!$D:$D, MATCH(AE3759&amp;AF3759, Sheet2!$E:$E, 0)), ""), "-")</f>
        <v/>
      </c>
    </row>
    <row r="3760" spans="1:33" x14ac:dyDescent="0.25">
      <c r="A3760" t="s">
        <v>5426</v>
      </c>
      <c r="B3760" t="s">
        <v>5461</v>
      </c>
      <c r="C3760" t="s">
        <v>5428</v>
      </c>
      <c r="D3760" t="s">
        <v>5462</v>
      </c>
      <c r="E3760" t="s">
        <v>82</v>
      </c>
      <c r="F3760">
        <v>1762</v>
      </c>
      <c r="G3760">
        <v>2005</v>
      </c>
      <c r="H3760" t="s">
        <v>38</v>
      </c>
      <c r="I3760" t="s">
        <v>80</v>
      </c>
      <c r="J3760" t="s">
        <v>1377</v>
      </c>
      <c r="K3760" t="s">
        <v>38</v>
      </c>
      <c r="L3760" t="s">
        <v>38</v>
      </c>
      <c r="M3760" t="s">
        <v>38</v>
      </c>
      <c r="N3760" t="s">
        <v>38</v>
      </c>
      <c r="O3760" t="s">
        <v>41</v>
      </c>
      <c r="P3760" t="s">
        <v>42</v>
      </c>
      <c r="Q3760" t="s">
        <v>43</v>
      </c>
      <c r="R3760" t="s">
        <v>155</v>
      </c>
      <c r="S3760" t="s">
        <v>153</v>
      </c>
      <c r="T3760" t="s">
        <v>38</v>
      </c>
      <c r="U3760" t="s">
        <v>38</v>
      </c>
      <c r="V3760" t="s">
        <v>91</v>
      </c>
      <c r="W3760" t="s">
        <v>38</v>
      </c>
      <c r="X3760" t="s">
        <v>38</v>
      </c>
      <c r="Y3760" t="s">
        <v>5463</v>
      </c>
      <c r="Z3760" t="s">
        <v>42</v>
      </c>
      <c r="AA3760" t="s">
        <v>155</v>
      </c>
      <c r="AB3760" t="s">
        <v>38</v>
      </c>
      <c r="AC3760" t="s">
        <v>153</v>
      </c>
      <c r="AD3760" t="s">
        <v>48</v>
      </c>
      <c r="AG3760" t="str">
        <f>IF(AD3760="United States", IFERROR(INDEX(Sheet2!$C:$C, MATCH(AE3760&amp;AF3760, Sheet2!$E:$E, 0)) &amp; ", " &amp; INDEX(Sheet2!$D:$D, MATCH(AE3760&amp;AF3760, Sheet2!$E:$E, 0)), ""), "-")</f>
        <v/>
      </c>
    </row>
    <row r="3761" spans="1:33" x14ac:dyDescent="0.25">
      <c r="A3761" t="s">
        <v>5426</v>
      </c>
      <c r="D3761" t="s">
        <v>181</v>
      </c>
      <c r="E3761" t="s">
        <v>5464</v>
      </c>
      <c r="F3761" t="s">
        <v>38</v>
      </c>
      <c r="G3761">
        <v>456</v>
      </c>
      <c r="H3761">
        <v>27</v>
      </c>
      <c r="J3761" t="s">
        <v>5447</v>
      </c>
      <c r="O3761" t="s">
        <v>183</v>
      </c>
      <c r="R3761" t="s">
        <v>89</v>
      </c>
      <c r="T3761" t="s">
        <v>89</v>
      </c>
      <c r="U3761" t="s">
        <v>508</v>
      </c>
      <c r="V3761" t="s">
        <v>5448</v>
      </c>
      <c r="W3761" t="s">
        <v>92</v>
      </c>
      <c r="X3761" t="s">
        <v>93</v>
      </c>
      <c r="Y3761" t="s">
        <v>38</v>
      </c>
      <c r="AA3761" t="s">
        <v>38</v>
      </c>
      <c r="AB3761" t="s">
        <v>38</v>
      </c>
      <c r="AC3761" t="s">
        <v>38</v>
      </c>
      <c r="AD3761" t="s">
        <v>48</v>
      </c>
      <c r="AG3761" t="str">
        <f>IF(AD3761="United States", IFERROR(INDEX(Sheet2!$C:$C, MATCH(AE3761&amp;AF3761, Sheet2!$E:$E, 0)) &amp; ", " &amp; INDEX(Sheet2!$D:$D, MATCH(AE3761&amp;AF3761, Sheet2!$E:$E, 0)), ""), "-")</f>
        <v/>
      </c>
    </row>
    <row r="3762" spans="1:33" x14ac:dyDescent="0.25">
      <c r="A3762" t="s">
        <v>5426</v>
      </c>
      <c r="B3762" t="s">
        <v>5465</v>
      </c>
      <c r="C3762" t="s">
        <v>5428</v>
      </c>
      <c r="D3762" t="s">
        <v>626</v>
      </c>
      <c r="E3762" t="s">
        <v>38</v>
      </c>
      <c r="F3762">
        <v>1758</v>
      </c>
      <c r="G3762">
        <v>2006</v>
      </c>
      <c r="H3762" t="s">
        <v>38</v>
      </c>
      <c r="I3762" t="s">
        <v>80</v>
      </c>
      <c r="J3762" t="s">
        <v>1377</v>
      </c>
      <c r="K3762" t="s">
        <v>38</v>
      </c>
      <c r="L3762" t="s">
        <v>38</v>
      </c>
      <c r="M3762" t="s">
        <v>38</v>
      </c>
      <c r="N3762" t="s">
        <v>38</v>
      </c>
      <c r="O3762" t="s">
        <v>41</v>
      </c>
      <c r="P3762" t="s">
        <v>42</v>
      </c>
      <c r="Q3762" t="s">
        <v>43</v>
      </c>
      <c r="R3762" t="s">
        <v>38</v>
      </c>
      <c r="S3762" t="s">
        <v>38</v>
      </c>
      <c r="T3762" t="s">
        <v>38</v>
      </c>
      <c r="U3762" t="s">
        <v>38</v>
      </c>
      <c r="V3762" t="s">
        <v>91</v>
      </c>
      <c r="W3762" t="s">
        <v>38</v>
      </c>
      <c r="X3762" t="s">
        <v>38</v>
      </c>
      <c r="Y3762" t="s">
        <v>5466</v>
      </c>
      <c r="Z3762" t="s">
        <v>42</v>
      </c>
      <c r="AA3762" t="s">
        <v>38</v>
      </c>
      <c r="AB3762" t="s">
        <v>38</v>
      </c>
      <c r="AC3762" t="s">
        <v>38</v>
      </c>
      <c r="AD3762" t="s">
        <v>48</v>
      </c>
      <c r="AG3762" t="str">
        <f>IF(AD3762="United States", IFERROR(INDEX(Sheet2!$C:$C, MATCH(AE3762&amp;AF3762, Sheet2!$E:$E, 0)) &amp; ", " &amp; INDEX(Sheet2!$D:$D, MATCH(AE3762&amp;AF3762, Sheet2!$E:$E, 0)), ""), "-")</f>
        <v/>
      </c>
    </row>
    <row r="3763" spans="1:33" x14ac:dyDescent="0.25">
      <c r="A3763" t="s">
        <v>5426</v>
      </c>
      <c r="B3763" t="s">
        <v>5467</v>
      </c>
      <c r="C3763" t="s">
        <v>5452</v>
      </c>
      <c r="D3763" t="s">
        <v>837</v>
      </c>
      <c r="E3763" t="s">
        <v>1672</v>
      </c>
      <c r="F3763">
        <v>1758</v>
      </c>
      <c r="G3763">
        <v>410</v>
      </c>
      <c r="H3763" t="s">
        <v>298</v>
      </c>
      <c r="I3763" t="s">
        <v>39</v>
      </c>
      <c r="J3763" t="s">
        <v>5447</v>
      </c>
      <c r="K3763" t="s">
        <v>38</v>
      </c>
      <c r="L3763" t="s">
        <v>38</v>
      </c>
      <c r="M3763" t="s">
        <v>38</v>
      </c>
      <c r="N3763" t="s">
        <v>38</v>
      </c>
      <c r="O3763" t="s">
        <v>41</v>
      </c>
      <c r="P3763" t="s">
        <v>42</v>
      </c>
      <c r="Q3763" t="s">
        <v>43</v>
      </c>
      <c r="R3763" t="s">
        <v>89</v>
      </c>
      <c r="S3763" t="s">
        <v>201</v>
      </c>
      <c r="T3763" t="s">
        <v>89</v>
      </c>
      <c r="U3763" t="s">
        <v>508</v>
      </c>
      <c r="V3763" t="s">
        <v>270</v>
      </c>
      <c r="W3763" t="s">
        <v>92</v>
      </c>
      <c r="X3763" t="s">
        <v>93</v>
      </c>
      <c r="Y3763" t="s">
        <v>5468</v>
      </c>
      <c r="Z3763" t="s">
        <v>42</v>
      </c>
      <c r="AA3763" t="s">
        <v>38</v>
      </c>
      <c r="AB3763" t="s">
        <v>38</v>
      </c>
      <c r="AC3763" t="s">
        <v>201</v>
      </c>
      <c r="AD3763" t="s">
        <v>48</v>
      </c>
      <c r="AG3763" t="str">
        <f>IF(AD3763="United States", IFERROR(INDEX(Sheet2!$C:$C, MATCH(AE3763&amp;AF3763, Sheet2!$E:$E, 0)) &amp; ", " &amp; INDEX(Sheet2!$D:$D, MATCH(AE3763&amp;AF3763, Sheet2!$E:$E, 0)), ""), "-")</f>
        <v/>
      </c>
    </row>
    <row r="3764" spans="1:33" x14ac:dyDescent="0.25">
      <c r="A3764" t="s">
        <v>5426</v>
      </c>
      <c r="B3764" t="s">
        <v>5469</v>
      </c>
      <c r="C3764" t="s">
        <v>5428</v>
      </c>
      <c r="D3764" t="s">
        <v>2595</v>
      </c>
      <c r="E3764" t="s">
        <v>38</v>
      </c>
      <c r="F3764">
        <v>1761</v>
      </c>
      <c r="G3764">
        <v>1992</v>
      </c>
      <c r="H3764" t="s">
        <v>398</v>
      </c>
      <c r="I3764" t="s">
        <v>80</v>
      </c>
      <c r="J3764" t="s">
        <v>1377</v>
      </c>
      <c r="K3764" t="s">
        <v>38</v>
      </c>
      <c r="L3764" t="s">
        <v>38</v>
      </c>
      <c r="M3764" t="s">
        <v>38</v>
      </c>
      <c r="N3764" t="s">
        <v>38</v>
      </c>
      <c r="O3764" t="s">
        <v>41</v>
      </c>
      <c r="P3764" t="s">
        <v>42</v>
      </c>
      <c r="Q3764" t="s">
        <v>43</v>
      </c>
      <c r="R3764" t="s">
        <v>89</v>
      </c>
      <c r="S3764" t="s">
        <v>38</v>
      </c>
      <c r="T3764" t="s">
        <v>89</v>
      </c>
      <c r="U3764" t="s">
        <v>508</v>
      </c>
      <c r="V3764" t="s">
        <v>91</v>
      </c>
      <c r="W3764" t="s">
        <v>92</v>
      </c>
      <c r="X3764" t="s">
        <v>93</v>
      </c>
      <c r="Y3764" t="s">
        <v>5470</v>
      </c>
      <c r="Z3764" t="s">
        <v>42</v>
      </c>
      <c r="AA3764" t="s">
        <v>91</v>
      </c>
      <c r="AB3764" t="s">
        <v>38</v>
      </c>
      <c r="AC3764" t="s">
        <v>155</v>
      </c>
      <c r="AD3764" t="s">
        <v>48</v>
      </c>
      <c r="AG3764" t="str">
        <f>IF(AD3764="United States", IFERROR(INDEX(Sheet2!$C:$C, MATCH(AE3764&amp;AF3764, Sheet2!$E:$E, 0)) &amp; ", " &amp; INDEX(Sheet2!$D:$D, MATCH(AE3764&amp;AF3764, Sheet2!$E:$E, 0)), ""), "-")</f>
        <v/>
      </c>
    </row>
    <row r="3765" spans="1:33" x14ac:dyDescent="0.25">
      <c r="A3765" t="s">
        <v>5426</v>
      </c>
      <c r="B3765" t="s">
        <v>5471</v>
      </c>
      <c r="C3765" t="s">
        <v>5452</v>
      </c>
      <c r="D3765" t="s">
        <v>113</v>
      </c>
      <c r="E3765" t="s">
        <v>42</v>
      </c>
      <c r="F3765">
        <v>1743</v>
      </c>
      <c r="G3765">
        <v>406</v>
      </c>
      <c r="H3765" t="s">
        <v>298</v>
      </c>
      <c r="I3765" t="s">
        <v>39</v>
      </c>
      <c r="J3765" t="s">
        <v>5447</v>
      </c>
      <c r="K3765" t="s">
        <v>38</v>
      </c>
      <c r="L3765" t="s">
        <v>38</v>
      </c>
      <c r="M3765" t="s">
        <v>38</v>
      </c>
      <c r="N3765" t="s">
        <v>38</v>
      </c>
      <c r="O3765" t="s">
        <v>41</v>
      </c>
      <c r="P3765" t="s">
        <v>42</v>
      </c>
      <c r="Q3765" t="s">
        <v>43</v>
      </c>
      <c r="R3765" t="s">
        <v>89</v>
      </c>
      <c r="S3765" t="s">
        <v>45</v>
      </c>
      <c r="T3765" t="s">
        <v>89</v>
      </c>
      <c r="U3765" t="s">
        <v>508</v>
      </c>
      <c r="V3765" t="s">
        <v>270</v>
      </c>
      <c r="W3765" t="s">
        <v>92</v>
      </c>
      <c r="X3765" t="s">
        <v>93</v>
      </c>
      <c r="Y3765" t="s">
        <v>5472</v>
      </c>
      <c r="Z3765" t="s">
        <v>42</v>
      </c>
      <c r="AA3765" t="s">
        <v>3997</v>
      </c>
      <c r="AB3765" t="s">
        <v>38</v>
      </c>
      <c r="AC3765" t="s">
        <v>45</v>
      </c>
      <c r="AD3765" t="s">
        <v>48</v>
      </c>
      <c r="AG3765" t="str">
        <f>IF(AD3765="United States", IFERROR(INDEX(Sheet2!$C:$C, MATCH(AE3765&amp;AF3765, Sheet2!$E:$E, 0)) &amp; ", " &amp; INDEX(Sheet2!$D:$D, MATCH(AE3765&amp;AF3765, Sheet2!$E:$E, 0)), ""), "-")</f>
        <v/>
      </c>
    </row>
    <row r="3766" spans="1:33" x14ac:dyDescent="0.25">
      <c r="A3766" t="s">
        <v>5426</v>
      </c>
      <c r="B3766" t="s">
        <v>5473</v>
      </c>
      <c r="C3766" t="s">
        <v>5452</v>
      </c>
      <c r="D3766" t="s">
        <v>569</v>
      </c>
      <c r="E3766" t="s">
        <v>5474</v>
      </c>
      <c r="F3766">
        <v>1737</v>
      </c>
      <c r="G3766">
        <v>405</v>
      </c>
      <c r="H3766" t="s">
        <v>298</v>
      </c>
      <c r="I3766" t="s">
        <v>39</v>
      </c>
      <c r="J3766" t="s">
        <v>5447</v>
      </c>
      <c r="K3766" t="s">
        <v>38</v>
      </c>
      <c r="L3766" t="s">
        <v>38</v>
      </c>
      <c r="M3766" t="s">
        <v>38</v>
      </c>
      <c r="N3766" t="s">
        <v>38</v>
      </c>
      <c r="O3766" t="s">
        <v>41</v>
      </c>
      <c r="P3766" t="s">
        <v>42</v>
      </c>
      <c r="Q3766" t="s">
        <v>43</v>
      </c>
      <c r="R3766" t="s">
        <v>89</v>
      </c>
      <c r="S3766" t="s">
        <v>38</v>
      </c>
      <c r="T3766" t="s">
        <v>89</v>
      </c>
      <c r="U3766" t="s">
        <v>508</v>
      </c>
      <c r="V3766" t="s">
        <v>270</v>
      </c>
      <c r="W3766" t="s">
        <v>92</v>
      </c>
      <c r="X3766" t="s">
        <v>93</v>
      </c>
      <c r="Y3766" t="s">
        <v>5475</v>
      </c>
      <c r="Z3766" t="s">
        <v>42</v>
      </c>
      <c r="AA3766" t="s">
        <v>38</v>
      </c>
      <c r="AB3766" t="s">
        <v>38</v>
      </c>
      <c r="AC3766" t="s">
        <v>2580</v>
      </c>
      <c r="AD3766" t="s">
        <v>48</v>
      </c>
      <c r="AG3766" t="str">
        <f>IF(AD3766="United States", IFERROR(INDEX(Sheet2!$C:$C, MATCH(AE3766&amp;AF3766, Sheet2!$E:$E, 0)) &amp; ", " &amp; INDEX(Sheet2!$D:$D, MATCH(AE3766&amp;AF3766, Sheet2!$E:$E, 0)), ""), "-")</f>
        <v/>
      </c>
    </row>
    <row r="3767" spans="1:33" x14ac:dyDescent="0.25">
      <c r="A3767" t="s">
        <v>5426</v>
      </c>
      <c r="B3767" t="s">
        <v>5476</v>
      </c>
      <c r="C3767" t="s">
        <v>5452</v>
      </c>
      <c r="D3767" t="s">
        <v>226</v>
      </c>
      <c r="E3767" t="s">
        <v>5477</v>
      </c>
      <c r="F3767">
        <v>1749</v>
      </c>
      <c r="G3767">
        <v>404</v>
      </c>
      <c r="H3767" t="s">
        <v>298</v>
      </c>
      <c r="I3767" t="s">
        <v>39</v>
      </c>
      <c r="J3767" t="s">
        <v>5447</v>
      </c>
      <c r="K3767" t="s">
        <v>38</v>
      </c>
      <c r="L3767" t="s">
        <v>38</v>
      </c>
      <c r="M3767" t="s">
        <v>38</v>
      </c>
      <c r="N3767" t="s">
        <v>38</v>
      </c>
      <c r="O3767" t="s">
        <v>41</v>
      </c>
      <c r="P3767" t="s">
        <v>42</v>
      </c>
      <c r="Q3767" t="s">
        <v>43</v>
      </c>
      <c r="R3767" t="s">
        <v>89</v>
      </c>
      <c r="S3767" t="s">
        <v>201</v>
      </c>
      <c r="T3767" t="s">
        <v>89</v>
      </c>
      <c r="U3767" t="s">
        <v>508</v>
      </c>
      <c r="V3767" t="s">
        <v>270</v>
      </c>
      <c r="W3767" t="s">
        <v>92</v>
      </c>
      <c r="X3767" t="s">
        <v>93</v>
      </c>
      <c r="Y3767" t="s">
        <v>5478</v>
      </c>
      <c r="Z3767" t="s">
        <v>42</v>
      </c>
      <c r="AA3767" t="s">
        <v>265</v>
      </c>
      <c r="AB3767" t="s">
        <v>38</v>
      </c>
      <c r="AC3767" t="s">
        <v>201</v>
      </c>
      <c r="AD3767" t="s">
        <v>48</v>
      </c>
      <c r="AG3767" t="str">
        <f>IF(AD3767="United States", IFERROR(INDEX(Sheet2!$C:$C, MATCH(AE3767&amp;AF3767, Sheet2!$E:$E, 0)) &amp; ", " &amp; INDEX(Sheet2!$D:$D, MATCH(AE3767&amp;AF3767, Sheet2!$E:$E, 0)), ""), "-")</f>
        <v/>
      </c>
    </row>
    <row r="3768" spans="1:33" x14ac:dyDescent="0.25">
      <c r="A3768" t="s">
        <v>5426</v>
      </c>
      <c r="B3768" t="s">
        <v>5479</v>
      </c>
      <c r="C3768" t="s">
        <v>5452</v>
      </c>
      <c r="D3768" t="s">
        <v>3323</v>
      </c>
      <c r="E3768" t="s">
        <v>5480</v>
      </c>
      <c r="F3768">
        <v>1753</v>
      </c>
      <c r="G3768">
        <v>403</v>
      </c>
      <c r="H3768" t="s">
        <v>298</v>
      </c>
      <c r="I3768" t="s">
        <v>39</v>
      </c>
      <c r="J3768" t="s">
        <v>5447</v>
      </c>
      <c r="K3768" t="s">
        <v>38</v>
      </c>
      <c r="L3768" t="s">
        <v>38</v>
      </c>
      <c r="M3768" t="s">
        <v>38</v>
      </c>
      <c r="N3768" t="s">
        <v>38</v>
      </c>
      <c r="O3768" t="s">
        <v>41</v>
      </c>
      <c r="P3768" t="s">
        <v>42</v>
      </c>
      <c r="Q3768" t="s">
        <v>43</v>
      </c>
      <c r="R3768" t="s">
        <v>4961</v>
      </c>
      <c r="S3768" t="s">
        <v>201</v>
      </c>
      <c r="T3768" t="s">
        <v>38</v>
      </c>
      <c r="U3768" t="s">
        <v>38</v>
      </c>
      <c r="V3768" t="s">
        <v>270</v>
      </c>
      <c r="W3768" t="s">
        <v>92</v>
      </c>
      <c r="X3768" t="s">
        <v>38</v>
      </c>
      <c r="Y3768" t="s">
        <v>5481</v>
      </c>
      <c r="Z3768" t="s">
        <v>42</v>
      </c>
      <c r="AA3768" t="s">
        <v>4961</v>
      </c>
      <c r="AB3768" t="s">
        <v>38</v>
      </c>
      <c r="AC3768" t="s">
        <v>201</v>
      </c>
      <c r="AD3768" t="s">
        <v>48</v>
      </c>
      <c r="AG3768" t="str">
        <f>IF(AD3768="United States", IFERROR(INDEX(Sheet2!$C:$C, MATCH(AE3768&amp;AF3768, Sheet2!$E:$E, 0)) &amp; ", " &amp; INDEX(Sheet2!$D:$D, MATCH(AE3768&amp;AF3768, Sheet2!$E:$E, 0)), ""), "-")</f>
        <v/>
      </c>
    </row>
    <row r="3769" spans="1:33" x14ac:dyDescent="0.25">
      <c r="A3769" t="s">
        <v>5426</v>
      </c>
      <c r="B3769" t="s">
        <v>5482</v>
      </c>
      <c r="C3769" t="s">
        <v>5452</v>
      </c>
      <c r="D3769" t="s">
        <v>343</v>
      </c>
      <c r="E3769" t="s">
        <v>2386</v>
      </c>
      <c r="F3769">
        <v>1755</v>
      </c>
      <c r="G3769">
        <v>412</v>
      </c>
      <c r="H3769" t="s">
        <v>298</v>
      </c>
      <c r="I3769" t="s">
        <v>39</v>
      </c>
      <c r="J3769" t="s">
        <v>5447</v>
      </c>
      <c r="K3769" t="s">
        <v>38</v>
      </c>
      <c r="L3769" t="s">
        <v>38</v>
      </c>
      <c r="M3769" t="s">
        <v>38</v>
      </c>
      <c r="N3769" t="s">
        <v>38</v>
      </c>
      <c r="O3769" t="s">
        <v>41</v>
      </c>
      <c r="P3769" t="s">
        <v>42</v>
      </c>
      <c r="Q3769" t="s">
        <v>43</v>
      </c>
      <c r="R3769" t="s">
        <v>89</v>
      </c>
      <c r="S3769" t="s">
        <v>45</v>
      </c>
      <c r="T3769" t="s">
        <v>89</v>
      </c>
      <c r="U3769" t="s">
        <v>508</v>
      </c>
      <c r="V3769" t="s">
        <v>270</v>
      </c>
      <c r="W3769" t="s">
        <v>92</v>
      </c>
      <c r="X3769" t="s">
        <v>93</v>
      </c>
      <c r="Y3769" t="s">
        <v>5483</v>
      </c>
      <c r="Z3769" t="s">
        <v>42</v>
      </c>
      <c r="AA3769" t="s">
        <v>5484</v>
      </c>
      <c r="AB3769" t="s">
        <v>38</v>
      </c>
      <c r="AC3769" t="s">
        <v>45</v>
      </c>
      <c r="AD3769" t="s">
        <v>48</v>
      </c>
      <c r="AG3769" t="str">
        <f>IF(AD3769="United States", IFERROR(INDEX(Sheet2!$C:$C, MATCH(AE3769&amp;AF3769, Sheet2!$E:$E, 0)) &amp; ", " &amp; INDEX(Sheet2!$D:$D, MATCH(AE3769&amp;AF3769, Sheet2!$E:$E, 0)), ""), "-")</f>
        <v/>
      </c>
    </row>
    <row r="3770" spans="1:33" x14ac:dyDescent="0.25">
      <c r="A3770" t="s">
        <v>5426</v>
      </c>
      <c r="B3770" t="s">
        <v>5485</v>
      </c>
      <c r="C3770" t="s">
        <v>5452</v>
      </c>
      <c r="D3770" t="s">
        <v>104</v>
      </c>
      <c r="E3770" t="s">
        <v>5486</v>
      </c>
      <c r="F3770">
        <v>1755</v>
      </c>
      <c r="G3770">
        <v>413</v>
      </c>
      <c r="H3770" t="s">
        <v>298</v>
      </c>
      <c r="I3770" t="s">
        <v>39</v>
      </c>
      <c r="J3770" t="s">
        <v>5447</v>
      </c>
      <c r="K3770" t="s">
        <v>38</v>
      </c>
      <c r="L3770" t="s">
        <v>38</v>
      </c>
      <c r="M3770" t="s">
        <v>38</v>
      </c>
      <c r="N3770" t="s">
        <v>38</v>
      </c>
      <c r="O3770" t="s">
        <v>41</v>
      </c>
      <c r="P3770" t="s">
        <v>42</v>
      </c>
      <c r="Q3770" t="s">
        <v>43</v>
      </c>
      <c r="R3770" t="s">
        <v>89</v>
      </c>
      <c r="S3770" t="s">
        <v>38</v>
      </c>
      <c r="T3770" t="s">
        <v>89</v>
      </c>
      <c r="U3770" t="s">
        <v>508</v>
      </c>
      <c r="V3770" t="s">
        <v>270</v>
      </c>
      <c r="W3770" t="s">
        <v>92</v>
      </c>
      <c r="X3770" t="s">
        <v>93</v>
      </c>
      <c r="Y3770" t="s">
        <v>5487</v>
      </c>
      <c r="Z3770" t="s">
        <v>42</v>
      </c>
      <c r="AA3770" t="s">
        <v>38</v>
      </c>
      <c r="AB3770" t="s">
        <v>38</v>
      </c>
      <c r="AC3770" t="s">
        <v>1813</v>
      </c>
      <c r="AD3770" t="s">
        <v>48</v>
      </c>
      <c r="AG3770" t="str">
        <f>IF(AD3770="United States", IFERROR(INDEX(Sheet2!$C:$C, MATCH(AE3770&amp;AF3770, Sheet2!$E:$E, 0)) &amp; ", " &amp; INDEX(Sheet2!$D:$D, MATCH(AE3770&amp;AF3770, Sheet2!$E:$E, 0)), ""), "-")</f>
        <v/>
      </c>
    </row>
    <row r="3771" spans="1:33" x14ac:dyDescent="0.25">
      <c r="A3771" t="s">
        <v>5426</v>
      </c>
      <c r="B3771" t="s">
        <v>5488</v>
      </c>
      <c r="C3771" t="s">
        <v>5452</v>
      </c>
      <c r="D3771" t="s">
        <v>210</v>
      </c>
      <c r="E3771" t="s">
        <v>321</v>
      </c>
      <c r="F3771">
        <v>1747</v>
      </c>
      <c r="G3771">
        <v>414</v>
      </c>
      <c r="H3771" t="s">
        <v>298</v>
      </c>
      <c r="I3771" t="s">
        <v>39</v>
      </c>
      <c r="J3771" t="s">
        <v>5447</v>
      </c>
      <c r="K3771" t="s">
        <v>38</v>
      </c>
      <c r="L3771" t="s">
        <v>38</v>
      </c>
      <c r="M3771" t="s">
        <v>38</v>
      </c>
      <c r="N3771" t="s">
        <v>38</v>
      </c>
      <c r="O3771" t="s">
        <v>41</v>
      </c>
      <c r="P3771" t="s">
        <v>42</v>
      </c>
      <c r="Q3771" t="s">
        <v>43</v>
      </c>
      <c r="R3771" t="s">
        <v>89</v>
      </c>
      <c r="S3771" t="s">
        <v>38</v>
      </c>
      <c r="T3771" t="s">
        <v>89</v>
      </c>
      <c r="U3771" t="s">
        <v>508</v>
      </c>
      <c r="V3771" t="s">
        <v>270</v>
      </c>
      <c r="W3771" t="s">
        <v>92</v>
      </c>
      <c r="X3771" t="s">
        <v>93</v>
      </c>
      <c r="Y3771" t="s">
        <v>5489</v>
      </c>
      <c r="Z3771" t="s">
        <v>42</v>
      </c>
      <c r="AA3771" t="s">
        <v>38</v>
      </c>
      <c r="AB3771" t="s">
        <v>38</v>
      </c>
      <c r="AC3771" t="s">
        <v>1824</v>
      </c>
      <c r="AD3771" t="s">
        <v>48</v>
      </c>
      <c r="AG3771" t="str">
        <f>IF(AD3771="United States", IFERROR(INDEX(Sheet2!$C:$C, MATCH(AE3771&amp;AF3771, Sheet2!$E:$E, 0)) &amp; ", " &amp; INDEX(Sheet2!$D:$D, MATCH(AE3771&amp;AF3771, Sheet2!$E:$E, 0)), ""), "-")</f>
        <v/>
      </c>
    </row>
    <row r="3772" spans="1:33" x14ac:dyDescent="0.25">
      <c r="A3772" t="s">
        <v>5426</v>
      </c>
      <c r="B3772" t="s">
        <v>5490</v>
      </c>
      <c r="C3772" t="s">
        <v>5452</v>
      </c>
      <c r="D3772" t="s">
        <v>5464</v>
      </c>
      <c r="E3772" t="s">
        <v>38</v>
      </c>
      <c r="F3772">
        <v>1763</v>
      </c>
      <c r="G3772">
        <v>415</v>
      </c>
      <c r="H3772" t="s">
        <v>298</v>
      </c>
      <c r="I3772" t="s">
        <v>39</v>
      </c>
      <c r="J3772" t="s">
        <v>5447</v>
      </c>
      <c r="K3772" t="s">
        <v>38</v>
      </c>
      <c r="L3772" t="s">
        <v>38</v>
      </c>
      <c r="M3772" t="s">
        <v>38</v>
      </c>
      <c r="N3772" t="s">
        <v>38</v>
      </c>
      <c r="O3772" t="s">
        <v>74</v>
      </c>
      <c r="P3772" t="s">
        <v>42</v>
      </c>
      <c r="Q3772" t="s">
        <v>43</v>
      </c>
      <c r="R3772" t="s">
        <v>89</v>
      </c>
      <c r="S3772" t="s">
        <v>38</v>
      </c>
      <c r="T3772" t="s">
        <v>89</v>
      </c>
      <c r="U3772" t="s">
        <v>508</v>
      </c>
      <c r="V3772" t="s">
        <v>270</v>
      </c>
      <c r="W3772" t="s">
        <v>92</v>
      </c>
      <c r="X3772" t="s">
        <v>93</v>
      </c>
      <c r="Y3772" t="s">
        <v>5483</v>
      </c>
      <c r="Z3772" t="s">
        <v>42</v>
      </c>
      <c r="AA3772" t="s">
        <v>38</v>
      </c>
      <c r="AB3772" t="s">
        <v>38</v>
      </c>
      <c r="AC3772" t="s">
        <v>593</v>
      </c>
      <c r="AD3772" t="s">
        <v>48</v>
      </c>
      <c r="AG3772" t="str">
        <f>IF(AD3772="United States", IFERROR(INDEX(Sheet2!$C:$C, MATCH(AE3772&amp;AF3772, Sheet2!$E:$E, 0)) &amp; ", " &amp; INDEX(Sheet2!$D:$D, MATCH(AE3772&amp;AF3772, Sheet2!$E:$E, 0)), ""), "-")</f>
        <v/>
      </c>
    </row>
    <row r="3773" spans="1:33" x14ac:dyDescent="0.25">
      <c r="A3773" t="s">
        <v>5426</v>
      </c>
      <c r="B3773" t="s">
        <v>5491</v>
      </c>
      <c r="C3773" t="s">
        <v>5452</v>
      </c>
      <c r="D3773" t="s">
        <v>182</v>
      </c>
      <c r="E3773" t="s">
        <v>164</v>
      </c>
      <c r="F3773">
        <v>1757</v>
      </c>
      <c r="G3773">
        <v>411</v>
      </c>
      <c r="H3773" t="s">
        <v>298</v>
      </c>
      <c r="I3773" t="s">
        <v>39</v>
      </c>
      <c r="J3773" t="s">
        <v>5447</v>
      </c>
      <c r="K3773" t="s">
        <v>38</v>
      </c>
      <c r="L3773" t="s">
        <v>38</v>
      </c>
      <c r="M3773" t="s">
        <v>140</v>
      </c>
      <c r="N3773" t="s">
        <v>42</v>
      </c>
      <c r="O3773" t="s">
        <v>74</v>
      </c>
      <c r="P3773" t="s">
        <v>42</v>
      </c>
      <c r="Q3773" t="s">
        <v>43</v>
      </c>
      <c r="R3773" t="s">
        <v>89</v>
      </c>
      <c r="S3773" t="s">
        <v>38</v>
      </c>
      <c r="T3773" t="s">
        <v>89</v>
      </c>
      <c r="U3773" t="s">
        <v>508</v>
      </c>
      <c r="V3773" t="s">
        <v>270</v>
      </c>
      <c r="W3773" t="s">
        <v>92</v>
      </c>
      <c r="X3773" t="s">
        <v>93</v>
      </c>
      <c r="Y3773" t="s">
        <v>5468</v>
      </c>
      <c r="Z3773" t="s">
        <v>42</v>
      </c>
      <c r="AA3773" t="s">
        <v>38</v>
      </c>
      <c r="AB3773" t="s">
        <v>38</v>
      </c>
      <c r="AC3773" t="s">
        <v>1813</v>
      </c>
      <c r="AD3773" t="s">
        <v>48</v>
      </c>
      <c r="AG3773" t="str">
        <f>IF(AD3773="United States", IFERROR(INDEX(Sheet2!$C:$C, MATCH(AE3773&amp;AF3773, Sheet2!$E:$E, 0)) &amp; ", " &amp; INDEX(Sheet2!$D:$D, MATCH(AE3773&amp;AF3773, Sheet2!$E:$E, 0)), ""), "-")</f>
        <v/>
      </c>
    </row>
    <row r="3774" spans="1:33" x14ac:dyDescent="0.25">
      <c r="A3774" t="s">
        <v>5426</v>
      </c>
      <c r="B3774" t="s">
        <v>5492</v>
      </c>
      <c r="C3774" t="s">
        <v>5428</v>
      </c>
      <c r="D3774" t="s">
        <v>569</v>
      </c>
      <c r="E3774" t="s">
        <v>983</v>
      </c>
      <c r="F3774">
        <v>1762</v>
      </c>
      <c r="G3774">
        <v>2007</v>
      </c>
      <c r="H3774" t="s">
        <v>298</v>
      </c>
      <c r="I3774" t="s">
        <v>80</v>
      </c>
      <c r="J3774" t="s">
        <v>1377</v>
      </c>
      <c r="K3774" t="s">
        <v>38</v>
      </c>
      <c r="L3774" t="s">
        <v>38</v>
      </c>
      <c r="M3774" t="s">
        <v>38</v>
      </c>
      <c r="N3774" t="s">
        <v>38</v>
      </c>
      <c r="O3774" t="s">
        <v>41</v>
      </c>
      <c r="P3774" t="s">
        <v>42</v>
      </c>
      <c r="Q3774" t="s">
        <v>43</v>
      </c>
      <c r="R3774" t="s">
        <v>89</v>
      </c>
      <c r="S3774" t="s">
        <v>286</v>
      </c>
      <c r="T3774" t="s">
        <v>89</v>
      </c>
      <c r="U3774" t="s">
        <v>508</v>
      </c>
      <c r="V3774" t="s">
        <v>91</v>
      </c>
      <c r="W3774" t="s">
        <v>92</v>
      </c>
      <c r="X3774" t="s">
        <v>93</v>
      </c>
      <c r="Y3774" t="s">
        <v>5493</v>
      </c>
      <c r="Z3774" t="s">
        <v>42</v>
      </c>
      <c r="AA3774" t="s">
        <v>2238</v>
      </c>
      <c r="AB3774" t="s">
        <v>38</v>
      </c>
      <c r="AC3774" t="s">
        <v>286</v>
      </c>
      <c r="AD3774" t="s">
        <v>48</v>
      </c>
      <c r="AG3774" t="str">
        <f>IF(AD3774="United States", IFERROR(INDEX(Sheet2!$C:$C, MATCH(AE3774&amp;AF3774, Sheet2!$E:$E, 0)) &amp; ", " &amp; INDEX(Sheet2!$D:$D, MATCH(AE3774&amp;AF3774, Sheet2!$E:$E, 0)), ""), "-")</f>
        <v/>
      </c>
    </row>
    <row r="3775" spans="1:33" x14ac:dyDescent="0.25">
      <c r="A3775" t="s">
        <v>5426</v>
      </c>
      <c r="B3775" t="s">
        <v>5494</v>
      </c>
      <c r="C3775" t="s">
        <v>5428</v>
      </c>
      <c r="D3775" t="s">
        <v>982</v>
      </c>
      <c r="E3775" t="s">
        <v>37</v>
      </c>
      <c r="F3775">
        <v>1756</v>
      </c>
      <c r="G3775">
        <v>2008</v>
      </c>
      <c r="H3775" t="s">
        <v>38</v>
      </c>
      <c r="I3775" t="s">
        <v>80</v>
      </c>
      <c r="J3775" t="s">
        <v>1377</v>
      </c>
      <c r="K3775" t="s">
        <v>38</v>
      </c>
      <c r="L3775" t="s">
        <v>38</v>
      </c>
      <c r="M3775" t="s">
        <v>38</v>
      </c>
      <c r="N3775" t="s">
        <v>38</v>
      </c>
      <c r="O3775" t="s">
        <v>41</v>
      </c>
      <c r="P3775" t="s">
        <v>42</v>
      </c>
      <c r="Q3775" t="s">
        <v>43</v>
      </c>
      <c r="R3775" t="s">
        <v>5495</v>
      </c>
      <c r="S3775" t="s">
        <v>201</v>
      </c>
      <c r="T3775" t="s">
        <v>38</v>
      </c>
      <c r="U3775" t="s">
        <v>38</v>
      </c>
      <c r="V3775" t="s">
        <v>91</v>
      </c>
      <c r="W3775" t="s">
        <v>38</v>
      </c>
      <c r="X3775" t="s">
        <v>38</v>
      </c>
      <c r="Y3775" t="s">
        <v>5496</v>
      </c>
      <c r="Z3775" t="s">
        <v>42</v>
      </c>
      <c r="AA3775" t="s">
        <v>38</v>
      </c>
      <c r="AB3775" t="s">
        <v>38</v>
      </c>
      <c r="AC3775" t="s">
        <v>201</v>
      </c>
      <c r="AD3775" t="s">
        <v>48</v>
      </c>
      <c r="AG3775" t="str">
        <f>IF(AD3775="United States", IFERROR(INDEX(Sheet2!$C:$C, MATCH(AE3775&amp;AF3775, Sheet2!$E:$E, 0)) &amp; ", " &amp; INDEX(Sheet2!$D:$D, MATCH(AE3775&amp;AF3775, Sheet2!$E:$E, 0)), ""), "-")</f>
        <v/>
      </c>
    </row>
    <row r="3776" spans="1:33" x14ac:dyDescent="0.25">
      <c r="A3776" t="s">
        <v>5426</v>
      </c>
      <c r="B3776" t="s">
        <v>5497</v>
      </c>
      <c r="C3776" t="s">
        <v>5428</v>
      </c>
      <c r="D3776" t="s">
        <v>245</v>
      </c>
      <c r="E3776" t="s">
        <v>977</v>
      </c>
      <c r="F3776">
        <v>1767</v>
      </c>
      <c r="G3776">
        <v>2009</v>
      </c>
      <c r="H3776" t="s">
        <v>38</v>
      </c>
      <c r="I3776" t="s">
        <v>80</v>
      </c>
      <c r="J3776" t="s">
        <v>1377</v>
      </c>
      <c r="K3776" t="s">
        <v>38</v>
      </c>
      <c r="L3776" t="s">
        <v>38</v>
      </c>
      <c r="M3776" t="s">
        <v>38</v>
      </c>
      <c r="N3776" t="s">
        <v>38</v>
      </c>
      <c r="O3776" t="s">
        <v>74</v>
      </c>
      <c r="P3776" t="s">
        <v>42</v>
      </c>
      <c r="Q3776" t="s">
        <v>43</v>
      </c>
      <c r="R3776" t="s">
        <v>5498</v>
      </c>
      <c r="S3776" t="s">
        <v>45</v>
      </c>
      <c r="T3776" t="s">
        <v>38</v>
      </c>
      <c r="U3776" t="s">
        <v>38</v>
      </c>
      <c r="V3776" t="s">
        <v>91</v>
      </c>
      <c r="W3776" t="s">
        <v>38</v>
      </c>
      <c r="X3776" t="s">
        <v>38</v>
      </c>
      <c r="Y3776" t="s">
        <v>5499</v>
      </c>
      <c r="Z3776" t="s">
        <v>42</v>
      </c>
      <c r="AA3776" t="s">
        <v>38</v>
      </c>
      <c r="AB3776" t="s">
        <v>38</v>
      </c>
      <c r="AC3776" t="s">
        <v>45</v>
      </c>
      <c r="AD3776" t="s">
        <v>48</v>
      </c>
      <c r="AG3776" t="str">
        <f>IF(AD3776="United States", IFERROR(INDEX(Sheet2!$C:$C, MATCH(AE3776&amp;AF3776, Sheet2!$E:$E, 0)) &amp; ", " &amp; INDEX(Sheet2!$D:$D, MATCH(AE3776&amp;AF3776, Sheet2!$E:$E, 0)), ""), "-")</f>
        <v/>
      </c>
    </row>
    <row r="3777" spans="1:33" x14ac:dyDescent="0.25">
      <c r="A3777" t="s">
        <v>5426</v>
      </c>
      <c r="B3777" t="s">
        <v>5500</v>
      </c>
      <c r="C3777" t="s">
        <v>5428</v>
      </c>
      <c r="D3777" t="s">
        <v>986</v>
      </c>
      <c r="E3777" t="s">
        <v>987</v>
      </c>
      <c r="F3777">
        <v>1763</v>
      </c>
      <c r="G3777">
        <v>2010</v>
      </c>
      <c r="H3777" t="s">
        <v>38</v>
      </c>
      <c r="I3777" t="s">
        <v>80</v>
      </c>
      <c r="J3777" t="s">
        <v>1377</v>
      </c>
      <c r="K3777" t="s">
        <v>38</v>
      </c>
      <c r="L3777" t="s">
        <v>38</v>
      </c>
      <c r="M3777" t="s">
        <v>38</v>
      </c>
      <c r="N3777" t="s">
        <v>38</v>
      </c>
      <c r="O3777" t="s">
        <v>41</v>
      </c>
      <c r="P3777" t="s">
        <v>42</v>
      </c>
      <c r="Q3777" t="s">
        <v>43</v>
      </c>
      <c r="R3777" t="s">
        <v>38</v>
      </c>
      <c r="S3777" t="s">
        <v>38</v>
      </c>
      <c r="T3777" t="s">
        <v>38</v>
      </c>
      <c r="U3777" t="s">
        <v>38</v>
      </c>
      <c r="V3777" t="s">
        <v>91</v>
      </c>
      <c r="W3777" t="s">
        <v>38</v>
      </c>
      <c r="X3777" t="s">
        <v>38</v>
      </c>
      <c r="Y3777" t="s">
        <v>5501</v>
      </c>
      <c r="Z3777" t="s">
        <v>42</v>
      </c>
      <c r="AA3777" t="s">
        <v>38</v>
      </c>
      <c r="AB3777" t="s">
        <v>38</v>
      </c>
      <c r="AC3777" t="s">
        <v>38</v>
      </c>
      <c r="AD3777" t="s">
        <v>48</v>
      </c>
      <c r="AG3777" t="str">
        <f>IF(AD3777="United States", IFERROR(INDEX(Sheet2!$C:$C, MATCH(AE3777&amp;AF3777, Sheet2!$E:$E, 0)) &amp; ", " &amp; INDEX(Sheet2!$D:$D, MATCH(AE3777&amp;AF3777, Sheet2!$E:$E, 0)), ""), "-")</f>
        <v/>
      </c>
    </row>
    <row r="3778" spans="1:33" x14ac:dyDescent="0.25">
      <c r="A3778" t="s">
        <v>5426</v>
      </c>
      <c r="B3778" t="s">
        <v>5502</v>
      </c>
      <c r="C3778" t="s">
        <v>5428</v>
      </c>
      <c r="D3778" t="s">
        <v>357</v>
      </c>
      <c r="E3778" t="s">
        <v>465</v>
      </c>
      <c r="F3778">
        <v>1753</v>
      </c>
      <c r="G3778">
        <v>2012</v>
      </c>
      <c r="H3778" t="s">
        <v>38</v>
      </c>
      <c r="I3778" t="s">
        <v>80</v>
      </c>
      <c r="J3778" t="s">
        <v>1377</v>
      </c>
      <c r="K3778" t="s">
        <v>38</v>
      </c>
      <c r="L3778" t="s">
        <v>38</v>
      </c>
      <c r="M3778" t="s">
        <v>38</v>
      </c>
      <c r="N3778" t="s">
        <v>38</v>
      </c>
      <c r="O3778" t="s">
        <v>41</v>
      </c>
      <c r="P3778" t="s">
        <v>42</v>
      </c>
      <c r="Q3778" t="s">
        <v>43</v>
      </c>
      <c r="R3778" t="s">
        <v>155</v>
      </c>
      <c r="S3778" t="s">
        <v>153</v>
      </c>
      <c r="T3778" t="s">
        <v>38</v>
      </c>
      <c r="U3778" t="s">
        <v>38</v>
      </c>
      <c r="V3778" t="s">
        <v>91</v>
      </c>
      <c r="W3778" t="s">
        <v>38</v>
      </c>
      <c r="X3778" t="s">
        <v>38</v>
      </c>
      <c r="Y3778" t="s">
        <v>5431</v>
      </c>
      <c r="Z3778" t="s">
        <v>42</v>
      </c>
      <c r="AA3778" t="s">
        <v>155</v>
      </c>
      <c r="AB3778" t="s">
        <v>153</v>
      </c>
      <c r="AC3778" t="s">
        <v>148</v>
      </c>
      <c r="AD3778" t="s">
        <v>48</v>
      </c>
      <c r="AG3778" t="str">
        <f>IF(AD3778="United States", IFERROR(INDEX(Sheet2!$C:$C, MATCH(AE3778&amp;AF3778, Sheet2!$E:$E, 0)) &amp; ", " &amp; INDEX(Sheet2!$D:$D, MATCH(AE3778&amp;AF3778, Sheet2!$E:$E, 0)), ""), "-")</f>
        <v/>
      </c>
    </row>
    <row r="3779" spans="1:33" x14ac:dyDescent="0.25">
      <c r="A3779" t="s">
        <v>5426</v>
      </c>
      <c r="B3779" t="s">
        <v>5503</v>
      </c>
      <c r="C3779" t="s">
        <v>5428</v>
      </c>
      <c r="D3779" t="s">
        <v>5504</v>
      </c>
      <c r="E3779" t="s">
        <v>38</v>
      </c>
      <c r="F3779">
        <v>1764</v>
      </c>
      <c r="G3779">
        <v>2013</v>
      </c>
      <c r="H3779" t="s">
        <v>38</v>
      </c>
      <c r="I3779" t="s">
        <v>80</v>
      </c>
      <c r="J3779" t="s">
        <v>1377</v>
      </c>
      <c r="K3779" t="s">
        <v>38</v>
      </c>
      <c r="L3779" t="s">
        <v>38</v>
      </c>
      <c r="M3779" t="s">
        <v>38</v>
      </c>
      <c r="N3779" t="s">
        <v>38</v>
      </c>
      <c r="O3779" t="s">
        <v>41</v>
      </c>
      <c r="P3779" t="s">
        <v>42</v>
      </c>
      <c r="Q3779" t="s">
        <v>43</v>
      </c>
      <c r="R3779" t="s">
        <v>155</v>
      </c>
      <c r="S3779" t="s">
        <v>153</v>
      </c>
      <c r="T3779" t="s">
        <v>38</v>
      </c>
      <c r="U3779" t="s">
        <v>38</v>
      </c>
      <c r="V3779" t="s">
        <v>91</v>
      </c>
      <c r="W3779" t="s">
        <v>38</v>
      </c>
      <c r="X3779" t="s">
        <v>38</v>
      </c>
      <c r="Y3779" t="s">
        <v>5505</v>
      </c>
      <c r="Z3779" t="s">
        <v>42</v>
      </c>
      <c r="AA3779" t="s">
        <v>5504</v>
      </c>
      <c r="AB3779" t="s">
        <v>5506</v>
      </c>
      <c r="AC3779" t="s">
        <v>155</v>
      </c>
      <c r="AD3779" t="s">
        <v>48</v>
      </c>
      <c r="AG3779" t="str">
        <f>IF(AD3779="United States", IFERROR(INDEX(Sheet2!$C:$C, MATCH(AE3779&amp;AF3779, Sheet2!$E:$E, 0)) &amp; ", " &amp; INDEX(Sheet2!$D:$D, MATCH(AE3779&amp;AF3779, Sheet2!$E:$E, 0)), ""), "-")</f>
        <v/>
      </c>
    </row>
    <row r="3780" spans="1:33" x14ac:dyDescent="0.25">
      <c r="A3780" t="s">
        <v>5426</v>
      </c>
      <c r="B3780" t="s">
        <v>5507</v>
      </c>
      <c r="C3780" t="s">
        <v>5428</v>
      </c>
      <c r="D3780" t="s">
        <v>150</v>
      </c>
      <c r="E3780" t="s">
        <v>38</v>
      </c>
      <c r="F3780">
        <v>1758</v>
      </c>
      <c r="G3780">
        <v>2014</v>
      </c>
      <c r="H3780" t="s">
        <v>38</v>
      </c>
      <c r="I3780" t="s">
        <v>80</v>
      </c>
      <c r="J3780" t="s">
        <v>1377</v>
      </c>
      <c r="K3780" t="s">
        <v>38</v>
      </c>
      <c r="L3780" t="s">
        <v>38</v>
      </c>
      <c r="M3780" t="s">
        <v>38</v>
      </c>
      <c r="N3780" t="s">
        <v>38</v>
      </c>
      <c r="O3780" t="s">
        <v>41</v>
      </c>
      <c r="P3780" t="s">
        <v>42</v>
      </c>
      <c r="Q3780" t="s">
        <v>43</v>
      </c>
      <c r="R3780" t="s">
        <v>155</v>
      </c>
      <c r="S3780" t="s">
        <v>153</v>
      </c>
      <c r="T3780" t="s">
        <v>38</v>
      </c>
      <c r="U3780" t="s">
        <v>38</v>
      </c>
      <c r="V3780" t="s">
        <v>91</v>
      </c>
      <c r="W3780" t="s">
        <v>38</v>
      </c>
      <c r="X3780" t="s">
        <v>38</v>
      </c>
      <c r="Y3780" t="s">
        <v>5508</v>
      </c>
      <c r="Z3780" t="s">
        <v>42</v>
      </c>
      <c r="AA3780" t="s">
        <v>155</v>
      </c>
      <c r="AB3780" t="s">
        <v>38</v>
      </c>
      <c r="AC3780" t="s">
        <v>153</v>
      </c>
      <c r="AD3780" t="s">
        <v>48</v>
      </c>
      <c r="AG3780" t="str">
        <f>IF(AD3780="United States", IFERROR(INDEX(Sheet2!$C:$C, MATCH(AE3780&amp;AF3780, Sheet2!$E:$E, 0)) &amp; ", " &amp; INDEX(Sheet2!$D:$D, MATCH(AE3780&amp;AF3780, Sheet2!$E:$E, 0)), ""), "-")</f>
        <v/>
      </c>
    </row>
    <row r="3781" spans="1:33" x14ac:dyDescent="0.25">
      <c r="A3781" t="s">
        <v>5426</v>
      </c>
      <c r="B3781" t="s">
        <v>5509</v>
      </c>
      <c r="C3781" t="s">
        <v>5428</v>
      </c>
      <c r="D3781" t="s">
        <v>621</v>
      </c>
      <c r="E3781" t="s">
        <v>991</v>
      </c>
      <c r="F3781">
        <v>1757</v>
      </c>
      <c r="G3781">
        <v>2015</v>
      </c>
      <c r="H3781" t="s">
        <v>38</v>
      </c>
      <c r="I3781" t="s">
        <v>80</v>
      </c>
      <c r="J3781" t="s">
        <v>1377</v>
      </c>
      <c r="K3781" t="s">
        <v>38</v>
      </c>
      <c r="L3781" t="s">
        <v>38</v>
      </c>
      <c r="M3781" t="s">
        <v>38</v>
      </c>
      <c r="N3781" t="s">
        <v>38</v>
      </c>
      <c r="O3781" t="s">
        <v>41</v>
      </c>
      <c r="P3781" t="s">
        <v>42</v>
      </c>
      <c r="Q3781" t="s">
        <v>43</v>
      </c>
      <c r="R3781" t="s">
        <v>38</v>
      </c>
      <c r="S3781" t="s">
        <v>38</v>
      </c>
      <c r="T3781" t="s">
        <v>38</v>
      </c>
      <c r="U3781" t="s">
        <v>38</v>
      </c>
      <c r="V3781" t="s">
        <v>91</v>
      </c>
      <c r="W3781" t="s">
        <v>38</v>
      </c>
      <c r="X3781" t="s">
        <v>38</v>
      </c>
      <c r="Y3781" t="s">
        <v>5510</v>
      </c>
      <c r="Z3781" t="s">
        <v>42</v>
      </c>
      <c r="AA3781" t="s">
        <v>38</v>
      </c>
      <c r="AB3781" t="s">
        <v>38</v>
      </c>
      <c r="AC3781" t="s">
        <v>38</v>
      </c>
      <c r="AD3781" t="s">
        <v>48</v>
      </c>
      <c r="AG3781" t="str">
        <f>IF(AD3781="United States", IFERROR(INDEX(Sheet2!$C:$C, MATCH(AE3781&amp;AF3781, Sheet2!$E:$E, 0)) &amp; ", " &amp; INDEX(Sheet2!$D:$D, MATCH(AE3781&amp;AF3781, Sheet2!$E:$E, 0)), ""), "-")</f>
        <v/>
      </c>
    </row>
    <row r="3782" spans="1:33" x14ac:dyDescent="0.25">
      <c r="A3782" t="s">
        <v>5426</v>
      </c>
      <c r="B3782" t="s">
        <v>5511</v>
      </c>
      <c r="C3782" t="s">
        <v>5428</v>
      </c>
      <c r="D3782" t="s">
        <v>210</v>
      </c>
      <c r="E3782" t="s">
        <v>728</v>
      </c>
      <c r="F3782">
        <v>1746</v>
      </c>
      <c r="G3782">
        <v>2016</v>
      </c>
      <c r="H3782" t="s">
        <v>298</v>
      </c>
      <c r="I3782" t="s">
        <v>80</v>
      </c>
      <c r="J3782" t="s">
        <v>1377</v>
      </c>
      <c r="K3782" t="s">
        <v>38</v>
      </c>
      <c r="L3782" t="s">
        <v>38</v>
      </c>
      <c r="M3782" t="s">
        <v>38</v>
      </c>
      <c r="N3782" t="s">
        <v>38</v>
      </c>
      <c r="O3782" t="s">
        <v>41</v>
      </c>
      <c r="P3782" t="s">
        <v>42</v>
      </c>
      <c r="Q3782" t="s">
        <v>43</v>
      </c>
      <c r="R3782" t="s">
        <v>89</v>
      </c>
      <c r="S3782" t="s">
        <v>153</v>
      </c>
      <c r="T3782" t="s">
        <v>89</v>
      </c>
      <c r="U3782" t="s">
        <v>508</v>
      </c>
      <c r="V3782" t="s">
        <v>91</v>
      </c>
      <c r="W3782" t="s">
        <v>92</v>
      </c>
      <c r="X3782" t="s">
        <v>93</v>
      </c>
      <c r="Y3782" t="s">
        <v>5436</v>
      </c>
      <c r="Z3782" t="s">
        <v>42</v>
      </c>
      <c r="AA3782" t="s">
        <v>38</v>
      </c>
      <c r="AB3782" t="s">
        <v>38</v>
      </c>
      <c r="AC3782" t="s">
        <v>153</v>
      </c>
      <c r="AD3782" t="s">
        <v>48</v>
      </c>
      <c r="AG3782" t="str">
        <f>IF(AD3782="United States", IFERROR(INDEX(Sheet2!$C:$C, MATCH(AE3782&amp;AF3782, Sheet2!$E:$E, 0)) &amp; ", " &amp; INDEX(Sheet2!$D:$D, MATCH(AE3782&amp;AF3782, Sheet2!$E:$E, 0)), ""), "-")</f>
        <v/>
      </c>
    </row>
    <row r="3783" spans="1:33" x14ac:dyDescent="0.25">
      <c r="A3783" t="s">
        <v>5426</v>
      </c>
      <c r="B3783" t="s">
        <v>5512</v>
      </c>
      <c r="C3783" t="s">
        <v>5513</v>
      </c>
      <c r="D3783" t="s">
        <v>361</v>
      </c>
      <c r="E3783" t="s">
        <v>38</v>
      </c>
      <c r="F3783">
        <v>1765</v>
      </c>
      <c r="G3783">
        <v>809</v>
      </c>
      <c r="H3783" t="s">
        <v>269</v>
      </c>
      <c r="I3783" t="s">
        <v>39</v>
      </c>
      <c r="J3783" t="s">
        <v>5447</v>
      </c>
      <c r="K3783" t="s">
        <v>38</v>
      </c>
      <c r="L3783" t="s">
        <v>38</v>
      </c>
      <c r="M3783" t="s">
        <v>38</v>
      </c>
      <c r="N3783" t="s">
        <v>38</v>
      </c>
      <c r="O3783" t="s">
        <v>54</v>
      </c>
      <c r="P3783" t="s">
        <v>42</v>
      </c>
      <c r="Q3783" t="s">
        <v>43</v>
      </c>
      <c r="R3783" t="s">
        <v>89</v>
      </c>
      <c r="S3783" t="s">
        <v>153</v>
      </c>
      <c r="T3783" t="s">
        <v>89</v>
      </c>
      <c r="U3783" t="s">
        <v>508</v>
      </c>
      <c r="V3783" t="s">
        <v>270</v>
      </c>
      <c r="W3783" t="s">
        <v>92</v>
      </c>
      <c r="X3783" t="s">
        <v>93</v>
      </c>
      <c r="Y3783" t="s">
        <v>5514</v>
      </c>
      <c r="Z3783" t="s">
        <v>42</v>
      </c>
      <c r="AA3783" t="s">
        <v>38</v>
      </c>
      <c r="AB3783" t="s">
        <v>38</v>
      </c>
      <c r="AC3783" t="s">
        <v>38</v>
      </c>
      <c r="AD3783" t="s">
        <v>48</v>
      </c>
      <c r="AG3783" t="str">
        <f>IF(AD3783="United States", IFERROR(INDEX(Sheet2!$C:$C, MATCH(AE3783&amp;AF3783, Sheet2!$E:$E, 0)) &amp; ", " &amp; INDEX(Sheet2!$D:$D, MATCH(AE3783&amp;AF3783, Sheet2!$E:$E, 0)), ""), "-")</f>
        <v/>
      </c>
    </row>
    <row r="3784" spans="1:33" x14ac:dyDescent="0.25">
      <c r="A3784" t="s">
        <v>5426</v>
      </c>
      <c r="B3784" t="s">
        <v>5515</v>
      </c>
      <c r="C3784" t="s">
        <v>5513</v>
      </c>
      <c r="D3784" t="s">
        <v>5516</v>
      </c>
      <c r="E3784" t="s">
        <v>38</v>
      </c>
      <c r="F3784">
        <v>1767</v>
      </c>
      <c r="G3784">
        <v>808</v>
      </c>
      <c r="H3784" t="s">
        <v>269</v>
      </c>
      <c r="I3784" t="s">
        <v>39</v>
      </c>
      <c r="J3784" t="s">
        <v>5447</v>
      </c>
      <c r="K3784" t="s">
        <v>38</v>
      </c>
      <c r="L3784" t="s">
        <v>38</v>
      </c>
      <c r="M3784" t="s">
        <v>38</v>
      </c>
      <c r="N3784" t="s">
        <v>38</v>
      </c>
      <c r="O3784" t="s">
        <v>74</v>
      </c>
      <c r="P3784" t="s">
        <v>42</v>
      </c>
      <c r="Q3784" t="s">
        <v>43</v>
      </c>
      <c r="R3784" t="s">
        <v>89</v>
      </c>
      <c r="S3784" t="s">
        <v>38</v>
      </c>
      <c r="T3784" t="s">
        <v>89</v>
      </c>
      <c r="U3784" t="s">
        <v>508</v>
      </c>
      <c r="V3784" t="s">
        <v>270</v>
      </c>
      <c r="W3784" t="s">
        <v>92</v>
      </c>
      <c r="X3784" t="s">
        <v>93</v>
      </c>
      <c r="Y3784" t="s">
        <v>5517</v>
      </c>
      <c r="Z3784" t="s">
        <v>42</v>
      </c>
      <c r="AA3784" t="s">
        <v>38</v>
      </c>
      <c r="AB3784" t="s">
        <v>38</v>
      </c>
      <c r="AC3784" t="s">
        <v>38</v>
      </c>
      <c r="AD3784" t="s">
        <v>48</v>
      </c>
      <c r="AG3784" t="str">
        <f>IF(AD3784="United States", IFERROR(INDEX(Sheet2!$C:$C, MATCH(AE3784&amp;AF3784, Sheet2!$E:$E, 0)) &amp; ", " &amp; INDEX(Sheet2!$D:$D, MATCH(AE3784&amp;AF3784, Sheet2!$E:$E, 0)), ""), "-")</f>
        <v/>
      </c>
    </row>
    <row r="3785" spans="1:33" x14ac:dyDescent="0.25">
      <c r="A3785" t="s">
        <v>5426</v>
      </c>
      <c r="B3785" t="s">
        <v>5518</v>
      </c>
      <c r="C3785" t="s">
        <v>5513</v>
      </c>
      <c r="D3785" t="s">
        <v>200</v>
      </c>
      <c r="E3785" t="s">
        <v>5519</v>
      </c>
      <c r="F3785">
        <v>1762</v>
      </c>
      <c r="G3785">
        <v>807</v>
      </c>
      <c r="H3785" t="s">
        <v>298</v>
      </c>
      <c r="I3785" t="s">
        <v>39</v>
      </c>
      <c r="J3785" t="s">
        <v>5447</v>
      </c>
      <c r="K3785" t="s">
        <v>38</v>
      </c>
      <c r="L3785" t="s">
        <v>38</v>
      </c>
      <c r="M3785" t="s">
        <v>38</v>
      </c>
      <c r="N3785" t="s">
        <v>38</v>
      </c>
      <c r="O3785" t="s">
        <v>41</v>
      </c>
      <c r="P3785" t="s">
        <v>42</v>
      </c>
      <c r="Q3785" t="s">
        <v>43</v>
      </c>
      <c r="R3785" t="s">
        <v>89</v>
      </c>
      <c r="S3785" t="s">
        <v>153</v>
      </c>
      <c r="T3785" t="s">
        <v>89</v>
      </c>
      <c r="U3785" t="s">
        <v>508</v>
      </c>
      <c r="V3785" t="s">
        <v>270</v>
      </c>
      <c r="W3785" t="s">
        <v>92</v>
      </c>
      <c r="X3785" t="s">
        <v>93</v>
      </c>
      <c r="Y3785" t="s">
        <v>5520</v>
      </c>
      <c r="Z3785" t="s">
        <v>42</v>
      </c>
      <c r="AA3785" t="s">
        <v>155</v>
      </c>
      <c r="AB3785" t="s">
        <v>38</v>
      </c>
      <c r="AC3785" t="s">
        <v>153</v>
      </c>
      <c r="AD3785" t="s">
        <v>48</v>
      </c>
      <c r="AG3785" t="str">
        <f>IF(AD3785="United States", IFERROR(INDEX(Sheet2!$C:$C, MATCH(AE3785&amp;AF3785, Sheet2!$E:$E, 0)) &amp; ", " &amp; INDEX(Sheet2!$D:$D, MATCH(AE3785&amp;AF3785, Sheet2!$E:$E, 0)), ""), "-")</f>
        <v/>
      </c>
    </row>
    <row r="3786" spans="1:33" x14ac:dyDescent="0.25">
      <c r="A3786" t="s">
        <v>5426</v>
      </c>
      <c r="B3786" t="s">
        <v>5521</v>
      </c>
      <c r="C3786" t="s">
        <v>5428</v>
      </c>
      <c r="D3786" t="s">
        <v>5522</v>
      </c>
      <c r="E3786" t="s">
        <v>38</v>
      </c>
      <c r="F3786">
        <v>1758</v>
      </c>
      <c r="G3786">
        <v>1991</v>
      </c>
      <c r="H3786" t="s">
        <v>398</v>
      </c>
      <c r="I3786" t="s">
        <v>80</v>
      </c>
      <c r="J3786" t="s">
        <v>1377</v>
      </c>
      <c r="K3786" t="s">
        <v>38</v>
      </c>
      <c r="L3786" t="s">
        <v>38</v>
      </c>
      <c r="M3786" t="s">
        <v>38</v>
      </c>
      <c r="N3786" t="s">
        <v>38</v>
      </c>
      <c r="O3786" t="s">
        <v>41</v>
      </c>
      <c r="P3786" t="s">
        <v>42</v>
      </c>
      <c r="Q3786" t="s">
        <v>43</v>
      </c>
      <c r="R3786" t="s">
        <v>89</v>
      </c>
      <c r="S3786" t="s">
        <v>38</v>
      </c>
      <c r="T3786" t="s">
        <v>89</v>
      </c>
      <c r="U3786" t="s">
        <v>508</v>
      </c>
      <c r="V3786" t="s">
        <v>91</v>
      </c>
      <c r="W3786" t="s">
        <v>92</v>
      </c>
      <c r="X3786" t="s">
        <v>93</v>
      </c>
      <c r="Y3786" t="s">
        <v>5523</v>
      </c>
      <c r="Z3786" t="s">
        <v>42</v>
      </c>
      <c r="AA3786" t="s">
        <v>38</v>
      </c>
      <c r="AB3786" t="s">
        <v>38</v>
      </c>
      <c r="AC3786" t="s">
        <v>5524</v>
      </c>
      <c r="AD3786" t="s">
        <v>48</v>
      </c>
      <c r="AG3786" t="str">
        <f>IF(AD3786="United States", IFERROR(INDEX(Sheet2!$C:$C, MATCH(AE3786&amp;AF3786, Sheet2!$E:$E, 0)) &amp; ", " &amp; INDEX(Sheet2!$D:$D, MATCH(AE3786&amp;AF3786, Sheet2!$E:$E, 0)), ""), "-")</f>
        <v/>
      </c>
    </row>
    <row r="3787" spans="1:33" x14ac:dyDescent="0.25">
      <c r="A3787" t="s">
        <v>5426</v>
      </c>
      <c r="B3787" t="s">
        <v>5525</v>
      </c>
      <c r="C3787" t="s">
        <v>5452</v>
      </c>
      <c r="D3787" t="s">
        <v>140</v>
      </c>
      <c r="E3787" t="s">
        <v>42</v>
      </c>
      <c r="F3787">
        <v>1748</v>
      </c>
      <c r="G3787">
        <v>407</v>
      </c>
      <c r="H3787" t="s">
        <v>38</v>
      </c>
      <c r="I3787" t="s">
        <v>39</v>
      </c>
      <c r="J3787" t="s">
        <v>5447</v>
      </c>
      <c r="K3787" t="s">
        <v>38</v>
      </c>
      <c r="L3787" t="s">
        <v>38</v>
      </c>
      <c r="M3787" t="s">
        <v>38</v>
      </c>
      <c r="N3787" t="s">
        <v>38</v>
      </c>
      <c r="O3787" t="s">
        <v>57</v>
      </c>
      <c r="P3787" t="s">
        <v>42</v>
      </c>
      <c r="Q3787" t="s">
        <v>43</v>
      </c>
      <c r="R3787" t="s">
        <v>3997</v>
      </c>
      <c r="S3787" t="s">
        <v>45</v>
      </c>
      <c r="T3787" t="s">
        <v>38</v>
      </c>
      <c r="U3787" t="s">
        <v>38</v>
      </c>
      <c r="V3787" t="s">
        <v>270</v>
      </c>
      <c r="W3787" t="s">
        <v>38</v>
      </c>
      <c r="X3787" t="s">
        <v>38</v>
      </c>
      <c r="Y3787" t="s">
        <v>5472</v>
      </c>
      <c r="Z3787" t="s">
        <v>42</v>
      </c>
      <c r="AA3787" t="s">
        <v>3997</v>
      </c>
      <c r="AB3787" t="s">
        <v>38</v>
      </c>
      <c r="AC3787" t="s">
        <v>45</v>
      </c>
      <c r="AD3787" t="s">
        <v>48</v>
      </c>
      <c r="AG3787" t="str">
        <f>IF(AD3787="United States", IFERROR(INDEX(Sheet2!$C:$C, MATCH(AE3787&amp;AF3787, Sheet2!$E:$E, 0)) &amp; ", " &amp; INDEX(Sheet2!$D:$D, MATCH(AE3787&amp;AF3787, Sheet2!$E:$E, 0)), ""), "-")</f>
        <v/>
      </c>
    </row>
    <row r="3788" spans="1:33" x14ac:dyDescent="0.25">
      <c r="A3788" t="s">
        <v>5426</v>
      </c>
      <c r="B3788" t="s">
        <v>5526</v>
      </c>
      <c r="C3788" t="s">
        <v>5452</v>
      </c>
      <c r="D3788" t="s">
        <v>36</v>
      </c>
      <c r="E3788" t="s">
        <v>42</v>
      </c>
      <c r="F3788">
        <v>1769</v>
      </c>
      <c r="G3788">
        <v>408</v>
      </c>
      <c r="H3788" t="s">
        <v>298</v>
      </c>
      <c r="I3788" t="s">
        <v>39</v>
      </c>
      <c r="J3788" t="s">
        <v>5447</v>
      </c>
      <c r="K3788" t="s">
        <v>38</v>
      </c>
      <c r="L3788" t="s">
        <v>38</v>
      </c>
      <c r="M3788" t="s">
        <v>38</v>
      </c>
      <c r="N3788" t="s">
        <v>38</v>
      </c>
      <c r="O3788" t="s">
        <v>54</v>
      </c>
      <c r="P3788" t="s">
        <v>42</v>
      </c>
      <c r="Q3788" t="s">
        <v>43</v>
      </c>
      <c r="R3788" t="s">
        <v>89</v>
      </c>
      <c r="S3788" t="s">
        <v>45</v>
      </c>
      <c r="T3788" t="s">
        <v>89</v>
      </c>
      <c r="U3788" t="s">
        <v>508</v>
      </c>
      <c r="V3788" t="s">
        <v>270</v>
      </c>
      <c r="W3788" t="s">
        <v>92</v>
      </c>
      <c r="X3788" t="s">
        <v>93</v>
      </c>
      <c r="Y3788" t="s">
        <v>5472</v>
      </c>
      <c r="Z3788" t="s">
        <v>42</v>
      </c>
      <c r="AA3788" t="s">
        <v>3997</v>
      </c>
      <c r="AB3788" t="s">
        <v>38</v>
      </c>
      <c r="AC3788" t="s">
        <v>45</v>
      </c>
      <c r="AD3788" t="s">
        <v>48</v>
      </c>
      <c r="AG3788" t="str">
        <f>IF(AD3788="United States", IFERROR(INDEX(Sheet2!$C:$C, MATCH(AE3788&amp;AF3788, Sheet2!$E:$E, 0)) &amp; ", " &amp; INDEX(Sheet2!$D:$D, MATCH(AE3788&amp;AF3788, Sheet2!$E:$E, 0)), ""), "-")</f>
        <v/>
      </c>
    </row>
    <row r="3789" spans="1:33" x14ac:dyDescent="0.25">
      <c r="A3789" t="s">
        <v>5426</v>
      </c>
      <c r="B3789" t="s">
        <v>5527</v>
      </c>
      <c r="C3789" t="s">
        <v>5452</v>
      </c>
      <c r="D3789" t="s">
        <v>106</v>
      </c>
      <c r="E3789" t="s">
        <v>38</v>
      </c>
      <c r="F3789">
        <v>1753</v>
      </c>
      <c r="G3789">
        <v>409</v>
      </c>
      <c r="H3789" t="s">
        <v>298</v>
      </c>
      <c r="I3789" t="s">
        <v>39</v>
      </c>
      <c r="J3789" t="s">
        <v>5447</v>
      </c>
      <c r="K3789" t="s">
        <v>38</v>
      </c>
      <c r="L3789" t="s">
        <v>38</v>
      </c>
      <c r="M3789" t="s">
        <v>38</v>
      </c>
      <c r="N3789" t="s">
        <v>38</v>
      </c>
      <c r="O3789" t="s">
        <v>41</v>
      </c>
      <c r="P3789" t="s">
        <v>42</v>
      </c>
      <c r="Q3789" t="s">
        <v>43</v>
      </c>
      <c r="R3789" t="s">
        <v>89</v>
      </c>
      <c r="S3789" t="s">
        <v>45</v>
      </c>
      <c r="T3789" t="s">
        <v>89</v>
      </c>
      <c r="U3789" t="s">
        <v>508</v>
      </c>
      <c r="V3789" t="s">
        <v>270</v>
      </c>
      <c r="W3789" t="s">
        <v>92</v>
      </c>
      <c r="X3789" t="s">
        <v>93</v>
      </c>
      <c r="Y3789" t="s">
        <v>5528</v>
      </c>
      <c r="Z3789" t="s">
        <v>42</v>
      </c>
      <c r="AA3789" t="s">
        <v>38</v>
      </c>
      <c r="AB3789" t="s">
        <v>38</v>
      </c>
      <c r="AC3789" t="s">
        <v>45</v>
      </c>
      <c r="AD3789" t="s">
        <v>48</v>
      </c>
      <c r="AG3789" t="str">
        <f>IF(AD3789="United States", IFERROR(INDEX(Sheet2!$C:$C, MATCH(AE3789&amp;AF3789, Sheet2!$E:$E, 0)) &amp; ", " &amp; INDEX(Sheet2!$D:$D, MATCH(AE3789&amp;AF3789, Sheet2!$E:$E, 0)), ""), "-")</f>
        <v/>
      </c>
    </row>
    <row r="3790" spans="1:33" x14ac:dyDescent="0.25">
      <c r="A3790" t="s">
        <v>5426</v>
      </c>
      <c r="B3790" t="s">
        <v>5529</v>
      </c>
      <c r="C3790" t="s">
        <v>5428</v>
      </c>
      <c r="D3790" t="s">
        <v>1954</v>
      </c>
      <c r="E3790" t="s">
        <v>38</v>
      </c>
      <c r="F3790">
        <v>1781</v>
      </c>
      <c r="G3790">
        <v>2011</v>
      </c>
      <c r="H3790" t="s">
        <v>38</v>
      </c>
      <c r="I3790" t="s">
        <v>80</v>
      </c>
      <c r="J3790" t="s">
        <v>1377</v>
      </c>
      <c r="K3790" t="s">
        <v>38</v>
      </c>
      <c r="L3790" t="s">
        <v>38</v>
      </c>
      <c r="M3790" t="s">
        <v>38</v>
      </c>
      <c r="N3790" t="s">
        <v>38</v>
      </c>
      <c r="O3790" t="s">
        <v>74</v>
      </c>
      <c r="P3790" t="s">
        <v>42</v>
      </c>
      <c r="Q3790" t="s">
        <v>43</v>
      </c>
      <c r="R3790" t="s">
        <v>38</v>
      </c>
      <c r="S3790" t="s">
        <v>38</v>
      </c>
      <c r="T3790" t="s">
        <v>38</v>
      </c>
      <c r="U3790" t="s">
        <v>38</v>
      </c>
      <c r="V3790" t="s">
        <v>91</v>
      </c>
      <c r="W3790" t="s">
        <v>38</v>
      </c>
      <c r="X3790" t="s">
        <v>38</v>
      </c>
      <c r="Y3790" t="s">
        <v>5530</v>
      </c>
      <c r="Z3790" t="s">
        <v>42</v>
      </c>
      <c r="AA3790" t="s">
        <v>38</v>
      </c>
      <c r="AB3790" t="s">
        <v>38</v>
      </c>
      <c r="AC3790" t="s">
        <v>38</v>
      </c>
      <c r="AD3790" t="s">
        <v>48</v>
      </c>
      <c r="AG3790" t="str">
        <f>IF(AD3790="United States", IFERROR(INDEX(Sheet2!$C:$C, MATCH(AE3790&amp;AF3790, Sheet2!$E:$E, 0)) &amp; ", " &amp; INDEX(Sheet2!$D:$D, MATCH(AE3790&amp;AF3790, Sheet2!$E:$E, 0)), ""), "-")</f>
        <v/>
      </c>
    </row>
    <row r="3791" spans="1:33" x14ac:dyDescent="0.25">
      <c r="A3791" t="s">
        <v>1672</v>
      </c>
      <c r="B3791" t="s">
        <v>5531</v>
      </c>
      <c r="C3791" t="s">
        <v>5532</v>
      </c>
      <c r="D3791" t="s">
        <v>210</v>
      </c>
      <c r="E3791" t="s">
        <v>710</v>
      </c>
      <c r="F3791">
        <v>1765</v>
      </c>
      <c r="G3791">
        <v>27</v>
      </c>
      <c r="H3791" t="s">
        <v>506</v>
      </c>
      <c r="I3791" t="s">
        <v>39</v>
      </c>
      <c r="J3791" t="s">
        <v>5533</v>
      </c>
      <c r="K3791" t="s">
        <v>38</v>
      </c>
      <c r="L3791" t="s">
        <v>38</v>
      </c>
      <c r="M3791" t="s">
        <v>38</v>
      </c>
      <c r="N3791" t="s">
        <v>38</v>
      </c>
      <c r="O3791" t="s">
        <v>41</v>
      </c>
      <c r="P3791" t="s">
        <v>42</v>
      </c>
      <c r="Q3791" t="s">
        <v>43</v>
      </c>
      <c r="R3791" t="s">
        <v>89</v>
      </c>
      <c r="S3791" t="s">
        <v>153</v>
      </c>
      <c r="T3791" t="s">
        <v>89</v>
      </c>
      <c r="U3791" t="s">
        <v>508</v>
      </c>
      <c r="V3791" t="s">
        <v>91</v>
      </c>
      <c r="W3791" t="s">
        <v>92</v>
      </c>
      <c r="X3791" t="s">
        <v>93</v>
      </c>
      <c r="Y3791" t="s">
        <v>5534</v>
      </c>
      <c r="Z3791" t="s">
        <v>42</v>
      </c>
      <c r="AA3791" t="s">
        <v>38</v>
      </c>
      <c r="AB3791" t="s">
        <v>38</v>
      </c>
      <c r="AC3791" t="s">
        <v>153</v>
      </c>
      <c r="AD3791" t="s">
        <v>48</v>
      </c>
      <c r="AG3791" t="str">
        <f>IF(AD3791="United States", IFERROR(INDEX(Sheet2!$C:$C, MATCH(AE3791&amp;AF3791, Sheet2!$E:$E, 0)) &amp; ", " &amp; INDEX(Sheet2!$D:$D, MATCH(AE3791&amp;AF3791, Sheet2!$E:$E, 0)), ""), "-")</f>
        <v/>
      </c>
    </row>
    <row r="3792" spans="1:33" x14ac:dyDescent="0.25">
      <c r="A3792" t="s">
        <v>1672</v>
      </c>
      <c r="B3792" t="s">
        <v>5535</v>
      </c>
      <c r="C3792" t="s">
        <v>5532</v>
      </c>
      <c r="D3792" t="s">
        <v>352</v>
      </c>
      <c r="E3792" t="s">
        <v>196</v>
      </c>
      <c r="F3792">
        <v>1762</v>
      </c>
      <c r="G3792">
        <v>26</v>
      </c>
      <c r="H3792" t="s">
        <v>506</v>
      </c>
      <c r="I3792" t="s">
        <v>39</v>
      </c>
      <c r="J3792" t="s">
        <v>5533</v>
      </c>
      <c r="K3792" t="s">
        <v>38</v>
      </c>
      <c r="L3792" t="s">
        <v>38</v>
      </c>
      <c r="M3792" t="s">
        <v>38</v>
      </c>
      <c r="N3792" t="s">
        <v>38</v>
      </c>
      <c r="O3792" t="s">
        <v>57</v>
      </c>
      <c r="P3792" t="s">
        <v>42</v>
      </c>
      <c r="Q3792" t="s">
        <v>43</v>
      </c>
      <c r="R3792" t="s">
        <v>89</v>
      </c>
      <c r="S3792" t="s">
        <v>38</v>
      </c>
      <c r="T3792" t="s">
        <v>89</v>
      </c>
      <c r="U3792" t="s">
        <v>508</v>
      </c>
      <c r="V3792" t="s">
        <v>91</v>
      </c>
      <c r="W3792" t="s">
        <v>92</v>
      </c>
      <c r="X3792" t="s">
        <v>93</v>
      </c>
      <c r="Y3792" t="s">
        <v>5536</v>
      </c>
      <c r="Z3792" t="s">
        <v>42</v>
      </c>
      <c r="AA3792" t="s">
        <v>38</v>
      </c>
      <c r="AB3792" t="s">
        <v>38</v>
      </c>
      <c r="AC3792" t="s">
        <v>2504</v>
      </c>
      <c r="AD3792" t="s">
        <v>48</v>
      </c>
      <c r="AG3792" t="str">
        <f>IF(AD3792="United States", IFERROR(INDEX(Sheet2!$C:$C, MATCH(AE3792&amp;AF3792, Sheet2!$E:$E, 0)) &amp; ", " &amp; INDEX(Sheet2!$D:$D, MATCH(AE3792&amp;AF3792, Sheet2!$E:$E, 0)), ""), "-")</f>
        <v/>
      </c>
    </row>
    <row r="3793" spans="1:33" x14ac:dyDescent="0.25">
      <c r="A3793" t="s">
        <v>1672</v>
      </c>
      <c r="B3793" t="s">
        <v>5537</v>
      </c>
      <c r="C3793" t="s">
        <v>5532</v>
      </c>
      <c r="D3793" t="s">
        <v>230</v>
      </c>
      <c r="E3793" t="s">
        <v>710</v>
      </c>
      <c r="F3793">
        <v>1741</v>
      </c>
      <c r="G3793">
        <v>28</v>
      </c>
      <c r="H3793" t="s">
        <v>506</v>
      </c>
      <c r="I3793" t="s">
        <v>39</v>
      </c>
      <c r="J3793" t="s">
        <v>5533</v>
      </c>
      <c r="K3793" t="s">
        <v>38</v>
      </c>
      <c r="L3793" t="s">
        <v>38</v>
      </c>
      <c r="M3793" t="s">
        <v>38</v>
      </c>
      <c r="N3793" t="s">
        <v>38</v>
      </c>
      <c r="O3793" t="s">
        <v>41</v>
      </c>
      <c r="P3793" t="s">
        <v>42</v>
      </c>
      <c r="Q3793" t="s">
        <v>43</v>
      </c>
      <c r="R3793" t="s">
        <v>89</v>
      </c>
      <c r="S3793" t="s">
        <v>153</v>
      </c>
      <c r="T3793" t="s">
        <v>89</v>
      </c>
      <c r="U3793" t="s">
        <v>508</v>
      </c>
      <c r="V3793" t="s">
        <v>91</v>
      </c>
      <c r="W3793" t="s">
        <v>92</v>
      </c>
      <c r="X3793" t="s">
        <v>93</v>
      </c>
      <c r="Y3793" t="s">
        <v>5538</v>
      </c>
      <c r="Z3793" t="s">
        <v>42</v>
      </c>
      <c r="AA3793" t="s">
        <v>38</v>
      </c>
      <c r="AB3793" t="s">
        <v>38</v>
      </c>
      <c r="AC3793" t="s">
        <v>153</v>
      </c>
      <c r="AD3793" t="s">
        <v>48</v>
      </c>
      <c r="AG3793" t="str">
        <f>IF(AD3793="United States", IFERROR(INDEX(Sheet2!$C:$C, MATCH(AE3793&amp;AF3793, Sheet2!$E:$E, 0)) &amp; ", " &amp; INDEX(Sheet2!$D:$D, MATCH(AE3793&amp;AF3793, Sheet2!$E:$E, 0)), ""), "-")</f>
        <v/>
      </c>
    </row>
    <row r="3794" spans="1:33" x14ac:dyDescent="0.25">
      <c r="A3794" t="s">
        <v>1672</v>
      </c>
      <c r="B3794" t="s">
        <v>5539</v>
      </c>
      <c r="C3794" t="s">
        <v>5540</v>
      </c>
      <c r="D3794" t="s">
        <v>4286</v>
      </c>
      <c r="E3794" t="s">
        <v>38</v>
      </c>
      <c r="F3794">
        <v>1758</v>
      </c>
      <c r="G3794">
        <v>1170</v>
      </c>
      <c r="H3794" t="s">
        <v>2270</v>
      </c>
      <c r="I3794" t="s">
        <v>80</v>
      </c>
      <c r="J3794" t="s">
        <v>5541</v>
      </c>
      <c r="K3794" t="s">
        <v>38</v>
      </c>
      <c r="L3794" t="s">
        <v>38</v>
      </c>
      <c r="M3794" t="s">
        <v>38</v>
      </c>
      <c r="N3794" t="s">
        <v>38</v>
      </c>
      <c r="O3794" t="s">
        <v>57</v>
      </c>
      <c r="P3794" t="s">
        <v>125</v>
      </c>
      <c r="Q3794" t="s">
        <v>124</v>
      </c>
      <c r="R3794" t="s">
        <v>89</v>
      </c>
      <c r="S3794" t="s">
        <v>38</v>
      </c>
      <c r="T3794" t="s">
        <v>89</v>
      </c>
      <c r="U3794" t="s">
        <v>508</v>
      </c>
      <c r="V3794" t="s">
        <v>46</v>
      </c>
      <c r="W3794" t="s">
        <v>92</v>
      </c>
      <c r="X3794" t="s">
        <v>93</v>
      </c>
      <c r="Y3794" t="s">
        <v>5542</v>
      </c>
      <c r="Z3794" t="s">
        <v>125</v>
      </c>
      <c r="AA3794" t="s">
        <v>38</v>
      </c>
      <c r="AB3794" t="s">
        <v>38</v>
      </c>
      <c r="AC3794" t="s">
        <v>4286</v>
      </c>
      <c r="AD3794" t="s">
        <v>48</v>
      </c>
      <c r="AG3794" t="str">
        <f>IF(AD3794="United States", IFERROR(INDEX(Sheet2!$C:$C, MATCH(AE3794&amp;AF3794, Sheet2!$E:$E, 0)) &amp; ", " &amp; INDEX(Sheet2!$D:$D, MATCH(AE3794&amp;AF3794, Sheet2!$E:$E, 0)), ""), "-")</f>
        <v/>
      </c>
    </row>
    <row r="3795" spans="1:33" x14ac:dyDescent="0.25">
      <c r="A3795" t="s">
        <v>1672</v>
      </c>
      <c r="B3795" t="s">
        <v>5543</v>
      </c>
      <c r="C3795" t="s">
        <v>5532</v>
      </c>
      <c r="D3795" t="s">
        <v>621</v>
      </c>
      <c r="E3795" t="s">
        <v>5544</v>
      </c>
      <c r="F3795">
        <v>1756</v>
      </c>
      <c r="G3795">
        <v>30</v>
      </c>
      <c r="H3795" t="s">
        <v>506</v>
      </c>
      <c r="I3795" t="s">
        <v>39</v>
      </c>
      <c r="J3795" t="s">
        <v>5533</v>
      </c>
      <c r="K3795" t="s">
        <v>38</v>
      </c>
      <c r="L3795" t="s">
        <v>38</v>
      </c>
      <c r="M3795" t="s">
        <v>38</v>
      </c>
      <c r="N3795" t="s">
        <v>38</v>
      </c>
      <c r="O3795" t="s">
        <v>41</v>
      </c>
      <c r="P3795" t="s">
        <v>42</v>
      </c>
      <c r="Q3795" t="s">
        <v>43</v>
      </c>
      <c r="R3795" t="s">
        <v>89</v>
      </c>
      <c r="S3795" t="s">
        <v>38</v>
      </c>
      <c r="T3795" t="s">
        <v>89</v>
      </c>
      <c r="U3795" t="s">
        <v>508</v>
      </c>
      <c r="V3795" t="s">
        <v>91</v>
      </c>
      <c r="W3795" t="s">
        <v>92</v>
      </c>
      <c r="X3795" t="s">
        <v>93</v>
      </c>
      <c r="Y3795" t="s">
        <v>5545</v>
      </c>
      <c r="Z3795" t="s">
        <v>42</v>
      </c>
      <c r="AA3795" t="s">
        <v>38</v>
      </c>
      <c r="AB3795" t="s">
        <v>38</v>
      </c>
      <c r="AC3795" t="s">
        <v>60</v>
      </c>
      <c r="AD3795" t="s">
        <v>48</v>
      </c>
      <c r="AG3795" t="str">
        <f>IF(AD3795="United States", IFERROR(INDEX(Sheet2!$C:$C, MATCH(AE3795&amp;AF3795, Sheet2!$E:$E, 0)) &amp; ", " &amp; INDEX(Sheet2!$D:$D, MATCH(AE3795&amp;AF3795, Sheet2!$E:$E, 0)), ""), "-")</f>
        <v/>
      </c>
    </row>
    <row r="3796" spans="1:33" x14ac:dyDescent="0.25">
      <c r="A3796" t="s">
        <v>1672</v>
      </c>
      <c r="B3796" t="s">
        <v>5546</v>
      </c>
      <c r="C3796" t="s">
        <v>5532</v>
      </c>
      <c r="D3796" t="s">
        <v>1197</v>
      </c>
      <c r="E3796" t="s">
        <v>5544</v>
      </c>
      <c r="F3796">
        <v>1761</v>
      </c>
      <c r="G3796">
        <v>31</v>
      </c>
      <c r="H3796" t="s">
        <v>506</v>
      </c>
      <c r="I3796" t="s">
        <v>39</v>
      </c>
      <c r="J3796" t="s">
        <v>5533</v>
      </c>
      <c r="K3796" t="s">
        <v>38</v>
      </c>
      <c r="L3796" t="s">
        <v>38</v>
      </c>
      <c r="M3796" t="s">
        <v>38</v>
      </c>
      <c r="N3796" t="s">
        <v>38</v>
      </c>
      <c r="O3796" t="s">
        <v>74</v>
      </c>
      <c r="P3796" t="s">
        <v>42</v>
      </c>
      <c r="Q3796" t="s">
        <v>43</v>
      </c>
      <c r="R3796" t="s">
        <v>89</v>
      </c>
      <c r="S3796" t="s">
        <v>38</v>
      </c>
      <c r="T3796" t="s">
        <v>89</v>
      </c>
      <c r="U3796" t="s">
        <v>508</v>
      </c>
      <c r="V3796" t="s">
        <v>91</v>
      </c>
      <c r="W3796" t="s">
        <v>92</v>
      </c>
      <c r="X3796" t="s">
        <v>93</v>
      </c>
      <c r="Y3796" t="s">
        <v>5545</v>
      </c>
      <c r="Z3796" t="s">
        <v>42</v>
      </c>
      <c r="AA3796" t="s">
        <v>55</v>
      </c>
      <c r="AB3796" t="s">
        <v>38</v>
      </c>
      <c r="AC3796" t="s">
        <v>60</v>
      </c>
      <c r="AD3796" t="s">
        <v>48</v>
      </c>
      <c r="AG3796" t="str">
        <f>IF(AD3796="United States", IFERROR(INDEX(Sheet2!$C:$C, MATCH(AE3796&amp;AF3796, Sheet2!$E:$E, 0)) &amp; ", " &amp; INDEX(Sheet2!$D:$D, MATCH(AE3796&amp;AF3796, Sheet2!$E:$E, 0)), ""), "-")</f>
        <v/>
      </c>
    </row>
    <row r="3797" spans="1:33" x14ac:dyDescent="0.25">
      <c r="A3797" t="s">
        <v>1672</v>
      </c>
      <c r="B3797" t="s">
        <v>5547</v>
      </c>
      <c r="C3797" t="s">
        <v>5548</v>
      </c>
      <c r="D3797" t="s">
        <v>36</v>
      </c>
      <c r="E3797" t="s">
        <v>1437</v>
      </c>
      <c r="F3797">
        <v>1759</v>
      </c>
      <c r="G3797">
        <v>2034</v>
      </c>
      <c r="H3797" t="s">
        <v>1096</v>
      </c>
      <c r="I3797" t="s">
        <v>87</v>
      </c>
      <c r="J3797" t="s">
        <v>38</v>
      </c>
      <c r="K3797" t="s">
        <v>38</v>
      </c>
      <c r="L3797" t="s">
        <v>38</v>
      </c>
      <c r="M3797" t="s">
        <v>38</v>
      </c>
      <c r="N3797" t="s">
        <v>38</v>
      </c>
      <c r="O3797" t="s">
        <v>41</v>
      </c>
      <c r="P3797" t="s">
        <v>42</v>
      </c>
      <c r="Q3797" t="s">
        <v>43</v>
      </c>
      <c r="R3797" t="s">
        <v>89</v>
      </c>
      <c r="S3797" t="s">
        <v>45</v>
      </c>
      <c r="T3797" t="s">
        <v>89</v>
      </c>
      <c r="U3797" t="s">
        <v>508</v>
      </c>
      <c r="V3797" t="s">
        <v>137</v>
      </c>
      <c r="W3797" t="s">
        <v>92</v>
      </c>
      <c r="X3797" t="s">
        <v>93</v>
      </c>
      <c r="Y3797" t="s">
        <v>5549</v>
      </c>
      <c r="Z3797" t="s">
        <v>42</v>
      </c>
      <c r="AA3797" t="s">
        <v>5550</v>
      </c>
      <c r="AB3797" t="s">
        <v>45</v>
      </c>
      <c r="AC3797" t="s">
        <v>5551</v>
      </c>
      <c r="AD3797" t="s">
        <v>48</v>
      </c>
      <c r="AG3797" t="str">
        <f>IF(AD3797="United States", IFERROR(INDEX(Sheet2!$C:$C, MATCH(AE3797&amp;AF3797, Sheet2!$E:$E, 0)) &amp; ", " &amp; INDEX(Sheet2!$D:$D, MATCH(AE3797&amp;AF3797, Sheet2!$E:$E, 0)), ""), "-")</f>
        <v/>
      </c>
    </row>
    <row r="3798" spans="1:33" x14ac:dyDescent="0.25">
      <c r="A3798" t="s">
        <v>1672</v>
      </c>
      <c r="B3798" t="s">
        <v>5552</v>
      </c>
      <c r="C3798" t="s">
        <v>5548</v>
      </c>
      <c r="D3798" t="s">
        <v>132</v>
      </c>
      <c r="E3798" t="s">
        <v>5553</v>
      </c>
      <c r="F3798">
        <v>1750</v>
      </c>
      <c r="G3798">
        <v>2035</v>
      </c>
      <c r="H3798" t="s">
        <v>1096</v>
      </c>
      <c r="I3798" t="s">
        <v>87</v>
      </c>
      <c r="J3798" t="s">
        <v>38</v>
      </c>
      <c r="K3798" t="s">
        <v>38</v>
      </c>
      <c r="L3798" t="s">
        <v>38</v>
      </c>
      <c r="M3798" t="s">
        <v>38</v>
      </c>
      <c r="N3798" t="s">
        <v>38</v>
      </c>
      <c r="O3798" t="s">
        <v>41</v>
      </c>
      <c r="P3798" t="s">
        <v>42</v>
      </c>
      <c r="Q3798" t="s">
        <v>43</v>
      </c>
      <c r="R3798" t="s">
        <v>89</v>
      </c>
      <c r="S3798" t="s">
        <v>45</v>
      </c>
      <c r="T3798" t="s">
        <v>89</v>
      </c>
      <c r="U3798" t="s">
        <v>508</v>
      </c>
      <c r="V3798" t="s">
        <v>137</v>
      </c>
      <c r="W3798" t="s">
        <v>92</v>
      </c>
      <c r="X3798" t="s">
        <v>93</v>
      </c>
      <c r="Y3798" t="s">
        <v>5549</v>
      </c>
      <c r="Z3798" t="s">
        <v>42</v>
      </c>
      <c r="AA3798" t="s">
        <v>38</v>
      </c>
      <c r="AB3798" t="s">
        <v>38</v>
      </c>
      <c r="AC3798" t="s">
        <v>45</v>
      </c>
      <c r="AD3798" t="s">
        <v>48</v>
      </c>
      <c r="AG3798" t="str">
        <f>IF(AD3798="United States", IFERROR(INDEX(Sheet2!$C:$C, MATCH(AE3798&amp;AF3798, Sheet2!$E:$E, 0)) &amp; ", " &amp; INDEX(Sheet2!$D:$D, MATCH(AE3798&amp;AF3798, Sheet2!$E:$E, 0)), ""), "-")</f>
        <v/>
      </c>
    </row>
    <row r="3799" spans="1:33" x14ac:dyDescent="0.25">
      <c r="A3799" t="s">
        <v>1672</v>
      </c>
      <c r="B3799" t="s">
        <v>5554</v>
      </c>
      <c r="C3799" t="s">
        <v>5548</v>
      </c>
      <c r="D3799" t="s">
        <v>1230</v>
      </c>
      <c r="E3799" t="s">
        <v>38</v>
      </c>
      <c r="F3799">
        <v>1755</v>
      </c>
      <c r="G3799">
        <v>2036</v>
      </c>
      <c r="H3799" t="s">
        <v>1096</v>
      </c>
      <c r="I3799" t="s">
        <v>87</v>
      </c>
      <c r="J3799" t="s">
        <v>38</v>
      </c>
      <c r="K3799" t="s">
        <v>38</v>
      </c>
      <c r="L3799" t="s">
        <v>38</v>
      </c>
      <c r="M3799" t="s">
        <v>38</v>
      </c>
      <c r="N3799" t="s">
        <v>38</v>
      </c>
      <c r="O3799" t="s">
        <v>57</v>
      </c>
      <c r="P3799" t="s">
        <v>42</v>
      </c>
      <c r="Q3799" t="s">
        <v>43</v>
      </c>
      <c r="R3799" t="s">
        <v>89</v>
      </c>
      <c r="S3799" t="s">
        <v>45</v>
      </c>
      <c r="T3799" t="s">
        <v>89</v>
      </c>
      <c r="U3799" t="s">
        <v>508</v>
      </c>
      <c r="V3799" t="s">
        <v>137</v>
      </c>
      <c r="W3799" t="s">
        <v>92</v>
      </c>
      <c r="X3799" t="s">
        <v>93</v>
      </c>
      <c r="Y3799" t="s">
        <v>5549</v>
      </c>
      <c r="Z3799" t="s">
        <v>42</v>
      </c>
      <c r="AA3799" t="s">
        <v>241</v>
      </c>
      <c r="AB3799" t="s">
        <v>38</v>
      </c>
      <c r="AC3799" t="s">
        <v>45</v>
      </c>
      <c r="AD3799" t="s">
        <v>48</v>
      </c>
      <c r="AG3799" t="str">
        <f>IF(AD3799="United States", IFERROR(INDEX(Sheet2!$C:$C, MATCH(AE3799&amp;AF3799, Sheet2!$E:$E, 0)) &amp; ", " &amp; INDEX(Sheet2!$D:$D, MATCH(AE3799&amp;AF3799, Sheet2!$E:$E, 0)), ""), "-")</f>
        <v/>
      </c>
    </row>
    <row r="3800" spans="1:33" x14ac:dyDescent="0.25">
      <c r="A3800" t="s">
        <v>1672</v>
      </c>
      <c r="B3800" t="s">
        <v>5555</v>
      </c>
      <c r="C3800" t="s">
        <v>5532</v>
      </c>
      <c r="D3800" t="s">
        <v>1274</v>
      </c>
      <c r="E3800" t="s">
        <v>710</v>
      </c>
      <c r="F3800">
        <v>1741</v>
      </c>
      <c r="G3800">
        <v>29</v>
      </c>
      <c r="H3800" t="s">
        <v>506</v>
      </c>
      <c r="I3800" t="s">
        <v>39</v>
      </c>
      <c r="J3800" t="s">
        <v>5533</v>
      </c>
      <c r="K3800" t="s">
        <v>38</v>
      </c>
      <c r="L3800" t="s">
        <v>38</v>
      </c>
      <c r="M3800" t="s">
        <v>38</v>
      </c>
      <c r="N3800" t="s">
        <v>38</v>
      </c>
      <c r="O3800" t="s">
        <v>57</v>
      </c>
      <c r="P3800" t="s">
        <v>42</v>
      </c>
      <c r="Q3800" t="s">
        <v>43</v>
      </c>
      <c r="R3800" t="s">
        <v>89</v>
      </c>
      <c r="S3800" t="s">
        <v>153</v>
      </c>
      <c r="T3800" t="s">
        <v>89</v>
      </c>
      <c r="U3800" t="s">
        <v>508</v>
      </c>
      <c r="V3800" t="s">
        <v>91</v>
      </c>
      <c r="W3800" t="s">
        <v>92</v>
      </c>
      <c r="X3800" t="s">
        <v>93</v>
      </c>
      <c r="Y3800" t="s">
        <v>5556</v>
      </c>
      <c r="Z3800" t="s">
        <v>42</v>
      </c>
      <c r="AA3800" t="s">
        <v>5557</v>
      </c>
      <c r="AB3800" t="s">
        <v>38</v>
      </c>
      <c r="AC3800" t="s">
        <v>153</v>
      </c>
      <c r="AD3800" t="s">
        <v>48</v>
      </c>
      <c r="AG3800" t="str">
        <f>IF(AD3800="United States", IFERROR(INDEX(Sheet2!$C:$C, MATCH(AE3800&amp;AF3800, Sheet2!$E:$E, 0)) &amp; ", " &amp; INDEX(Sheet2!$D:$D, MATCH(AE3800&amp;AF3800, Sheet2!$E:$E, 0)), ""), "-")</f>
        <v/>
      </c>
    </row>
    <row r="3801" spans="1:33" x14ac:dyDescent="0.25">
      <c r="A3801" t="s">
        <v>1672</v>
      </c>
      <c r="B3801" t="s">
        <v>5539</v>
      </c>
      <c r="C3801" t="s">
        <v>5540</v>
      </c>
      <c r="D3801" t="s">
        <v>4286</v>
      </c>
      <c r="E3801" t="s">
        <v>38</v>
      </c>
      <c r="F3801">
        <v>1758</v>
      </c>
      <c r="G3801">
        <v>894</v>
      </c>
      <c r="H3801" t="s">
        <v>2270</v>
      </c>
      <c r="I3801" t="s">
        <v>80</v>
      </c>
      <c r="J3801" t="s">
        <v>5541</v>
      </c>
      <c r="K3801" t="s">
        <v>38</v>
      </c>
      <c r="L3801" t="s">
        <v>38</v>
      </c>
      <c r="M3801" t="s">
        <v>38</v>
      </c>
      <c r="N3801" t="s">
        <v>38</v>
      </c>
      <c r="O3801" t="s">
        <v>57</v>
      </c>
      <c r="P3801" t="s">
        <v>125</v>
      </c>
      <c r="Q3801" t="s">
        <v>124</v>
      </c>
      <c r="R3801" t="s">
        <v>89</v>
      </c>
      <c r="S3801" t="s">
        <v>38</v>
      </c>
      <c r="T3801" t="s">
        <v>89</v>
      </c>
      <c r="U3801" t="s">
        <v>508</v>
      </c>
      <c r="V3801" t="s">
        <v>46</v>
      </c>
      <c r="W3801" t="s">
        <v>92</v>
      </c>
      <c r="X3801" t="s">
        <v>93</v>
      </c>
      <c r="Y3801" t="s">
        <v>5542</v>
      </c>
      <c r="Z3801" t="s">
        <v>125</v>
      </c>
      <c r="AA3801" t="s">
        <v>38</v>
      </c>
      <c r="AB3801" t="s">
        <v>38</v>
      </c>
      <c r="AC3801" t="s">
        <v>4286</v>
      </c>
      <c r="AD3801" t="s">
        <v>48</v>
      </c>
      <c r="AG3801" t="str">
        <f>IF(AD3801="United States", IFERROR(INDEX(Sheet2!$C:$C, MATCH(AE3801&amp;AF3801, Sheet2!$E:$E, 0)) &amp; ", " &amp; INDEX(Sheet2!$D:$D, MATCH(AE3801&amp;AF3801, Sheet2!$E:$E, 0)), ""), "-")</f>
        <v/>
      </c>
    </row>
    <row r="3802" spans="1:33" x14ac:dyDescent="0.25">
      <c r="A3802" t="s">
        <v>5558</v>
      </c>
      <c r="B3802" t="s">
        <v>5559</v>
      </c>
      <c r="C3802" t="s">
        <v>5560</v>
      </c>
      <c r="D3802" t="s">
        <v>113</v>
      </c>
      <c r="E3802" t="s">
        <v>42</v>
      </c>
      <c r="F3802">
        <v>1748</v>
      </c>
      <c r="G3802">
        <v>1</v>
      </c>
      <c r="H3802" t="s">
        <v>38</v>
      </c>
      <c r="I3802" t="s">
        <v>39</v>
      </c>
      <c r="J3802" t="s">
        <v>38</v>
      </c>
      <c r="K3802" t="s">
        <v>38</v>
      </c>
      <c r="L3802" t="s">
        <v>38</v>
      </c>
      <c r="M3802" t="s">
        <v>38</v>
      </c>
      <c r="N3802" t="s">
        <v>38</v>
      </c>
      <c r="O3802" t="s">
        <v>41</v>
      </c>
      <c r="P3802" t="s">
        <v>42</v>
      </c>
      <c r="Q3802" t="s">
        <v>43</v>
      </c>
      <c r="R3802" t="s">
        <v>38</v>
      </c>
      <c r="S3802" t="s">
        <v>38</v>
      </c>
      <c r="T3802" t="s">
        <v>38</v>
      </c>
      <c r="U3802" t="s">
        <v>38</v>
      </c>
      <c r="V3802" t="s">
        <v>91</v>
      </c>
      <c r="W3802" t="s">
        <v>38</v>
      </c>
      <c r="X3802" t="s">
        <v>38</v>
      </c>
      <c r="Y3802" t="s">
        <v>5561</v>
      </c>
      <c r="Z3802" t="s">
        <v>42</v>
      </c>
      <c r="AA3802" t="s">
        <v>38</v>
      </c>
      <c r="AB3802" t="s">
        <v>38</v>
      </c>
      <c r="AC3802" t="s">
        <v>38</v>
      </c>
      <c r="AD3802" t="s">
        <v>48</v>
      </c>
      <c r="AG3802" t="str">
        <f>IF(AD3802="United States", IFERROR(INDEX(Sheet2!$C:$C, MATCH(AE3802&amp;AF3802, Sheet2!$E:$E, 0)) &amp; ", " &amp; INDEX(Sheet2!$D:$D, MATCH(AE3802&amp;AF3802, Sheet2!$E:$E, 0)), ""), "-")</f>
        <v/>
      </c>
    </row>
    <row r="3803" spans="1:33" x14ac:dyDescent="0.25">
      <c r="A3803" t="s">
        <v>5558</v>
      </c>
      <c r="B3803" t="s">
        <v>5562</v>
      </c>
      <c r="C3803" t="s">
        <v>5560</v>
      </c>
      <c r="D3803" t="s">
        <v>1876</v>
      </c>
      <c r="E3803" t="s">
        <v>38</v>
      </c>
      <c r="F3803">
        <v>1776</v>
      </c>
      <c r="G3803">
        <v>3</v>
      </c>
      <c r="H3803" t="s">
        <v>38</v>
      </c>
      <c r="I3803" t="s">
        <v>39</v>
      </c>
      <c r="J3803" t="s">
        <v>38</v>
      </c>
      <c r="K3803" t="s">
        <v>38</v>
      </c>
      <c r="L3803" t="s">
        <v>38</v>
      </c>
      <c r="M3803" t="s">
        <v>38</v>
      </c>
      <c r="N3803" t="s">
        <v>38</v>
      </c>
      <c r="O3803" t="s">
        <v>54</v>
      </c>
      <c r="P3803" t="s">
        <v>42</v>
      </c>
      <c r="Q3803" t="s">
        <v>43</v>
      </c>
      <c r="R3803" t="s">
        <v>38</v>
      </c>
      <c r="S3803" t="s">
        <v>38</v>
      </c>
      <c r="T3803" t="s">
        <v>38</v>
      </c>
      <c r="U3803" t="s">
        <v>38</v>
      </c>
      <c r="V3803" t="s">
        <v>91</v>
      </c>
      <c r="W3803" t="s">
        <v>38</v>
      </c>
      <c r="X3803" t="s">
        <v>38</v>
      </c>
      <c r="Y3803" t="s">
        <v>38</v>
      </c>
      <c r="Z3803" t="s">
        <v>42</v>
      </c>
      <c r="AA3803" t="s">
        <v>38</v>
      </c>
      <c r="AB3803" t="s">
        <v>38</v>
      </c>
      <c r="AC3803" t="s">
        <v>38</v>
      </c>
      <c r="AD3803" t="s">
        <v>48</v>
      </c>
      <c r="AG3803" t="str">
        <f>IF(AD3803="United States", IFERROR(INDEX(Sheet2!$C:$C, MATCH(AE3803&amp;AF3803, Sheet2!$E:$E, 0)) &amp; ", " &amp; INDEX(Sheet2!$D:$D, MATCH(AE3803&amp;AF3803, Sheet2!$E:$E, 0)), ""), "-")</f>
        <v/>
      </c>
    </row>
    <row r="3804" spans="1:33" x14ac:dyDescent="0.25">
      <c r="A3804" t="s">
        <v>5558</v>
      </c>
      <c r="B3804" t="s">
        <v>5563</v>
      </c>
      <c r="C3804" t="s">
        <v>5560</v>
      </c>
      <c r="D3804" t="s">
        <v>162</v>
      </c>
      <c r="E3804" t="s">
        <v>38</v>
      </c>
      <c r="F3804">
        <v>1778</v>
      </c>
      <c r="G3804">
        <v>4</v>
      </c>
      <c r="H3804" t="s">
        <v>38</v>
      </c>
      <c r="I3804" t="s">
        <v>39</v>
      </c>
      <c r="J3804" t="s">
        <v>38</v>
      </c>
      <c r="K3804" t="s">
        <v>38</v>
      </c>
      <c r="L3804" t="s">
        <v>38</v>
      </c>
      <c r="M3804" t="s">
        <v>38</v>
      </c>
      <c r="N3804" t="s">
        <v>38</v>
      </c>
      <c r="O3804" t="s">
        <v>54</v>
      </c>
      <c r="P3804" t="s">
        <v>42</v>
      </c>
      <c r="Q3804" t="s">
        <v>43</v>
      </c>
      <c r="R3804" t="s">
        <v>38</v>
      </c>
      <c r="S3804" t="s">
        <v>38</v>
      </c>
      <c r="T3804" t="s">
        <v>38</v>
      </c>
      <c r="U3804" t="s">
        <v>38</v>
      </c>
      <c r="V3804" t="s">
        <v>91</v>
      </c>
      <c r="W3804" t="s">
        <v>38</v>
      </c>
      <c r="X3804" t="s">
        <v>38</v>
      </c>
      <c r="Y3804" t="s">
        <v>5564</v>
      </c>
      <c r="Z3804" t="s">
        <v>42</v>
      </c>
      <c r="AA3804" t="s">
        <v>38</v>
      </c>
      <c r="AB3804" t="s">
        <v>38</v>
      </c>
      <c r="AC3804" t="s">
        <v>38</v>
      </c>
      <c r="AD3804" t="s">
        <v>48</v>
      </c>
      <c r="AG3804" t="str">
        <f>IF(AD3804="United States", IFERROR(INDEX(Sheet2!$C:$C, MATCH(AE3804&amp;AF3804, Sheet2!$E:$E, 0)) &amp; ", " &amp; INDEX(Sheet2!$D:$D, MATCH(AE3804&amp;AF3804, Sheet2!$E:$E, 0)), ""), "-")</f>
        <v/>
      </c>
    </row>
    <row r="3805" spans="1:33" x14ac:dyDescent="0.25">
      <c r="A3805" t="s">
        <v>5558</v>
      </c>
      <c r="B3805" t="s">
        <v>5565</v>
      </c>
      <c r="C3805" t="s">
        <v>5560</v>
      </c>
      <c r="D3805" t="s">
        <v>129</v>
      </c>
      <c r="E3805" t="s">
        <v>42</v>
      </c>
      <c r="F3805">
        <v>1758</v>
      </c>
      <c r="G3805">
        <v>2</v>
      </c>
      <c r="H3805" t="s">
        <v>38</v>
      </c>
      <c r="I3805" t="s">
        <v>39</v>
      </c>
      <c r="J3805" t="s">
        <v>38</v>
      </c>
      <c r="K3805" t="s">
        <v>38</v>
      </c>
      <c r="L3805" t="s">
        <v>38</v>
      </c>
      <c r="M3805" t="s">
        <v>38</v>
      </c>
      <c r="N3805" t="s">
        <v>38</v>
      </c>
      <c r="O3805" t="s">
        <v>41</v>
      </c>
      <c r="P3805" t="s">
        <v>42</v>
      </c>
      <c r="Q3805" t="s">
        <v>43</v>
      </c>
      <c r="R3805" t="s">
        <v>38</v>
      </c>
      <c r="S3805" t="s">
        <v>38</v>
      </c>
      <c r="T3805" t="s">
        <v>38</v>
      </c>
      <c r="U3805" t="s">
        <v>38</v>
      </c>
      <c r="V3805" t="s">
        <v>91</v>
      </c>
      <c r="W3805" t="s">
        <v>38</v>
      </c>
      <c r="X3805" t="s">
        <v>38</v>
      </c>
      <c r="Y3805" t="s">
        <v>5566</v>
      </c>
      <c r="Z3805" t="s">
        <v>42</v>
      </c>
      <c r="AA3805" t="s">
        <v>38</v>
      </c>
      <c r="AB3805" t="s">
        <v>38</v>
      </c>
      <c r="AC3805" t="s">
        <v>38</v>
      </c>
      <c r="AD3805" t="s">
        <v>48</v>
      </c>
      <c r="AG3805" t="str">
        <f>IF(AD3805="United States", IFERROR(INDEX(Sheet2!$C:$C, MATCH(AE3805&amp;AF3805, Sheet2!$E:$E, 0)) &amp; ", " &amp; INDEX(Sheet2!$D:$D, MATCH(AE3805&amp;AF3805, Sheet2!$E:$E, 0)), ""), "-")</f>
        <v/>
      </c>
    </row>
    <row r="3806" spans="1:33" x14ac:dyDescent="0.25">
      <c r="A3806" t="s">
        <v>575</v>
      </c>
      <c r="B3806" t="s">
        <v>5567</v>
      </c>
      <c r="C3806" t="s">
        <v>5568</v>
      </c>
      <c r="D3806" t="s">
        <v>2148</v>
      </c>
      <c r="E3806" t="s">
        <v>5569</v>
      </c>
      <c r="F3806" t="s">
        <v>38</v>
      </c>
      <c r="G3806">
        <v>2736</v>
      </c>
      <c r="I3806" t="s">
        <v>87</v>
      </c>
      <c r="J3806" t="s">
        <v>5570</v>
      </c>
      <c r="O3806" t="s">
        <v>41</v>
      </c>
      <c r="P3806" t="s">
        <v>42</v>
      </c>
      <c r="Q3806" t="s">
        <v>43</v>
      </c>
      <c r="V3806" t="s">
        <v>597</v>
      </c>
      <c r="Y3806" t="s">
        <v>38</v>
      </c>
      <c r="Z3806" t="s">
        <v>42</v>
      </c>
      <c r="AA3806" t="s">
        <v>38</v>
      </c>
      <c r="AB3806" t="s">
        <v>38</v>
      </c>
      <c r="AC3806" t="s">
        <v>38</v>
      </c>
      <c r="AD3806" t="s">
        <v>48</v>
      </c>
      <c r="AG3806" t="str">
        <f>IF(AD3806="United States", IFERROR(INDEX(Sheet2!$C:$C, MATCH(AE3806&amp;AF3806, Sheet2!$E:$E, 0)) &amp; ", " &amp; INDEX(Sheet2!$D:$D, MATCH(AE3806&amp;AF3806, Sheet2!$E:$E, 0)), ""), "-")</f>
        <v/>
      </c>
    </row>
    <row r="3807" spans="1:33" x14ac:dyDescent="0.25">
      <c r="A3807" t="s">
        <v>575</v>
      </c>
      <c r="B3807" t="s">
        <v>5571</v>
      </c>
      <c r="C3807" t="s">
        <v>5572</v>
      </c>
      <c r="D3807" t="s">
        <v>361</v>
      </c>
      <c r="E3807" t="s">
        <v>1672</v>
      </c>
      <c r="F3807">
        <v>1749</v>
      </c>
      <c r="G3807">
        <v>301</v>
      </c>
      <c r="H3807" t="s">
        <v>435</v>
      </c>
      <c r="I3807" t="s">
        <v>39</v>
      </c>
      <c r="J3807" t="s">
        <v>5570</v>
      </c>
      <c r="K3807" t="s">
        <v>38</v>
      </c>
      <c r="L3807" t="s">
        <v>38</v>
      </c>
      <c r="M3807" t="s">
        <v>38</v>
      </c>
      <c r="N3807" t="s">
        <v>38</v>
      </c>
      <c r="O3807" t="s">
        <v>41</v>
      </c>
      <c r="P3807" t="s">
        <v>42</v>
      </c>
      <c r="Q3807" t="s">
        <v>43</v>
      </c>
      <c r="R3807" t="s">
        <v>38</v>
      </c>
      <c r="S3807" t="s">
        <v>38</v>
      </c>
      <c r="T3807" t="s">
        <v>38</v>
      </c>
      <c r="U3807" t="s">
        <v>38</v>
      </c>
      <c r="V3807" t="s">
        <v>137</v>
      </c>
      <c r="W3807" t="s">
        <v>92</v>
      </c>
      <c r="X3807" t="s">
        <v>38</v>
      </c>
      <c r="Y3807" t="s">
        <v>38</v>
      </c>
      <c r="Z3807" t="s">
        <v>42</v>
      </c>
      <c r="AA3807" t="s">
        <v>38</v>
      </c>
      <c r="AB3807" t="s">
        <v>38</v>
      </c>
      <c r="AC3807" t="s">
        <v>38</v>
      </c>
      <c r="AD3807" t="s">
        <v>48</v>
      </c>
      <c r="AG3807" t="str">
        <f>IF(AD3807="United States", IFERROR(INDEX(Sheet2!$C:$C, MATCH(AE3807&amp;AF3807, Sheet2!$E:$E, 0)) &amp; ", " &amp; INDEX(Sheet2!$D:$D, MATCH(AE3807&amp;AF3807, Sheet2!$E:$E, 0)), ""), "-")</f>
        <v/>
      </c>
    </row>
    <row r="3808" spans="1:33" x14ac:dyDescent="0.25">
      <c r="A3808" t="s">
        <v>575</v>
      </c>
      <c r="B3808" t="s">
        <v>5573</v>
      </c>
      <c r="C3808" t="s">
        <v>5572</v>
      </c>
      <c r="D3808" t="s">
        <v>101</v>
      </c>
      <c r="E3808" t="s">
        <v>5079</v>
      </c>
      <c r="F3808">
        <v>1730</v>
      </c>
      <c r="G3808">
        <v>302</v>
      </c>
      <c r="H3808" t="s">
        <v>38</v>
      </c>
      <c r="I3808" t="s">
        <v>39</v>
      </c>
      <c r="J3808" t="s">
        <v>5570</v>
      </c>
      <c r="K3808" t="s">
        <v>38</v>
      </c>
      <c r="L3808" t="s">
        <v>38</v>
      </c>
      <c r="M3808" t="s">
        <v>38</v>
      </c>
      <c r="N3808" t="s">
        <v>38</v>
      </c>
      <c r="O3808" t="s">
        <v>41</v>
      </c>
      <c r="P3808" t="s">
        <v>123</v>
      </c>
      <c r="Q3808" t="s">
        <v>124</v>
      </c>
      <c r="R3808" t="s">
        <v>38</v>
      </c>
      <c r="S3808" t="s">
        <v>38</v>
      </c>
      <c r="T3808" t="s">
        <v>38</v>
      </c>
      <c r="U3808" t="s">
        <v>38</v>
      </c>
      <c r="V3808" t="s">
        <v>137</v>
      </c>
      <c r="W3808" t="s">
        <v>38</v>
      </c>
      <c r="X3808" t="s">
        <v>38</v>
      </c>
      <c r="Y3808" t="s">
        <v>5574</v>
      </c>
      <c r="Z3808" t="s">
        <v>125</v>
      </c>
      <c r="AA3808" t="s">
        <v>38</v>
      </c>
      <c r="AB3808" t="s">
        <v>38</v>
      </c>
      <c r="AC3808" t="s">
        <v>38</v>
      </c>
      <c r="AD3808" t="s">
        <v>48</v>
      </c>
      <c r="AG3808" t="str">
        <f>IF(AD3808="United States", IFERROR(INDEX(Sheet2!$C:$C, MATCH(AE3808&amp;AF3808, Sheet2!$E:$E, 0)) &amp; ", " &amp; INDEX(Sheet2!$D:$D, MATCH(AE3808&amp;AF3808, Sheet2!$E:$E, 0)), ""), "-")</f>
        <v/>
      </c>
    </row>
    <row r="3809" spans="1:33" x14ac:dyDescent="0.25">
      <c r="A3809" t="s">
        <v>575</v>
      </c>
      <c r="B3809" t="s">
        <v>5575</v>
      </c>
      <c r="C3809" t="s">
        <v>5572</v>
      </c>
      <c r="D3809" t="s">
        <v>210</v>
      </c>
      <c r="E3809" t="s">
        <v>3227</v>
      </c>
      <c r="F3809">
        <v>1756</v>
      </c>
      <c r="G3809">
        <v>303</v>
      </c>
      <c r="H3809" t="s">
        <v>435</v>
      </c>
      <c r="I3809" t="s">
        <v>39</v>
      </c>
      <c r="J3809" t="s">
        <v>5570</v>
      </c>
      <c r="K3809" t="s">
        <v>38</v>
      </c>
      <c r="L3809" t="s">
        <v>38</v>
      </c>
      <c r="M3809" t="s">
        <v>38</v>
      </c>
      <c r="N3809" t="s">
        <v>38</v>
      </c>
      <c r="O3809" t="s">
        <v>41</v>
      </c>
      <c r="P3809" t="s">
        <v>125</v>
      </c>
      <c r="Q3809" t="s">
        <v>124</v>
      </c>
      <c r="R3809" t="s">
        <v>241</v>
      </c>
      <c r="S3809" t="s">
        <v>45</v>
      </c>
      <c r="T3809" t="s">
        <v>38</v>
      </c>
      <c r="U3809" t="s">
        <v>38</v>
      </c>
      <c r="V3809" t="s">
        <v>137</v>
      </c>
      <c r="W3809" t="s">
        <v>92</v>
      </c>
      <c r="X3809" t="s">
        <v>38</v>
      </c>
      <c r="Y3809" t="s">
        <v>5576</v>
      </c>
      <c r="Z3809" t="s">
        <v>125</v>
      </c>
      <c r="AA3809" t="s">
        <v>241</v>
      </c>
      <c r="AB3809" t="s">
        <v>38</v>
      </c>
      <c r="AC3809" t="s">
        <v>45</v>
      </c>
      <c r="AD3809" t="s">
        <v>48</v>
      </c>
      <c r="AG3809" t="str">
        <f>IF(AD3809="United States", IFERROR(INDEX(Sheet2!$C:$C, MATCH(AE3809&amp;AF3809, Sheet2!$E:$E, 0)) &amp; ", " &amp; INDEX(Sheet2!$D:$D, MATCH(AE3809&amp;AF3809, Sheet2!$E:$E, 0)), ""), "-")</f>
        <v/>
      </c>
    </row>
    <row r="3810" spans="1:33" x14ac:dyDescent="0.25">
      <c r="A3810" t="s">
        <v>575</v>
      </c>
      <c r="B3810" t="s">
        <v>5577</v>
      </c>
      <c r="C3810" t="s">
        <v>5572</v>
      </c>
      <c r="D3810" t="s">
        <v>2194</v>
      </c>
      <c r="E3810" t="s">
        <v>2962</v>
      </c>
      <c r="F3810">
        <v>1781</v>
      </c>
      <c r="G3810">
        <v>305</v>
      </c>
      <c r="H3810" t="s">
        <v>435</v>
      </c>
      <c r="I3810" t="s">
        <v>39</v>
      </c>
      <c r="J3810" t="s">
        <v>5570</v>
      </c>
      <c r="K3810" t="s">
        <v>38</v>
      </c>
      <c r="L3810" t="s">
        <v>38</v>
      </c>
      <c r="M3810" t="s">
        <v>38</v>
      </c>
      <c r="N3810" t="s">
        <v>38</v>
      </c>
      <c r="O3810" t="s">
        <v>54</v>
      </c>
      <c r="P3810" t="s">
        <v>125</v>
      </c>
      <c r="Q3810" t="s">
        <v>124</v>
      </c>
      <c r="R3810" t="s">
        <v>38</v>
      </c>
      <c r="S3810" t="s">
        <v>38</v>
      </c>
      <c r="T3810" t="s">
        <v>38</v>
      </c>
      <c r="U3810" t="s">
        <v>38</v>
      </c>
      <c r="V3810" t="s">
        <v>137</v>
      </c>
      <c r="W3810" t="s">
        <v>92</v>
      </c>
      <c r="X3810" t="s">
        <v>38</v>
      </c>
      <c r="Y3810" t="s">
        <v>5578</v>
      </c>
      <c r="Z3810" t="s">
        <v>125</v>
      </c>
      <c r="AA3810" t="s">
        <v>38</v>
      </c>
      <c r="AB3810" t="s">
        <v>38</v>
      </c>
      <c r="AC3810" t="s">
        <v>38</v>
      </c>
      <c r="AD3810" t="s">
        <v>48</v>
      </c>
      <c r="AG3810" t="str">
        <f>IF(AD3810="United States", IFERROR(INDEX(Sheet2!$C:$C, MATCH(AE3810&amp;AF3810, Sheet2!$E:$E, 0)) &amp; ", " &amp; INDEX(Sheet2!$D:$D, MATCH(AE3810&amp;AF3810, Sheet2!$E:$E, 0)), ""), "-")</f>
        <v/>
      </c>
    </row>
    <row r="3811" spans="1:33" x14ac:dyDescent="0.25">
      <c r="A3811" t="s">
        <v>575</v>
      </c>
      <c r="B3811" t="s">
        <v>5579</v>
      </c>
      <c r="C3811" t="s">
        <v>5580</v>
      </c>
      <c r="D3811" t="s">
        <v>36</v>
      </c>
      <c r="E3811" t="s">
        <v>268</v>
      </c>
      <c r="F3811">
        <v>1760</v>
      </c>
      <c r="G3811">
        <v>1204</v>
      </c>
      <c r="H3811" t="s">
        <v>2270</v>
      </c>
      <c r="I3811" t="s">
        <v>80</v>
      </c>
      <c r="J3811" t="s">
        <v>5570</v>
      </c>
      <c r="K3811" t="s">
        <v>38</v>
      </c>
      <c r="L3811" t="s">
        <v>38</v>
      </c>
      <c r="M3811" t="s">
        <v>38</v>
      </c>
      <c r="N3811" t="s">
        <v>38</v>
      </c>
      <c r="O3811" t="s">
        <v>41</v>
      </c>
      <c r="P3811" t="s">
        <v>42</v>
      </c>
      <c r="Q3811" t="s">
        <v>43</v>
      </c>
      <c r="R3811" t="s">
        <v>38</v>
      </c>
      <c r="S3811" t="s">
        <v>286</v>
      </c>
      <c r="T3811" t="s">
        <v>38</v>
      </c>
      <c r="U3811" t="s">
        <v>38</v>
      </c>
      <c r="V3811" t="s">
        <v>137</v>
      </c>
      <c r="W3811" t="s">
        <v>92</v>
      </c>
      <c r="X3811" t="s">
        <v>38</v>
      </c>
      <c r="Y3811" t="s">
        <v>5581</v>
      </c>
      <c r="Z3811" t="s">
        <v>42</v>
      </c>
      <c r="AA3811" t="s">
        <v>1867</v>
      </c>
      <c r="AB3811" t="s">
        <v>38</v>
      </c>
      <c r="AC3811" t="s">
        <v>286</v>
      </c>
      <c r="AD3811" t="s">
        <v>48</v>
      </c>
      <c r="AG3811" t="str">
        <f>IF(AD3811="United States", IFERROR(INDEX(Sheet2!$C:$C, MATCH(AE3811&amp;AF3811, Sheet2!$E:$E, 0)) &amp; ", " &amp; INDEX(Sheet2!$D:$D, MATCH(AE3811&amp;AF3811, Sheet2!$E:$E, 0)), ""), "-")</f>
        <v/>
      </c>
    </row>
    <row r="3812" spans="1:33" x14ac:dyDescent="0.25">
      <c r="A3812" t="s">
        <v>575</v>
      </c>
      <c r="B3812" t="s">
        <v>5582</v>
      </c>
      <c r="C3812" t="s">
        <v>5580</v>
      </c>
      <c r="D3812" t="s">
        <v>210</v>
      </c>
      <c r="E3812" t="s">
        <v>5237</v>
      </c>
      <c r="F3812">
        <v>1759</v>
      </c>
      <c r="G3812">
        <v>1203</v>
      </c>
      <c r="H3812" t="s">
        <v>435</v>
      </c>
      <c r="I3812" t="s">
        <v>80</v>
      </c>
      <c r="J3812" t="s">
        <v>5570</v>
      </c>
      <c r="K3812" t="s">
        <v>38</v>
      </c>
      <c r="L3812" t="s">
        <v>38</v>
      </c>
      <c r="M3812" t="s">
        <v>38</v>
      </c>
      <c r="N3812" t="s">
        <v>38</v>
      </c>
      <c r="O3812" t="s">
        <v>41</v>
      </c>
      <c r="P3812" t="s">
        <v>42</v>
      </c>
      <c r="Q3812" t="s">
        <v>43</v>
      </c>
      <c r="R3812" t="s">
        <v>38</v>
      </c>
      <c r="S3812" t="s">
        <v>89</v>
      </c>
      <c r="T3812" t="s">
        <v>38</v>
      </c>
      <c r="U3812" t="s">
        <v>38</v>
      </c>
      <c r="V3812" t="s">
        <v>137</v>
      </c>
      <c r="W3812" t="s">
        <v>92</v>
      </c>
      <c r="X3812" t="s">
        <v>38</v>
      </c>
      <c r="Y3812" t="s">
        <v>5583</v>
      </c>
      <c r="Z3812" t="s">
        <v>42</v>
      </c>
      <c r="AA3812" t="s">
        <v>38</v>
      </c>
      <c r="AB3812" t="s">
        <v>38</v>
      </c>
      <c r="AC3812" t="s">
        <v>89</v>
      </c>
      <c r="AD3812" t="s">
        <v>48</v>
      </c>
      <c r="AG3812" t="str">
        <f>IF(AD3812="United States", IFERROR(INDEX(Sheet2!$C:$C, MATCH(AE3812&amp;AF3812, Sheet2!$E:$E, 0)) &amp; ", " &amp; INDEX(Sheet2!$D:$D, MATCH(AE3812&amp;AF3812, Sheet2!$E:$E, 0)), ""), "-")</f>
        <v/>
      </c>
    </row>
    <row r="3813" spans="1:33" x14ac:dyDescent="0.25">
      <c r="A3813" t="s">
        <v>575</v>
      </c>
      <c r="B3813" t="s">
        <v>5584</v>
      </c>
      <c r="C3813" t="s">
        <v>5580</v>
      </c>
      <c r="D3813" t="s">
        <v>200</v>
      </c>
      <c r="E3813" t="s">
        <v>37</v>
      </c>
      <c r="F3813">
        <v>1765</v>
      </c>
      <c r="G3813">
        <v>1202</v>
      </c>
      <c r="H3813" t="s">
        <v>2270</v>
      </c>
      <c r="I3813" t="s">
        <v>80</v>
      </c>
      <c r="J3813" t="s">
        <v>5570</v>
      </c>
      <c r="K3813" t="s">
        <v>38</v>
      </c>
      <c r="L3813" t="s">
        <v>38</v>
      </c>
      <c r="M3813" t="s">
        <v>38</v>
      </c>
      <c r="N3813" t="s">
        <v>38</v>
      </c>
      <c r="O3813" t="s">
        <v>41</v>
      </c>
      <c r="P3813" t="s">
        <v>42</v>
      </c>
      <c r="Q3813" t="s">
        <v>43</v>
      </c>
      <c r="R3813" t="s">
        <v>5585</v>
      </c>
      <c r="S3813" t="s">
        <v>286</v>
      </c>
      <c r="T3813" t="s">
        <v>38</v>
      </c>
      <c r="U3813" t="s">
        <v>38</v>
      </c>
      <c r="V3813" t="s">
        <v>137</v>
      </c>
      <c r="W3813" t="s">
        <v>92</v>
      </c>
      <c r="X3813" t="s">
        <v>38</v>
      </c>
      <c r="Y3813" t="s">
        <v>5583</v>
      </c>
      <c r="Z3813" t="s">
        <v>42</v>
      </c>
      <c r="AA3813" t="s">
        <v>2238</v>
      </c>
      <c r="AB3813" t="s">
        <v>38</v>
      </c>
      <c r="AC3813" t="s">
        <v>286</v>
      </c>
      <c r="AD3813" t="s">
        <v>48</v>
      </c>
      <c r="AG3813" t="str">
        <f>IF(AD3813="United States", IFERROR(INDEX(Sheet2!$C:$C, MATCH(AE3813&amp;AF3813, Sheet2!$E:$E, 0)) &amp; ", " &amp; INDEX(Sheet2!$D:$D, MATCH(AE3813&amp;AF3813, Sheet2!$E:$E, 0)), ""), "-")</f>
        <v/>
      </c>
    </row>
    <row r="3814" spans="1:33" x14ac:dyDescent="0.25">
      <c r="A3814" t="s">
        <v>575</v>
      </c>
      <c r="B3814" t="s">
        <v>5586</v>
      </c>
      <c r="C3814" t="s">
        <v>5587</v>
      </c>
      <c r="D3814" t="s">
        <v>5588</v>
      </c>
      <c r="E3814" t="s">
        <v>5589</v>
      </c>
      <c r="F3814">
        <v>1767</v>
      </c>
      <c r="G3814">
        <v>561</v>
      </c>
      <c r="H3814" t="s">
        <v>381</v>
      </c>
      <c r="I3814" t="s">
        <v>39</v>
      </c>
      <c r="J3814" t="s">
        <v>5590</v>
      </c>
      <c r="K3814" t="s">
        <v>38</v>
      </c>
      <c r="L3814" t="s">
        <v>38</v>
      </c>
      <c r="M3814" t="s">
        <v>38</v>
      </c>
      <c r="N3814" t="s">
        <v>38</v>
      </c>
      <c r="O3814" t="s">
        <v>74</v>
      </c>
      <c r="P3814" t="s">
        <v>42</v>
      </c>
      <c r="Q3814" t="s">
        <v>43</v>
      </c>
      <c r="R3814" t="s">
        <v>38</v>
      </c>
      <c r="S3814" t="s">
        <v>38</v>
      </c>
      <c r="T3814" t="s">
        <v>38</v>
      </c>
      <c r="U3814" t="s">
        <v>38</v>
      </c>
      <c r="V3814" t="s">
        <v>137</v>
      </c>
      <c r="W3814" t="s">
        <v>92</v>
      </c>
      <c r="X3814" t="s">
        <v>38</v>
      </c>
      <c r="Y3814" t="s">
        <v>5589</v>
      </c>
      <c r="Z3814" t="s">
        <v>42</v>
      </c>
      <c r="AA3814" t="s">
        <v>38</v>
      </c>
      <c r="AB3814" t="s">
        <v>38</v>
      </c>
      <c r="AC3814" t="s">
        <v>155</v>
      </c>
      <c r="AD3814" t="s">
        <v>48</v>
      </c>
      <c r="AG3814" t="str">
        <f>IF(AD3814="United States", IFERROR(INDEX(Sheet2!$C:$C, MATCH(AE3814&amp;AF3814, Sheet2!$E:$E, 0)) &amp; ", " &amp; INDEX(Sheet2!$D:$D, MATCH(AE3814&amp;AF3814, Sheet2!$E:$E, 0)), ""), "-")</f>
        <v/>
      </c>
    </row>
    <row r="3815" spans="1:33" x14ac:dyDescent="0.25">
      <c r="A3815" t="s">
        <v>575</v>
      </c>
      <c r="B3815" t="s">
        <v>5591</v>
      </c>
      <c r="C3815" t="s">
        <v>5587</v>
      </c>
      <c r="D3815" t="s">
        <v>2309</v>
      </c>
      <c r="E3815" t="s">
        <v>38</v>
      </c>
      <c r="F3815">
        <v>1754</v>
      </c>
      <c r="G3815">
        <v>562</v>
      </c>
      <c r="H3815" t="s">
        <v>38</v>
      </c>
      <c r="I3815" t="s">
        <v>39</v>
      </c>
      <c r="J3815" t="s">
        <v>5590</v>
      </c>
      <c r="K3815" t="s">
        <v>38</v>
      </c>
      <c r="L3815" t="s">
        <v>38</v>
      </c>
      <c r="M3815" t="s">
        <v>38</v>
      </c>
      <c r="N3815" t="s">
        <v>38</v>
      </c>
      <c r="O3815" t="s">
        <v>57</v>
      </c>
      <c r="P3815" t="s">
        <v>42</v>
      </c>
      <c r="Q3815" t="s">
        <v>43</v>
      </c>
      <c r="R3815" t="s">
        <v>38</v>
      </c>
      <c r="S3815" t="s">
        <v>89</v>
      </c>
      <c r="T3815" t="s">
        <v>38</v>
      </c>
      <c r="U3815" t="s">
        <v>38</v>
      </c>
      <c r="V3815" t="s">
        <v>137</v>
      </c>
      <c r="W3815" t="s">
        <v>38</v>
      </c>
      <c r="X3815" t="s">
        <v>38</v>
      </c>
      <c r="Y3815" t="s">
        <v>5592</v>
      </c>
      <c r="Z3815" t="s">
        <v>42</v>
      </c>
      <c r="AA3815" t="s">
        <v>2309</v>
      </c>
      <c r="AB3815" t="s">
        <v>38</v>
      </c>
      <c r="AC3815" t="s">
        <v>89</v>
      </c>
      <c r="AD3815" t="s">
        <v>48</v>
      </c>
      <c r="AG3815" t="str">
        <f>IF(AD3815="United States", IFERROR(INDEX(Sheet2!$C:$C, MATCH(AE3815&amp;AF3815, Sheet2!$E:$E, 0)) &amp; ", " &amp; INDEX(Sheet2!$D:$D, MATCH(AE3815&amp;AF3815, Sheet2!$E:$E, 0)), ""), "-")</f>
        <v/>
      </c>
    </row>
    <row r="3816" spans="1:33" x14ac:dyDescent="0.25">
      <c r="A3816" t="s">
        <v>575</v>
      </c>
      <c r="B3816" t="s">
        <v>5593</v>
      </c>
      <c r="C3816" t="s">
        <v>5587</v>
      </c>
      <c r="D3816" t="s">
        <v>210</v>
      </c>
      <c r="E3816" t="s">
        <v>226</v>
      </c>
      <c r="F3816">
        <v>1755</v>
      </c>
      <c r="G3816">
        <v>563</v>
      </c>
      <c r="H3816" t="s">
        <v>435</v>
      </c>
      <c r="I3816" t="s">
        <v>39</v>
      </c>
      <c r="J3816" t="s">
        <v>5590</v>
      </c>
      <c r="K3816" t="s">
        <v>38</v>
      </c>
      <c r="L3816" t="s">
        <v>38</v>
      </c>
      <c r="M3816" t="s">
        <v>38</v>
      </c>
      <c r="N3816" t="s">
        <v>38</v>
      </c>
      <c r="O3816" t="s">
        <v>41</v>
      </c>
      <c r="P3816" t="s">
        <v>42</v>
      </c>
      <c r="Q3816" t="s">
        <v>43</v>
      </c>
      <c r="R3816" t="s">
        <v>38</v>
      </c>
      <c r="S3816" t="s">
        <v>38</v>
      </c>
      <c r="T3816" t="s">
        <v>38</v>
      </c>
      <c r="U3816" t="s">
        <v>38</v>
      </c>
      <c r="V3816" t="s">
        <v>137</v>
      </c>
      <c r="W3816" t="s">
        <v>92</v>
      </c>
      <c r="X3816" t="s">
        <v>38</v>
      </c>
      <c r="Y3816" t="s">
        <v>5592</v>
      </c>
      <c r="Z3816" t="s">
        <v>42</v>
      </c>
      <c r="AA3816" t="s">
        <v>5594</v>
      </c>
      <c r="AB3816" t="s">
        <v>38</v>
      </c>
      <c r="AC3816" t="s">
        <v>3512</v>
      </c>
      <c r="AD3816" t="s">
        <v>48</v>
      </c>
      <c r="AG3816" t="str">
        <f>IF(AD3816="United States", IFERROR(INDEX(Sheet2!$C:$C, MATCH(AE3816&amp;AF3816, Sheet2!$E:$E, 0)) &amp; ", " &amp; INDEX(Sheet2!$D:$D, MATCH(AE3816&amp;AF3816, Sheet2!$E:$E, 0)), ""), "-")</f>
        <v/>
      </c>
    </row>
    <row r="3817" spans="1:33" x14ac:dyDescent="0.25">
      <c r="A3817" t="s">
        <v>575</v>
      </c>
      <c r="B3817" t="s">
        <v>5595</v>
      </c>
      <c r="C3817" t="s">
        <v>5587</v>
      </c>
      <c r="D3817" t="s">
        <v>458</v>
      </c>
      <c r="E3817" t="s">
        <v>5596</v>
      </c>
      <c r="F3817">
        <v>1749</v>
      </c>
      <c r="G3817">
        <v>564</v>
      </c>
      <c r="H3817" t="s">
        <v>1810</v>
      </c>
      <c r="I3817" t="s">
        <v>39</v>
      </c>
      <c r="J3817" t="s">
        <v>5590</v>
      </c>
      <c r="K3817" t="s">
        <v>38</v>
      </c>
      <c r="L3817" t="s">
        <v>38</v>
      </c>
      <c r="M3817" t="s">
        <v>2309</v>
      </c>
      <c r="N3817" t="s">
        <v>38</v>
      </c>
      <c r="O3817" t="s">
        <v>41</v>
      </c>
      <c r="P3817" t="s">
        <v>42</v>
      </c>
      <c r="Q3817" t="s">
        <v>43</v>
      </c>
      <c r="R3817" t="s">
        <v>38</v>
      </c>
      <c r="S3817" t="s">
        <v>38</v>
      </c>
      <c r="T3817" t="s">
        <v>38</v>
      </c>
      <c r="U3817" t="s">
        <v>38</v>
      </c>
      <c r="V3817" t="s">
        <v>137</v>
      </c>
      <c r="W3817" t="s">
        <v>92</v>
      </c>
      <c r="X3817" t="s">
        <v>38</v>
      </c>
      <c r="Y3817" t="s">
        <v>5597</v>
      </c>
      <c r="Z3817" t="s">
        <v>42</v>
      </c>
      <c r="AA3817" t="s">
        <v>2865</v>
      </c>
      <c r="AB3817" t="s">
        <v>38</v>
      </c>
      <c r="AC3817" t="s">
        <v>672</v>
      </c>
      <c r="AD3817" t="s">
        <v>672</v>
      </c>
      <c r="AG3817" t="str">
        <f>IF(AD3817="United States", IFERROR(INDEX(Sheet2!$C:$C, MATCH(AE3817&amp;AF3817, Sheet2!$E:$E, 0)) &amp; ", " &amp; INDEX(Sheet2!$D:$D, MATCH(AE3817&amp;AF3817, Sheet2!$E:$E, 0)), ""), "17.9712148, -76.7928128")</f>
        <v>17.9712148, -76.7928128</v>
      </c>
    </row>
    <row r="3818" spans="1:33" x14ac:dyDescent="0.25">
      <c r="A3818" t="s">
        <v>575</v>
      </c>
      <c r="B3818" t="s">
        <v>5579</v>
      </c>
      <c r="C3818" t="s">
        <v>5580</v>
      </c>
      <c r="D3818" t="s">
        <v>36</v>
      </c>
      <c r="E3818" t="s">
        <v>268</v>
      </c>
      <c r="F3818">
        <v>1760</v>
      </c>
      <c r="G3818">
        <v>928</v>
      </c>
      <c r="H3818" t="s">
        <v>2270</v>
      </c>
      <c r="I3818" t="s">
        <v>80</v>
      </c>
      <c r="J3818" t="s">
        <v>5570</v>
      </c>
      <c r="K3818" t="s">
        <v>38</v>
      </c>
      <c r="L3818" t="s">
        <v>38</v>
      </c>
      <c r="M3818" t="s">
        <v>38</v>
      </c>
      <c r="N3818" t="s">
        <v>38</v>
      </c>
      <c r="O3818" t="s">
        <v>41</v>
      </c>
      <c r="P3818" t="s">
        <v>42</v>
      </c>
      <c r="Q3818" t="s">
        <v>43</v>
      </c>
      <c r="R3818" t="s">
        <v>38</v>
      </c>
      <c r="S3818" t="s">
        <v>286</v>
      </c>
      <c r="T3818" t="s">
        <v>38</v>
      </c>
      <c r="U3818" t="s">
        <v>38</v>
      </c>
      <c r="V3818" t="s">
        <v>137</v>
      </c>
      <c r="W3818" t="s">
        <v>92</v>
      </c>
      <c r="X3818" t="s">
        <v>38</v>
      </c>
      <c r="Y3818" t="s">
        <v>5581</v>
      </c>
      <c r="Z3818" t="s">
        <v>42</v>
      </c>
      <c r="AA3818" t="s">
        <v>1867</v>
      </c>
      <c r="AB3818" t="s">
        <v>38</v>
      </c>
      <c r="AC3818" t="s">
        <v>286</v>
      </c>
      <c r="AD3818" t="s">
        <v>48</v>
      </c>
      <c r="AG3818" t="str">
        <f>IF(AD3818="United States", IFERROR(INDEX(Sheet2!$C:$C, MATCH(AE3818&amp;AF3818, Sheet2!$E:$E, 0)) &amp; ", " &amp; INDEX(Sheet2!$D:$D, MATCH(AE3818&amp;AF3818, Sheet2!$E:$E, 0)), ""), "-")</f>
        <v/>
      </c>
    </row>
    <row r="3819" spans="1:33" x14ac:dyDescent="0.25">
      <c r="A3819" t="s">
        <v>575</v>
      </c>
      <c r="B3819" t="s">
        <v>5582</v>
      </c>
      <c r="C3819" t="s">
        <v>5580</v>
      </c>
      <c r="D3819" t="s">
        <v>210</v>
      </c>
      <c r="E3819" t="s">
        <v>5237</v>
      </c>
      <c r="F3819">
        <v>1759</v>
      </c>
      <c r="G3819">
        <v>927</v>
      </c>
      <c r="H3819" t="s">
        <v>435</v>
      </c>
      <c r="I3819" t="s">
        <v>80</v>
      </c>
      <c r="J3819" t="s">
        <v>5570</v>
      </c>
      <c r="K3819" t="s">
        <v>38</v>
      </c>
      <c r="L3819" t="s">
        <v>38</v>
      </c>
      <c r="M3819" t="s">
        <v>38</v>
      </c>
      <c r="N3819" t="s">
        <v>38</v>
      </c>
      <c r="O3819" t="s">
        <v>41</v>
      </c>
      <c r="P3819" t="s">
        <v>42</v>
      </c>
      <c r="Q3819" t="s">
        <v>43</v>
      </c>
      <c r="R3819" t="s">
        <v>38</v>
      </c>
      <c r="S3819" t="s">
        <v>89</v>
      </c>
      <c r="T3819" t="s">
        <v>38</v>
      </c>
      <c r="U3819" t="s">
        <v>38</v>
      </c>
      <c r="V3819" t="s">
        <v>137</v>
      </c>
      <c r="W3819" t="s">
        <v>92</v>
      </c>
      <c r="X3819" t="s">
        <v>38</v>
      </c>
      <c r="Y3819" t="s">
        <v>5583</v>
      </c>
      <c r="Z3819" t="s">
        <v>42</v>
      </c>
      <c r="AA3819" t="s">
        <v>38</v>
      </c>
      <c r="AB3819" t="s">
        <v>38</v>
      </c>
      <c r="AC3819" t="s">
        <v>89</v>
      </c>
      <c r="AD3819" t="s">
        <v>48</v>
      </c>
      <c r="AG3819" t="str">
        <f>IF(AD3819="United States", IFERROR(INDEX(Sheet2!$C:$C, MATCH(AE3819&amp;AF3819, Sheet2!$E:$E, 0)) &amp; ", " &amp; INDEX(Sheet2!$D:$D, MATCH(AE3819&amp;AF3819, Sheet2!$E:$E, 0)), ""), "-")</f>
        <v/>
      </c>
    </row>
    <row r="3820" spans="1:33" x14ac:dyDescent="0.25">
      <c r="A3820" t="s">
        <v>575</v>
      </c>
      <c r="B3820" t="s">
        <v>5584</v>
      </c>
      <c r="C3820" t="s">
        <v>5580</v>
      </c>
      <c r="D3820" t="s">
        <v>200</v>
      </c>
      <c r="E3820" t="s">
        <v>37</v>
      </c>
      <c r="F3820">
        <v>1765</v>
      </c>
      <c r="G3820">
        <v>926</v>
      </c>
      <c r="H3820" t="s">
        <v>2270</v>
      </c>
      <c r="I3820" t="s">
        <v>80</v>
      </c>
      <c r="J3820" t="s">
        <v>5570</v>
      </c>
      <c r="K3820" t="s">
        <v>38</v>
      </c>
      <c r="L3820" t="s">
        <v>38</v>
      </c>
      <c r="M3820" t="s">
        <v>38</v>
      </c>
      <c r="N3820" t="s">
        <v>38</v>
      </c>
      <c r="O3820" t="s">
        <v>41</v>
      </c>
      <c r="P3820" t="s">
        <v>42</v>
      </c>
      <c r="Q3820" t="s">
        <v>43</v>
      </c>
      <c r="R3820" t="s">
        <v>5585</v>
      </c>
      <c r="S3820" t="s">
        <v>286</v>
      </c>
      <c r="T3820" t="s">
        <v>38</v>
      </c>
      <c r="U3820" t="s">
        <v>38</v>
      </c>
      <c r="V3820" t="s">
        <v>137</v>
      </c>
      <c r="W3820" t="s">
        <v>92</v>
      </c>
      <c r="X3820" t="s">
        <v>38</v>
      </c>
      <c r="Y3820" t="s">
        <v>5583</v>
      </c>
      <c r="Z3820" t="s">
        <v>42</v>
      </c>
      <c r="AA3820" t="s">
        <v>2238</v>
      </c>
      <c r="AB3820" t="s">
        <v>38</v>
      </c>
      <c r="AC3820" t="s">
        <v>286</v>
      </c>
      <c r="AD3820" t="s">
        <v>48</v>
      </c>
      <c r="AG3820" t="str">
        <f>IF(AD3820="United States", IFERROR(INDEX(Sheet2!$C:$C, MATCH(AE3820&amp;AF3820, Sheet2!$E:$E, 0)) &amp; ", " &amp; INDEX(Sheet2!$D:$D, MATCH(AE3820&amp;AF3820, Sheet2!$E:$E, 0)), ""), "-")</f>
        <v/>
      </c>
    </row>
    <row r="3821" spans="1:33" x14ac:dyDescent="0.25">
      <c r="A3821" t="s">
        <v>575</v>
      </c>
      <c r="B3821" t="s">
        <v>5598</v>
      </c>
      <c r="C3821" t="s">
        <v>5580</v>
      </c>
      <c r="D3821" t="s">
        <v>343</v>
      </c>
      <c r="E3821" t="s">
        <v>268</v>
      </c>
      <c r="F3821">
        <v>1764</v>
      </c>
      <c r="G3821">
        <v>925</v>
      </c>
      <c r="H3821" t="s">
        <v>2270</v>
      </c>
      <c r="I3821" t="s">
        <v>80</v>
      </c>
      <c r="J3821" t="s">
        <v>5570</v>
      </c>
      <c r="K3821" t="s">
        <v>38</v>
      </c>
      <c r="L3821" t="s">
        <v>38</v>
      </c>
      <c r="M3821" t="s">
        <v>38</v>
      </c>
      <c r="N3821" t="s">
        <v>38</v>
      </c>
      <c r="O3821" t="s">
        <v>41</v>
      </c>
      <c r="P3821" t="s">
        <v>42</v>
      </c>
      <c r="Q3821" t="s">
        <v>43</v>
      </c>
      <c r="R3821" t="s">
        <v>38</v>
      </c>
      <c r="S3821" t="s">
        <v>165</v>
      </c>
      <c r="T3821" t="s">
        <v>38</v>
      </c>
      <c r="U3821" t="s">
        <v>38</v>
      </c>
      <c r="V3821" t="s">
        <v>137</v>
      </c>
      <c r="W3821" t="s">
        <v>92</v>
      </c>
      <c r="X3821" t="s">
        <v>38</v>
      </c>
      <c r="Y3821" t="s">
        <v>5581</v>
      </c>
      <c r="Z3821" t="s">
        <v>42</v>
      </c>
      <c r="AA3821" t="s">
        <v>5599</v>
      </c>
      <c r="AB3821" t="s">
        <v>38</v>
      </c>
      <c r="AC3821" t="s">
        <v>165</v>
      </c>
      <c r="AD3821" t="s">
        <v>48</v>
      </c>
      <c r="AG3821" t="str">
        <f>IF(AD3821="United States", IFERROR(INDEX(Sheet2!$C:$C, MATCH(AE3821&amp;AF3821, Sheet2!$E:$E, 0)) &amp; ", " &amp; INDEX(Sheet2!$D:$D, MATCH(AE3821&amp;AF3821, Sheet2!$E:$E, 0)), ""), "-")</f>
        <v/>
      </c>
    </row>
    <row r="3822" spans="1:33" x14ac:dyDescent="0.25">
      <c r="A3822" t="s">
        <v>575</v>
      </c>
      <c r="B3822" t="s">
        <v>5598</v>
      </c>
      <c r="C3822" t="s">
        <v>5580</v>
      </c>
      <c r="D3822" t="s">
        <v>343</v>
      </c>
      <c r="E3822" t="s">
        <v>268</v>
      </c>
      <c r="F3822">
        <v>1764</v>
      </c>
      <c r="G3822">
        <v>1201</v>
      </c>
      <c r="H3822" t="s">
        <v>2270</v>
      </c>
      <c r="I3822" t="s">
        <v>80</v>
      </c>
      <c r="J3822" t="s">
        <v>5570</v>
      </c>
      <c r="K3822" t="s">
        <v>38</v>
      </c>
      <c r="L3822" t="s">
        <v>38</v>
      </c>
      <c r="M3822" t="s">
        <v>38</v>
      </c>
      <c r="N3822" t="s">
        <v>38</v>
      </c>
      <c r="O3822" t="s">
        <v>41</v>
      </c>
      <c r="P3822" t="s">
        <v>42</v>
      </c>
      <c r="Q3822" t="s">
        <v>43</v>
      </c>
      <c r="R3822" t="s">
        <v>38</v>
      </c>
      <c r="S3822" t="s">
        <v>165</v>
      </c>
      <c r="T3822" t="s">
        <v>38</v>
      </c>
      <c r="U3822" t="s">
        <v>38</v>
      </c>
      <c r="V3822" t="s">
        <v>137</v>
      </c>
      <c r="W3822" t="s">
        <v>92</v>
      </c>
      <c r="X3822" t="s">
        <v>38</v>
      </c>
      <c r="Y3822" t="s">
        <v>5581</v>
      </c>
      <c r="Z3822" t="s">
        <v>42</v>
      </c>
      <c r="AA3822" t="s">
        <v>5599</v>
      </c>
      <c r="AB3822" t="s">
        <v>38</v>
      </c>
      <c r="AC3822" t="s">
        <v>165</v>
      </c>
      <c r="AD3822" t="s">
        <v>48</v>
      </c>
      <c r="AG3822" t="str">
        <f>IF(AD3822="United States", IFERROR(INDEX(Sheet2!$C:$C, MATCH(AE3822&amp;AF3822, Sheet2!$E:$E, 0)) &amp; ", " &amp; INDEX(Sheet2!$D:$D, MATCH(AE3822&amp;AF3822, Sheet2!$E:$E, 0)), ""), "-")</f>
        <v/>
      </c>
    </row>
    <row r="3823" spans="1:33" x14ac:dyDescent="0.25">
      <c r="A3823" t="s">
        <v>575</v>
      </c>
      <c r="D3823" t="s">
        <v>5600</v>
      </c>
      <c r="E3823" t="s">
        <v>5601</v>
      </c>
      <c r="F3823">
        <v>1730</v>
      </c>
      <c r="G3823">
        <v>330</v>
      </c>
      <c r="H3823">
        <v>24</v>
      </c>
      <c r="J3823" t="s">
        <v>5570</v>
      </c>
      <c r="O3823" t="s">
        <v>41</v>
      </c>
      <c r="V3823" t="s">
        <v>137</v>
      </c>
      <c r="W3823" t="s">
        <v>92</v>
      </c>
      <c r="Y3823" t="s">
        <v>38</v>
      </c>
      <c r="AA3823" t="s">
        <v>38</v>
      </c>
      <c r="AB3823" t="s">
        <v>38</v>
      </c>
      <c r="AC3823" t="s">
        <v>38</v>
      </c>
      <c r="AD3823" t="s">
        <v>48</v>
      </c>
      <c r="AG3823" t="str">
        <f>IF(AD3823="United States", IFERROR(INDEX(Sheet2!$C:$C, MATCH(AE3823&amp;AF3823, Sheet2!$E:$E, 0)) &amp; ", " &amp; INDEX(Sheet2!$D:$D, MATCH(AE3823&amp;AF3823, Sheet2!$E:$E, 0)), ""), "-")</f>
        <v/>
      </c>
    </row>
    <row r="3824" spans="1:33" x14ac:dyDescent="0.25">
      <c r="A3824" t="s">
        <v>575</v>
      </c>
      <c r="B3824" t="s">
        <v>5602</v>
      </c>
      <c r="C3824" t="s">
        <v>5572</v>
      </c>
      <c r="D3824" t="s">
        <v>114</v>
      </c>
      <c r="E3824" t="s">
        <v>2962</v>
      </c>
      <c r="F3824">
        <v>1755</v>
      </c>
      <c r="G3824">
        <v>304</v>
      </c>
      <c r="H3824" t="s">
        <v>435</v>
      </c>
      <c r="I3824" t="s">
        <v>39</v>
      </c>
      <c r="J3824" t="s">
        <v>5570</v>
      </c>
      <c r="K3824" t="s">
        <v>38</v>
      </c>
      <c r="L3824" t="s">
        <v>38</v>
      </c>
      <c r="M3824" t="s">
        <v>38</v>
      </c>
      <c r="N3824" t="s">
        <v>38</v>
      </c>
      <c r="O3824" t="s">
        <v>57</v>
      </c>
      <c r="P3824" t="s">
        <v>42</v>
      </c>
      <c r="Q3824" t="s">
        <v>43</v>
      </c>
      <c r="R3824" t="s">
        <v>38</v>
      </c>
      <c r="S3824" t="s">
        <v>38</v>
      </c>
      <c r="T3824" t="s">
        <v>38</v>
      </c>
      <c r="U3824" t="s">
        <v>38</v>
      </c>
      <c r="V3824" t="s">
        <v>137</v>
      </c>
      <c r="W3824" t="s">
        <v>92</v>
      </c>
      <c r="X3824" t="s">
        <v>38</v>
      </c>
      <c r="Y3824" t="s">
        <v>5578</v>
      </c>
      <c r="Z3824" t="s">
        <v>42</v>
      </c>
      <c r="AA3824" t="s">
        <v>38</v>
      </c>
      <c r="AB3824" t="s">
        <v>38</v>
      </c>
      <c r="AC3824" t="s">
        <v>38</v>
      </c>
      <c r="AD3824" t="s">
        <v>48</v>
      </c>
      <c r="AG3824" t="str">
        <f>IF(AD3824="United States", IFERROR(INDEX(Sheet2!$C:$C, MATCH(AE3824&amp;AF3824, Sheet2!$E:$E, 0)) &amp; ", " &amp; INDEX(Sheet2!$D:$D, MATCH(AE3824&amp;AF3824, Sheet2!$E:$E, 0)), ""), "-")</f>
        <v/>
      </c>
    </row>
    <row r="3825" spans="1:33" x14ac:dyDescent="0.25">
      <c r="A3825" t="s">
        <v>575</v>
      </c>
      <c r="B3825" t="s">
        <v>5603</v>
      </c>
      <c r="C3825" t="s">
        <v>5568</v>
      </c>
      <c r="D3825" t="s">
        <v>230</v>
      </c>
      <c r="E3825" t="s">
        <v>38</v>
      </c>
      <c r="F3825">
        <v>1766</v>
      </c>
      <c r="G3825">
        <v>2312</v>
      </c>
      <c r="H3825" t="s">
        <v>738</v>
      </c>
      <c r="I3825" t="s">
        <v>87</v>
      </c>
      <c r="J3825" t="s">
        <v>5570</v>
      </c>
      <c r="K3825" t="s">
        <v>38</v>
      </c>
      <c r="L3825" t="s">
        <v>38</v>
      </c>
      <c r="M3825" t="s">
        <v>38</v>
      </c>
      <c r="N3825" t="s">
        <v>38</v>
      </c>
      <c r="O3825" t="s">
        <v>54</v>
      </c>
      <c r="P3825" t="s">
        <v>42</v>
      </c>
      <c r="Q3825" t="s">
        <v>43</v>
      </c>
      <c r="R3825" t="s">
        <v>38</v>
      </c>
      <c r="S3825" t="s">
        <v>38</v>
      </c>
      <c r="T3825" t="s">
        <v>38</v>
      </c>
      <c r="U3825" t="s">
        <v>38</v>
      </c>
      <c r="V3825" t="s">
        <v>597</v>
      </c>
      <c r="W3825" t="s">
        <v>92</v>
      </c>
      <c r="X3825" t="s">
        <v>38</v>
      </c>
      <c r="Y3825" t="s">
        <v>5604</v>
      </c>
      <c r="Z3825" t="s">
        <v>42</v>
      </c>
      <c r="AA3825" t="s">
        <v>38</v>
      </c>
      <c r="AB3825" t="s">
        <v>38</v>
      </c>
      <c r="AC3825" t="s">
        <v>38</v>
      </c>
      <c r="AD3825" t="s">
        <v>48</v>
      </c>
      <c r="AG3825" t="str">
        <f>IF(AD3825="United States", IFERROR(INDEX(Sheet2!$C:$C, MATCH(AE3825&amp;AF3825, Sheet2!$E:$E, 0)) &amp; ", " &amp; INDEX(Sheet2!$D:$D, MATCH(AE3825&amp;AF3825, Sheet2!$E:$E, 0)), ""), "-")</f>
        <v/>
      </c>
    </row>
    <row r="3826" spans="1:33" x14ac:dyDescent="0.25">
      <c r="A3826" t="s">
        <v>575</v>
      </c>
      <c r="B3826" t="s">
        <v>5605</v>
      </c>
      <c r="C3826" t="s">
        <v>5568</v>
      </c>
      <c r="D3826" t="s">
        <v>352</v>
      </c>
      <c r="E3826" t="s">
        <v>38</v>
      </c>
      <c r="F3826">
        <v>1760</v>
      </c>
      <c r="G3826">
        <v>2318</v>
      </c>
      <c r="H3826" t="s">
        <v>738</v>
      </c>
      <c r="I3826" t="s">
        <v>87</v>
      </c>
      <c r="J3826" t="s">
        <v>5570</v>
      </c>
      <c r="K3826" t="s">
        <v>38</v>
      </c>
      <c r="L3826" t="s">
        <v>38</v>
      </c>
      <c r="M3826" t="s">
        <v>38</v>
      </c>
      <c r="N3826" t="s">
        <v>38</v>
      </c>
      <c r="O3826" t="s">
        <v>57</v>
      </c>
      <c r="P3826" t="s">
        <v>42</v>
      </c>
      <c r="Q3826" t="s">
        <v>43</v>
      </c>
      <c r="R3826" t="s">
        <v>38</v>
      </c>
      <c r="S3826" t="s">
        <v>38</v>
      </c>
      <c r="T3826" t="s">
        <v>38</v>
      </c>
      <c r="U3826" t="s">
        <v>38</v>
      </c>
      <c r="V3826" t="s">
        <v>597</v>
      </c>
      <c r="W3826" t="s">
        <v>92</v>
      </c>
      <c r="X3826" t="s">
        <v>38</v>
      </c>
      <c r="Y3826" t="s">
        <v>5606</v>
      </c>
      <c r="Z3826" t="s">
        <v>42</v>
      </c>
      <c r="AA3826" t="s">
        <v>38</v>
      </c>
      <c r="AB3826" t="s">
        <v>38</v>
      </c>
      <c r="AC3826" t="s">
        <v>38</v>
      </c>
      <c r="AD3826" t="s">
        <v>48</v>
      </c>
      <c r="AG3826" t="str">
        <f>IF(AD3826="United States", IFERROR(INDEX(Sheet2!$C:$C, MATCH(AE3826&amp;AF3826, Sheet2!$E:$E, 0)) &amp; ", " &amp; INDEX(Sheet2!$D:$D, MATCH(AE3826&amp;AF3826, Sheet2!$E:$E, 0)), ""), "-")</f>
        <v/>
      </c>
    </row>
    <row r="3827" spans="1:33" x14ac:dyDescent="0.25">
      <c r="A3827" t="s">
        <v>575</v>
      </c>
      <c r="B3827" t="s">
        <v>5607</v>
      </c>
      <c r="C3827" t="s">
        <v>5568</v>
      </c>
      <c r="D3827" t="s">
        <v>36</v>
      </c>
      <c r="E3827" t="s">
        <v>5608</v>
      </c>
      <c r="F3827">
        <v>1757</v>
      </c>
      <c r="G3827">
        <v>2317</v>
      </c>
      <c r="H3827" t="s">
        <v>2270</v>
      </c>
      <c r="I3827" t="s">
        <v>87</v>
      </c>
      <c r="J3827" t="s">
        <v>5570</v>
      </c>
      <c r="K3827" t="s">
        <v>38</v>
      </c>
      <c r="L3827" t="s">
        <v>38</v>
      </c>
      <c r="M3827" t="s">
        <v>38</v>
      </c>
      <c r="N3827" t="s">
        <v>38</v>
      </c>
      <c r="O3827" t="s">
        <v>41</v>
      </c>
      <c r="P3827" t="s">
        <v>42</v>
      </c>
      <c r="Q3827" t="s">
        <v>43</v>
      </c>
      <c r="R3827" t="s">
        <v>5609</v>
      </c>
      <c r="S3827" t="s">
        <v>1063</v>
      </c>
      <c r="T3827" t="s">
        <v>38</v>
      </c>
      <c r="U3827" t="s">
        <v>38</v>
      </c>
      <c r="V3827" t="s">
        <v>597</v>
      </c>
      <c r="W3827" t="s">
        <v>92</v>
      </c>
      <c r="X3827" t="s">
        <v>38</v>
      </c>
      <c r="Y3827" t="s">
        <v>5610</v>
      </c>
      <c r="Z3827" t="s">
        <v>42</v>
      </c>
      <c r="AA3827" t="s">
        <v>3212</v>
      </c>
      <c r="AB3827" t="s">
        <v>38</v>
      </c>
      <c r="AC3827" t="s">
        <v>1063</v>
      </c>
      <c r="AD3827" t="s">
        <v>48</v>
      </c>
      <c r="AG3827" t="str">
        <f>IF(AD3827="United States", IFERROR(INDEX(Sheet2!$C:$C, MATCH(AE3827&amp;AF3827, Sheet2!$E:$E, 0)) &amp; ", " &amp; INDEX(Sheet2!$D:$D, MATCH(AE3827&amp;AF3827, Sheet2!$E:$E, 0)), ""), "-")</f>
        <v/>
      </c>
    </row>
    <row r="3828" spans="1:33" x14ac:dyDescent="0.25">
      <c r="A3828" t="s">
        <v>575</v>
      </c>
      <c r="B3828" t="s">
        <v>5611</v>
      </c>
      <c r="C3828" t="s">
        <v>5568</v>
      </c>
      <c r="D3828" t="s">
        <v>226</v>
      </c>
      <c r="E3828" t="s">
        <v>38</v>
      </c>
      <c r="F3828">
        <v>1757</v>
      </c>
      <c r="G3828">
        <v>2316</v>
      </c>
      <c r="H3828" t="s">
        <v>1810</v>
      </c>
      <c r="I3828" t="s">
        <v>87</v>
      </c>
      <c r="J3828" t="s">
        <v>5570</v>
      </c>
      <c r="K3828" t="s">
        <v>210</v>
      </c>
      <c r="L3828" t="s">
        <v>746</v>
      </c>
      <c r="M3828" t="s">
        <v>38</v>
      </c>
      <c r="N3828" t="s">
        <v>38</v>
      </c>
      <c r="O3828" t="s">
        <v>41</v>
      </c>
      <c r="P3828" t="s">
        <v>42</v>
      </c>
      <c r="Q3828" t="s">
        <v>43</v>
      </c>
      <c r="R3828" t="s">
        <v>5612</v>
      </c>
      <c r="S3828" t="s">
        <v>89</v>
      </c>
      <c r="T3828" t="s">
        <v>38</v>
      </c>
      <c r="U3828" t="s">
        <v>38</v>
      </c>
      <c r="V3828" t="s">
        <v>597</v>
      </c>
      <c r="W3828" t="s">
        <v>92</v>
      </c>
      <c r="X3828" t="s">
        <v>38</v>
      </c>
      <c r="Y3828" t="s">
        <v>5613</v>
      </c>
      <c r="Z3828" t="s">
        <v>42</v>
      </c>
      <c r="AA3828" t="s">
        <v>38</v>
      </c>
      <c r="AB3828" t="s">
        <v>38</v>
      </c>
      <c r="AC3828" t="s">
        <v>89</v>
      </c>
      <c r="AD3828" t="s">
        <v>48</v>
      </c>
      <c r="AG3828" t="str">
        <f>IF(AD3828="United States", IFERROR(INDEX(Sheet2!$C:$C, MATCH(AE3828&amp;AF3828, Sheet2!$E:$E, 0)) &amp; ", " &amp; INDEX(Sheet2!$D:$D, MATCH(AE3828&amp;AF3828, Sheet2!$E:$E, 0)), ""), "-")</f>
        <v/>
      </c>
    </row>
    <row r="3829" spans="1:33" x14ac:dyDescent="0.25">
      <c r="A3829" t="s">
        <v>575</v>
      </c>
      <c r="B3829" t="s">
        <v>5614</v>
      </c>
      <c r="C3829" t="s">
        <v>5568</v>
      </c>
      <c r="D3829" t="s">
        <v>623</v>
      </c>
      <c r="E3829" t="s">
        <v>38</v>
      </c>
      <c r="F3829">
        <v>1762</v>
      </c>
      <c r="G3829">
        <v>2315</v>
      </c>
      <c r="H3829" t="s">
        <v>738</v>
      </c>
      <c r="I3829" t="s">
        <v>87</v>
      </c>
      <c r="J3829" t="s">
        <v>5570</v>
      </c>
      <c r="K3829" t="s">
        <v>38</v>
      </c>
      <c r="L3829" t="s">
        <v>38</v>
      </c>
      <c r="M3829" t="s">
        <v>38</v>
      </c>
      <c r="N3829" t="s">
        <v>38</v>
      </c>
      <c r="O3829" t="s">
        <v>57</v>
      </c>
      <c r="P3829" t="s">
        <v>42</v>
      </c>
      <c r="Q3829" t="s">
        <v>43</v>
      </c>
      <c r="R3829" t="s">
        <v>38</v>
      </c>
      <c r="S3829" t="s">
        <v>38</v>
      </c>
      <c r="T3829" t="s">
        <v>38</v>
      </c>
      <c r="U3829" t="s">
        <v>38</v>
      </c>
      <c r="V3829" t="s">
        <v>597</v>
      </c>
      <c r="W3829" t="s">
        <v>92</v>
      </c>
      <c r="X3829" t="s">
        <v>38</v>
      </c>
      <c r="Y3829" t="s">
        <v>5615</v>
      </c>
      <c r="Z3829" t="s">
        <v>42</v>
      </c>
      <c r="AA3829" t="s">
        <v>38</v>
      </c>
      <c r="AB3829" t="s">
        <v>38</v>
      </c>
      <c r="AC3829" t="s">
        <v>38</v>
      </c>
      <c r="AD3829" t="s">
        <v>48</v>
      </c>
      <c r="AG3829" t="str">
        <f>IF(AD3829="United States", IFERROR(INDEX(Sheet2!$C:$C, MATCH(AE3829&amp;AF3829, Sheet2!$E:$E, 0)) &amp; ", " &amp; INDEX(Sheet2!$D:$D, MATCH(AE3829&amp;AF3829, Sheet2!$E:$E, 0)), ""), "-")</f>
        <v/>
      </c>
    </row>
    <row r="3830" spans="1:33" x14ac:dyDescent="0.25">
      <c r="A3830" t="s">
        <v>575</v>
      </c>
      <c r="B3830" t="s">
        <v>5616</v>
      </c>
      <c r="C3830" t="s">
        <v>5568</v>
      </c>
      <c r="D3830" t="s">
        <v>106</v>
      </c>
      <c r="E3830" t="s">
        <v>38</v>
      </c>
      <c r="F3830">
        <v>1770</v>
      </c>
      <c r="G3830">
        <v>2314</v>
      </c>
      <c r="H3830" t="s">
        <v>738</v>
      </c>
      <c r="I3830" t="s">
        <v>87</v>
      </c>
      <c r="J3830" t="s">
        <v>5570</v>
      </c>
      <c r="K3830" t="s">
        <v>38</v>
      </c>
      <c r="L3830" t="s">
        <v>38</v>
      </c>
      <c r="M3830" t="s">
        <v>38</v>
      </c>
      <c r="N3830" t="s">
        <v>38</v>
      </c>
      <c r="O3830" t="s">
        <v>54</v>
      </c>
      <c r="P3830" t="s">
        <v>42</v>
      </c>
      <c r="Q3830" t="s">
        <v>43</v>
      </c>
      <c r="R3830" t="s">
        <v>38</v>
      </c>
      <c r="S3830" t="s">
        <v>38</v>
      </c>
      <c r="T3830" t="s">
        <v>38</v>
      </c>
      <c r="U3830" t="s">
        <v>38</v>
      </c>
      <c r="V3830" t="s">
        <v>597</v>
      </c>
      <c r="W3830" t="s">
        <v>92</v>
      </c>
      <c r="X3830" t="s">
        <v>38</v>
      </c>
      <c r="Y3830" t="s">
        <v>5604</v>
      </c>
      <c r="Z3830" t="s">
        <v>42</v>
      </c>
      <c r="AA3830" t="s">
        <v>38</v>
      </c>
      <c r="AB3830" t="s">
        <v>38</v>
      </c>
      <c r="AC3830" t="s">
        <v>38</v>
      </c>
      <c r="AD3830" t="s">
        <v>48</v>
      </c>
      <c r="AG3830" t="str">
        <f>IF(AD3830="United States", IFERROR(INDEX(Sheet2!$C:$C, MATCH(AE3830&amp;AF3830, Sheet2!$E:$E, 0)) &amp; ", " &amp; INDEX(Sheet2!$D:$D, MATCH(AE3830&amp;AF3830, Sheet2!$E:$E, 0)), ""), "-")</f>
        <v/>
      </c>
    </row>
    <row r="3831" spans="1:33" x14ac:dyDescent="0.25">
      <c r="A3831" t="s">
        <v>575</v>
      </c>
      <c r="B3831" t="s">
        <v>5617</v>
      </c>
      <c r="C3831" t="s">
        <v>5568</v>
      </c>
      <c r="D3831" t="s">
        <v>52</v>
      </c>
      <c r="E3831" t="s">
        <v>38</v>
      </c>
      <c r="F3831">
        <v>1759</v>
      </c>
      <c r="G3831">
        <v>2313</v>
      </c>
      <c r="H3831" t="s">
        <v>738</v>
      </c>
      <c r="I3831" t="s">
        <v>87</v>
      </c>
      <c r="J3831" t="s">
        <v>5570</v>
      </c>
      <c r="K3831" t="s">
        <v>38</v>
      </c>
      <c r="L3831" t="s">
        <v>38</v>
      </c>
      <c r="M3831" t="s">
        <v>38</v>
      </c>
      <c r="N3831" t="s">
        <v>38</v>
      </c>
      <c r="O3831" t="s">
        <v>57</v>
      </c>
      <c r="P3831" t="s">
        <v>42</v>
      </c>
      <c r="Q3831" t="s">
        <v>43</v>
      </c>
      <c r="R3831" t="s">
        <v>38</v>
      </c>
      <c r="S3831" t="s">
        <v>38</v>
      </c>
      <c r="T3831" t="s">
        <v>38</v>
      </c>
      <c r="U3831" t="s">
        <v>38</v>
      </c>
      <c r="V3831" t="s">
        <v>597</v>
      </c>
      <c r="W3831" t="s">
        <v>92</v>
      </c>
      <c r="X3831" t="s">
        <v>38</v>
      </c>
      <c r="Y3831" t="s">
        <v>5604</v>
      </c>
      <c r="Z3831" t="s">
        <v>42</v>
      </c>
      <c r="AA3831" t="s">
        <v>38</v>
      </c>
      <c r="AB3831" t="s">
        <v>38</v>
      </c>
      <c r="AC3831" t="s">
        <v>38</v>
      </c>
      <c r="AD3831" t="s">
        <v>48</v>
      </c>
      <c r="AG3831" t="str">
        <f>IF(AD3831="United States", IFERROR(INDEX(Sheet2!$C:$C, MATCH(AE3831&amp;AF3831, Sheet2!$E:$E, 0)) &amp; ", " &amp; INDEX(Sheet2!$D:$D, MATCH(AE3831&amp;AF3831, Sheet2!$E:$E, 0)), ""), "-")</f>
        <v/>
      </c>
    </row>
    <row r="3832" spans="1:33" x14ac:dyDescent="0.25">
      <c r="A3832" t="s">
        <v>5618</v>
      </c>
      <c r="B3832" t="s">
        <v>5619</v>
      </c>
      <c r="C3832" t="s">
        <v>5620</v>
      </c>
      <c r="D3832" t="s">
        <v>334</v>
      </c>
      <c r="E3832" t="s">
        <v>5621</v>
      </c>
      <c r="F3832">
        <v>1745</v>
      </c>
      <c r="G3832">
        <v>2029</v>
      </c>
      <c r="H3832" t="s">
        <v>596</v>
      </c>
      <c r="I3832" t="s">
        <v>80</v>
      </c>
      <c r="J3832" t="s">
        <v>38</v>
      </c>
      <c r="K3832" t="s">
        <v>38</v>
      </c>
      <c r="L3832" t="s">
        <v>38</v>
      </c>
      <c r="M3832" t="s">
        <v>38</v>
      </c>
      <c r="N3832" t="s">
        <v>38</v>
      </c>
      <c r="O3832" t="s">
        <v>41</v>
      </c>
      <c r="P3832" t="s">
        <v>42</v>
      </c>
      <c r="Q3832" t="s">
        <v>43</v>
      </c>
      <c r="R3832" t="s">
        <v>89</v>
      </c>
      <c r="S3832" t="s">
        <v>38</v>
      </c>
      <c r="T3832" t="s">
        <v>89</v>
      </c>
      <c r="U3832" t="s">
        <v>301</v>
      </c>
      <c r="V3832" t="s">
        <v>597</v>
      </c>
      <c r="W3832" t="s">
        <v>92</v>
      </c>
      <c r="X3832" t="s">
        <v>302</v>
      </c>
      <c r="Y3832" t="s">
        <v>38</v>
      </c>
      <c r="Z3832" t="s">
        <v>42</v>
      </c>
      <c r="AA3832" t="s">
        <v>38</v>
      </c>
      <c r="AB3832" t="s">
        <v>38</v>
      </c>
      <c r="AC3832" t="s">
        <v>38</v>
      </c>
      <c r="AD3832" t="s">
        <v>48</v>
      </c>
      <c r="AG3832" t="str">
        <f>IF(AD3832="United States", IFERROR(INDEX(Sheet2!$C:$C, MATCH(AE3832&amp;AF3832, Sheet2!$E:$E, 0)) &amp; ", " &amp; INDEX(Sheet2!$D:$D, MATCH(AE3832&amp;AF3832, Sheet2!$E:$E, 0)), ""), "-")</f>
        <v/>
      </c>
    </row>
    <row r="3833" spans="1:33" x14ac:dyDescent="0.25">
      <c r="A3833" t="s">
        <v>5622</v>
      </c>
      <c r="B3833" t="s">
        <v>5623</v>
      </c>
      <c r="C3833" t="s">
        <v>5624</v>
      </c>
      <c r="D3833" t="s">
        <v>357</v>
      </c>
      <c r="E3833" t="s">
        <v>300</v>
      </c>
      <c r="F3833">
        <v>1756</v>
      </c>
      <c r="G3833">
        <v>1781</v>
      </c>
      <c r="H3833" t="s">
        <v>38</v>
      </c>
      <c r="I3833" t="s">
        <v>80</v>
      </c>
      <c r="J3833" t="s">
        <v>38</v>
      </c>
      <c r="K3833" t="s">
        <v>38</v>
      </c>
      <c r="L3833" t="s">
        <v>38</v>
      </c>
      <c r="M3833" t="s">
        <v>38</v>
      </c>
      <c r="N3833" t="s">
        <v>38</v>
      </c>
      <c r="O3833" t="s">
        <v>41</v>
      </c>
      <c r="P3833" t="s">
        <v>42</v>
      </c>
      <c r="Q3833" t="s">
        <v>43</v>
      </c>
      <c r="R3833" t="s">
        <v>5625</v>
      </c>
      <c r="S3833" t="s">
        <v>45</v>
      </c>
      <c r="T3833" t="s">
        <v>38</v>
      </c>
      <c r="U3833" t="s">
        <v>38</v>
      </c>
      <c r="V3833" t="s">
        <v>38</v>
      </c>
      <c r="W3833" t="s">
        <v>38</v>
      </c>
      <c r="X3833" t="s">
        <v>38</v>
      </c>
      <c r="Y3833" t="s">
        <v>38</v>
      </c>
      <c r="Z3833" t="s">
        <v>42</v>
      </c>
      <c r="AA3833" t="s">
        <v>1511</v>
      </c>
      <c r="AB3833" t="s">
        <v>38</v>
      </c>
      <c r="AC3833" t="s">
        <v>45</v>
      </c>
      <c r="AD3833" t="s">
        <v>48</v>
      </c>
      <c r="AG3833" t="str">
        <f>IF(AD3833="United States", IFERROR(INDEX(Sheet2!$C:$C, MATCH(AE3833&amp;AF3833, Sheet2!$E:$E, 0)) &amp; ", " &amp; INDEX(Sheet2!$D:$D, MATCH(AE3833&amp;AF3833, Sheet2!$E:$E, 0)), ""), "-")</f>
        <v/>
      </c>
    </row>
    <row r="3834" spans="1:33" x14ac:dyDescent="0.25">
      <c r="A3834" t="s">
        <v>5626</v>
      </c>
      <c r="D3834" t="s">
        <v>2411</v>
      </c>
      <c r="E3834" t="s">
        <v>5627</v>
      </c>
      <c r="F3834">
        <v>1728</v>
      </c>
      <c r="G3834">
        <v>702</v>
      </c>
      <c r="H3834">
        <v>34</v>
      </c>
      <c r="J3834" t="s">
        <v>5628</v>
      </c>
      <c r="O3834" t="s">
        <v>41</v>
      </c>
      <c r="R3834" t="s">
        <v>89</v>
      </c>
      <c r="T3834" t="s">
        <v>89</v>
      </c>
      <c r="U3834" t="s">
        <v>110</v>
      </c>
      <c r="V3834" t="s">
        <v>111</v>
      </c>
      <c r="W3834" t="s">
        <v>92</v>
      </c>
      <c r="X3834" t="s">
        <v>93</v>
      </c>
      <c r="Y3834" t="s">
        <v>38</v>
      </c>
      <c r="AA3834" t="s">
        <v>38</v>
      </c>
      <c r="AB3834" t="s">
        <v>38</v>
      </c>
      <c r="AC3834" t="s">
        <v>38</v>
      </c>
      <c r="AD3834" t="s">
        <v>48</v>
      </c>
      <c r="AG3834" t="str">
        <f>IF(AD3834="United States", IFERROR(INDEX(Sheet2!$C:$C, MATCH(AE3834&amp;AF3834, Sheet2!$E:$E, 0)) &amp; ", " &amp; INDEX(Sheet2!$D:$D, MATCH(AE3834&amp;AF3834, Sheet2!$E:$E, 0)), ""), "-")</f>
        <v/>
      </c>
    </row>
    <row r="3835" spans="1:33" x14ac:dyDescent="0.25">
      <c r="A3835" t="s">
        <v>5626</v>
      </c>
      <c r="D3835" t="s">
        <v>361</v>
      </c>
      <c r="E3835" t="s">
        <v>5629</v>
      </c>
      <c r="F3835">
        <v>1781</v>
      </c>
      <c r="G3835">
        <v>711</v>
      </c>
      <c r="H3835">
        <v>34</v>
      </c>
      <c r="J3835" t="s">
        <v>5628</v>
      </c>
      <c r="O3835" t="s">
        <v>54</v>
      </c>
      <c r="R3835" t="s">
        <v>89</v>
      </c>
      <c r="T3835" t="s">
        <v>89</v>
      </c>
      <c r="U3835" t="s">
        <v>110</v>
      </c>
      <c r="V3835" t="s">
        <v>111</v>
      </c>
      <c r="W3835" t="s">
        <v>92</v>
      </c>
      <c r="X3835" t="s">
        <v>93</v>
      </c>
      <c r="Y3835" t="s">
        <v>38</v>
      </c>
      <c r="AA3835" t="s">
        <v>38</v>
      </c>
      <c r="AB3835" t="s">
        <v>38</v>
      </c>
      <c r="AC3835" t="s">
        <v>38</v>
      </c>
      <c r="AD3835" t="s">
        <v>48</v>
      </c>
      <c r="AG3835" t="str">
        <f>IF(AD3835="United States", IFERROR(INDEX(Sheet2!$C:$C, MATCH(AE3835&amp;AF3835, Sheet2!$E:$E, 0)) &amp; ", " &amp; INDEX(Sheet2!$D:$D, MATCH(AE3835&amp;AF3835, Sheet2!$E:$E, 0)), ""), "-")</f>
        <v/>
      </c>
    </row>
    <row r="3836" spans="1:33" x14ac:dyDescent="0.25">
      <c r="A3836" t="s">
        <v>5626</v>
      </c>
      <c r="D3836" t="s">
        <v>63</v>
      </c>
      <c r="E3836" t="s">
        <v>334</v>
      </c>
      <c r="F3836">
        <v>1764</v>
      </c>
      <c r="G3836">
        <v>701</v>
      </c>
      <c r="H3836">
        <v>33</v>
      </c>
      <c r="J3836" t="s">
        <v>5628</v>
      </c>
      <c r="O3836" t="s">
        <v>41</v>
      </c>
      <c r="R3836" t="s">
        <v>89</v>
      </c>
      <c r="T3836" t="s">
        <v>89</v>
      </c>
      <c r="U3836" t="s">
        <v>110</v>
      </c>
      <c r="V3836" t="s">
        <v>111</v>
      </c>
      <c r="W3836" t="s">
        <v>92</v>
      </c>
      <c r="X3836" t="s">
        <v>93</v>
      </c>
      <c r="Y3836" t="s">
        <v>38</v>
      </c>
      <c r="AA3836" t="s">
        <v>38</v>
      </c>
      <c r="AB3836" t="s">
        <v>38</v>
      </c>
      <c r="AC3836" t="s">
        <v>38</v>
      </c>
      <c r="AD3836" t="s">
        <v>48</v>
      </c>
      <c r="AG3836" t="str">
        <f>IF(AD3836="United States", IFERROR(INDEX(Sheet2!$C:$C, MATCH(AE3836&amp;AF3836, Sheet2!$E:$E, 0)) &amp; ", " &amp; INDEX(Sheet2!$D:$D, MATCH(AE3836&amp;AF3836, Sheet2!$E:$E, 0)), ""), "-")</f>
        <v/>
      </c>
    </row>
    <row r="3837" spans="1:33" x14ac:dyDescent="0.25">
      <c r="A3837" t="s">
        <v>5626</v>
      </c>
      <c r="D3837" t="s">
        <v>210</v>
      </c>
      <c r="E3837" t="s">
        <v>2941</v>
      </c>
      <c r="F3837">
        <v>1738</v>
      </c>
      <c r="G3837">
        <v>709</v>
      </c>
      <c r="H3837">
        <v>34</v>
      </c>
      <c r="J3837" t="s">
        <v>5628</v>
      </c>
      <c r="O3837" t="s">
        <v>41</v>
      </c>
      <c r="R3837" t="s">
        <v>89</v>
      </c>
      <c r="T3837" t="s">
        <v>89</v>
      </c>
      <c r="U3837" t="s">
        <v>110</v>
      </c>
      <c r="V3837" t="s">
        <v>111</v>
      </c>
      <c r="W3837" t="s">
        <v>92</v>
      </c>
      <c r="X3837" t="s">
        <v>93</v>
      </c>
      <c r="Y3837" t="s">
        <v>38</v>
      </c>
      <c r="AA3837" t="s">
        <v>38</v>
      </c>
      <c r="AB3837" t="s">
        <v>38</v>
      </c>
      <c r="AC3837" t="s">
        <v>38</v>
      </c>
      <c r="AD3837" t="s">
        <v>48</v>
      </c>
      <c r="AG3837" t="str">
        <f>IF(AD3837="United States", IFERROR(INDEX(Sheet2!$C:$C, MATCH(AE3837&amp;AF3837, Sheet2!$E:$E, 0)) &amp; ", " &amp; INDEX(Sheet2!$D:$D, MATCH(AE3837&amp;AF3837, Sheet2!$E:$E, 0)), ""), "-")</f>
        <v/>
      </c>
    </row>
    <row r="3838" spans="1:33" x14ac:dyDescent="0.25">
      <c r="A3838" t="s">
        <v>5626</v>
      </c>
      <c r="D3838" t="s">
        <v>361</v>
      </c>
      <c r="E3838" t="s">
        <v>5630</v>
      </c>
      <c r="F3838">
        <v>1766</v>
      </c>
      <c r="G3838">
        <v>708</v>
      </c>
      <c r="H3838">
        <v>34</v>
      </c>
      <c r="J3838" t="s">
        <v>5628</v>
      </c>
      <c r="O3838" t="s">
        <v>41</v>
      </c>
      <c r="R3838" t="s">
        <v>89</v>
      </c>
      <c r="T3838" t="s">
        <v>89</v>
      </c>
      <c r="U3838" t="s">
        <v>110</v>
      </c>
      <c r="V3838" t="s">
        <v>111</v>
      </c>
      <c r="W3838" t="s">
        <v>92</v>
      </c>
      <c r="X3838" t="s">
        <v>93</v>
      </c>
      <c r="Y3838" t="s">
        <v>38</v>
      </c>
      <c r="AA3838" t="s">
        <v>38</v>
      </c>
      <c r="AB3838" t="s">
        <v>38</v>
      </c>
      <c r="AC3838" t="s">
        <v>38</v>
      </c>
      <c r="AD3838" t="s">
        <v>48</v>
      </c>
      <c r="AG3838" t="str">
        <f>IF(AD3838="United States", IFERROR(INDEX(Sheet2!$C:$C, MATCH(AE3838&amp;AF3838, Sheet2!$E:$E, 0)) &amp; ", " &amp; INDEX(Sheet2!$D:$D, MATCH(AE3838&amp;AF3838, Sheet2!$E:$E, 0)), ""), "-")</f>
        <v/>
      </c>
    </row>
    <row r="3839" spans="1:33" x14ac:dyDescent="0.25">
      <c r="A3839" t="s">
        <v>5626</v>
      </c>
      <c r="D3839" t="s">
        <v>361</v>
      </c>
      <c r="E3839" t="s">
        <v>5631</v>
      </c>
      <c r="F3839">
        <v>1775</v>
      </c>
      <c r="G3839">
        <v>707</v>
      </c>
      <c r="H3839">
        <v>34</v>
      </c>
      <c r="J3839" t="s">
        <v>5628</v>
      </c>
      <c r="O3839" t="s">
        <v>54</v>
      </c>
      <c r="R3839" t="s">
        <v>89</v>
      </c>
      <c r="T3839" t="s">
        <v>89</v>
      </c>
      <c r="U3839" t="s">
        <v>110</v>
      </c>
      <c r="V3839" t="s">
        <v>111</v>
      </c>
      <c r="W3839" t="s">
        <v>92</v>
      </c>
      <c r="X3839" t="s">
        <v>93</v>
      </c>
      <c r="Y3839" t="s">
        <v>38</v>
      </c>
      <c r="AA3839" t="s">
        <v>38</v>
      </c>
      <c r="AB3839" t="s">
        <v>38</v>
      </c>
      <c r="AC3839" t="s">
        <v>38</v>
      </c>
      <c r="AD3839" t="s">
        <v>48</v>
      </c>
      <c r="AG3839" t="str">
        <f>IF(AD3839="United States", IFERROR(INDEX(Sheet2!$C:$C, MATCH(AE3839&amp;AF3839, Sheet2!$E:$E, 0)) &amp; ", " &amp; INDEX(Sheet2!$D:$D, MATCH(AE3839&amp;AF3839, Sheet2!$E:$E, 0)), ""), "-")</f>
        <v/>
      </c>
    </row>
    <row r="3840" spans="1:33" x14ac:dyDescent="0.25">
      <c r="A3840" t="s">
        <v>5626</v>
      </c>
      <c r="D3840" t="s">
        <v>920</v>
      </c>
      <c r="E3840" t="s">
        <v>1667</v>
      </c>
      <c r="F3840">
        <v>1764</v>
      </c>
      <c r="G3840">
        <v>706</v>
      </c>
      <c r="H3840">
        <v>34</v>
      </c>
      <c r="J3840" t="s">
        <v>5628</v>
      </c>
      <c r="O3840" t="s">
        <v>41</v>
      </c>
      <c r="R3840" t="s">
        <v>89</v>
      </c>
      <c r="T3840" t="s">
        <v>89</v>
      </c>
      <c r="U3840" t="s">
        <v>110</v>
      </c>
      <c r="V3840" t="s">
        <v>111</v>
      </c>
      <c r="W3840" t="s">
        <v>92</v>
      </c>
      <c r="X3840" t="s">
        <v>93</v>
      </c>
      <c r="Y3840" t="s">
        <v>38</v>
      </c>
      <c r="AA3840" t="s">
        <v>38</v>
      </c>
      <c r="AB3840" t="s">
        <v>38</v>
      </c>
      <c r="AC3840" t="s">
        <v>38</v>
      </c>
      <c r="AD3840" t="s">
        <v>48</v>
      </c>
      <c r="AG3840" t="str">
        <f>IF(AD3840="United States", IFERROR(INDEX(Sheet2!$C:$C, MATCH(AE3840&amp;AF3840, Sheet2!$E:$E, 0)) &amp; ", " &amp; INDEX(Sheet2!$D:$D, MATCH(AE3840&amp;AF3840, Sheet2!$E:$E, 0)), ""), "-")</f>
        <v/>
      </c>
    </row>
    <row r="3841" spans="1:33" x14ac:dyDescent="0.25">
      <c r="A3841" t="s">
        <v>5626</v>
      </c>
      <c r="D3841" t="s">
        <v>991</v>
      </c>
      <c r="E3841" t="s">
        <v>5632</v>
      </c>
      <c r="F3841">
        <v>1767</v>
      </c>
      <c r="G3841">
        <v>705</v>
      </c>
      <c r="H3841">
        <v>34</v>
      </c>
      <c r="J3841" t="s">
        <v>5628</v>
      </c>
      <c r="O3841" t="s">
        <v>41</v>
      </c>
      <c r="R3841" t="s">
        <v>89</v>
      </c>
      <c r="T3841" t="s">
        <v>89</v>
      </c>
      <c r="U3841" t="s">
        <v>110</v>
      </c>
      <c r="V3841" t="s">
        <v>111</v>
      </c>
      <c r="W3841" t="s">
        <v>92</v>
      </c>
      <c r="X3841" t="s">
        <v>93</v>
      </c>
      <c r="Y3841" t="s">
        <v>38</v>
      </c>
      <c r="AA3841" t="s">
        <v>38</v>
      </c>
      <c r="AB3841" t="s">
        <v>38</v>
      </c>
      <c r="AC3841" t="s">
        <v>38</v>
      </c>
      <c r="AD3841" t="s">
        <v>48</v>
      </c>
      <c r="AG3841" t="str">
        <f>IF(AD3841="United States", IFERROR(INDEX(Sheet2!$C:$C, MATCH(AE3841&amp;AF3841, Sheet2!$E:$E, 0)) &amp; ", " &amp; INDEX(Sheet2!$D:$D, MATCH(AE3841&amp;AF3841, Sheet2!$E:$E, 0)), ""), "-")</f>
        <v/>
      </c>
    </row>
    <row r="3842" spans="1:33" x14ac:dyDescent="0.25">
      <c r="A3842" t="s">
        <v>5626</v>
      </c>
      <c r="D3842" t="s">
        <v>63</v>
      </c>
      <c r="E3842" t="s">
        <v>5633</v>
      </c>
      <c r="F3842">
        <v>1761</v>
      </c>
      <c r="G3842">
        <v>704</v>
      </c>
      <c r="H3842">
        <v>34</v>
      </c>
      <c r="J3842" t="s">
        <v>5628</v>
      </c>
      <c r="O3842" t="s">
        <v>41</v>
      </c>
      <c r="R3842" t="s">
        <v>89</v>
      </c>
      <c r="T3842" t="s">
        <v>89</v>
      </c>
      <c r="U3842" t="s">
        <v>110</v>
      </c>
      <c r="V3842" t="s">
        <v>111</v>
      </c>
      <c r="W3842" t="s">
        <v>92</v>
      </c>
      <c r="X3842" t="s">
        <v>93</v>
      </c>
      <c r="Y3842" t="s">
        <v>38</v>
      </c>
      <c r="AA3842" t="s">
        <v>38</v>
      </c>
      <c r="AB3842" t="s">
        <v>38</v>
      </c>
      <c r="AC3842" t="s">
        <v>38</v>
      </c>
      <c r="AD3842" t="s">
        <v>48</v>
      </c>
      <c r="AG3842" t="str">
        <f>IF(AD3842="United States", IFERROR(INDEX(Sheet2!$C:$C, MATCH(AE3842&amp;AF3842, Sheet2!$E:$E, 0)) &amp; ", " &amp; INDEX(Sheet2!$D:$D, MATCH(AE3842&amp;AF3842, Sheet2!$E:$E, 0)), ""), "-")</f>
        <v/>
      </c>
    </row>
    <row r="3843" spans="1:33" x14ac:dyDescent="0.25">
      <c r="A3843" t="s">
        <v>5626</v>
      </c>
      <c r="D3843" t="s">
        <v>2411</v>
      </c>
      <c r="E3843" t="s">
        <v>635</v>
      </c>
      <c r="F3843">
        <v>1730</v>
      </c>
      <c r="G3843">
        <v>703</v>
      </c>
      <c r="H3843">
        <v>34</v>
      </c>
      <c r="J3843" t="s">
        <v>5628</v>
      </c>
      <c r="O3843" t="s">
        <v>41</v>
      </c>
      <c r="R3843" t="s">
        <v>89</v>
      </c>
      <c r="T3843" t="s">
        <v>89</v>
      </c>
      <c r="U3843" t="s">
        <v>110</v>
      </c>
      <c r="V3843" t="s">
        <v>111</v>
      </c>
      <c r="W3843" t="s">
        <v>92</v>
      </c>
      <c r="X3843" t="s">
        <v>93</v>
      </c>
      <c r="Y3843" t="s">
        <v>38</v>
      </c>
      <c r="AA3843" t="s">
        <v>38</v>
      </c>
      <c r="AB3843" t="s">
        <v>38</v>
      </c>
      <c r="AC3843" t="s">
        <v>38</v>
      </c>
      <c r="AD3843" t="s">
        <v>48</v>
      </c>
      <c r="AG3843" t="str">
        <f>IF(AD3843="United States", IFERROR(INDEX(Sheet2!$C:$C, MATCH(AE3843&amp;AF3843, Sheet2!$E:$E, 0)) &amp; ", " &amp; INDEX(Sheet2!$D:$D, MATCH(AE3843&amp;AF3843, Sheet2!$E:$E, 0)), ""), "-")</f>
        <v/>
      </c>
    </row>
    <row r="3844" spans="1:33" x14ac:dyDescent="0.25">
      <c r="A3844" t="s">
        <v>5626</v>
      </c>
      <c r="D3844" t="s">
        <v>3714</v>
      </c>
      <c r="E3844" t="s">
        <v>5629</v>
      </c>
      <c r="F3844">
        <v>1751</v>
      </c>
      <c r="G3844">
        <v>710</v>
      </c>
      <c r="H3844">
        <v>34</v>
      </c>
      <c r="J3844" t="s">
        <v>5628</v>
      </c>
      <c r="O3844" t="s">
        <v>57</v>
      </c>
      <c r="R3844" t="s">
        <v>89</v>
      </c>
      <c r="T3844" t="s">
        <v>89</v>
      </c>
      <c r="U3844" t="s">
        <v>110</v>
      </c>
      <c r="V3844" t="s">
        <v>111</v>
      </c>
      <c r="W3844" t="s">
        <v>92</v>
      </c>
      <c r="X3844" t="s">
        <v>93</v>
      </c>
      <c r="Y3844" t="s">
        <v>38</v>
      </c>
      <c r="AA3844" t="s">
        <v>38</v>
      </c>
      <c r="AB3844" t="s">
        <v>38</v>
      </c>
      <c r="AC3844" t="s">
        <v>38</v>
      </c>
      <c r="AD3844" t="s">
        <v>48</v>
      </c>
      <c r="AG3844" t="str">
        <f>IF(AD3844="United States", IFERROR(INDEX(Sheet2!$C:$C, MATCH(AE3844&amp;AF3844, Sheet2!$E:$E, 0)) &amp; ", " &amp; INDEX(Sheet2!$D:$D, MATCH(AE3844&amp;AF3844, Sheet2!$E:$E, 0)), ""), "-")</f>
        <v/>
      </c>
    </row>
    <row r="3845" spans="1:33" x14ac:dyDescent="0.25">
      <c r="A3845" t="s">
        <v>5634</v>
      </c>
      <c r="B3845" t="s">
        <v>5635</v>
      </c>
      <c r="C3845" t="s">
        <v>5636</v>
      </c>
      <c r="D3845" t="s">
        <v>3714</v>
      </c>
      <c r="E3845" t="s">
        <v>5637</v>
      </c>
      <c r="F3845">
        <v>1751</v>
      </c>
      <c r="G3845">
        <v>646</v>
      </c>
      <c r="H3845" t="s">
        <v>38</v>
      </c>
      <c r="I3845" t="s">
        <v>39</v>
      </c>
      <c r="J3845" t="s">
        <v>38</v>
      </c>
      <c r="K3845" t="s">
        <v>38</v>
      </c>
      <c r="L3845" t="s">
        <v>38</v>
      </c>
      <c r="M3845" t="s">
        <v>38</v>
      </c>
      <c r="N3845" t="s">
        <v>38</v>
      </c>
      <c r="O3845" t="s">
        <v>57</v>
      </c>
      <c r="P3845" t="s">
        <v>42</v>
      </c>
      <c r="Q3845" t="s">
        <v>43</v>
      </c>
      <c r="R3845" t="s">
        <v>38</v>
      </c>
      <c r="S3845" t="s">
        <v>1063</v>
      </c>
      <c r="T3845" t="s">
        <v>38</v>
      </c>
      <c r="U3845" t="s">
        <v>38</v>
      </c>
      <c r="V3845" t="s">
        <v>38</v>
      </c>
      <c r="W3845" t="s">
        <v>38</v>
      </c>
      <c r="X3845" t="s">
        <v>38</v>
      </c>
      <c r="Y3845" t="s">
        <v>38</v>
      </c>
      <c r="Z3845" t="s">
        <v>42</v>
      </c>
      <c r="AA3845" t="s">
        <v>38</v>
      </c>
      <c r="AB3845" t="s">
        <v>38</v>
      </c>
      <c r="AC3845" t="s">
        <v>1063</v>
      </c>
      <c r="AD3845" t="s">
        <v>48</v>
      </c>
      <c r="AG3845" t="str">
        <f>IF(AD3845="United States", IFERROR(INDEX(Sheet2!$C:$C, MATCH(AE3845&amp;AF3845, Sheet2!$E:$E, 0)) &amp; ", " &amp; INDEX(Sheet2!$D:$D, MATCH(AE3845&amp;AF3845, Sheet2!$E:$E, 0)), ""), "-")</f>
        <v/>
      </c>
    </row>
    <row r="3846" spans="1:33" x14ac:dyDescent="0.25">
      <c r="A3846" t="s">
        <v>5634</v>
      </c>
      <c r="B3846" t="s">
        <v>5638</v>
      </c>
      <c r="C3846" t="s">
        <v>5636</v>
      </c>
      <c r="D3846" t="s">
        <v>361</v>
      </c>
      <c r="E3846" t="s">
        <v>5637</v>
      </c>
      <c r="F3846">
        <v>1781</v>
      </c>
      <c r="G3846">
        <v>647</v>
      </c>
      <c r="H3846" t="s">
        <v>38</v>
      </c>
      <c r="I3846" t="s">
        <v>39</v>
      </c>
      <c r="J3846" t="s">
        <v>38</v>
      </c>
      <c r="K3846" t="s">
        <v>38</v>
      </c>
      <c r="L3846" t="s">
        <v>38</v>
      </c>
      <c r="M3846" t="s">
        <v>38</v>
      </c>
      <c r="N3846" t="s">
        <v>38</v>
      </c>
      <c r="O3846" t="s">
        <v>54</v>
      </c>
      <c r="P3846" t="s">
        <v>42</v>
      </c>
      <c r="Q3846" t="s">
        <v>43</v>
      </c>
      <c r="R3846" t="s">
        <v>38</v>
      </c>
      <c r="S3846" t="s">
        <v>38</v>
      </c>
      <c r="T3846" t="s">
        <v>38</v>
      </c>
      <c r="U3846" t="s">
        <v>38</v>
      </c>
      <c r="V3846" t="s">
        <v>38</v>
      </c>
      <c r="W3846" t="s">
        <v>38</v>
      </c>
      <c r="X3846" t="s">
        <v>38</v>
      </c>
      <c r="Y3846" t="s">
        <v>38</v>
      </c>
      <c r="Z3846" t="s">
        <v>42</v>
      </c>
      <c r="AA3846" t="s">
        <v>38</v>
      </c>
      <c r="AB3846" t="s">
        <v>38</v>
      </c>
      <c r="AC3846" t="s">
        <v>38</v>
      </c>
      <c r="AD3846" t="s">
        <v>48</v>
      </c>
      <c r="AG3846" t="str">
        <f>IF(AD3846="United States", IFERROR(INDEX(Sheet2!$C:$C, MATCH(AE3846&amp;AF3846, Sheet2!$E:$E, 0)) &amp; ", " &amp; INDEX(Sheet2!$D:$D, MATCH(AE3846&amp;AF3846, Sheet2!$E:$E, 0)), ""), "-")</f>
        <v/>
      </c>
    </row>
    <row r="3847" spans="1:33" x14ac:dyDescent="0.25">
      <c r="A3847" t="s">
        <v>5634</v>
      </c>
      <c r="B3847" t="s">
        <v>5639</v>
      </c>
      <c r="C3847" t="s">
        <v>5636</v>
      </c>
      <c r="D3847" t="s">
        <v>361</v>
      </c>
      <c r="E3847" t="s">
        <v>5631</v>
      </c>
      <c r="F3847">
        <v>1775</v>
      </c>
      <c r="G3847">
        <v>643</v>
      </c>
      <c r="H3847" t="s">
        <v>38</v>
      </c>
      <c r="I3847" t="s">
        <v>39</v>
      </c>
      <c r="J3847" t="s">
        <v>38</v>
      </c>
      <c r="K3847" t="s">
        <v>38</v>
      </c>
      <c r="L3847" t="s">
        <v>38</v>
      </c>
      <c r="M3847" t="s">
        <v>38</v>
      </c>
      <c r="N3847" t="s">
        <v>38</v>
      </c>
      <c r="O3847" t="s">
        <v>54</v>
      </c>
      <c r="P3847" t="s">
        <v>42</v>
      </c>
      <c r="Q3847" t="s">
        <v>43</v>
      </c>
      <c r="R3847" t="s">
        <v>38</v>
      </c>
      <c r="S3847" t="s">
        <v>38</v>
      </c>
      <c r="T3847" t="s">
        <v>38</v>
      </c>
      <c r="U3847" t="s">
        <v>38</v>
      </c>
      <c r="V3847" t="s">
        <v>38</v>
      </c>
      <c r="W3847" t="s">
        <v>38</v>
      </c>
      <c r="X3847" t="s">
        <v>38</v>
      </c>
      <c r="Y3847" t="s">
        <v>5640</v>
      </c>
      <c r="Z3847" t="s">
        <v>42</v>
      </c>
      <c r="AA3847" t="s">
        <v>38</v>
      </c>
      <c r="AB3847" t="s">
        <v>38</v>
      </c>
      <c r="AC3847" t="s">
        <v>38</v>
      </c>
      <c r="AD3847" t="s">
        <v>48</v>
      </c>
      <c r="AG3847" t="str">
        <f>IF(AD3847="United States", IFERROR(INDEX(Sheet2!$C:$C, MATCH(AE3847&amp;AF3847, Sheet2!$E:$E, 0)) &amp; ", " &amp; INDEX(Sheet2!$D:$D, MATCH(AE3847&amp;AF3847, Sheet2!$E:$E, 0)), ""), "-")</f>
        <v/>
      </c>
    </row>
    <row r="3848" spans="1:33" x14ac:dyDescent="0.25">
      <c r="A3848" t="s">
        <v>5634</v>
      </c>
      <c r="B3848" t="s">
        <v>5641</v>
      </c>
      <c r="C3848" t="s">
        <v>5636</v>
      </c>
      <c r="D3848" t="s">
        <v>2411</v>
      </c>
      <c r="E3848" t="s">
        <v>5627</v>
      </c>
      <c r="F3848">
        <v>1728</v>
      </c>
      <c r="G3848">
        <v>638</v>
      </c>
      <c r="H3848" t="s">
        <v>38</v>
      </c>
      <c r="I3848" t="s">
        <v>39</v>
      </c>
      <c r="J3848" t="s">
        <v>38</v>
      </c>
      <c r="K3848" t="s">
        <v>38</v>
      </c>
      <c r="L3848" t="s">
        <v>38</v>
      </c>
      <c r="M3848" t="s">
        <v>38</v>
      </c>
      <c r="N3848" t="s">
        <v>38</v>
      </c>
      <c r="O3848" t="s">
        <v>54</v>
      </c>
      <c r="P3848" t="s">
        <v>42</v>
      </c>
      <c r="Q3848" t="s">
        <v>43</v>
      </c>
      <c r="R3848" t="s">
        <v>38</v>
      </c>
      <c r="S3848" t="s">
        <v>38</v>
      </c>
      <c r="T3848" t="s">
        <v>38</v>
      </c>
      <c r="U3848" t="s">
        <v>38</v>
      </c>
      <c r="V3848" t="s">
        <v>38</v>
      </c>
      <c r="W3848" t="s">
        <v>38</v>
      </c>
      <c r="X3848" t="s">
        <v>38</v>
      </c>
      <c r="Y3848" t="s">
        <v>5642</v>
      </c>
      <c r="Z3848" t="s">
        <v>42</v>
      </c>
      <c r="AA3848" t="s">
        <v>5643</v>
      </c>
      <c r="AB3848" t="s">
        <v>38</v>
      </c>
      <c r="AC3848" t="s">
        <v>70</v>
      </c>
      <c r="AD3848" t="s">
        <v>48</v>
      </c>
      <c r="AG3848" t="str">
        <f>IF(AD3848="United States", IFERROR(INDEX(Sheet2!$C:$C, MATCH(AE3848&amp;AF3848, Sheet2!$E:$E, 0)) &amp; ", " &amp; INDEX(Sheet2!$D:$D, MATCH(AE3848&amp;AF3848, Sheet2!$E:$E, 0)), ""), "-")</f>
        <v/>
      </c>
    </row>
    <row r="3849" spans="1:33" x14ac:dyDescent="0.25">
      <c r="A3849" t="s">
        <v>5634</v>
      </c>
      <c r="B3849" t="s">
        <v>5644</v>
      </c>
      <c r="C3849" t="s">
        <v>5636</v>
      </c>
      <c r="D3849" t="s">
        <v>2411</v>
      </c>
      <c r="E3849" t="s">
        <v>635</v>
      </c>
      <c r="F3849">
        <v>1730</v>
      </c>
      <c r="G3849">
        <v>639</v>
      </c>
      <c r="H3849" t="s">
        <v>38</v>
      </c>
      <c r="I3849" t="s">
        <v>39</v>
      </c>
      <c r="J3849" t="s">
        <v>38</v>
      </c>
      <c r="K3849" t="s">
        <v>38</v>
      </c>
      <c r="L3849" t="s">
        <v>38</v>
      </c>
      <c r="M3849" t="s">
        <v>38</v>
      </c>
      <c r="N3849" t="s">
        <v>38</v>
      </c>
      <c r="O3849" t="s">
        <v>41</v>
      </c>
      <c r="P3849" t="s">
        <v>42</v>
      </c>
      <c r="Q3849" t="s">
        <v>43</v>
      </c>
      <c r="R3849" t="s">
        <v>38</v>
      </c>
      <c r="S3849" t="s">
        <v>38</v>
      </c>
      <c r="T3849" t="s">
        <v>38</v>
      </c>
      <c r="U3849" t="s">
        <v>38</v>
      </c>
      <c r="V3849" t="s">
        <v>38</v>
      </c>
      <c r="W3849" t="s">
        <v>38</v>
      </c>
      <c r="X3849" t="s">
        <v>38</v>
      </c>
      <c r="Y3849" t="s">
        <v>38</v>
      </c>
      <c r="Z3849" t="s">
        <v>42</v>
      </c>
      <c r="AA3849" t="s">
        <v>38</v>
      </c>
      <c r="AB3849" t="s">
        <v>38</v>
      </c>
      <c r="AC3849" t="s">
        <v>233</v>
      </c>
      <c r="AD3849" t="s">
        <v>48</v>
      </c>
      <c r="AG3849" t="str">
        <f>IF(AD3849="United States", IFERROR(INDEX(Sheet2!$C:$C, MATCH(AE3849&amp;AF3849, Sheet2!$E:$E, 0)) &amp; ", " &amp; INDEX(Sheet2!$D:$D, MATCH(AE3849&amp;AF3849, Sheet2!$E:$E, 0)), ""), "-")</f>
        <v/>
      </c>
    </row>
    <row r="3850" spans="1:33" x14ac:dyDescent="0.25">
      <c r="A3850" t="s">
        <v>5634</v>
      </c>
      <c r="B3850" t="s">
        <v>5645</v>
      </c>
      <c r="C3850" t="s">
        <v>5636</v>
      </c>
      <c r="D3850" t="s">
        <v>798</v>
      </c>
      <c r="E3850" t="s">
        <v>1667</v>
      </c>
      <c r="F3850">
        <v>1764</v>
      </c>
      <c r="G3850">
        <v>642</v>
      </c>
      <c r="H3850" t="s">
        <v>38</v>
      </c>
      <c r="I3850" t="s">
        <v>39</v>
      </c>
      <c r="J3850" t="s">
        <v>38</v>
      </c>
      <c r="K3850" t="s">
        <v>38</v>
      </c>
      <c r="L3850" t="s">
        <v>38</v>
      </c>
      <c r="M3850" t="s">
        <v>38</v>
      </c>
      <c r="N3850" t="s">
        <v>38</v>
      </c>
      <c r="O3850" t="s">
        <v>41</v>
      </c>
      <c r="P3850" t="s">
        <v>42</v>
      </c>
      <c r="Q3850" t="s">
        <v>43</v>
      </c>
      <c r="R3850" t="s">
        <v>5646</v>
      </c>
      <c r="S3850" t="s">
        <v>153</v>
      </c>
      <c r="T3850" t="s">
        <v>38</v>
      </c>
      <c r="U3850" t="s">
        <v>38</v>
      </c>
      <c r="V3850" t="s">
        <v>38</v>
      </c>
      <c r="W3850" t="s">
        <v>38</v>
      </c>
      <c r="X3850" t="s">
        <v>38</v>
      </c>
      <c r="Y3850" t="s">
        <v>5647</v>
      </c>
      <c r="Z3850" t="s">
        <v>42</v>
      </c>
      <c r="AA3850" t="s">
        <v>38</v>
      </c>
      <c r="AB3850" t="s">
        <v>38</v>
      </c>
      <c r="AC3850" t="s">
        <v>153</v>
      </c>
      <c r="AD3850" t="s">
        <v>48</v>
      </c>
      <c r="AG3850" t="str">
        <f>IF(AD3850="United States", IFERROR(INDEX(Sheet2!$C:$C, MATCH(AE3850&amp;AF3850, Sheet2!$E:$E, 0)) &amp; ", " &amp; INDEX(Sheet2!$D:$D, MATCH(AE3850&amp;AF3850, Sheet2!$E:$E, 0)), ""), "-")</f>
        <v/>
      </c>
    </row>
    <row r="3851" spans="1:33" x14ac:dyDescent="0.25">
      <c r="A3851" t="s">
        <v>5634</v>
      </c>
      <c r="B3851" t="s">
        <v>5648</v>
      </c>
      <c r="C3851" t="s">
        <v>5636</v>
      </c>
      <c r="D3851" t="s">
        <v>361</v>
      </c>
      <c r="E3851" t="s">
        <v>5630</v>
      </c>
      <c r="F3851">
        <v>1766</v>
      </c>
      <c r="G3851">
        <v>644</v>
      </c>
      <c r="H3851" t="s">
        <v>38</v>
      </c>
      <c r="I3851" t="s">
        <v>39</v>
      </c>
      <c r="J3851" t="s">
        <v>38</v>
      </c>
      <c r="K3851" t="s">
        <v>38</v>
      </c>
      <c r="L3851" t="s">
        <v>38</v>
      </c>
      <c r="M3851" t="s">
        <v>38</v>
      </c>
      <c r="N3851" t="s">
        <v>38</v>
      </c>
      <c r="O3851" t="s">
        <v>54</v>
      </c>
      <c r="P3851" t="s">
        <v>42</v>
      </c>
      <c r="Q3851" t="s">
        <v>43</v>
      </c>
      <c r="R3851" t="s">
        <v>169</v>
      </c>
      <c r="S3851" t="s">
        <v>45</v>
      </c>
      <c r="T3851" t="s">
        <v>38</v>
      </c>
      <c r="U3851" t="s">
        <v>38</v>
      </c>
      <c r="V3851" t="s">
        <v>38</v>
      </c>
      <c r="W3851" t="s">
        <v>38</v>
      </c>
      <c r="X3851" t="s">
        <v>38</v>
      </c>
      <c r="Y3851" t="s">
        <v>5640</v>
      </c>
      <c r="Z3851" t="s">
        <v>42</v>
      </c>
      <c r="AA3851" t="s">
        <v>169</v>
      </c>
      <c r="AB3851" t="s">
        <v>38</v>
      </c>
      <c r="AC3851" t="s">
        <v>45</v>
      </c>
      <c r="AD3851" t="s">
        <v>48</v>
      </c>
      <c r="AG3851" t="str">
        <f>IF(AD3851="United States", IFERROR(INDEX(Sheet2!$C:$C, MATCH(AE3851&amp;AF3851, Sheet2!$E:$E, 0)) &amp; ", " &amp; INDEX(Sheet2!$D:$D, MATCH(AE3851&amp;AF3851, Sheet2!$E:$E, 0)), ""), "-")</f>
        <v/>
      </c>
    </row>
    <row r="3852" spans="1:33" x14ac:dyDescent="0.25">
      <c r="A3852" t="s">
        <v>5634</v>
      </c>
      <c r="B3852" t="s">
        <v>5649</v>
      </c>
      <c r="C3852" t="s">
        <v>5636</v>
      </c>
      <c r="D3852" t="s">
        <v>63</v>
      </c>
      <c r="E3852" t="s">
        <v>5633</v>
      </c>
      <c r="F3852">
        <v>1761</v>
      </c>
      <c r="G3852">
        <v>640</v>
      </c>
      <c r="H3852" t="s">
        <v>38</v>
      </c>
      <c r="I3852" t="s">
        <v>39</v>
      </c>
      <c r="J3852" t="s">
        <v>38</v>
      </c>
      <c r="K3852" t="s">
        <v>38</v>
      </c>
      <c r="L3852" t="s">
        <v>38</v>
      </c>
      <c r="M3852" t="s">
        <v>38</v>
      </c>
      <c r="N3852" t="s">
        <v>38</v>
      </c>
      <c r="O3852" t="s">
        <v>41</v>
      </c>
      <c r="P3852" t="s">
        <v>42</v>
      </c>
      <c r="Q3852" t="s">
        <v>43</v>
      </c>
      <c r="R3852" t="s">
        <v>169</v>
      </c>
      <c r="S3852" t="s">
        <v>45</v>
      </c>
      <c r="T3852" t="s">
        <v>38</v>
      </c>
      <c r="U3852" t="s">
        <v>38</v>
      </c>
      <c r="V3852" t="s">
        <v>38</v>
      </c>
      <c r="W3852" t="s">
        <v>38</v>
      </c>
      <c r="X3852" t="s">
        <v>38</v>
      </c>
      <c r="Y3852" t="s">
        <v>5650</v>
      </c>
      <c r="Z3852" t="s">
        <v>42</v>
      </c>
      <c r="AA3852" t="s">
        <v>169</v>
      </c>
      <c r="AB3852" t="s">
        <v>38</v>
      </c>
      <c r="AC3852" t="s">
        <v>45</v>
      </c>
      <c r="AD3852" t="s">
        <v>48</v>
      </c>
      <c r="AG3852" t="str">
        <f>IF(AD3852="United States", IFERROR(INDEX(Sheet2!$C:$C, MATCH(AE3852&amp;AF3852, Sheet2!$E:$E, 0)) &amp; ", " &amp; INDEX(Sheet2!$D:$D, MATCH(AE3852&amp;AF3852, Sheet2!$E:$E, 0)), ""), "-")</f>
        <v/>
      </c>
    </row>
    <row r="3853" spans="1:33" x14ac:dyDescent="0.25">
      <c r="A3853" t="s">
        <v>5634</v>
      </c>
      <c r="B3853" t="s">
        <v>5651</v>
      </c>
      <c r="C3853" t="s">
        <v>5636</v>
      </c>
      <c r="D3853" t="s">
        <v>63</v>
      </c>
      <c r="E3853" t="s">
        <v>334</v>
      </c>
      <c r="F3853">
        <v>1764</v>
      </c>
      <c r="G3853">
        <v>637</v>
      </c>
      <c r="H3853" t="s">
        <v>38</v>
      </c>
      <c r="I3853" t="s">
        <v>39</v>
      </c>
      <c r="J3853" t="s">
        <v>38</v>
      </c>
      <c r="K3853" t="s">
        <v>38</v>
      </c>
      <c r="L3853" t="s">
        <v>38</v>
      </c>
      <c r="M3853" t="s">
        <v>38</v>
      </c>
      <c r="N3853" t="s">
        <v>38</v>
      </c>
      <c r="O3853" t="s">
        <v>41</v>
      </c>
      <c r="P3853" t="s">
        <v>42</v>
      </c>
      <c r="Q3853" t="s">
        <v>43</v>
      </c>
      <c r="R3853" t="s">
        <v>5652</v>
      </c>
      <c r="S3853" t="s">
        <v>153</v>
      </c>
      <c r="T3853" t="s">
        <v>38</v>
      </c>
      <c r="U3853" t="s">
        <v>38</v>
      </c>
      <c r="V3853" t="s">
        <v>38</v>
      </c>
      <c r="W3853" t="s">
        <v>38</v>
      </c>
      <c r="X3853" t="s">
        <v>38</v>
      </c>
      <c r="Y3853" t="s">
        <v>5640</v>
      </c>
      <c r="Z3853" t="s">
        <v>42</v>
      </c>
      <c r="AA3853" t="s">
        <v>5652</v>
      </c>
      <c r="AB3853" t="s">
        <v>38</v>
      </c>
      <c r="AC3853" t="s">
        <v>153</v>
      </c>
      <c r="AD3853" t="s">
        <v>48</v>
      </c>
      <c r="AG3853" t="str">
        <f>IF(AD3853="United States", IFERROR(INDEX(Sheet2!$C:$C, MATCH(AE3853&amp;AF3853, Sheet2!$E:$E, 0)) &amp; ", " &amp; INDEX(Sheet2!$D:$D, MATCH(AE3853&amp;AF3853, Sheet2!$E:$E, 0)), ""), "-")</f>
        <v/>
      </c>
    </row>
    <row r="3854" spans="1:33" x14ac:dyDescent="0.25">
      <c r="A3854" t="s">
        <v>5634</v>
      </c>
      <c r="B3854" t="s">
        <v>5653</v>
      </c>
      <c r="C3854" t="s">
        <v>5636</v>
      </c>
      <c r="D3854" t="s">
        <v>210</v>
      </c>
      <c r="E3854" t="s">
        <v>4966</v>
      </c>
      <c r="F3854">
        <v>1738</v>
      </c>
      <c r="G3854">
        <v>645</v>
      </c>
      <c r="H3854" t="s">
        <v>38</v>
      </c>
      <c r="I3854" t="s">
        <v>39</v>
      </c>
      <c r="J3854" t="s">
        <v>38</v>
      </c>
      <c r="K3854" t="s">
        <v>38</v>
      </c>
      <c r="L3854" t="s">
        <v>38</v>
      </c>
      <c r="M3854" t="s">
        <v>38</v>
      </c>
      <c r="N3854" t="s">
        <v>38</v>
      </c>
      <c r="O3854" t="s">
        <v>41</v>
      </c>
      <c r="P3854" t="s">
        <v>42</v>
      </c>
      <c r="Q3854" t="s">
        <v>43</v>
      </c>
      <c r="R3854" t="s">
        <v>38</v>
      </c>
      <c r="S3854" t="s">
        <v>1063</v>
      </c>
      <c r="T3854" t="s">
        <v>38</v>
      </c>
      <c r="U3854" t="s">
        <v>38</v>
      </c>
      <c r="V3854" t="s">
        <v>38</v>
      </c>
      <c r="W3854" t="s">
        <v>38</v>
      </c>
      <c r="X3854" t="s">
        <v>38</v>
      </c>
      <c r="Y3854" t="s">
        <v>38</v>
      </c>
      <c r="Z3854" t="s">
        <v>42</v>
      </c>
      <c r="AA3854" t="s">
        <v>38</v>
      </c>
      <c r="AB3854" t="s">
        <v>38</v>
      </c>
      <c r="AC3854" t="s">
        <v>1063</v>
      </c>
      <c r="AD3854" t="s">
        <v>48</v>
      </c>
      <c r="AG3854" t="str">
        <f>IF(AD3854="United States", IFERROR(INDEX(Sheet2!$C:$C, MATCH(AE3854&amp;AF3854, Sheet2!$E:$E, 0)) &amp; ", " &amp; INDEX(Sheet2!$D:$D, MATCH(AE3854&amp;AF3854, Sheet2!$E:$E, 0)), ""), "-")</f>
        <v/>
      </c>
    </row>
    <row r="3855" spans="1:33" x14ac:dyDescent="0.25">
      <c r="A3855" t="s">
        <v>5634</v>
      </c>
      <c r="B3855" t="s">
        <v>5654</v>
      </c>
      <c r="C3855" t="s">
        <v>5636</v>
      </c>
      <c r="D3855" t="s">
        <v>991</v>
      </c>
      <c r="E3855" t="s">
        <v>5632</v>
      </c>
      <c r="F3855">
        <v>1767</v>
      </c>
      <c r="G3855">
        <v>641</v>
      </c>
      <c r="H3855" t="s">
        <v>38</v>
      </c>
      <c r="I3855" t="s">
        <v>39</v>
      </c>
      <c r="J3855" t="s">
        <v>38</v>
      </c>
      <c r="K3855" t="s">
        <v>38</v>
      </c>
      <c r="L3855" t="s">
        <v>38</v>
      </c>
      <c r="M3855" t="s">
        <v>38</v>
      </c>
      <c r="N3855" t="s">
        <v>38</v>
      </c>
      <c r="O3855" t="s">
        <v>54</v>
      </c>
      <c r="P3855" t="s">
        <v>42</v>
      </c>
      <c r="Q3855" t="s">
        <v>43</v>
      </c>
      <c r="R3855" t="s">
        <v>38</v>
      </c>
      <c r="S3855" t="s">
        <v>38</v>
      </c>
      <c r="T3855" t="s">
        <v>38</v>
      </c>
      <c r="U3855" t="s">
        <v>38</v>
      </c>
      <c r="V3855" t="s">
        <v>38</v>
      </c>
      <c r="W3855" t="s">
        <v>38</v>
      </c>
      <c r="X3855" t="s">
        <v>38</v>
      </c>
      <c r="Y3855" t="s">
        <v>5655</v>
      </c>
      <c r="Z3855" t="s">
        <v>42</v>
      </c>
      <c r="AA3855" t="s">
        <v>38</v>
      </c>
      <c r="AB3855" t="s">
        <v>38</v>
      </c>
      <c r="AC3855" t="s">
        <v>155</v>
      </c>
      <c r="AD3855" t="s">
        <v>48</v>
      </c>
      <c r="AG3855" t="str">
        <f>IF(AD3855="United States", IFERROR(INDEX(Sheet2!$C:$C, MATCH(AE3855&amp;AF3855, Sheet2!$E:$E, 0)) &amp; ", " &amp; INDEX(Sheet2!$D:$D, MATCH(AE3855&amp;AF3855, Sheet2!$E:$E, 0)), ""), "-")</f>
        <v/>
      </c>
    </row>
    <row r="3856" spans="1:33" x14ac:dyDescent="0.25">
      <c r="A3856" t="s">
        <v>5656</v>
      </c>
      <c r="D3856" t="s">
        <v>5657</v>
      </c>
      <c r="E3856" t="s">
        <v>4138</v>
      </c>
      <c r="F3856">
        <v>1763</v>
      </c>
      <c r="G3856">
        <v>768</v>
      </c>
      <c r="H3856">
        <v>35</v>
      </c>
      <c r="J3856" t="s">
        <v>5658</v>
      </c>
      <c r="O3856" t="s">
        <v>57</v>
      </c>
      <c r="R3856" t="s">
        <v>89</v>
      </c>
      <c r="T3856" t="s">
        <v>89</v>
      </c>
      <c r="U3856" t="s">
        <v>110</v>
      </c>
      <c r="V3856" t="s">
        <v>941</v>
      </c>
      <c r="W3856" t="s">
        <v>92</v>
      </c>
      <c r="X3856" t="s">
        <v>93</v>
      </c>
      <c r="Y3856" t="s">
        <v>38</v>
      </c>
      <c r="AA3856" t="s">
        <v>38</v>
      </c>
      <c r="AB3856" t="s">
        <v>38</v>
      </c>
      <c r="AC3856" t="s">
        <v>38</v>
      </c>
      <c r="AD3856" t="s">
        <v>48</v>
      </c>
      <c r="AG3856" t="str">
        <f>IF(AD3856="United States", IFERROR(INDEX(Sheet2!$C:$C, MATCH(AE3856&amp;AF3856, Sheet2!$E:$E, 0)) &amp; ", " &amp; INDEX(Sheet2!$D:$D, MATCH(AE3856&amp;AF3856, Sheet2!$E:$E, 0)), ""), "-")</f>
        <v/>
      </c>
    </row>
    <row r="3857" spans="1:33" x14ac:dyDescent="0.25">
      <c r="A3857" t="s">
        <v>5656</v>
      </c>
      <c r="D3857" t="s">
        <v>181</v>
      </c>
      <c r="E3857" t="s">
        <v>650</v>
      </c>
      <c r="F3857" t="s">
        <v>38</v>
      </c>
      <c r="G3857">
        <v>769</v>
      </c>
      <c r="H3857">
        <v>35</v>
      </c>
      <c r="J3857" t="s">
        <v>5658</v>
      </c>
      <c r="O3857" t="s">
        <v>183</v>
      </c>
      <c r="R3857" t="s">
        <v>89</v>
      </c>
      <c r="T3857" t="s">
        <v>89</v>
      </c>
      <c r="U3857" t="s">
        <v>110</v>
      </c>
      <c r="V3857" t="s">
        <v>941</v>
      </c>
      <c r="W3857" t="s">
        <v>92</v>
      </c>
      <c r="X3857" t="s">
        <v>93</v>
      </c>
      <c r="Y3857" t="s">
        <v>38</v>
      </c>
      <c r="AA3857" t="s">
        <v>38</v>
      </c>
      <c r="AB3857" t="s">
        <v>38</v>
      </c>
      <c r="AC3857" t="s">
        <v>38</v>
      </c>
      <c r="AD3857" t="s">
        <v>48</v>
      </c>
      <c r="AG3857" t="str">
        <f>IF(AD3857="United States", IFERROR(INDEX(Sheet2!$C:$C, MATCH(AE3857&amp;AF3857, Sheet2!$E:$E, 0)) &amp; ", " &amp; INDEX(Sheet2!$D:$D, MATCH(AE3857&amp;AF3857, Sheet2!$E:$E, 0)), ""), "-")</f>
        <v/>
      </c>
    </row>
    <row r="3858" spans="1:33" x14ac:dyDescent="0.25">
      <c r="A3858" t="s">
        <v>5656</v>
      </c>
      <c r="B3858" t="s">
        <v>5659</v>
      </c>
      <c r="C3858" t="s">
        <v>5660</v>
      </c>
      <c r="D3858" t="s">
        <v>204</v>
      </c>
      <c r="E3858" t="s">
        <v>38</v>
      </c>
      <c r="F3858">
        <v>1767</v>
      </c>
      <c r="G3858">
        <v>699</v>
      </c>
      <c r="H3858" t="s">
        <v>38</v>
      </c>
      <c r="I3858" t="s">
        <v>39</v>
      </c>
      <c r="J3858" t="s">
        <v>5658</v>
      </c>
      <c r="K3858" t="s">
        <v>38</v>
      </c>
      <c r="L3858" t="s">
        <v>38</v>
      </c>
      <c r="M3858" t="s">
        <v>38</v>
      </c>
      <c r="N3858" t="s">
        <v>38</v>
      </c>
      <c r="O3858" t="s">
        <v>54</v>
      </c>
      <c r="P3858" t="s">
        <v>42</v>
      </c>
      <c r="Q3858" t="s">
        <v>43</v>
      </c>
      <c r="R3858" t="s">
        <v>38</v>
      </c>
      <c r="S3858" t="s">
        <v>38</v>
      </c>
      <c r="T3858" t="s">
        <v>38</v>
      </c>
      <c r="U3858" t="s">
        <v>38</v>
      </c>
      <c r="V3858" t="s">
        <v>270</v>
      </c>
      <c r="W3858" t="s">
        <v>38</v>
      </c>
      <c r="X3858" t="s">
        <v>38</v>
      </c>
      <c r="Y3858" t="s">
        <v>5661</v>
      </c>
      <c r="Z3858" t="s">
        <v>42</v>
      </c>
      <c r="AA3858" t="s">
        <v>38</v>
      </c>
      <c r="AB3858" t="s">
        <v>38</v>
      </c>
      <c r="AC3858" t="s">
        <v>38</v>
      </c>
      <c r="AD3858" t="s">
        <v>48</v>
      </c>
      <c r="AG3858" t="str">
        <f>IF(AD3858="United States", IFERROR(INDEX(Sheet2!$C:$C, MATCH(AE3858&amp;AF3858, Sheet2!$E:$E, 0)) &amp; ", " &amp; INDEX(Sheet2!$D:$D, MATCH(AE3858&amp;AF3858, Sheet2!$E:$E, 0)), ""), "-")</f>
        <v/>
      </c>
    </row>
    <row r="3859" spans="1:33" x14ac:dyDescent="0.25">
      <c r="A3859" t="s">
        <v>5656</v>
      </c>
      <c r="B3859" t="s">
        <v>5662</v>
      </c>
      <c r="C3859" t="s">
        <v>5660</v>
      </c>
      <c r="D3859" t="s">
        <v>1336</v>
      </c>
      <c r="E3859" t="s">
        <v>38</v>
      </c>
      <c r="F3859">
        <v>1761</v>
      </c>
      <c r="G3859">
        <v>697</v>
      </c>
      <c r="H3859" t="s">
        <v>2634</v>
      </c>
      <c r="I3859" t="s">
        <v>39</v>
      </c>
      <c r="J3859" t="s">
        <v>5658</v>
      </c>
      <c r="K3859" t="s">
        <v>38</v>
      </c>
      <c r="L3859" t="s">
        <v>38</v>
      </c>
      <c r="M3859" t="s">
        <v>38</v>
      </c>
      <c r="N3859" t="s">
        <v>38</v>
      </c>
      <c r="O3859" t="s">
        <v>41</v>
      </c>
      <c r="P3859" t="s">
        <v>42</v>
      </c>
      <c r="Q3859" t="s">
        <v>43</v>
      </c>
      <c r="R3859" t="s">
        <v>89</v>
      </c>
      <c r="S3859" t="s">
        <v>38</v>
      </c>
      <c r="T3859" t="s">
        <v>89</v>
      </c>
      <c r="U3859" t="s">
        <v>110</v>
      </c>
      <c r="V3859" t="s">
        <v>270</v>
      </c>
      <c r="W3859" t="s">
        <v>92</v>
      </c>
      <c r="X3859" t="s">
        <v>93</v>
      </c>
      <c r="Y3859" t="s">
        <v>5663</v>
      </c>
      <c r="Z3859" t="s">
        <v>42</v>
      </c>
      <c r="AA3859" t="s">
        <v>38</v>
      </c>
      <c r="AB3859" t="s">
        <v>38</v>
      </c>
      <c r="AC3859" t="s">
        <v>60</v>
      </c>
      <c r="AD3859" t="s">
        <v>48</v>
      </c>
      <c r="AG3859" t="str">
        <f>IF(AD3859="United States", IFERROR(INDEX(Sheet2!$C:$C, MATCH(AE3859&amp;AF3859, Sheet2!$E:$E, 0)) &amp; ", " &amp; INDEX(Sheet2!$D:$D, MATCH(AE3859&amp;AF3859, Sheet2!$E:$E, 0)), ""), "-")</f>
        <v/>
      </c>
    </row>
    <row r="3860" spans="1:33" x14ac:dyDescent="0.25">
      <c r="A3860" t="s">
        <v>5656</v>
      </c>
      <c r="B3860" t="s">
        <v>5664</v>
      </c>
      <c r="C3860" t="s">
        <v>5660</v>
      </c>
      <c r="D3860" t="s">
        <v>195</v>
      </c>
      <c r="E3860" t="s">
        <v>5665</v>
      </c>
      <c r="F3860">
        <v>1756</v>
      </c>
      <c r="G3860">
        <v>700</v>
      </c>
      <c r="H3860" t="s">
        <v>2634</v>
      </c>
      <c r="I3860" t="s">
        <v>39</v>
      </c>
      <c r="J3860" t="s">
        <v>5658</v>
      </c>
      <c r="K3860" t="s">
        <v>38</v>
      </c>
      <c r="L3860" t="s">
        <v>38</v>
      </c>
      <c r="M3860" t="s">
        <v>38</v>
      </c>
      <c r="N3860" t="s">
        <v>38</v>
      </c>
      <c r="O3860" t="s">
        <v>41</v>
      </c>
      <c r="P3860" t="s">
        <v>42</v>
      </c>
      <c r="Q3860" t="s">
        <v>43</v>
      </c>
      <c r="R3860" t="s">
        <v>89</v>
      </c>
      <c r="S3860" t="s">
        <v>1063</v>
      </c>
      <c r="T3860" t="s">
        <v>89</v>
      </c>
      <c r="U3860" t="s">
        <v>110</v>
      </c>
      <c r="V3860" t="s">
        <v>270</v>
      </c>
      <c r="W3860" t="s">
        <v>92</v>
      </c>
      <c r="X3860" t="s">
        <v>93</v>
      </c>
      <c r="Y3860" t="s">
        <v>5666</v>
      </c>
      <c r="Z3860" t="s">
        <v>42</v>
      </c>
      <c r="AA3860" t="s">
        <v>5667</v>
      </c>
      <c r="AB3860" t="s">
        <v>38</v>
      </c>
      <c r="AC3860" t="s">
        <v>1063</v>
      </c>
      <c r="AD3860" t="s">
        <v>48</v>
      </c>
      <c r="AG3860" t="str">
        <f>IF(AD3860="United States", IFERROR(INDEX(Sheet2!$C:$C, MATCH(AE3860&amp;AF3860, Sheet2!$E:$E, 0)) &amp; ", " &amp; INDEX(Sheet2!$D:$D, MATCH(AE3860&amp;AF3860, Sheet2!$E:$E, 0)), ""), "-")</f>
        <v/>
      </c>
    </row>
    <row r="3861" spans="1:33" x14ac:dyDescent="0.25">
      <c r="A3861" t="s">
        <v>5656</v>
      </c>
      <c r="B3861" t="s">
        <v>5668</v>
      </c>
      <c r="C3861" t="s">
        <v>5660</v>
      </c>
      <c r="D3861" t="s">
        <v>114</v>
      </c>
      <c r="E3861" t="s">
        <v>38</v>
      </c>
      <c r="F3861">
        <v>1744</v>
      </c>
      <c r="G3861">
        <v>701</v>
      </c>
      <c r="H3861" t="s">
        <v>2634</v>
      </c>
      <c r="I3861" t="s">
        <v>39</v>
      </c>
      <c r="J3861" t="s">
        <v>5658</v>
      </c>
      <c r="K3861" t="s">
        <v>38</v>
      </c>
      <c r="L3861" t="s">
        <v>38</v>
      </c>
      <c r="M3861" t="s">
        <v>38</v>
      </c>
      <c r="N3861" t="s">
        <v>38</v>
      </c>
      <c r="O3861" t="s">
        <v>57</v>
      </c>
      <c r="P3861" t="s">
        <v>42</v>
      </c>
      <c r="Q3861" t="s">
        <v>43</v>
      </c>
      <c r="R3861" t="s">
        <v>89</v>
      </c>
      <c r="S3861" t="s">
        <v>45</v>
      </c>
      <c r="T3861" t="s">
        <v>89</v>
      </c>
      <c r="U3861" t="s">
        <v>110</v>
      </c>
      <c r="V3861" t="s">
        <v>270</v>
      </c>
      <c r="W3861" t="s">
        <v>92</v>
      </c>
      <c r="X3861" t="s">
        <v>93</v>
      </c>
      <c r="Y3861" t="s">
        <v>5669</v>
      </c>
      <c r="Z3861" t="s">
        <v>42</v>
      </c>
      <c r="AA3861" t="s">
        <v>5670</v>
      </c>
      <c r="AB3861" t="s">
        <v>38</v>
      </c>
      <c r="AC3861" t="s">
        <v>45</v>
      </c>
      <c r="AD3861" t="s">
        <v>48</v>
      </c>
      <c r="AG3861" t="str">
        <f>IF(AD3861="United States", IFERROR(INDEX(Sheet2!$C:$C, MATCH(AE3861&amp;AF3861, Sheet2!$E:$E, 0)) &amp; ", " &amp; INDEX(Sheet2!$D:$D, MATCH(AE3861&amp;AF3861, Sheet2!$E:$E, 0)), ""), "-")</f>
        <v/>
      </c>
    </row>
    <row r="3862" spans="1:33" x14ac:dyDescent="0.25">
      <c r="A3862" t="s">
        <v>5656</v>
      </c>
      <c r="B3862" t="s">
        <v>5671</v>
      </c>
      <c r="C3862" t="s">
        <v>5660</v>
      </c>
      <c r="D3862" t="s">
        <v>650</v>
      </c>
      <c r="E3862" t="s">
        <v>3918</v>
      </c>
      <c r="F3862">
        <v>1763</v>
      </c>
      <c r="G3862">
        <v>702</v>
      </c>
      <c r="H3862" t="s">
        <v>2634</v>
      </c>
      <c r="I3862" t="s">
        <v>39</v>
      </c>
      <c r="J3862" t="s">
        <v>5658</v>
      </c>
      <c r="K3862" t="s">
        <v>38</v>
      </c>
      <c r="L3862" t="s">
        <v>38</v>
      </c>
      <c r="M3862" t="s">
        <v>38</v>
      </c>
      <c r="N3862" t="s">
        <v>38</v>
      </c>
      <c r="O3862" t="s">
        <v>57</v>
      </c>
      <c r="P3862" t="s">
        <v>42</v>
      </c>
      <c r="Q3862" t="s">
        <v>43</v>
      </c>
      <c r="R3862" t="s">
        <v>89</v>
      </c>
      <c r="S3862" t="s">
        <v>38</v>
      </c>
      <c r="T3862" t="s">
        <v>89</v>
      </c>
      <c r="U3862" t="s">
        <v>110</v>
      </c>
      <c r="V3862" t="s">
        <v>270</v>
      </c>
      <c r="W3862" t="s">
        <v>92</v>
      </c>
      <c r="X3862" t="s">
        <v>93</v>
      </c>
      <c r="Y3862" t="s">
        <v>5672</v>
      </c>
      <c r="Z3862" t="s">
        <v>42</v>
      </c>
      <c r="AA3862" t="s">
        <v>38</v>
      </c>
      <c r="AB3862" t="s">
        <v>38</v>
      </c>
      <c r="AC3862" t="s">
        <v>38</v>
      </c>
      <c r="AD3862" t="s">
        <v>48</v>
      </c>
      <c r="AG3862" t="str">
        <f>IF(AD3862="United States", IFERROR(INDEX(Sheet2!$C:$C, MATCH(AE3862&amp;AF3862, Sheet2!$E:$E, 0)) &amp; ", " &amp; INDEX(Sheet2!$D:$D, MATCH(AE3862&amp;AF3862, Sheet2!$E:$E, 0)), ""), "-")</f>
        <v/>
      </c>
    </row>
    <row r="3863" spans="1:33" x14ac:dyDescent="0.25">
      <c r="A3863" t="s">
        <v>5656</v>
      </c>
      <c r="B3863" t="s">
        <v>5673</v>
      </c>
      <c r="C3863" t="s">
        <v>5660</v>
      </c>
      <c r="D3863" t="s">
        <v>193</v>
      </c>
      <c r="E3863" t="s">
        <v>5674</v>
      </c>
      <c r="F3863">
        <v>1765</v>
      </c>
      <c r="G3863">
        <v>698</v>
      </c>
      <c r="H3863" t="s">
        <v>2634</v>
      </c>
      <c r="I3863" t="s">
        <v>39</v>
      </c>
      <c r="J3863" t="s">
        <v>5658</v>
      </c>
      <c r="K3863" t="s">
        <v>38</v>
      </c>
      <c r="L3863" t="s">
        <v>38</v>
      </c>
      <c r="M3863" t="s">
        <v>38</v>
      </c>
      <c r="N3863" t="s">
        <v>38</v>
      </c>
      <c r="O3863" t="s">
        <v>41</v>
      </c>
      <c r="P3863" t="s">
        <v>42</v>
      </c>
      <c r="Q3863" t="s">
        <v>43</v>
      </c>
      <c r="R3863" t="s">
        <v>89</v>
      </c>
      <c r="S3863" t="s">
        <v>38</v>
      </c>
      <c r="T3863" t="s">
        <v>89</v>
      </c>
      <c r="U3863" t="s">
        <v>110</v>
      </c>
      <c r="V3863" t="s">
        <v>270</v>
      </c>
      <c r="W3863" t="s">
        <v>92</v>
      </c>
      <c r="X3863" t="s">
        <v>93</v>
      </c>
      <c r="Y3863" t="s">
        <v>5675</v>
      </c>
      <c r="Z3863" t="s">
        <v>42</v>
      </c>
      <c r="AA3863" t="s">
        <v>38</v>
      </c>
      <c r="AB3863" t="s">
        <v>38</v>
      </c>
      <c r="AC3863" t="s">
        <v>91</v>
      </c>
      <c r="AD3863" t="s">
        <v>48</v>
      </c>
      <c r="AG3863" t="str">
        <f>IF(AD3863="United States", IFERROR(INDEX(Sheet2!$C:$C, MATCH(AE3863&amp;AF3863, Sheet2!$E:$E, 0)) &amp; ", " &amp; INDEX(Sheet2!$D:$D, MATCH(AE3863&amp;AF3863, Sheet2!$E:$E, 0)), ""), "-")</f>
        <v/>
      </c>
    </row>
    <row r="3864" spans="1:33" x14ac:dyDescent="0.25">
      <c r="A3864" t="s">
        <v>5676</v>
      </c>
      <c r="B3864" t="s">
        <v>5677</v>
      </c>
      <c r="C3864" t="s">
        <v>5678</v>
      </c>
      <c r="D3864" t="s">
        <v>834</v>
      </c>
      <c r="E3864" t="s">
        <v>38</v>
      </c>
      <c r="F3864">
        <v>1771</v>
      </c>
      <c r="G3864">
        <v>695</v>
      </c>
      <c r="H3864" t="s">
        <v>2634</v>
      </c>
      <c r="I3864" t="s">
        <v>39</v>
      </c>
      <c r="J3864" t="s">
        <v>5679</v>
      </c>
      <c r="K3864" t="s">
        <v>38</v>
      </c>
      <c r="L3864" t="s">
        <v>38</v>
      </c>
      <c r="M3864" t="s">
        <v>38</v>
      </c>
      <c r="N3864" t="s">
        <v>38</v>
      </c>
      <c r="O3864" t="s">
        <v>74</v>
      </c>
      <c r="P3864" t="s">
        <v>42</v>
      </c>
      <c r="Q3864" t="s">
        <v>43</v>
      </c>
      <c r="R3864" t="s">
        <v>89</v>
      </c>
      <c r="S3864" t="s">
        <v>38</v>
      </c>
      <c r="T3864" t="s">
        <v>89</v>
      </c>
      <c r="U3864" t="s">
        <v>110</v>
      </c>
      <c r="V3864" t="s">
        <v>270</v>
      </c>
      <c r="W3864" t="s">
        <v>92</v>
      </c>
      <c r="X3864" t="s">
        <v>93</v>
      </c>
      <c r="Y3864" t="s">
        <v>5680</v>
      </c>
      <c r="Z3864" t="s">
        <v>42</v>
      </c>
      <c r="AA3864" t="s">
        <v>38</v>
      </c>
      <c r="AB3864" t="s">
        <v>38</v>
      </c>
      <c r="AC3864" t="s">
        <v>91</v>
      </c>
      <c r="AD3864" t="s">
        <v>48</v>
      </c>
      <c r="AG3864" t="str">
        <f>IF(AD3864="United States", IFERROR(INDEX(Sheet2!$C:$C, MATCH(AE3864&amp;AF3864, Sheet2!$E:$E, 0)) &amp; ", " &amp; INDEX(Sheet2!$D:$D, MATCH(AE3864&amp;AF3864, Sheet2!$E:$E, 0)), ""), "-")</f>
        <v/>
      </c>
    </row>
    <row r="3865" spans="1:33" x14ac:dyDescent="0.25">
      <c r="A3865" t="s">
        <v>5676</v>
      </c>
      <c r="B3865" t="s">
        <v>5681</v>
      </c>
      <c r="C3865" t="s">
        <v>5678</v>
      </c>
      <c r="D3865" t="s">
        <v>352</v>
      </c>
      <c r="E3865" t="s">
        <v>3918</v>
      </c>
      <c r="F3865">
        <v>1753</v>
      </c>
      <c r="G3865">
        <v>696</v>
      </c>
      <c r="H3865" t="s">
        <v>2634</v>
      </c>
      <c r="I3865" t="s">
        <v>39</v>
      </c>
      <c r="J3865" t="s">
        <v>5679</v>
      </c>
      <c r="K3865" t="s">
        <v>38</v>
      </c>
      <c r="L3865" t="s">
        <v>38</v>
      </c>
      <c r="M3865" t="s">
        <v>38</v>
      </c>
      <c r="N3865" t="s">
        <v>38</v>
      </c>
      <c r="O3865" t="s">
        <v>57</v>
      </c>
      <c r="P3865" t="s">
        <v>42</v>
      </c>
      <c r="Q3865" t="s">
        <v>43</v>
      </c>
      <c r="R3865" t="s">
        <v>89</v>
      </c>
      <c r="S3865" t="s">
        <v>38</v>
      </c>
      <c r="T3865" t="s">
        <v>89</v>
      </c>
      <c r="U3865" t="s">
        <v>110</v>
      </c>
      <c r="V3865" t="s">
        <v>270</v>
      </c>
      <c r="W3865" t="s">
        <v>92</v>
      </c>
      <c r="X3865" t="s">
        <v>93</v>
      </c>
      <c r="Y3865" t="s">
        <v>5682</v>
      </c>
      <c r="Z3865" t="s">
        <v>42</v>
      </c>
      <c r="AA3865" t="s">
        <v>38</v>
      </c>
      <c r="AB3865" t="s">
        <v>38</v>
      </c>
      <c r="AC3865" t="s">
        <v>91</v>
      </c>
      <c r="AD3865" t="s">
        <v>48</v>
      </c>
      <c r="AG3865" t="str">
        <f>IF(AD3865="United States", IFERROR(INDEX(Sheet2!$C:$C, MATCH(AE3865&amp;AF3865, Sheet2!$E:$E, 0)) &amp; ", " &amp; INDEX(Sheet2!$D:$D, MATCH(AE3865&amp;AF3865, Sheet2!$E:$E, 0)), ""), "-")</f>
        <v/>
      </c>
    </row>
    <row r="3866" spans="1:33" x14ac:dyDescent="0.25">
      <c r="A3866" t="s">
        <v>5676</v>
      </c>
      <c r="B3866" t="s">
        <v>5683</v>
      </c>
      <c r="C3866" t="s">
        <v>5678</v>
      </c>
      <c r="D3866" t="s">
        <v>748</v>
      </c>
      <c r="E3866" t="s">
        <v>38</v>
      </c>
      <c r="F3866">
        <v>1757</v>
      </c>
      <c r="G3866">
        <v>694</v>
      </c>
      <c r="H3866" t="s">
        <v>2634</v>
      </c>
      <c r="I3866" t="s">
        <v>39</v>
      </c>
      <c r="J3866" t="s">
        <v>5679</v>
      </c>
      <c r="K3866" t="s">
        <v>38</v>
      </c>
      <c r="L3866" t="s">
        <v>38</v>
      </c>
      <c r="M3866" t="s">
        <v>38</v>
      </c>
      <c r="N3866" t="s">
        <v>38</v>
      </c>
      <c r="O3866" t="s">
        <v>57</v>
      </c>
      <c r="P3866" t="s">
        <v>42</v>
      </c>
      <c r="Q3866" t="s">
        <v>43</v>
      </c>
      <c r="R3866" t="s">
        <v>89</v>
      </c>
      <c r="S3866" t="s">
        <v>38</v>
      </c>
      <c r="T3866" t="s">
        <v>89</v>
      </c>
      <c r="U3866" t="s">
        <v>110</v>
      </c>
      <c r="V3866" t="s">
        <v>270</v>
      </c>
      <c r="W3866" t="s">
        <v>92</v>
      </c>
      <c r="X3866" t="s">
        <v>93</v>
      </c>
      <c r="Y3866" t="s">
        <v>5684</v>
      </c>
      <c r="Z3866" t="s">
        <v>42</v>
      </c>
      <c r="AA3866" t="s">
        <v>38</v>
      </c>
      <c r="AB3866" t="s">
        <v>38</v>
      </c>
      <c r="AC3866" t="s">
        <v>91</v>
      </c>
      <c r="AD3866" t="s">
        <v>48</v>
      </c>
      <c r="AG3866" t="str">
        <f>IF(AD3866="United States", IFERROR(INDEX(Sheet2!$C:$C, MATCH(AE3866&amp;AF3866, Sheet2!$E:$E, 0)) &amp; ", " &amp; INDEX(Sheet2!$D:$D, MATCH(AE3866&amp;AF3866, Sheet2!$E:$E, 0)), ""), "-")</f>
        <v/>
      </c>
    </row>
    <row r="3867" spans="1:33" x14ac:dyDescent="0.25">
      <c r="A3867" t="s">
        <v>5676</v>
      </c>
      <c r="B3867" t="s">
        <v>5685</v>
      </c>
      <c r="C3867" t="s">
        <v>5678</v>
      </c>
      <c r="D3867" t="s">
        <v>114</v>
      </c>
      <c r="E3867" t="s">
        <v>5686</v>
      </c>
      <c r="F3867">
        <v>1739</v>
      </c>
      <c r="G3867">
        <v>693</v>
      </c>
      <c r="H3867" t="s">
        <v>2634</v>
      </c>
      <c r="I3867" t="s">
        <v>39</v>
      </c>
      <c r="J3867" t="s">
        <v>5679</v>
      </c>
      <c r="K3867" t="s">
        <v>38</v>
      </c>
      <c r="L3867" t="s">
        <v>38</v>
      </c>
      <c r="M3867" t="s">
        <v>38</v>
      </c>
      <c r="N3867" t="s">
        <v>38</v>
      </c>
      <c r="O3867" t="s">
        <v>74</v>
      </c>
      <c r="P3867" t="s">
        <v>42</v>
      </c>
      <c r="Q3867" t="s">
        <v>43</v>
      </c>
      <c r="R3867" t="s">
        <v>89</v>
      </c>
      <c r="S3867" t="s">
        <v>38</v>
      </c>
      <c r="T3867" t="s">
        <v>89</v>
      </c>
      <c r="U3867" t="s">
        <v>110</v>
      </c>
      <c r="V3867" t="s">
        <v>270</v>
      </c>
      <c r="W3867" t="s">
        <v>92</v>
      </c>
      <c r="X3867" t="s">
        <v>93</v>
      </c>
      <c r="Y3867" t="s">
        <v>5687</v>
      </c>
      <c r="Z3867" t="s">
        <v>42</v>
      </c>
      <c r="AA3867" t="s">
        <v>38</v>
      </c>
      <c r="AB3867" t="s">
        <v>38</v>
      </c>
      <c r="AC3867" t="s">
        <v>38</v>
      </c>
      <c r="AD3867" t="s">
        <v>48</v>
      </c>
      <c r="AG3867" t="str">
        <f>IF(AD3867="United States", IFERROR(INDEX(Sheet2!$C:$C, MATCH(AE3867&amp;AF3867, Sheet2!$E:$E, 0)) &amp; ", " &amp; INDEX(Sheet2!$D:$D, MATCH(AE3867&amp;AF3867, Sheet2!$E:$E, 0)), ""), "-")</f>
        <v/>
      </c>
    </row>
    <row r="3868" spans="1:33" x14ac:dyDescent="0.25">
      <c r="A3868" t="s">
        <v>5676</v>
      </c>
      <c r="B3868" t="s">
        <v>5688</v>
      </c>
      <c r="C3868" t="s">
        <v>5678</v>
      </c>
      <c r="D3868" t="s">
        <v>62</v>
      </c>
      <c r="E3868" t="s">
        <v>1334</v>
      </c>
      <c r="F3868">
        <v>1748</v>
      </c>
      <c r="G3868">
        <v>692</v>
      </c>
      <c r="H3868" t="s">
        <v>2634</v>
      </c>
      <c r="I3868" t="s">
        <v>39</v>
      </c>
      <c r="J3868" t="s">
        <v>5679</v>
      </c>
      <c r="K3868" t="s">
        <v>38</v>
      </c>
      <c r="L3868" t="s">
        <v>38</v>
      </c>
      <c r="M3868" t="s">
        <v>38</v>
      </c>
      <c r="N3868" t="s">
        <v>38</v>
      </c>
      <c r="O3868" t="s">
        <v>41</v>
      </c>
      <c r="P3868" t="s">
        <v>42</v>
      </c>
      <c r="Q3868" t="s">
        <v>43</v>
      </c>
      <c r="R3868" t="s">
        <v>89</v>
      </c>
      <c r="S3868" t="s">
        <v>45</v>
      </c>
      <c r="T3868" t="s">
        <v>89</v>
      </c>
      <c r="U3868" t="s">
        <v>110</v>
      </c>
      <c r="V3868" t="s">
        <v>270</v>
      </c>
      <c r="W3868" t="s">
        <v>92</v>
      </c>
      <c r="X3868" t="s">
        <v>93</v>
      </c>
      <c r="Y3868" t="s">
        <v>5687</v>
      </c>
      <c r="Z3868" t="s">
        <v>42</v>
      </c>
      <c r="AA3868" t="s">
        <v>5689</v>
      </c>
      <c r="AB3868" t="s">
        <v>38</v>
      </c>
      <c r="AC3868" t="s">
        <v>45</v>
      </c>
      <c r="AD3868" t="s">
        <v>48</v>
      </c>
      <c r="AG3868" t="str">
        <f>IF(AD3868="United States", IFERROR(INDEX(Sheet2!$C:$C, MATCH(AE3868&amp;AF3868, Sheet2!$E:$E, 0)) &amp; ", " &amp; INDEX(Sheet2!$D:$D, MATCH(AE3868&amp;AF3868, Sheet2!$E:$E, 0)), ""), "-")</f>
        <v/>
      </c>
    </row>
    <row r="3869" spans="1:33" x14ac:dyDescent="0.25">
      <c r="A3869" t="s">
        <v>5676</v>
      </c>
      <c r="D3869" t="s">
        <v>5690</v>
      </c>
      <c r="E3869" t="s">
        <v>4138</v>
      </c>
      <c r="F3869">
        <v>1753</v>
      </c>
      <c r="G3869">
        <v>761</v>
      </c>
      <c r="H3869">
        <v>35</v>
      </c>
      <c r="J3869" t="s">
        <v>5679</v>
      </c>
      <c r="O3869" t="s">
        <v>57</v>
      </c>
      <c r="R3869" t="s">
        <v>89</v>
      </c>
      <c r="T3869" t="s">
        <v>89</v>
      </c>
      <c r="U3869" t="s">
        <v>110</v>
      </c>
      <c r="V3869" t="s">
        <v>941</v>
      </c>
      <c r="W3869" t="s">
        <v>92</v>
      </c>
      <c r="X3869" t="s">
        <v>93</v>
      </c>
      <c r="Y3869" t="s">
        <v>38</v>
      </c>
      <c r="AA3869" t="s">
        <v>38</v>
      </c>
      <c r="AB3869" t="s">
        <v>38</v>
      </c>
      <c r="AC3869" t="s">
        <v>38</v>
      </c>
      <c r="AD3869" t="s">
        <v>48</v>
      </c>
      <c r="AG3869" t="str">
        <f>IF(AD3869="United States", IFERROR(INDEX(Sheet2!$C:$C, MATCH(AE3869&amp;AF3869, Sheet2!$E:$E, 0)) &amp; ", " &amp; INDEX(Sheet2!$D:$D, MATCH(AE3869&amp;AF3869, Sheet2!$E:$E, 0)), ""), "-")</f>
        <v/>
      </c>
    </row>
    <row r="3870" spans="1:33" x14ac:dyDescent="0.25">
      <c r="A3870" t="s">
        <v>5676</v>
      </c>
      <c r="D3870" t="s">
        <v>181</v>
      </c>
      <c r="E3870" t="s">
        <v>352</v>
      </c>
      <c r="F3870" t="s">
        <v>38</v>
      </c>
      <c r="G3870">
        <v>762</v>
      </c>
      <c r="H3870">
        <v>35</v>
      </c>
      <c r="J3870" t="s">
        <v>5679</v>
      </c>
      <c r="O3870" t="s">
        <v>183</v>
      </c>
      <c r="R3870" t="s">
        <v>89</v>
      </c>
      <c r="T3870" t="s">
        <v>89</v>
      </c>
      <c r="U3870" t="s">
        <v>110</v>
      </c>
      <c r="V3870" t="s">
        <v>941</v>
      </c>
      <c r="W3870" t="s">
        <v>92</v>
      </c>
      <c r="X3870" t="s">
        <v>93</v>
      </c>
      <c r="Y3870" t="s">
        <v>38</v>
      </c>
      <c r="AA3870" t="s">
        <v>38</v>
      </c>
      <c r="AB3870" t="s">
        <v>38</v>
      </c>
      <c r="AC3870" t="s">
        <v>38</v>
      </c>
      <c r="AD3870" t="s">
        <v>48</v>
      </c>
      <c r="AG3870" t="str">
        <f>IF(AD3870="United States", IFERROR(INDEX(Sheet2!$C:$C, MATCH(AE3870&amp;AF3870, Sheet2!$E:$E, 0)) &amp; ", " &amp; INDEX(Sheet2!$D:$D, MATCH(AE3870&amp;AF3870, Sheet2!$E:$E, 0)), ""), "-")</f>
        <v/>
      </c>
    </row>
    <row r="3871" spans="1:33" x14ac:dyDescent="0.25">
      <c r="A3871" t="s">
        <v>5691</v>
      </c>
      <c r="B3871" t="s">
        <v>5692</v>
      </c>
      <c r="C3871" t="s">
        <v>5693</v>
      </c>
      <c r="D3871" t="s">
        <v>195</v>
      </c>
      <c r="E3871" t="s">
        <v>5694</v>
      </c>
      <c r="F3871">
        <v>1772</v>
      </c>
      <c r="G3871">
        <v>579</v>
      </c>
      <c r="H3871" t="s">
        <v>1810</v>
      </c>
      <c r="I3871" t="s">
        <v>39</v>
      </c>
      <c r="J3871" t="s">
        <v>38</v>
      </c>
      <c r="K3871" t="s">
        <v>38</v>
      </c>
      <c r="L3871" t="s">
        <v>38</v>
      </c>
      <c r="M3871" t="s">
        <v>38</v>
      </c>
      <c r="N3871" t="s">
        <v>38</v>
      </c>
      <c r="O3871" t="s">
        <v>54</v>
      </c>
      <c r="P3871" t="s">
        <v>42</v>
      </c>
      <c r="Q3871" t="s">
        <v>43</v>
      </c>
      <c r="R3871" t="s">
        <v>89</v>
      </c>
      <c r="S3871" t="s">
        <v>38</v>
      </c>
      <c r="T3871" t="s">
        <v>89</v>
      </c>
      <c r="U3871" t="s">
        <v>508</v>
      </c>
      <c r="V3871" t="s">
        <v>38</v>
      </c>
      <c r="W3871" t="s">
        <v>92</v>
      </c>
      <c r="X3871" t="s">
        <v>93</v>
      </c>
      <c r="Y3871" t="s">
        <v>5695</v>
      </c>
      <c r="Z3871" t="s">
        <v>42</v>
      </c>
      <c r="AA3871" t="s">
        <v>38</v>
      </c>
      <c r="AB3871" t="s">
        <v>38</v>
      </c>
      <c r="AC3871" t="s">
        <v>91</v>
      </c>
      <c r="AD3871" t="s">
        <v>48</v>
      </c>
      <c r="AG3871" t="str">
        <f>IF(AD3871="United States", IFERROR(INDEX(Sheet2!$C:$C, MATCH(AE3871&amp;AF3871, Sheet2!$E:$E, 0)) &amp; ", " &amp; INDEX(Sheet2!$D:$D, MATCH(AE3871&amp;AF3871, Sheet2!$E:$E, 0)), ""), "-")</f>
        <v/>
      </c>
    </row>
    <row r="3872" spans="1:33" x14ac:dyDescent="0.25">
      <c r="A3872" t="s">
        <v>5691</v>
      </c>
      <c r="B3872" t="s">
        <v>5696</v>
      </c>
      <c r="C3872" t="s">
        <v>5693</v>
      </c>
      <c r="D3872" t="s">
        <v>343</v>
      </c>
      <c r="E3872" t="s">
        <v>5697</v>
      </c>
      <c r="F3872">
        <v>1777</v>
      </c>
      <c r="G3872">
        <v>578</v>
      </c>
      <c r="H3872" t="s">
        <v>1810</v>
      </c>
      <c r="I3872" t="s">
        <v>39</v>
      </c>
      <c r="J3872" t="s">
        <v>38</v>
      </c>
      <c r="K3872" t="s">
        <v>38</v>
      </c>
      <c r="L3872" t="s">
        <v>38</v>
      </c>
      <c r="M3872" t="s">
        <v>38</v>
      </c>
      <c r="N3872" t="s">
        <v>38</v>
      </c>
      <c r="O3872" t="s">
        <v>54</v>
      </c>
      <c r="P3872" t="s">
        <v>42</v>
      </c>
      <c r="Q3872" t="s">
        <v>43</v>
      </c>
      <c r="R3872" t="s">
        <v>89</v>
      </c>
      <c r="S3872" t="s">
        <v>38</v>
      </c>
      <c r="T3872" t="s">
        <v>89</v>
      </c>
      <c r="U3872" t="s">
        <v>508</v>
      </c>
      <c r="V3872" t="s">
        <v>38</v>
      </c>
      <c r="W3872" t="s">
        <v>92</v>
      </c>
      <c r="X3872" t="s">
        <v>93</v>
      </c>
      <c r="Y3872" t="s">
        <v>5698</v>
      </c>
      <c r="Z3872" t="s">
        <v>42</v>
      </c>
      <c r="AA3872" t="s">
        <v>38</v>
      </c>
      <c r="AB3872" t="s">
        <v>38</v>
      </c>
      <c r="AC3872" t="s">
        <v>38</v>
      </c>
      <c r="AD3872" t="s">
        <v>48</v>
      </c>
      <c r="AG3872" t="str">
        <f>IF(AD3872="United States", IFERROR(INDEX(Sheet2!$C:$C, MATCH(AE3872&amp;AF3872, Sheet2!$E:$E, 0)) &amp; ", " &amp; INDEX(Sheet2!$D:$D, MATCH(AE3872&amp;AF3872, Sheet2!$E:$E, 0)), ""), "-")</f>
        <v/>
      </c>
    </row>
    <row r="3873" spans="1:33" x14ac:dyDescent="0.25">
      <c r="A3873" t="s">
        <v>5691</v>
      </c>
      <c r="B3873" t="s">
        <v>5699</v>
      </c>
      <c r="C3873" t="s">
        <v>5693</v>
      </c>
      <c r="D3873" t="s">
        <v>5700</v>
      </c>
      <c r="E3873" t="s">
        <v>164</v>
      </c>
      <c r="F3873">
        <v>1759</v>
      </c>
      <c r="G3873">
        <v>577</v>
      </c>
      <c r="H3873" t="s">
        <v>1810</v>
      </c>
      <c r="I3873" t="s">
        <v>39</v>
      </c>
      <c r="J3873" t="s">
        <v>38</v>
      </c>
      <c r="K3873" t="s">
        <v>38</v>
      </c>
      <c r="L3873" t="s">
        <v>38</v>
      </c>
      <c r="M3873" t="s">
        <v>38</v>
      </c>
      <c r="N3873" t="s">
        <v>38</v>
      </c>
      <c r="O3873" t="s">
        <v>57</v>
      </c>
      <c r="P3873" t="s">
        <v>42</v>
      </c>
      <c r="Q3873" t="s">
        <v>43</v>
      </c>
      <c r="R3873" t="s">
        <v>89</v>
      </c>
      <c r="S3873" t="s">
        <v>38</v>
      </c>
      <c r="T3873" t="s">
        <v>89</v>
      </c>
      <c r="U3873" t="s">
        <v>508</v>
      </c>
      <c r="V3873" t="s">
        <v>38</v>
      </c>
      <c r="W3873" t="s">
        <v>92</v>
      </c>
      <c r="X3873" t="s">
        <v>93</v>
      </c>
      <c r="Y3873" t="s">
        <v>5698</v>
      </c>
      <c r="Z3873" t="s">
        <v>42</v>
      </c>
      <c r="AA3873" t="s">
        <v>38</v>
      </c>
      <c r="AB3873" t="s">
        <v>38</v>
      </c>
      <c r="AC3873" t="s">
        <v>5701</v>
      </c>
      <c r="AD3873" t="s">
        <v>48</v>
      </c>
      <c r="AG3873" t="str">
        <f>IF(AD3873="United States", IFERROR(INDEX(Sheet2!$C:$C, MATCH(AE3873&amp;AF3873, Sheet2!$E:$E, 0)) &amp; ", " &amp; INDEX(Sheet2!$D:$D, MATCH(AE3873&amp;AF3873, Sheet2!$E:$E, 0)), ""), "-")</f>
        <v/>
      </c>
    </row>
    <row r="3874" spans="1:33" x14ac:dyDescent="0.25">
      <c r="A3874" t="s">
        <v>5691</v>
      </c>
      <c r="B3874" t="s">
        <v>5702</v>
      </c>
      <c r="C3874" t="s">
        <v>5693</v>
      </c>
      <c r="D3874" t="s">
        <v>3323</v>
      </c>
      <c r="E3874" t="s">
        <v>5697</v>
      </c>
      <c r="F3874">
        <v>1755</v>
      </c>
      <c r="G3874">
        <v>576</v>
      </c>
      <c r="H3874" t="s">
        <v>1810</v>
      </c>
      <c r="I3874" t="s">
        <v>39</v>
      </c>
      <c r="J3874" t="s">
        <v>38</v>
      </c>
      <c r="K3874" t="s">
        <v>38</v>
      </c>
      <c r="L3874" t="s">
        <v>38</v>
      </c>
      <c r="M3874" t="s">
        <v>38</v>
      </c>
      <c r="N3874" t="s">
        <v>38</v>
      </c>
      <c r="O3874" t="s">
        <v>41</v>
      </c>
      <c r="P3874" t="s">
        <v>42</v>
      </c>
      <c r="Q3874" t="s">
        <v>43</v>
      </c>
      <c r="R3874" t="s">
        <v>89</v>
      </c>
      <c r="S3874" t="s">
        <v>38</v>
      </c>
      <c r="T3874" t="s">
        <v>89</v>
      </c>
      <c r="U3874" t="s">
        <v>508</v>
      </c>
      <c r="V3874" t="s">
        <v>38</v>
      </c>
      <c r="W3874" t="s">
        <v>92</v>
      </c>
      <c r="X3874" t="s">
        <v>93</v>
      </c>
      <c r="Y3874" t="s">
        <v>5698</v>
      </c>
      <c r="Z3874" t="s">
        <v>42</v>
      </c>
      <c r="AA3874" t="s">
        <v>38</v>
      </c>
      <c r="AB3874" t="s">
        <v>38</v>
      </c>
      <c r="AC3874" t="s">
        <v>5701</v>
      </c>
      <c r="AD3874" t="s">
        <v>48</v>
      </c>
      <c r="AG3874" t="str">
        <f>IF(AD3874="United States", IFERROR(INDEX(Sheet2!$C:$C, MATCH(AE3874&amp;AF3874, Sheet2!$E:$E, 0)) &amp; ", " &amp; INDEX(Sheet2!$D:$D, MATCH(AE3874&amp;AF3874, Sheet2!$E:$E, 0)), ""), "-")</f>
        <v/>
      </c>
    </row>
    <row r="3875" spans="1:33" x14ac:dyDescent="0.25">
      <c r="A3875" t="s">
        <v>5691</v>
      </c>
      <c r="B3875" t="s">
        <v>5703</v>
      </c>
      <c r="C3875" t="s">
        <v>5693</v>
      </c>
      <c r="D3875" t="s">
        <v>106</v>
      </c>
      <c r="E3875" t="s">
        <v>38</v>
      </c>
      <c r="F3875">
        <v>1760</v>
      </c>
      <c r="G3875">
        <v>575</v>
      </c>
      <c r="H3875" t="s">
        <v>1810</v>
      </c>
      <c r="I3875" t="s">
        <v>39</v>
      </c>
      <c r="J3875" t="s">
        <v>38</v>
      </c>
      <c r="K3875" t="s">
        <v>38</v>
      </c>
      <c r="L3875" t="s">
        <v>38</v>
      </c>
      <c r="M3875" t="s">
        <v>38</v>
      </c>
      <c r="N3875" t="s">
        <v>38</v>
      </c>
      <c r="O3875" t="s">
        <v>41</v>
      </c>
      <c r="P3875" t="s">
        <v>42</v>
      </c>
      <c r="Q3875" t="s">
        <v>43</v>
      </c>
      <c r="R3875" t="s">
        <v>89</v>
      </c>
      <c r="S3875" t="s">
        <v>153</v>
      </c>
      <c r="T3875" t="s">
        <v>89</v>
      </c>
      <c r="U3875" t="s">
        <v>508</v>
      </c>
      <c r="V3875" t="s">
        <v>38</v>
      </c>
      <c r="W3875" t="s">
        <v>92</v>
      </c>
      <c r="X3875" t="s">
        <v>93</v>
      </c>
      <c r="Y3875" t="s">
        <v>5704</v>
      </c>
      <c r="Z3875" t="s">
        <v>42</v>
      </c>
      <c r="AA3875" t="s">
        <v>2343</v>
      </c>
      <c r="AB3875" t="s">
        <v>38</v>
      </c>
      <c r="AC3875" t="s">
        <v>153</v>
      </c>
      <c r="AD3875" t="s">
        <v>48</v>
      </c>
      <c r="AG3875" t="str">
        <f>IF(AD3875="United States", IFERROR(INDEX(Sheet2!$C:$C, MATCH(AE3875&amp;AF3875, Sheet2!$E:$E, 0)) &amp; ", " &amp; INDEX(Sheet2!$D:$D, MATCH(AE3875&amp;AF3875, Sheet2!$E:$E, 0)), ""), "-")</f>
        <v/>
      </c>
    </row>
    <row r="3876" spans="1:33" x14ac:dyDescent="0.25">
      <c r="A3876" t="s">
        <v>5691</v>
      </c>
      <c r="B3876" t="s">
        <v>5705</v>
      </c>
      <c r="C3876" t="s">
        <v>5693</v>
      </c>
      <c r="D3876" t="s">
        <v>986</v>
      </c>
      <c r="E3876" t="s">
        <v>38</v>
      </c>
      <c r="F3876">
        <v>1753</v>
      </c>
      <c r="G3876">
        <v>574</v>
      </c>
      <c r="H3876" t="s">
        <v>1810</v>
      </c>
      <c r="I3876" t="s">
        <v>39</v>
      </c>
      <c r="J3876" t="s">
        <v>38</v>
      </c>
      <c r="K3876" t="s">
        <v>1122</v>
      </c>
      <c r="L3876" t="s">
        <v>38</v>
      </c>
      <c r="M3876" t="s">
        <v>38</v>
      </c>
      <c r="N3876" t="s">
        <v>38</v>
      </c>
      <c r="O3876" t="s">
        <v>41</v>
      </c>
      <c r="P3876" t="s">
        <v>42</v>
      </c>
      <c r="Q3876" t="s">
        <v>43</v>
      </c>
      <c r="R3876" t="s">
        <v>89</v>
      </c>
      <c r="S3876" t="s">
        <v>165</v>
      </c>
      <c r="T3876" t="s">
        <v>89</v>
      </c>
      <c r="U3876" t="s">
        <v>508</v>
      </c>
      <c r="V3876" t="s">
        <v>38</v>
      </c>
      <c r="W3876" t="s">
        <v>92</v>
      </c>
      <c r="X3876" t="s">
        <v>93</v>
      </c>
      <c r="Y3876" t="s">
        <v>5706</v>
      </c>
      <c r="Z3876" t="s">
        <v>42</v>
      </c>
      <c r="AA3876" t="s">
        <v>166</v>
      </c>
      <c r="AB3876" t="s">
        <v>38</v>
      </c>
      <c r="AC3876" t="s">
        <v>165</v>
      </c>
      <c r="AD3876" t="s">
        <v>48</v>
      </c>
      <c r="AG3876" t="str">
        <f>IF(AD3876="United States", IFERROR(INDEX(Sheet2!$C:$C, MATCH(AE3876&amp;AF3876, Sheet2!$E:$E, 0)) &amp; ", " &amp; INDEX(Sheet2!$D:$D, MATCH(AE3876&amp;AF3876, Sheet2!$E:$E, 0)), ""), "-")</f>
        <v/>
      </c>
    </row>
    <row r="3877" spans="1:33" x14ac:dyDescent="0.25">
      <c r="A3877" t="s">
        <v>5691</v>
      </c>
      <c r="D3877" t="s">
        <v>5707</v>
      </c>
      <c r="E3877" t="s">
        <v>185</v>
      </c>
      <c r="F3877">
        <v>1759</v>
      </c>
      <c r="G3877">
        <v>636</v>
      </c>
      <c r="H3877">
        <v>31</v>
      </c>
      <c r="J3877" t="s">
        <v>5708</v>
      </c>
      <c r="O3877" t="s">
        <v>57</v>
      </c>
      <c r="R3877" t="s">
        <v>89</v>
      </c>
      <c r="T3877" t="s">
        <v>89</v>
      </c>
      <c r="U3877" t="s">
        <v>508</v>
      </c>
      <c r="V3877" t="s">
        <v>5709</v>
      </c>
      <c r="W3877" t="s">
        <v>92</v>
      </c>
      <c r="X3877" t="s">
        <v>93</v>
      </c>
      <c r="Y3877" t="s">
        <v>38</v>
      </c>
      <c r="AA3877" t="s">
        <v>38</v>
      </c>
      <c r="AB3877" t="s">
        <v>38</v>
      </c>
      <c r="AC3877" t="s">
        <v>38</v>
      </c>
      <c r="AD3877" t="s">
        <v>48</v>
      </c>
      <c r="AG3877" t="str">
        <f>IF(AD3877="United States", IFERROR(INDEX(Sheet2!$C:$C, MATCH(AE3877&amp;AF3877, Sheet2!$E:$E, 0)) &amp; ", " &amp; INDEX(Sheet2!$D:$D, MATCH(AE3877&amp;AF3877, Sheet2!$E:$E, 0)), ""), "-")</f>
        <v/>
      </c>
    </row>
    <row r="3878" spans="1:33" x14ac:dyDescent="0.25">
      <c r="A3878" t="s">
        <v>254</v>
      </c>
      <c r="B3878" t="s">
        <v>5710</v>
      </c>
      <c r="C3878" t="s">
        <v>5711</v>
      </c>
      <c r="D3878" t="s">
        <v>5712</v>
      </c>
      <c r="E3878" t="s">
        <v>268</v>
      </c>
      <c r="F3878">
        <v>1768</v>
      </c>
      <c r="G3878">
        <v>666</v>
      </c>
      <c r="H3878" t="s">
        <v>2354</v>
      </c>
      <c r="I3878" t="s">
        <v>39</v>
      </c>
      <c r="J3878" t="s">
        <v>38</v>
      </c>
      <c r="K3878" t="s">
        <v>38</v>
      </c>
      <c r="L3878" t="s">
        <v>38</v>
      </c>
      <c r="M3878" t="s">
        <v>38</v>
      </c>
      <c r="N3878" t="s">
        <v>38</v>
      </c>
      <c r="O3878" t="s">
        <v>74</v>
      </c>
      <c r="P3878" t="s">
        <v>42</v>
      </c>
      <c r="Q3878" t="s">
        <v>43</v>
      </c>
      <c r="R3878" t="s">
        <v>89</v>
      </c>
      <c r="S3878" t="s">
        <v>38</v>
      </c>
      <c r="T3878" t="s">
        <v>89</v>
      </c>
      <c r="U3878" t="s">
        <v>301</v>
      </c>
      <c r="V3878" t="s">
        <v>38</v>
      </c>
      <c r="W3878" t="s">
        <v>92</v>
      </c>
      <c r="X3878" t="s">
        <v>302</v>
      </c>
      <c r="Y3878" t="s">
        <v>5713</v>
      </c>
      <c r="Z3878" t="s">
        <v>42</v>
      </c>
      <c r="AA3878" t="s">
        <v>38</v>
      </c>
      <c r="AB3878" t="s">
        <v>38</v>
      </c>
      <c r="AC3878" t="s">
        <v>38</v>
      </c>
      <c r="AD3878" t="s">
        <v>48</v>
      </c>
      <c r="AG3878" t="str">
        <f>IF(AD3878="United States", IFERROR(INDEX(Sheet2!$C:$C, MATCH(AE3878&amp;AF3878, Sheet2!$E:$E, 0)) &amp; ", " &amp; INDEX(Sheet2!$D:$D, MATCH(AE3878&amp;AF3878, Sheet2!$E:$E, 0)), ""), "-")</f>
        <v/>
      </c>
    </row>
    <row r="3879" spans="1:33" x14ac:dyDescent="0.25">
      <c r="A3879" t="s">
        <v>254</v>
      </c>
      <c r="B3879" t="s">
        <v>5714</v>
      </c>
      <c r="C3879" t="s">
        <v>5711</v>
      </c>
      <c r="D3879" t="s">
        <v>220</v>
      </c>
      <c r="E3879" t="s">
        <v>268</v>
      </c>
      <c r="F3879">
        <v>1766</v>
      </c>
      <c r="G3879">
        <v>665</v>
      </c>
      <c r="H3879" t="s">
        <v>2354</v>
      </c>
      <c r="I3879" t="s">
        <v>39</v>
      </c>
      <c r="J3879" t="s">
        <v>38</v>
      </c>
      <c r="K3879" t="s">
        <v>38</v>
      </c>
      <c r="L3879" t="s">
        <v>38</v>
      </c>
      <c r="M3879" t="s">
        <v>38</v>
      </c>
      <c r="N3879" t="s">
        <v>38</v>
      </c>
      <c r="O3879" t="s">
        <v>54</v>
      </c>
      <c r="P3879" t="s">
        <v>42</v>
      </c>
      <c r="Q3879" t="s">
        <v>43</v>
      </c>
      <c r="R3879" t="s">
        <v>89</v>
      </c>
      <c r="S3879" t="s">
        <v>38</v>
      </c>
      <c r="T3879" t="s">
        <v>89</v>
      </c>
      <c r="U3879" t="s">
        <v>301</v>
      </c>
      <c r="V3879" t="s">
        <v>38</v>
      </c>
      <c r="W3879" t="s">
        <v>92</v>
      </c>
      <c r="X3879" t="s">
        <v>302</v>
      </c>
      <c r="Y3879" t="s">
        <v>5713</v>
      </c>
      <c r="Z3879" t="s">
        <v>42</v>
      </c>
      <c r="AA3879" t="s">
        <v>38</v>
      </c>
      <c r="AB3879" t="s">
        <v>38</v>
      </c>
      <c r="AC3879" t="s">
        <v>38</v>
      </c>
      <c r="AD3879" t="s">
        <v>48</v>
      </c>
      <c r="AG3879" t="str">
        <f>IF(AD3879="United States", IFERROR(INDEX(Sheet2!$C:$C, MATCH(AE3879&amp;AF3879, Sheet2!$E:$E, 0)) &amp; ", " &amp; INDEX(Sheet2!$D:$D, MATCH(AE3879&amp;AF3879, Sheet2!$E:$E, 0)), ""), "-")</f>
        <v/>
      </c>
    </row>
    <row r="3880" spans="1:33" x14ac:dyDescent="0.25">
      <c r="A3880" t="s">
        <v>254</v>
      </c>
      <c r="D3880" t="s">
        <v>193</v>
      </c>
      <c r="E3880" t="s">
        <v>5715</v>
      </c>
      <c r="F3880">
        <v>1771</v>
      </c>
      <c r="G3880">
        <v>732</v>
      </c>
      <c r="H3880">
        <v>34</v>
      </c>
      <c r="J3880" t="s">
        <v>5716</v>
      </c>
      <c r="O3880" t="s">
        <v>54</v>
      </c>
      <c r="R3880" t="s">
        <v>89</v>
      </c>
      <c r="T3880" t="s">
        <v>89</v>
      </c>
      <c r="U3880" t="s">
        <v>301</v>
      </c>
      <c r="V3880" t="s">
        <v>4734</v>
      </c>
      <c r="W3880" t="s">
        <v>92</v>
      </c>
      <c r="X3880" t="s">
        <v>302</v>
      </c>
      <c r="Y3880" t="s">
        <v>38</v>
      </c>
      <c r="AA3880" t="s">
        <v>38</v>
      </c>
      <c r="AB3880" t="s">
        <v>38</v>
      </c>
      <c r="AC3880" t="s">
        <v>38</v>
      </c>
      <c r="AD3880" t="s">
        <v>48</v>
      </c>
      <c r="AG3880" t="str">
        <f>IF(AD3880="United States", IFERROR(INDEX(Sheet2!$C:$C, MATCH(AE3880&amp;AF3880, Sheet2!$E:$E, 0)) &amp; ", " &amp; INDEX(Sheet2!$D:$D, MATCH(AE3880&amp;AF3880, Sheet2!$E:$E, 0)), ""), "-")</f>
        <v/>
      </c>
    </row>
    <row r="3881" spans="1:33" x14ac:dyDescent="0.25">
      <c r="A3881" t="s">
        <v>254</v>
      </c>
      <c r="B3881" t="s">
        <v>5717</v>
      </c>
      <c r="C3881" t="s">
        <v>5711</v>
      </c>
      <c r="D3881" t="s">
        <v>334</v>
      </c>
      <c r="E3881" t="s">
        <v>5718</v>
      </c>
      <c r="F3881">
        <v>1771</v>
      </c>
      <c r="G3881">
        <v>667</v>
      </c>
      <c r="H3881" t="s">
        <v>38</v>
      </c>
      <c r="I3881" t="s">
        <v>39</v>
      </c>
      <c r="J3881" t="s">
        <v>38</v>
      </c>
      <c r="K3881" t="s">
        <v>38</v>
      </c>
      <c r="L3881" t="s">
        <v>38</v>
      </c>
      <c r="M3881" t="s">
        <v>38</v>
      </c>
      <c r="N3881" t="s">
        <v>38</v>
      </c>
      <c r="O3881" t="s">
        <v>54</v>
      </c>
      <c r="P3881" t="s">
        <v>42</v>
      </c>
      <c r="Q3881" t="s">
        <v>43</v>
      </c>
      <c r="R3881" t="s">
        <v>38</v>
      </c>
      <c r="S3881" t="s">
        <v>38</v>
      </c>
      <c r="T3881" t="s">
        <v>38</v>
      </c>
      <c r="U3881" t="s">
        <v>38</v>
      </c>
      <c r="V3881" t="s">
        <v>38</v>
      </c>
      <c r="W3881" t="s">
        <v>38</v>
      </c>
      <c r="X3881" t="s">
        <v>38</v>
      </c>
      <c r="Y3881" t="s">
        <v>5719</v>
      </c>
      <c r="Z3881" t="s">
        <v>42</v>
      </c>
      <c r="AA3881" t="s">
        <v>38</v>
      </c>
      <c r="AB3881" t="s">
        <v>38</v>
      </c>
      <c r="AC3881" t="s">
        <v>38</v>
      </c>
      <c r="AD3881" t="s">
        <v>48</v>
      </c>
      <c r="AG3881" t="str">
        <f>IF(AD3881="United States", IFERROR(INDEX(Sheet2!$C:$C, MATCH(AE3881&amp;AF3881, Sheet2!$E:$E, 0)) &amp; ", " &amp; INDEX(Sheet2!$D:$D, MATCH(AE3881&amp;AF3881, Sheet2!$E:$E, 0)), ""), "-")</f>
        <v/>
      </c>
    </row>
    <row r="3882" spans="1:33" x14ac:dyDescent="0.25">
      <c r="A3882" t="s">
        <v>254</v>
      </c>
      <c r="B3882" t="s">
        <v>5720</v>
      </c>
      <c r="C3882" t="s">
        <v>5711</v>
      </c>
      <c r="D3882" t="s">
        <v>200</v>
      </c>
      <c r="E3882" t="s">
        <v>5721</v>
      </c>
      <c r="F3882">
        <v>1755</v>
      </c>
      <c r="G3882">
        <v>668</v>
      </c>
      <c r="H3882" t="s">
        <v>2354</v>
      </c>
      <c r="I3882" t="s">
        <v>39</v>
      </c>
      <c r="J3882" t="s">
        <v>38</v>
      </c>
      <c r="K3882" t="s">
        <v>38</v>
      </c>
      <c r="L3882" t="s">
        <v>38</v>
      </c>
      <c r="M3882" t="s">
        <v>38</v>
      </c>
      <c r="N3882" t="s">
        <v>38</v>
      </c>
      <c r="O3882" t="s">
        <v>41</v>
      </c>
      <c r="P3882" t="s">
        <v>42</v>
      </c>
      <c r="Q3882" t="s">
        <v>43</v>
      </c>
      <c r="R3882" t="s">
        <v>89</v>
      </c>
      <c r="S3882" t="s">
        <v>38</v>
      </c>
      <c r="T3882" t="s">
        <v>89</v>
      </c>
      <c r="U3882" t="s">
        <v>301</v>
      </c>
      <c r="V3882" t="s">
        <v>38</v>
      </c>
      <c r="W3882" t="s">
        <v>92</v>
      </c>
      <c r="X3882" t="s">
        <v>302</v>
      </c>
      <c r="Y3882" t="s">
        <v>5722</v>
      </c>
      <c r="Z3882" t="s">
        <v>42</v>
      </c>
      <c r="AA3882" t="s">
        <v>38</v>
      </c>
      <c r="AB3882" t="s">
        <v>38</v>
      </c>
      <c r="AC3882" t="s">
        <v>38</v>
      </c>
      <c r="AD3882" t="s">
        <v>48</v>
      </c>
      <c r="AG3882" t="str">
        <f>IF(AD3882="United States", IFERROR(INDEX(Sheet2!$C:$C, MATCH(AE3882&amp;AF3882, Sheet2!$E:$E, 0)) &amp; ", " &amp; INDEX(Sheet2!$D:$D, MATCH(AE3882&amp;AF3882, Sheet2!$E:$E, 0)), ""), "-")</f>
        <v/>
      </c>
    </row>
    <row r="3883" spans="1:33" x14ac:dyDescent="0.25">
      <c r="A3883" t="s">
        <v>5723</v>
      </c>
      <c r="D3883" t="s">
        <v>63</v>
      </c>
      <c r="E3883" t="s">
        <v>64</v>
      </c>
      <c r="F3883">
        <v>1740</v>
      </c>
      <c r="G3883">
        <v>820</v>
      </c>
      <c r="H3883">
        <v>37</v>
      </c>
      <c r="J3883" t="s">
        <v>40</v>
      </c>
      <c r="O3883" t="s">
        <v>41</v>
      </c>
      <c r="R3883" t="s">
        <v>89</v>
      </c>
      <c r="T3883" t="s">
        <v>89</v>
      </c>
      <c r="U3883" t="s">
        <v>5724</v>
      </c>
      <c r="V3883" t="s">
        <v>5709</v>
      </c>
      <c r="W3883" t="s">
        <v>92</v>
      </c>
      <c r="X3883" t="s">
        <v>93</v>
      </c>
      <c r="Y3883" t="s">
        <v>38</v>
      </c>
      <c r="AA3883" t="s">
        <v>38</v>
      </c>
      <c r="AB3883" t="s">
        <v>38</v>
      </c>
      <c r="AC3883" t="s">
        <v>38</v>
      </c>
      <c r="AD3883" t="s">
        <v>48</v>
      </c>
      <c r="AG3883" t="str">
        <f>IF(AD3883="United States", IFERROR(INDEX(Sheet2!$C:$C, MATCH(AE3883&amp;AF3883, Sheet2!$E:$E, 0)) &amp; ", " &amp; INDEX(Sheet2!$D:$D, MATCH(AE3883&amp;AF3883, Sheet2!$E:$E, 0)), ""), "-")</f>
        <v/>
      </c>
    </row>
    <row r="3884" spans="1:33" x14ac:dyDescent="0.25">
      <c r="A3884" t="s">
        <v>5723</v>
      </c>
      <c r="D3884" t="s">
        <v>62</v>
      </c>
      <c r="E3884" t="s">
        <v>53</v>
      </c>
      <c r="F3884">
        <v>1751</v>
      </c>
      <c r="G3884">
        <v>821</v>
      </c>
      <c r="H3884">
        <v>37</v>
      </c>
      <c r="J3884" t="s">
        <v>40</v>
      </c>
      <c r="O3884" t="s">
        <v>41</v>
      </c>
      <c r="R3884" t="s">
        <v>89</v>
      </c>
      <c r="T3884" t="s">
        <v>89</v>
      </c>
      <c r="U3884" t="s">
        <v>5724</v>
      </c>
      <c r="V3884" t="s">
        <v>5709</v>
      </c>
      <c r="W3884" t="s">
        <v>92</v>
      </c>
      <c r="X3884" t="s">
        <v>93</v>
      </c>
      <c r="Y3884" t="s">
        <v>38</v>
      </c>
      <c r="AA3884" t="s">
        <v>38</v>
      </c>
      <c r="AB3884" t="s">
        <v>38</v>
      </c>
      <c r="AC3884" t="s">
        <v>38</v>
      </c>
      <c r="AD3884" t="s">
        <v>48</v>
      </c>
      <c r="AG3884" t="str">
        <f>IF(AD3884="United States", IFERROR(INDEX(Sheet2!$C:$C, MATCH(AE3884&amp;AF3884, Sheet2!$E:$E, 0)) &amp; ", " &amp; INDEX(Sheet2!$D:$D, MATCH(AE3884&amp;AF3884, Sheet2!$E:$E, 0)), ""), "-")</f>
        <v/>
      </c>
    </row>
    <row r="3885" spans="1:33" x14ac:dyDescent="0.25">
      <c r="A3885" t="s">
        <v>5723</v>
      </c>
      <c r="D3885" t="s">
        <v>52</v>
      </c>
      <c r="E3885" t="s">
        <v>53</v>
      </c>
      <c r="F3885">
        <v>1756</v>
      </c>
      <c r="G3885">
        <v>822</v>
      </c>
      <c r="H3885">
        <v>37</v>
      </c>
      <c r="J3885" t="s">
        <v>40</v>
      </c>
      <c r="O3885" t="s">
        <v>57</v>
      </c>
      <c r="R3885" t="s">
        <v>89</v>
      </c>
      <c r="T3885" t="s">
        <v>89</v>
      </c>
      <c r="U3885" t="s">
        <v>5724</v>
      </c>
      <c r="V3885" t="s">
        <v>5709</v>
      </c>
      <c r="W3885" t="s">
        <v>92</v>
      </c>
      <c r="X3885" t="s">
        <v>93</v>
      </c>
      <c r="Y3885" t="s">
        <v>38</v>
      </c>
      <c r="AA3885" t="s">
        <v>38</v>
      </c>
      <c r="AB3885" t="s">
        <v>38</v>
      </c>
      <c r="AC3885" t="s">
        <v>38</v>
      </c>
      <c r="AD3885" t="s">
        <v>48</v>
      </c>
      <c r="AG3885" t="str">
        <f>IF(AD3885="United States", IFERROR(INDEX(Sheet2!$C:$C, MATCH(AE3885&amp;AF3885, Sheet2!$E:$E, 0)) &amp; ", " &amp; INDEX(Sheet2!$D:$D, MATCH(AE3885&amp;AF3885, Sheet2!$E:$E, 0)), ""), "-")</f>
        <v/>
      </c>
    </row>
    <row r="3886" spans="1:33" x14ac:dyDescent="0.25">
      <c r="A3886" t="s">
        <v>5723</v>
      </c>
      <c r="D3886" t="s">
        <v>36</v>
      </c>
      <c r="E3886" t="s">
        <v>37</v>
      </c>
      <c r="F3886">
        <v>1762</v>
      </c>
      <c r="G3886">
        <v>823</v>
      </c>
      <c r="H3886">
        <v>37</v>
      </c>
      <c r="J3886" t="s">
        <v>40</v>
      </c>
      <c r="O3886" t="s">
        <v>41</v>
      </c>
      <c r="R3886" t="s">
        <v>89</v>
      </c>
      <c r="T3886" t="s">
        <v>89</v>
      </c>
      <c r="U3886" t="s">
        <v>5724</v>
      </c>
      <c r="V3886" t="s">
        <v>5709</v>
      </c>
      <c r="W3886" t="s">
        <v>92</v>
      </c>
      <c r="X3886" t="s">
        <v>93</v>
      </c>
      <c r="Y3886" t="s">
        <v>38</v>
      </c>
      <c r="AA3886" t="s">
        <v>38</v>
      </c>
      <c r="AB3886" t="s">
        <v>38</v>
      </c>
      <c r="AC3886" t="s">
        <v>38</v>
      </c>
      <c r="AD3886" t="s">
        <v>48</v>
      </c>
      <c r="AG3886" t="str">
        <f>IF(AD3886="United States", IFERROR(INDEX(Sheet2!$C:$C, MATCH(AE3886&amp;AF3886, Sheet2!$E:$E, 0)) &amp; ", " &amp; INDEX(Sheet2!$D:$D, MATCH(AE3886&amp;AF3886, Sheet2!$E:$E, 0)), ""), "-")</f>
        <v/>
      </c>
    </row>
    <row r="3887" spans="1:33" x14ac:dyDescent="0.25">
      <c r="A3887" t="s">
        <v>5723</v>
      </c>
      <c r="D3887" t="s">
        <v>72</v>
      </c>
      <c r="E3887" t="s">
        <v>73</v>
      </c>
      <c r="F3887">
        <v>1767</v>
      </c>
      <c r="G3887">
        <v>824</v>
      </c>
      <c r="H3887">
        <v>37</v>
      </c>
      <c r="J3887" t="s">
        <v>40</v>
      </c>
      <c r="O3887" t="s">
        <v>57</v>
      </c>
      <c r="R3887" t="s">
        <v>89</v>
      </c>
      <c r="T3887" t="s">
        <v>89</v>
      </c>
      <c r="U3887" t="s">
        <v>5724</v>
      </c>
      <c r="V3887" t="s">
        <v>5709</v>
      </c>
      <c r="W3887" t="s">
        <v>92</v>
      </c>
      <c r="X3887" t="s">
        <v>93</v>
      </c>
      <c r="Y3887" t="s">
        <v>38</v>
      </c>
      <c r="AA3887" t="s">
        <v>38</v>
      </c>
      <c r="AB3887" t="s">
        <v>38</v>
      </c>
      <c r="AC3887" t="s">
        <v>38</v>
      </c>
      <c r="AD3887" t="s">
        <v>48</v>
      </c>
      <c r="AG3887" t="str">
        <f>IF(AD3887="United States", IFERROR(INDEX(Sheet2!$C:$C, MATCH(AE3887&amp;AF3887, Sheet2!$E:$E, 0)) &amp; ", " &amp; INDEX(Sheet2!$D:$D, MATCH(AE3887&amp;AF3887, Sheet2!$E:$E, 0)), ""), "-")</f>
        <v/>
      </c>
    </row>
    <row r="3888" spans="1:33" x14ac:dyDescent="0.25">
      <c r="A3888" t="s">
        <v>5723</v>
      </c>
      <c r="D3888" t="s">
        <v>5725</v>
      </c>
      <c r="E3888" t="s">
        <v>1806</v>
      </c>
      <c r="F3888" t="s">
        <v>38</v>
      </c>
      <c r="G3888">
        <v>825</v>
      </c>
      <c r="H3888">
        <v>37</v>
      </c>
      <c r="J3888" t="s">
        <v>40</v>
      </c>
      <c r="O3888" t="s">
        <v>74</v>
      </c>
      <c r="R3888" t="s">
        <v>89</v>
      </c>
      <c r="T3888" t="s">
        <v>89</v>
      </c>
      <c r="U3888" t="s">
        <v>5724</v>
      </c>
      <c r="V3888" t="s">
        <v>5709</v>
      </c>
      <c r="W3888" t="s">
        <v>92</v>
      </c>
      <c r="X3888" t="s">
        <v>93</v>
      </c>
      <c r="Y3888" t="s">
        <v>38</v>
      </c>
      <c r="AA3888" t="s">
        <v>38</v>
      </c>
      <c r="AB3888" t="s">
        <v>38</v>
      </c>
      <c r="AC3888" t="s">
        <v>38</v>
      </c>
      <c r="AD3888" t="s">
        <v>48</v>
      </c>
      <c r="AG3888" t="str">
        <f>IF(AD3888="United States", IFERROR(INDEX(Sheet2!$C:$C, MATCH(AE3888&amp;AF3888, Sheet2!$E:$E, 0)) &amp; ", " &amp; INDEX(Sheet2!$D:$D, MATCH(AE3888&amp;AF3888, Sheet2!$E:$E, 0)), ""), "-")</f>
        <v/>
      </c>
    </row>
    <row r="3889" spans="1:33" x14ac:dyDescent="0.25">
      <c r="A3889" t="s">
        <v>5726</v>
      </c>
      <c r="B3889" t="s">
        <v>5727</v>
      </c>
      <c r="C3889" t="s">
        <v>5728</v>
      </c>
      <c r="D3889" t="s">
        <v>106</v>
      </c>
      <c r="E3889" t="s">
        <v>5729</v>
      </c>
      <c r="F3889">
        <v>1778</v>
      </c>
      <c r="G3889">
        <v>316</v>
      </c>
      <c r="H3889" t="s">
        <v>435</v>
      </c>
      <c r="I3889" t="s">
        <v>39</v>
      </c>
      <c r="J3889" t="s">
        <v>5730</v>
      </c>
      <c r="K3889" t="s">
        <v>38</v>
      </c>
      <c r="L3889" t="s">
        <v>38</v>
      </c>
      <c r="M3889" t="s">
        <v>38</v>
      </c>
      <c r="N3889" t="s">
        <v>38</v>
      </c>
      <c r="O3889" t="s">
        <v>54</v>
      </c>
      <c r="P3889" t="s">
        <v>42</v>
      </c>
      <c r="Q3889" t="s">
        <v>43</v>
      </c>
      <c r="R3889" t="s">
        <v>89</v>
      </c>
      <c r="S3889" t="s">
        <v>38</v>
      </c>
      <c r="T3889" t="s">
        <v>89</v>
      </c>
      <c r="U3889" t="s">
        <v>136</v>
      </c>
      <c r="V3889" t="s">
        <v>137</v>
      </c>
      <c r="W3889" t="s">
        <v>92</v>
      </c>
      <c r="X3889" t="s">
        <v>93</v>
      </c>
      <c r="Y3889" t="s">
        <v>795</v>
      </c>
      <c r="Z3889" t="s">
        <v>42</v>
      </c>
      <c r="AA3889" t="s">
        <v>38</v>
      </c>
      <c r="AB3889" t="s">
        <v>38</v>
      </c>
      <c r="AC3889" t="s">
        <v>38</v>
      </c>
      <c r="AD3889" t="s">
        <v>48</v>
      </c>
      <c r="AG3889" t="str">
        <f>IF(AD3889="United States", IFERROR(INDEX(Sheet2!$C:$C, MATCH(AE3889&amp;AF3889, Sheet2!$E:$E, 0)) &amp; ", " &amp; INDEX(Sheet2!$D:$D, MATCH(AE3889&amp;AF3889, Sheet2!$E:$E, 0)), ""), "-")</f>
        <v/>
      </c>
    </row>
    <row r="3890" spans="1:33" x14ac:dyDescent="0.25">
      <c r="A3890" t="s">
        <v>5726</v>
      </c>
      <c r="B3890" t="s">
        <v>5731</v>
      </c>
      <c r="C3890" t="s">
        <v>5728</v>
      </c>
      <c r="D3890" t="s">
        <v>835</v>
      </c>
      <c r="E3890" t="s">
        <v>164</v>
      </c>
      <c r="F3890">
        <v>1763</v>
      </c>
      <c r="G3890">
        <v>322</v>
      </c>
      <c r="H3890" t="s">
        <v>435</v>
      </c>
      <c r="I3890" t="s">
        <v>39</v>
      </c>
      <c r="J3890" t="s">
        <v>5730</v>
      </c>
      <c r="K3890" t="s">
        <v>2411</v>
      </c>
      <c r="L3890" t="s">
        <v>4357</v>
      </c>
      <c r="M3890" t="s">
        <v>38</v>
      </c>
      <c r="N3890" t="s">
        <v>38</v>
      </c>
      <c r="O3890" t="s">
        <v>57</v>
      </c>
      <c r="P3890" t="s">
        <v>42</v>
      </c>
      <c r="Q3890" t="s">
        <v>43</v>
      </c>
      <c r="R3890" t="s">
        <v>89</v>
      </c>
      <c r="S3890" t="s">
        <v>165</v>
      </c>
      <c r="T3890" t="s">
        <v>89</v>
      </c>
      <c r="U3890" t="s">
        <v>136</v>
      </c>
      <c r="V3890" t="s">
        <v>137</v>
      </c>
      <c r="W3890" t="s">
        <v>92</v>
      </c>
      <c r="X3890" t="s">
        <v>93</v>
      </c>
      <c r="Y3890" t="s">
        <v>795</v>
      </c>
      <c r="Z3890" t="s">
        <v>42</v>
      </c>
      <c r="AA3890" t="s">
        <v>166</v>
      </c>
      <c r="AB3890" t="s">
        <v>38</v>
      </c>
      <c r="AC3890" t="s">
        <v>165</v>
      </c>
      <c r="AD3890" t="s">
        <v>48</v>
      </c>
      <c r="AG3890" t="str">
        <f>IF(AD3890="United States", IFERROR(INDEX(Sheet2!$C:$C, MATCH(AE3890&amp;AF3890, Sheet2!$E:$E, 0)) &amp; ", " &amp; INDEX(Sheet2!$D:$D, MATCH(AE3890&amp;AF3890, Sheet2!$E:$E, 0)), ""), "-")</f>
        <v/>
      </c>
    </row>
    <row r="3891" spans="1:33" x14ac:dyDescent="0.25">
      <c r="A3891" t="s">
        <v>5726</v>
      </c>
      <c r="B3891" t="s">
        <v>5732</v>
      </c>
      <c r="C3891" t="s">
        <v>5728</v>
      </c>
      <c r="D3891" t="s">
        <v>2411</v>
      </c>
      <c r="E3891" t="s">
        <v>4357</v>
      </c>
      <c r="F3891">
        <v>1755</v>
      </c>
      <c r="G3891">
        <v>321</v>
      </c>
      <c r="H3891" t="s">
        <v>435</v>
      </c>
      <c r="I3891" t="s">
        <v>39</v>
      </c>
      <c r="J3891" t="s">
        <v>5730</v>
      </c>
      <c r="K3891" t="s">
        <v>38</v>
      </c>
      <c r="L3891" t="s">
        <v>38</v>
      </c>
      <c r="M3891" t="s">
        <v>38</v>
      </c>
      <c r="N3891" t="s">
        <v>38</v>
      </c>
      <c r="O3891" t="s">
        <v>41</v>
      </c>
      <c r="P3891" t="s">
        <v>42</v>
      </c>
      <c r="Q3891" t="s">
        <v>43</v>
      </c>
      <c r="R3891" t="s">
        <v>89</v>
      </c>
      <c r="S3891" t="s">
        <v>165</v>
      </c>
      <c r="T3891" t="s">
        <v>89</v>
      </c>
      <c r="U3891" t="s">
        <v>136</v>
      </c>
      <c r="V3891" t="s">
        <v>137</v>
      </c>
      <c r="W3891" t="s">
        <v>92</v>
      </c>
      <c r="X3891" t="s">
        <v>93</v>
      </c>
      <c r="Y3891" t="s">
        <v>795</v>
      </c>
      <c r="Z3891" t="s">
        <v>42</v>
      </c>
      <c r="AA3891" t="s">
        <v>166</v>
      </c>
      <c r="AB3891" t="s">
        <v>38</v>
      </c>
      <c r="AC3891" t="s">
        <v>165</v>
      </c>
      <c r="AD3891" t="s">
        <v>48</v>
      </c>
      <c r="AG3891" t="str">
        <f>IF(AD3891="United States", IFERROR(INDEX(Sheet2!$C:$C, MATCH(AE3891&amp;AF3891, Sheet2!$E:$E, 0)) &amp; ", " &amp; INDEX(Sheet2!$D:$D, MATCH(AE3891&amp;AF3891, Sheet2!$E:$E, 0)), ""), "-")</f>
        <v/>
      </c>
    </row>
    <row r="3892" spans="1:33" x14ac:dyDescent="0.25">
      <c r="A3892" t="s">
        <v>5726</v>
      </c>
      <c r="B3892" t="s">
        <v>5733</v>
      </c>
      <c r="C3892" t="s">
        <v>5728</v>
      </c>
      <c r="D3892" t="s">
        <v>140</v>
      </c>
      <c r="E3892" t="s">
        <v>624</v>
      </c>
      <c r="F3892">
        <v>1745</v>
      </c>
      <c r="G3892">
        <v>320</v>
      </c>
      <c r="H3892" t="s">
        <v>38</v>
      </c>
      <c r="I3892" t="s">
        <v>39</v>
      </c>
      <c r="J3892" t="s">
        <v>5730</v>
      </c>
      <c r="K3892" t="s">
        <v>38</v>
      </c>
      <c r="L3892" t="s">
        <v>38</v>
      </c>
      <c r="M3892" t="s">
        <v>38</v>
      </c>
      <c r="N3892" t="s">
        <v>38</v>
      </c>
      <c r="O3892" t="s">
        <v>57</v>
      </c>
      <c r="P3892" t="s">
        <v>42</v>
      </c>
      <c r="Q3892" t="s">
        <v>43</v>
      </c>
      <c r="R3892" t="s">
        <v>155</v>
      </c>
      <c r="S3892" t="s">
        <v>153</v>
      </c>
      <c r="T3892" t="s">
        <v>38</v>
      </c>
      <c r="U3892" t="s">
        <v>38</v>
      </c>
      <c r="V3892" t="s">
        <v>137</v>
      </c>
      <c r="W3892" t="s">
        <v>38</v>
      </c>
      <c r="X3892" t="s">
        <v>38</v>
      </c>
      <c r="Y3892" t="s">
        <v>795</v>
      </c>
      <c r="Z3892" t="s">
        <v>42</v>
      </c>
      <c r="AA3892" t="s">
        <v>155</v>
      </c>
      <c r="AB3892" t="s">
        <v>38</v>
      </c>
      <c r="AC3892" t="s">
        <v>153</v>
      </c>
      <c r="AD3892" t="s">
        <v>48</v>
      </c>
      <c r="AG3892" t="str">
        <f>IF(AD3892="United States", IFERROR(INDEX(Sheet2!$C:$C, MATCH(AE3892&amp;AF3892, Sheet2!$E:$E, 0)) &amp; ", " &amp; INDEX(Sheet2!$D:$D, MATCH(AE3892&amp;AF3892, Sheet2!$E:$E, 0)), ""), "-")</f>
        <v/>
      </c>
    </row>
    <row r="3893" spans="1:33" x14ac:dyDescent="0.25">
      <c r="A3893" t="s">
        <v>5726</v>
      </c>
      <c r="B3893" t="s">
        <v>5734</v>
      </c>
      <c r="C3893" t="s">
        <v>5728</v>
      </c>
      <c r="D3893" t="s">
        <v>106</v>
      </c>
      <c r="E3893" t="s">
        <v>624</v>
      </c>
      <c r="F3893">
        <v>1743</v>
      </c>
      <c r="G3893">
        <v>319</v>
      </c>
      <c r="H3893" t="s">
        <v>435</v>
      </c>
      <c r="I3893" t="s">
        <v>39</v>
      </c>
      <c r="J3893" t="s">
        <v>5730</v>
      </c>
      <c r="K3893" t="s">
        <v>38</v>
      </c>
      <c r="L3893" t="s">
        <v>38</v>
      </c>
      <c r="M3893" t="s">
        <v>38</v>
      </c>
      <c r="N3893" t="s">
        <v>38</v>
      </c>
      <c r="O3893" t="s">
        <v>41</v>
      </c>
      <c r="P3893" t="s">
        <v>42</v>
      </c>
      <c r="Q3893" t="s">
        <v>43</v>
      </c>
      <c r="R3893" t="s">
        <v>89</v>
      </c>
      <c r="S3893" t="s">
        <v>153</v>
      </c>
      <c r="T3893" t="s">
        <v>89</v>
      </c>
      <c r="U3893" t="s">
        <v>136</v>
      </c>
      <c r="V3893" t="s">
        <v>137</v>
      </c>
      <c r="W3893" t="s">
        <v>92</v>
      </c>
      <c r="X3893" t="s">
        <v>93</v>
      </c>
      <c r="Y3893" t="s">
        <v>795</v>
      </c>
      <c r="Z3893" t="s">
        <v>42</v>
      </c>
      <c r="AA3893" t="s">
        <v>155</v>
      </c>
      <c r="AB3893" t="s">
        <v>38</v>
      </c>
      <c r="AC3893" t="s">
        <v>153</v>
      </c>
      <c r="AD3893" t="s">
        <v>48</v>
      </c>
      <c r="AG3893" t="str">
        <f>IF(AD3893="United States", IFERROR(INDEX(Sheet2!$C:$C, MATCH(AE3893&amp;AF3893, Sheet2!$E:$E, 0)) &amp; ", " &amp; INDEX(Sheet2!$D:$D, MATCH(AE3893&amp;AF3893, Sheet2!$E:$E, 0)), ""), "-")</f>
        <v/>
      </c>
    </row>
    <row r="3894" spans="1:33" x14ac:dyDescent="0.25">
      <c r="A3894" t="s">
        <v>5726</v>
      </c>
      <c r="B3894" t="s">
        <v>5735</v>
      </c>
      <c r="C3894" t="s">
        <v>5728</v>
      </c>
      <c r="D3894" t="s">
        <v>5736</v>
      </c>
      <c r="E3894" t="s">
        <v>1214</v>
      </c>
      <c r="F3894">
        <v>1768</v>
      </c>
      <c r="G3894">
        <v>318</v>
      </c>
      <c r="H3894" t="s">
        <v>435</v>
      </c>
      <c r="I3894" t="s">
        <v>39</v>
      </c>
      <c r="J3894" t="s">
        <v>5730</v>
      </c>
      <c r="K3894" t="s">
        <v>38</v>
      </c>
      <c r="L3894" t="s">
        <v>38</v>
      </c>
      <c r="M3894" t="s">
        <v>38</v>
      </c>
      <c r="N3894" t="s">
        <v>38</v>
      </c>
      <c r="O3894" t="s">
        <v>74</v>
      </c>
      <c r="P3894" t="s">
        <v>42</v>
      </c>
      <c r="Q3894" t="s">
        <v>43</v>
      </c>
      <c r="R3894" t="s">
        <v>89</v>
      </c>
      <c r="S3894" t="s">
        <v>89</v>
      </c>
      <c r="T3894" t="s">
        <v>89</v>
      </c>
      <c r="U3894" t="s">
        <v>136</v>
      </c>
      <c r="V3894" t="s">
        <v>137</v>
      </c>
      <c r="W3894" t="s">
        <v>92</v>
      </c>
      <c r="X3894" t="s">
        <v>93</v>
      </c>
      <c r="Y3894" t="s">
        <v>5737</v>
      </c>
      <c r="Z3894" t="s">
        <v>42</v>
      </c>
      <c r="AA3894" t="s">
        <v>38</v>
      </c>
      <c r="AB3894" t="s">
        <v>38</v>
      </c>
      <c r="AC3894" t="s">
        <v>89</v>
      </c>
      <c r="AD3894" t="s">
        <v>48</v>
      </c>
      <c r="AG3894" t="str">
        <f>IF(AD3894="United States", IFERROR(INDEX(Sheet2!$C:$C, MATCH(AE3894&amp;AF3894, Sheet2!$E:$E, 0)) &amp; ", " &amp; INDEX(Sheet2!$D:$D, MATCH(AE3894&amp;AF3894, Sheet2!$E:$E, 0)), ""), "-")</f>
        <v/>
      </c>
    </row>
    <row r="3895" spans="1:33" x14ac:dyDescent="0.25">
      <c r="A3895" t="s">
        <v>5726</v>
      </c>
      <c r="B3895" t="s">
        <v>5738</v>
      </c>
      <c r="C3895" t="s">
        <v>5728</v>
      </c>
      <c r="D3895" t="s">
        <v>114</v>
      </c>
      <c r="E3895" t="s">
        <v>129</v>
      </c>
      <c r="F3895">
        <v>1760</v>
      </c>
      <c r="G3895">
        <v>317</v>
      </c>
      <c r="H3895" t="s">
        <v>435</v>
      </c>
      <c r="I3895" t="s">
        <v>39</v>
      </c>
      <c r="J3895" t="s">
        <v>5730</v>
      </c>
      <c r="K3895" t="s">
        <v>38</v>
      </c>
      <c r="L3895" t="s">
        <v>38</v>
      </c>
      <c r="M3895" t="s">
        <v>38</v>
      </c>
      <c r="N3895" t="s">
        <v>38</v>
      </c>
      <c r="O3895" t="s">
        <v>41</v>
      </c>
      <c r="P3895" t="s">
        <v>42</v>
      </c>
      <c r="Q3895" t="s">
        <v>43</v>
      </c>
      <c r="R3895" t="s">
        <v>89</v>
      </c>
      <c r="S3895" t="s">
        <v>153</v>
      </c>
      <c r="T3895" t="s">
        <v>89</v>
      </c>
      <c r="U3895" t="s">
        <v>136</v>
      </c>
      <c r="V3895" t="s">
        <v>137</v>
      </c>
      <c r="W3895" t="s">
        <v>92</v>
      </c>
      <c r="X3895" t="s">
        <v>93</v>
      </c>
      <c r="Y3895" t="s">
        <v>5739</v>
      </c>
      <c r="Z3895" t="s">
        <v>42</v>
      </c>
      <c r="AA3895" t="s">
        <v>1882</v>
      </c>
      <c r="AB3895" t="s">
        <v>38</v>
      </c>
      <c r="AC3895" t="s">
        <v>153</v>
      </c>
      <c r="AD3895" t="s">
        <v>48</v>
      </c>
      <c r="AG3895" t="str">
        <f>IF(AD3895="United States", IFERROR(INDEX(Sheet2!$C:$C, MATCH(AE3895&amp;AF3895, Sheet2!$E:$E, 0)) &amp; ", " &amp; INDEX(Sheet2!$D:$D, MATCH(AE3895&amp;AF3895, Sheet2!$E:$E, 0)), ""), "-")</f>
        <v/>
      </c>
    </row>
    <row r="3896" spans="1:33" x14ac:dyDescent="0.25">
      <c r="A3896" t="s">
        <v>5726</v>
      </c>
      <c r="B3896" t="s">
        <v>5740</v>
      </c>
      <c r="C3896" t="s">
        <v>5728</v>
      </c>
      <c r="D3896" t="s">
        <v>104</v>
      </c>
      <c r="E3896" t="s">
        <v>5729</v>
      </c>
      <c r="F3896">
        <v>1757</v>
      </c>
      <c r="G3896">
        <v>314</v>
      </c>
      <c r="H3896" t="s">
        <v>435</v>
      </c>
      <c r="I3896" t="s">
        <v>39</v>
      </c>
      <c r="J3896" t="s">
        <v>5730</v>
      </c>
      <c r="K3896" t="s">
        <v>38</v>
      </c>
      <c r="L3896" t="s">
        <v>38</v>
      </c>
      <c r="M3896" t="s">
        <v>38</v>
      </c>
      <c r="N3896" t="s">
        <v>38</v>
      </c>
      <c r="O3896" t="s">
        <v>41</v>
      </c>
      <c r="P3896" t="s">
        <v>42</v>
      </c>
      <c r="Q3896" t="s">
        <v>43</v>
      </c>
      <c r="R3896" t="s">
        <v>89</v>
      </c>
      <c r="S3896" t="s">
        <v>38</v>
      </c>
      <c r="T3896" t="s">
        <v>89</v>
      </c>
      <c r="U3896" t="s">
        <v>136</v>
      </c>
      <c r="V3896" t="s">
        <v>137</v>
      </c>
      <c r="W3896" t="s">
        <v>92</v>
      </c>
      <c r="X3896" t="s">
        <v>93</v>
      </c>
      <c r="Y3896" t="s">
        <v>795</v>
      </c>
      <c r="Z3896" t="s">
        <v>42</v>
      </c>
      <c r="AA3896" t="s">
        <v>1813</v>
      </c>
      <c r="AB3896" t="s">
        <v>38</v>
      </c>
      <c r="AC3896" t="s">
        <v>1813</v>
      </c>
      <c r="AD3896" t="s">
        <v>48</v>
      </c>
      <c r="AG3896" t="str">
        <f>IF(AD3896="United States", IFERROR(INDEX(Sheet2!$C:$C, MATCH(AE3896&amp;AF3896, Sheet2!$E:$E, 0)) &amp; ", " &amp; INDEX(Sheet2!$D:$D, MATCH(AE3896&amp;AF3896, Sheet2!$E:$E, 0)), ""), "-")</f>
        <v/>
      </c>
    </row>
    <row r="3897" spans="1:33" x14ac:dyDescent="0.25">
      <c r="A3897" t="s">
        <v>5726</v>
      </c>
      <c r="B3897" t="s">
        <v>5741</v>
      </c>
      <c r="C3897" t="s">
        <v>5728</v>
      </c>
      <c r="D3897" t="s">
        <v>162</v>
      </c>
      <c r="E3897" t="s">
        <v>5742</v>
      </c>
      <c r="F3897">
        <v>1762</v>
      </c>
      <c r="G3897">
        <v>315</v>
      </c>
      <c r="H3897" t="s">
        <v>38</v>
      </c>
      <c r="I3897" t="s">
        <v>39</v>
      </c>
      <c r="J3897" t="s">
        <v>5730</v>
      </c>
      <c r="K3897" t="s">
        <v>38</v>
      </c>
      <c r="L3897" t="s">
        <v>38</v>
      </c>
      <c r="M3897" t="s">
        <v>38</v>
      </c>
      <c r="N3897" t="s">
        <v>38</v>
      </c>
      <c r="O3897" t="s">
        <v>41</v>
      </c>
      <c r="P3897" t="s">
        <v>42</v>
      </c>
      <c r="Q3897" t="s">
        <v>43</v>
      </c>
      <c r="R3897" t="s">
        <v>38</v>
      </c>
      <c r="S3897" t="s">
        <v>38</v>
      </c>
      <c r="T3897" t="s">
        <v>38</v>
      </c>
      <c r="U3897" t="s">
        <v>38</v>
      </c>
      <c r="V3897" t="s">
        <v>137</v>
      </c>
      <c r="W3897" t="s">
        <v>38</v>
      </c>
      <c r="X3897" t="s">
        <v>38</v>
      </c>
      <c r="Y3897" t="s">
        <v>795</v>
      </c>
      <c r="Z3897" t="s">
        <v>42</v>
      </c>
      <c r="AA3897" t="s">
        <v>593</v>
      </c>
      <c r="AB3897" t="s">
        <v>38</v>
      </c>
      <c r="AC3897" t="s">
        <v>593</v>
      </c>
      <c r="AD3897" t="s">
        <v>48</v>
      </c>
      <c r="AG3897" t="str">
        <f>IF(AD3897="United States", IFERROR(INDEX(Sheet2!$C:$C, MATCH(AE3897&amp;AF3897, Sheet2!$E:$E, 0)) &amp; ", " &amp; INDEX(Sheet2!$D:$D, MATCH(AE3897&amp;AF3897, Sheet2!$E:$E, 0)), ""), "-")</f>
        <v/>
      </c>
    </row>
    <row r="3898" spans="1:33" x14ac:dyDescent="0.25">
      <c r="A3898" t="s">
        <v>5726</v>
      </c>
      <c r="B3898" t="s">
        <v>5743</v>
      </c>
      <c r="C3898" t="s">
        <v>5728</v>
      </c>
      <c r="D3898" t="s">
        <v>772</v>
      </c>
      <c r="E3898" t="s">
        <v>38</v>
      </c>
      <c r="F3898">
        <v>1773</v>
      </c>
      <c r="G3898">
        <v>323</v>
      </c>
      <c r="H3898" t="s">
        <v>435</v>
      </c>
      <c r="I3898" t="s">
        <v>39</v>
      </c>
      <c r="J3898" t="s">
        <v>5730</v>
      </c>
      <c r="K3898" t="s">
        <v>38</v>
      </c>
      <c r="L3898" t="s">
        <v>38</v>
      </c>
      <c r="M3898" t="s">
        <v>38</v>
      </c>
      <c r="N3898" t="s">
        <v>38</v>
      </c>
      <c r="O3898" t="s">
        <v>54</v>
      </c>
      <c r="P3898" t="s">
        <v>42</v>
      </c>
      <c r="Q3898" t="s">
        <v>43</v>
      </c>
      <c r="R3898" t="s">
        <v>89</v>
      </c>
      <c r="S3898" t="s">
        <v>38</v>
      </c>
      <c r="T3898" t="s">
        <v>89</v>
      </c>
      <c r="U3898" t="s">
        <v>136</v>
      </c>
      <c r="V3898" t="s">
        <v>137</v>
      </c>
      <c r="W3898" t="s">
        <v>92</v>
      </c>
      <c r="X3898" t="s">
        <v>93</v>
      </c>
      <c r="Y3898" t="s">
        <v>5744</v>
      </c>
      <c r="Z3898" t="s">
        <v>42</v>
      </c>
      <c r="AA3898" t="s">
        <v>38</v>
      </c>
      <c r="AB3898" t="s">
        <v>38</v>
      </c>
      <c r="AC3898" t="s">
        <v>5745</v>
      </c>
      <c r="AD3898" t="s">
        <v>48</v>
      </c>
      <c r="AG3898" t="str">
        <f>IF(AD3898="United States", IFERROR(INDEX(Sheet2!$C:$C, MATCH(AE3898&amp;AF3898, Sheet2!$E:$E, 0)) &amp; ", " &amp; INDEX(Sheet2!$D:$D, MATCH(AE3898&amp;AF3898, Sheet2!$E:$E, 0)), ""), "-")</f>
        <v/>
      </c>
    </row>
    <row r="3899" spans="1:33" x14ac:dyDescent="0.25">
      <c r="A3899" t="s">
        <v>5726</v>
      </c>
      <c r="D3899" t="s">
        <v>458</v>
      </c>
      <c r="E3899" t="s">
        <v>5746</v>
      </c>
      <c r="F3899">
        <v>1739</v>
      </c>
      <c r="G3899">
        <v>1864</v>
      </c>
      <c r="H3899">
        <v>61</v>
      </c>
      <c r="J3899" t="s">
        <v>5730</v>
      </c>
      <c r="O3899" t="s">
        <v>41</v>
      </c>
      <c r="R3899" t="s">
        <v>89</v>
      </c>
      <c r="T3899" t="s">
        <v>89</v>
      </c>
      <c r="U3899" t="s">
        <v>136</v>
      </c>
      <c r="V3899" t="s">
        <v>705</v>
      </c>
      <c r="W3899" t="s">
        <v>92</v>
      </c>
      <c r="X3899" t="s">
        <v>93</v>
      </c>
      <c r="Y3899" t="s">
        <v>38</v>
      </c>
      <c r="AA3899" t="s">
        <v>38</v>
      </c>
      <c r="AB3899" t="s">
        <v>38</v>
      </c>
      <c r="AC3899" t="s">
        <v>38</v>
      </c>
      <c r="AD3899" t="s">
        <v>48</v>
      </c>
      <c r="AG3899" t="str">
        <f>IF(AD3899="United States", IFERROR(INDEX(Sheet2!$C:$C, MATCH(AE3899&amp;AF3899, Sheet2!$E:$E, 0)) &amp; ", " &amp; INDEX(Sheet2!$D:$D, MATCH(AE3899&amp;AF3899, Sheet2!$E:$E, 0)), ""), "-")</f>
        <v/>
      </c>
    </row>
    <row r="3900" spans="1:33" x14ac:dyDescent="0.25">
      <c r="A3900" t="s">
        <v>5726</v>
      </c>
      <c r="D3900" t="s">
        <v>927</v>
      </c>
      <c r="E3900" t="s">
        <v>2417</v>
      </c>
      <c r="F3900">
        <v>1764</v>
      </c>
      <c r="G3900">
        <v>1863</v>
      </c>
      <c r="H3900">
        <v>61</v>
      </c>
      <c r="J3900" t="s">
        <v>5730</v>
      </c>
      <c r="O3900" t="s">
        <v>41</v>
      </c>
      <c r="R3900" t="s">
        <v>89</v>
      </c>
      <c r="T3900" t="s">
        <v>89</v>
      </c>
      <c r="U3900" t="s">
        <v>136</v>
      </c>
      <c r="V3900" t="s">
        <v>705</v>
      </c>
      <c r="W3900" t="s">
        <v>92</v>
      </c>
      <c r="X3900" t="s">
        <v>93</v>
      </c>
      <c r="Y3900" t="s">
        <v>38</v>
      </c>
      <c r="AA3900" t="s">
        <v>38</v>
      </c>
      <c r="AB3900" t="s">
        <v>38</v>
      </c>
      <c r="AC3900" t="s">
        <v>38</v>
      </c>
      <c r="AD3900" t="s">
        <v>48</v>
      </c>
      <c r="AG3900" t="str">
        <f>IF(AD3900="United States", IFERROR(INDEX(Sheet2!$C:$C, MATCH(AE3900&amp;AF3900, Sheet2!$E:$E, 0)) &amp; ", " &amp; INDEX(Sheet2!$D:$D, MATCH(AE3900&amp;AF3900, Sheet2!$E:$E, 0)), ""), "-")</f>
        <v/>
      </c>
    </row>
    <row r="3901" spans="1:33" x14ac:dyDescent="0.25">
      <c r="A3901" t="s">
        <v>5726</v>
      </c>
      <c r="D3901" t="s">
        <v>774</v>
      </c>
      <c r="E3901" t="s">
        <v>37</v>
      </c>
      <c r="F3901">
        <v>1772</v>
      </c>
      <c r="G3901">
        <v>1862</v>
      </c>
      <c r="H3901">
        <v>61</v>
      </c>
      <c r="J3901" t="s">
        <v>5730</v>
      </c>
      <c r="O3901" t="s">
        <v>54</v>
      </c>
      <c r="R3901" t="s">
        <v>89</v>
      </c>
      <c r="T3901" t="s">
        <v>89</v>
      </c>
      <c r="U3901" t="s">
        <v>136</v>
      </c>
      <c r="V3901" t="s">
        <v>705</v>
      </c>
      <c r="W3901" t="s">
        <v>92</v>
      </c>
      <c r="X3901" t="s">
        <v>93</v>
      </c>
      <c r="Y3901" t="s">
        <v>38</v>
      </c>
      <c r="AA3901" t="s">
        <v>38</v>
      </c>
      <c r="AB3901" t="s">
        <v>38</v>
      </c>
      <c r="AC3901" t="s">
        <v>38</v>
      </c>
      <c r="AD3901" t="s">
        <v>48</v>
      </c>
      <c r="AG3901" t="str">
        <f>IF(AD3901="United States", IFERROR(INDEX(Sheet2!$C:$C, MATCH(AE3901&amp;AF3901, Sheet2!$E:$E, 0)) &amp; ", " &amp; INDEX(Sheet2!$D:$D, MATCH(AE3901&amp;AF3901, Sheet2!$E:$E, 0)), ""), "-")</f>
        <v/>
      </c>
    </row>
    <row r="3902" spans="1:33" x14ac:dyDescent="0.25">
      <c r="A3902" t="s">
        <v>5726</v>
      </c>
      <c r="D3902" t="s">
        <v>5747</v>
      </c>
      <c r="E3902" t="s">
        <v>5748</v>
      </c>
      <c r="F3902">
        <v>1767</v>
      </c>
      <c r="G3902">
        <v>1861</v>
      </c>
      <c r="H3902">
        <v>61</v>
      </c>
      <c r="J3902" t="s">
        <v>5730</v>
      </c>
      <c r="O3902" t="s">
        <v>41</v>
      </c>
      <c r="R3902" t="s">
        <v>89</v>
      </c>
      <c r="T3902" t="s">
        <v>89</v>
      </c>
      <c r="U3902" t="s">
        <v>136</v>
      </c>
      <c r="V3902" t="s">
        <v>705</v>
      </c>
      <c r="W3902" t="s">
        <v>92</v>
      </c>
      <c r="X3902" t="s">
        <v>93</v>
      </c>
      <c r="Y3902" t="s">
        <v>38</v>
      </c>
      <c r="AA3902" t="s">
        <v>38</v>
      </c>
      <c r="AB3902" t="s">
        <v>38</v>
      </c>
      <c r="AC3902" t="s">
        <v>38</v>
      </c>
      <c r="AD3902" t="s">
        <v>48</v>
      </c>
      <c r="AG3902" t="str">
        <f>IF(AD3902="United States", IFERROR(INDEX(Sheet2!$C:$C, MATCH(AE3902&amp;AF3902, Sheet2!$E:$E, 0)) &amp; ", " &amp; INDEX(Sheet2!$D:$D, MATCH(AE3902&amp;AF3902, Sheet2!$E:$E, 0)), ""), "-")</f>
        <v/>
      </c>
    </row>
    <row r="3903" spans="1:33" x14ac:dyDescent="0.25">
      <c r="A3903" t="s">
        <v>5726</v>
      </c>
      <c r="D3903" t="s">
        <v>5749</v>
      </c>
      <c r="E3903" t="s">
        <v>185</v>
      </c>
      <c r="F3903">
        <v>1755</v>
      </c>
      <c r="G3903">
        <v>352</v>
      </c>
      <c r="H3903">
        <v>24</v>
      </c>
      <c r="J3903" t="s">
        <v>5730</v>
      </c>
      <c r="O3903" t="s">
        <v>57</v>
      </c>
      <c r="R3903" t="s">
        <v>89</v>
      </c>
      <c r="T3903" t="s">
        <v>89</v>
      </c>
      <c r="U3903" t="s">
        <v>136</v>
      </c>
      <c r="V3903" t="s">
        <v>137</v>
      </c>
      <c r="W3903" t="s">
        <v>92</v>
      </c>
      <c r="X3903" t="s">
        <v>93</v>
      </c>
      <c r="Y3903" t="s">
        <v>38</v>
      </c>
      <c r="AA3903" t="s">
        <v>38</v>
      </c>
      <c r="AB3903" t="s">
        <v>38</v>
      </c>
      <c r="AC3903" t="s">
        <v>38</v>
      </c>
      <c r="AD3903" t="s">
        <v>48</v>
      </c>
      <c r="AG3903" t="str">
        <f>IF(AD3903="United States", IFERROR(INDEX(Sheet2!$C:$C, MATCH(AE3903&amp;AF3903, Sheet2!$E:$E, 0)) &amp; ", " &amp; INDEX(Sheet2!$D:$D, MATCH(AE3903&amp;AF3903, Sheet2!$E:$E, 0)), ""), "-")</f>
        <v/>
      </c>
    </row>
    <row r="3904" spans="1:33" x14ac:dyDescent="0.25">
      <c r="A3904" t="s">
        <v>5750</v>
      </c>
      <c r="B3904" t="s">
        <v>5751</v>
      </c>
      <c r="C3904" t="s">
        <v>5752</v>
      </c>
      <c r="D3904" t="s">
        <v>226</v>
      </c>
      <c r="E3904" t="s">
        <v>4106</v>
      </c>
      <c r="F3904">
        <v>1751</v>
      </c>
      <c r="G3904">
        <v>1133</v>
      </c>
      <c r="H3904" t="s">
        <v>38</v>
      </c>
      <c r="I3904" t="s">
        <v>80</v>
      </c>
      <c r="J3904" t="s">
        <v>5753</v>
      </c>
      <c r="K3904" t="s">
        <v>38</v>
      </c>
      <c r="L3904" t="s">
        <v>38</v>
      </c>
      <c r="M3904" t="s">
        <v>38</v>
      </c>
      <c r="N3904" t="s">
        <v>38</v>
      </c>
      <c r="O3904" t="s">
        <v>41</v>
      </c>
      <c r="P3904" t="s">
        <v>42</v>
      </c>
      <c r="Q3904" t="s">
        <v>43</v>
      </c>
      <c r="R3904" t="s">
        <v>5754</v>
      </c>
      <c r="S3904" t="s">
        <v>201</v>
      </c>
      <c r="T3904" t="s">
        <v>38</v>
      </c>
      <c r="U3904" t="s">
        <v>38</v>
      </c>
      <c r="V3904" t="s">
        <v>46</v>
      </c>
      <c r="W3904" t="s">
        <v>38</v>
      </c>
      <c r="X3904" t="s">
        <v>38</v>
      </c>
      <c r="Y3904" t="s">
        <v>5755</v>
      </c>
      <c r="Z3904" t="s">
        <v>42</v>
      </c>
      <c r="AA3904" t="s">
        <v>265</v>
      </c>
      <c r="AB3904" t="s">
        <v>38</v>
      </c>
      <c r="AC3904" t="s">
        <v>201</v>
      </c>
      <c r="AD3904" t="s">
        <v>48</v>
      </c>
      <c r="AG3904" t="str">
        <f>IF(AD3904="United States", IFERROR(INDEX(Sheet2!$C:$C, MATCH(AE3904&amp;AF3904, Sheet2!$E:$E, 0)) &amp; ", " &amp; INDEX(Sheet2!$D:$D, MATCH(AE3904&amp;AF3904, Sheet2!$E:$E, 0)), ""), "-")</f>
        <v/>
      </c>
    </row>
    <row r="3905" spans="1:33" x14ac:dyDescent="0.25">
      <c r="A3905" t="s">
        <v>5750</v>
      </c>
      <c r="B3905" t="s">
        <v>5751</v>
      </c>
      <c r="C3905" t="s">
        <v>5752</v>
      </c>
      <c r="D3905" t="s">
        <v>226</v>
      </c>
      <c r="E3905" t="s">
        <v>4106</v>
      </c>
      <c r="F3905">
        <v>1751</v>
      </c>
      <c r="G3905">
        <v>857</v>
      </c>
      <c r="H3905" t="s">
        <v>38</v>
      </c>
      <c r="I3905" t="s">
        <v>80</v>
      </c>
      <c r="J3905" t="s">
        <v>5753</v>
      </c>
      <c r="K3905" t="s">
        <v>38</v>
      </c>
      <c r="L3905" t="s">
        <v>38</v>
      </c>
      <c r="M3905" t="s">
        <v>38</v>
      </c>
      <c r="N3905" t="s">
        <v>38</v>
      </c>
      <c r="O3905" t="s">
        <v>41</v>
      </c>
      <c r="P3905" t="s">
        <v>42</v>
      </c>
      <c r="Q3905" t="s">
        <v>43</v>
      </c>
      <c r="R3905" t="s">
        <v>5754</v>
      </c>
      <c r="S3905" t="s">
        <v>201</v>
      </c>
      <c r="T3905" t="s">
        <v>38</v>
      </c>
      <c r="U3905" t="s">
        <v>38</v>
      </c>
      <c r="V3905" t="s">
        <v>46</v>
      </c>
      <c r="W3905" t="s">
        <v>38</v>
      </c>
      <c r="X3905" t="s">
        <v>38</v>
      </c>
      <c r="Y3905" t="s">
        <v>5755</v>
      </c>
      <c r="Z3905" t="s">
        <v>42</v>
      </c>
      <c r="AA3905" t="s">
        <v>265</v>
      </c>
      <c r="AB3905" t="s">
        <v>38</v>
      </c>
      <c r="AC3905" t="s">
        <v>201</v>
      </c>
      <c r="AD3905" t="s">
        <v>48</v>
      </c>
      <c r="AG3905" t="str">
        <f>IF(AD3905="United States", IFERROR(INDEX(Sheet2!$C:$C, MATCH(AE3905&amp;AF3905, Sheet2!$E:$E, 0)) &amp; ", " &amp; INDEX(Sheet2!$D:$D, MATCH(AE3905&amp;AF3905, Sheet2!$E:$E, 0)), ""), "-")</f>
        <v/>
      </c>
    </row>
    <row r="3906" spans="1:33" x14ac:dyDescent="0.25">
      <c r="A3906" t="s">
        <v>5756</v>
      </c>
      <c r="B3906" t="s">
        <v>5757</v>
      </c>
      <c r="C3906" t="s">
        <v>5758</v>
      </c>
      <c r="D3906" t="s">
        <v>226</v>
      </c>
      <c r="E3906" t="s">
        <v>37</v>
      </c>
      <c r="F3906">
        <v>1743</v>
      </c>
      <c r="G3906">
        <v>605</v>
      </c>
      <c r="H3906" t="s">
        <v>38</v>
      </c>
      <c r="I3906" t="s">
        <v>39</v>
      </c>
      <c r="J3906" t="s">
        <v>2285</v>
      </c>
      <c r="K3906" t="s">
        <v>38</v>
      </c>
      <c r="L3906" t="s">
        <v>38</v>
      </c>
      <c r="M3906" t="s">
        <v>38</v>
      </c>
      <c r="N3906" t="s">
        <v>38</v>
      </c>
      <c r="O3906" t="s">
        <v>41</v>
      </c>
      <c r="P3906" t="s">
        <v>42</v>
      </c>
      <c r="Q3906" t="s">
        <v>43</v>
      </c>
      <c r="R3906" t="s">
        <v>38</v>
      </c>
      <c r="S3906" t="s">
        <v>89</v>
      </c>
      <c r="T3906" t="s">
        <v>38</v>
      </c>
      <c r="U3906" t="s">
        <v>38</v>
      </c>
      <c r="V3906" t="s">
        <v>137</v>
      </c>
      <c r="W3906" t="s">
        <v>38</v>
      </c>
      <c r="X3906" t="s">
        <v>38</v>
      </c>
      <c r="Y3906" t="s">
        <v>5759</v>
      </c>
      <c r="Z3906" t="s">
        <v>42</v>
      </c>
      <c r="AA3906" t="s">
        <v>864</v>
      </c>
      <c r="AB3906" t="s">
        <v>38</v>
      </c>
      <c r="AC3906" t="s">
        <v>89</v>
      </c>
      <c r="AD3906" t="s">
        <v>48</v>
      </c>
      <c r="AG3906" t="str">
        <f>IF(AD3906="United States", IFERROR(INDEX(Sheet2!$C:$C, MATCH(AE3906&amp;AF3906, Sheet2!$E:$E, 0)) &amp; ", " &amp; INDEX(Sheet2!$D:$D, MATCH(AE3906&amp;AF3906, Sheet2!$E:$E, 0)), ""), "-")</f>
        <v/>
      </c>
    </row>
    <row r="3907" spans="1:33" x14ac:dyDescent="0.25">
      <c r="A3907" t="s">
        <v>5756</v>
      </c>
      <c r="B3907" t="s">
        <v>5760</v>
      </c>
      <c r="C3907" t="s">
        <v>5758</v>
      </c>
      <c r="D3907" t="s">
        <v>1560</v>
      </c>
      <c r="E3907" t="s">
        <v>2291</v>
      </c>
      <c r="F3907">
        <v>1753</v>
      </c>
      <c r="G3907">
        <v>627</v>
      </c>
      <c r="H3907" t="s">
        <v>38</v>
      </c>
      <c r="I3907" t="s">
        <v>39</v>
      </c>
      <c r="J3907" t="s">
        <v>2285</v>
      </c>
      <c r="K3907" t="s">
        <v>38</v>
      </c>
      <c r="L3907" t="s">
        <v>38</v>
      </c>
      <c r="M3907" t="s">
        <v>38</v>
      </c>
      <c r="N3907" t="s">
        <v>38</v>
      </c>
      <c r="O3907" t="s">
        <v>41</v>
      </c>
      <c r="P3907" t="s">
        <v>42</v>
      </c>
      <c r="Q3907" t="s">
        <v>43</v>
      </c>
      <c r="R3907" t="s">
        <v>38</v>
      </c>
      <c r="S3907" t="s">
        <v>45</v>
      </c>
      <c r="T3907" t="s">
        <v>38</v>
      </c>
      <c r="U3907" t="s">
        <v>38</v>
      </c>
      <c r="V3907" t="s">
        <v>137</v>
      </c>
      <c r="W3907" t="s">
        <v>38</v>
      </c>
      <c r="X3907" t="s">
        <v>38</v>
      </c>
      <c r="Y3907" t="s">
        <v>5761</v>
      </c>
      <c r="Z3907" t="s">
        <v>42</v>
      </c>
      <c r="AA3907" t="s">
        <v>38</v>
      </c>
      <c r="AB3907" t="s">
        <v>38</v>
      </c>
      <c r="AC3907" t="s">
        <v>45</v>
      </c>
      <c r="AD3907" t="s">
        <v>48</v>
      </c>
      <c r="AG3907" t="str">
        <f>IF(AD3907="United States", IFERROR(INDEX(Sheet2!$C:$C, MATCH(AE3907&amp;AF3907, Sheet2!$E:$E, 0)) &amp; ", " &amp; INDEX(Sheet2!$D:$D, MATCH(AE3907&amp;AF3907, Sheet2!$E:$E, 0)), ""), "-")</f>
        <v/>
      </c>
    </row>
    <row r="3908" spans="1:33" x14ac:dyDescent="0.25">
      <c r="A3908" t="s">
        <v>5756</v>
      </c>
      <c r="B3908" t="s">
        <v>5762</v>
      </c>
      <c r="C3908" t="s">
        <v>5758</v>
      </c>
      <c r="D3908" t="s">
        <v>2287</v>
      </c>
      <c r="E3908" t="s">
        <v>37</v>
      </c>
      <c r="F3908">
        <v>1752</v>
      </c>
      <c r="G3908">
        <v>603</v>
      </c>
      <c r="H3908" t="s">
        <v>38</v>
      </c>
      <c r="I3908" t="s">
        <v>39</v>
      </c>
      <c r="J3908" t="s">
        <v>2285</v>
      </c>
      <c r="K3908" t="s">
        <v>38</v>
      </c>
      <c r="L3908" t="s">
        <v>38</v>
      </c>
      <c r="M3908" t="s">
        <v>38</v>
      </c>
      <c r="N3908" t="s">
        <v>38</v>
      </c>
      <c r="O3908" t="s">
        <v>41</v>
      </c>
      <c r="P3908" t="s">
        <v>42</v>
      </c>
      <c r="Q3908" t="s">
        <v>43</v>
      </c>
      <c r="R3908" t="s">
        <v>38</v>
      </c>
      <c r="S3908" t="s">
        <v>38</v>
      </c>
      <c r="T3908" t="s">
        <v>38</v>
      </c>
      <c r="U3908" t="s">
        <v>38</v>
      </c>
      <c r="V3908" t="s">
        <v>137</v>
      </c>
      <c r="W3908" t="s">
        <v>38</v>
      </c>
      <c r="X3908" t="s">
        <v>38</v>
      </c>
      <c r="Y3908" t="s">
        <v>5763</v>
      </c>
      <c r="Z3908" t="s">
        <v>42</v>
      </c>
      <c r="AA3908" t="s">
        <v>38</v>
      </c>
      <c r="AB3908" t="s">
        <v>38</v>
      </c>
      <c r="AC3908" t="s">
        <v>593</v>
      </c>
      <c r="AD3908" t="s">
        <v>48</v>
      </c>
      <c r="AG3908" t="str">
        <f>IF(AD3908="United States", IFERROR(INDEX(Sheet2!$C:$C, MATCH(AE3908&amp;AF3908, Sheet2!$E:$E, 0)) &amp; ", " &amp; INDEX(Sheet2!$D:$D, MATCH(AE3908&amp;AF3908, Sheet2!$E:$E, 0)), ""), "-")</f>
        <v/>
      </c>
    </row>
    <row r="3909" spans="1:33" x14ac:dyDescent="0.25">
      <c r="A3909" t="s">
        <v>5756</v>
      </c>
      <c r="B3909" t="s">
        <v>5764</v>
      </c>
      <c r="C3909" t="s">
        <v>5758</v>
      </c>
      <c r="D3909" t="s">
        <v>676</v>
      </c>
      <c r="E3909" t="s">
        <v>37</v>
      </c>
      <c r="F3909">
        <v>1740</v>
      </c>
      <c r="G3909">
        <v>604</v>
      </c>
      <c r="H3909" t="s">
        <v>38</v>
      </c>
      <c r="I3909" t="s">
        <v>39</v>
      </c>
      <c r="J3909" t="s">
        <v>2285</v>
      </c>
      <c r="K3909" t="s">
        <v>38</v>
      </c>
      <c r="L3909" t="s">
        <v>38</v>
      </c>
      <c r="M3909" t="s">
        <v>38</v>
      </c>
      <c r="N3909" t="s">
        <v>38</v>
      </c>
      <c r="O3909" t="s">
        <v>57</v>
      </c>
      <c r="P3909" t="s">
        <v>42</v>
      </c>
      <c r="Q3909" t="s">
        <v>43</v>
      </c>
      <c r="R3909" t="s">
        <v>38</v>
      </c>
      <c r="S3909" t="s">
        <v>38</v>
      </c>
      <c r="T3909" t="s">
        <v>38</v>
      </c>
      <c r="U3909" t="s">
        <v>38</v>
      </c>
      <c r="V3909" t="s">
        <v>137</v>
      </c>
      <c r="W3909" t="s">
        <v>38</v>
      </c>
      <c r="X3909" t="s">
        <v>38</v>
      </c>
      <c r="Y3909" t="s">
        <v>5763</v>
      </c>
      <c r="Z3909" t="s">
        <v>42</v>
      </c>
      <c r="AA3909" t="s">
        <v>38</v>
      </c>
      <c r="AB3909" t="s">
        <v>38</v>
      </c>
      <c r="AC3909" t="s">
        <v>38</v>
      </c>
      <c r="AD3909" t="s">
        <v>48</v>
      </c>
      <c r="AG3909" t="str">
        <f>IF(AD3909="United States", IFERROR(INDEX(Sheet2!$C:$C, MATCH(AE3909&amp;AF3909, Sheet2!$E:$E, 0)) &amp; ", " &amp; INDEX(Sheet2!$D:$D, MATCH(AE3909&amp;AF3909, Sheet2!$E:$E, 0)), ""), "-")</f>
        <v/>
      </c>
    </row>
    <row r="3910" spans="1:33" x14ac:dyDescent="0.25">
      <c r="A3910" t="s">
        <v>5756</v>
      </c>
      <c r="B3910" t="s">
        <v>5765</v>
      </c>
      <c r="C3910" t="s">
        <v>5758</v>
      </c>
      <c r="D3910" t="s">
        <v>352</v>
      </c>
      <c r="E3910" t="s">
        <v>37</v>
      </c>
      <c r="F3910">
        <v>1761</v>
      </c>
      <c r="G3910">
        <v>606</v>
      </c>
      <c r="H3910" t="s">
        <v>38</v>
      </c>
      <c r="I3910" t="s">
        <v>39</v>
      </c>
      <c r="J3910" t="s">
        <v>2285</v>
      </c>
      <c r="K3910" t="s">
        <v>38</v>
      </c>
      <c r="L3910" t="s">
        <v>38</v>
      </c>
      <c r="M3910" t="s">
        <v>676</v>
      </c>
      <c r="N3910" t="s">
        <v>37</v>
      </c>
      <c r="O3910" t="s">
        <v>57</v>
      </c>
      <c r="P3910" t="s">
        <v>42</v>
      </c>
      <c r="Q3910" t="s">
        <v>43</v>
      </c>
      <c r="R3910" t="s">
        <v>38</v>
      </c>
      <c r="S3910" t="s">
        <v>38</v>
      </c>
      <c r="T3910" t="s">
        <v>38</v>
      </c>
      <c r="U3910" t="s">
        <v>38</v>
      </c>
      <c r="V3910" t="s">
        <v>137</v>
      </c>
      <c r="W3910" t="s">
        <v>38</v>
      </c>
      <c r="X3910" t="s">
        <v>38</v>
      </c>
      <c r="Y3910" t="s">
        <v>5759</v>
      </c>
      <c r="Z3910" t="s">
        <v>42</v>
      </c>
      <c r="AA3910" t="s">
        <v>38</v>
      </c>
      <c r="AB3910" t="s">
        <v>38</v>
      </c>
      <c r="AC3910" t="s">
        <v>864</v>
      </c>
      <c r="AD3910" t="s">
        <v>48</v>
      </c>
      <c r="AG3910" t="str">
        <f>IF(AD3910="United States", IFERROR(INDEX(Sheet2!$C:$C, MATCH(AE3910&amp;AF3910, Sheet2!$E:$E, 0)) &amp; ", " &amp; INDEX(Sheet2!$D:$D, MATCH(AE3910&amp;AF3910, Sheet2!$E:$E, 0)), ""), "-")</f>
        <v/>
      </c>
    </row>
    <row r="3911" spans="1:33" x14ac:dyDescent="0.25">
      <c r="A3911" t="s">
        <v>5756</v>
      </c>
      <c r="B3911" t="s">
        <v>5766</v>
      </c>
      <c r="C3911" t="s">
        <v>5758</v>
      </c>
      <c r="D3911" t="s">
        <v>2284</v>
      </c>
      <c r="E3911" t="s">
        <v>37</v>
      </c>
      <c r="F3911">
        <v>1772</v>
      </c>
      <c r="G3911">
        <v>608</v>
      </c>
      <c r="H3911" t="s">
        <v>38</v>
      </c>
      <c r="I3911" t="s">
        <v>39</v>
      </c>
      <c r="J3911" t="s">
        <v>2285</v>
      </c>
      <c r="K3911" t="s">
        <v>38</v>
      </c>
      <c r="L3911" t="s">
        <v>38</v>
      </c>
      <c r="M3911" t="s">
        <v>38</v>
      </c>
      <c r="N3911" t="s">
        <v>38</v>
      </c>
      <c r="O3911" t="s">
        <v>54</v>
      </c>
      <c r="P3911" t="s">
        <v>42</v>
      </c>
      <c r="Q3911" t="s">
        <v>43</v>
      </c>
      <c r="R3911" t="s">
        <v>38</v>
      </c>
      <c r="S3911" t="s">
        <v>38</v>
      </c>
      <c r="T3911" t="s">
        <v>38</v>
      </c>
      <c r="U3911" t="s">
        <v>38</v>
      </c>
      <c r="V3911" t="s">
        <v>137</v>
      </c>
      <c r="W3911" t="s">
        <v>38</v>
      </c>
      <c r="X3911" t="s">
        <v>38</v>
      </c>
      <c r="Y3911" t="s">
        <v>5759</v>
      </c>
      <c r="Z3911" t="s">
        <v>42</v>
      </c>
      <c r="AA3911" t="s">
        <v>38</v>
      </c>
      <c r="AB3911" t="s">
        <v>38</v>
      </c>
      <c r="AC3911" t="s">
        <v>38</v>
      </c>
      <c r="AD3911" t="s">
        <v>48</v>
      </c>
      <c r="AG3911" t="str">
        <f>IF(AD3911="United States", IFERROR(INDEX(Sheet2!$C:$C, MATCH(AE3911&amp;AF3911, Sheet2!$E:$E, 0)) &amp; ", " &amp; INDEX(Sheet2!$D:$D, MATCH(AE3911&amp;AF3911, Sheet2!$E:$E, 0)), ""), "-")</f>
        <v/>
      </c>
    </row>
    <row r="3912" spans="1:33" x14ac:dyDescent="0.25">
      <c r="A3912" t="s">
        <v>5756</v>
      </c>
      <c r="B3912" t="s">
        <v>5767</v>
      </c>
      <c r="C3912" t="s">
        <v>5758</v>
      </c>
      <c r="D3912" t="s">
        <v>2292</v>
      </c>
      <c r="E3912" t="s">
        <v>2291</v>
      </c>
      <c r="F3912">
        <v>1759</v>
      </c>
      <c r="G3912">
        <v>628</v>
      </c>
      <c r="H3912" t="s">
        <v>38</v>
      </c>
      <c r="I3912" t="s">
        <v>39</v>
      </c>
      <c r="J3912" t="s">
        <v>2285</v>
      </c>
      <c r="K3912" t="s">
        <v>38</v>
      </c>
      <c r="L3912" t="s">
        <v>38</v>
      </c>
      <c r="M3912" t="s">
        <v>38</v>
      </c>
      <c r="N3912" t="s">
        <v>38</v>
      </c>
      <c r="O3912" t="s">
        <v>57</v>
      </c>
      <c r="P3912" t="s">
        <v>42</v>
      </c>
      <c r="Q3912" t="s">
        <v>43</v>
      </c>
      <c r="R3912" t="s">
        <v>38</v>
      </c>
      <c r="S3912" t="s">
        <v>45</v>
      </c>
      <c r="T3912" t="s">
        <v>38</v>
      </c>
      <c r="U3912" t="s">
        <v>38</v>
      </c>
      <c r="V3912" t="s">
        <v>137</v>
      </c>
      <c r="W3912" t="s">
        <v>38</v>
      </c>
      <c r="X3912" t="s">
        <v>38</v>
      </c>
      <c r="Y3912" t="s">
        <v>5761</v>
      </c>
      <c r="Z3912" t="s">
        <v>42</v>
      </c>
      <c r="AA3912" t="s">
        <v>38</v>
      </c>
      <c r="AB3912" t="s">
        <v>38</v>
      </c>
      <c r="AC3912" t="s">
        <v>45</v>
      </c>
      <c r="AD3912" t="s">
        <v>48</v>
      </c>
      <c r="AG3912" t="str">
        <f>IF(AD3912="United States", IFERROR(INDEX(Sheet2!$C:$C, MATCH(AE3912&amp;AF3912, Sheet2!$E:$E, 0)) &amp; ", " &amp; INDEX(Sheet2!$D:$D, MATCH(AE3912&amp;AF3912, Sheet2!$E:$E, 0)), ""), "-")</f>
        <v/>
      </c>
    </row>
    <row r="3913" spans="1:33" x14ac:dyDescent="0.25">
      <c r="A3913" t="s">
        <v>5756</v>
      </c>
      <c r="B3913" t="s">
        <v>5768</v>
      </c>
      <c r="C3913" t="s">
        <v>5758</v>
      </c>
      <c r="D3913" t="s">
        <v>132</v>
      </c>
      <c r="E3913" t="s">
        <v>37</v>
      </c>
      <c r="F3913">
        <v>1749</v>
      </c>
      <c r="G3913">
        <v>630</v>
      </c>
      <c r="H3913" t="s">
        <v>38</v>
      </c>
      <c r="I3913" t="s">
        <v>39</v>
      </c>
      <c r="J3913" t="s">
        <v>2285</v>
      </c>
      <c r="K3913" t="s">
        <v>38</v>
      </c>
      <c r="L3913" t="s">
        <v>38</v>
      </c>
      <c r="M3913" t="s">
        <v>2292</v>
      </c>
      <c r="N3913" t="s">
        <v>2291</v>
      </c>
      <c r="O3913" t="s">
        <v>41</v>
      </c>
      <c r="P3913" t="s">
        <v>42</v>
      </c>
      <c r="Q3913" t="s">
        <v>43</v>
      </c>
      <c r="R3913" t="s">
        <v>169</v>
      </c>
      <c r="S3913" t="s">
        <v>45</v>
      </c>
      <c r="T3913" t="s">
        <v>38</v>
      </c>
      <c r="U3913" t="s">
        <v>38</v>
      </c>
      <c r="V3913" t="s">
        <v>137</v>
      </c>
      <c r="W3913" t="s">
        <v>38</v>
      </c>
      <c r="X3913" t="s">
        <v>38</v>
      </c>
      <c r="Y3913" t="s">
        <v>5761</v>
      </c>
      <c r="Z3913" t="s">
        <v>42</v>
      </c>
      <c r="AA3913" t="s">
        <v>169</v>
      </c>
      <c r="AB3913" t="s">
        <v>38</v>
      </c>
      <c r="AC3913" t="s">
        <v>45</v>
      </c>
      <c r="AD3913" t="s">
        <v>48</v>
      </c>
      <c r="AG3913" t="str">
        <f>IF(AD3913="United States", IFERROR(INDEX(Sheet2!$C:$C, MATCH(AE3913&amp;AF3913, Sheet2!$E:$E, 0)) &amp; ", " &amp; INDEX(Sheet2!$D:$D, MATCH(AE3913&amp;AF3913, Sheet2!$E:$E, 0)), ""), "-")</f>
        <v/>
      </c>
    </row>
    <row r="3914" spans="1:33" x14ac:dyDescent="0.25">
      <c r="A3914" t="s">
        <v>5756</v>
      </c>
      <c r="B3914" t="s">
        <v>5769</v>
      </c>
      <c r="C3914" t="s">
        <v>5758</v>
      </c>
      <c r="D3914" t="s">
        <v>621</v>
      </c>
      <c r="E3914" t="s">
        <v>2296</v>
      </c>
      <c r="F3914">
        <v>1760</v>
      </c>
      <c r="G3914">
        <v>631</v>
      </c>
      <c r="H3914" t="s">
        <v>38</v>
      </c>
      <c r="I3914" t="s">
        <v>39</v>
      </c>
      <c r="J3914" t="s">
        <v>2285</v>
      </c>
      <c r="K3914" t="s">
        <v>38</v>
      </c>
      <c r="L3914" t="s">
        <v>38</v>
      </c>
      <c r="M3914" t="s">
        <v>38</v>
      </c>
      <c r="N3914" t="s">
        <v>38</v>
      </c>
      <c r="O3914" t="s">
        <v>41</v>
      </c>
      <c r="P3914" t="s">
        <v>42</v>
      </c>
      <c r="Q3914" t="s">
        <v>43</v>
      </c>
      <c r="R3914" t="s">
        <v>5770</v>
      </c>
      <c r="S3914" t="s">
        <v>45</v>
      </c>
      <c r="T3914" t="s">
        <v>38</v>
      </c>
      <c r="U3914" t="s">
        <v>38</v>
      </c>
      <c r="V3914" t="s">
        <v>137</v>
      </c>
      <c r="W3914" t="s">
        <v>38</v>
      </c>
      <c r="X3914" t="s">
        <v>38</v>
      </c>
      <c r="Y3914" t="s">
        <v>5761</v>
      </c>
      <c r="Z3914" t="s">
        <v>42</v>
      </c>
      <c r="AA3914" t="s">
        <v>2166</v>
      </c>
      <c r="AB3914" t="s">
        <v>38</v>
      </c>
      <c r="AC3914" t="s">
        <v>45</v>
      </c>
      <c r="AD3914" t="s">
        <v>48</v>
      </c>
      <c r="AG3914" t="str">
        <f>IF(AD3914="United States", IFERROR(INDEX(Sheet2!$C:$C, MATCH(AE3914&amp;AF3914, Sheet2!$E:$E, 0)) &amp; ", " &amp; INDEX(Sheet2!$D:$D, MATCH(AE3914&amp;AF3914, Sheet2!$E:$E, 0)), ""), "-")</f>
        <v/>
      </c>
    </row>
    <row r="3915" spans="1:33" x14ac:dyDescent="0.25">
      <c r="A3915" t="s">
        <v>5756</v>
      </c>
      <c r="B3915" t="s">
        <v>5771</v>
      </c>
      <c r="C3915" t="s">
        <v>5758</v>
      </c>
      <c r="D3915" t="s">
        <v>104</v>
      </c>
      <c r="E3915" t="s">
        <v>5772</v>
      </c>
      <c r="F3915">
        <v>1756</v>
      </c>
      <c r="G3915">
        <v>632</v>
      </c>
      <c r="H3915" t="s">
        <v>38</v>
      </c>
      <c r="I3915" t="s">
        <v>39</v>
      </c>
      <c r="J3915" t="s">
        <v>2285</v>
      </c>
      <c r="K3915" t="s">
        <v>38</v>
      </c>
      <c r="L3915" t="s">
        <v>38</v>
      </c>
      <c r="M3915" t="s">
        <v>38</v>
      </c>
      <c r="N3915" t="s">
        <v>38</v>
      </c>
      <c r="O3915" t="s">
        <v>41</v>
      </c>
      <c r="P3915" t="s">
        <v>42</v>
      </c>
      <c r="Q3915" t="s">
        <v>43</v>
      </c>
      <c r="R3915" t="s">
        <v>38</v>
      </c>
      <c r="S3915" t="s">
        <v>38</v>
      </c>
      <c r="T3915" t="s">
        <v>38</v>
      </c>
      <c r="U3915" t="s">
        <v>38</v>
      </c>
      <c r="V3915" t="s">
        <v>137</v>
      </c>
      <c r="W3915" t="s">
        <v>38</v>
      </c>
      <c r="X3915" t="s">
        <v>38</v>
      </c>
      <c r="Y3915" t="s">
        <v>5773</v>
      </c>
      <c r="Z3915" t="s">
        <v>42</v>
      </c>
      <c r="AA3915" t="s">
        <v>5774</v>
      </c>
      <c r="AB3915" t="s">
        <v>38</v>
      </c>
      <c r="AC3915" t="s">
        <v>233</v>
      </c>
      <c r="AD3915" t="s">
        <v>48</v>
      </c>
      <c r="AG3915" t="str">
        <f>IF(AD3915="United States", IFERROR(INDEX(Sheet2!$C:$C, MATCH(AE3915&amp;AF3915, Sheet2!$E:$E, 0)) &amp; ", " &amp; INDEX(Sheet2!$D:$D, MATCH(AE3915&amp;AF3915, Sheet2!$E:$E, 0)), ""), "-")</f>
        <v/>
      </c>
    </row>
    <row r="3916" spans="1:33" x14ac:dyDescent="0.25">
      <c r="A3916" t="s">
        <v>5756</v>
      </c>
      <c r="B3916" t="s">
        <v>5775</v>
      </c>
      <c r="C3916" t="s">
        <v>5758</v>
      </c>
      <c r="D3916" t="s">
        <v>1116</v>
      </c>
      <c r="E3916" t="s">
        <v>1897</v>
      </c>
      <c r="F3916">
        <v>1758</v>
      </c>
      <c r="G3916">
        <v>633</v>
      </c>
      <c r="H3916" t="s">
        <v>38</v>
      </c>
      <c r="I3916" t="s">
        <v>39</v>
      </c>
      <c r="J3916" t="s">
        <v>2285</v>
      </c>
      <c r="K3916" t="s">
        <v>38</v>
      </c>
      <c r="L3916" t="s">
        <v>38</v>
      </c>
      <c r="M3916" t="s">
        <v>2292</v>
      </c>
      <c r="N3916" t="s">
        <v>2291</v>
      </c>
      <c r="O3916" t="s">
        <v>41</v>
      </c>
      <c r="P3916" t="s">
        <v>42</v>
      </c>
      <c r="Q3916" t="s">
        <v>43</v>
      </c>
      <c r="R3916" t="s">
        <v>241</v>
      </c>
      <c r="S3916" t="s">
        <v>45</v>
      </c>
      <c r="T3916" t="s">
        <v>38</v>
      </c>
      <c r="U3916" t="s">
        <v>38</v>
      </c>
      <c r="V3916" t="s">
        <v>137</v>
      </c>
      <c r="W3916" t="s">
        <v>38</v>
      </c>
      <c r="X3916" t="s">
        <v>38</v>
      </c>
      <c r="Y3916" t="s">
        <v>5761</v>
      </c>
      <c r="Z3916" t="s">
        <v>42</v>
      </c>
      <c r="AA3916" t="s">
        <v>241</v>
      </c>
      <c r="AB3916" t="s">
        <v>38</v>
      </c>
      <c r="AC3916" t="s">
        <v>45</v>
      </c>
      <c r="AD3916" t="s">
        <v>48</v>
      </c>
      <c r="AG3916" t="str">
        <f>IF(AD3916="United States", IFERROR(INDEX(Sheet2!$C:$C, MATCH(AE3916&amp;AF3916, Sheet2!$E:$E, 0)) &amp; ", " &amp; INDEX(Sheet2!$D:$D, MATCH(AE3916&amp;AF3916, Sheet2!$E:$E, 0)), ""), "-")</f>
        <v/>
      </c>
    </row>
    <row r="3917" spans="1:33" x14ac:dyDescent="0.25">
      <c r="A3917" t="s">
        <v>5756</v>
      </c>
      <c r="B3917" t="s">
        <v>5776</v>
      </c>
      <c r="C3917" t="s">
        <v>5758</v>
      </c>
      <c r="D3917" t="s">
        <v>334</v>
      </c>
      <c r="E3917" t="s">
        <v>191</v>
      </c>
      <c r="F3917">
        <v>1748</v>
      </c>
      <c r="G3917">
        <v>634</v>
      </c>
      <c r="H3917" t="s">
        <v>38</v>
      </c>
      <c r="I3917" t="s">
        <v>39</v>
      </c>
      <c r="J3917" t="s">
        <v>2285</v>
      </c>
      <c r="K3917" t="s">
        <v>38</v>
      </c>
      <c r="L3917" t="s">
        <v>38</v>
      </c>
      <c r="M3917" t="s">
        <v>2292</v>
      </c>
      <c r="N3917" t="s">
        <v>2291</v>
      </c>
      <c r="O3917" t="s">
        <v>41</v>
      </c>
      <c r="P3917" t="s">
        <v>42</v>
      </c>
      <c r="Q3917" t="s">
        <v>43</v>
      </c>
      <c r="R3917" t="s">
        <v>1455</v>
      </c>
      <c r="S3917" t="s">
        <v>45</v>
      </c>
      <c r="T3917" t="s">
        <v>38</v>
      </c>
      <c r="U3917" t="s">
        <v>38</v>
      </c>
      <c r="V3917" t="s">
        <v>137</v>
      </c>
      <c r="W3917" t="s">
        <v>38</v>
      </c>
      <c r="X3917" t="s">
        <v>38</v>
      </c>
      <c r="Y3917" t="s">
        <v>1199</v>
      </c>
      <c r="Z3917" t="s">
        <v>42</v>
      </c>
      <c r="AA3917" t="s">
        <v>1455</v>
      </c>
      <c r="AB3917" t="s">
        <v>38</v>
      </c>
      <c r="AC3917" t="s">
        <v>45</v>
      </c>
      <c r="AD3917" t="s">
        <v>48</v>
      </c>
      <c r="AG3917" t="str">
        <f>IF(AD3917="United States", IFERROR(INDEX(Sheet2!$C:$C, MATCH(AE3917&amp;AF3917, Sheet2!$E:$E, 0)) &amp; ", " &amp; INDEX(Sheet2!$D:$D, MATCH(AE3917&amp;AF3917, Sheet2!$E:$E, 0)), ""), "-")</f>
        <v/>
      </c>
    </row>
    <row r="3918" spans="1:33" x14ac:dyDescent="0.25">
      <c r="A3918" t="s">
        <v>5756</v>
      </c>
      <c r="B3918" t="s">
        <v>5777</v>
      </c>
      <c r="C3918" t="s">
        <v>5758</v>
      </c>
      <c r="D3918" t="s">
        <v>2376</v>
      </c>
      <c r="E3918" t="s">
        <v>191</v>
      </c>
      <c r="F3918">
        <v>1761</v>
      </c>
      <c r="G3918">
        <v>635</v>
      </c>
      <c r="H3918" t="s">
        <v>38</v>
      </c>
      <c r="I3918" t="s">
        <v>39</v>
      </c>
      <c r="J3918" t="s">
        <v>2285</v>
      </c>
      <c r="K3918" t="s">
        <v>38</v>
      </c>
      <c r="L3918" t="s">
        <v>38</v>
      </c>
      <c r="M3918" t="s">
        <v>38</v>
      </c>
      <c r="N3918" t="s">
        <v>38</v>
      </c>
      <c r="O3918" t="s">
        <v>41</v>
      </c>
      <c r="P3918" t="s">
        <v>42</v>
      </c>
      <c r="Q3918" t="s">
        <v>124</v>
      </c>
      <c r="R3918" t="s">
        <v>5778</v>
      </c>
      <c r="S3918" t="s">
        <v>153</v>
      </c>
      <c r="T3918" t="s">
        <v>38</v>
      </c>
      <c r="U3918" t="s">
        <v>38</v>
      </c>
      <c r="V3918" t="s">
        <v>137</v>
      </c>
      <c r="W3918" t="s">
        <v>38</v>
      </c>
      <c r="X3918" t="s">
        <v>38</v>
      </c>
      <c r="Y3918" t="s">
        <v>1199</v>
      </c>
      <c r="Z3918" t="s">
        <v>42</v>
      </c>
      <c r="AA3918" t="s">
        <v>5779</v>
      </c>
      <c r="AB3918" t="s">
        <v>38</v>
      </c>
      <c r="AC3918" t="s">
        <v>153</v>
      </c>
      <c r="AD3918" t="s">
        <v>48</v>
      </c>
      <c r="AG3918" t="str">
        <f>IF(AD3918="United States", IFERROR(INDEX(Sheet2!$C:$C, MATCH(AE3918&amp;AF3918, Sheet2!$E:$E, 0)) &amp; ", " &amp; INDEX(Sheet2!$D:$D, MATCH(AE3918&amp;AF3918, Sheet2!$E:$E, 0)), ""), "-")</f>
        <v/>
      </c>
    </row>
    <row r="3919" spans="1:33" x14ac:dyDescent="0.25">
      <c r="A3919" t="s">
        <v>5756</v>
      </c>
      <c r="B3919" t="s">
        <v>5780</v>
      </c>
      <c r="C3919" t="s">
        <v>5758</v>
      </c>
      <c r="D3919" t="s">
        <v>458</v>
      </c>
      <c r="E3919" t="s">
        <v>2301</v>
      </c>
      <c r="F3919">
        <v>1739</v>
      </c>
      <c r="G3919">
        <v>636</v>
      </c>
      <c r="H3919" t="s">
        <v>38</v>
      </c>
      <c r="I3919" t="s">
        <v>39</v>
      </c>
      <c r="J3919" t="s">
        <v>2285</v>
      </c>
      <c r="K3919" t="s">
        <v>38</v>
      </c>
      <c r="L3919" t="s">
        <v>38</v>
      </c>
      <c r="M3919" t="s">
        <v>38</v>
      </c>
      <c r="N3919" t="s">
        <v>38</v>
      </c>
      <c r="O3919" t="s">
        <v>41</v>
      </c>
      <c r="P3919" t="s">
        <v>42</v>
      </c>
      <c r="Q3919" t="s">
        <v>43</v>
      </c>
      <c r="R3919" t="s">
        <v>5781</v>
      </c>
      <c r="S3919" t="s">
        <v>153</v>
      </c>
      <c r="T3919" t="s">
        <v>38</v>
      </c>
      <c r="U3919" t="s">
        <v>38</v>
      </c>
      <c r="V3919" t="s">
        <v>137</v>
      </c>
      <c r="W3919" t="s">
        <v>38</v>
      </c>
      <c r="X3919" t="s">
        <v>38</v>
      </c>
      <c r="Y3919" t="s">
        <v>1199</v>
      </c>
      <c r="Z3919" t="s">
        <v>42</v>
      </c>
      <c r="AA3919" t="s">
        <v>155</v>
      </c>
      <c r="AB3919" t="s">
        <v>38</v>
      </c>
      <c r="AC3919" t="s">
        <v>153</v>
      </c>
      <c r="AD3919" t="s">
        <v>48</v>
      </c>
      <c r="AG3919" t="str">
        <f>IF(AD3919="United States", IFERROR(INDEX(Sheet2!$C:$C, MATCH(AE3919&amp;AF3919, Sheet2!$E:$E, 0)) &amp; ", " &amp; INDEX(Sheet2!$D:$D, MATCH(AE3919&amp;AF3919, Sheet2!$E:$E, 0)), ""), "-")</f>
        <v/>
      </c>
    </row>
    <row r="3920" spans="1:33" x14ac:dyDescent="0.25">
      <c r="A3920" t="s">
        <v>5756</v>
      </c>
      <c r="B3920" t="s">
        <v>5782</v>
      </c>
      <c r="C3920" t="s">
        <v>5758</v>
      </c>
      <c r="D3920" t="s">
        <v>621</v>
      </c>
      <c r="E3920" t="s">
        <v>402</v>
      </c>
      <c r="F3920">
        <v>1768</v>
      </c>
      <c r="G3920">
        <v>626</v>
      </c>
      <c r="H3920" t="s">
        <v>38</v>
      </c>
      <c r="I3920" t="s">
        <v>39</v>
      </c>
      <c r="J3920" t="s">
        <v>2285</v>
      </c>
      <c r="K3920" t="s">
        <v>38</v>
      </c>
      <c r="L3920" t="s">
        <v>38</v>
      </c>
      <c r="M3920" t="s">
        <v>38</v>
      </c>
      <c r="N3920" t="s">
        <v>38</v>
      </c>
      <c r="O3920" t="s">
        <v>54</v>
      </c>
      <c r="P3920" t="s">
        <v>42</v>
      </c>
      <c r="Q3920" t="s">
        <v>43</v>
      </c>
      <c r="R3920" t="s">
        <v>5783</v>
      </c>
      <c r="S3920" t="s">
        <v>45</v>
      </c>
      <c r="T3920" t="s">
        <v>38</v>
      </c>
      <c r="U3920" t="s">
        <v>38</v>
      </c>
      <c r="V3920" t="s">
        <v>137</v>
      </c>
      <c r="W3920" t="s">
        <v>38</v>
      </c>
      <c r="X3920" t="s">
        <v>38</v>
      </c>
      <c r="Y3920" t="s">
        <v>5784</v>
      </c>
      <c r="Z3920" t="s">
        <v>42</v>
      </c>
      <c r="AA3920" t="s">
        <v>1891</v>
      </c>
      <c r="AB3920" t="s">
        <v>45</v>
      </c>
      <c r="AC3920" t="s">
        <v>1137</v>
      </c>
      <c r="AD3920" t="s">
        <v>48</v>
      </c>
      <c r="AG3920" t="str">
        <f>IF(AD3920="United States", IFERROR(INDEX(Sheet2!$C:$C, MATCH(AE3920&amp;AF3920, Sheet2!$E:$E, 0)) &amp; ", " &amp; INDEX(Sheet2!$D:$D, MATCH(AE3920&amp;AF3920, Sheet2!$E:$E, 0)), ""), "-")</f>
        <v/>
      </c>
    </row>
    <row r="3921" spans="1:33" x14ac:dyDescent="0.25">
      <c r="A3921" t="s">
        <v>5756</v>
      </c>
      <c r="B3921" t="s">
        <v>5785</v>
      </c>
      <c r="C3921" t="s">
        <v>5758</v>
      </c>
      <c r="D3921" t="s">
        <v>140</v>
      </c>
      <c r="E3921" t="s">
        <v>2293</v>
      </c>
      <c r="F3921">
        <v>1762</v>
      </c>
      <c r="G3921">
        <v>625</v>
      </c>
      <c r="H3921" t="s">
        <v>38</v>
      </c>
      <c r="I3921" t="s">
        <v>39</v>
      </c>
      <c r="J3921" t="s">
        <v>2285</v>
      </c>
      <c r="K3921" t="s">
        <v>38</v>
      </c>
      <c r="L3921" t="s">
        <v>38</v>
      </c>
      <c r="M3921" t="s">
        <v>38</v>
      </c>
      <c r="N3921" t="s">
        <v>38</v>
      </c>
      <c r="O3921" t="s">
        <v>57</v>
      </c>
      <c r="P3921" t="s">
        <v>42</v>
      </c>
      <c r="Q3921" t="s">
        <v>43</v>
      </c>
      <c r="R3921" t="s">
        <v>5786</v>
      </c>
      <c r="S3921" t="s">
        <v>45</v>
      </c>
      <c r="T3921" t="s">
        <v>38</v>
      </c>
      <c r="U3921" t="s">
        <v>38</v>
      </c>
      <c r="V3921" t="s">
        <v>137</v>
      </c>
      <c r="W3921" t="s">
        <v>38</v>
      </c>
      <c r="X3921" t="s">
        <v>38</v>
      </c>
      <c r="Y3921" t="s">
        <v>5784</v>
      </c>
      <c r="Z3921" t="s">
        <v>42</v>
      </c>
      <c r="AA3921" t="s">
        <v>1120</v>
      </c>
      <c r="AB3921" t="s">
        <v>38</v>
      </c>
      <c r="AC3921" t="s">
        <v>45</v>
      </c>
      <c r="AD3921" t="s">
        <v>48</v>
      </c>
      <c r="AG3921" t="str">
        <f>IF(AD3921="United States", IFERROR(INDEX(Sheet2!$C:$C, MATCH(AE3921&amp;AF3921, Sheet2!$E:$E, 0)) &amp; ", " &amp; INDEX(Sheet2!$D:$D, MATCH(AE3921&amp;AF3921, Sheet2!$E:$E, 0)), ""), "-")</f>
        <v/>
      </c>
    </row>
    <row r="3922" spans="1:33" x14ac:dyDescent="0.25">
      <c r="A3922" t="s">
        <v>5756</v>
      </c>
      <c r="B3922" t="s">
        <v>5787</v>
      </c>
      <c r="C3922" t="s">
        <v>5758</v>
      </c>
      <c r="D3922" t="s">
        <v>357</v>
      </c>
      <c r="E3922" t="s">
        <v>1936</v>
      </c>
      <c r="F3922">
        <v>1747</v>
      </c>
      <c r="G3922">
        <v>624</v>
      </c>
      <c r="H3922" t="s">
        <v>38</v>
      </c>
      <c r="I3922" t="s">
        <v>39</v>
      </c>
      <c r="J3922" t="s">
        <v>2285</v>
      </c>
      <c r="K3922" t="s">
        <v>38</v>
      </c>
      <c r="L3922" t="s">
        <v>38</v>
      </c>
      <c r="M3922" t="s">
        <v>38</v>
      </c>
      <c r="N3922" t="s">
        <v>38</v>
      </c>
      <c r="O3922" t="s">
        <v>41</v>
      </c>
      <c r="P3922" t="s">
        <v>42</v>
      </c>
      <c r="Q3922" t="s">
        <v>43</v>
      </c>
      <c r="R3922" t="s">
        <v>38</v>
      </c>
      <c r="S3922" t="s">
        <v>38</v>
      </c>
      <c r="T3922" t="s">
        <v>38</v>
      </c>
      <c r="U3922" t="s">
        <v>38</v>
      </c>
      <c r="V3922" t="s">
        <v>137</v>
      </c>
      <c r="W3922" t="s">
        <v>38</v>
      </c>
      <c r="X3922" t="s">
        <v>38</v>
      </c>
      <c r="Y3922" t="s">
        <v>5788</v>
      </c>
      <c r="Z3922" t="s">
        <v>42</v>
      </c>
      <c r="AA3922" t="s">
        <v>38</v>
      </c>
      <c r="AB3922" t="s">
        <v>38</v>
      </c>
      <c r="AC3922" t="s">
        <v>593</v>
      </c>
      <c r="AD3922" t="s">
        <v>48</v>
      </c>
      <c r="AG3922" t="str">
        <f>IF(AD3922="United States", IFERROR(INDEX(Sheet2!$C:$C, MATCH(AE3922&amp;AF3922, Sheet2!$E:$E, 0)) &amp; ", " &amp; INDEX(Sheet2!$D:$D, MATCH(AE3922&amp;AF3922, Sheet2!$E:$E, 0)), ""), "-")</f>
        <v/>
      </c>
    </row>
    <row r="3923" spans="1:33" x14ac:dyDescent="0.25">
      <c r="A3923" t="s">
        <v>5756</v>
      </c>
      <c r="B3923" t="s">
        <v>5789</v>
      </c>
      <c r="C3923" t="s">
        <v>5758</v>
      </c>
      <c r="D3923" t="s">
        <v>114</v>
      </c>
      <c r="E3923" t="s">
        <v>38</v>
      </c>
      <c r="F3923">
        <v>1758</v>
      </c>
      <c r="G3923">
        <v>623</v>
      </c>
      <c r="H3923" t="s">
        <v>38</v>
      </c>
      <c r="I3923" t="s">
        <v>39</v>
      </c>
      <c r="J3923" t="s">
        <v>2285</v>
      </c>
      <c r="K3923" t="s">
        <v>38</v>
      </c>
      <c r="L3923" t="s">
        <v>38</v>
      </c>
      <c r="M3923" t="s">
        <v>38</v>
      </c>
      <c r="N3923" t="s">
        <v>38</v>
      </c>
      <c r="O3923" t="s">
        <v>57</v>
      </c>
      <c r="P3923" t="s">
        <v>42</v>
      </c>
      <c r="Q3923" t="s">
        <v>43</v>
      </c>
      <c r="R3923" t="s">
        <v>38</v>
      </c>
      <c r="S3923" t="s">
        <v>165</v>
      </c>
      <c r="T3923" t="s">
        <v>38</v>
      </c>
      <c r="U3923" t="s">
        <v>38</v>
      </c>
      <c r="V3923" t="s">
        <v>137</v>
      </c>
      <c r="W3923" t="s">
        <v>38</v>
      </c>
      <c r="X3923" t="s">
        <v>38</v>
      </c>
      <c r="Y3923" t="s">
        <v>5790</v>
      </c>
      <c r="Z3923" t="s">
        <v>42</v>
      </c>
      <c r="AA3923" t="s">
        <v>365</v>
      </c>
      <c r="AB3923" t="s">
        <v>38</v>
      </c>
      <c r="AC3923" t="s">
        <v>165</v>
      </c>
      <c r="AD3923" t="s">
        <v>48</v>
      </c>
      <c r="AG3923" t="str">
        <f>IF(AD3923="United States", IFERROR(INDEX(Sheet2!$C:$C, MATCH(AE3923&amp;AF3923, Sheet2!$E:$E, 0)) &amp; ", " &amp; INDEX(Sheet2!$D:$D, MATCH(AE3923&amp;AF3923, Sheet2!$E:$E, 0)), ""), "-")</f>
        <v/>
      </c>
    </row>
    <row r="3924" spans="1:33" x14ac:dyDescent="0.25">
      <c r="A3924" t="s">
        <v>5756</v>
      </c>
      <c r="B3924" t="s">
        <v>5791</v>
      </c>
      <c r="C3924" t="s">
        <v>5758</v>
      </c>
      <c r="D3924" t="s">
        <v>2288</v>
      </c>
      <c r="E3924" t="s">
        <v>37</v>
      </c>
      <c r="F3924">
        <v>1779</v>
      </c>
      <c r="G3924">
        <v>607</v>
      </c>
      <c r="H3924" t="s">
        <v>38</v>
      </c>
      <c r="I3924" t="s">
        <v>39</v>
      </c>
      <c r="J3924" t="s">
        <v>2285</v>
      </c>
      <c r="K3924" t="s">
        <v>38</v>
      </c>
      <c r="L3924" t="s">
        <v>38</v>
      </c>
      <c r="M3924" t="s">
        <v>38</v>
      </c>
      <c r="N3924" t="s">
        <v>38</v>
      </c>
      <c r="O3924" t="s">
        <v>54</v>
      </c>
      <c r="P3924" t="s">
        <v>42</v>
      </c>
      <c r="Q3924" t="s">
        <v>43</v>
      </c>
      <c r="R3924" t="s">
        <v>38</v>
      </c>
      <c r="S3924" t="s">
        <v>38</v>
      </c>
      <c r="T3924" t="s">
        <v>38</v>
      </c>
      <c r="U3924" t="s">
        <v>38</v>
      </c>
      <c r="V3924" t="s">
        <v>137</v>
      </c>
      <c r="W3924" t="s">
        <v>38</v>
      </c>
      <c r="X3924" t="s">
        <v>38</v>
      </c>
      <c r="Y3924" t="s">
        <v>5759</v>
      </c>
      <c r="Z3924" t="s">
        <v>42</v>
      </c>
      <c r="AA3924" t="s">
        <v>38</v>
      </c>
      <c r="AB3924" t="s">
        <v>38</v>
      </c>
      <c r="AC3924" t="s">
        <v>38</v>
      </c>
      <c r="AD3924" t="s">
        <v>48</v>
      </c>
      <c r="AG3924" t="str">
        <f>IF(AD3924="United States", IFERROR(INDEX(Sheet2!$C:$C, MATCH(AE3924&amp;AF3924, Sheet2!$E:$E, 0)) &amp; ", " &amp; INDEX(Sheet2!$D:$D, MATCH(AE3924&amp;AF3924, Sheet2!$E:$E, 0)), ""), "-")</f>
        <v/>
      </c>
    </row>
    <row r="3925" spans="1:33" x14ac:dyDescent="0.25">
      <c r="A3925" t="s">
        <v>5756</v>
      </c>
      <c r="B3925" t="s">
        <v>5792</v>
      </c>
      <c r="C3925" t="s">
        <v>5758</v>
      </c>
      <c r="D3925" t="s">
        <v>210</v>
      </c>
      <c r="E3925" t="s">
        <v>268</v>
      </c>
      <c r="F3925">
        <v>1753</v>
      </c>
      <c r="G3925">
        <v>622</v>
      </c>
      <c r="H3925" t="s">
        <v>38</v>
      </c>
      <c r="I3925" t="s">
        <v>39</v>
      </c>
      <c r="J3925" t="s">
        <v>2285</v>
      </c>
      <c r="K3925" t="s">
        <v>38</v>
      </c>
      <c r="L3925" t="s">
        <v>38</v>
      </c>
      <c r="M3925" t="s">
        <v>38</v>
      </c>
      <c r="N3925" t="s">
        <v>38</v>
      </c>
      <c r="O3925" t="s">
        <v>41</v>
      </c>
      <c r="P3925" t="s">
        <v>42</v>
      </c>
      <c r="Q3925" t="s">
        <v>43</v>
      </c>
      <c r="R3925" t="s">
        <v>38</v>
      </c>
      <c r="S3925" t="s">
        <v>165</v>
      </c>
      <c r="T3925" t="s">
        <v>38</v>
      </c>
      <c r="U3925" t="s">
        <v>38</v>
      </c>
      <c r="V3925" t="s">
        <v>137</v>
      </c>
      <c r="W3925" t="s">
        <v>38</v>
      </c>
      <c r="X3925" t="s">
        <v>38</v>
      </c>
      <c r="Y3925" t="s">
        <v>5790</v>
      </c>
      <c r="Z3925" t="s">
        <v>42</v>
      </c>
      <c r="AA3925" t="s">
        <v>365</v>
      </c>
      <c r="AB3925" t="s">
        <v>38</v>
      </c>
      <c r="AC3925" t="s">
        <v>165</v>
      </c>
      <c r="AD3925" t="s">
        <v>48</v>
      </c>
      <c r="AG3925" t="str">
        <f>IF(AD3925="United States", IFERROR(INDEX(Sheet2!$C:$C, MATCH(AE3925&amp;AF3925, Sheet2!$E:$E, 0)) &amp; ", " &amp; INDEX(Sheet2!$D:$D, MATCH(AE3925&amp;AF3925, Sheet2!$E:$E, 0)), ""), "-")</f>
        <v/>
      </c>
    </row>
    <row r="3926" spans="1:33" x14ac:dyDescent="0.25">
      <c r="A3926" t="s">
        <v>5756</v>
      </c>
      <c r="B3926" t="s">
        <v>5793</v>
      </c>
      <c r="C3926" t="s">
        <v>5758</v>
      </c>
      <c r="D3926" t="s">
        <v>150</v>
      </c>
      <c r="E3926" t="s">
        <v>268</v>
      </c>
      <c r="F3926">
        <v>1756</v>
      </c>
      <c r="G3926">
        <v>620</v>
      </c>
      <c r="H3926" t="s">
        <v>38</v>
      </c>
      <c r="I3926" t="s">
        <v>39</v>
      </c>
      <c r="J3926" t="s">
        <v>2285</v>
      </c>
      <c r="K3926" t="s">
        <v>38</v>
      </c>
      <c r="L3926" t="s">
        <v>38</v>
      </c>
      <c r="M3926" t="s">
        <v>38</v>
      </c>
      <c r="N3926" t="s">
        <v>38</v>
      </c>
      <c r="O3926" t="s">
        <v>41</v>
      </c>
      <c r="P3926" t="s">
        <v>42</v>
      </c>
      <c r="Q3926" t="s">
        <v>43</v>
      </c>
      <c r="R3926" t="s">
        <v>38</v>
      </c>
      <c r="S3926" t="s">
        <v>38</v>
      </c>
      <c r="T3926" t="s">
        <v>38</v>
      </c>
      <c r="U3926" t="s">
        <v>38</v>
      </c>
      <c r="V3926" t="s">
        <v>137</v>
      </c>
      <c r="W3926" t="s">
        <v>38</v>
      </c>
      <c r="X3926" t="s">
        <v>38</v>
      </c>
      <c r="Y3926" t="s">
        <v>832</v>
      </c>
      <c r="Z3926" t="s">
        <v>42</v>
      </c>
      <c r="AA3926" t="s">
        <v>5794</v>
      </c>
      <c r="AB3926" t="s">
        <v>38</v>
      </c>
      <c r="AC3926" t="s">
        <v>593</v>
      </c>
      <c r="AD3926" t="s">
        <v>48</v>
      </c>
      <c r="AG3926" t="str">
        <f>IF(AD3926="United States", IFERROR(INDEX(Sheet2!$C:$C, MATCH(AE3926&amp;AF3926, Sheet2!$E:$E, 0)) &amp; ", " &amp; INDEX(Sheet2!$D:$D, MATCH(AE3926&amp;AF3926, Sheet2!$E:$E, 0)), ""), "-")</f>
        <v/>
      </c>
    </row>
    <row r="3927" spans="1:33" x14ac:dyDescent="0.25">
      <c r="A3927" t="s">
        <v>5756</v>
      </c>
      <c r="B3927" t="s">
        <v>5795</v>
      </c>
      <c r="C3927" t="s">
        <v>5758</v>
      </c>
      <c r="D3927" t="s">
        <v>245</v>
      </c>
      <c r="E3927" t="s">
        <v>191</v>
      </c>
      <c r="F3927">
        <v>1772</v>
      </c>
      <c r="G3927">
        <v>619</v>
      </c>
      <c r="H3927" t="s">
        <v>38</v>
      </c>
      <c r="I3927" t="s">
        <v>39</v>
      </c>
      <c r="J3927" t="s">
        <v>2285</v>
      </c>
      <c r="K3927" t="s">
        <v>38</v>
      </c>
      <c r="L3927" t="s">
        <v>38</v>
      </c>
      <c r="M3927" t="s">
        <v>38</v>
      </c>
      <c r="N3927" t="s">
        <v>38</v>
      </c>
      <c r="O3927" t="s">
        <v>54</v>
      </c>
      <c r="P3927" t="s">
        <v>42</v>
      </c>
      <c r="Q3927" t="s">
        <v>43</v>
      </c>
      <c r="R3927" t="s">
        <v>38</v>
      </c>
      <c r="S3927" t="s">
        <v>38</v>
      </c>
      <c r="T3927" t="s">
        <v>38</v>
      </c>
      <c r="U3927" t="s">
        <v>38</v>
      </c>
      <c r="V3927" t="s">
        <v>137</v>
      </c>
      <c r="W3927" t="s">
        <v>38</v>
      </c>
      <c r="X3927" t="s">
        <v>38</v>
      </c>
      <c r="Y3927" t="s">
        <v>1199</v>
      </c>
      <c r="Z3927" t="s">
        <v>42</v>
      </c>
      <c r="AA3927" t="s">
        <v>38</v>
      </c>
      <c r="AB3927" t="s">
        <v>38</v>
      </c>
      <c r="AC3927" t="s">
        <v>60</v>
      </c>
      <c r="AD3927" t="s">
        <v>48</v>
      </c>
      <c r="AG3927" t="str">
        <f>IF(AD3927="United States", IFERROR(INDEX(Sheet2!$C:$C, MATCH(AE3927&amp;AF3927, Sheet2!$E:$E, 0)) &amp; ", " &amp; INDEX(Sheet2!$D:$D, MATCH(AE3927&amp;AF3927, Sheet2!$E:$E, 0)), ""), "-")</f>
        <v/>
      </c>
    </row>
    <row r="3928" spans="1:33" x14ac:dyDescent="0.25">
      <c r="A3928" t="s">
        <v>5756</v>
      </c>
      <c r="B3928" t="s">
        <v>5796</v>
      </c>
      <c r="C3928" t="s">
        <v>5758</v>
      </c>
      <c r="D3928" t="s">
        <v>1003</v>
      </c>
      <c r="E3928" t="s">
        <v>2295</v>
      </c>
      <c r="F3928">
        <v>1738</v>
      </c>
      <c r="G3928">
        <v>618</v>
      </c>
      <c r="H3928" t="s">
        <v>38</v>
      </c>
      <c r="I3928" t="s">
        <v>39</v>
      </c>
      <c r="J3928" t="s">
        <v>2285</v>
      </c>
      <c r="K3928" t="s">
        <v>38</v>
      </c>
      <c r="L3928" t="s">
        <v>38</v>
      </c>
      <c r="M3928" t="s">
        <v>38</v>
      </c>
      <c r="N3928" t="s">
        <v>38</v>
      </c>
      <c r="O3928" t="s">
        <v>57</v>
      </c>
      <c r="P3928" t="s">
        <v>42</v>
      </c>
      <c r="Q3928" t="s">
        <v>43</v>
      </c>
      <c r="R3928" t="s">
        <v>5797</v>
      </c>
      <c r="S3928" t="s">
        <v>45</v>
      </c>
      <c r="T3928" t="s">
        <v>38</v>
      </c>
      <c r="U3928" t="s">
        <v>38</v>
      </c>
      <c r="V3928" t="s">
        <v>137</v>
      </c>
      <c r="W3928" t="s">
        <v>38</v>
      </c>
      <c r="X3928" t="s">
        <v>38</v>
      </c>
      <c r="Y3928" t="s">
        <v>5798</v>
      </c>
      <c r="Z3928" t="s">
        <v>42</v>
      </c>
      <c r="AA3928" t="s">
        <v>5797</v>
      </c>
      <c r="AB3928" t="s">
        <v>38</v>
      </c>
      <c r="AC3928" t="s">
        <v>45</v>
      </c>
      <c r="AD3928" t="s">
        <v>48</v>
      </c>
      <c r="AG3928" t="str">
        <f>IF(AD3928="United States", IFERROR(INDEX(Sheet2!$C:$C, MATCH(AE3928&amp;AF3928, Sheet2!$E:$E, 0)) &amp; ", " &amp; INDEX(Sheet2!$D:$D, MATCH(AE3928&amp;AF3928, Sheet2!$E:$E, 0)), ""), "-")</f>
        <v/>
      </c>
    </row>
    <row r="3929" spans="1:33" x14ac:dyDescent="0.25">
      <c r="A3929" t="s">
        <v>5756</v>
      </c>
      <c r="B3929" t="s">
        <v>5799</v>
      </c>
      <c r="C3929" t="s">
        <v>5758</v>
      </c>
      <c r="D3929" t="s">
        <v>621</v>
      </c>
      <c r="E3929" t="s">
        <v>2298</v>
      </c>
      <c r="F3929">
        <v>1761</v>
      </c>
      <c r="G3929">
        <v>616</v>
      </c>
      <c r="H3929" t="s">
        <v>38</v>
      </c>
      <c r="I3929" t="s">
        <v>39</v>
      </c>
      <c r="J3929" t="s">
        <v>2285</v>
      </c>
      <c r="K3929" t="s">
        <v>38</v>
      </c>
      <c r="L3929" t="s">
        <v>38</v>
      </c>
      <c r="M3929" t="s">
        <v>38</v>
      </c>
      <c r="N3929" t="s">
        <v>38</v>
      </c>
      <c r="O3929" t="s">
        <v>41</v>
      </c>
      <c r="P3929" t="s">
        <v>42</v>
      </c>
      <c r="Q3929" t="s">
        <v>43</v>
      </c>
      <c r="R3929" t="s">
        <v>38</v>
      </c>
      <c r="S3929" t="s">
        <v>38</v>
      </c>
      <c r="T3929" t="s">
        <v>38</v>
      </c>
      <c r="U3929" t="s">
        <v>38</v>
      </c>
      <c r="V3929" t="s">
        <v>137</v>
      </c>
      <c r="W3929" t="s">
        <v>38</v>
      </c>
      <c r="X3929" t="s">
        <v>38</v>
      </c>
      <c r="Y3929" t="s">
        <v>5800</v>
      </c>
      <c r="Z3929" t="s">
        <v>42</v>
      </c>
      <c r="AA3929" t="s">
        <v>5801</v>
      </c>
      <c r="AB3929" t="s">
        <v>38</v>
      </c>
      <c r="AC3929" t="s">
        <v>60</v>
      </c>
      <c r="AD3929" t="s">
        <v>48</v>
      </c>
      <c r="AG3929" t="str">
        <f>IF(AD3929="United States", IFERROR(INDEX(Sheet2!$C:$C, MATCH(AE3929&amp;AF3929, Sheet2!$E:$E, 0)) &amp; ", " &amp; INDEX(Sheet2!$D:$D, MATCH(AE3929&amp;AF3929, Sheet2!$E:$E, 0)), ""), "-")</f>
        <v/>
      </c>
    </row>
    <row r="3930" spans="1:33" x14ac:dyDescent="0.25">
      <c r="A3930" t="s">
        <v>5756</v>
      </c>
      <c r="B3930" t="s">
        <v>5802</v>
      </c>
      <c r="C3930" t="s">
        <v>5758</v>
      </c>
      <c r="D3930" t="s">
        <v>5803</v>
      </c>
      <c r="E3930" t="s">
        <v>2290</v>
      </c>
      <c r="F3930">
        <v>1782</v>
      </c>
      <c r="G3930">
        <v>615</v>
      </c>
      <c r="H3930" t="s">
        <v>38</v>
      </c>
      <c r="I3930" t="s">
        <v>39</v>
      </c>
      <c r="J3930" t="s">
        <v>2285</v>
      </c>
      <c r="K3930" t="s">
        <v>38</v>
      </c>
      <c r="L3930" t="s">
        <v>38</v>
      </c>
      <c r="M3930" t="s">
        <v>38</v>
      </c>
      <c r="N3930" t="s">
        <v>38</v>
      </c>
      <c r="O3930" t="s">
        <v>54</v>
      </c>
      <c r="P3930" t="s">
        <v>42</v>
      </c>
      <c r="Q3930" t="s">
        <v>43</v>
      </c>
      <c r="R3930" t="s">
        <v>38</v>
      </c>
      <c r="S3930" t="s">
        <v>38</v>
      </c>
      <c r="T3930" t="s">
        <v>38</v>
      </c>
      <c r="U3930" t="s">
        <v>38</v>
      </c>
      <c r="V3930" t="s">
        <v>137</v>
      </c>
      <c r="W3930" t="s">
        <v>38</v>
      </c>
      <c r="X3930" t="s">
        <v>38</v>
      </c>
      <c r="Y3930" t="s">
        <v>38</v>
      </c>
      <c r="Z3930" t="s">
        <v>42</v>
      </c>
      <c r="AA3930" t="s">
        <v>38</v>
      </c>
      <c r="AB3930" t="s">
        <v>38</v>
      </c>
      <c r="AC3930" t="s">
        <v>38</v>
      </c>
      <c r="AD3930" t="s">
        <v>48</v>
      </c>
      <c r="AG3930" t="str">
        <f>IF(AD3930="United States", IFERROR(INDEX(Sheet2!$C:$C, MATCH(AE3930&amp;AF3930, Sheet2!$E:$E, 0)) &amp; ", " &amp; INDEX(Sheet2!$D:$D, MATCH(AE3930&amp;AF3930, Sheet2!$E:$E, 0)), ""), "-")</f>
        <v/>
      </c>
    </row>
    <row r="3931" spans="1:33" x14ac:dyDescent="0.25">
      <c r="A3931" t="s">
        <v>5756</v>
      </c>
      <c r="B3931" t="s">
        <v>5804</v>
      </c>
      <c r="C3931" t="s">
        <v>5758</v>
      </c>
      <c r="D3931" t="s">
        <v>2300</v>
      </c>
      <c r="E3931" t="s">
        <v>2290</v>
      </c>
      <c r="F3931">
        <v>1777</v>
      </c>
      <c r="G3931">
        <v>614</v>
      </c>
      <c r="H3931" t="s">
        <v>38</v>
      </c>
      <c r="I3931" t="s">
        <v>39</v>
      </c>
      <c r="J3931" t="s">
        <v>2285</v>
      </c>
      <c r="K3931" t="s">
        <v>38</v>
      </c>
      <c r="L3931" t="s">
        <v>38</v>
      </c>
      <c r="M3931" t="s">
        <v>38</v>
      </c>
      <c r="N3931" t="s">
        <v>38</v>
      </c>
      <c r="O3931" t="s">
        <v>74</v>
      </c>
      <c r="P3931" t="s">
        <v>42</v>
      </c>
      <c r="Q3931" t="s">
        <v>43</v>
      </c>
      <c r="R3931" t="s">
        <v>38</v>
      </c>
      <c r="S3931" t="s">
        <v>38</v>
      </c>
      <c r="T3931" t="s">
        <v>38</v>
      </c>
      <c r="U3931" t="s">
        <v>38</v>
      </c>
      <c r="V3931" t="s">
        <v>137</v>
      </c>
      <c r="W3931" t="s">
        <v>38</v>
      </c>
      <c r="X3931" t="s">
        <v>38</v>
      </c>
      <c r="Y3931" t="s">
        <v>5759</v>
      </c>
      <c r="Z3931" t="s">
        <v>42</v>
      </c>
      <c r="AA3931" t="s">
        <v>38</v>
      </c>
      <c r="AB3931" t="s">
        <v>38</v>
      </c>
      <c r="AC3931" t="s">
        <v>233</v>
      </c>
      <c r="AD3931" t="s">
        <v>48</v>
      </c>
      <c r="AG3931" t="str">
        <f>IF(AD3931="United States", IFERROR(INDEX(Sheet2!$C:$C, MATCH(AE3931&amp;AF3931, Sheet2!$E:$E, 0)) &amp; ", " &amp; INDEX(Sheet2!$D:$D, MATCH(AE3931&amp;AF3931, Sheet2!$E:$E, 0)), ""), "-")</f>
        <v/>
      </c>
    </row>
    <row r="3932" spans="1:33" x14ac:dyDescent="0.25">
      <c r="A3932" t="s">
        <v>5756</v>
      </c>
      <c r="B3932" t="s">
        <v>5805</v>
      </c>
      <c r="C3932" t="s">
        <v>5758</v>
      </c>
      <c r="D3932" t="s">
        <v>945</v>
      </c>
      <c r="E3932" t="s">
        <v>5806</v>
      </c>
      <c r="F3932">
        <v>1770</v>
      </c>
      <c r="G3932">
        <v>613</v>
      </c>
      <c r="H3932" t="s">
        <v>38</v>
      </c>
      <c r="I3932" t="s">
        <v>39</v>
      </c>
      <c r="J3932" t="s">
        <v>2285</v>
      </c>
      <c r="K3932" t="s">
        <v>38</v>
      </c>
      <c r="L3932" t="s">
        <v>38</v>
      </c>
      <c r="M3932" t="s">
        <v>38</v>
      </c>
      <c r="N3932" t="s">
        <v>38</v>
      </c>
      <c r="O3932" t="s">
        <v>54</v>
      </c>
      <c r="P3932" t="s">
        <v>42</v>
      </c>
      <c r="Q3932" t="s">
        <v>43</v>
      </c>
      <c r="R3932" t="s">
        <v>38</v>
      </c>
      <c r="S3932" t="s">
        <v>38</v>
      </c>
      <c r="T3932" t="s">
        <v>38</v>
      </c>
      <c r="U3932" t="s">
        <v>38</v>
      </c>
      <c r="V3932" t="s">
        <v>137</v>
      </c>
      <c r="W3932" t="s">
        <v>38</v>
      </c>
      <c r="X3932" t="s">
        <v>38</v>
      </c>
      <c r="Y3932" t="s">
        <v>5759</v>
      </c>
      <c r="Z3932" t="s">
        <v>42</v>
      </c>
      <c r="AA3932" t="s">
        <v>38</v>
      </c>
      <c r="AB3932" t="s">
        <v>38</v>
      </c>
      <c r="AC3932" t="s">
        <v>233</v>
      </c>
      <c r="AD3932" t="s">
        <v>48</v>
      </c>
      <c r="AG3932" t="str">
        <f>IF(AD3932="United States", IFERROR(INDEX(Sheet2!$C:$C, MATCH(AE3932&amp;AF3932, Sheet2!$E:$E, 0)) &amp; ", " &amp; INDEX(Sheet2!$D:$D, MATCH(AE3932&amp;AF3932, Sheet2!$E:$E, 0)), ""), "-")</f>
        <v/>
      </c>
    </row>
    <row r="3933" spans="1:33" x14ac:dyDescent="0.25">
      <c r="A3933" t="s">
        <v>5756</v>
      </c>
      <c r="B3933" t="s">
        <v>5807</v>
      </c>
      <c r="C3933" t="s">
        <v>5758</v>
      </c>
      <c r="D3933" t="s">
        <v>940</v>
      </c>
      <c r="E3933" t="s">
        <v>2290</v>
      </c>
      <c r="F3933">
        <v>1757</v>
      </c>
      <c r="G3933">
        <v>612</v>
      </c>
      <c r="H3933" t="s">
        <v>38</v>
      </c>
      <c r="I3933" t="s">
        <v>39</v>
      </c>
      <c r="J3933" t="s">
        <v>2285</v>
      </c>
      <c r="K3933" t="s">
        <v>38</v>
      </c>
      <c r="L3933" t="s">
        <v>38</v>
      </c>
      <c r="M3933" t="s">
        <v>38</v>
      </c>
      <c r="N3933" t="s">
        <v>38</v>
      </c>
      <c r="O3933" t="s">
        <v>57</v>
      </c>
      <c r="P3933" t="s">
        <v>42</v>
      </c>
      <c r="Q3933" t="s">
        <v>43</v>
      </c>
      <c r="R3933" t="s">
        <v>38</v>
      </c>
      <c r="S3933" t="s">
        <v>38</v>
      </c>
      <c r="T3933" t="s">
        <v>38</v>
      </c>
      <c r="U3933" t="s">
        <v>38</v>
      </c>
      <c r="V3933" t="s">
        <v>137</v>
      </c>
      <c r="W3933" t="s">
        <v>38</v>
      </c>
      <c r="X3933" t="s">
        <v>38</v>
      </c>
      <c r="Y3933" t="s">
        <v>5759</v>
      </c>
      <c r="Z3933" t="s">
        <v>42</v>
      </c>
      <c r="AA3933" t="s">
        <v>38</v>
      </c>
      <c r="AB3933" t="s">
        <v>38</v>
      </c>
      <c r="AC3933" t="s">
        <v>233</v>
      </c>
      <c r="AD3933" t="s">
        <v>48</v>
      </c>
      <c r="AG3933" t="str">
        <f>IF(AD3933="United States", IFERROR(INDEX(Sheet2!$C:$C, MATCH(AE3933&amp;AF3933, Sheet2!$E:$E, 0)) &amp; ", " &amp; INDEX(Sheet2!$D:$D, MATCH(AE3933&amp;AF3933, Sheet2!$E:$E, 0)), ""), "-")</f>
        <v/>
      </c>
    </row>
    <row r="3934" spans="1:33" x14ac:dyDescent="0.25">
      <c r="A3934" t="s">
        <v>5756</v>
      </c>
      <c r="B3934" t="s">
        <v>5808</v>
      </c>
      <c r="C3934" t="s">
        <v>5758</v>
      </c>
      <c r="D3934" t="s">
        <v>36</v>
      </c>
      <c r="E3934" t="s">
        <v>2289</v>
      </c>
      <c r="F3934">
        <v>1751</v>
      </c>
      <c r="G3934">
        <v>611</v>
      </c>
      <c r="H3934" t="s">
        <v>38</v>
      </c>
      <c r="I3934" t="s">
        <v>39</v>
      </c>
      <c r="J3934" t="s">
        <v>2285</v>
      </c>
      <c r="K3934" t="s">
        <v>38</v>
      </c>
      <c r="L3934" t="s">
        <v>38</v>
      </c>
      <c r="M3934" t="s">
        <v>38</v>
      </c>
      <c r="N3934" t="s">
        <v>38</v>
      </c>
      <c r="O3934" t="s">
        <v>41</v>
      </c>
      <c r="P3934" t="s">
        <v>42</v>
      </c>
      <c r="Q3934" t="s">
        <v>43</v>
      </c>
      <c r="R3934" t="s">
        <v>241</v>
      </c>
      <c r="S3934" t="s">
        <v>45</v>
      </c>
      <c r="T3934" t="s">
        <v>38</v>
      </c>
      <c r="U3934" t="s">
        <v>38</v>
      </c>
      <c r="V3934" t="s">
        <v>137</v>
      </c>
      <c r="W3934" t="s">
        <v>38</v>
      </c>
      <c r="X3934" t="s">
        <v>38</v>
      </c>
      <c r="Y3934" t="s">
        <v>5809</v>
      </c>
      <c r="Z3934" t="s">
        <v>42</v>
      </c>
      <c r="AA3934" t="s">
        <v>241</v>
      </c>
      <c r="AB3934" t="s">
        <v>45</v>
      </c>
      <c r="AC3934" t="s">
        <v>5810</v>
      </c>
      <c r="AD3934" t="s">
        <v>48</v>
      </c>
      <c r="AG3934" t="str">
        <f>IF(AD3934="United States", IFERROR(INDEX(Sheet2!$C:$C, MATCH(AE3934&amp;AF3934, Sheet2!$E:$E, 0)) &amp; ", " &amp; INDEX(Sheet2!$D:$D, MATCH(AE3934&amp;AF3934, Sheet2!$E:$E, 0)), ""), "-")</f>
        <v/>
      </c>
    </row>
    <row r="3935" spans="1:33" x14ac:dyDescent="0.25">
      <c r="A3935" t="s">
        <v>5756</v>
      </c>
      <c r="B3935" t="s">
        <v>5811</v>
      </c>
      <c r="C3935" t="s">
        <v>5758</v>
      </c>
      <c r="D3935" t="s">
        <v>1174</v>
      </c>
      <c r="E3935" t="s">
        <v>226</v>
      </c>
      <c r="F3935">
        <v>1763</v>
      </c>
      <c r="G3935">
        <v>610</v>
      </c>
      <c r="H3935" t="s">
        <v>38</v>
      </c>
      <c r="I3935" t="s">
        <v>39</v>
      </c>
      <c r="J3935" t="s">
        <v>2285</v>
      </c>
      <c r="K3935" t="s">
        <v>38</v>
      </c>
      <c r="L3935" t="s">
        <v>38</v>
      </c>
      <c r="M3935" t="s">
        <v>38</v>
      </c>
      <c r="N3935" t="s">
        <v>38</v>
      </c>
      <c r="O3935" t="s">
        <v>41</v>
      </c>
      <c r="P3935" t="s">
        <v>42</v>
      </c>
      <c r="Q3935" t="s">
        <v>43</v>
      </c>
      <c r="R3935" t="s">
        <v>38</v>
      </c>
      <c r="S3935" t="s">
        <v>38</v>
      </c>
      <c r="T3935" t="s">
        <v>38</v>
      </c>
      <c r="U3935" t="s">
        <v>38</v>
      </c>
      <c r="V3935" t="s">
        <v>137</v>
      </c>
      <c r="W3935" t="s">
        <v>38</v>
      </c>
      <c r="X3935" t="s">
        <v>38</v>
      </c>
      <c r="Y3935" t="s">
        <v>5759</v>
      </c>
      <c r="Z3935" t="s">
        <v>42</v>
      </c>
      <c r="AA3935" t="s">
        <v>5812</v>
      </c>
      <c r="AB3935" t="s">
        <v>3973</v>
      </c>
      <c r="AC3935" t="s">
        <v>5813</v>
      </c>
      <c r="AD3935" t="s">
        <v>48</v>
      </c>
      <c r="AG3935" t="str">
        <f>IF(AD3935="United States", IFERROR(INDEX(Sheet2!$C:$C, MATCH(AE3935&amp;AF3935, Sheet2!$E:$E, 0)) &amp; ", " &amp; INDEX(Sheet2!$D:$D, MATCH(AE3935&amp;AF3935, Sheet2!$E:$E, 0)), ""), "-")</f>
        <v/>
      </c>
    </row>
    <row r="3936" spans="1:33" x14ac:dyDescent="0.25">
      <c r="A3936" t="s">
        <v>5756</v>
      </c>
      <c r="B3936" t="s">
        <v>5814</v>
      </c>
      <c r="C3936" t="s">
        <v>5758</v>
      </c>
      <c r="D3936" t="s">
        <v>1413</v>
      </c>
      <c r="E3936" t="s">
        <v>37</v>
      </c>
      <c r="F3936">
        <v>1774</v>
      </c>
      <c r="G3936">
        <v>609</v>
      </c>
      <c r="H3936" t="s">
        <v>38</v>
      </c>
      <c r="I3936" t="s">
        <v>39</v>
      </c>
      <c r="J3936" t="s">
        <v>2285</v>
      </c>
      <c r="K3936" t="s">
        <v>38</v>
      </c>
      <c r="L3936" t="s">
        <v>38</v>
      </c>
      <c r="M3936" t="s">
        <v>38</v>
      </c>
      <c r="N3936" t="s">
        <v>38</v>
      </c>
      <c r="O3936" t="s">
        <v>54</v>
      </c>
      <c r="P3936" t="s">
        <v>42</v>
      </c>
      <c r="Q3936" t="s">
        <v>43</v>
      </c>
      <c r="R3936" t="s">
        <v>38</v>
      </c>
      <c r="S3936" t="s">
        <v>38</v>
      </c>
      <c r="T3936" t="s">
        <v>38</v>
      </c>
      <c r="U3936" t="s">
        <v>38</v>
      </c>
      <c r="V3936" t="s">
        <v>137</v>
      </c>
      <c r="W3936" t="s">
        <v>38</v>
      </c>
      <c r="X3936" t="s">
        <v>38</v>
      </c>
      <c r="Y3936" t="s">
        <v>5759</v>
      </c>
      <c r="Z3936" t="s">
        <v>42</v>
      </c>
      <c r="AA3936" t="s">
        <v>38</v>
      </c>
      <c r="AB3936" t="s">
        <v>38</v>
      </c>
      <c r="AC3936" t="s">
        <v>38</v>
      </c>
      <c r="AD3936" t="s">
        <v>48</v>
      </c>
      <c r="AG3936" t="str">
        <f>IF(AD3936="United States", IFERROR(INDEX(Sheet2!$C:$C, MATCH(AE3936&amp;AF3936, Sheet2!$E:$E, 0)) &amp; ", " &amp; INDEX(Sheet2!$D:$D, MATCH(AE3936&amp;AF3936, Sheet2!$E:$E, 0)), ""), "-")</f>
        <v/>
      </c>
    </row>
    <row r="3937" spans="1:33" x14ac:dyDescent="0.25">
      <c r="A3937" t="s">
        <v>5756</v>
      </c>
      <c r="B3937" t="s">
        <v>5815</v>
      </c>
      <c r="C3937" t="s">
        <v>5758</v>
      </c>
      <c r="D3937" t="s">
        <v>639</v>
      </c>
      <c r="E3937" t="s">
        <v>2294</v>
      </c>
      <c r="F3937">
        <v>1765</v>
      </c>
      <c r="G3937">
        <v>621</v>
      </c>
      <c r="H3937" t="s">
        <v>38</v>
      </c>
      <c r="I3937" t="s">
        <v>39</v>
      </c>
      <c r="J3937" t="s">
        <v>2285</v>
      </c>
      <c r="K3937" t="s">
        <v>38</v>
      </c>
      <c r="L3937" t="s">
        <v>38</v>
      </c>
      <c r="M3937" t="s">
        <v>38</v>
      </c>
      <c r="N3937" t="s">
        <v>38</v>
      </c>
      <c r="O3937" t="s">
        <v>41</v>
      </c>
      <c r="P3937" t="s">
        <v>42</v>
      </c>
      <c r="Q3937" t="s">
        <v>43</v>
      </c>
      <c r="R3937" t="s">
        <v>241</v>
      </c>
      <c r="S3937" t="s">
        <v>45</v>
      </c>
      <c r="T3937" t="s">
        <v>38</v>
      </c>
      <c r="U3937" t="s">
        <v>38</v>
      </c>
      <c r="V3937" t="s">
        <v>137</v>
      </c>
      <c r="W3937" t="s">
        <v>38</v>
      </c>
      <c r="X3937" t="s">
        <v>38</v>
      </c>
      <c r="Y3937" t="s">
        <v>5788</v>
      </c>
      <c r="Z3937" t="s">
        <v>42</v>
      </c>
      <c r="AA3937" t="s">
        <v>241</v>
      </c>
      <c r="AB3937" t="s">
        <v>38</v>
      </c>
      <c r="AC3937" t="s">
        <v>45</v>
      </c>
      <c r="AD3937" t="s">
        <v>48</v>
      </c>
      <c r="AG3937" t="str">
        <f>IF(AD3937="United States", IFERROR(INDEX(Sheet2!$C:$C, MATCH(AE3937&amp;AF3937, Sheet2!$E:$E, 0)) &amp; ", " &amp; INDEX(Sheet2!$D:$D, MATCH(AE3937&amp;AF3937, Sheet2!$E:$E, 0)), ""), "-")</f>
        <v/>
      </c>
    </row>
    <row r="3938" spans="1:33" x14ac:dyDescent="0.25">
      <c r="A3938" t="s">
        <v>5756</v>
      </c>
      <c r="B3938" t="s">
        <v>5816</v>
      </c>
      <c r="C3938" t="s">
        <v>5758</v>
      </c>
      <c r="D3938" t="s">
        <v>132</v>
      </c>
      <c r="E3938" t="s">
        <v>2295</v>
      </c>
      <c r="F3938">
        <v>1724</v>
      </c>
      <c r="G3938">
        <v>617</v>
      </c>
      <c r="H3938" t="s">
        <v>38</v>
      </c>
      <c r="I3938" t="s">
        <v>39</v>
      </c>
      <c r="J3938" t="s">
        <v>2285</v>
      </c>
      <c r="K3938" t="s">
        <v>38</v>
      </c>
      <c r="L3938" t="s">
        <v>38</v>
      </c>
      <c r="M3938" t="s">
        <v>38</v>
      </c>
      <c r="N3938" t="s">
        <v>38</v>
      </c>
      <c r="O3938" t="s">
        <v>41</v>
      </c>
      <c r="P3938" t="s">
        <v>42</v>
      </c>
      <c r="Q3938" t="s">
        <v>43</v>
      </c>
      <c r="R3938" t="s">
        <v>4344</v>
      </c>
      <c r="S3938" t="s">
        <v>45</v>
      </c>
      <c r="T3938" t="s">
        <v>38</v>
      </c>
      <c r="U3938" t="s">
        <v>38</v>
      </c>
      <c r="V3938" t="s">
        <v>137</v>
      </c>
      <c r="W3938" t="s">
        <v>38</v>
      </c>
      <c r="X3938" t="s">
        <v>38</v>
      </c>
      <c r="Y3938" t="s">
        <v>5798</v>
      </c>
      <c r="Z3938" t="s">
        <v>42</v>
      </c>
      <c r="AA3938" t="s">
        <v>4344</v>
      </c>
      <c r="AB3938" t="s">
        <v>38</v>
      </c>
      <c r="AC3938" t="s">
        <v>45</v>
      </c>
      <c r="AD3938" t="s">
        <v>48</v>
      </c>
      <c r="AG3938" t="str">
        <f>IF(AD3938="United States", IFERROR(INDEX(Sheet2!$C:$C, MATCH(AE3938&amp;AF3938, Sheet2!$E:$E, 0)) &amp; ", " &amp; INDEX(Sheet2!$D:$D, MATCH(AE3938&amp;AF3938, Sheet2!$E:$E, 0)), ""), "-")</f>
        <v/>
      </c>
    </row>
    <row r="3939" spans="1:33" x14ac:dyDescent="0.25">
      <c r="A3939" t="s">
        <v>5756</v>
      </c>
      <c r="B3939" t="s">
        <v>5817</v>
      </c>
      <c r="C3939" t="s">
        <v>5758</v>
      </c>
      <c r="D3939" t="s">
        <v>361</v>
      </c>
      <c r="E3939" t="s">
        <v>818</v>
      </c>
      <c r="F3939">
        <v>1755</v>
      </c>
      <c r="G3939">
        <v>629</v>
      </c>
      <c r="H3939" t="s">
        <v>38</v>
      </c>
      <c r="I3939" t="s">
        <v>39</v>
      </c>
      <c r="J3939" t="s">
        <v>2285</v>
      </c>
      <c r="K3939" t="s">
        <v>38</v>
      </c>
      <c r="L3939" t="s">
        <v>38</v>
      </c>
      <c r="M3939" t="s">
        <v>38</v>
      </c>
      <c r="N3939" t="s">
        <v>38</v>
      </c>
      <c r="O3939" t="s">
        <v>41</v>
      </c>
      <c r="P3939" t="s">
        <v>42</v>
      </c>
      <c r="Q3939" t="s">
        <v>43</v>
      </c>
      <c r="R3939" t="s">
        <v>5818</v>
      </c>
      <c r="S3939" t="s">
        <v>201</v>
      </c>
      <c r="T3939" t="s">
        <v>38</v>
      </c>
      <c r="U3939" t="s">
        <v>38</v>
      </c>
      <c r="V3939" t="s">
        <v>137</v>
      </c>
      <c r="W3939" t="s">
        <v>38</v>
      </c>
      <c r="X3939" t="s">
        <v>38</v>
      </c>
      <c r="Y3939" t="s">
        <v>5763</v>
      </c>
      <c r="Z3939" t="s">
        <v>42</v>
      </c>
      <c r="AA3939" t="s">
        <v>5818</v>
      </c>
      <c r="AB3939" t="s">
        <v>38</v>
      </c>
      <c r="AC3939" t="s">
        <v>201</v>
      </c>
      <c r="AD3939" t="s">
        <v>48</v>
      </c>
      <c r="AG3939" t="str">
        <f>IF(AD3939="United States", IFERROR(INDEX(Sheet2!$C:$C, MATCH(AE3939&amp;AF3939, Sheet2!$E:$E, 0)) &amp; ", " &amp; INDEX(Sheet2!$D:$D, MATCH(AE3939&amp;AF3939, Sheet2!$E:$E, 0)), ""), "-")</f>
        <v/>
      </c>
    </row>
    <row r="3940" spans="1:33" x14ac:dyDescent="0.25">
      <c r="A3940" t="s">
        <v>5819</v>
      </c>
      <c r="B3940" t="s">
        <v>5820</v>
      </c>
      <c r="C3940" t="s">
        <v>5821</v>
      </c>
      <c r="D3940" t="s">
        <v>63</v>
      </c>
      <c r="E3940" t="s">
        <v>38</v>
      </c>
      <c r="F3940">
        <v>1757</v>
      </c>
      <c r="G3940">
        <v>2215</v>
      </c>
      <c r="H3940" t="s">
        <v>2600</v>
      </c>
      <c r="I3940" t="s">
        <v>87</v>
      </c>
      <c r="J3940" t="s">
        <v>38</v>
      </c>
      <c r="K3940" t="s">
        <v>38</v>
      </c>
      <c r="L3940" t="s">
        <v>38</v>
      </c>
      <c r="M3940" t="s">
        <v>38</v>
      </c>
      <c r="N3940" t="s">
        <v>38</v>
      </c>
      <c r="O3940" t="s">
        <v>41</v>
      </c>
      <c r="P3940" t="s">
        <v>42</v>
      </c>
      <c r="Q3940" t="s">
        <v>43</v>
      </c>
      <c r="R3940" t="s">
        <v>4594</v>
      </c>
      <c r="S3940" t="s">
        <v>201</v>
      </c>
      <c r="T3940" t="s">
        <v>4594</v>
      </c>
      <c r="U3940" t="s">
        <v>5822</v>
      </c>
      <c r="V3940" t="s">
        <v>38</v>
      </c>
      <c r="W3940" t="s">
        <v>92</v>
      </c>
      <c r="X3940" t="s">
        <v>38</v>
      </c>
      <c r="Y3940" t="s">
        <v>5823</v>
      </c>
      <c r="Z3940" t="s">
        <v>42</v>
      </c>
      <c r="AA3940" t="s">
        <v>5824</v>
      </c>
      <c r="AB3940" t="s">
        <v>5191</v>
      </c>
      <c r="AC3940" t="s">
        <v>201</v>
      </c>
      <c r="AD3940" t="s">
        <v>48</v>
      </c>
      <c r="AG3940" t="str">
        <f>IF(AD3940="United States", IFERROR(INDEX(Sheet2!$C:$C, MATCH(AE3940&amp;AF3940, Sheet2!$E:$E, 0)) &amp; ", " &amp; INDEX(Sheet2!$D:$D, MATCH(AE3940&amp;AF3940, Sheet2!$E:$E, 0)), ""), "-")</f>
        <v/>
      </c>
    </row>
    <row r="3941" spans="1:33" x14ac:dyDescent="0.25">
      <c r="A3941" t="s">
        <v>5819</v>
      </c>
      <c r="B3941" t="s">
        <v>5825</v>
      </c>
      <c r="C3941" t="s">
        <v>5821</v>
      </c>
      <c r="D3941" t="s">
        <v>2016</v>
      </c>
      <c r="E3941" t="s">
        <v>38</v>
      </c>
      <c r="F3941">
        <v>1769</v>
      </c>
      <c r="G3941">
        <v>2216</v>
      </c>
      <c r="H3941" t="s">
        <v>2600</v>
      </c>
      <c r="I3941" t="s">
        <v>87</v>
      </c>
      <c r="J3941" t="s">
        <v>38</v>
      </c>
      <c r="K3941" t="s">
        <v>38</v>
      </c>
      <c r="L3941" t="s">
        <v>38</v>
      </c>
      <c r="M3941" t="s">
        <v>38</v>
      </c>
      <c r="N3941" t="s">
        <v>38</v>
      </c>
      <c r="O3941" t="s">
        <v>54</v>
      </c>
      <c r="P3941" t="s">
        <v>42</v>
      </c>
      <c r="Q3941" t="s">
        <v>43</v>
      </c>
      <c r="R3941" t="s">
        <v>4594</v>
      </c>
      <c r="S3941" t="s">
        <v>38</v>
      </c>
      <c r="T3941" t="s">
        <v>4594</v>
      </c>
      <c r="U3941" t="s">
        <v>5822</v>
      </c>
      <c r="V3941" t="s">
        <v>38</v>
      </c>
      <c r="W3941" t="s">
        <v>92</v>
      </c>
      <c r="X3941" t="s">
        <v>38</v>
      </c>
      <c r="Y3941" t="s">
        <v>5823</v>
      </c>
      <c r="Z3941" t="s">
        <v>42</v>
      </c>
      <c r="AA3941" t="s">
        <v>38</v>
      </c>
      <c r="AB3941" t="s">
        <v>38</v>
      </c>
      <c r="AC3941" t="s">
        <v>38</v>
      </c>
      <c r="AD3941" t="s">
        <v>48</v>
      </c>
      <c r="AG3941" t="str">
        <f>IF(AD3941="United States", IFERROR(INDEX(Sheet2!$C:$C, MATCH(AE3941&amp;AF3941, Sheet2!$E:$E, 0)) &amp; ", " &amp; INDEX(Sheet2!$D:$D, MATCH(AE3941&amp;AF3941, Sheet2!$E:$E, 0)), ""), "-")</f>
        <v/>
      </c>
    </row>
    <row r="3942" spans="1:33" x14ac:dyDescent="0.25">
      <c r="A3942" t="s">
        <v>5819</v>
      </c>
      <c r="B3942" t="s">
        <v>5826</v>
      </c>
      <c r="C3942" t="s">
        <v>5821</v>
      </c>
      <c r="D3942" t="s">
        <v>485</v>
      </c>
      <c r="E3942" t="s">
        <v>38</v>
      </c>
      <c r="F3942">
        <v>1761</v>
      </c>
      <c r="G3942">
        <v>2217</v>
      </c>
      <c r="H3942" t="s">
        <v>2600</v>
      </c>
      <c r="I3942" t="s">
        <v>87</v>
      </c>
      <c r="J3942" t="s">
        <v>38</v>
      </c>
      <c r="K3942" t="s">
        <v>38</v>
      </c>
      <c r="L3942" t="s">
        <v>38</v>
      </c>
      <c r="M3942" t="s">
        <v>38</v>
      </c>
      <c r="N3942" t="s">
        <v>38</v>
      </c>
      <c r="O3942" t="s">
        <v>41</v>
      </c>
      <c r="P3942" t="s">
        <v>42</v>
      </c>
      <c r="Q3942" t="s">
        <v>43</v>
      </c>
      <c r="R3942" t="s">
        <v>4594</v>
      </c>
      <c r="S3942" t="s">
        <v>38</v>
      </c>
      <c r="T3942" t="s">
        <v>4594</v>
      </c>
      <c r="U3942" t="s">
        <v>5822</v>
      </c>
      <c r="V3942" t="s">
        <v>38</v>
      </c>
      <c r="W3942" t="s">
        <v>92</v>
      </c>
      <c r="X3942" t="s">
        <v>38</v>
      </c>
      <c r="Y3942" t="s">
        <v>5823</v>
      </c>
      <c r="Z3942" t="s">
        <v>42</v>
      </c>
      <c r="AA3942" t="s">
        <v>38</v>
      </c>
      <c r="AB3942" t="s">
        <v>38</v>
      </c>
      <c r="AC3942" t="s">
        <v>38</v>
      </c>
      <c r="AD3942" t="s">
        <v>48</v>
      </c>
      <c r="AG3942" t="str">
        <f>IF(AD3942="United States", IFERROR(INDEX(Sheet2!$C:$C, MATCH(AE3942&amp;AF3942, Sheet2!$E:$E, 0)) &amp; ", " &amp; INDEX(Sheet2!$D:$D, MATCH(AE3942&amp;AF3942, Sheet2!$E:$E, 0)), ""), "-")</f>
        <v/>
      </c>
    </row>
    <row r="3943" spans="1:33" x14ac:dyDescent="0.25">
      <c r="A3943" t="s">
        <v>5819</v>
      </c>
      <c r="B3943" t="s">
        <v>5827</v>
      </c>
      <c r="C3943" t="s">
        <v>5821</v>
      </c>
      <c r="D3943" t="s">
        <v>210</v>
      </c>
      <c r="E3943" t="s">
        <v>38</v>
      </c>
      <c r="F3943">
        <v>1760</v>
      </c>
      <c r="G3943">
        <v>2218</v>
      </c>
      <c r="H3943" t="s">
        <v>2600</v>
      </c>
      <c r="I3943" t="s">
        <v>87</v>
      </c>
      <c r="J3943" t="s">
        <v>38</v>
      </c>
      <c r="K3943" t="s">
        <v>38</v>
      </c>
      <c r="L3943" t="s">
        <v>38</v>
      </c>
      <c r="M3943" t="s">
        <v>38</v>
      </c>
      <c r="N3943" t="s">
        <v>38</v>
      </c>
      <c r="O3943" t="s">
        <v>41</v>
      </c>
      <c r="P3943" t="s">
        <v>42</v>
      </c>
      <c r="Q3943" t="s">
        <v>43</v>
      </c>
      <c r="R3943" t="s">
        <v>4594</v>
      </c>
      <c r="S3943" t="s">
        <v>45</v>
      </c>
      <c r="T3943" t="s">
        <v>4594</v>
      </c>
      <c r="U3943" t="s">
        <v>5822</v>
      </c>
      <c r="V3943" t="s">
        <v>38</v>
      </c>
      <c r="W3943" t="s">
        <v>92</v>
      </c>
      <c r="X3943" t="s">
        <v>38</v>
      </c>
      <c r="Y3943" t="s">
        <v>5828</v>
      </c>
      <c r="Z3943" t="s">
        <v>42</v>
      </c>
      <c r="AA3943" t="s">
        <v>38</v>
      </c>
      <c r="AB3943" t="s">
        <v>38</v>
      </c>
      <c r="AC3943" t="s">
        <v>45</v>
      </c>
      <c r="AD3943" t="s">
        <v>48</v>
      </c>
      <c r="AG3943" t="str">
        <f>IF(AD3943="United States", IFERROR(INDEX(Sheet2!$C:$C, MATCH(AE3943&amp;AF3943, Sheet2!$E:$E, 0)) &amp; ", " &amp; INDEX(Sheet2!$D:$D, MATCH(AE3943&amp;AF3943, Sheet2!$E:$E, 0)), ""), "-")</f>
        <v/>
      </c>
    </row>
    <row r="3944" spans="1:33" x14ac:dyDescent="0.25">
      <c r="A3944" t="s">
        <v>5819</v>
      </c>
      <c r="B3944" t="s">
        <v>5829</v>
      </c>
      <c r="C3944" t="s">
        <v>5821</v>
      </c>
      <c r="D3944" t="s">
        <v>1230</v>
      </c>
      <c r="E3944" t="s">
        <v>38</v>
      </c>
      <c r="F3944">
        <v>1750</v>
      </c>
      <c r="G3944">
        <v>2219</v>
      </c>
      <c r="H3944" t="s">
        <v>2600</v>
      </c>
      <c r="I3944" t="s">
        <v>87</v>
      </c>
      <c r="J3944" t="s">
        <v>38</v>
      </c>
      <c r="K3944" t="s">
        <v>38</v>
      </c>
      <c r="L3944" t="s">
        <v>38</v>
      </c>
      <c r="M3944" t="s">
        <v>38</v>
      </c>
      <c r="N3944" t="s">
        <v>38</v>
      </c>
      <c r="O3944" t="s">
        <v>57</v>
      </c>
      <c r="P3944" t="s">
        <v>42</v>
      </c>
      <c r="Q3944" t="s">
        <v>43</v>
      </c>
      <c r="R3944" t="s">
        <v>4594</v>
      </c>
      <c r="S3944" t="s">
        <v>89</v>
      </c>
      <c r="T3944" t="s">
        <v>4594</v>
      </c>
      <c r="U3944" t="s">
        <v>5822</v>
      </c>
      <c r="V3944" t="s">
        <v>38</v>
      </c>
      <c r="W3944" t="s">
        <v>92</v>
      </c>
      <c r="X3944" t="s">
        <v>38</v>
      </c>
      <c r="Y3944" t="s">
        <v>5823</v>
      </c>
      <c r="Z3944" t="s">
        <v>42</v>
      </c>
      <c r="AA3944" t="s">
        <v>5830</v>
      </c>
      <c r="AB3944" t="s">
        <v>38</v>
      </c>
      <c r="AC3944" t="s">
        <v>1101</v>
      </c>
      <c r="AD3944" t="s">
        <v>48</v>
      </c>
      <c r="AG3944" t="str">
        <f>IF(AD3944="United States", IFERROR(INDEX(Sheet2!$C:$C, MATCH(AE3944&amp;AF3944, Sheet2!$E:$E, 0)) &amp; ", " &amp; INDEX(Sheet2!$D:$D, MATCH(AE3944&amp;AF3944, Sheet2!$E:$E, 0)), ""), "-")</f>
        <v/>
      </c>
    </row>
    <row r="3945" spans="1:33" x14ac:dyDescent="0.25">
      <c r="A3945" t="s">
        <v>5819</v>
      </c>
      <c r="B3945" t="s">
        <v>5831</v>
      </c>
      <c r="C3945" t="s">
        <v>5821</v>
      </c>
      <c r="D3945" t="s">
        <v>114</v>
      </c>
      <c r="E3945" t="s">
        <v>38</v>
      </c>
      <c r="F3945">
        <v>1766</v>
      </c>
      <c r="G3945">
        <v>2220</v>
      </c>
      <c r="H3945" t="s">
        <v>2600</v>
      </c>
      <c r="I3945" t="s">
        <v>87</v>
      </c>
      <c r="J3945" t="s">
        <v>38</v>
      </c>
      <c r="K3945" t="s">
        <v>38</v>
      </c>
      <c r="L3945" t="s">
        <v>38</v>
      </c>
      <c r="M3945" t="s">
        <v>38</v>
      </c>
      <c r="N3945" t="s">
        <v>38</v>
      </c>
      <c r="O3945" t="s">
        <v>74</v>
      </c>
      <c r="P3945" t="s">
        <v>42</v>
      </c>
      <c r="Q3945" t="s">
        <v>43</v>
      </c>
      <c r="R3945" t="s">
        <v>4594</v>
      </c>
      <c r="S3945" t="s">
        <v>38</v>
      </c>
      <c r="T3945" t="s">
        <v>4594</v>
      </c>
      <c r="U3945" t="s">
        <v>5822</v>
      </c>
      <c r="V3945" t="s">
        <v>38</v>
      </c>
      <c r="W3945" t="s">
        <v>92</v>
      </c>
      <c r="X3945" t="s">
        <v>38</v>
      </c>
      <c r="Y3945" t="s">
        <v>5832</v>
      </c>
      <c r="Z3945" t="s">
        <v>42</v>
      </c>
      <c r="AA3945" t="s">
        <v>38</v>
      </c>
      <c r="AB3945" t="s">
        <v>38</v>
      </c>
      <c r="AC3945" t="s">
        <v>38</v>
      </c>
      <c r="AD3945" t="s">
        <v>48</v>
      </c>
      <c r="AG3945" t="str">
        <f>IF(AD3945="United States", IFERROR(INDEX(Sheet2!$C:$C, MATCH(AE3945&amp;AF3945, Sheet2!$E:$E, 0)) &amp; ", " &amp; INDEX(Sheet2!$D:$D, MATCH(AE3945&amp;AF3945, Sheet2!$E:$E, 0)), ""), "-")</f>
        <v/>
      </c>
    </row>
    <row r="3946" spans="1:33" x14ac:dyDescent="0.25">
      <c r="A3946" t="s">
        <v>5833</v>
      </c>
      <c r="B3946" t="s">
        <v>5834</v>
      </c>
      <c r="C3946" t="s">
        <v>5835</v>
      </c>
      <c r="D3946" t="s">
        <v>1778</v>
      </c>
      <c r="E3946" t="s">
        <v>1779</v>
      </c>
      <c r="F3946">
        <v>1768</v>
      </c>
      <c r="G3946">
        <v>2704</v>
      </c>
      <c r="I3946" t="s">
        <v>80</v>
      </c>
      <c r="J3946" t="s">
        <v>38</v>
      </c>
      <c r="M3946" t="s">
        <v>835</v>
      </c>
      <c r="N3946" t="s">
        <v>1432</v>
      </c>
      <c r="O3946" t="s">
        <v>74</v>
      </c>
      <c r="P3946" t="s">
        <v>42</v>
      </c>
      <c r="Q3946" t="s">
        <v>43</v>
      </c>
      <c r="R3946" t="s">
        <v>1781</v>
      </c>
      <c r="S3946" t="s">
        <v>89</v>
      </c>
      <c r="V3946" t="s">
        <v>5836</v>
      </c>
      <c r="Y3946" t="s">
        <v>38</v>
      </c>
      <c r="Z3946" t="s">
        <v>42</v>
      </c>
      <c r="AA3946" t="s">
        <v>1782</v>
      </c>
      <c r="AB3946" t="s">
        <v>1783</v>
      </c>
      <c r="AC3946" t="s">
        <v>89</v>
      </c>
      <c r="AD3946" t="s">
        <v>48</v>
      </c>
      <c r="AG3946" t="str">
        <f>IF(AD3946="United States", IFERROR(INDEX(Sheet2!$C:$C, MATCH(AE3946&amp;AF3946, Sheet2!$E:$E, 0)) &amp; ", " &amp; INDEX(Sheet2!$D:$D, MATCH(AE3946&amp;AF3946, Sheet2!$E:$E, 0)), ""), "-")</f>
        <v/>
      </c>
    </row>
    <row r="3947" spans="1:33" x14ac:dyDescent="0.25">
      <c r="A3947" t="s">
        <v>5833</v>
      </c>
      <c r="B3947" t="s">
        <v>5837</v>
      </c>
      <c r="C3947" t="s">
        <v>5835</v>
      </c>
      <c r="D3947" t="s">
        <v>177</v>
      </c>
      <c r="E3947" t="s">
        <v>38</v>
      </c>
      <c r="F3947">
        <v>1758</v>
      </c>
      <c r="G3947">
        <v>1162</v>
      </c>
      <c r="H3947" t="s">
        <v>610</v>
      </c>
      <c r="I3947" t="s">
        <v>80</v>
      </c>
      <c r="J3947" t="s">
        <v>38</v>
      </c>
      <c r="K3947" t="s">
        <v>38</v>
      </c>
      <c r="L3947" t="s">
        <v>38</v>
      </c>
      <c r="M3947" t="s">
        <v>38</v>
      </c>
      <c r="N3947" t="s">
        <v>38</v>
      </c>
      <c r="O3947" t="s">
        <v>41</v>
      </c>
      <c r="P3947" t="s">
        <v>42</v>
      </c>
      <c r="Q3947" t="s">
        <v>43</v>
      </c>
      <c r="R3947" t="s">
        <v>89</v>
      </c>
      <c r="S3947" t="s">
        <v>38</v>
      </c>
      <c r="T3947" t="s">
        <v>89</v>
      </c>
      <c r="U3947" t="s">
        <v>301</v>
      </c>
      <c r="V3947" t="s">
        <v>38</v>
      </c>
      <c r="W3947" t="s">
        <v>92</v>
      </c>
      <c r="X3947" t="s">
        <v>302</v>
      </c>
      <c r="Y3947" t="s">
        <v>5838</v>
      </c>
      <c r="Z3947" t="s">
        <v>42</v>
      </c>
      <c r="AA3947" t="s">
        <v>38</v>
      </c>
      <c r="AB3947" t="s">
        <v>38</v>
      </c>
      <c r="AC3947" t="s">
        <v>637</v>
      </c>
      <c r="AD3947" t="s">
        <v>48</v>
      </c>
      <c r="AG3947" t="str">
        <f>IF(AD3947="United States", IFERROR(INDEX(Sheet2!$C:$C, MATCH(AE3947&amp;AF3947, Sheet2!$E:$E, 0)) &amp; ", " &amp; INDEX(Sheet2!$D:$D, MATCH(AE3947&amp;AF3947, Sheet2!$E:$E, 0)), ""), "-")</f>
        <v/>
      </c>
    </row>
    <row r="3948" spans="1:33" x14ac:dyDescent="0.25">
      <c r="A3948" t="s">
        <v>5833</v>
      </c>
      <c r="B3948" t="s">
        <v>5839</v>
      </c>
      <c r="C3948" t="s">
        <v>5835</v>
      </c>
      <c r="D3948" t="s">
        <v>1107</v>
      </c>
      <c r="E3948" t="s">
        <v>38</v>
      </c>
      <c r="F3948">
        <v>1760</v>
      </c>
      <c r="G3948">
        <v>1161</v>
      </c>
      <c r="H3948" t="s">
        <v>610</v>
      </c>
      <c r="I3948" t="s">
        <v>80</v>
      </c>
      <c r="J3948" t="s">
        <v>38</v>
      </c>
      <c r="K3948" t="s">
        <v>38</v>
      </c>
      <c r="L3948" t="s">
        <v>38</v>
      </c>
      <c r="M3948" t="s">
        <v>38</v>
      </c>
      <c r="N3948" t="s">
        <v>38</v>
      </c>
      <c r="O3948" t="s">
        <v>41</v>
      </c>
      <c r="P3948" t="s">
        <v>42</v>
      </c>
      <c r="Q3948" t="s">
        <v>43</v>
      </c>
      <c r="R3948" t="s">
        <v>89</v>
      </c>
      <c r="S3948" t="s">
        <v>38</v>
      </c>
      <c r="T3948" t="s">
        <v>89</v>
      </c>
      <c r="U3948" t="s">
        <v>301</v>
      </c>
      <c r="V3948" t="s">
        <v>38</v>
      </c>
      <c r="W3948" t="s">
        <v>92</v>
      </c>
      <c r="X3948" t="s">
        <v>302</v>
      </c>
      <c r="Y3948" t="s">
        <v>38</v>
      </c>
      <c r="Z3948" t="s">
        <v>42</v>
      </c>
      <c r="AA3948" t="s">
        <v>38</v>
      </c>
      <c r="AB3948" t="s">
        <v>38</v>
      </c>
      <c r="AC3948" t="s">
        <v>38</v>
      </c>
      <c r="AD3948" t="s">
        <v>48</v>
      </c>
      <c r="AG3948" t="str">
        <f>IF(AD3948="United States", IFERROR(INDEX(Sheet2!$C:$C, MATCH(AE3948&amp;AF3948, Sheet2!$E:$E, 0)) &amp; ", " &amp; INDEX(Sheet2!$D:$D, MATCH(AE3948&amp;AF3948, Sheet2!$E:$E, 0)), ""), "-")</f>
        <v/>
      </c>
    </row>
    <row r="3949" spans="1:33" x14ac:dyDescent="0.25">
      <c r="A3949" t="s">
        <v>5833</v>
      </c>
      <c r="B3949" t="s">
        <v>5840</v>
      </c>
      <c r="C3949" t="s">
        <v>5835</v>
      </c>
      <c r="D3949" t="s">
        <v>190</v>
      </c>
      <c r="E3949" t="s">
        <v>38</v>
      </c>
      <c r="F3949">
        <v>1767</v>
      </c>
      <c r="G3949">
        <v>1160</v>
      </c>
      <c r="H3949" t="s">
        <v>610</v>
      </c>
      <c r="I3949" t="s">
        <v>80</v>
      </c>
      <c r="J3949" t="s">
        <v>38</v>
      </c>
      <c r="K3949" t="s">
        <v>38</v>
      </c>
      <c r="L3949" t="s">
        <v>38</v>
      </c>
      <c r="M3949" t="s">
        <v>38</v>
      </c>
      <c r="N3949" t="s">
        <v>38</v>
      </c>
      <c r="O3949" t="s">
        <v>74</v>
      </c>
      <c r="P3949" t="s">
        <v>42</v>
      </c>
      <c r="Q3949" t="s">
        <v>43</v>
      </c>
      <c r="R3949" t="s">
        <v>89</v>
      </c>
      <c r="S3949" t="s">
        <v>38</v>
      </c>
      <c r="T3949" t="s">
        <v>89</v>
      </c>
      <c r="U3949" t="s">
        <v>301</v>
      </c>
      <c r="V3949" t="s">
        <v>38</v>
      </c>
      <c r="W3949" t="s">
        <v>92</v>
      </c>
      <c r="X3949" t="s">
        <v>302</v>
      </c>
      <c r="Y3949" t="s">
        <v>5841</v>
      </c>
      <c r="Z3949" t="s">
        <v>42</v>
      </c>
      <c r="AA3949" t="s">
        <v>38</v>
      </c>
      <c r="AB3949" t="s">
        <v>38</v>
      </c>
      <c r="AC3949" t="s">
        <v>1462</v>
      </c>
      <c r="AD3949" t="s">
        <v>1462</v>
      </c>
      <c r="AG3949" t="str">
        <f>IF(AD3949="United States", IFERROR(INDEX(Sheet2!$C:$C, MATCH(AE3949&amp;AF3949, Sheet2!$E:$E, 0)) &amp; ", " &amp; INDEX(Sheet2!$D:$D, MATCH(AE3949&amp;AF3949, Sheet2!$E:$E, 0)), ""), "61.0666922, -107.991707")</f>
        <v>61.0666922, -107.991707</v>
      </c>
    </row>
    <row r="3950" spans="1:33" x14ac:dyDescent="0.25">
      <c r="A3950" t="s">
        <v>5833</v>
      </c>
      <c r="B3950" t="s">
        <v>5837</v>
      </c>
      <c r="C3950" t="s">
        <v>5835</v>
      </c>
      <c r="D3950" t="s">
        <v>177</v>
      </c>
      <c r="E3950" t="s">
        <v>38</v>
      </c>
      <c r="F3950">
        <v>1758</v>
      </c>
      <c r="G3950">
        <v>886</v>
      </c>
      <c r="H3950" t="s">
        <v>610</v>
      </c>
      <c r="I3950" t="s">
        <v>80</v>
      </c>
      <c r="J3950" t="s">
        <v>38</v>
      </c>
      <c r="K3950" t="s">
        <v>38</v>
      </c>
      <c r="L3950" t="s">
        <v>38</v>
      </c>
      <c r="M3950" t="s">
        <v>38</v>
      </c>
      <c r="N3950" t="s">
        <v>38</v>
      </c>
      <c r="O3950" t="s">
        <v>41</v>
      </c>
      <c r="P3950" t="s">
        <v>42</v>
      </c>
      <c r="Q3950" t="s">
        <v>43</v>
      </c>
      <c r="R3950" t="s">
        <v>89</v>
      </c>
      <c r="S3950" t="s">
        <v>38</v>
      </c>
      <c r="T3950" t="s">
        <v>89</v>
      </c>
      <c r="U3950" t="s">
        <v>301</v>
      </c>
      <c r="V3950" t="s">
        <v>38</v>
      </c>
      <c r="W3950" t="s">
        <v>92</v>
      </c>
      <c r="X3950" t="s">
        <v>302</v>
      </c>
      <c r="Y3950" t="s">
        <v>5838</v>
      </c>
      <c r="Z3950" t="s">
        <v>42</v>
      </c>
      <c r="AA3950" t="s">
        <v>38</v>
      </c>
      <c r="AB3950" t="s">
        <v>38</v>
      </c>
      <c r="AC3950" t="s">
        <v>637</v>
      </c>
      <c r="AD3950" t="s">
        <v>48</v>
      </c>
      <c r="AG3950" t="str">
        <f>IF(AD3950="United States", IFERROR(INDEX(Sheet2!$C:$C, MATCH(AE3950&amp;AF3950, Sheet2!$E:$E, 0)) &amp; ", " &amp; INDEX(Sheet2!$D:$D, MATCH(AE3950&amp;AF3950, Sheet2!$E:$E, 0)), ""), "-")</f>
        <v/>
      </c>
    </row>
    <row r="3951" spans="1:33" x14ac:dyDescent="0.25">
      <c r="A3951" t="s">
        <v>5833</v>
      </c>
      <c r="B3951" t="s">
        <v>5842</v>
      </c>
      <c r="C3951" t="s">
        <v>5835</v>
      </c>
      <c r="D3951" t="s">
        <v>5843</v>
      </c>
      <c r="E3951" t="s">
        <v>5844</v>
      </c>
      <c r="F3951" t="s">
        <v>38</v>
      </c>
      <c r="G3951">
        <v>2705</v>
      </c>
      <c r="I3951" t="s">
        <v>80</v>
      </c>
      <c r="J3951" t="s">
        <v>38</v>
      </c>
      <c r="O3951" t="s">
        <v>41</v>
      </c>
      <c r="P3951" t="s">
        <v>42</v>
      </c>
      <c r="Q3951" t="s">
        <v>43</v>
      </c>
      <c r="V3951" t="s">
        <v>5836</v>
      </c>
      <c r="Y3951" t="s">
        <v>38</v>
      </c>
      <c r="Z3951" t="s">
        <v>42</v>
      </c>
      <c r="AA3951" t="s">
        <v>38</v>
      </c>
      <c r="AB3951" t="s">
        <v>38</v>
      </c>
      <c r="AC3951" t="s">
        <v>38</v>
      </c>
      <c r="AD3951" t="s">
        <v>48</v>
      </c>
      <c r="AG3951" t="str">
        <f>IF(AD3951="United States", IFERROR(INDEX(Sheet2!$C:$C, MATCH(AE3951&amp;AF3951, Sheet2!$E:$E, 0)) &amp; ", " &amp; INDEX(Sheet2!$D:$D, MATCH(AE3951&amp;AF3951, Sheet2!$E:$E, 0)), ""), "-")</f>
        <v/>
      </c>
    </row>
    <row r="3952" spans="1:33" x14ac:dyDescent="0.25">
      <c r="A3952" t="s">
        <v>5833</v>
      </c>
      <c r="B3952" t="s">
        <v>5840</v>
      </c>
      <c r="C3952" t="s">
        <v>5835</v>
      </c>
      <c r="D3952" t="s">
        <v>190</v>
      </c>
      <c r="E3952" t="s">
        <v>38</v>
      </c>
      <c r="F3952">
        <v>1767</v>
      </c>
      <c r="G3952">
        <v>884</v>
      </c>
      <c r="H3952" t="s">
        <v>610</v>
      </c>
      <c r="I3952" t="s">
        <v>80</v>
      </c>
      <c r="J3952" t="s">
        <v>38</v>
      </c>
      <c r="K3952" t="s">
        <v>38</v>
      </c>
      <c r="L3952" t="s">
        <v>38</v>
      </c>
      <c r="M3952" t="s">
        <v>38</v>
      </c>
      <c r="N3952" t="s">
        <v>38</v>
      </c>
      <c r="O3952" t="s">
        <v>74</v>
      </c>
      <c r="P3952" t="s">
        <v>42</v>
      </c>
      <c r="Q3952" t="s">
        <v>43</v>
      </c>
      <c r="R3952" t="s">
        <v>89</v>
      </c>
      <c r="S3952" t="s">
        <v>38</v>
      </c>
      <c r="T3952" t="s">
        <v>89</v>
      </c>
      <c r="U3952" t="s">
        <v>301</v>
      </c>
      <c r="V3952" t="s">
        <v>38</v>
      </c>
      <c r="W3952" t="s">
        <v>92</v>
      </c>
      <c r="X3952" t="s">
        <v>302</v>
      </c>
      <c r="Y3952" t="s">
        <v>5841</v>
      </c>
      <c r="Z3952" t="s">
        <v>42</v>
      </c>
      <c r="AA3952" t="s">
        <v>38</v>
      </c>
      <c r="AB3952" t="s">
        <v>38</v>
      </c>
      <c r="AC3952" t="s">
        <v>1462</v>
      </c>
      <c r="AD3952" t="s">
        <v>1462</v>
      </c>
      <c r="AG3952" t="str">
        <f>IF(AD3952="United States", IFERROR(INDEX(Sheet2!$C:$C, MATCH(AE3952&amp;AF3952, Sheet2!$E:$E, 0)) &amp; ", " &amp; INDEX(Sheet2!$D:$D, MATCH(AE3952&amp;AF3952, Sheet2!$E:$E, 0)), ""), "61.0666922, -107.991707")</f>
        <v>61.0666922, -107.991707</v>
      </c>
    </row>
    <row r="3953" spans="1:33" x14ac:dyDescent="0.25">
      <c r="A3953" t="s">
        <v>5833</v>
      </c>
      <c r="B3953" t="s">
        <v>5839</v>
      </c>
      <c r="C3953" t="s">
        <v>5835</v>
      </c>
      <c r="D3953" t="s">
        <v>1107</v>
      </c>
      <c r="E3953" t="s">
        <v>38</v>
      </c>
      <c r="F3953">
        <v>1760</v>
      </c>
      <c r="G3953">
        <v>885</v>
      </c>
      <c r="H3953" t="s">
        <v>610</v>
      </c>
      <c r="I3953" t="s">
        <v>80</v>
      </c>
      <c r="J3953" t="s">
        <v>38</v>
      </c>
      <c r="K3953" t="s">
        <v>38</v>
      </c>
      <c r="L3953" t="s">
        <v>38</v>
      </c>
      <c r="M3953" t="s">
        <v>38</v>
      </c>
      <c r="N3953" t="s">
        <v>38</v>
      </c>
      <c r="O3953" t="s">
        <v>41</v>
      </c>
      <c r="P3953" t="s">
        <v>42</v>
      </c>
      <c r="Q3953" t="s">
        <v>43</v>
      </c>
      <c r="R3953" t="s">
        <v>89</v>
      </c>
      <c r="S3953" t="s">
        <v>38</v>
      </c>
      <c r="T3953" t="s">
        <v>89</v>
      </c>
      <c r="U3953" t="s">
        <v>301</v>
      </c>
      <c r="V3953" t="s">
        <v>38</v>
      </c>
      <c r="W3953" t="s">
        <v>92</v>
      </c>
      <c r="X3953" t="s">
        <v>302</v>
      </c>
      <c r="Y3953" t="s">
        <v>38</v>
      </c>
      <c r="Z3953" t="s">
        <v>42</v>
      </c>
      <c r="AA3953" t="s">
        <v>38</v>
      </c>
      <c r="AB3953" t="s">
        <v>38</v>
      </c>
      <c r="AC3953" t="s">
        <v>38</v>
      </c>
      <c r="AD3953" t="s">
        <v>48</v>
      </c>
      <c r="AG3953" t="str">
        <f>IF(AD3953="United States", IFERROR(INDEX(Sheet2!$C:$C, MATCH(AE3953&amp;AF3953, Sheet2!$E:$E, 0)) &amp; ", " &amp; INDEX(Sheet2!$D:$D, MATCH(AE3953&amp;AF3953, Sheet2!$E:$E, 0)), ""), "-")</f>
        <v/>
      </c>
    </row>
    <row r="3954" spans="1:33" x14ac:dyDescent="0.25">
      <c r="A3954" t="s">
        <v>5833</v>
      </c>
      <c r="B3954" t="s">
        <v>5845</v>
      </c>
      <c r="C3954" t="s">
        <v>5835</v>
      </c>
      <c r="D3954" t="s">
        <v>63</v>
      </c>
      <c r="F3954">
        <v>1757</v>
      </c>
      <c r="G3954">
        <v>2703</v>
      </c>
      <c r="I3954" t="s">
        <v>80</v>
      </c>
      <c r="J3954" t="s">
        <v>38</v>
      </c>
      <c r="O3954" t="s">
        <v>41</v>
      </c>
      <c r="P3954" t="s">
        <v>42</v>
      </c>
      <c r="Q3954" t="s">
        <v>43</v>
      </c>
      <c r="V3954" t="s">
        <v>5836</v>
      </c>
      <c r="Y3954" t="s">
        <v>5841</v>
      </c>
      <c r="Z3954" t="s">
        <v>42</v>
      </c>
      <c r="AA3954" t="s">
        <v>637</v>
      </c>
      <c r="AB3954" t="s">
        <v>38</v>
      </c>
      <c r="AC3954" t="s">
        <v>1462</v>
      </c>
      <c r="AD3954" t="s">
        <v>1462</v>
      </c>
      <c r="AG3954" t="str">
        <f>IF(AD3954="United States", IFERROR(INDEX(Sheet2!$C:$C, MATCH(AE3954&amp;AF3954, Sheet2!$E:$E, 0)) &amp; ", " &amp; INDEX(Sheet2!$D:$D, MATCH(AE3954&amp;AF3954, Sheet2!$E:$E, 0)), ""), "-")</f>
        <v>-</v>
      </c>
    </row>
    <row r="3955" spans="1:33" x14ac:dyDescent="0.25">
      <c r="A3955" t="s">
        <v>5846</v>
      </c>
      <c r="D3955" t="s">
        <v>132</v>
      </c>
      <c r="E3955" t="s">
        <v>38</v>
      </c>
      <c r="F3955">
        <v>1758</v>
      </c>
      <c r="G3955">
        <v>715</v>
      </c>
      <c r="H3955">
        <v>34</v>
      </c>
      <c r="J3955" t="s">
        <v>529</v>
      </c>
      <c r="O3955" t="s">
        <v>41</v>
      </c>
      <c r="V3955" t="s">
        <v>111</v>
      </c>
      <c r="W3955" t="s">
        <v>92</v>
      </c>
      <c r="Y3955" t="s">
        <v>38</v>
      </c>
      <c r="AA3955" t="s">
        <v>38</v>
      </c>
      <c r="AB3955" t="s">
        <v>38</v>
      </c>
      <c r="AC3955" t="s">
        <v>38</v>
      </c>
      <c r="AD3955" t="s">
        <v>48</v>
      </c>
      <c r="AG3955" t="str">
        <f>IF(AD3955="United States", IFERROR(INDEX(Sheet2!$C:$C, MATCH(AE3955&amp;AF3955, Sheet2!$E:$E, 0)) &amp; ", " &amp; INDEX(Sheet2!$D:$D, MATCH(AE3955&amp;AF3955, Sheet2!$E:$E, 0)), ""), "-")</f>
        <v/>
      </c>
    </row>
    <row r="3956" spans="1:33" x14ac:dyDescent="0.25">
      <c r="A3956" t="s">
        <v>5846</v>
      </c>
      <c r="D3956" t="s">
        <v>361</v>
      </c>
      <c r="E3956" t="s">
        <v>5847</v>
      </c>
      <c r="F3956">
        <v>1733</v>
      </c>
      <c r="G3956">
        <v>716</v>
      </c>
      <c r="H3956">
        <v>34</v>
      </c>
      <c r="J3956" t="s">
        <v>529</v>
      </c>
      <c r="O3956" t="s">
        <v>41</v>
      </c>
      <c r="V3956" t="s">
        <v>111</v>
      </c>
      <c r="W3956" t="s">
        <v>92</v>
      </c>
      <c r="Y3956" t="s">
        <v>38</v>
      </c>
      <c r="AA3956" t="s">
        <v>38</v>
      </c>
      <c r="AB3956" t="s">
        <v>38</v>
      </c>
      <c r="AC3956" t="s">
        <v>38</v>
      </c>
      <c r="AD3956" t="s">
        <v>48</v>
      </c>
      <c r="AG3956" t="str">
        <f>IF(AD3956="United States", IFERROR(INDEX(Sheet2!$C:$C, MATCH(AE3956&amp;AF3956, Sheet2!$E:$E, 0)) &amp; ", " &amp; INDEX(Sheet2!$D:$D, MATCH(AE3956&amp;AF3956, Sheet2!$E:$E, 0)), ""), "-")</f>
        <v/>
      </c>
    </row>
    <row r="3957" spans="1:33" x14ac:dyDescent="0.25">
      <c r="A3957" t="s">
        <v>5846</v>
      </c>
      <c r="D3957" t="s">
        <v>4182</v>
      </c>
      <c r="E3957" t="s">
        <v>5847</v>
      </c>
      <c r="F3957">
        <v>1738</v>
      </c>
      <c r="G3957">
        <v>717</v>
      </c>
      <c r="H3957">
        <v>34</v>
      </c>
      <c r="J3957" t="s">
        <v>529</v>
      </c>
      <c r="O3957" t="s">
        <v>57</v>
      </c>
      <c r="V3957" t="s">
        <v>111</v>
      </c>
      <c r="W3957" t="s">
        <v>92</v>
      </c>
      <c r="Y3957" t="s">
        <v>38</v>
      </c>
      <c r="AA3957" t="s">
        <v>38</v>
      </c>
      <c r="AB3957" t="s">
        <v>38</v>
      </c>
      <c r="AC3957" t="s">
        <v>38</v>
      </c>
      <c r="AD3957" t="s">
        <v>48</v>
      </c>
      <c r="AG3957" t="str">
        <f>IF(AD3957="United States", IFERROR(INDEX(Sheet2!$C:$C, MATCH(AE3957&amp;AF3957, Sheet2!$E:$E, 0)) &amp; ", " &amp; INDEX(Sheet2!$D:$D, MATCH(AE3957&amp;AF3957, Sheet2!$E:$E, 0)), ""), "-")</f>
        <v/>
      </c>
    </row>
    <row r="3958" spans="1:33" x14ac:dyDescent="0.25">
      <c r="A3958" t="s">
        <v>5846</v>
      </c>
      <c r="D3958" t="s">
        <v>220</v>
      </c>
      <c r="E3958" t="s">
        <v>5847</v>
      </c>
      <c r="F3958">
        <v>1778</v>
      </c>
      <c r="G3958">
        <v>718</v>
      </c>
      <c r="H3958">
        <v>34</v>
      </c>
      <c r="J3958" t="s">
        <v>529</v>
      </c>
      <c r="O3958" t="s">
        <v>54</v>
      </c>
      <c r="V3958" t="s">
        <v>111</v>
      </c>
      <c r="W3958" t="s">
        <v>92</v>
      </c>
      <c r="Y3958" t="s">
        <v>38</v>
      </c>
      <c r="AA3958" t="s">
        <v>38</v>
      </c>
      <c r="AB3958" t="s">
        <v>38</v>
      </c>
      <c r="AC3958" t="s">
        <v>38</v>
      </c>
      <c r="AD3958" t="s">
        <v>48</v>
      </c>
      <c r="AG3958" t="str">
        <f>IF(AD3958="United States", IFERROR(INDEX(Sheet2!$C:$C, MATCH(AE3958&amp;AF3958, Sheet2!$E:$E, 0)) &amp; ", " &amp; INDEX(Sheet2!$D:$D, MATCH(AE3958&amp;AF3958, Sheet2!$E:$E, 0)), ""), "-")</f>
        <v/>
      </c>
    </row>
    <row r="3959" spans="1:33" x14ac:dyDescent="0.25">
      <c r="A3959" t="s">
        <v>5846</v>
      </c>
      <c r="D3959" t="s">
        <v>120</v>
      </c>
      <c r="E3959" t="s">
        <v>5848</v>
      </c>
      <c r="F3959">
        <v>1753</v>
      </c>
      <c r="G3959">
        <v>712</v>
      </c>
      <c r="H3959">
        <v>34</v>
      </c>
      <c r="J3959" t="s">
        <v>529</v>
      </c>
      <c r="O3959" t="s">
        <v>41</v>
      </c>
      <c r="V3959" t="s">
        <v>111</v>
      </c>
      <c r="W3959" t="s">
        <v>92</v>
      </c>
      <c r="Y3959" t="s">
        <v>38</v>
      </c>
      <c r="AA3959" t="s">
        <v>38</v>
      </c>
      <c r="AB3959" t="s">
        <v>38</v>
      </c>
      <c r="AC3959" t="s">
        <v>38</v>
      </c>
      <c r="AD3959" t="s">
        <v>48</v>
      </c>
      <c r="AG3959" t="str">
        <f>IF(AD3959="United States", IFERROR(INDEX(Sheet2!$C:$C, MATCH(AE3959&amp;AF3959, Sheet2!$E:$E, 0)) &amp; ", " &amp; INDEX(Sheet2!$D:$D, MATCH(AE3959&amp;AF3959, Sheet2!$E:$E, 0)), ""), "-")</f>
        <v/>
      </c>
    </row>
    <row r="3960" spans="1:33" x14ac:dyDescent="0.25">
      <c r="A3960" t="s">
        <v>5846</v>
      </c>
      <c r="D3960" t="s">
        <v>1116</v>
      </c>
      <c r="E3960" t="s">
        <v>344</v>
      </c>
      <c r="F3960">
        <v>1763</v>
      </c>
      <c r="G3960">
        <v>714</v>
      </c>
      <c r="H3960">
        <v>34</v>
      </c>
      <c r="J3960" t="s">
        <v>529</v>
      </c>
      <c r="O3960" t="s">
        <v>41</v>
      </c>
      <c r="V3960" t="s">
        <v>111</v>
      </c>
      <c r="W3960" t="s">
        <v>92</v>
      </c>
      <c r="Y3960" t="s">
        <v>38</v>
      </c>
      <c r="AA3960" t="s">
        <v>38</v>
      </c>
      <c r="AB3960" t="s">
        <v>38</v>
      </c>
      <c r="AC3960" t="s">
        <v>38</v>
      </c>
      <c r="AD3960" t="s">
        <v>48</v>
      </c>
      <c r="AG3960" t="str">
        <f>IF(AD3960="United States", IFERROR(INDEX(Sheet2!$C:$C, MATCH(AE3960&amp;AF3960, Sheet2!$E:$E, 0)) &amp; ", " &amp; INDEX(Sheet2!$D:$D, MATCH(AE3960&amp;AF3960, Sheet2!$E:$E, 0)), ""), "-")</f>
        <v/>
      </c>
    </row>
    <row r="3961" spans="1:33" x14ac:dyDescent="0.25">
      <c r="A3961" t="s">
        <v>5846</v>
      </c>
      <c r="D3961" t="s">
        <v>36</v>
      </c>
      <c r="E3961" t="s">
        <v>986</v>
      </c>
      <c r="F3961">
        <v>1758</v>
      </c>
      <c r="G3961">
        <v>713</v>
      </c>
      <c r="H3961">
        <v>34</v>
      </c>
      <c r="J3961" t="s">
        <v>529</v>
      </c>
      <c r="O3961" t="s">
        <v>41</v>
      </c>
      <c r="V3961" t="s">
        <v>111</v>
      </c>
      <c r="W3961" t="s">
        <v>92</v>
      </c>
      <c r="Y3961" t="s">
        <v>38</v>
      </c>
      <c r="AA3961" t="s">
        <v>38</v>
      </c>
      <c r="AB3961" t="s">
        <v>38</v>
      </c>
      <c r="AC3961" t="s">
        <v>38</v>
      </c>
      <c r="AD3961" t="s">
        <v>48</v>
      </c>
      <c r="AG3961" t="str">
        <f>IF(AD3961="United States", IFERROR(INDEX(Sheet2!$C:$C, MATCH(AE3961&amp;AF3961, Sheet2!$E:$E, 0)) &amp; ", " &amp; INDEX(Sheet2!$D:$D, MATCH(AE3961&amp;AF3961, Sheet2!$E:$E, 0)), ""), "-")</f>
        <v/>
      </c>
    </row>
    <row r="3962" spans="1:33" x14ac:dyDescent="0.25">
      <c r="A3962" t="s">
        <v>5849</v>
      </c>
      <c r="B3962" t="s">
        <v>5850</v>
      </c>
      <c r="C3962" t="s">
        <v>5851</v>
      </c>
      <c r="D3962" t="s">
        <v>1573</v>
      </c>
      <c r="F3962" t="s">
        <v>38</v>
      </c>
      <c r="G3962">
        <v>2721</v>
      </c>
      <c r="I3962" t="s">
        <v>80</v>
      </c>
      <c r="J3962" t="s">
        <v>38</v>
      </c>
      <c r="O3962" t="s">
        <v>41</v>
      </c>
      <c r="P3962" t="s">
        <v>42</v>
      </c>
      <c r="Q3962" t="s">
        <v>43</v>
      </c>
      <c r="V3962" t="s">
        <v>91</v>
      </c>
      <c r="Y3962" t="s">
        <v>5852</v>
      </c>
      <c r="Z3962" t="s">
        <v>42</v>
      </c>
      <c r="AA3962" t="s">
        <v>38</v>
      </c>
      <c r="AB3962" t="s">
        <v>38</v>
      </c>
      <c r="AC3962" t="s">
        <v>38</v>
      </c>
      <c r="AD3962" t="s">
        <v>48</v>
      </c>
      <c r="AG3962" t="str">
        <f>IF(AD3962="United States", IFERROR(INDEX(Sheet2!$C:$C, MATCH(AE3962&amp;AF3962, Sheet2!$E:$E, 0)) &amp; ", " &amp; INDEX(Sheet2!$D:$D, MATCH(AE3962&amp;AF3962, Sheet2!$E:$E, 0)), ""), "-")</f>
        <v/>
      </c>
    </row>
    <row r="3963" spans="1:33" x14ac:dyDescent="0.25">
      <c r="A3963" t="s">
        <v>5849</v>
      </c>
      <c r="B3963" t="s">
        <v>5853</v>
      </c>
      <c r="C3963" t="s">
        <v>5854</v>
      </c>
      <c r="D3963" t="s">
        <v>120</v>
      </c>
      <c r="E3963" t="s">
        <v>5848</v>
      </c>
      <c r="F3963">
        <v>1753</v>
      </c>
      <c r="G3963">
        <v>648</v>
      </c>
      <c r="H3963" t="s">
        <v>38</v>
      </c>
      <c r="I3963" t="s">
        <v>39</v>
      </c>
      <c r="J3963" t="s">
        <v>529</v>
      </c>
      <c r="K3963" t="s">
        <v>38</v>
      </c>
      <c r="L3963" t="s">
        <v>38</v>
      </c>
      <c r="M3963" t="s">
        <v>38</v>
      </c>
      <c r="N3963" t="s">
        <v>38</v>
      </c>
      <c r="O3963" t="s">
        <v>41</v>
      </c>
      <c r="P3963" t="s">
        <v>42</v>
      </c>
      <c r="Q3963" t="s">
        <v>43</v>
      </c>
      <c r="R3963" t="s">
        <v>38</v>
      </c>
      <c r="S3963" t="s">
        <v>89</v>
      </c>
      <c r="T3963" t="s">
        <v>38</v>
      </c>
      <c r="U3963" t="s">
        <v>38</v>
      </c>
      <c r="V3963" t="s">
        <v>91</v>
      </c>
      <c r="W3963" t="s">
        <v>38</v>
      </c>
      <c r="X3963" t="s">
        <v>38</v>
      </c>
      <c r="Y3963" t="s">
        <v>5855</v>
      </c>
      <c r="Z3963" t="s">
        <v>42</v>
      </c>
      <c r="AA3963" t="s">
        <v>120</v>
      </c>
      <c r="AB3963" t="s">
        <v>38</v>
      </c>
      <c r="AC3963" t="s">
        <v>5848</v>
      </c>
      <c r="AD3963" t="s">
        <v>48</v>
      </c>
      <c r="AG3963" t="str">
        <f>IF(AD3963="United States", IFERROR(INDEX(Sheet2!$C:$C, MATCH(AE3963&amp;AF3963, Sheet2!$E:$E, 0)) &amp; ", " &amp; INDEX(Sheet2!$D:$D, MATCH(AE3963&amp;AF3963, Sheet2!$E:$E, 0)), ""), "-")</f>
        <v/>
      </c>
    </row>
    <row r="3964" spans="1:33" x14ac:dyDescent="0.25">
      <c r="A3964" t="s">
        <v>5849</v>
      </c>
      <c r="B3964" t="s">
        <v>5856</v>
      </c>
      <c r="C3964" t="s">
        <v>5854</v>
      </c>
      <c r="D3964" t="s">
        <v>36</v>
      </c>
      <c r="E3964" t="s">
        <v>986</v>
      </c>
      <c r="F3964">
        <v>1758</v>
      </c>
      <c r="G3964">
        <v>649</v>
      </c>
      <c r="H3964" t="s">
        <v>38</v>
      </c>
      <c r="I3964" t="s">
        <v>39</v>
      </c>
      <c r="J3964" t="s">
        <v>529</v>
      </c>
      <c r="K3964" t="s">
        <v>38</v>
      </c>
      <c r="L3964" t="s">
        <v>38</v>
      </c>
      <c r="M3964" t="s">
        <v>38</v>
      </c>
      <c r="N3964" t="s">
        <v>38</v>
      </c>
      <c r="O3964" t="s">
        <v>41</v>
      </c>
      <c r="P3964" t="s">
        <v>42</v>
      </c>
      <c r="Q3964" t="s">
        <v>43</v>
      </c>
      <c r="R3964" t="s">
        <v>38</v>
      </c>
      <c r="S3964" t="s">
        <v>38</v>
      </c>
      <c r="T3964" t="s">
        <v>38</v>
      </c>
      <c r="U3964" t="s">
        <v>38</v>
      </c>
      <c r="V3964" t="s">
        <v>91</v>
      </c>
      <c r="W3964" t="s">
        <v>38</v>
      </c>
      <c r="X3964" t="s">
        <v>38</v>
      </c>
      <c r="Y3964" t="s">
        <v>5857</v>
      </c>
      <c r="Z3964" t="s">
        <v>42</v>
      </c>
      <c r="AA3964" t="s">
        <v>5858</v>
      </c>
      <c r="AB3964" t="s">
        <v>38</v>
      </c>
      <c r="AC3964" t="s">
        <v>5859</v>
      </c>
      <c r="AD3964" t="s">
        <v>48</v>
      </c>
      <c r="AG3964" t="str">
        <f>IF(AD3964="United States", IFERROR(INDEX(Sheet2!$C:$C, MATCH(AE3964&amp;AF3964, Sheet2!$E:$E, 0)) &amp; ", " &amp; INDEX(Sheet2!$D:$D, MATCH(AE3964&amp;AF3964, Sheet2!$E:$E, 0)), ""), "-")</f>
        <v/>
      </c>
    </row>
    <row r="3965" spans="1:33" x14ac:dyDescent="0.25">
      <c r="A3965" t="s">
        <v>5849</v>
      </c>
      <c r="B3965" t="s">
        <v>5860</v>
      </c>
      <c r="C3965" t="s">
        <v>5854</v>
      </c>
      <c r="D3965" t="s">
        <v>1116</v>
      </c>
      <c r="E3965" t="s">
        <v>344</v>
      </c>
      <c r="F3965">
        <v>1763</v>
      </c>
      <c r="G3965">
        <v>650</v>
      </c>
      <c r="H3965" t="s">
        <v>38</v>
      </c>
      <c r="I3965" t="s">
        <v>39</v>
      </c>
      <c r="J3965" t="s">
        <v>529</v>
      </c>
      <c r="K3965" t="s">
        <v>38</v>
      </c>
      <c r="L3965" t="s">
        <v>38</v>
      </c>
      <c r="M3965" t="s">
        <v>38</v>
      </c>
      <c r="N3965" t="s">
        <v>38</v>
      </c>
      <c r="O3965" t="s">
        <v>41</v>
      </c>
      <c r="P3965" t="s">
        <v>42</v>
      </c>
      <c r="Q3965" t="s">
        <v>43</v>
      </c>
      <c r="R3965" t="s">
        <v>38</v>
      </c>
      <c r="S3965" t="s">
        <v>38</v>
      </c>
      <c r="T3965" t="s">
        <v>38</v>
      </c>
      <c r="U3965" t="s">
        <v>38</v>
      </c>
      <c r="V3965" t="s">
        <v>91</v>
      </c>
      <c r="W3965" t="s">
        <v>38</v>
      </c>
      <c r="X3965" t="s">
        <v>38</v>
      </c>
      <c r="Y3965" t="s">
        <v>5857</v>
      </c>
      <c r="Z3965" t="s">
        <v>42</v>
      </c>
      <c r="AA3965" t="s">
        <v>38</v>
      </c>
      <c r="AB3965" t="s">
        <v>38</v>
      </c>
      <c r="AC3965" t="s">
        <v>38</v>
      </c>
      <c r="AD3965" t="s">
        <v>48</v>
      </c>
      <c r="AG3965" t="str">
        <f>IF(AD3965="United States", IFERROR(INDEX(Sheet2!$C:$C, MATCH(AE3965&amp;AF3965, Sheet2!$E:$E, 0)) &amp; ", " &amp; INDEX(Sheet2!$D:$D, MATCH(AE3965&amp;AF3965, Sheet2!$E:$E, 0)), ""), "-")</f>
        <v/>
      </c>
    </row>
    <row r="3966" spans="1:33" x14ac:dyDescent="0.25">
      <c r="A3966" t="s">
        <v>5849</v>
      </c>
      <c r="B3966" t="s">
        <v>5861</v>
      </c>
      <c r="C3966" t="s">
        <v>5854</v>
      </c>
      <c r="D3966" t="s">
        <v>132</v>
      </c>
      <c r="E3966" t="s">
        <v>38</v>
      </c>
      <c r="F3966">
        <v>1758</v>
      </c>
      <c r="G3966">
        <v>651</v>
      </c>
      <c r="H3966" t="s">
        <v>38</v>
      </c>
      <c r="I3966" t="s">
        <v>39</v>
      </c>
      <c r="J3966" t="s">
        <v>529</v>
      </c>
      <c r="K3966" t="s">
        <v>38</v>
      </c>
      <c r="L3966" t="s">
        <v>38</v>
      </c>
      <c r="M3966" t="s">
        <v>38</v>
      </c>
      <c r="N3966" t="s">
        <v>38</v>
      </c>
      <c r="O3966" t="s">
        <v>41</v>
      </c>
      <c r="P3966" t="s">
        <v>42</v>
      </c>
      <c r="Q3966" t="s">
        <v>43</v>
      </c>
      <c r="R3966" t="s">
        <v>38</v>
      </c>
      <c r="S3966" t="s">
        <v>165</v>
      </c>
      <c r="T3966" t="s">
        <v>38</v>
      </c>
      <c r="U3966" t="s">
        <v>38</v>
      </c>
      <c r="V3966" t="s">
        <v>91</v>
      </c>
      <c r="W3966" t="s">
        <v>38</v>
      </c>
      <c r="X3966" t="s">
        <v>38</v>
      </c>
      <c r="Y3966" t="s">
        <v>5857</v>
      </c>
      <c r="Z3966" t="s">
        <v>42</v>
      </c>
      <c r="AA3966" t="s">
        <v>165</v>
      </c>
      <c r="AB3966" t="s">
        <v>38</v>
      </c>
      <c r="AC3966" t="s">
        <v>166</v>
      </c>
      <c r="AD3966" t="s">
        <v>48</v>
      </c>
      <c r="AG3966" t="str">
        <f>IF(AD3966="United States", IFERROR(INDEX(Sheet2!$C:$C, MATCH(AE3966&amp;AF3966, Sheet2!$E:$E, 0)) &amp; ", " &amp; INDEX(Sheet2!$D:$D, MATCH(AE3966&amp;AF3966, Sheet2!$E:$E, 0)), ""), "-")</f>
        <v/>
      </c>
    </row>
    <row r="3967" spans="1:33" x14ac:dyDescent="0.25">
      <c r="A3967" t="s">
        <v>5849</v>
      </c>
      <c r="B3967" t="s">
        <v>5862</v>
      </c>
      <c r="C3967" t="s">
        <v>5854</v>
      </c>
      <c r="D3967" t="s">
        <v>361</v>
      </c>
      <c r="E3967" t="s">
        <v>5847</v>
      </c>
      <c r="F3967">
        <v>1733</v>
      </c>
      <c r="G3967">
        <v>652</v>
      </c>
      <c r="H3967" t="s">
        <v>38</v>
      </c>
      <c r="I3967" t="s">
        <v>39</v>
      </c>
      <c r="J3967" t="s">
        <v>529</v>
      </c>
      <c r="K3967" t="s">
        <v>38</v>
      </c>
      <c r="L3967" t="s">
        <v>38</v>
      </c>
      <c r="M3967" t="s">
        <v>38</v>
      </c>
      <c r="N3967" t="s">
        <v>38</v>
      </c>
      <c r="O3967" t="s">
        <v>41</v>
      </c>
      <c r="P3967" t="s">
        <v>42</v>
      </c>
      <c r="Q3967" t="s">
        <v>43</v>
      </c>
      <c r="R3967" t="s">
        <v>38</v>
      </c>
      <c r="S3967" t="s">
        <v>38</v>
      </c>
      <c r="T3967" t="s">
        <v>38</v>
      </c>
      <c r="U3967" t="s">
        <v>38</v>
      </c>
      <c r="V3967" t="s">
        <v>91</v>
      </c>
      <c r="W3967" t="s">
        <v>38</v>
      </c>
      <c r="X3967" t="s">
        <v>38</v>
      </c>
      <c r="Y3967" t="s">
        <v>5863</v>
      </c>
      <c r="Z3967" t="s">
        <v>42</v>
      </c>
      <c r="AA3967" t="s">
        <v>627</v>
      </c>
      <c r="AB3967" t="s">
        <v>70</v>
      </c>
      <c r="AC3967" t="s">
        <v>627</v>
      </c>
      <c r="AD3967" t="s">
        <v>48</v>
      </c>
      <c r="AG3967" t="str">
        <f>IF(AD3967="United States", IFERROR(INDEX(Sheet2!$C:$C, MATCH(AE3967&amp;AF3967, Sheet2!$E:$E, 0)) &amp; ", " &amp; INDEX(Sheet2!$D:$D, MATCH(AE3967&amp;AF3967, Sheet2!$E:$E, 0)), ""), "-")</f>
        <v/>
      </c>
    </row>
    <row r="3968" spans="1:33" x14ac:dyDescent="0.25">
      <c r="A3968" t="s">
        <v>5849</v>
      </c>
      <c r="B3968" t="s">
        <v>5864</v>
      </c>
      <c r="C3968" t="s">
        <v>5854</v>
      </c>
      <c r="D3968" t="s">
        <v>1630</v>
      </c>
      <c r="E3968" t="s">
        <v>5847</v>
      </c>
      <c r="F3968">
        <v>1738</v>
      </c>
      <c r="G3968">
        <v>653</v>
      </c>
      <c r="H3968" t="s">
        <v>38</v>
      </c>
      <c r="I3968" t="s">
        <v>39</v>
      </c>
      <c r="J3968" t="s">
        <v>529</v>
      </c>
      <c r="K3968" t="s">
        <v>38</v>
      </c>
      <c r="L3968" t="s">
        <v>38</v>
      </c>
      <c r="M3968" t="s">
        <v>38</v>
      </c>
      <c r="N3968" t="s">
        <v>38</v>
      </c>
      <c r="O3968" t="s">
        <v>57</v>
      </c>
      <c r="P3968" t="s">
        <v>42</v>
      </c>
      <c r="Q3968" t="s">
        <v>43</v>
      </c>
      <c r="R3968" t="s">
        <v>38</v>
      </c>
      <c r="S3968" t="s">
        <v>38</v>
      </c>
      <c r="T3968" t="s">
        <v>38</v>
      </c>
      <c r="U3968" t="s">
        <v>38</v>
      </c>
      <c r="V3968" t="s">
        <v>91</v>
      </c>
      <c r="W3968" t="s">
        <v>38</v>
      </c>
      <c r="X3968" t="s">
        <v>38</v>
      </c>
      <c r="Y3968" t="s">
        <v>38</v>
      </c>
      <c r="Z3968" t="s">
        <v>42</v>
      </c>
      <c r="AA3968" t="s">
        <v>38</v>
      </c>
      <c r="AB3968" t="s">
        <v>38</v>
      </c>
      <c r="AC3968" t="s">
        <v>627</v>
      </c>
      <c r="AD3968" t="s">
        <v>48</v>
      </c>
      <c r="AG3968" t="str">
        <f>IF(AD3968="United States", IFERROR(INDEX(Sheet2!$C:$C, MATCH(AE3968&amp;AF3968, Sheet2!$E:$E, 0)) &amp; ", " &amp; INDEX(Sheet2!$D:$D, MATCH(AE3968&amp;AF3968, Sheet2!$E:$E, 0)), ""), "-")</f>
        <v/>
      </c>
    </row>
    <row r="3969" spans="1:33" x14ac:dyDescent="0.25">
      <c r="A3969" t="s">
        <v>5849</v>
      </c>
      <c r="B3969" t="s">
        <v>5865</v>
      </c>
      <c r="C3969" t="s">
        <v>5854</v>
      </c>
      <c r="D3969" t="s">
        <v>220</v>
      </c>
      <c r="E3969" t="s">
        <v>5847</v>
      </c>
      <c r="F3969">
        <v>1778</v>
      </c>
      <c r="G3969">
        <v>654</v>
      </c>
      <c r="H3969" t="s">
        <v>38</v>
      </c>
      <c r="I3969" t="s">
        <v>39</v>
      </c>
      <c r="J3969" t="s">
        <v>529</v>
      </c>
      <c r="K3969" t="s">
        <v>38</v>
      </c>
      <c r="L3969" t="s">
        <v>38</v>
      </c>
      <c r="M3969" t="s">
        <v>38</v>
      </c>
      <c r="N3969" t="s">
        <v>38</v>
      </c>
      <c r="O3969" t="s">
        <v>54</v>
      </c>
      <c r="P3969" t="s">
        <v>42</v>
      </c>
      <c r="Q3969" t="s">
        <v>43</v>
      </c>
      <c r="R3969" t="s">
        <v>38</v>
      </c>
      <c r="S3969" t="s">
        <v>38</v>
      </c>
      <c r="T3969" t="s">
        <v>38</v>
      </c>
      <c r="U3969" t="s">
        <v>38</v>
      </c>
      <c r="V3969" t="s">
        <v>91</v>
      </c>
      <c r="W3969" t="s">
        <v>38</v>
      </c>
      <c r="X3969" t="s">
        <v>38</v>
      </c>
      <c r="Y3969" t="s">
        <v>5866</v>
      </c>
      <c r="Z3969" t="s">
        <v>42</v>
      </c>
      <c r="AA3969" t="s">
        <v>38</v>
      </c>
      <c r="AB3969" t="s">
        <v>38</v>
      </c>
      <c r="AC3969" t="s">
        <v>38</v>
      </c>
      <c r="AD3969" t="s">
        <v>48</v>
      </c>
      <c r="AG3969" t="str">
        <f>IF(AD3969="United States", IFERROR(INDEX(Sheet2!$C:$C, MATCH(AE3969&amp;AF3969, Sheet2!$E:$E, 0)) &amp; ", " &amp; INDEX(Sheet2!$D:$D, MATCH(AE3969&amp;AF3969, Sheet2!$E:$E, 0)), ""), "-")</f>
        <v/>
      </c>
    </row>
    <row r="3970" spans="1:33" x14ac:dyDescent="0.25">
      <c r="A3970" t="s">
        <v>5849</v>
      </c>
      <c r="B3970" t="s">
        <v>5867</v>
      </c>
      <c r="C3970" t="s">
        <v>5851</v>
      </c>
      <c r="D3970" t="s">
        <v>5868</v>
      </c>
      <c r="E3970" t="s">
        <v>1515</v>
      </c>
      <c r="F3970">
        <v>1764</v>
      </c>
      <c r="G3970">
        <v>1975</v>
      </c>
      <c r="H3970" t="s">
        <v>398</v>
      </c>
      <c r="I3970" t="s">
        <v>80</v>
      </c>
      <c r="J3970" t="s">
        <v>38</v>
      </c>
      <c r="K3970" t="s">
        <v>38</v>
      </c>
      <c r="L3970" t="s">
        <v>38</v>
      </c>
      <c r="M3970" t="s">
        <v>38</v>
      </c>
      <c r="N3970" t="s">
        <v>38</v>
      </c>
      <c r="O3970" t="s">
        <v>41</v>
      </c>
      <c r="P3970" t="s">
        <v>42</v>
      </c>
      <c r="Q3970" t="s">
        <v>43</v>
      </c>
      <c r="R3970" t="s">
        <v>38</v>
      </c>
      <c r="S3970" t="s">
        <v>38</v>
      </c>
      <c r="T3970" t="s">
        <v>38</v>
      </c>
      <c r="U3970" t="s">
        <v>38</v>
      </c>
      <c r="V3970" t="s">
        <v>91</v>
      </c>
      <c r="W3970" t="s">
        <v>92</v>
      </c>
      <c r="X3970" t="s">
        <v>38</v>
      </c>
      <c r="Y3970" t="s">
        <v>5869</v>
      </c>
      <c r="Z3970" t="s">
        <v>42</v>
      </c>
      <c r="AA3970" t="s">
        <v>38</v>
      </c>
      <c r="AB3970" t="s">
        <v>38</v>
      </c>
      <c r="AC3970" t="s">
        <v>38</v>
      </c>
      <c r="AD3970" t="s">
        <v>48</v>
      </c>
      <c r="AG3970" t="str">
        <f>IF(AD3970="United States", IFERROR(INDEX(Sheet2!$C:$C, MATCH(AE3970&amp;AF3970, Sheet2!$E:$E, 0)) &amp; ", " &amp; INDEX(Sheet2!$D:$D, MATCH(AE3970&amp;AF3970, Sheet2!$E:$E, 0)), ""), "-")</f>
        <v/>
      </c>
    </row>
    <row r="3971" spans="1:33" x14ac:dyDescent="0.25">
      <c r="A3971" t="s">
        <v>5849</v>
      </c>
      <c r="B3971" t="s">
        <v>5870</v>
      </c>
      <c r="C3971" t="s">
        <v>5851</v>
      </c>
      <c r="D3971" t="s">
        <v>5871</v>
      </c>
      <c r="E3971" t="s">
        <v>38</v>
      </c>
      <c r="F3971">
        <v>1767</v>
      </c>
      <c r="G3971">
        <v>1974</v>
      </c>
      <c r="H3971" t="s">
        <v>398</v>
      </c>
      <c r="I3971" t="s">
        <v>80</v>
      </c>
      <c r="J3971" t="s">
        <v>38</v>
      </c>
      <c r="K3971" t="s">
        <v>38</v>
      </c>
      <c r="L3971" t="s">
        <v>38</v>
      </c>
      <c r="M3971" t="s">
        <v>38</v>
      </c>
      <c r="N3971" t="s">
        <v>38</v>
      </c>
      <c r="O3971" t="s">
        <v>54</v>
      </c>
      <c r="P3971" t="s">
        <v>42</v>
      </c>
      <c r="Q3971" t="s">
        <v>43</v>
      </c>
      <c r="R3971" t="s">
        <v>4956</v>
      </c>
      <c r="S3971" t="s">
        <v>153</v>
      </c>
      <c r="T3971" t="s">
        <v>38</v>
      </c>
      <c r="U3971" t="s">
        <v>38</v>
      </c>
      <c r="V3971" t="s">
        <v>91</v>
      </c>
      <c r="W3971" t="s">
        <v>92</v>
      </c>
      <c r="X3971" t="s">
        <v>38</v>
      </c>
      <c r="Y3971" t="s">
        <v>5852</v>
      </c>
      <c r="Z3971" t="s">
        <v>42</v>
      </c>
      <c r="AA3971" t="s">
        <v>38</v>
      </c>
      <c r="AB3971" t="s">
        <v>38</v>
      </c>
      <c r="AC3971" t="s">
        <v>153</v>
      </c>
      <c r="AD3971" t="s">
        <v>48</v>
      </c>
      <c r="AG3971" t="str">
        <f>IF(AD3971="United States", IFERROR(INDEX(Sheet2!$C:$C, MATCH(AE3971&amp;AF3971, Sheet2!$E:$E, 0)) &amp; ", " &amp; INDEX(Sheet2!$D:$D, MATCH(AE3971&amp;AF3971, Sheet2!$E:$E, 0)), ""), "-")</f>
        <v/>
      </c>
    </row>
    <row r="3972" spans="1:33" x14ac:dyDescent="0.25">
      <c r="A3972" t="s">
        <v>5849</v>
      </c>
      <c r="B3972" t="s">
        <v>5872</v>
      </c>
      <c r="C3972" t="s">
        <v>5851</v>
      </c>
      <c r="D3972" t="s">
        <v>5873</v>
      </c>
      <c r="E3972" t="s">
        <v>38</v>
      </c>
      <c r="F3972">
        <v>1762</v>
      </c>
      <c r="G3972">
        <v>1973</v>
      </c>
      <c r="H3972" t="s">
        <v>398</v>
      </c>
      <c r="I3972" t="s">
        <v>80</v>
      </c>
      <c r="J3972" t="s">
        <v>38</v>
      </c>
      <c r="K3972" t="s">
        <v>38</v>
      </c>
      <c r="L3972" t="s">
        <v>38</v>
      </c>
      <c r="M3972" t="s">
        <v>38</v>
      </c>
      <c r="N3972" t="s">
        <v>38</v>
      </c>
      <c r="O3972" t="s">
        <v>57</v>
      </c>
      <c r="P3972" t="s">
        <v>42</v>
      </c>
      <c r="Q3972" t="s">
        <v>43</v>
      </c>
      <c r="R3972" t="s">
        <v>4956</v>
      </c>
      <c r="S3972" t="s">
        <v>153</v>
      </c>
      <c r="T3972" t="s">
        <v>38</v>
      </c>
      <c r="U3972" t="s">
        <v>38</v>
      </c>
      <c r="V3972" t="s">
        <v>91</v>
      </c>
      <c r="W3972" t="s">
        <v>92</v>
      </c>
      <c r="X3972" t="s">
        <v>38</v>
      </c>
      <c r="Y3972" t="s">
        <v>5874</v>
      </c>
      <c r="Z3972" t="s">
        <v>42</v>
      </c>
      <c r="AA3972" t="s">
        <v>5873</v>
      </c>
      <c r="AB3972" t="s">
        <v>38</v>
      </c>
      <c r="AC3972" t="s">
        <v>153</v>
      </c>
      <c r="AD3972" t="s">
        <v>48</v>
      </c>
      <c r="AG3972" t="str">
        <f>IF(AD3972="United States", IFERROR(INDEX(Sheet2!$C:$C, MATCH(AE3972&amp;AF3972, Sheet2!$E:$E, 0)) &amp; ", " &amp; INDEX(Sheet2!$D:$D, MATCH(AE3972&amp;AF3972, Sheet2!$E:$E, 0)), ""), "-")</f>
        <v/>
      </c>
    </row>
    <row r="3973" spans="1:33" x14ac:dyDescent="0.25">
      <c r="A3973" t="s">
        <v>5849</v>
      </c>
      <c r="B3973" t="s">
        <v>5875</v>
      </c>
      <c r="C3973" t="s">
        <v>5851</v>
      </c>
      <c r="D3973" t="s">
        <v>445</v>
      </c>
      <c r="E3973" t="s">
        <v>38</v>
      </c>
      <c r="F3973">
        <v>1763</v>
      </c>
      <c r="G3973">
        <v>1972</v>
      </c>
      <c r="H3973" t="s">
        <v>398</v>
      </c>
      <c r="I3973" t="s">
        <v>80</v>
      </c>
      <c r="J3973" t="s">
        <v>38</v>
      </c>
      <c r="K3973" t="s">
        <v>38</v>
      </c>
      <c r="L3973" t="s">
        <v>38</v>
      </c>
      <c r="M3973" t="s">
        <v>38</v>
      </c>
      <c r="N3973" t="s">
        <v>38</v>
      </c>
      <c r="O3973" t="s">
        <v>57</v>
      </c>
      <c r="P3973" t="s">
        <v>42</v>
      </c>
      <c r="Q3973" t="s">
        <v>43</v>
      </c>
      <c r="R3973" t="s">
        <v>5876</v>
      </c>
      <c r="S3973" t="s">
        <v>201</v>
      </c>
      <c r="T3973" t="s">
        <v>38</v>
      </c>
      <c r="U3973" t="s">
        <v>38</v>
      </c>
      <c r="V3973" t="s">
        <v>91</v>
      </c>
      <c r="W3973" t="s">
        <v>92</v>
      </c>
      <c r="X3973" t="s">
        <v>38</v>
      </c>
      <c r="Y3973" t="s">
        <v>5877</v>
      </c>
      <c r="Z3973" t="s">
        <v>42</v>
      </c>
      <c r="AA3973" t="s">
        <v>214</v>
      </c>
      <c r="AB3973" t="s">
        <v>38</v>
      </c>
      <c r="AC3973" t="s">
        <v>201</v>
      </c>
      <c r="AD3973" t="s">
        <v>48</v>
      </c>
      <c r="AG3973" t="str">
        <f>IF(AD3973="United States", IFERROR(INDEX(Sheet2!$C:$C, MATCH(AE3973&amp;AF3973, Sheet2!$E:$E, 0)) &amp; ", " &amp; INDEX(Sheet2!$D:$D, MATCH(AE3973&amp;AF3973, Sheet2!$E:$E, 0)), ""), "-")</f>
        <v/>
      </c>
    </row>
    <row r="3974" spans="1:33" x14ac:dyDescent="0.25">
      <c r="A3974" t="s">
        <v>5878</v>
      </c>
      <c r="B3974" t="s">
        <v>5879</v>
      </c>
      <c r="C3974" t="s">
        <v>5880</v>
      </c>
      <c r="D3974" t="s">
        <v>63</v>
      </c>
      <c r="E3974" t="s">
        <v>2586</v>
      </c>
      <c r="F3974">
        <v>1756</v>
      </c>
      <c r="G3974">
        <v>601</v>
      </c>
      <c r="H3974" t="s">
        <v>1810</v>
      </c>
      <c r="I3974" t="s">
        <v>39</v>
      </c>
      <c r="J3974" t="s">
        <v>5881</v>
      </c>
      <c r="K3974" t="s">
        <v>38</v>
      </c>
      <c r="L3974" t="s">
        <v>38</v>
      </c>
      <c r="M3974" t="s">
        <v>38</v>
      </c>
      <c r="N3974" t="s">
        <v>38</v>
      </c>
      <c r="O3974" t="s">
        <v>41</v>
      </c>
      <c r="P3974" t="s">
        <v>42</v>
      </c>
      <c r="Q3974" t="s">
        <v>43</v>
      </c>
      <c r="R3974" t="s">
        <v>89</v>
      </c>
      <c r="S3974" t="s">
        <v>38</v>
      </c>
      <c r="T3974" t="s">
        <v>89</v>
      </c>
      <c r="U3974" t="s">
        <v>508</v>
      </c>
      <c r="V3974" t="s">
        <v>91</v>
      </c>
      <c r="W3974" t="s">
        <v>92</v>
      </c>
      <c r="X3974" t="s">
        <v>93</v>
      </c>
      <c r="Y3974" t="s">
        <v>5882</v>
      </c>
      <c r="Z3974" t="s">
        <v>42</v>
      </c>
      <c r="AA3974" t="s">
        <v>627</v>
      </c>
      <c r="AB3974" t="s">
        <v>38</v>
      </c>
      <c r="AC3974" t="s">
        <v>70</v>
      </c>
      <c r="AD3974" t="s">
        <v>48</v>
      </c>
      <c r="AG3974" t="str">
        <f>IF(AD3974="United States", IFERROR(INDEX(Sheet2!$C:$C, MATCH(AE3974&amp;AF3974, Sheet2!$E:$E, 0)) &amp; ", " &amp; INDEX(Sheet2!$D:$D, MATCH(AE3974&amp;AF3974, Sheet2!$E:$E, 0)), ""), "-")</f>
        <v/>
      </c>
    </row>
    <row r="3975" spans="1:33" x14ac:dyDescent="0.25">
      <c r="A3975" t="s">
        <v>5878</v>
      </c>
      <c r="B3975" t="s">
        <v>5883</v>
      </c>
      <c r="C3975" t="s">
        <v>5880</v>
      </c>
      <c r="D3975" t="s">
        <v>162</v>
      </c>
      <c r="E3975" t="s">
        <v>38</v>
      </c>
      <c r="F3975">
        <v>1774</v>
      </c>
      <c r="G3975">
        <v>602</v>
      </c>
      <c r="H3975" t="s">
        <v>1810</v>
      </c>
      <c r="I3975" t="s">
        <v>39</v>
      </c>
      <c r="J3975" t="s">
        <v>5881</v>
      </c>
      <c r="K3975" t="s">
        <v>38</v>
      </c>
      <c r="L3975" t="s">
        <v>38</v>
      </c>
      <c r="M3975" t="s">
        <v>38</v>
      </c>
      <c r="N3975" t="s">
        <v>38</v>
      </c>
      <c r="O3975" t="s">
        <v>54</v>
      </c>
      <c r="P3975" t="s">
        <v>125</v>
      </c>
      <c r="Q3975" t="s">
        <v>124</v>
      </c>
      <c r="R3975" t="s">
        <v>89</v>
      </c>
      <c r="S3975" t="s">
        <v>38</v>
      </c>
      <c r="T3975" t="s">
        <v>89</v>
      </c>
      <c r="U3975" t="s">
        <v>508</v>
      </c>
      <c r="V3975" t="s">
        <v>91</v>
      </c>
      <c r="W3975" t="s">
        <v>92</v>
      </c>
      <c r="X3975" t="s">
        <v>93</v>
      </c>
      <c r="Y3975" t="s">
        <v>5882</v>
      </c>
      <c r="Z3975" t="s">
        <v>125</v>
      </c>
      <c r="AA3975" t="s">
        <v>38</v>
      </c>
      <c r="AB3975" t="s">
        <v>38</v>
      </c>
      <c r="AC3975" t="s">
        <v>38</v>
      </c>
      <c r="AD3975" t="s">
        <v>48</v>
      </c>
      <c r="AG3975" t="str">
        <f>IF(AD3975="United States", IFERROR(INDEX(Sheet2!$C:$C, MATCH(AE3975&amp;AF3975, Sheet2!$E:$E, 0)) &amp; ", " &amp; INDEX(Sheet2!$D:$D, MATCH(AE3975&amp;AF3975, Sheet2!$E:$E, 0)), ""), "-")</f>
        <v/>
      </c>
    </row>
    <row r="3976" spans="1:33" x14ac:dyDescent="0.25">
      <c r="A3976" t="s">
        <v>5878</v>
      </c>
      <c r="D3976" t="s">
        <v>361</v>
      </c>
      <c r="E3976" t="s">
        <v>1623</v>
      </c>
      <c r="F3976">
        <v>1723</v>
      </c>
      <c r="G3976">
        <v>962</v>
      </c>
      <c r="H3976">
        <v>41</v>
      </c>
      <c r="J3976" t="s">
        <v>5884</v>
      </c>
      <c r="O3976" t="s">
        <v>41</v>
      </c>
      <c r="R3976" t="s">
        <v>89</v>
      </c>
      <c r="T3976" t="s">
        <v>89</v>
      </c>
      <c r="U3976" t="s">
        <v>508</v>
      </c>
      <c r="V3976" t="s">
        <v>705</v>
      </c>
      <c r="W3976" t="s">
        <v>92</v>
      </c>
      <c r="X3976" t="s">
        <v>93</v>
      </c>
      <c r="Y3976" t="s">
        <v>38</v>
      </c>
      <c r="AA3976" t="s">
        <v>38</v>
      </c>
      <c r="AB3976" t="s">
        <v>38</v>
      </c>
      <c r="AC3976" t="s">
        <v>38</v>
      </c>
      <c r="AD3976" t="s">
        <v>48</v>
      </c>
      <c r="AG3976" t="str">
        <f>IF(AD3976="United States", IFERROR(INDEX(Sheet2!$C:$C, MATCH(AE3976&amp;AF3976, Sheet2!$E:$E, 0)) &amp; ", " &amp; INDEX(Sheet2!$D:$D, MATCH(AE3976&amp;AF3976, Sheet2!$E:$E, 0)), ""), "-")</f>
        <v/>
      </c>
    </row>
    <row r="3977" spans="1:33" x14ac:dyDescent="0.25">
      <c r="A3977" t="s">
        <v>5878</v>
      </c>
      <c r="D3977" t="s">
        <v>623</v>
      </c>
      <c r="E3977" t="s">
        <v>5885</v>
      </c>
      <c r="F3977">
        <v>1761</v>
      </c>
      <c r="G3977">
        <v>963</v>
      </c>
      <c r="H3977">
        <v>41</v>
      </c>
      <c r="J3977" t="s">
        <v>5884</v>
      </c>
      <c r="O3977" t="s">
        <v>57</v>
      </c>
      <c r="R3977" t="s">
        <v>89</v>
      </c>
      <c r="T3977" t="s">
        <v>89</v>
      </c>
      <c r="U3977" t="s">
        <v>508</v>
      </c>
      <c r="V3977" t="s">
        <v>705</v>
      </c>
      <c r="W3977" t="s">
        <v>92</v>
      </c>
      <c r="X3977" t="s">
        <v>93</v>
      </c>
      <c r="Y3977" t="s">
        <v>38</v>
      </c>
      <c r="AA3977" t="s">
        <v>38</v>
      </c>
      <c r="AB3977" t="s">
        <v>38</v>
      </c>
      <c r="AC3977" t="s">
        <v>38</v>
      </c>
      <c r="AD3977" t="s">
        <v>48</v>
      </c>
      <c r="AG3977" t="str">
        <f>IF(AD3977="United States", IFERROR(INDEX(Sheet2!$C:$C, MATCH(AE3977&amp;AF3977, Sheet2!$E:$E, 0)) &amp; ", " &amp; INDEX(Sheet2!$D:$D, MATCH(AE3977&amp;AF3977, Sheet2!$E:$E, 0)), ""), "-")</f>
        <v/>
      </c>
    </row>
    <row r="3978" spans="1:33" x14ac:dyDescent="0.25">
      <c r="A3978" t="s">
        <v>359</v>
      </c>
      <c r="B3978" t="s">
        <v>5886</v>
      </c>
      <c r="C3978" t="s">
        <v>5887</v>
      </c>
      <c r="D3978" t="s">
        <v>1168</v>
      </c>
      <c r="E3978" t="s">
        <v>38</v>
      </c>
      <c r="F3978">
        <v>1761</v>
      </c>
      <c r="G3978">
        <v>313</v>
      </c>
      <c r="H3978" t="s">
        <v>435</v>
      </c>
      <c r="I3978" t="s">
        <v>39</v>
      </c>
      <c r="J3978" t="s">
        <v>5888</v>
      </c>
      <c r="K3978" t="s">
        <v>38</v>
      </c>
      <c r="L3978" t="s">
        <v>38</v>
      </c>
      <c r="M3978" t="s">
        <v>38</v>
      </c>
      <c r="N3978" t="s">
        <v>38</v>
      </c>
      <c r="O3978" t="s">
        <v>57</v>
      </c>
      <c r="P3978" t="s">
        <v>42</v>
      </c>
      <c r="Q3978" t="s">
        <v>43</v>
      </c>
      <c r="R3978" t="s">
        <v>89</v>
      </c>
      <c r="S3978" t="s">
        <v>38</v>
      </c>
      <c r="T3978" t="s">
        <v>89</v>
      </c>
      <c r="U3978" t="s">
        <v>301</v>
      </c>
      <c r="V3978" t="s">
        <v>137</v>
      </c>
      <c r="W3978" t="s">
        <v>92</v>
      </c>
      <c r="X3978" t="s">
        <v>302</v>
      </c>
      <c r="Y3978" t="s">
        <v>38</v>
      </c>
      <c r="Z3978" t="s">
        <v>42</v>
      </c>
      <c r="AA3978" t="s">
        <v>38</v>
      </c>
      <c r="AB3978" t="s">
        <v>38</v>
      </c>
      <c r="AC3978" t="s">
        <v>38</v>
      </c>
      <c r="AD3978" t="s">
        <v>48</v>
      </c>
      <c r="AG3978" t="str">
        <f>IF(AD3978="United States", IFERROR(INDEX(Sheet2!$C:$C, MATCH(AE3978&amp;AF3978, Sheet2!$E:$E, 0)) &amp; ", " &amp; INDEX(Sheet2!$D:$D, MATCH(AE3978&amp;AF3978, Sheet2!$E:$E, 0)), ""), "-")</f>
        <v/>
      </c>
    </row>
    <row r="3979" spans="1:33" x14ac:dyDescent="0.25">
      <c r="A3979" t="s">
        <v>359</v>
      </c>
      <c r="B3979" t="s">
        <v>5889</v>
      </c>
      <c r="C3979" t="s">
        <v>5887</v>
      </c>
      <c r="D3979" t="s">
        <v>5890</v>
      </c>
      <c r="E3979" t="s">
        <v>5891</v>
      </c>
      <c r="F3979">
        <v>1755</v>
      </c>
      <c r="G3979">
        <v>312</v>
      </c>
      <c r="H3979" t="s">
        <v>435</v>
      </c>
      <c r="I3979" t="s">
        <v>39</v>
      </c>
      <c r="J3979" t="s">
        <v>5888</v>
      </c>
      <c r="K3979" t="s">
        <v>38</v>
      </c>
      <c r="L3979" t="s">
        <v>38</v>
      </c>
      <c r="M3979" t="s">
        <v>38</v>
      </c>
      <c r="N3979" t="s">
        <v>38</v>
      </c>
      <c r="O3979" t="s">
        <v>74</v>
      </c>
      <c r="P3979" t="s">
        <v>42</v>
      </c>
      <c r="Q3979" t="s">
        <v>43</v>
      </c>
      <c r="R3979" t="s">
        <v>89</v>
      </c>
      <c r="S3979" t="s">
        <v>38</v>
      </c>
      <c r="T3979" t="s">
        <v>89</v>
      </c>
      <c r="U3979" t="s">
        <v>301</v>
      </c>
      <c r="V3979" t="s">
        <v>137</v>
      </c>
      <c r="W3979" t="s">
        <v>92</v>
      </c>
      <c r="X3979" t="s">
        <v>302</v>
      </c>
      <c r="Y3979" t="s">
        <v>38</v>
      </c>
      <c r="Z3979" t="s">
        <v>42</v>
      </c>
      <c r="AA3979" t="s">
        <v>38</v>
      </c>
      <c r="AB3979" t="s">
        <v>38</v>
      </c>
      <c r="AC3979" t="s">
        <v>38</v>
      </c>
      <c r="AD3979" t="s">
        <v>48</v>
      </c>
      <c r="AG3979" t="str">
        <f>IF(AD3979="United States", IFERROR(INDEX(Sheet2!$C:$C, MATCH(AE3979&amp;AF3979, Sheet2!$E:$E, 0)) &amp; ", " &amp; INDEX(Sheet2!$D:$D, MATCH(AE3979&amp;AF3979, Sheet2!$E:$E, 0)), ""), "-")</f>
        <v/>
      </c>
    </row>
    <row r="3980" spans="1:33" x14ac:dyDescent="0.25">
      <c r="A3980" t="s">
        <v>359</v>
      </c>
      <c r="B3980" t="s">
        <v>5892</v>
      </c>
      <c r="C3980" t="s">
        <v>5887</v>
      </c>
      <c r="D3980" t="s">
        <v>569</v>
      </c>
      <c r="E3980" t="s">
        <v>728</v>
      </c>
      <c r="F3980">
        <v>1743</v>
      </c>
      <c r="G3980">
        <v>311</v>
      </c>
      <c r="H3980" t="s">
        <v>435</v>
      </c>
      <c r="I3980" t="s">
        <v>39</v>
      </c>
      <c r="J3980" t="s">
        <v>5888</v>
      </c>
      <c r="K3980" t="s">
        <v>38</v>
      </c>
      <c r="L3980" t="s">
        <v>38</v>
      </c>
      <c r="M3980" t="s">
        <v>38</v>
      </c>
      <c r="N3980" t="s">
        <v>38</v>
      </c>
      <c r="O3980" t="s">
        <v>41</v>
      </c>
      <c r="P3980" t="s">
        <v>42</v>
      </c>
      <c r="Q3980" t="s">
        <v>43</v>
      </c>
      <c r="R3980" t="s">
        <v>89</v>
      </c>
      <c r="S3980" t="s">
        <v>38</v>
      </c>
      <c r="T3980" t="s">
        <v>89</v>
      </c>
      <c r="U3980" t="s">
        <v>301</v>
      </c>
      <c r="V3980" t="s">
        <v>137</v>
      </c>
      <c r="W3980" t="s">
        <v>92</v>
      </c>
      <c r="X3980" t="s">
        <v>302</v>
      </c>
      <c r="Y3980" t="s">
        <v>38</v>
      </c>
      <c r="Z3980" t="s">
        <v>42</v>
      </c>
      <c r="AA3980" t="s">
        <v>38</v>
      </c>
      <c r="AB3980" t="s">
        <v>38</v>
      </c>
      <c r="AC3980" t="s">
        <v>38</v>
      </c>
      <c r="AD3980" t="s">
        <v>48</v>
      </c>
      <c r="AG3980" t="str">
        <f>IF(AD3980="United States", IFERROR(INDEX(Sheet2!$C:$C, MATCH(AE3980&amp;AF3980, Sheet2!$E:$E, 0)) &amp; ", " &amp; INDEX(Sheet2!$D:$D, MATCH(AE3980&amp;AF3980, Sheet2!$E:$E, 0)), ""), "-")</f>
        <v/>
      </c>
    </row>
    <row r="3981" spans="1:33" x14ac:dyDescent="0.25">
      <c r="A3981" t="s">
        <v>359</v>
      </c>
      <c r="B3981" t="s">
        <v>5893</v>
      </c>
      <c r="C3981" t="s">
        <v>5887</v>
      </c>
      <c r="D3981" t="s">
        <v>980</v>
      </c>
      <c r="E3981" t="s">
        <v>5894</v>
      </c>
      <c r="F3981">
        <v>1751</v>
      </c>
      <c r="G3981">
        <v>310</v>
      </c>
      <c r="H3981" t="s">
        <v>435</v>
      </c>
      <c r="I3981" t="s">
        <v>39</v>
      </c>
      <c r="J3981" t="s">
        <v>5888</v>
      </c>
      <c r="K3981" t="s">
        <v>38</v>
      </c>
      <c r="L3981" t="s">
        <v>38</v>
      </c>
      <c r="M3981" t="s">
        <v>38</v>
      </c>
      <c r="N3981" t="s">
        <v>38</v>
      </c>
      <c r="O3981" t="s">
        <v>41</v>
      </c>
      <c r="P3981" t="s">
        <v>42</v>
      </c>
      <c r="Q3981" t="s">
        <v>43</v>
      </c>
      <c r="R3981" t="s">
        <v>89</v>
      </c>
      <c r="S3981" t="s">
        <v>38</v>
      </c>
      <c r="T3981" t="s">
        <v>89</v>
      </c>
      <c r="U3981" t="s">
        <v>301</v>
      </c>
      <c r="V3981" t="s">
        <v>137</v>
      </c>
      <c r="W3981" t="s">
        <v>92</v>
      </c>
      <c r="X3981" t="s">
        <v>302</v>
      </c>
      <c r="Y3981" t="s">
        <v>38</v>
      </c>
      <c r="Z3981" t="s">
        <v>42</v>
      </c>
      <c r="AA3981" t="s">
        <v>38</v>
      </c>
      <c r="AB3981" t="s">
        <v>38</v>
      </c>
      <c r="AC3981" t="s">
        <v>38</v>
      </c>
      <c r="AD3981" t="s">
        <v>48</v>
      </c>
      <c r="AG3981" t="str">
        <f>IF(AD3981="United States", IFERROR(INDEX(Sheet2!$C:$C, MATCH(AE3981&amp;AF3981, Sheet2!$E:$E, 0)) &amp; ", " &amp; INDEX(Sheet2!$D:$D, MATCH(AE3981&amp;AF3981, Sheet2!$E:$E, 0)), ""), "-")</f>
        <v/>
      </c>
    </row>
    <row r="3982" spans="1:33" x14ac:dyDescent="0.25">
      <c r="A3982" t="s">
        <v>359</v>
      </c>
      <c r="B3982" t="s">
        <v>5895</v>
      </c>
      <c r="C3982" t="s">
        <v>5887</v>
      </c>
      <c r="D3982" t="s">
        <v>5896</v>
      </c>
      <c r="E3982" t="s">
        <v>5894</v>
      </c>
      <c r="F3982">
        <v>1755</v>
      </c>
      <c r="G3982">
        <v>309</v>
      </c>
      <c r="H3982" t="s">
        <v>435</v>
      </c>
      <c r="I3982" t="s">
        <v>39</v>
      </c>
      <c r="J3982" t="s">
        <v>5888</v>
      </c>
      <c r="K3982" t="s">
        <v>38</v>
      </c>
      <c r="L3982" t="s">
        <v>38</v>
      </c>
      <c r="M3982" t="s">
        <v>38</v>
      </c>
      <c r="N3982" t="s">
        <v>38</v>
      </c>
      <c r="O3982" t="s">
        <v>57</v>
      </c>
      <c r="P3982" t="s">
        <v>42</v>
      </c>
      <c r="Q3982" t="s">
        <v>43</v>
      </c>
      <c r="R3982" t="s">
        <v>89</v>
      </c>
      <c r="S3982" t="s">
        <v>38</v>
      </c>
      <c r="T3982" t="s">
        <v>89</v>
      </c>
      <c r="U3982" t="s">
        <v>301</v>
      </c>
      <c r="V3982" t="s">
        <v>137</v>
      </c>
      <c r="W3982" t="s">
        <v>92</v>
      </c>
      <c r="X3982" t="s">
        <v>302</v>
      </c>
      <c r="Y3982" t="s">
        <v>38</v>
      </c>
      <c r="Z3982" t="s">
        <v>42</v>
      </c>
      <c r="AA3982" t="s">
        <v>38</v>
      </c>
      <c r="AB3982" t="s">
        <v>38</v>
      </c>
      <c r="AC3982" t="s">
        <v>38</v>
      </c>
      <c r="AD3982" t="s">
        <v>48</v>
      </c>
      <c r="AG3982" t="str">
        <f>IF(AD3982="United States", IFERROR(INDEX(Sheet2!$C:$C, MATCH(AE3982&amp;AF3982, Sheet2!$E:$E, 0)) &amp; ", " &amp; INDEX(Sheet2!$D:$D, MATCH(AE3982&amp;AF3982, Sheet2!$E:$E, 0)), ""), "-")</f>
        <v/>
      </c>
    </row>
    <row r="3983" spans="1:33" x14ac:dyDescent="0.25">
      <c r="A3983" t="s">
        <v>359</v>
      </c>
      <c r="B3983" t="s">
        <v>5897</v>
      </c>
      <c r="C3983" t="s">
        <v>5887</v>
      </c>
      <c r="D3983" t="s">
        <v>639</v>
      </c>
      <c r="E3983" t="s">
        <v>5894</v>
      </c>
      <c r="F3983">
        <v>1743</v>
      </c>
      <c r="G3983">
        <v>308</v>
      </c>
      <c r="H3983" t="s">
        <v>435</v>
      </c>
      <c r="I3983" t="s">
        <v>39</v>
      </c>
      <c r="J3983" t="s">
        <v>5888</v>
      </c>
      <c r="K3983" t="s">
        <v>38</v>
      </c>
      <c r="L3983" t="s">
        <v>38</v>
      </c>
      <c r="M3983" t="s">
        <v>38</v>
      </c>
      <c r="N3983" t="s">
        <v>38</v>
      </c>
      <c r="O3983" t="s">
        <v>41</v>
      </c>
      <c r="P3983" t="s">
        <v>42</v>
      </c>
      <c r="Q3983" t="s">
        <v>43</v>
      </c>
      <c r="R3983" t="s">
        <v>89</v>
      </c>
      <c r="S3983" t="s">
        <v>38</v>
      </c>
      <c r="T3983" t="s">
        <v>89</v>
      </c>
      <c r="U3983" t="s">
        <v>301</v>
      </c>
      <c r="V3983" t="s">
        <v>137</v>
      </c>
      <c r="W3983" t="s">
        <v>92</v>
      </c>
      <c r="X3983" t="s">
        <v>302</v>
      </c>
      <c r="Y3983" t="s">
        <v>38</v>
      </c>
      <c r="Z3983" t="s">
        <v>42</v>
      </c>
      <c r="AA3983" t="s">
        <v>38</v>
      </c>
      <c r="AB3983" t="s">
        <v>38</v>
      </c>
      <c r="AC3983" t="s">
        <v>38</v>
      </c>
      <c r="AD3983" t="s">
        <v>48</v>
      </c>
      <c r="AG3983" t="str">
        <f>IF(AD3983="United States", IFERROR(INDEX(Sheet2!$C:$C, MATCH(AE3983&amp;AF3983, Sheet2!$E:$E, 0)) &amp; ", " &amp; INDEX(Sheet2!$D:$D, MATCH(AE3983&amp;AF3983, Sheet2!$E:$E, 0)), ""), "-")</f>
        <v/>
      </c>
    </row>
    <row r="3984" spans="1:33" x14ac:dyDescent="0.25">
      <c r="A3984" t="s">
        <v>359</v>
      </c>
      <c r="D3984" t="s">
        <v>181</v>
      </c>
      <c r="E3984" t="s">
        <v>5890</v>
      </c>
      <c r="F3984" t="s">
        <v>38</v>
      </c>
      <c r="G3984">
        <v>342</v>
      </c>
      <c r="H3984">
        <v>24</v>
      </c>
      <c r="J3984" t="s">
        <v>5888</v>
      </c>
      <c r="O3984" t="s">
        <v>183</v>
      </c>
      <c r="R3984" t="s">
        <v>89</v>
      </c>
      <c r="T3984" t="s">
        <v>89</v>
      </c>
      <c r="U3984" t="s">
        <v>301</v>
      </c>
      <c r="V3984" t="s">
        <v>137</v>
      </c>
      <c r="W3984" t="s">
        <v>92</v>
      </c>
      <c r="X3984" t="s">
        <v>302</v>
      </c>
      <c r="Y3984" t="s">
        <v>38</v>
      </c>
      <c r="AA3984" t="s">
        <v>38</v>
      </c>
      <c r="AB3984" t="s">
        <v>38</v>
      </c>
      <c r="AC3984" t="s">
        <v>38</v>
      </c>
      <c r="AD3984" t="s">
        <v>48</v>
      </c>
      <c r="AG3984" t="str">
        <f>IF(AD3984="United States", IFERROR(INDEX(Sheet2!$C:$C, MATCH(AE3984&amp;AF3984, Sheet2!$E:$E, 0)) &amp; ", " &amp; INDEX(Sheet2!$D:$D, MATCH(AE3984&amp;AF3984, Sheet2!$E:$E, 0)), ""), "-")</f>
        <v/>
      </c>
    </row>
    <row r="3985" spans="1:33" x14ac:dyDescent="0.25">
      <c r="A3985" t="s">
        <v>359</v>
      </c>
      <c r="D3985" t="s">
        <v>5898</v>
      </c>
      <c r="E3985" t="s">
        <v>1806</v>
      </c>
      <c r="F3985">
        <v>1755</v>
      </c>
      <c r="G3985">
        <v>341</v>
      </c>
      <c r="H3985">
        <v>24</v>
      </c>
      <c r="J3985" t="s">
        <v>5888</v>
      </c>
      <c r="O3985" t="s">
        <v>57</v>
      </c>
      <c r="R3985" t="s">
        <v>89</v>
      </c>
      <c r="T3985" t="s">
        <v>89</v>
      </c>
      <c r="U3985" t="s">
        <v>301</v>
      </c>
      <c r="V3985" t="s">
        <v>137</v>
      </c>
      <c r="W3985" t="s">
        <v>92</v>
      </c>
      <c r="X3985" t="s">
        <v>302</v>
      </c>
      <c r="Y3985" t="s">
        <v>38</v>
      </c>
      <c r="AA3985" t="s">
        <v>38</v>
      </c>
      <c r="AB3985" t="s">
        <v>38</v>
      </c>
      <c r="AC3985" t="s">
        <v>38</v>
      </c>
      <c r="AD3985" t="s">
        <v>48</v>
      </c>
      <c r="AG3985" t="str">
        <f>IF(AD3985="United States", IFERROR(INDEX(Sheet2!$C:$C, MATCH(AE3985&amp;AF3985, Sheet2!$E:$E, 0)) &amp; ", " &amp; INDEX(Sheet2!$D:$D, MATCH(AE3985&amp;AF3985, Sheet2!$E:$E, 0)), ""), "-")</f>
        <v/>
      </c>
    </row>
    <row r="3986" spans="1:33" x14ac:dyDescent="0.25">
      <c r="A3986" t="s">
        <v>359</v>
      </c>
      <c r="B3986" t="s">
        <v>5899</v>
      </c>
      <c r="C3986" t="s">
        <v>5887</v>
      </c>
      <c r="D3986" t="s">
        <v>195</v>
      </c>
      <c r="E3986" t="s">
        <v>5894</v>
      </c>
      <c r="F3986">
        <v>1751</v>
      </c>
      <c r="G3986">
        <v>307</v>
      </c>
      <c r="H3986" t="s">
        <v>435</v>
      </c>
      <c r="I3986" t="s">
        <v>39</v>
      </c>
      <c r="J3986" t="s">
        <v>5888</v>
      </c>
      <c r="K3986" t="s">
        <v>38</v>
      </c>
      <c r="L3986" t="s">
        <v>38</v>
      </c>
      <c r="M3986" t="s">
        <v>38</v>
      </c>
      <c r="N3986" t="s">
        <v>38</v>
      </c>
      <c r="O3986" t="s">
        <v>41</v>
      </c>
      <c r="P3986" t="s">
        <v>42</v>
      </c>
      <c r="Q3986" t="s">
        <v>43</v>
      </c>
      <c r="R3986" t="s">
        <v>89</v>
      </c>
      <c r="S3986" t="s">
        <v>38</v>
      </c>
      <c r="T3986" t="s">
        <v>89</v>
      </c>
      <c r="U3986" t="s">
        <v>301</v>
      </c>
      <c r="V3986" t="s">
        <v>137</v>
      </c>
      <c r="W3986" t="s">
        <v>92</v>
      </c>
      <c r="X3986" t="s">
        <v>302</v>
      </c>
      <c r="Y3986" t="s">
        <v>38</v>
      </c>
      <c r="Z3986" t="s">
        <v>42</v>
      </c>
      <c r="AA3986" t="s">
        <v>38</v>
      </c>
      <c r="AB3986" t="s">
        <v>38</v>
      </c>
      <c r="AC3986" t="s">
        <v>38</v>
      </c>
      <c r="AD3986" t="s">
        <v>48</v>
      </c>
      <c r="AG3986" t="str">
        <f>IF(AD3986="United States", IFERROR(INDEX(Sheet2!$C:$C, MATCH(AE3986&amp;AF3986, Sheet2!$E:$E, 0)) &amp; ", " &amp; INDEX(Sheet2!$D:$D, MATCH(AE3986&amp;AF3986, Sheet2!$E:$E, 0)), ""), "-")</f>
        <v/>
      </c>
    </row>
    <row r="3987" spans="1:33" x14ac:dyDescent="0.25">
      <c r="A3987" t="s">
        <v>5900</v>
      </c>
      <c r="D3987" t="s">
        <v>357</v>
      </c>
      <c r="E3987" t="s">
        <v>3564</v>
      </c>
      <c r="F3987">
        <v>1766</v>
      </c>
      <c r="G3987">
        <v>1739</v>
      </c>
      <c r="H3987">
        <v>58</v>
      </c>
      <c r="J3987" t="s">
        <v>5901</v>
      </c>
      <c r="O3987" t="s">
        <v>41</v>
      </c>
      <c r="R3987" t="s">
        <v>89</v>
      </c>
      <c r="T3987" t="s">
        <v>89</v>
      </c>
      <c r="U3987" t="s">
        <v>301</v>
      </c>
      <c r="V3987" t="s">
        <v>1764</v>
      </c>
      <c r="W3987" t="s">
        <v>92</v>
      </c>
      <c r="X3987" t="s">
        <v>302</v>
      </c>
      <c r="Y3987" t="s">
        <v>38</v>
      </c>
      <c r="AA3987" t="s">
        <v>38</v>
      </c>
      <c r="AB3987" t="s">
        <v>38</v>
      </c>
      <c r="AC3987" t="s">
        <v>38</v>
      </c>
      <c r="AD3987" t="s">
        <v>48</v>
      </c>
      <c r="AG3987" t="str">
        <f>IF(AD3987="United States", IFERROR(INDEX(Sheet2!$C:$C, MATCH(AE3987&amp;AF3987, Sheet2!$E:$E, 0)) &amp; ", " &amp; INDEX(Sheet2!$D:$D, MATCH(AE3987&amp;AF3987, Sheet2!$E:$E, 0)), ""), "-")</f>
        <v/>
      </c>
    </row>
    <row r="3988" spans="1:33" x14ac:dyDescent="0.25">
      <c r="A3988" t="s">
        <v>5900</v>
      </c>
      <c r="D3988" t="s">
        <v>343</v>
      </c>
      <c r="E3988" t="s">
        <v>5902</v>
      </c>
      <c r="F3988">
        <v>1766</v>
      </c>
      <c r="G3988">
        <v>1737</v>
      </c>
      <c r="H3988">
        <v>58</v>
      </c>
      <c r="J3988" t="s">
        <v>5901</v>
      </c>
      <c r="O3988" t="s">
        <v>41</v>
      </c>
      <c r="R3988" t="s">
        <v>89</v>
      </c>
      <c r="T3988" t="s">
        <v>89</v>
      </c>
      <c r="U3988" t="s">
        <v>301</v>
      </c>
      <c r="V3988" t="s">
        <v>1764</v>
      </c>
      <c r="W3988" t="s">
        <v>92</v>
      </c>
      <c r="X3988" t="s">
        <v>302</v>
      </c>
      <c r="Y3988" t="s">
        <v>38</v>
      </c>
      <c r="AA3988" t="s">
        <v>38</v>
      </c>
      <c r="AB3988" t="s">
        <v>38</v>
      </c>
      <c r="AC3988" t="s">
        <v>38</v>
      </c>
      <c r="AD3988" t="s">
        <v>48</v>
      </c>
      <c r="AG3988" t="str">
        <f>IF(AD3988="United States", IFERROR(INDEX(Sheet2!$C:$C, MATCH(AE3988&amp;AF3988, Sheet2!$E:$E, 0)) &amp; ", " &amp; INDEX(Sheet2!$D:$D, MATCH(AE3988&amp;AF3988, Sheet2!$E:$E, 0)), ""), "-")</f>
        <v/>
      </c>
    </row>
    <row r="3989" spans="1:33" x14ac:dyDescent="0.25">
      <c r="A3989" t="s">
        <v>5900</v>
      </c>
      <c r="D3989" t="s">
        <v>132</v>
      </c>
      <c r="E3989" t="s">
        <v>1879</v>
      </c>
      <c r="F3989">
        <v>1748</v>
      </c>
      <c r="G3989">
        <v>1740</v>
      </c>
      <c r="H3989">
        <v>58</v>
      </c>
      <c r="J3989" t="s">
        <v>5901</v>
      </c>
      <c r="O3989" t="s">
        <v>41</v>
      </c>
      <c r="R3989" t="s">
        <v>89</v>
      </c>
      <c r="T3989" t="s">
        <v>89</v>
      </c>
      <c r="U3989" t="s">
        <v>301</v>
      </c>
      <c r="V3989" t="s">
        <v>1764</v>
      </c>
      <c r="W3989" t="s">
        <v>92</v>
      </c>
      <c r="X3989" t="s">
        <v>302</v>
      </c>
      <c r="Y3989" t="s">
        <v>38</v>
      </c>
      <c r="AA3989" t="s">
        <v>38</v>
      </c>
      <c r="AB3989" t="s">
        <v>38</v>
      </c>
      <c r="AC3989" t="s">
        <v>38</v>
      </c>
      <c r="AD3989" t="s">
        <v>48</v>
      </c>
      <c r="AG3989" t="str">
        <f>IF(AD3989="United States", IFERROR(INDEX(Sheet2!$C:$C, MATCH(AE3989&amp;AF3989, Sheet2!$E:$E, 0)) &amp; ", " &amp; INDEX(Sheet2!$D:$D, MATCH(AE3989&amp;AF3989, Sheet2!$E:$E, 0)), ""), "-")</f>
        <v/>
      </c>
    </row>
    <row r="3990" spans="1:33" x14ac:dyDescent="0.25">
      <c r="A3990" t="s">
        <v>5900</v>
      </c>
      <c r="D3990" t="s">
        <v>113</v>
      </c>
      <c r="E3990" t="s">
        <v>1409</v>
      </c>
      <c r="F3990">
        <v>1768</v>
      </c>
      <c r="G3990">
        <v>1738</v>
      </c>
      <c r="H3990">
        <v>58</v>
      </c>
      <c r="J3990" t="s">
        <v>5901</v>
      </c>
      <c r="O3990" t="s">
        <v>54</v>
      </c>
      <c r="R3990" t="s">
        <v>89</v>
      </c>
      <c r="T3990" t="s">
        <v>89</v>
      </c>
      <c r="U3990" t="s">
        <v>301</v>
      </c>
      <c r="V3990" t="s">
        <v>1764</v>
      </c>
      <c r="W3990" t="s">
        <v>92</v>
      </c>
      <c r="X3990" t="s">
        <v>302</v>
      </c>
      <c r="Y3990" t="s">
        <v>38</v>
      </c>
      <c r="AA3990" t="s">
        <v>38</v>
      </c>
      <c r="AB3990" t="s">
        <v>38</v>
      </c>
      <c r="AC3990" t="s">
        <v>38</v>
      </c>
      <c r="AD3990" t="s">
        <v>48</v>
      </c>
      <c r="AG3990" t="str">
        <f>IF(AD3990="United States", IFERROR(INDEX(Sheet2!$C:$C, MATCH(AE3990&amp;AF3990, Sheet2!$E:$E, 0)) &amp; ", " &amp; INDEX(Sheet2!$D:$D, MATCH(AE3990&amp;AF3990, Sheet2!$E:$E, 0)), ""), "-")</f>
        <v/>
      </c>
    </row>
    <row r="3991" spans="1:33" x14ac:dyDescent="0.25">
      <c r="A3991" t="s">
        <v>5903</v>
      </c>
      <c r="B3991" t="s">
        <v>5904</v>
      </c>
      <c r="C3991" t="s">
        <v>5905</v>
      </c>
      <c r="D3991" t="s">
        <v>343</v>
      </c>
      <c r="E3991" t="s">
        <v>5902</v>
      </c>
      <c r="F3991">
        <v>1766</v>
      </c>
      <c r="G3991">
        <v>1820</v>
      </c>
      <c r="H3991" t="s">
        <v>38</v>
      </c>
      <c r="I3991" t="s">
        <v>80</v>
      </c>
      <c r="J3991" t="s">
        <v>38</v>
      </c>
      <c r="K3991" t="s">
        <v>38</v>
      </c>
      <c r="L3991" t="s">
        <v>38</v>
      </c>
      <c r="M3991" t="s">
        <v>38</v>
      </c>
      <c r="N3991" t="s">
        <v>38</v>
      </c>
      <c r="O3991" t="s">
        <v>54</v>
      </c>
      <c r="P3991" t="s">
        <v>42</v>
      </c>
      <c r="Q3991" t="s">
        <v>43</v>
      </c>
      <c r="R3991" t="s">
        <v>5906</v>
      </c>
      <c r="S3991" t="s">
        <v>153</v>
      </c>
      <c r="T3991" t="s">
        <v>38</v>
      </c>
      <c r="U3991" t="s">
        <v>38</v>
      </c>
      <c r="V3991" t="s">
        <v>38</v>
      </c>
      <c r="W3991" t="s">
        <v>38</v>
      </c>
      <c r="X3991" t="s">
        <v>38</v>
      </c>
      <c r="Y3991" t="s">
        <v>5907</v>
      </c>
      <c r="Z3991" t="s">
        <v>42</v>
      </c>
      <c r="AA3991" t="s">
        <v>155</v>
      </c>
      <c r="AB3991" t="s">
        <v>38</v>
      </c>
      <c r="AC3991" t="s">
        <v>153</v>
      </c>
      <c r="AD3991" t="s">
        <v>48</v>
      </c>
      <c r="AG3991" t="str">
        <f>IF(AD3991="United States", IFERROR(INDEX(Sheet2!$C:$C, MATCH(AE3991&amp;AF3991, Sheet2!$E:$E, 0)) &amp; ", " &amp; INDEX(Sheet2!$D:$D, MATCH(AE3991&amp;AF3991, Sheet2!$E:$E, 0)), ""), "-")</f>
        <v/>
      </c>
    </row>
    <row r="3992" spans="1:33" x14ac:dyDescent="0.25">
      <c r="A3992" t="s">
        <v>5903</v>
      </c>
      <c r="B3992" t="s">
        <v>5908</v>
      </c>
      <c r="C3992" t="s">
        <v>5905</v>
      </c>
      <c r="D3992" t="s">
        <v>113</v>
      </c>
      <c r="E3992" t="s">
        <v>5909</v>
      </c>
      <c r="F3992">
        <v>1768</v>
      </c>
      <c r="G3992">
        <v>1821</v>
      </c>
      <c r="H3992" t="s">
        <v>38</v>
      </c>
      <c r="I3992" t="s">
        <v>80</v>
      </c>
      <c r="J3992" t="s">
        <v>38</v>
      </c>
      <c r="K3992" t="s">
        <v>38</v>
      </c>
      <c r="L3992" t="s">
        <v>38</v>
      </c>
      <c r="M3992" t="s">
        <v>38</v>
      </c>
      <c r="N3992" t="s">
        <v>38</v>
      </c>
      <c r="O3992" t="s">
        <v>54</v>
      </c>
      <c r="P3992" t="s">
        <v>42</v>
      </c>
      <c r="Q3992" t="s">
        <v>43</v>
      </c>
      <c r="R3992" t="s">
        <v>5910</v>
      </c>
      <c r="S3992" t="s">
        <v>45</v>
      </c>
      <c r="T3992" t="s">
        <v>38</v>
      </c>
      <c r="U3992" t="s">
        <v>38</v>
      </c>
      <c r="V3992" t="s">
        <v>38</v>
      </c>
      <c r="W3992" t="s">
        <v>38</v>
      </c>
      <c r="X3992" t="s">
        <v>38</v>
      </c>
      <c r="Y3992" t="s">
        <v>5911</v>
      </c>
      <c r="Z3992" t="s">
        <v>42</v>
      </c>
      <c r="AA3992" t="s">
        <v>1409</v>
      </c>
      <c r="AB3992" t="s">
        <v>38</v>
      </c>
      <c r="AC3992" t="s">
        <v>45</v>
      </c>
      <c r="AD3992" t="s">
        <v>48</v>
      </c>
      <c r="AG3992" t="str">
        <f>IF(AD3992="United States", IFERROR(INDEX(Sheet2!$C:$C, MATCH(AE3992&amp;AF3992, Sheet2!$E:$E, 0)) &amp; ", " &amp; INDEX(Sheet2!$D:$D, MATCH(AE3992&amp;AF3992, Sheet2!$E:$E, 0)), ""), "-")</f>
        <v/>
      </c>
    </row>
    <row r="3993" spans="1:33" x14ac:dyDescent="0.25">
      <c r="A3993" t="s">
        <v>5903</v>
      </c>
      <c r="B3993" t="s">
        <v>5912</v>
      </c>
      <c r="C3993" t="s">
        <v>5905</v>
      </c>
      <c r="D3993" t="s">
        <v>106</v>
      </c>
      <c r="E3993" t="s">
        <v>3564</v>
      </c>
      <c r="F3993">
        <v>1766</v>
      </c>
      <c r="G3993">
        <v>1822</v>
      </c>
      <c r="H3993" t="s">
        <v>38</v>
      </c>
      <c r="I3993" t="s">
        <v>80</v>
      </c>
      <c r="J3993" t="s">
        <v>38</v>
      </c>
      <c r="K3993" t="s">
        <v>38</v>
      </c>
      <c r="L3993" t="s">
        <v>38</v>
      </c>
      <c r="M3993" t="s">
        <v>38</v>
      </c>
      <c r="N3993" t="s">
        <v>38</v>
      </c>
      <c r="O3993" t="s">
        <v>54</v>
      </c>
      <c r="P3993" t="s">
        <v>42</v>
      </c>
      <c r="Q3993" t="s">
        <v>43</v>
      </c>
      <c r="R3993" t="s">
        <v>5913</v>
      </c>
      <c r="S3993" t="s">
        <v>45</v>
      </c>
      <c r="T3993" t="s">
        <v>38</v>
      </c>
      <c r="U3993" t="s">
        <v>38</v>
      </c>
      <c r="V3993" t="s">
        <v>38</v>
      </c>
      <c r="W3993" t="s">
        <v>38</v>
      </c>
      <c r="X3993" t="s">
        <v>38</v>
      </c>
      <c r="Y3993" t="s">
        <v>567</v>
      </c>
      <c r="Z3993" t="s">
        <v>42</v>
      </c>
      <c r="AA3993" t="s">
        <v>1120</v>
      </c>
      <c r="AB3993" t="s">
        <v>38</v>
      </c>
      <c r="AC3993" t="s">
        <v>45</v>
      </c>
      <c r="AD3993" t="s">
        <v>48</v>
      </c>
      <c r="AG3993" t="str">
        <f>IF(AD3993="United States", IFERROR(INDEX(Sheet2!$C:$C, MATCH(AE3993&amp;AF3993, Sheet2!$E:$E, 0)) &amp; ", " &amp; INDEX(Sheet2!$D:$D, MATCH(AE3993&amp;AF3993, Sheet2!$E:$E, 0)), ""), "-")</f>
        <v/>
      </c>
    </row>
    <row r="3994" spans="1:33" x14ac:dyDescent="0.25">
      <c r="A3994" t="s">
        <v>5903</v>
      </c>
      <c r="B3994" t="s">
        <v>5914</v>
      </c>
      <c r="C3994" t="s">
        <v>5905</v>
      </c>
      <c r="D3994" t="s">
        <v>132</v>
      </c>
      <c r="E3994" t="s">
        <v>1879</v>
      </c>
      <c r="F3994">
        <v>1748</v>
      </c>
      <c r="G3994">
        <v>1823</v>
      </c>
      <c r="H3994" t="s">
        <v>38</v>
      </c>
      <c r="I3994" t="s">
        <v>80</v>
      </c>
      <c r="J3994" t="s">
        <v>38</v>
      </c>
      <c r="K3994" t="s">
        <v>38</v>
      </c>
      <c r="L3994" t="s">
        <v>38</v>
      </c>
      <c r="M3994" t="s">
        <v>38</v>
      </c>
      <c r="N3994" t="s">
        <v>38</v>
      </c>
      <c r="O3994" t="s">
        <v>41</v>
      </c>
      <c r="P3994" t="s">
        <v>42</v>
      </c>
      <c r="Q3994" t="s">
        <v>43</v>
      </c>
      <c r="R3994" t="s">
        <v>38</v>
      </c>
      <c r="S3994" t="s">
        <v>38</v>
      </c>
      <c r="T3994" t="s">
        <v>38</v>
      </c>
      <c r="U3994" t="s">
        <v>38</v>
      </c>
      <c r="V3994" t="s">
        <v>38</v>
      </c>
      <c r="W3994" t="s">
        <v>38</v>
      </c>
      <c r="X3994" t="s">
        <v>38</v>
      </c>
      <c r="Y3994" t="s">
        <v>567</v>
      </c>
      <c r="Z3994" t="s">
        <v>42</v>
      </c>
      <c r="AA3994" t="s">
        <v>38</v>
      </c>
      <c r="AB3994" t="s">
        <v>38</v>
      </c>
      <c r="AC3994" t="s">
        <v>5321</v>
      </c>
      <c r="AD3994" t="s">
        <v>48</v>
      </c>
      <c r="AG3994" t="str">
        <f>IF(AD3994="United States", IFERROR(INDEX(Sheet2!$C:$C, MATCH(AE3994&amp;AF3994, Sheet2!$E:$E, 0)) &amp; ", " &amp; INDEX(Sheet2!$D:$D, MATCH(AE3994&amp;AF3994, Sheet2!$E:$E, 0)), ""), "-")</f>
        <v/>
      </c>
    </row>
    <row r="3995" spans="1:33" x14ac:dyDescent="0.25">
      <c r="A3995" t="s">
        <v>36</v>
      </c>
      <c r="D3995" t="s">
        <v>626</v>
      </c>
      <c r="E3995" t="s">
        <v>191</v>
      </c>
      <c r="F3995">
        <v>1752</v>
      </c>
      <c r="G3995">
        <v>1840</v>
      </c>
      <c r="H3995">
        <v>60</v>
      </c>
      <c r="J3995" t="s">
        <v>5684</v>
      </c>
      <c r="O3995" t="s">
        <v>41</v>
      </c>
      <c r="R3995" t="s">
        <v>89</v>
      </c>
      <c r="T3995" t="s">
        <v>89</v>
      </c>
      <c r="U3995" t="s">
        <v>136</v>
      </c>
      <c r="V3995" t="s">
        <v>5915</v>
      </c>
      <c r="W3995" t="s">
        <v>92</v>
      </c>
      <c r="Y3995" t="s">
        <v>38</v>
      </c>
      <c r="AA3995" t="s">
        <v>38</v>
      </c>
      <c r="AB3995" t="s">
        <v>38</v>
      </c>
      <c r="AC3995" t="s">
        <v>38</v>
      </c>
      <c r="AD3995" t="s">
        <v>48</v>
      </c>
      <c r="AG3995" t="str">
        <f>IF(AD3995="United States", IFERROR(INDEX(Sheet2!$C:$C, MATCH(AE3995&amp;AF3995, Sheet2!$E:$E, 0)) &amp; ", " &amp; INDEX(Sheet2!$D:$D, MATCH(AE3995&amp;AF3995, Sheet2!$E:$E, 0)), ""), "-")</f>
        <v/>
      </c>
    </row>
    <row r="3996" spans="1:33" x14ac:dyDescent="0.25">
      <c r="A3996" t="s">
        <v>36</v>
      </c>
      <c r="B3996" t="s">
        <v>5916</v>
      </c>
      <c r="C3996" t="s">
        <v>5917</v>
      </c>
      <c r="D3996" t="s">
        <v>797</v>
      </c>
      <c r="E3996" t="s">
        <v>5918</v>
      </c>
      <c r="F3996">
        <v>1735</v>
      </c>
      <c r="G3996">
        <v>820</v>
      </c>
      <c r="H3996" t="s">
        <v>269</v>
      </c>
      <c r="I3996" t="s">
        <v>39</v>
      </c>
      <c r="J3996" t="s">
        <v>5919</v>
      </c>
      <c r="K3996" t="s">
        <v>38</v>
      </c>
      <c r="L3996" t="s">
        <v>38</v>
      </c>
      <c r="M3996" t="s">
        <v>38</v>
      </c>
      <c r="N3996" t="s">
        <v>38</v>
      </c>
      <c r="O3996" t="s">
        <v>57</v>
      </c>
      <c r="P3996" t="s">
        <v>42</v>
      </c>
      <c r="Q3996" t="s">
        <v>43</v>
      </c>
      <c r="R3996" t="s">
        <v>89</v>
      </c>
      <c r="S3996" t="s">
        <v>201</v>
      </c>
      <c r="T3996" t="s">
        <v>89</v>
      </c>
      <c r="U3996" t="s">
        <v>136</v>
      </c>
      <c r="V3996" t="s">
        <v>270</v>
      </c>
      <c r="W3996" t="s">
        <v>92</v>
      </c>
      <c r="X3996" t="s">
        <v>38</v>
      </c>
      <c r="Y3996" t="s">
        <v>5920</v>
      </c>
      <c r="Z3996" t="s">
        <v>42</v>
      </c>
      <c r="AA3996" t="s">
        <v>38</v>
      </c>
      <c r="AB3996" t="s">
        <v>38</v>
      </c>
      <c r="AC3996" t="s">
        <v>201</v>
      </c>
      <c r="AD3996" t="s">
        <v>48</v>
      </c>
      <c r="AG3996" t="str">
        <f>IF(AD3996="United States", IFERROR(INDEX(Sheet2!$C:$C, MATCH(AE3996&amp;AF3996, Sheet2!$E:$E, 0)) &amp; ", " &amp; INDEX(Sheet2!$D:$D, MATCH(AE3996&amp;AF3996, Sheet2!$E:$E, 0)), ""), "-")</f>
        <v/>
      </c>
    </row>
    <row r="3997" spans="1:33" x14ac:dyDescent="0.25">
      <c r="A3997" t="s">
        <v>36</v>
      </c>
      <c r="B3997" t="s">
        <v>5921</v>
      </c>
      <c r="C3997" t="s">
        <v>5922</v>
      </c>
      <c r="D3997" t="s">
        <v>803</v>
      </c>
      <c r="E3997" t="s">
        <v>38</v>
      </c>
      <c r="F3997">
        <v>1763</v>
      </c>
      <c r="G3997">
        <v>2061</v>
      </c>
      <c r="H3997" t="s">
        <v>5923</v>
      </c>
      <c r="I3997" t="s">
        <v>87</v>
      </c>
      <c r="J3997" t="s">
        <v>5924</v>
      </c>
      <c r="K3997" t="s">
        <v>38</v>
      </c>
      <c r="L3997" t="s">
        <v>38</v>
      </c>
      <c r="M3997" t="s">
        <v>38</v>
      </c>
      <c r="N3997" t="s">
        <v>38</v>
      </c>
      <c r="O3997" t="s">
        <v>57</v>
      </c>
      <c r="P3997" t="s">
        <v>42</v>
      </c>
      <c r="Q3997" t="s">
        <v>43</v>
      </c>
      <c r="R3997" t="s">
        <v>89</v>
      </c>
      <c r="S3997" t="s">
        <v>45</v>
      </c>
      <c r="T3997" t="s">
        <v>89</v>
      </c>
      <c r="U3997" t="s">
        <v>136</v>
      </c>
      <c r="V3997" t="s">
        <v>137</v>
      </c>
      <c r="W3997" t="s">
        <v>92</v>
      </c>
      <c r="X3997" t="s">
        <v>38</v>
      </c>
      <c r="Y3997" t="s">
        <v>5925</v>
      </c>
      <c r="Z3997" t="s">
        <v>42</v>
      </c>
      <c r="AA3997" t="s">
        <v>1351</v>
      </c>
      <c r="AB3997" t="s">
        <v>38</v>
      </c>
      <c r="AC3997" t="s">
        <v>45</v>
      </c>
      <c r="AD3997" t="s">
        <v>48</v>
      </c>
      <c r="AG3997" t="str">
        <f>IF(AD3997="United States", IFERROR(INDEX(Sheet2!$C:$C, MATCH(AE3997&amp;AF3997, Sheet2!$E:$E, 0)) &amp; ", " &amp; INDEX(Sheet2!$D:$D, MATCH(AE3997&amp;AF3997, Sheet2!$E:$E, 0)), ""), "-")</f>
        <v/>
      </c>
    </row>
    <row r="3998" spans="1:33" x14ac:dyDescent="0.25">
      <c r="A3998" t="s">
        <v>36</v>
      </c>
      <c r="D3998" t="s">
        <v>3144</v>
      </c>
      <c r="E3998" t="s">
        <v>4223</v>
      </c>
      <c r="F3998">
        <v>1757</v>
      </c>
      <c r="G3998">
        <v>1844</v>
      </c>
      <c r="H3998">
        <v>60</v>
      </c>
      <c r="J3998" t="s">
        <v>5684</v>
      </c>
      <c r="O3998" t="s">
        <v>57</v>
      </c>
      <c r="R3998" t="s">
        <v>89</v>
      </c>
      <c r="T3998" t="s">
        <v>89</v>
      </c>
      <c r="U3998" t="s">
        <v>136</v>
      </c>
      <c r="V3998" t="s">
        <v>5915</v>
      </c>
      <c r="W3998" t="s">
        <v>92</v>
      </c>
      <c r="Y3998" t="s">
        <v>38</v>
      </c>
      <c r="AA3998" t="s">
        <v>38</v>
      </c>
      <c r="AB3998" t="s">
        <v>38</v>
      </c>
      <c r="AC3998" t="s">
        <v>38</v>
      </c>
      <c r="AD3998" t="s">
        <v>48</v>
      </c>
      <c r="AG3998" t="str">
        <f>IF(AD3998="United States", IFERROR(INDEX(Sheet2!$C:$C, MATCH(AE3998&amp;AF3998, Sheet2!$E:$E, 0)) &amp; ", " &amp; INDEX(Sheet2!$D:$D, MATCH(AE3998&amp;AF3998, Sheet2!$E:$E, 0)), ""), "-")</f>
        <v/>
      </c>
    </row>
    <row r="3999" spans="1:33" x14ac:dyDescent="0.25">
      <c r="A3999" t="s">
        <v>36</v>
      </c>
      <c r="B3999" t="s">
        <v>5926</v>
      </c>
      <c r="C3999" t="s">
        <v>5917</v>
      </c>
      <c r="D3999" t="s">
        <v>938</v>
      </c>
      <c r="E3999" t="s">
        <v>402</v>
      </c>
      <c r="F3999">
        <v>1768</v>
      </c>
      <c r="G3999">
        <v>821</v>
      </c>
      <c r="H3999" t="s">
        <v>269</v>
      </c>
      <c r="I3999" t="s">
        <v>39</v>
      </c>
      <c r="J3999" t="s">
        <v>5919</v>
      </c>
      <c r="K3999" t="s">
        <v>38</v>
      </c>
      <c r="L3999" t="s">
        <v>38</v>
      </c>
      <c r="M3999" t="s">
        <v>38</v>
      </c>
      <c r="N3999" t="s">
        <v>38</v>
      </c>
      <c r="O3999" t="s">
        <v>54</v>
      </c>
      <c r="P3999" t="s">
        <v>42</v>
      </c>
      <c r="Q3999" t="s">
        <v>43</v>
      </c>
      <c r="R3999" t="s">
        <v>89</v>
      </c>
      <c r="S3999" t="s">
        <v>89</v>
      </c>
      <c r="T3999" t="s">
        <v>89</v>
      </c>
      <c r="U3999" t="s">
        <v>136</v>
      </c>
      <c r="V3999" t="s">
        <v>270</v>
      </c>
      <c r="W3999" t="s">
        <v>92</v>
      </c>
      <c r="X3999" t="s">
        <v>38</v>
      </c>
      <c r="Y3999" t="s">
        <v>5920</v>
      </c>
      <c r="Z3999" t="s">
        <v>42</v>
      </c>
      <c r="AA3999" t="s">
        <v>5927</v>
      </c>
      <c r="AB3999" t="s">
        <v>38</v>
      </c>
      <c r="AC3999" t="s">
        <v>89</v>
      </c>
      <c r="AD3999" t="s">
        <v>48</v>
      </c>
      <c r="AG3999" t="str">
        <f>IF(AD3999="United States", IFERROR(INDEX(Sheet2!$C:$C, MATCH(AE3999&amp;AF3999, Sheet2!$E:$E, 0)) &amp; ", " &amp; INDEX(Sheet2!$D:$D, MATCH(AE3999&amp;AF3999, Sheet2!$E:$E, 0)), ""), "-")</f>
        <v/>
      </c>
    </row>
    <row r="4000" spans="1:33" x14ac:dyDescent="0.25">
      <c r="A4000" t="s">
        <v>36</v>
      </c>
      <c r="D4000" t="s">
        <v>4711</v>
      </c>
      <c r="E4000" t="s">
        <v>231</v>
      </c>
      <c r="F4000">
        <v>1761</v>
      </c>
      <c r="G4000">
        <v>1841</v>
      </c>
      <c r="H4000">
        <v>60</v>
      </c>
      <c r="J4000" t="s">
        <v>5684</v>
      </c>
      <c r="O4000" t="s">
        <v>57</v>
      </c>
      <c r="R4000" t="s">
        <v>89</v>
      </c>
      <c r="T4000" t="s">
        <v>89</v>
      </c>
      <c r="U4000" t="s">
        <v>136</v>
      </c>
      <c r="V4000" t="s">
        <v>5915</v>
      </c>
      <c r="W4000" t="s">
        <v>92</v>
      </c>
      <c r="Y4000" t="s">
        <v>38</v>
      </c>
      <c r="AA4000" t="s">
        <v>38</v>
      </c>
      <c r="AB4000" t="s">
        <v>38</v>
      </c>
      <c r="AC4000" t="s">
        <v>38</v>
      </c>
      <c r="AD4000" t="s">
        <v>48</v>
      </c>
      <c r="AG4000" t="str">
        <f>IF(AD4000="United States", IFERROR(INDEX(Sheet2!$C:$C, MATCH(AE4000&amp;AF4000, Sheet2!$E:$E, 0)) &amp; ", " &amp; INDEX(Sheet2!$D:$D, MATCH(AE4000&amp;AF4000, Sheet2!$E:$E, 0)), ""), "-")</f>
        <v/>
      </c>
    </row>
    <row r="4001" spans="1:33" x14ac:dyDescent="0.25">
      <c r="A4001" t="s">
        <v>36</v>
      </c>
      <c r="D4001" t="s">
        <v>36</v>
      </c>
      <c r="E4001" t="s">
        <v>4223</v>
      </c>
      <c r="F4001">
        <v>1744</v>
      </c>
      <c r="G4001">
        <v>1843</v>
      </c>
      <c r="H4001">
        <v>60</v>
      </c>
      <c r="J4001" t="s">
        <v>5684</v>
      </c>
      <c r="O4001" t="s">
        <v>41</v>
      </c>
      <c r="R4001" t="s">
        <v>89</v>
      </c>
      <c r="T4001" t="s">
        <v>89</v>
      </c>
      <c r="U4001" t="s">
        <v>136</v>
      </c>
      <c r="V4001" t="s">
        <v>5915</v>
      </c>
      <c r="W4001" t="s">
        <v>92</v>
      </c>
      <c r="Y4001" t="s">
        <v>38</v>
      </c>
      <c r="AA4001" t="s">
        <v>38</v>
      </c>
      <c r="AB4001" t="s">
        <v>38</v>
      </c>
      <c r="AC4001" t="s">
        <v>38</v>
      </c>
      <c r="AD4001" t="s">
        <v>48</v>
      </c>
      <c r="AG4001" t="str">
        <f>IF(AD4001="United States", IFERROR(INDEX(Sheet2!$C:$C, MATCH(AE4001&amp;AF4001, Sheet2!$E:$E, 0)) &amp; ", " &amp; INDEX(Sheet2!$D:$D, MATCH(AE4001&amp;AF4001, Sheet2!$E:$E, 0)), ""), "-")</f>
        <v/>
      </c>
    </row>
    <row r="4002" spans="1:33" x14ac:dyDescent="0.25">
      <c r="A4002" t="s">
        <v>36</v>
      </c>
      <c r="B4002" t="s">
        <v>5928</v>
      </c>
      <c r="C4002" t="s">
        <v>5922</v>
      </c>
      <c r="D4002" t="s">
        <v>824</v>
      </c>
      <c r="E4002" t="s">
        <v>38</v>
      </c>
      <c r="F4002">
        <v>1762</v>
      </c>
      <c r="G4002">
        <v>2063</v>
      </c>
      <c r="H4002" t="s">
        <v>38</v>
      </c>
      <c r="I4002" t="s">
        <v>87</v>
      </c>
      <c r="J4002" t="s">
        <v>5924</v>
      </c>
      <c r="K4002" t="s">
        <v>38</v>
      </c>
      <c r="L4002" t="s">
        <v>38</v>
      </c>
      <c r="M4002" t="s">
        <v>38</v>
      </c>
      <c r="N4002" t="s">
        <v>38</v>
      </c>
      <c r="O4002" t="s">
        <v>41</v>
      </c>
      <c r="P4002" t="s">
        <v>42</v>
      </c>
      <c r="Q4002" t="s">
        <v>43</v>
      </c>
      <c r="R4002" t="s">
        <v>5929</v>
      </c>
      <c r="S4002" t="s">
        <v>153</v>
      </c>
      <c r="T4002" t="s">
        <v>38</v>
      </c>
      <c r="U4002" t="s">
        <v>38</v>
      </c>
      <c r="V4002" t="s">
        <v>137</v>
      </c>
      <c r="W4002" t="s">
        <v>38</v>
      </c>
      <c r="X4002" t="s">
        <v>38</v>
      </c>
      <c r="Y4002" t="s">
        <v>5930</v>
      </c>
      <c r="Z4002" t="s">
        <v>42</v>
      </c>
      <c r="AA4002" t="s">
        <v>38</v>
      </c>
      <c r="AB4002" t="s">
        <v>38</v>
      </c>
      <c r="AC4002" t="s">
        <v>153</v>
      </c>
      <c r="AD4002" t="s">
        <v>48</v>
      </c>
      <c r="AG4002" t="str">
        <f>IF(AD4002="United States", IFERROR(INDEX(Sheet2!$C:$C, MATCH(AE4002&amp;AF4002, Sheet2!$E:$E, 0)) &amp; ", " &amp; INDEX(Sheet2!$D:$D, MATCH(AE4002&amp;AF4002, Sheet2!$E:$E, 0)), ""), "-")</f>
        <v/>
      </c>
    </row>
    <row r="4003" spans="1:33" x14ac:dyDescent="0.25">
      <c r="A4003" t="s">
        <v>36</v>
      </c>
      <c r="B4003" t="s">
        <v>5931</v>
      </c>
      <c r="C4003" t="s">
        <v>5922</v>
      </c>
      <c r="D4003" t="s">
        <v>5932</v>
      </c>
      <c r="E4003" t="s">
        <v>38</v>
      </c>
      <c r="F4003">
        <v>1765</v>
      </c>
      <c r="G4003">
        <v>2064</v>
      </c>
      <c r="H4003" t="s">
        <v>38</v>
      </c>
      <c r="I4003" t="s">
        <v>87</v>
      </c>
      <c r="J4003" t="s">
        <v>5924</v>
      </c>
      <c r="K4003" t="s">
        <v>38</v>
      </c>
      <c r="L4003" t="s">
        <v>38</v>
      </c>
      <c r="M4003" t="s">
        <v>38</v>
      </c>
      <c r="N4003" t="s">
        <v>38</v>
      </c>
      <c r="O4003" t="s">
        <v>41</v>
      </c>
      <c r="P4003" t="s">
        <v>42</v>
      </c>
      <c r="Q4003" t="s">
        <v>43</v>
      </c>
      <c r="R4003" t="s">
        <v>38</v>
      </c>
      <c r="S4003" t="s">
        <v>38</v>
      </c>
      <c r="T4003" t="s">
        <v>38</v>
      </c>
      <c r="U4003" t="s">
        <v>38</v>
      </c>
      <c r="V4003" t="s">
        <v>137</v>
      </c>
      <c r="W4003" t="s">
        <v>38</v>
      </c>
      <c r="X4003" t="s">
        <v>38</v>
      </c>
      <c r="Y4003" t="s">
        <v>5933</v>
      </c>
      <c r="Z4003" t="s">
        <v>42</v>
      </c>
      <c r="AA4003" t="s">
        <v>38</v>
      </c>
      <c r="AB4003" t="s">
        <v>38</v>
      </c>
      <c r="AC4003" t="s">
        <v>38</v>
      </c>
      <c r="AD4003" t="s">
        <v>48</v>
      </c>
      <c r="AG4003" t="str">
        <f>IF(AD4003="United States", IFERROR(INDEX(Sheet2!$C:$C, MATCH(AE4003&amp;AF4003, Sheet2!$E:$E, 0)) &amp; ", " &amp; INDEX(Sheet2!$D:$D, MATCH(AE4003&amp;AF4003, Sheet2!$E:$E, 0)), ""), "-")</f>
        <v/>
      </c>
    </row>
    <row r="4004" spans="1:33" x14ac:dyDescent="0.25">
      <c r="A4004" t="s">
        <v>36</v>
      </c>
      <c r="D4004" t="s">
        <v>388</v>
      </c>
      <c r="E4004" t="s">
        <v>5934</v>
      </c>
      <c r="F4004">
        <v>1751</v>
      </c>
      <c r="G4004">
        <v>1832</v>
      </c>
      <c r="H4004">
        <v>60</v>
      </c>
      <c r="J4004" t="s">
        <v>5684</v>
      </c>
      <c r="O4004" t="s">
        <v>41</v>
      </c>
      <c r="R4004" t="s">
        <v>89</v>
      </c>
      <c r="T4004" t="s">
        <v>89</v>
      </c>
      <c r="U4004" t="s">
        <v>136</v>
      </c>
      <c r="V4004" t="s">
        <v>5915</v>
      </c>
      <c r="W4004" t="s">
        <v>92</v>
      </c>
      <c r="Y4004" t="s">
        <v>38</v>
      </c>
      <c r="AA4004" t="s">
        <v>38</v>
      </c>
      <c r="AB4004" t="s">
        <v>38</v>
      </c>
      <c r="AC4004" t="s">
        <v>38</v>
      </c>
      <c r="AD4004" t="s">
        <v>48</v>
      </c>
      <c r="AG4004" t="str">
        <f>IF(AD4004="United States", IFERROR(INDEX(Sheet2!$C:$C, MATCH(AE4004&amp;AF4004, Sheet2!$E:$E, 0)) &amp; ", " &amp; INDEX(Sheet2!$D:$D, MATCH(AE4004&amp;AF4004, Sheet2!$E:$E, 0)), ""), "-")</f>
        <v/>
      </c>
    </row>
    <row r="4005" spans="1:33" x14ac:dyDescent="0.25">
      <c r="A4005" t="s">
        <v>36</v>
      </c>
      <c r="D4005" t="s">
        <v>63</v>
      </c>
      <c r="E4005" t="s">
        <v>5935</v>
      </c>
      <c r="F4005">
        <v>1752</v>
      </c>
      <c r="G4005">
        <v>1833</v>
      </c>
      <c r="H4005">
        <v>60</v>
      </c>
      <c r="J4005" t="s">
        <v>5684</v>
      </c>
      <c r="O4005" t="s">
        <v>41</v>
      </c>
      <c r="R4005" t="s">
        <v>89</v>
      </c>
      <c r="T4005" t="s">
        <v>89</v>
      </c>
      <c r="U4005" t="s">
        <v>136</v>
      </c>
      <c r="V4005" t="s">
        <v>5915</v>
      </c>
      <c r="W4005" t="s">
        <v>92</v>
      </c>
      <c r="Y4005" t="s">
        <v>38</v>
      </c>
      <c r="AA4005" t="s">
        <v>38</v>
      </c>
      <c r="AB4005" t="s">
        <v>38</v>
      </c>
      <c r="AC4005" t="s">
        <v>38</v>
      </c>
      <c r="AD4005" t="s">
        <v>48</v>
      </c>
      <c r="AG4005" t="str">
        <f>IF(AD4005="United States", IFERROR(INDEX(Sheet2!$C:$C, MATCH(AE4005&amp;AF4005, Sheet2!$E:$E, 0)) &amp; ", " &amp; INDEX(Sheet2!$D:$D, MATCH(AE4005&amp;AF4005, Sheet2!$E:$E, 0)), ""), "-")</f>
        <v/>
      </c>
    </row>
    <row r="4006" spans="1:33" x14ac:dyDescent="0.25">
      <c r="A4006" t="s">
        <v>36</v>
      </c>
      <c r="D4006" t="s">
        <v>132</v>
      </c>
      <c r="E4006" t="s">
        <v>1635</v>
      </c>
      <c r="F4006">
        <v>1759</v>
      </c>
      <c r="G4006">
        <v>1835</v>
      </c>
      <c r="H4006">
        <v>60</v>
      </c>
      <c r="J4006" t="s">
        <v>5684</v>
      </c>
      <c r="O4006" t="s">
        <v>41</v>
      </c>
      <c r="R4006" t="s">
        <v>89</v>
      </c>
      <c r="T4006" t="s">
        <v>89</v>
      </c>
      <c r="U4006" t="s">
        <v>136</v>
      </c>
      <c r="V4006" t="s">
        <v>5915</v>
      </c>
      <c r="W4006" t="s">
        <v>92</v>
      </c>
      <c r="Y4006" t="s">
        <v>38</v>
      </c>
      <c r="AA4006" t="s">
        <v>38</v>
      </c>
      <c r="AB4006" t="s">
        <v>38</v>
      </c>
      <c r="AC4006" t="s">
        <v>38</v>
      </c>
      <c r="AD4006" t="s">
        <v>48</v>
      </c>
      <c r="AG4006" t="str">
        <f>IF(AD4006="United States", IFERROR(INDEX(Sheet2!$C:$C, MATCH(AE4006&amp;AF4006, Sheet2!$E:$E, 0)) &amp; ", " &amp; INDEX(Sheet2!$D:$D, MATCH(AE4006&amp;AF4006, Sheet2!$E:$E, 0)), ""), "-")</f>
        <v/>
      </c>
    </row>
    <row r="4007" spans="1:33" x14ac:dyDescent="0.25">
      <c r="A4007" t="s">
        <v>36</v>
      </c>
      <c r="D4007" t="s">
        <v>226</v>
      </c>
      <c r="E4007" t="s">
        <v>5936</v>
      </c>
      <c r="F4007">
        <v>1760</v>
      </c>
      <c r="G4007">
        <v>1837</v>
      </c>
      <c r="H4007">
        <v>60</v>
      </c>
      <c r="J4007" t="s">
        <v>5684</v>
      </c>
      <c r="O4007" t="s">
        <v>41</v>
      </c>
      <c r="R4007" t="s">
        <v>89</v>
      </c>
      <c r="T4007" t="s">
        <v>89</v>
      </c>
      <c r="U4007" t="s">
        <v>136</v>
      </c>
      <c r="V4007" t="s">
        <v>5915</v>
      </c>
      <c r="W4007" t="s">
        <v>92</v>
      </c>
      <c r="Y4007" t="s">
        <v>38</v>
      </c>
      <c r="AA4007" t="s">
        <v>38</v>
      </c>
      <c r="AB4007" t="s">
        <v>38</v>
      </c>
      <c r="AC4007" t="s">
        <v>38</v>
      </c>
      <c r="AD4007" t="s">
        <v>48</v>
      </c>
      <c r="AG4007" t="str">
        <f>IF(AD4007="United States", IFERROR(INDEX(Sheet2!$C:$C, MATCH(AE4007&amp;AF4007, Sheet2!$E:$E, 0)) &amp; ", " &amp; INDEX(Sheet2!$D:$D, MATCH(AE4007&amp;AF4007, Sheet2!$E:$E, 0)), ""), "-")</f>
        <v/>
      </c>
    </row>
    <row r="4008" spans="1:33" x14ac:dyDescent="0.25">
      <c r="A4008" t="s">
        <v>36</v>
      </c>
      <c r="D4008" t="s">
        <v>181</v>
      </c>
      <c r="E4008" t="s">
        <v>231</v>
      </c>
      <c r="F4008">
        <v>1778</v>
      </c>
      <c r="G4008">
        <v>1842</v>
      </c>
      <c r="H4008">
        <v>60</v>
      </c>
      <c r="J4008" t="s">
        <v>5684</v>
      </c>
      <c r="O4008" t="s">
        <v>74</v>
      </c>
      <c r="R4008" t="s">
        <v>89</v>
      </c>
      <c r="T4008" t="s">
        <v>89</v>
      </c>
      <c r="U4008" t="s">
        <v>136</v>
      </c>
      <c r="V4008" t="s">
        <v>5915</v>
      </c>
      <c r="W4008" t="s">
        <v>92</v>
      </c>
      <c r="Y4008" t="s">
        <v>38</v>
      </c>
      <c r="AA4008" t="s">
        <v>38</v>
      </c>
      <c r="AB4008" t="s">
        <v>38</v>
      </c>
      <c r="AC4008" t="s">
        <v>38</v>
      </c>
      <c r="AD4008" t="s">
        <v>48</v>
      </c>
      <c r="AG4008" t="str">
        <f>IF(AD4008="United States", IFERROR(INDEX(Sheet2!$C:$C, MATCH(AE4008&amp;AF4008, Sheet2!$E:$E, 0)) &amp; ", " &amp; INDEX(Sheet2!$D:$D, MATCH(AE4008&amp;AF4008, Sheet2!$E:$E, 0)), ""), "-")</f>
        <v/>
      </c>
    </row>
    <row r="4009" spans="1:33" x14ac:dyDescent="0.25">
      <c r="A4009" t="s">
        <v>36</v>
      </c>
      <c r="D4009" t="s">
        <v>200</v>
      </c>
      <c r="E4009" t="s">
        <v>633</v>
      </c>
      <c r="F4009">
        <v>1748</v>
      </c>
      <c r="G4009">
        <v>1839</v>
      </c>
      <c r="H4009">
        <v>60</v>
      </c>
      <c r="J4009" t="s">
        <v>5684</v>
      </c>
      <c r="O4009" t="s">
        <v>41</v>
      </c>
      <c r="R4009" t="s">
        <v>89</v>
      </c>
      <c r="T4009" t="s">
        <v>89</v>
      </c>
      <c r="U4009" t="s">
        <v>136</v>
      </c>
      <c r="V4009" t="s">
        <v>5915</v>
      </c>
      <c r="W4009" t="s">
        <v>92</v>
      </c>
      <c r="Y4009" t="s">
        <v>38</v>
      </c>
      <c r="AA4009" t="s">
        <v>38</v>
      </c>
      <c r="AB4009" t="s">
        <v>38</v>
      </c>
      <c r="AC4009" t="s">
        <v>38</v>
      </c>
      <c r="AD4009" t="s">
        <v>48</v>
      </c>
      <c r="AG4009" t="str">
        <f>IF(AD4009="United States", IFERROR(INDEX(Sheet2!$C:$C, MATCH(AE4009&amp;AF4009, Sheet2!$E:$E, 0)) &amp; ", " &amp; INDEX(Sheet2!$D:$D, MATCH(AE4009&amp;AF4009, Sheet2!$E:$E, 0)), ""), "-")</f>
        <v/>
      </c>
    </row>
    <row r="4010" spans="1:33" x14ac:dyDescent="0.25">
      <c r="A4010" t="s">
        <v>36</v>
      </c>
      <c r="B4010" t="s">
        <v>5937</v>
      </c>
      <c r="C4010" t="s">
        <v>5922</v>
      </c>
      <c r="D4010" t="s">
        <v>235</v>
      </c>
      <c r="E4010" t="s">
        <v>38</v>
      </c>
      <c r="F4010">
        <v>1776</v>
      </c>
      <c r="G4010">
        <v>2062</v>
      </c>
      <c r="H4010" t="s">
        <v>38</v>
      </c>
      <c r="I4010" t="s">
        <v>87</v>
      </c>
      <c r="J4010" t="s">
        <v>5924</v>
      </c>
      <c r="K4010" t="s">
        <v>38</v>
      </c>
      <c r="L4010" t="s">
        <v>38</v>
      </c>
      <c r="M4010" t="s">
        <v>38</v>
      </c>
      <c r="N4010" t="s">
        <v>38</v>
      </c>
      <c r="O4010" t="s">
        <v>74</v>
      </c>
      <c r="P4010" t="s">
        <v>42</v>
      </c>
      <c r="Q4010" t="s">
        <v>43</v>
      </c>
      <c r="R4010" t="s">
        <v>38</v>
      </c>
      <c r="S4010" t="s">
        <v>38</v>
      </c>
      <c r="T4010" t="s">
        <v>38</v>
      </c>
      <c r="U4010" t="s">
        <v>38</v>
      </c>
      <c r="V4010" t="s">
        <v>137</v>
      </c>
      <c r="W4010" t="s">
        <v>38</v>
      </c>
      <c r="X4010" t="s">
        <v>38</v>
      </c>
      <c r="Y4010" t="s">
        <v>5938</v>
      </c>
      <c r="Z4010" t="s">
        <v>42</v>
      </c>
      <c r="AA4010" t="s">
        <v>38</v>
      </c>
      <c r="AB4010" t="s">
        <v>38</v>
      </c>
      <c r="AC4010" t="s">
        <v>38</v>
      </c>
      <c r="AD4010" t="s">
        <v>48</v>
      </c>
      <c r="AG4010" t="str">
        <f>IF(AD4010="United States", IFERROR(INDEX(Sheet2!$C:$C, MATCH(AE4010&amp;AF4010, Sheet2!$E:$E, 0)) &amp; ", " &amp; INDEX(Sheet2!$D:$D, MATCH(AE4010&amp;AF4010, Sheet2!$E:$E, 0)), ""), "-")</f>
        <v/>
      </c>
    </row>
    <row r="4011" spans="1:33" x14ac:dyDescent="0.25">
      <c r="A4011" t="s">
        <v>36</v>
      </c>
      <c r="D4011" t="s">
        <v>132</v>
      </c>
      <c r="E4011" t="s">
        <v>633</v>
      </c>
      <c r="F4011">
        <v>1760</v>
      </c>
      <c r="G4011">
        <v>1838</v>
      </c>
      <c r="H4011">
        <v>60</v>
      </c>
      <c r="J4011" t="s">
        <v>5684</v>
      </c>
      <c r="O4011" t="s">
        <v>41</v>
      </c>
      <c r="R4011" t="s">
        <v>89</v>
      </c>
      <c r="T4011" t="s">
        <v>89</v>
      </c>
      <c r="U4011" t="s">
        <v>136</v>
      </c>
      <c r="V4011" t="s">
        <v>5915</v>
      </c>
      <c r="W4011" t="s">
        <v>92</v>
      </c>
      <c r="Y4011" t="s">
        <v>38</v>
      </c>
      <c r="AA4011" t="s">
        <v>38</v>
      </c>
      <c r="AB4011" t="s">
        <v>38</v>
      </c>
      <c r="AC4011" t="s">
        <v>38</v>
      </c>
      <c r="AD4011" t="s">
        <v>48</v>
      </c>
      <c r="AG4011" t="str">
        <f>IF(AD4011="United States", IFERROR(INDEX(Sheet2!$C:$C, MATCH(AE4011&amp;AF4011, Sheet2!$E:$E, 0)) &amp; ", " &amp; INDEX(Sheet2!$D:$D, MATCH(AE4011&amp;AF4011, Sheet2!$E:$E, 0)), ""), "-")</f>
        <v/>
      </c>
    </row>
    <row r="4012" spans="1:33" x14ac:dyDescent="0.25">
      <c r="A4012" t="s">
        <v>36</v>
      </c>
      <c r="D4012" t="s">
        <v>132</v>
      </c>
      <c r="E4012" t="s">
        <v>5247</v>
      </c>
      <c r="F4012">
        <v>1757</v>
      </c>
      <c r="G4012">
        <v>1790</v>
      </c>
      <c r="H4012">
        <v>59</v>
      </c>
      <c r="J4012" t="s">
        <v>5684</v>
      </c>
      <c r="O4012" t="s">
        <v>41</v>
      </c>
      <c r="R4012" t="s">
        <v>89</v>
      </c>
      <c r="T4012" t="s">
        <v>89</v>
      </c>
      <c r="U4012" t="s">
        <v>136</v>
      </c>
      <c r="V4012" t="s">
        <v>5915</v>
      </c>
      <c r="W4012" t="s">
        <v>92</v>
      </c>
      <c r="Y4012" t="s">
        <v>38</v>
      </c>
      <c r="AA4012" t="s">
        <v>38</v>
      </c>
      <c r="AB4012" t="s">
        <v>38</v>
      </c>
      <c r="AC4012" t="s">
        <v>38</v>
      </c>
      <c r="AD4012" t="s">
        <v>48</v>
      </c>
      <c r="AG4012" t="str">
        <f>IF(AD4012="United States", IFERROR(INDEX(Sheet2!$C:$C, MATCH(AE4012&amp;AF4012, Sheet2!$E:$E, 0)) &amp; ", " &amp; INDEX(Sheet2!$D:$D, MATCH(AE4012&amp;AF4012, Sheet2!$E:$E, 0)), ""), "-")</f>
        <v/>
      </c>
    </row>
    <row r="4013" spans="1:33" x14ac:dyDescent="0.25">
      <c r="A4013" t="s">
        <v>36</v>
      </c>
      <c r="B4013" t="s">
        <v>5939</v>
      </c>
      <c r="C4013" t="s">
        <v>5940</v>
      </c>
      <c r="D4013" t="s">
        <v>1249</v>
      </c>
      <c r="E4013" t="s">
        <v>38</v>
      </c>
      <c r="F4013">
        <v>1755</v>
      </c>
      <c r="G4013">
        <v>1968</v>
      </c>
      <c r="H4013" t="s">
        <v>38</v>
      </c>
      <c r="I4013" t="s">
        <v>80</v>
      </c>
      <c r="J4013" t="s">
        <v>38</v>
      </c>
      <c r="K4013" t="s">
        <v>38</v>
      </c>
      <c r="L4013" t="s">
        <v>38</v>
      </c>
      <c r="M4013" t="s">
        <v>38</v>
      </c>
      <c r="N4013" t="s">
        <v>38</v>
      </c>
      <c r="O4013" t="s">
        <v>41</v>
      </c>
      <c r="P4013" t="s">
        <v>42</v>
      </c>
      <c r="Q4013" t="s">
        <v>43</v>
      </c>
      <c r="R4013" t="s">
        <v>38</v>
      </c>
      <c r="S4013" t="s">
        <v>38</v>
      </c>
      <c r="T4013" t="s">
        <v>38</v>
      </c>
      <c r="U4013" t="s">
        <v>38</v>
      </c>
      <c r="V4013" t="s">
        <v>91</v>
      </c>
      <c r="W4013" t="s">
        <v>38</v>
      </c>
      <c r="X4013" t="s">
        <v>38</v>
      </c>
      <c r="Y4013" t="s">
        <v>5941</v>
      </c>
      <c r="Z4013" t="s">
        <v>42</v>
      </c>
      <c r="AA4013" t="s">
        <v>5942</v>
      </c>
      <c r="AB4013" t="s">
        <v>38</v>
      </c>
      <c r="AC4013" t="s">
        <v>166</v>
      </c>
      <c r="AD4013" t="s">
        <v>48</v>
      </c>
      <c r="AG4013" t="str">
        <f>IF(AD4013="United States", IFERROR(INDEX(Sheet2!$C:$C, MATCH(AE4013&amp;AF4013, Sheet2!$E:$E, 0)) &amp; ", " &amp; INDEX(Sheet2!$D:$D, MATCH(AE4013&amp;AF4013, Sheet2!$E:$E, 0)), ""), "-")</f>
        <v/>
      </c>
    </row>
    <row r="4014" spans="1:33" x14ac:dyDescent="0.25">
      <c r="A4014" t="s">
        <v>36</v>
      </c>
      <c r="D4014" t="s">
        <v>181</v>
      </c>
      <c r="E4014" t="s">
        <v>359</v>
      </c>
      <c r="F4014">
        <v>1772</v>
      </c>
      <c r="G4014">
        <v>1810</v>
      </c>
      <c r="H4014">
        <v>60</v>
      </c>
      <c r="J4014" t="s">
        <v>5684</v>
      </c>
      <c r="O4014" t="s">
        <v>183</v>
      </c>
      <c r="R4014" t="s">
        <v>89</v>
      </c>
      <c r="T4014" t="s">
        <v>89</v>
      </c>
      <c r="U4014" t="s">
        <v>136</v>
      </c>
      <c r="V4014" t="s">
        <v>5915</v>
      </c>
      <c r="W4014" t="s">
        <v>92</v>
      </c>
      <c r="Y4014" t="s">
        <v>38</v>
      </c>
      <c r="AA4014" t="s">
        <v>38</v>
      </c>
      <c r="AB4014" t="s">
        <v>38</v>
      </c>
      <c r="AC4014" t="s">
        <v>38</v>
      </c>
      <c r="AD4014" t="s">
        <v>48</v>
      </c>
      <c r="AG4014" t="str">
        <f>IF(AD4014="United States", IFERROR(INDEX(Sheet2!$C:$C, MATCH(AE4014&amp;AF4014, Sheet2!$E:$E, 0)) &amp; ", " &amp; INDEX(Sheet2!$D:$D, MATCH(AE4014&amp;AF4014, Sheet2!$E:$E, 0)), ""), "-")</f>
        <v/>
      </c>
    </row>
    <row r="4015" spans="1:33" x14ac:dyDescent="0.25">
      <c r="A4015" t="s">
        <v>36</v>
      </c>
      <c r="D4015" t="s">
        <v>181</v>
      </c>
      <c r="E4015" t="s">
        <v>1103</v>
      </c>
      <c r="F4015">
        <v>1782</v>
      </c>
      <c r="G4015">
        <v>1807</v>
      </c>
      <c r="H4015">
        <v>60</v>
      </c>
      <c r="J4015" t="s">
        <v>5684</v>
      </c>
      <c r="O4015" t="s">
        <v>183</v>
      </c>
      <c r="R4015" t="s">
        <v>89</v>
      </c>
      <c r="T4015" t="s">
        <v>89</v>
      </c>
      <c r="U4015" t="s">
        <v>136</v>
      </c>
      <c r="V4015" t="s">
        <v>5915</v>
      </c>
      <c r="W4015" t="s">
        <v>92</v>
      </c>
      <c r="Y4015" t="s">
        <v>38</v>
      </c>
      <c r="AA4015" t="s">
        <v>38</v>
      </c>
      <c r="AB4015" t="s">
        <v>38</v>
      </c>
      <c r="AC4015" t="s">
        <v>38</v>
      </c>
      <c r="AD4015" t="s">
        <v>48</v>
      </c>
      <c r="AG4015" t="str">
        <f>IF(AD4015="United States", IFERROR(INDEX(Sheet2!$C:$C, MATCH(AE4015&amp;AF4015, Sheet2!$E:$E, 0)) &amp; ", " &amp; INDEX(Sheet2!$D:$D, MATCH(AE4015&amp;AF4015, Sheet2!$E:$E, 0)), ""), "-")</f>
        <v/>
      </c>
    </row>
    <row r="4016" spans="1:33" x14ac:dyDescent="0.25">
      <c r="A4016" t="s">
        <v>36</v>
      </c>
      <c r="D4016" t="s">
        <v>50</v>
      </c>
      <c r="E4016" t="s">
        <v>5943</v>
      </c>
      <c r="F4016">
        <v>1758</v>
      </c>
      <c r="G4016">
        <v>1803</v>
      </c>
      <c r="H4016">
        <v>60</v>
      </c>
      <c r="J4016" t="s">
        <v>5684</v>
      </c>
      <c r="O4016" t="s">
        <v>57</v>
      </c>
      <c r="R4016" t="s">
        <v>89</v>
      </c>
      <c r="T4016" t="s">
        <v>89</v>
      </c>
      <c r="U4016" t="s">
        <v>136</v>
      </c>
      <c r="V4016" t="s">
        <v>5915</v>
      </c>
      <c r="W4016" t="s">
        <v>92</v>
      </c>
      <c r="Y4016" t="s">
        <v>38</v>
      </c>
      <c r="AA4016" t="s">
        <v>38</v>
      </c>
      <c r="AB4016" t="s">
        <v>38</v>
      </c>
      <c r="AC4016" t="s">
        <v>38</v>
      </c>
      <c r="AD4016" t="s">
        <v>48</v>
      </c>
      <c r="AG4016" t="str">
        <f>IF(AD4016="United States", IFERROR(INDEX(Sheet2!$C:$C, MATCH(AE4016&amp;AF4016, Sheet2!$E:$E, 0)) &amp; ", " &amp; INDEX(Sheet2!$D:$D, MATCH(AE4016&amp;AF4016, Sheet2!$E:$E, 0)), ""), "-")</f>
        <v/>
      </c>
    </row>
    <row r="4017" spans="1:33" x14ac:dyDescent="0.25">
      <c r="A4017" t="s">
        <v>36</v>
      </c>
      <c r="D4017" t="s">
        <v>5944</v>
      </c>
      <c r="E4017" t="s">
        <v>268</v>
      </c>
      <c r="F4017">
        <v>1758</v>
      </c>
      <c r="G4017">
        <v>1802</v>
      </c>
      <c r="H4017">
        <v>60</v>
      </c>
      <c r="J4017" t="s">
        <v>5684</v>
      </c>
      <c r="O4017" t="s">
        <v>41</v>
      </c>
      <c r="R4017" t="s">
        <v>89</v>
      </c>
      <c r="T4017" t="s">
        <v>89</v>
      </c>
      <c r="U4017" t="s">
        <v>136</v>
      </c>
      <c r="V4017" t="s">
        <v>5915</v>
      </c>
      <c r="W4017" t="s">
        <v>92</v>
      </c>
      <c r="Y4017" t="s">
        <v>38</v>
      </c>
      <c r="AA4017" t="s">
        <v>38</v>
      </c>
      <c r="AB4017" t="s">
        <v>38</v>
      </c>
      <c r="AC4017" t="s">
        <v>38</v>
      </c>
      <c r="AD4017" t="s">
        <v>48</v>
      </c>
      <c r="AG4017" t="str">
        <f>IF(AD4017="United States", IFERROR(INDEX(Sheet2!$C:$C, MATCH(AE4017&amp;AF4017, Sheet2!$E:$E, 0)) &amp; ", " &amp; INDEX(Sheet2!$D:$D, MATCH(AE4017&amp;AF4017, Sheet2!$E:$E, 0)), ""), "-")</f>
        <v/>
      </c>
    </row>
    <row r="4018" spans="1:33" x14ac:dyDescent="0.25">
      <c r="A4018" t="s">
        <v>36</v>
      </c>
      <c r="D4018" t="s">
        <v>1989</v>
      </c>
      <c r="E4018" t="s">
        <v>986</v>
      </c>
      <c r="F4018">
        <v>1753</v>
      </c>
      <c r="G4018">
        <v>1801</v>
      </c>
      <c r="H4018">
        <v>60</v>
      </c>
      <c r="J4018" t="s">
        <v>5684</v>
      </c>
      <c r="O4018" t="s">
        <v>41</v>
      </c>
      <c r="R4018" t="s">
        <v>89</v>
      </c>
      <c r="T4018" t="s">
        <v>89</v>
      </c>
      <c r="U4018" t="s">
        <v>136</v>
      </c>
      <c r="V4018" t="s">
        <v>5915</v>
      </c>
      <c r="W4018" t="s">
        <v>92</v>
      </c>
      <c r="Y4018" t="s">
        <v>38</v>
      </c>
      <c r="AA4018" t="s">
        <v>38</v>
      </c>
      <c r="AB4018" t="s">
        <v>38</v>
      </c>
      <c r="AC4018" t="s">
        <v>38</v>
      </c>
      <c r="AD4018" t="s">
        <v>48</v>
      </c>
      <c r="AG4018" t="str">
        <f>IF(AD4018="United States", IFERROR(INDEX(Sheet2!$C:$C, MATCH(AE4018&amp;AF4018, Sheet2!$E:$E, 0)) &amp; ", " &amp; INDEX(Sheet2!$D:$D, MATCH(AE4018&amp;AF4018, Sheet2!$E:$E, 0)), ""), "-")</f>
        <v/>
      </c>
    </row>
    <row r="4019" spans="1:33" x14ac:dyDescent="0.25">
      <c r="A4019" t="s">
        <v>36</v>
      </c>
      <c r="D4019" t="s">
        <v>463</v>
      </c>
      <c r="E4019" t="s">
        <v>5291</v>
      </c>
      <c r="F4019">
        <v>1743</v>
      </c>
      <c r="G4019">
        <v>1800</v>
      </c>
      <c r="H4019">
        <v>59</v>
      </c>
      <c r="J4019" t="s">
        <v>5684</v>
      </c>
      <c r="O4019" t="s">
        <v>41</v>
      </c>
      <c r="R4019" t="s">
        <v>89</v>
      </c>
      <c r="T4019" t="s">
        <v>89</v>
      </c>
      <c r="U4019" t="s">
        <v>136</v>
      </c>
      <c r="V4019" t="s">
        <v>5915</v>
      </c>
      <c r="W4019" t="s">
        <v>92</v>
      </c>
      <c r="Y4019" t="s">
        <v>38</v>
      </c>
      <c r="AA4019" t="s">
        <v>38</v>
      </c>
      <c r="AB4019" t="s">
        <v>38</v>
      </c>
      <c r="AC4019" t="s">
        <v>38</v>
      </c>
      <c r="AD4019" t="s">
        <v>48</v>
      </c>
      <c r="AG4019" t="str">
        <f>IF(AD4019="United States", IFERROR(INDEX(Sheet2!$C:$C, MATCH(AE4019&amp;AF4019, Sheet2!$E:$E, 0)) &amp; ", " &amp; INDEX(Sheet2!$D:$D, MATCH(AE4019&amp;AF4019, Sheet2!$E:$E, 0)), ""), "-")</f>
        <v/>
      </c>
    </row>
    <row r="4020" spans="1:33" x14ac:dyDescent="0.25">
      <c r="A4020" t="s">
        <v>36</v>
      </c>
      <c r="D4020" t="s">
        <v>181</v>
      </c>
      <c r="E4020" t="s">
        <v>359</v>
      </c>
      <c r="F4020">
        <v>1775</v>
      </c>
      <c r="G4020">
        <v>1811</v>
      </c>
      <c r="H4020">
        <v>60</v>
      </c>
      <c r="J4020" t="s">
        <v>5684</v>
      </c>
      <c r="O4020" t="s">
        <v>183</v>
      </c>
      <c r="R4020" t="s">
        <v>89</v>
      </c>
      <c r="T4020" t="s">
        <v>89</v>
      </c>
      <c r="U4020" t="s">
        <v>136</v>
      </c>
      <c r="V4020" t="s">
        <v>5915</v>
      </c>
      <c r="W4020" t="s">
        <v>92</v>
      </c>
      <c r="Y4020" t="s">
        <v>38</v>
      </c>
      <c r="AA4020" t="s">
        <v>38</v>
      </c>
      <c r="AB4020" t="s">
        <v>38</v>
      </c>
      <c r="AC4020" t="s">
        <v>38</v>
      </c>
      <c r="AD4020" t="s">
        <v>48</v>
      </c>
      <c r="AG4020" t="str">
        <f>IF(AD4020="United States", IFERROR(INDEX(Sheet2!$C:$C, MATCH(AE4020&amp;AF4020, Sheet2!$E:$E, 0)) &amp; ", " &amp; INDEX(Sheet2!$D:$D, MATCH(AE4020&amp;AF4020, Sheet2!$E:$E, 0)), ""), "-")</f>
        <v/>
      </c>
    </row>
    <row r="4021" spans="1:33" x14ac:dyDescent="0.25">
      <c r="A4021" t="s">
        <v>36</v>
      </c>
      <c r="D4021" t="s">
        <v>98</v>
      </c>
      <c r="E4021" t="s">
        <v>1084</v>
      </c>
      <c r="F4021">
        <v>1767</v>
      </c>
      <c r="G4021">
        <v>1799</v>
      </c>
      <c r="H4021">
        <v>59</v>
      </c>
      <c r="J4021" t="s">
        <v>5684</v>
      </c>
      <c r="O4021" t="s">
        <v>57</v>
      </c>
      <c r="R4021" t="s">
        <v>89</v>
      </c>
      <c r="T4021" t="s">
        <v>89</v>
      </c>
      <c r="U4021" t="s">
        <v>136</v>
      </c>
      <c r="V4021" t="s">
        <v>5915</v>
      </c>
      <c r="W4021" t="s">
        <v>92</v>
      </c>
      <c r="Y4021" t="s">
        <v>38</v>
      </c>
      <c r="AA4021" t="s">
        <v>38</v>
      </c>
      <c r="AB4021" t="s">
        <v>38</v>
      </c>
      <c r="AC4021" t="s">
        <v>38</v>
      </c>
      <c r="AD4021" t="s">
        <v>48</v>
      </c>
      <c r="AG4021" t="str">
        <f>IF(AD4021="United States", IFERROR(INDEX(Sheet2!$C:$C, MATCH(AE4021&amp;AF4021, Sheet2!$E:$E, 0)) &amp; ", " &amp; INDEX(Sheet2!$D:$D, MATCH(AE4021&amp;AF4021, Sheet2!$E:$E, 0)), ""), "-")</f>
        <v/>
      </c>
    </row>
    <row r="4022" spans="1:33" x14ac:dyDescent="0.25">
      <c r="A4022" t="s">
        <v>36</v>
      </c>
      <c r="D4022" t="s">
        <v>1003</v>
      </c>
      <c r="E4022" t="s">
        <v>37</v>
      </c>
      <c r="F4022">
        <v>1746</v>
      </c>
      <c r="G4022">
        <v>1797</v>
      </c>
      <c r="H4022">
        <v>59</v>
      </c>
      <c r="J4022" t="s">
        <v>5684</v>
      </c>
      <c r="O4022" t="s">
        <v>57</v>
      </c>
      <c r="R4022" t="s">
        <v>89</v>
      </c>
      <c r="T4022" t="s">
        <v>89</v>
      </c>
      <c r="U4022" t="s">
        <v>136</v>
      </c>
      <c r="V4022" t="s">
        <v>5915</v>
      </c>
      <c r="W4022" t="s">
        <v>92</v>
      </c>
      <c r="Y4022" t="s">
        <v>38</v>
      </c>
      <c r="AA4022" t="s">
        <v>38</v>
      </c>
      <c r="AB4022" t="s">
        <v>38</v>
      </c>
      <c r="AC4022" t="s">
        <v>38</v>
      </c>
      <c r="AD4022" t="s">
        <v>48</v>
      </c>
      <c r="AG4022" t="str">
        <f>IF(AD4022="United States", IFERROR(INDEX(Sheet2!$C:$C, MATCH(AE4022&amp;AF4022, Sheet2!$E:$E, 0)) &amp; ", " &amp; INDEX(Sheet2!$D:$D, MATCH(AE4022&amp;AF4022, Sheet2!$E:$E, 0)), ""), "-")</f>
        <v/>
      </c>
    </row>
    <row r="4023" spans="1:33" x14ac:dyDescent="0.25">
      <c r="A4023" t="s">
        <v>36</v>
      </c>
      <c r="D4023" t="s">
        <v>132</v>
      </c>
      <c r="E4023" t="s">
        <v>1908</v>
      </c>
      <c r="F4023">
        <v>1757</v>
      </c>
      <c r="G4023">
        <v>1796</v>
      </c>
      <c r="H4023">
        <v>59</v>
      </c>
      <c r="J4023" t="s">
        <v>5684</v>
      </c>
      <c r="O4023" t="s">
        <v>41</v>
      </c>
      <c r="R4023" t="s">
        <v>89</v>
      </c>
      <c r="T4023" t="s">
        <v>89</v>
      </c>
      <c r="U4023" t="s">
        <v>136</v>
      </c>
      <c r="V4023" t="s">
        <v>5915</v>
      </c>
      <c r="W4023" t="s">
        <v>92</v>
      </c>
      <c r="Y4023" t="s">
        <v>38</v>
      </c>
      <c r="AA4023" t="s">
        <v>38</v>
      </c>
      <c r="AB4023" t="s">
        <v>38</v>
      </c>
      <c r="AC4023" t="s">
        <v>38</v>
      </c>
      <c r="AD4023" t="s">
        <v>48</v>
      </c>
      <c r="AG4023" t="str">
        <f>IF(AD4023="United States", IFERROR(INDEX(Sheet2!$C:$C, MATCH(AE4023&amp;AF4023, Sheet2!$E:$E, 0)) &amp; ", " &amp; INDEX(Sheet2!$D:$D, MATCH(AE4023&amp;AF4023, Sheet2!$E:$E, 0)), ""), "-")</f>
        <v/>
      </c>
    </row>
    <row r="4024" spans="1:33" x14ac:dyDescent="0.25">
      <c r="A4024" t="s">
        <v>36</v>
      </c>
      <c r="D4024" t="s">
        <v>210</v>
      </c>
      <c r="E4024" t="s">
        <v>191</v>
      </c>
      <c r="F4024">
        <v>1756</v>
      </c>
      <c r="G4024">
        <v>1795</v>
      </c>
      <c r="H4024">
        <v>59</v>
      </c>
      <c r="J4024" t="s">
        <v>5684</v>
      </c>
      <c r="O4024" t="s">
        <v>41</v>
      </c>
      <c r="R4024" t="s">
        <v>89</v>
      </c>
      <c r="T4024" t="s">
        <v>89</v>
      </c>
      <c r="U4024" t="s">
        <v>136</v>
      </c>
      <c r="V4024" t="s">
        <v>5915</v>
      </c>
      <c r="W4024" t="s">
        <v>92</v>
      </c>
      <c r="Y4024" t="s">
        <v>38</v>
      </c>
      <c r="AA4024" t="s">
        <v>38</v>
      </c>
      <c r="AB4024" t="s">
        <v>38</v>
      </c>
      <c r="AC4024" t="s">
        <v>38</v>
      </c>
      <c r="AD4024" t="s">
        <v>48</v>
      </c>
      <c r="AG4024" t="str">
        <f>IF(AD4024="United States", IFERROR(INDEX(Sheet2!$C:$C, MATCH(AE4024&amp;AF4024, Sheet2!$E:$E, 0)) &amp; ", " &amp; INDEX(Sheet2!$D:$D, MATCH(AE4024&amp;AF4024, Sheet2!$E:$E, 0)), ""), "-")</f>
        <v/>
      </c>
    </row>
    <row r="4025" spans="1:33" x14ac:dyDescent="0.25">
      <c r="A4025" t="s">
        <v>36</v>
      </c>
      <c r="D4025" t="s">
        <v>36</v>
      </c>
      <c r="E4025" t="s">
        <v>5945</v>
      </c>
      <c r="F4025">
        <v>1748</v>
      </c>
      <c r="G4025">
        <v>1794</v>
      </c>
      <c r="H4025">
        <v>59</v>
      </c>
      <c r="J4025" t="s">
        <v>5684</v>
      </c>
      <c r="O4025" t="s">
        <v>41</v>
      </c>
      <c r="R4025" t="s">
        <v>89</v>
      </c>
      <c r="T4025" t="s">
        <v>89</v>
      </c>
      <c r="U4025" t="s">
        <v>136</v>
      </c>
      <c r="V4025" t="s">
        <v>5915</v>
      </c>
      <c r="W4025" t="s">
        <v>92</v>
      </c>
      <c r="Y4025" t="s">
        <v>38</v>
      </c>
      <c r="AA4025" t="s">
        <v>38</v>
      </c>
      <c r="AB4025" t="s">
        <v>38</v>
      </c>
      <c r="AC4025" t="s">
        <v>38</v>
      </c>
      <c r="AD4025" t="s">
        <v>48</v>
      </c>
      <c r="AG4025" t="str">
        <f>IF(AD4025="United States", IFERROR(INDEX(Sheet2!$C:$C, MATCH(AE4025&amp;AF4025, Sheet2!$E:$E, 0)) &amp; ", " &amp; INDEX(Sheet2!$D:$D, MATCH(AE4025&amp;AF4025, Sheet2!$E:$E, 0)), ""), "-")</f>
        <v/>
      </c>
    </row>
    <row r="4026" spans="1:33" x14ac:dyDescent="0.25">
      <c r="A4026" t="s">
        <v>36</v>
      </c>
      <c r="D4026" t="s">
        <v>1551</v>
      </c>
      <c r="E4026" t="s">
        <v>2836</v>
      </c>
      <c r="F4026">
        <v>1761</v>
      </c>
      <c r="G4026">
        <v>1793</v>
      </c>
      <c r="H4026">
        <v>59</v>
      </c>
      <c r="J4026" t="s">
        <v>5684</v>
      </c>
      <c r="O4026" t="s">
        <v>57</v>
      </c>
      <c r="R4026" t="s">
        <v>89</v>
      </c>
      <c r="T4026" t="s">
        <v>89</v>
      </c>
      <c r="U4026" t="s">
        <v>136</v>
      </c>
      <c r="V4026" t="s">
        <v>5915</v>
      </c>
      <c r="W4026" t="s">
        <v>92</v>
      </c>
      <c r="Y4026" t="s">
        <v>38</v>
      </c>
      <c r="AA4026" t="s">
        <v>38</v>
      </c>
      <c r="AB4026" t="s">
        <v>38</v>
      </c>
      <c r="AC4026" t="s">
        <v>38</v>
      </c>
      <c r="AD4026" t="s">
        <v>48</v>
      </c>
      <c r="AG4026" t="str">
        <f>IF(AD4026="United States", IFERROR(INDEX(Sheet2!$C:$C, MATCH(AE4026&amp;AF4026, Sheet2!$E:$E, 0)) &amp; ", " &amp; INDEX(Sheet2!$D:$D, MATCH(AE4026&amp;AF4026, Sheet2!$E:$E, 0)), ""), "-")</f>
        <v/>
      </c>
    </row>
    <row r="4027" spans="1:33" x14ac:dyDescent="0.25">
      <c r="A4027" t="s">
        <v>36</v>
      </c>
      <c r="D4027" t="s">
        <v>181</v>
      </c>
      <c r="E4027" t="s">
        <v>1966</v>
      </c>
      <c r="F4027" t="s">
        <v>38</v>
      </c>
      <c r="G4027">
        <v>1792</v>
      </c>
      <c r="H4027">
        <v>59</v>
      </c>
      <c r="J4027" t="s">
        <v>5946</v>
      </c>
      <c r="O4027" t="s">
        <v>183</v>
      </c>
      <c r="R4027" t="s">
        <v>89</v>
      </c>
      <c r="T4027" t="s">
        <v>89</v>
      </c>
      <c r="U4027" t="s">
        <v>136</v>
      </c>
      <c r="V4027" t="s">
        <v>5915</v>
      </c>
      <c r="W4027" t="s">
        <v>92</v>
      </c>
      <c r="Y4027" t="s">
        <v>38</v>
      </c>
      <c r="AA4027" t="s">
        <v>38</v>
      </c>
      <c r="AB4027" t="s">
        <v>38</v>
      </c>
      <c r="AC4027" t="s">
        <v>38</v>
      </c>
      <c r="AD4027" t="s">
        <v>48</v>
      </c>
      <c r="AG4027" t="str">
        <f>IF(AD4027="United States", IFERROR(INDEX(Sheet2!$C:$C, MATCH(AE4027&amp;AF4027, Sheet2!$E:$E, 0)) &amp; ", " &amp; INDEX(Sheet2!$D:$D, MATCH(AE4027&amp;AF4027, Sheet2!$E:$E, 0)), ""), "-")</f>
        <v/>
      </c>
    </row>
    <row r="4028" spans="1:33" x14ac:dyDescent="0.25">
      <c r="A4028" t="s">
        <v>36</v>
      </c>
      <c r="D4028" t="s">
        <v>361</v>
      </c>
      <c r="E4028" t="s">
        <v>37</v>
      </c>
      <c r="F4028">
        <v>1772</v>
      </c>
      <c r="G4028">
        <v>1798</v>
      </c>
      <c r="H4028">
        <v>59</v>
      </c>
      <c r="J4028" t="s">
        <v>5684</v>
      </c>
      <c r="O4028" t="s">
        <v>54</v>
      </c>
      <c r="R4028" t="s">
        <v>89</v>
      </c>
      <c r="T4028" t="s">
        <v>89</v>
      </c>
      <c r="U4028" t="s">
        <v>136</v>
      </c>
      <c r="V4028" t="s">
        <v>5915</v>
      </c>
      <c r="W4028" t="s">
        <v>92</v>
      </c>
      <c r="Y4028" t="s">
        <v>38</v>
      </c>
      <c r="AA4028" t="s">
        <v>38</v>
      </c>
      <c r="AB4028" t="s">
        <v>38</v>
      </c>
      <c r="AC4028" t="s">
        <v>38</v>
      </c>
      <c r="AD4028" t="s">
        <v>48</v>
      </c>
      <c r="AG4028" t="str">
        <f>IF(AD4028="United States", IFERROR(INDEX(Sheet2!$C:$C, MATCH(AE4028&amp;AF4028, Sheet2!$E:$E, 0)) &amp; ", " &amp; INDEX(Sheet2!$D:$D, MATCH(AE4028&amp;AF4028, Sheet2!$E:$E, 0)), ""), "-")</f>
        <v/>
      </c>
    </row>
    <row r="4029" spans="1:33" x14ac:dyDescent="0.25">
      <c r="A4029" t="s">
        <v>36</v>
      </c>
      <c r="D4029" t="s">
        <v>150</v>
      </c>
      <c r="E4029" t="s">
        <v>1327</v>
      </c>
      <c r="F4029">
        <v>1747</v>
      </c>
      <c r="G4029">
        <v>1789</v>
      </c>
      <c r="H4029">
        <v>59</v>
      </c>
      <c r="J4029" t="s">
        <v>5684</v>
      </c>
      <c r="O4029" t="s">
        <v>41</v>
      </c>
      <c r="R4029" t="s">
        <v>89</v>
      </c>
      <c r="T4029" t="s">
        <v>89</v>
      </c>
      <c r="U4029" t="s">
        <v>136</v>
      </c>
      <c r="V4029" t="s">
        <v>5915</v>
      </c>
      <c r="W4029" t="s">
        <v>92</v>
      </c>
      <c r="Y4029" t="s">
        <v>38</v>
      </c>
      <c r="AA4029" t="s">
        <v>38</v>
      </c>
      <c r="AB4029" t="s">
        <v>38</v>
      </c>
      <c r="AC4029" t="s">
        <v>38</v>
      </c>
      <c r="AD4029" t="s">
        <v>48</v>
      </c>
      <c r="AG4029" t="str">
        <f>IF(AD4029="United States", IFERROR(INDEX(Sheet2!$C:$C, MATCH(AE4029&amp;AF4029, Sheet2!$E:$E, 0)) &amp; ", " &amp; INDEX(Sheet2!$D:$D, MATCH(AE4029&amp;AF4029, Sheet2!$E:$E, 0)), ""), "-")</f>
        <v/>
      </c>
    </row>
    <row r="4030" spans="1:33" x14ac:dyDescent="0.25">
      <c r="A4030" t="s">
        <v>36</v>
      </c>
      <c r="D4030" t="s">
        <v>181</v>
      </c>
      <c r="E4030" t="s">
        <v>359</v>
      </c>
      <c r="F4030">
        <v>1779</v>
      </c>
      <c r="G4030">
        <v>1812</v>
      </c>
      <c r="H4030">
        <v>60</v>
      </c>
      <c r="J4030" t="s">
        <v>5684</v>
      </c>
      <c r="O4030" t="s">
        <v>183</v>
      </c>
      <c r="R4030" t="s">
        <v>89</v>
      </c>
      <c r="T4030" t="s">
        <v>89</v>
      </c>
      <c r="U4030" t="s">
        <v>136</v>
      </c>
      <c r="V4030" t="s">
        <v>5915</v>
      </c>
      <c r="W4030" t="s">
        <v>92</v>
      </c>
      <c r="Y4030" t="s">
        <v>38</v>
      </c>
      <c r="AA4030" t="s">
        <v>38</v>
      </c>
      <c r="AB4030" t="s">
        <v>38</v>
      </c>
      <c r="AC4030" t="s">
        <v>38</v>
      </c>
      <c r="AD4030" t="s">
        <v>48</v>
      </c>
      <c r="AG4030" t="str">
        <f>IF(AD4030="United States", IFERROR(INDEX(Sheet2!$C:$C, MATCH(AE4030&amp;AF4030, Sheet2!$E:$E, 0)) &amp; ", " &amp; INDEX(Sheet2!$D:$D, MATCH(AE4030&amp;AF4030, Sheet2!$E:$E, 0)), ""), "-")</f>
        <v/>
      </c>
    </row>
    <row r="4031" spans="1:33" x14ac:dyDescent="0.25">
      <c r="A4031" t="s">
        <v>36</v>
      </c>
      <c r="D4031" t="s">
        <v>5947</v>
      </c>
      <c r="E4031" t="s">
        <v>120</v>
      </c>
      <c r="F4031">
        <v>1754</v>
      </c>
      <c r="G4031">
        <v>1817</v>
      </c>
      <c r="H4031">
        <v>60</v>
      </c>
      <c r="J4031" t="s">
        <v>5684</v>
      </c>
      <c r="O4031" t="s">
        <v>57</v>
      </c>
      <c r="R4031" t="s">
        <v>89</v>
      </c>
      <c r="T4031" t="s">
        <v>89</v>
      </c>
      <c r="U4031" t="s">
        <v>136</v>
      </c>
      <c r="V4031" t="s">
        <v>5915</v>
      </c>
      <c r="W4031" t="s">
        <v>92</v>
      </c>
      <c r="Y4031" t="s">
        <v>38</v>
      </c>
      <c r="AA4031" t="s">
        <v>38</v>
      </c>
      <c r="AB4031" t="s">
        <v>38</v>
      </c>
      <c r="AC4031" t="s">
        <v>38</v>
      </c>
      <c r="AD4031" t="s">
        <v>48</v>
      </c>
      <c r="AG4031" t="str">
        <f>IF(AD4031="United States", IFERROR(INDEX(Sheet2!$C:$C, MATCH(AE4031&amp;AF4031, Sheet2!$E:$E, 0)) &amp; ", " &amp; INDEX(Sheet2!$D:$D, MATCH(AE4031&amp;AF4031, Sheet2!$E:$E, 0)), ""), "-")</f>
        <v/>
      </c>
    </row>
    <row r="4032" spans="1:33" x14ac:dyDescent="0.25">
      <c r="A4032" t="s">
        <v>36</v>
      </c>
      <c r="B4032" t="s">
        <v>5948</v>
      </c>
      <c r="C4032" t="s">
        <v>5940</v>
      </c>
      <c r="D4032" t="s">
        <v>569</v>
      </c>
      <c r="E4032" t="s">
        <v>38</v>
      </c>
      <c r="F4032">
        <v>1751</v>
      </c>
      <c r="G4032">
        <v>1967</v>
      </c>
      <c r="H4032" t="s">
        <v>38</v>
      </c>
      <c r="I4032" t="s">
        <v>80</v>
      </c>
      <c r="J4032" t="s">
        <v>38</v>
      </c>
      <c r="K4032" t="s">
        <v>38</v>
      </c>
      <c r="L4032" t="s">
        <v>38</v>
      </c>
      <c r="M4032" t="s">
        <v>38</v>
      </c>
      <c r="N4032" t="s">
        <v>38</v>
      </c>
      <c r="O4032" t="s">
        <v>41</v>
      </c>
      <c r="P4032" t="s">
        <v>42</v>
      </c>
      <c r="Q4032" t="s">
        <v>43</v>
      </c>
      <c r="R4032" t="s">
        <v>155</v>
      </c>
      <c r="S4032" t="s">
        <v>153</v>
      </c>
      <c r="T4032" t="s">
        <v>38</v>
      </c>
      <c r="U4032" t="s">
        <v>38</v>
      </c>
      <c r="V4032" t="s">
        <v>91</v>
      </c>
      <c r="W4032" t="s">
        <v>38</v>
      </c>
      <c r="X4032" t="s">
        <v>38</v>
      </c>
      <c r="Y4032" t="s">
        <v>5949</v>
      </c>
      <c r="Z4032" t="s">
        <v>42</v>
      </c>
      <c r="AA4032" t="s">
        <v>155</v>
      </c>
      <c r="AB4032" t="s">
        <v>153</v>
      </c>
      <c r="AC4032" t="s">
        <v>148</v>
      </c>
      <c r="AD4032" t="s">
        <v>48</v>
      </c>
      <c r="AG4032" t="str">
        <f>IF(AD4032="United States", IFERROR(INDEX(Sheet2!$C:$C, MATCH(AE4032&amp;AF4032, Sheet2!$E:$E, 0)) &amp; ", " &amp; INDEX(Sheet2!$D:$D, MATCH(AE4032&amp;AF4032, Sheet2!$E:$E, 0)), ""), "-")</f>
        <v/>
      </c>
    </row>
    <row r="4033" spans="1:33" x14ac:dyDescent="0.25">
      <c r="A4033" t="s">
        <v>36</v>
      </c>
      <c r="D4033" t="s">
        <v>181</v>
      </c>
      <c r="E4033" t="s">
        <v>1413</v>
      </c>
      <c r="F4033" t="s">
        <v>38</v>
      </c>
      <c r="G4033">
        <v>1831</v>
      </c>
      <c r="H4033">
        <v>60</v>
      </c>
      <c r="J4033" t="s">
        <v>5684</v>
      </c>
      <c r="O4033" t="s">
        <v>183</v>
      </c>
      <c r="R4033" t="s">
        <v>89</v>
      </c>
      <c r="T4033" t="s">
        <v>89</v>
      </c>
      <c r="U4033" t="s">
        <v>136</v>
      </c>
      <c r="V4033" t="s">
        <v>5915</v>
      </c>
      <c r="W4033" t="s">
        <v>92</v>
      </c>
      <c r="Y4033" t="s">
        <v>38</v>
      </c>
      <c r="AA4033" t="s">
        <v>38</v>
      </c>
      <c r="AB4033" t="s">
        <v>38</v>
      </c>
      <c r="AC4033" t="s">
        <v>38</v>
      </c>
      <c r="AD4033" t="s">
        <v>48</v>
      </c>
      <c r="AG4033" t="str">
        <f>IF(AD4033="United States", IFERROR(INDEX(Sheet2!$C:$C, MATCH(AE4033&amp;AF4033, Sheet2!$E:$E, 0)) &amp; ", " &amp; INDEX(Sheet2!$D:$D, MATCH(AE4033&amp;AF4033, Sheet2!$E:$E, 0)), ""), "-")</f>
        <v/>
      </c>
    </row>
    <row r="4034" spans="1:33" x14ac:dyDescent="0.25">
      <c r="A4034" t="s">
        <v>36</v>
      </c>
      <c r="D4034" t="s">
        <v>181</v>
      </c>
      <c r="E4034" t="s">
        <v>245</v>
      </c>
      <c r="F4034">
        <v>1781</v>
      </c>
      <c r="G4034">
        <v>1829</v>
      </c>
      <c r="H4034">
        <v>60</v>
      </c>
      <c r="J4034" t="s">
        <v>5684</v>
      </c>
      <c r="O4034" t="s">
        <v>183</v>
      </c>
      <c r="R4034" t="s">
        <v>89</v>
      </c>
      <c r="T4034" t="s">
        <v>89</v>
      </c>
      <c r="U4034" t="s">
        <v>136</v>
      </c>
      <c r="V4034" t="s">
        <v>5915</v>
      </c>
      <c r="W4034" t="s">
        <v>92</v>
      </c>
      <c r="Y4034" t="s">
        <v>38</v>
      </c>
      <c r="AA4034" t="s">
        <v>38</v>
      </c>
      <c r="AB4034" t="s">
        <v>38</v>
      </c>
      <c r="AC4034" t="s">
        <v>38</v>
      </c>
      <c r="AD4034" t="s">
        <v>48</v>
      </c>
      <c r="AG4034" t="str">
        <f>IF(AD4034="United States", IFERROR(INDEX(Sheet2!$C:$C, MATCH(AE4034&amp;AF4034, Sheet2!$E:$E, 0)) &amp; ", " &amp; INDEX(Sheet2!$D:$D, MATCH(AE4034&amp;AF4034, Sheet2!$E:$E, 0)), ""), "-")</f>
        <v/>
      </c>
    </row>
    <row r="4035" spans="1:33" x14ac:dyDescent="0.25">
      <c r="A4035" t="s">
        <v>36</v>
      </c>
      <c r="D4035" t="s">
        <v>181</v>
      </c>
      <c r="E4035" t="s">
        <v>245</v>
      </c>
      <c r="F4035">
        <v>1779</v>
      </c>
      <c r="G4035">
        <v>1828</v>
      </c>
      <c r="H4035">
        <v>60</v>
      </c>
      <c r="J4035" t="s">
        <v>5684</v>
      </c>
      <c r="O4035" t="s">
        <v>183</v>
      </c>
      <c r="R4035" t="s">
        <v>89</v>
      </c>
      <c r="T4035" t="s">
        <v>89</v>
      </c>
      <c r="U4035" t="s">
        <v>136</v>
      </c>
      <c r="V4035" t="s">
        <v>5915</v>
      </c>
      <c r="W4035" t="s">
        <v>92</v>
      </c>
      <c r="Y4035" t="s">
        <v>38</v>
      </c>
      <c r="AA4035" t="s">
        <v>38</v>
      </c>
      <c r="AB4035" t="s">
        <v>38</v>
      </c>
      <c r="AC4035" t="s">
        <v>38</v>
      </c>
      <c r="AD4035" t="s">
        <v>48</v>
      </c>
      <c r="AG4035" t="str">
        <f>IF(AD4035="United States", IFERROR(INDEX(Sheet2!$C:$C, MATCH(AE4035&amp;AF4035, Sheet2!$E:$E, 0)) &amp; ", " &amp; INDEX(Sheet2!$D:$D, MATCH(AE4035&amp;AF4035, Sheet2!$E:$E, 0)), ""), "-")</f>
        <v/>
      </c>
    </row>
    <row r="4036" spans="1:33" x14ac:dyDescent="0.25">
      <c r="A4036" t="s">
        <v>36</v>
      </c>
      <c r="D4036" t="s">
        <v>621</v>
      </c>
      <c r="E4036" t="s">
        <v>5950</v>
      </c>
      <c r="F4036">
        <v>1767</v>
      </c>
      <c r="G4036">
        <v>1825</v>
      </c>
      <c r="H4036">
        <v>60</v>
      </c>
      <c r="J4036" t="s">
        <v>5684</v>
      </c>
      <c r="O4036" t="s">
        <v>41</v>
      </c>
      <c r="R4036" t="s">
        <v>89</v>
      </c>
      <c r="T4036" t="s">
        <v>89</v>
      </c>
      <c r="U4036" t="s">
        <v>136</v>
      </c>
      <c r="V4036" t="s">
        <v>5915</v>
      </c>
      <c r="W4036" t="s">
        <v>92</v>
      </c>
      <c r="Y4036" t="s">
        <v>38</v>
      </c>
      <c r="AA4036" t="s">
        <v>38</v>
      </c>
      <c r="AB4036" t="s">
        <v>38</v>
      </c>
      <c r="AC4036" t="s">
        <v>38</v>
      </c>
      <c r="AD4036" t="s">
        <v>48</v>
      </c>
      <c r="AG4036" t="str">
        <f>IF(AD4036="United States", IFERROR(INDEX(Sheet2!$C:$C, MATCH(AE4036&amp;AF4036, Sheet2!$E:$E, 0)) &amp; ", " &amp; INDEX(Sheet2!$D:$D, MATCH(AE4036&amp;AF4036, Sheet2!$E:$E, 0)), ""), "-")</f>
        <v/>
      </c>
    </row>
    <row r="4037" spans="1:33" x14ac:dyDescent="0.25">
      <c r="A4037" t="s">
        <v>36</v>
      </c>
      <c r="D4037" t="s">
        <v>181</v>
      </c>
      <c r="E4037" t="s">
        <v>5951</v>
      </c>
      <c r="F4037">
        <v>1778</v>
      </c>
      <c r="G4037">
        <v>1824</v>
      </c>
      <c r="H4037">
        <v>60</v>
      </c>
      <c r="J4037" t="s">
        <v>5684</v>
      </c>
      <c r="O4037" t="s">
        <v>54</v>
      </c>
      <c r="R4037" t="s">
        <v>89</v>
      </c>
      <c r="T4037" t="s">
        <v>89</v>
      </c>
      <c r="U4037" t="s">
        <v>136</v>
      </c>
      <c r="V4037" t="s">
        <v>5915</v>
      </c>
      <c r="W4037" t="s">
        <v>92</v>
      </c>
      <c r="Y4037" t="s">
        <v>38</v>
      </c>
      <c r="AA4037" t="s">
        <v>38</v>
      </c>
      <c r="AB4037" t="s">
        <v>38</v>
      </c>
      <c r="AC4037" t="s">
        <v>38</v>
      </c>
      <c r="AD4037" t="s">
        <v>48</v>
      </c>
      <c r="AG4037" t="str">
        <f>IF(AD4037="United States", IFERROR(INDEX(Sheet2!$C:$C, MATCH(AE4037&amp;AF4037, Sheet2!$E:$E, 0)) &amp; ", " &amp; INDEX(Sheet2!$D:$D, MATCH(AE4037&amp;AF4037, Sheet2!$E:$E, 0)), ""), "-")</f>
        <v/>
      </c>
    </row>
    <row r="4038" spans="1:33" x14ac:dyDescent="0.25">
      <c r="A4038" t="s">
        <v>36</v>
      </c>
      <c r="D4038" t="s">
        <v>334</v>
      </c>
      <c r="E4038" t="s">
        <v>191</v>
      </c>
      <c r="F4038">
        <v>1758</v>
      </c>
      <c r="G4038">
        <v>1818</v>
      </c>
      <c r="H4038">
        <v>60</v>
      </c>
      <c r="J4038" t="s">
        <v>5684</v>
      </c>
      <c r="O4038" t="s">
        <v>41</v>
      </c>
      <c r="R4038" t="s">
        <v>89</v>
      </c>
      <c r="T4038" t="s">
        <v>89</v>
      </c>
      <c r="U4038" t="s">
        <v>136</v>
      </c>
      <c r="V4038" t="s">
        <v>5915</v>
      </c>
      <c r="W4038" t="s">
        <v>92</v>
      </c>
      <c r="Y4038" t="s">
        <v>38</v>
      </c>
      <c r="AA4038" t="s">
        <v>38</v>
      </c>
      <c r="AB4038" t="s">
        <v>38</v>
      </c>
      <c r="AC4038" t="s">
        <v>38</v>
      </c>
      <c r="AD4038" t="s">
        <v>48</v>
      </c>
      <c r="AG4038" t="str">
        <f>IF(AD4038="United States", IFERROR(INDEX(Sheet2!$C:$C, MATCH(AE4038&amp;AF4038, Sheet2!$E:$E, 0)) &amp; ", " &amp; INDEX(Sheet2!$D:$D, MATCH(AE4038&amp;AF4038, Sheet2!$E:$E, 0)), ""), "-")</f>
        <v/>
      </c>
    </row>
    <row r="4039" spans="1:33" x14ac:dyDescent="0.25">
      <c r="A4039" t="s">
        <v>36</v>
      </c>
      <c r="D4039" t="s">
        <v>1238</v>
      </c>
      <c r="E4039" t="s">
        <v>5951</v>
      </c>
      <c r="F4039">
        <v>1749</v>
      </c>
      <c r="G4039">
        <v>1823</v>
      </c>
      <c r="H4039">
        <v>60</v>
      </c>
      <c r="J4039" t="s">
        <v>5684</v>
      </c>
      <c r="O4039" t="s">
        <v>57</v>
      </c>
      <c r="R4039" t="s">
        <v>89</v>
      </c>
      <c r="T4039" t="s">
        <v>89</v>
      </c>
      <c r="U4039" t="s">
        <v>136</v>
      </c>
      <c r="V4039" t="s">
        <v>5915</v>
      </c>
      <c r="W4039" t="s">
        <v>92</v>
      </c>
      <c r="Y4039" t="s">
        <v>38</v>
      </c>
      <c r="AA4039" t="s">
        <v>38</v>
      </c>
      <c r="AB4039" t="s">
        <v>38</v>
      </c>
      <c r="AC4039" t="s">
        <v>38</v>
      </c>
      <c r="AD4039" t="s">
        <v>48</v>
      </c>
      <c r="AG4039" t="str">
        <f>IF(AD4039="United States", IFERROR(INDEX(Sheet2!$C:$C, MATCH(AE4039&amp;AF4039, Sheet2!$E:$E, 0)) &amp; ", " &amp; INDEX(Sheet2!$D:$D, MATCH(AE4039&amp;AF4039, Sheet2!$E:$E, 0)), ""), "-")</f>
        <v/>
      </c>
    </row>
    <row r="4040" spans="1:33" x14ac:dyDescent="0.25">
      <c r="A4040" t="s">
        <v>36</v>
      </c>
      <c r="D4040" t="s">
        <v>1230</v>
      </c>
      <c r="E4040" t="s">
        <v>268</v>
      </c>
      <c r="F4040">
        <v>1723</v>
      </c>
      <c r="G4040">
        <v>1821</v>
      </c>
      <c r="H4040">
        <v>60</v>
      </c>
      <c r="J4040" t="s">
        <v>5684</v>
      </c>
      <c r="O4040" t="s">
        <v>57</v>
      </c>
      <c r="R4040" t="s">
        <v>89</v>
      </c>
      <c r="T4040" t="s">
        <v>89</v>
      </c>
      <c r="U4040" t="s">
        <v>136</v>
      </c>
      <c r="V4040" t="s">
        <v>5915</v>
      </c>
      <c r="W4040" t="s">
        <v>92</v>
      </c>
      <c r="Y4040" t="s">
        <v>38</v>
      </c>
      <c r="AA4040" t="s">
        <v>38</v>
      </c>
      <c r="AB4040" t="s">
        <v>38</v>
      </c>
      <c r="AC4040" t="s">
        <v>38</v>
      </c>
      <c r="AD4040" t="s">
        <v>48</v>
      </c>
      <c r="AG4040" t="str">
        <f>IF(AD4040="United States", IFERROR(INDEX(Sheet2!$C:$C, MATCH(AE4040&amp;AF4040, Sheet2!$E:$E, 0)) &amp; ", " &amp; INDEX(Sheet2!$D:$D, MATCH(AE4040&amp;AF4040, Sheet2!$E:$E, 0)), ""), "-")</f>
        <v/>
      </c>
    </row>
    <row r="4041" spans="1:33" x14ac:dyDescent="0.25">
      <c r="A4041" t="s">
        <v>36</v>
      </c>
      <c r="D4041" t="s">
        <v>181</v>
      </c>
      <c r="E4041" t="s">
        <v>803</v>
      </c>
      <c r="F4041" t="s">
        <v>38</v>
      </c>
      <c r="G4041">
        <v>1820</v>
      </c>
      <c r="H4041">
        <v>60</v>
      </c>
      <c r="J4041" t="s">
        <v>5684</v>
      </c>
      <c r="O4041" t="s">
        <v>183</v>
      </c>
      <c r="R4041" t="s">
        <v>89</v>
      </c>
      <c r="T4041" t="s">
        <v>89</v>
      </c>
      <c r="U4041" t="s">
        <v>136</v>
      </c>
      <c r="V4041" t="s">
        <v>5915</v>
      </c>
      <c r="W4041" t="s">
        <v>92</v>
      </c>
      <c r="Y4041" t="s">
        <v>38</v>
      </c>
      <c r="AA4041" t="s">
        <v>38</v>
      </c>
      <c r="AB4041" t="s">
        <v>38</v>
      </c>
      <c r="AC4041" t="s">
        <v>38</v>
      </c>
      <c r="AD4041" t="s">
        <v>48</v>
      </c>
      <c r="AG4041" t="str">
        <f>IF(AD4041="United States", IFERROR(INDEX(Sheet2!$C:$C, MATCH(AE4041&amp;AF4041, Sheet2!$E:$E, 0)) &amp; ", " &amp; INDEX(Sheet2!$D:$D, MATCH(AE4041&amp;AF4041, Sheet2!$E:$E, 0)), ""), "-")</f>
        <v/>
      </c>
    </row>
    <row r="4042" spans="1:33" x14ac:dyDescent="0.25">
      <c r="A4042" t="s">
        <v>36</v>
      </c>
      <c r="D4042" t="s">
        <v>181</v>
      </c>
      <c r="E4042" t="s">
        <v>3564</v>
      </c>
      <c r="F4042" t="s">
        <v>38</v>
      </c>
      <c r="G4042">
        <v>1816</v>
      </c>
      <c r="H4042">
        <v>60</v>
      </c>
      <c r="J4042" t="s">
        <v>5684</v>
      </c>
      <c r="O4042" t="s">
        <v>183</v>
      </c>
      <c r="R4042" t="s">
        <v>89</v>
      </c>
      <c r="T4042" t="s">
        <v>89</v>
      </c>
      <c r="U4042" t="s">
        <v>136</v>
      </c>
      <c r="V4042" t="s">
        <v>5915</v>
      </c>
      <c r="W4042" t="s">
        <v>92</v>
      </c>
      <c r="Y4042" t="s">
        <v>38</v>
      </c>
      <c r="AA4042" t="s">
        <v>38</v>
      </c>
      <c r="AB4042" t="s">
        <v>38</v>
      </c>
      <c r="AC4042" t="s">
        <v>38</v>
      </c>
      <c r="AD4042" t="s">
        <v>48</v>
      </c>
      <c r="AG4042" t="str">
        <f>IF(AD4042="United States", IFERROR(INDEX(Sheet2!$C:$C, MATCH(AE4042&amp;AF4042, Sheet2!$E:$E, 0)) &amp; ", " &amp; INDEX(Sheet2!$D:$D, MATCH(AE4042&amp;AF4042, Sheet2!$E:$E, 0)), ""), "-")</f>
        <v/>
      </c>
    </row>
    <row r="4043" spans="1:33" x14ac:dyDescent="0.25">
      <c r="A4043" t="s">
        <v>36</v>
      </c>
      <c r="D4043" t="s">
        <v>72</v>
      </c>
      <c r="E4043" t="s">
        <v>3564</v>
      </c>
      <c r="F4043">
        <v>1761</v>
      </c>
      <c r="G4043">
        <v>1815</v>
      </c>
      <c r="H4043">
        <v>60</v>
      </c>
      <c r="J4043" t="s">
        <v>5684</v>
      </c>
      <c r="O4043" t="s">
        <v>57</v>
      </c>
      <c r="R4043" t="s">
        <v>89</v>
      </c>
      <c r="T4043" t="s">
        <v>89</v>
      </c>
      <c r="U4043" t="s">
        <v>136</v>
      </c>
      <c r="V4043" t="s">
        <v>5915</v>
      </c>
      <c r="W4043" t="s">
        <v>92</v>
      </c>
      <c r="Y4043" t="s">
        <v>38</v>
      </c>
      <c r="AA4043" t="s">
        <v>38</v>
      </c>
      <c r="AB4043" t="s">
        <v>38</v>
      </c>
      <c r="AC4043" t="s">
        <v>38</v>
      </c>
      <c r="AD4043" t="s">
        <v>48</v>
      </c>
      <c r="AG4043" t="str">
        <f>IF(AD4043="United States", IFERROR(INDEX(Sheet2!$C:$C, MATCH(AE4043&amp;AF4043, Sheet2!$E:$E, 0)) &amp; ", " &amp; INDEX(Sheet2!$D:$D, MATCH(AE4043&amp;AF4043, Sheet2!$E:$E, 0)), ""), "-")</f>
        <v/>
      </c>
    </row>
    <row r="4044" spans="1:33" x14ac:dyDescent="0.25">
      <c r="A4044" t="s">
        <v>36</v>
      </c>
      <c r="D4044" t="s">
        <v>113</v>
      </c>
      <c r="E4044" t="s">
        <v>3564</v>
      </c>
      <c r="F4044">
        <v>1755</v>
      </c>
      <c r="G4044">
        <v>1814</v>
      </c>
      <c r="H4044">
        <v>60</v>
      </c>
      <c r="J4044" t="s">
        <v>5684</v>
      </c>
      <c r="O4044" t="s">
        <v>41</v>
      </c>
      <c r="R4044" t="s">
        <v>89</v>
      </c>
      <c r="T4044" t="s">
        <v>89</v>
      </c>
      <c r="U4044" t="s">
        <v>136</v>
      </c>
      <c r="V4044" t="s">
        <v>5915</v>
      </c>
      <c r="W4044" t="s">
        <v>92</v>
      </c>
      <c r="Y4044" t="s">
        <v>38</v>
      </c>
      <c r="AA4044" t="s">
        <v>38</v>
      </c>
      <c r="AB4044" t="s">
        <v>38</v>
      </c>
      <c r="AC4044" t="s">
        <v>38</v>
      </c>
      <c r="AD4044" t="s">
        <v>48</v>
      </c>
      <c r="AG4044" t="str">
        <f>IF(AD4044="United States", IFERROR(INDEX(Sheet2!$C:$C, MATCH(AE4044&amp;AF4044, Sheet2!$E:$E, 0)) &amp; ", " &amp; INDEX(Sheet2!$D:$D, MATCH(AE4044&amp;AF4044, Sheet2!$E:$E, 0)), ""), "-")</f>
        <v/>
      </c>
    </row>
    <row r="4045" spans="1:33" x14ac:dyDescent="0.25">
      <c r="A4045" t="s">
        <v>36</v>
      </c>
      <c r="D4045" t="s">
        <v>181</v>
      </c>
      <c r="E4045" t="s">
        <v>359</v>
      </c>
      <c r="F4045">
        <v>1781</v>
      </c>
      <c r="G4045">
        <v>1813</v>
      </c>
      <c r="H4045">
        <v>60</v>
      </c>
      <c r="J4045" t="s">
        <v>5684</v>
      </c>
      <c r="O4045" t="s">
        <v>183</v>
      </c>
      <c r="R4045" t="s">
        <v>89</v>
      </c>
      <c r="T4045" t="s">
        <v>89</v>
      </c>
      <c r="U4045" t="s">
        <v>136</v>
      </c>
      <c r="V4045" t="s">
        <v>5915</v>
      </c>
      <c r="W4045" t="s">
        <v>92</v>
      </c>
      <c r="Y4045" t="s">
        <v>38</v>
      </c>
      <c r="AA4045" t="s">
        <v>38</v>
      </c>
      <c r="AB4045" t="s">
        <v>38</v>
      </c>
      <c r="AC4045" t="s">
        <v>38</v>
      </c>
      <c r="AD4045" t="s">
        <v>48</v>
      </c>
      <c r="AG4045" t="str">
        <f>IF(AD4045="United States", IFERROR(INDEX(Sheet2!$C:$C, MATCH(AE4045&amp;AF4045, Sheet2!$E:$E, 0)) &amp; ", " &amp; INDEX(Sheet2!$D:$D, MATCH(AE4045&amp;AF4045, Sheet2!$E:$E, 0)), ""), "-")</f>
        <v/>
      </c>
    </row>
    <row r="4046" spans="1:33" x14ac:dyDescent="0.25">
      <c r="A4046" t="s">
        <v>36</v>
      </c>
      <c r="D4046" t="s">
        <v>621</v>
      </c>
      <c r="E4046" t="s">
        <v>5952</v>
      </c>
      <c r="F4046">
        <v>1738</v>
      </c>
      <c r="G4046">
        <v>1822</v>
      </c>
      <c r="H4046">
        <v>60</v>
      </c>
      <c r="J4046" t="s">
        <v>5684</v>
      </c>
      <c r="O4046" t="s">
        <v>41</v>
      </c>
      <c r="R4046" t="s">
        <v>89</v>
      </c>
      <c r="T4046" t="s">
        <v>89</v>
      </c>
      <c r="U4046" t="s">
        <v>136</v>
      </c>
      <c r="V4046" t="s">
        <v>5915</v>
      </c>
      <c r="W4046" t="s">
        <v>92</v>
      </c>
      <c r="Y4046" t="s">
        <v>38</v>
      </c>
      <c r="AA4046" t="s">
        <v>38</v>
      </c>
      <c r="AB4046" t="s">
        <v>38</v>
      </c>
      <c r="AC4046" t="s">
        <v>38</v>
      </c>
      <c r="AD4046" t="s">
        <v>48</v>
      </c>
      <c r="AG4046" t="str">
        <f>IF(AD4046="United States", IFERROR(INDEX(Sheet2!$C:$C, MATCH(AE4046&amp;AF4046, Sheet2!$E:$E, 0)) &amp; ", " &amp; INDEX(Sheet2!$D:$D, MATCH(AE4046&amp;AF4046, Sheet2!$E:$E, 0)), ""), "-")</f>
        <v/>
      </c>
    </row>
    <row r="4047" spans="1:33" x14ac:dyDescent="0.25">
      <c r="A4047" t="s">
        <v>36</v>
      </c>
      <c r="B4047" t="s">
        <v>5953</v>
      </c>
      <c r="C4047" t="s">
        <v>5917</v>
      </c>
      <c r="D4047" t="s">
        <v>1126</v>
      </c>
      <c r="E4047" t="s">
        <v>5954</v>
      </c>
      <c r="F4047">
        <v>1759</v>
      </c>
      <c r="G4047">
        <v>819</v>
      </c>
      <c r="H4047" t="s">
        <v>269</v>
      </c>
      <c r="I4047" t="s">
        <v>39</v>
      </c>
      <c r="J4047" t="s">
        <v>5919</v>
      </c>
      <c r="K4047" t="s">
        <v>38</v>
      </c>
      <c r="L4047" t="s">
        <v>38</v>
      </c>
      <c r="M4047" t="s">
        <v>38</v>
      </c>
      <c r="N4047" t="s">
        <v>38</v>
      </c>
      <c r="O4047" t="s">
        <v>41</v>
      </c>
      <c r="P4047" t="s">
        <v>42</v>
      </c>
      <c r="Q4047" t="s">
        <v>43</v>
      </c>
      <c r="R4047" t="s">
        <v>89</v>
      </c>
      <c r="S4047" t="s">
        <v>201</v>
      </c>
      <c r="T4047" t="s">
        <v>89</v>
      </c>
      <c r="U4047" t="s">
        <v>136</v>
      </c>
      <c r="V4047" t="s">
        <v>270</v>
      </c>
      <c r="W4047" t="s">
        <v>92</v>
      </c>
      <c r="X4047" t="s">
        <v>38</v>
      </c>
      <c r="Y4047" t="s">
        <v>5920</v>
      </c>
      <c r="Z4047" t="s">
        <v>42</v>
      </c>
      <c r="AA4047" t="s">
        <v>324</v>
      </c>
      <c r="AB4047" t="s">
        <v>38</v>
      </c>
      <c r="AC4047" t="s">
        <v>201</v>
      </c>
      <c r="AD4047" t="s">
        <v>48</v>
      </c>
      <c r="AG4047" t="str">
        <f>IF(AD4047="United States", IFERROR(INDEX(Sheet2!$C:$C, MATCH(AE4047&amp;AF4047, Sheet2!$E:$E, 0)) &amp; ", " &amp; INDEX(Sheet2!$D:$D, MATCH(AE4047&amp;AF4047, Sheet2!$E:$E, 0)), ""), "-")</f>
        <v/>
      </c>
    </row>
    <row r="4048" spans="1:33" x14ac:dyDescent="0.25">
      <c r="A4048" t="s">
        <v>5955</v>
      </c>
      <c r="B4048" t="s">
        <v>5956</v>
      </c>
      <c r="C4048" t="s">
        <v>5957</v>
      </c>
      <c r="D4048" t="s">
        <v>352</v>
      </c>
      <c r="F4048" t="s">
        <v>38</v>
      </c>
      <c r="G4048">
        <v>2726</v>
      </c>
      <c r="I4048" t="s">
        <v>87</v>
      </c>
      <c r="J4048" t="s">
        <v>5958</v>
      </c>
      <c r="O4048" t="s">
        <v>41</v>
      </c>
      <c r="P4048" t="s">
        <v>42</v>
      </c>
      <c r="Q4048" t="s">
        <v>43</v>
      </c>
      <c r="V4048" t="s">
        <v>597</v>
      </c>
      <c r="Y4048" t="s">
        <v>5959</v>
      </c>
      <c r="Z4048" t="s">
        <v>42</v>
      </c>
      <c r="AA4048" t="s">
        <v>38</v>
      </c>
      <c r="AB4048" t="s">
        <v>38</v>
      </c>
      <c r="AC4048" t="s">
        <v>38</v>
      </c>
      <c r="AD4048" t="s">
        <v>48</v>
      </c>
      <c r="AG4048" t="str">
        <f>IF(AD4048="United States", IFERROR(INDEX(Sheet2!$C:$C, MATCH(AE4048&amp;AF4048, Sheet2!$E:$E, 0)) &amp; ", " &amp; INDEX(Sheet2!$D:$D, MATCH(AE4048&amp;AF4048, Sheet2!$E:$E, 0)), ""), "-")</f>
        <v/>
      </c>
    </row>
    <row r="4049" spans="1:33" x14ac:dyDescent="0.25">
      <c r="A4049" t="s">
        <v>5955</v>
      </c>
      <c r="B4049" t="s">
        <v>5960</v>
      </c>
      <c r="C4049" t="s">
        <v>5961</v>
      </c>
      <c r="D4049" t="s">
        <v>1851</v>
      </c>
      <c r="E4049" t="s">
        <v>5962</v>
      </c>
      <c r="F4049">
        <v>1753</v>
      </c>
      <c r="G4049">
        <v>680</v>
      </c>
      <c r="H4049" t="s">
        <v>38</v>
      </c>
      <c r="I4049" t="s">
        <v>39</v>
      </c>
      <c r="J4049" t="s">
        <v>5963</v>
      </c>
      <c r="K4049" t="s">
        <v>38</v>
      </c>
      <c r="L4049" t="s">
        <v>38</v>
      </c>
      <c r="M4049" t="s">
        <v>38</v>
      </c>
      <c r="N4049" t="s">
        <v>38</v>
      </c>
      <c r="O4049" t="s">
        <v>57</v>
      </c>
      <c r="P4049" t="s">
        <v>42</v>
      </c>
      <c r="Q4049" t="s">
        <v>43</v>
      </c>
      <c r="R4049" t="s">
        <v>38</v>
      </c>
      <c r="S4049" t="s">
        <v>38</v>
      </c>
      <c r="T4049" t="s">
        <v>38</v>
      </c>
      <c r="U4049" t="s">
        <v>38</v>
      </c>
      <c r="V4049" t="s">
        <v>740</v>
      </c>
      <c r="W4049" t="s">
        <v>38</v>
      </c>
      <c r="X4049" t="s">
        <v>38</v>
      </c>
      <c r="Y4049" t="s">
        <v>5964</v>
      </c>
      <c r="Z4049" t="s">
        <v>42</v>
      </c>
      <c r="AA4049" t="s">
        <v>1882</v>
      </c>
      <c r="AB4049" t="s">
        <v>3406</v>
      </c>
      <c r="AC4049" t="s">
        <v>155</v>
      </c>
      <c r="AD4049" t="s">
        <v>48</v>
      </c>
      <c r="AG4049" t="str">
        <f>IF(AD4049="United States", IFERROR(INDEX(Sheet2!$C:$C, MATCH(AE4049&amp;AF4049, Sheet2!$E:$E, 0)) &amp; ", " &amp; INDEX(Sheet2!$D:$D, MATCH(AE4049&amp;AF4049, Sheet2!$E:$E, 0)), ""), "-")</f>
        <v/>
      </c>
    </row>
    <row r="4050" spans="1:33" x14ac:dyDescent="0.25">
      <c r="A4050" t="s">
        <v>5955</v>
      </c>
      <c r="B4050" t="s">
        <v>5965</v>
      </c>
      <c r="C4050" t="s">
        <v>5966</v>
      </c>
      <c r="D4050" t="s">
        <v>5967</v>
      </c>
      <c r="E4050" t="s">
        <v>38</v>
      </c>
      <c r="F4050">
        <v>1723</v>
      </c>
      <c r="G4050">
        <v>2153</v>
      </c>
      <c r="H4050" t="s">
        <v>38</v>
      </c>
      <c r="I4050" t="s">
        <v>87</v>
      </c>
      <c r="J4050" t="s">
        <v>5968</v>
      </c>
      <c r="K4050" t="s">
        <v>38</v>
      </c>
      <c r="L4050" t="s">
        <v>38</v>
      </c>
      <c r="M4050" t="s">
        <v>38</v>
      </c>
      <c r="N4050" t="s">
        <v>38</v>
      </c>
      <c r="O4050" t="s">
        <v>41</v>
      </c>
      <c r="P4050" t="s">
        <v>42</v>
      </c>
      <c r="Q4050" t="s">
        <v>43</v>
      </c>
      <c r="R4050" t="s">
        <v>38</v>
      </c>
      <c r="S4050" t="s">
        <v>38</v>
      </c>
      <c r="T4050" t="s">
        <v>38</v>
      </c>
      <c r="U4050" t="s">
        <v>38</v>
      </c>
      <c r="V4050" t="s">
        <v>597</v>
      </c>
      <c r="W4050" t="s">
        <v>38</v>
      </c>
      <c r="X4050" t="s">
        <v>38</v>
      </c>
      <c r="Y4050" t="s">
        <v>5959</v>
      </c>
      <c r="Z4050" t="s">
        <v>42</v>
      </c>
      <c r="AA4050" t="s">
        <v>38</v>
      </c>
      <c r="AB4050" t="s">
        <v>38</v>
      </c>
      <c r="AC4050" t="s">
        <v>38</v>
      </c>
      <c r="AD4050" t="s">
        <v>48</v>
      </c>
      <c r="AG4050" t="str">
        <f>IF(AD4050="United States", IFERROR(INDEX(Sheet2!$C:$C, MATCH(AE4050&amp;AF4050, Sheet2!$E:$E, 0)) &amp; ", " &amp; INDEX(Sheet2!$D:$D, MATCH(AE4050&amp;AF4050, Sheet2!$E:$E, 0)), ""), "-")</f>
        <v/>
      </c>
    </row>
    <row r="4051" spans="1:33" x14ac:dyDescent="0.25">
      <c r="A4051" t="s">
        <v>5955</v>
      </c>
      <c r="B4051" t="s">
        <v>5969</v>
      </c>
      <c r="C4051" t="s">
        <v>5966</v>
      </c>
      <c r="D4051" t="s">
        <v>5970</v>
      </c>
      <c r="E4051" t="s">
        <v>38</v>
      </c>
      <c r="F4051">
        <v>1723</v>
      </c>
      <c r="G4051">
        <v>2154</v>
      </c>
      <c r="H4051" t="s">
        <v>2669</v>
      </c>
      <c r="I4051" t="s">
        <v>87</v>
      </c>
      <c r="J4051" t="s">
        <v>5968</v>
      </c>
      <c r="K4051" t="s">
        <v>38</v>
      </c>
      <c r="L4051" t="s">
        <v>38</v>
      </c>
      <c r="M4051" t="s">
        <v>38</v>
      </c>
      <c r="N4051" t="s">
        <v>38</v>
      </c>
      <c r="O4051" t="s">
        <v>57</v>
      </c>
      <c r="P4051" t="s">
        <v>42</v>
      </c>
      <c r="Q4051" t="s">
        <v>43</v>
      </c>
      <c r="R4051" t="s">
        <v>89</v>
      </c>
      <c r="S4051" t="s">
        <v>38</v>
      </c>
      <c r="T4051" t="s">
        <v>89</v>
      </c>
      <c r="U4051" t="s">
        <v>38</v>
      </c>
      <c r="V4051" t="s">
        <v>597</v>
      </c>
      <c r="W4051" t="s">
        <v>92</v>
      </c>
      <c r="X4051" t="s">
        <v>38</v>
      </c>
      <c r="Y4051" t="s">
        <v>5959</v>
      </c>
      <c r="Z4051" t="s">
        <v>42</v>
      </c>
      <c r="AA4051" t="s">
        <v>38</v>
      </c>
      <c r="AB4051" t="s">
        <v>38</v>
      </c>
      <c r="AC4051" t="s">
        <v>38</v>
      </c>
      <c r="AD4051" t="s">
        <v>48</v>
      </c>
      <c r="AG4051" t="str">
        <f>IF(AD4051="United States", IFERROR(INDEX(Sheet2!$C:$C, MATCH(AE4051&amp;AF4051, Sheet2!$E:$E, 0)) &amp; ", " &amp; INDEX(Sheet2!$D:$D, MATCH(AE4051&amp;AF4051, Sheet2!$E:$E, 0)), ""), "-")</f>
        <v/>
      </c>
    </row>
    <row r="4052" spans="1:33" x14ac:dyDescent="0.25">
      <c r="A4052" t="s">
        <v>5955</v>
      </c>
      <c r="B4052" t="s">
        <v>5971</v>
      </c>
      <c r="C4052" t="s">
        <v>5966</v>
      </c>
      <c r="D4052" t="s">
        <v>834</v>
      </c>
      <c r="E4052" t="s">
        <v>38</v>
      </c>
      <c r="F4052">
        <v>1743</v>
      </c>
      <c r="G4052">
        <v>2155</v>
      </c>
      <c r="H4052" t="s">
        <v>38</v>
      </c>
      <c r="I4052" t="s">
        <v>87</v>
      </c>
      <c r="J4052" t="s">
        <v>5968</v>
      </c>
      <c r="K4052" t="s">
        <v>38</v>
      </c>
      <c r="L4052" t="s">
        <v>38</v>
      </c>
      <c r="M4052" t="s">
        <v>38</v>
      </c>
      <c r="N4052" t="s">
        <v>38</v>
      </c>
      <c r="O4052" t="s">
        <v>57</v>
      </c>
      <c r="P4052" t="s">
        <v>42</v>
      </c>
      <c r="Q4052" t="s">
        <v>43</v>
      </c>
      <c r="R4052" t="s">
        <v>38</v>
      </c>
      <c r="S4052" t="s">
        <v>38</v>
      </c>
      <c r="T4052" t="s">
        <v>38</v>
      </c>
      <c r="U4052" t="s">
        <v>38</v>
      </c>
      <c r="V4052" t="s">
        <v>597</v>
      </c>
      <c r="W4052" t="s">
        <v>38</v>
      </c>
      <c r="X4052" t="s">
        <v>38</v>
      </c>
      <c r="Y4052" t="s">
        <v>5959</v>
      </c>
      <c r="Z4052" t="s">
        <v>42</v>
      </c>
      <c r="AA4052" t="s">
        <v>38</v>
      </c>
      <c r="AB4052" t="s">
        <v>38</v>
      </c>
      <c r="AC4052" t="s">
        <v>38</v>
      </c>
      <c r="AD4052" t="s">
        <v>48</v>
      </c>
      <c r="AG4052" t="str">
        <f>IF(AD4052="United States", IFERROR(INDEX(Sheet2!$C:$C, MATCH(AE4052&amp;AF4052, Sheet2!$E:$E, 0)) &amp; ", " &amp; INDEX(Sheet2!$D:$D, MATCH(AE4052&amp;AF4052, Sheet2!$E:$E, 0)), ""), "-")</f>
        <v/>
      </c>
    </row>
    <row r="4053" spans="1:33" x14ac:dyDescent="0.25">
      <c r="A4053" t="s">
        <v>5955</v>
      </c>
      <c r="B4053" t="s">
        <v>5972</v>
      </c>
      <c r="C4053" t="s">
        <v>5966</v>
      </c>
      <c r="D4053" t="s">
        <v>220</v>
      </c>
      <c r="E4053" t="s">
        <v>38</v>
      </c>
      <c r="F4053">
        <v>1753</v>
      </c>
      <c r="G4053">
        <v>2156</v>
      </c>
      <c r="H4053" t="s">
        <v>2669</v>
      </c>
      <c r="I4053" t="s">
        <v>87</v>
      </c>
      <c r="J4053" t="s">
        <v>5968</v>
      </c>
      <c r="K4053" t="s">
        <v>38</v>
      </c>
      <c r="L4053" t="s">
        <v>38</v>
      </c>
      <c r="M4053" t="s">
        <v>38</v>
      </c>
      <c r="N4053" t="s">
        <v>38</v>
      </c>
      <c r="O4053" t="s">
        <v>41</v>
      </c>
      <c r="P4053" t="s">
        <v>42</v>
      </c>
      <c r="Q4053" t="s">
        <v>43</v>
      </c>
      <c r="R4053" t="s">
        <v>89</v>
      </c>
      <c r="S4053" t="s">
        <v>38</v>
      </c>
      <c r="T4053" t="s">
        <v>89</v>
      </c>
      <c r="U4053" t="s">
        <v>38</v>
      </c>
      <c r="V4053" t="s">
        <v>597</v>
      </c>
      <c r="W4053" t="s">
        <v>92</v>
      </c>
      <c r="X4053" t="s">
        <v>38</v>
      </c>
      <c r="Y4053" t="s">
        <v>5959</v>
      </c>
      <c r="Z4053" t="s">
        <v>42</v>
      </c>
      <c r="AA4053" t="s">
        <v>38</v>
      </c>
      <c r="AB4053" t="s">
        <v>38</v>
      </c>
      <c r="AC4053" t="s">
        <v>38</v>
      </c>
      <c r="AD4053" t="s">
        <v>48</v>
      </c>
      <c r="AG4053" t="str">
        <f>IF(AD4053="United States", IFERROR(INDEX(Sheet2!$C:$C, MATCH(AE4053&amp;AF4053, Sheet2!$E:$E, 0)) &amp; ", " &amp; INDEX(Sheet2!$D:$D, MATCH(AE4053&amp;AF4053, Sheet2!$E:$E, 0)), ""), "-")</f>
        <v/>
      </c>
    </row>
    <row r="4054" spans="1:33" x14ac:dyDescent="0.25">
      <c r="A4054" t="s">
        <v>5955</v>
      </c>
      <c r="B4054" t="s">
        <v>5973</v>
      </c>
      <c r="C4054" t="s">
        <v>5966</v>
      </c>
      <c r="D4054" t="s">
        <v>1845</v>
      </c>
      <c r="E4054" t="s">
        <v>38</v>
      </c>
      <c r="F4054">
        <v>1777</v>
      </c>
      <c r="G4054">
        <v>2157</v>
      </c>
      <c r="H4054" t="s">
        <v>2669</v>
      </c>
      <c r="I4054" t="s">
        <v>87</v>
      </c>
      <c r="J4054" t="s">
        <v>5968</v>
      </c>
      <c r="K4054" t="s">
        <v>38</v>
      </c>
      <c r="L4054" t="s">
        <v>38</v>
      </c>
      <c r="M4054" t="s">
        <v>38</v>
      </c>
      <c r="N4054" t="s">
        <v>38</v>
      </c>
      <c r="O4054" t="s">
        <v>74</v>
      </c>
      <c r="P4054" t="s">
        <v>42</v>
      </c>
      <c r="Q4054" t="s">
        <v>43</v>
      </c>
      <c r="R4054" t="s">
        <v>89</v>
      </c>
      <c r="S4054" t="s">
        <v>38</v>
      </c>
      <c r="T4054" t="s">
        <v>89</v>
      </c>
      <c r="U4054" t="s">
        <v>38</v>
      </c>
      <c r="V4054" t="s">
        <v>597</v>
      </c>
      <c r="W4054" t="s">
        <v>92</v>
      </c>
      <c r="X4054" t="s">
        <v>38</v>
      </c>
      <c r="Y4054" t="s">
        <v>5959</v>
      </c>
      <c r="Z4054" t="s">
        <v>42</v>
      </c>
      <c r="AA4054" t="s">
        <v>38</v>
      </c>
      <c r="AB4054" t="s">
        <v>38</v>
      </c>
      <c r="AC4054" t="s">
        <v>38</v>
      </c>
      <c r="AD4054" t="s">
        <v>48</v>
      </c>
      <c r="AG4054" t="str">
        <f>IF(AD4054="United States", IFERROR(INDEX(Sheet2!$C:$C, MATCH(AE4054&amp;AF4054, Sheet2!$E:$E, 0)) &amp; ", " &amp; INDEX(Sheet2!$D:$D, MATCH(AE4054&amp;AF4054, Sheet2!$E:$E, 0)), ""), "-")</f>
        <v/>
      </c>
    </row>
    <row r="4055" spans="1:33" x14ac:dyDescent="0.25">
      <c r="A4055" t="s">
        <v>5955</v>
      </c>
      <c r="B4055" t="s">
        <v>5974</v>
      </c>
      <c r="C4055" t="s">
        <v>5957</v>
      </c>
      <c r="D4055" t="s">
        <v>1981</v>
      </c>
      <c r="E4055" t="s">
        <v>38</v>
      </c>
      <c r="F4055">
        <v>1764</v>
      </c>
      <c r="G4055">
        <v>2181</v>
      </c>
      <c r="H4055" t="s">
        <v>2669</v>
      </c>
      <c r="I4055" t="s">
        <v>87</v>
      </c>
      <c r="J4055" t="s">
        <v>5958</v>
      </c>
      <c r="K4055" t="s">
        <v>38</v>
      </c>
      <c r="L4055" t="s">
        <v>38</v>
      </c>
      <c r="M4055" t="s">
        <v>38</v>
      </c>
      <c r="N4055" t="s">
        <v>38</v>
      </c>
      <c r="O4055" t="s">
        <v>74</v>
      </c>
      <c r="P4055" t="s">
        <v>42</v>
      </c>
      <c r="Q4055" t="s">
        <v>43</v>
      </c>
      <c r="R4055" t="s">
        <v>89</v>
      </c>
      <c r="S4055" t="s">
        <v>153</v>
      </c>
      <c r="T4055" t="s">
        <v>89</v>
      </c>
      <c r="U4055" t="s">
        <v>38</v>
      </c>
      <c r="V4055" t="s">
        <v>597</v>
      </c>
      <c r="W4055" t="s">
        <v>92</v>
      </c>
      <c r="X4055" t="s">
        <v>38</v>
      </c>
      <c r="Y4055" t="s">
        <v>5959</v>
      </c>
      <c r="Z4055" t="s">
        <v>42</v>
      </c>
      <c r="AA4055" t="s">
        <v>1981</v>
      </c>
      <c r="AB4055" t="s">
        <v>38</v>
      </c>
      <c r="AC4055" t="s">
        <v>153</v>
      </c>
      <c r="AD4055" t="s">
        <v>48</v>
      </c>
      <c r="AG4055" t="str">
        <f>IF(AD4055="United States", IFERROR(INDEX(Sheet2!$C:$C, MATCH(AE4055&amp;AF4055, Sheet2!$E:$E, 0)) &amp; ", " &amp; INDEX(Sheet2!$D:$D, MATCH(AE4055&amp;AF4055, Sheet2!$E:$E, 0)), ""), "-")</f>
        <v/>
      </c>
    </row>
    <row r="4056" spans="1:33" x14ac:dyDescent="0.25">
      <c r="A4056" t="s">
        <v>5955</v>
      </c>
      <c r="B4056" t="s">
        <v>5975</v>
      </c>
      <c r="C4056" t="s">
        <v>5957</v>
      </c>
      <c r="D4056" t="s">
        <v>390</v>
      </c>
      <c r="E4056" t="s">
        <v>38</v>
      </c>
      <c r="F4056">
        <v>1750</v>
      </c>
      <c r="G4056">
        <v>2182</v>
      </c>
      <c r="H4056" t="s">
        <v>2669</v>
      </c>
      <c r="I4056" t="s">
        <v>87</v>
      </c>
      <c r="J4056" t="s">
        <v>5958</v>
      </c>
      <c r="K4056" t="s">
        <v>38</v>
      </c>
      <c r="L4056" t="s">
        <v>38</v>
      </c>
      <c r="M4056" t="s">
        <v>38</v>
      </c>
      <c r="N4056" t="s">
        <v>38</v>
      </c>
      <c r="O4056" t="s">
        <v>41</v>
      </c>
      <c r="P4056" t="s">
        <v>42</v>
      </c>
      <c r="Q4056" t="s">
        <v>43</v>
      </c>
      <c r="R4056" t="s">
        <v>89</v>
      </c>
      <c r="S4056" t="s">
        <v>38</v>
      </c>
      <c r="T4056" t="s">
        <v>89</v>
      </c>
      <c r="U4056" t="s">
        <v>38</v>
      </c>
      <c r="V4056" t="s">
        <v>597</v>
      </c>
      <c r="W4056" t="s">
        <v>92</v>
      </c>
      <c r="X4056" t="s">
        <v>38</v>
      </c>
      <c r="Y4056" t="s">
        <v>5959</v>
      </c>
      <c r="Z4056" t="s">
        <v>42</v>
      </c>
      <c r="AA4056" t="s">
        <v>38</v>
      </c>
      <c r="AB4056" t="s">
        <v>38</v>
      </c>
      <c r="AC4056" t="s">
        <v>390</v>
      </c>
      <c r="AD4056" t="s">
        <v>48</v>
      </c>
      <c r="AG4056" t="str">
        <f>IF(AD4056="United States", IFERROR(INDEX(Sheet2!$C:$C, MATCH(AE4056&amp;AF4056, Sheet2!$E:$E, 0)) &amp; ", " &amp; INDEX(Sheet2!$D:$D, MATCH(AE4056&amp;AF4056, Sheet2!$E:$E, 0)), ""), "-")</f>
        <v/>
      </c>
    </row>
    <row r="4057" spans="1:33" x14ac:dyDescent="0.25">
      <c r="A4057" t="s">
        <v>5955</v>
      </c>
      <c r="B4057" t="s">
        <v>5976</v>
      </c>
      <c r="C4057" t="s">
        <v>5957</v>
      </c>
      <c r="D4057" t="s">
        <v>245</v>
      </c>
      <c r="E4057" t="s">
        <v>38</v>
      </c>
      <c r="F4057">
        <v>1758</v>
      </c>
      <c r="G4057">
        <v>2183</v>
      </c>
      <c r="H4057" t="s">
        <v>2669</v>
      </c>
      <c r="I4057" t="s">
        <v>87</v>
      </c>
      <c r="J4057" t="s">
        <v>5958</v>
      </c>
      <c r="K4057" t="s">
        <v>38</v>
      </c>
      <c r="L4057" t="s">
        <v>38</v>
      </c>
      <c r="M4057" t="s">
        <v>38</v>
      </c>
      <c r="N4057" t="s">
        <v>38</v>
      </c>
      <c r="O4057" t="s">
        <v>57</v>
      </c>
      <c r="P4057" t="s">
        <v>42</v>
      </c>
      <c r="Q4057" t="s">
        <v>43</v>
      </c>
      <c r="R4057" t="s">
        <v>89</v>
      </c>
      <c r="S4057" t="s">
        <v>38</v>
      </c>
      <c r="T4057" t="s">
        <v>89</v>
      </c>
      <c r="U4057" t="s">
        <v>38</v>
      </c>
      <c r="V4057" t="s">
        <v>597</v>
      </c>
      <c r="W4057" t="s">
        <v>92</v>
      </c>
      <c r="X4057" t="s">
        <v>38</v>
      </c>
      <c r="Y4057" t="s">
        <v>5959</v>
      </c>
      <c r="Z4057" t="s">
        <v>42</v>
      </c>
      <c r="AA4057" t="s">
        <v>38</v>
      </c>
      <c r="AB4057" t="s">
        <v>38</v>
      </c>
      <c r="AC4057" t="s">
        <v>38</v>
      </c>
      <c r="AD4057" t="s">
        <v>48</v>
      </c>
      <c r="AG4057" t="str">
        <f>IF(AD4057="United States", IFERROR(INDEX(Sheet2!$C:$C, MATCH(AE4057&amp;AF4057, Sheet2!$E:$E, 0)) &amp; ", " &amp; INDEX(Sheet2!$D:$D, MATCH(AE4057&amp;AF4057, Sheet2!$E:$E, 0)), ""), "-")</f>
        <v/>
      </c>
    </row>
    <row r="4058" spans="1:33" x14ac:dyDescent="0.25">
      <c r="A4058" t="s">
        <v>5955</v>
      </c>
      <c r="B4058" t="s">
        <v>5977</v>
      </c>
      <c r="C4058" t="s">
        <v>5957</v>
      </c>
      <c r="D4058" t="s">
        <v>1954</v>
      </c>
      <c r="E4058" t="s">
        <v>38</v>
      </c>
      <c r="F4058">
        <v>1761</v>
      </c>
      <c r="G4058">
        <v>2184</v>
      </c>
      <c r="H4058" t="s">
        <v>2669</v>
      </c>
      <c r="I4058" t="s">
        <v>87</v>
      </c>
      <c r="J4058" t="s">
        <v>5958</v>
      </c>
      <c r="K4058" t="s">
        <v>38</v>
      </c>
      <c r="L4058" t="s">
        <v>38</v>
      </c>
      <c r="M4058" t="s">
        <v>38</v>
      </c>
      <c r="N4058" t="s">
        <v>38</v>
      </c>
      <c r="O4058" t="s">
        <v>57</v>
      </c>
      <c r="P4058" t="s">
        <v>42</v>
      </c>
      <c r="Q4058" t="s">
        <v>43</v>
      </c>
      <c r="R4058" t="s">
        <v>89</v>
      </c>
      <c r="S4058" t="s">
        <v>38</v>
      </c>
      <c r="T4058" t="s">
        <v>89</v>
      </c>
      <c r="U4058" t="s">
        <v>38</v>
      </c>
      <c r="V4058" t="s">
        <v>597</v>
      </c>
      <c r="W4058" t="s">
        <v>92</v>
      </c>
      <c r="X4058" t="s">
        <v>38</v>
      </c>
      <c r="Y4058" t="s">
        <v>5959</v>
      </c>
      <c r="Z4058" t="s">
        <v>42</v>
      </c>
      <c r="AA4058" t="s">
        <v>38</v>
      </c>
      <c r="AB4058" t="s">
        <v>38</v>
      </c>
      <c r="AC4058" t="s">
        <v>38</v>
      </c>
      <c r="AD4058" t="s">
        <v>48</v>
      </c>
      <c r="AG4058" t="str">
        <f>IF(AD4058="United States", IFERROR(INDEX(Sheet2!$C:$C, MATCH(AE4058&amp;AF4058, Sheet2!$E:$E, 0)) &amp; ", " &amp; INDEX(Sheet2!$D:$D, MATCH(AE4058&amp;AF4058, Sheet2!$E:$E, 0)), ""), "-")</f>
        <v/>
      </c>
    </row>
    <row r="4059" spans="1:33" x14ac:dyDescent="0.25">
      <c r="A4059" t="s">
        <v>5955</v>
      </c>
      <c r="B4059" t="s">
        <v>5978</v>
      </c>
      <c r="C4059" t="s">
        <v>5979</v>
      </c>
      <c r="D4059" t="s">
        <v>4443</v>
      </c>
      <c r="E4059" t="s">
        <v>979</v>
      </c>
      <c r="F4059">
        <v>1757</v>
      </c>
      <c r="G4059">
        <v>1818</v>
      </c>
      <c r="H4059" t="s">
        <v>38</v>
      </c>
      <c r="I4059" t="s">
        <v>80</v>
      </c>
      <c r="J4059" t="s">
        <v>38</v>
      </c>
      <c r="K4059" t="s">
        <v>38</v>
      </c>
      <c r="L4059" t="s">
        <v>38</v>
      </c>
      <c r="M4059" t="s">
        <v>38</v>
      </c>
      <c r="N4059" t="s">
        <v>38</v>
      </c>
      <c r="O4059" t="s">
        <v>57</v>
      </c>
      <c r="P4059" t="s">
        <v>42</v>
      </c>
      <c r="Q4059" t="s">
        <v>43</v>
      </c>
      <c r="R4059" t="s">
        <v>5980</v>
      </c>
      <c r="S4059" t="s">
        <v>153</v>
      </c>
      <c r="T4059" t="s">
        <v>38</v>
      </c>
      <c r="U4059" t="s">
        <v>38</v>
      </c>
      <c r="V4059" t="s">
        <v>38</v>
      </c>
      <c r="W4059" t="s">
        <v>38</v>
      </c>
      <c r="X4059" t="s">
        <v>38</v>
      </c>
      <c r="Y4059" t="s">
        <v>5981</v>
      </c>
      <c r="Z4059" t="s">
        <v>42</v>
      </c>
      <c r="AA4059" t="s">
        <v>155</v>
      </c>
      <c r="AB4059" t="s">
        <v>38</v>
      </c>
      <c r="AC4059" t="s">
        <v>153</v>
      </c>
      <c r="AD4059" t="s">
        <v>48</v>
      </c>
      <c r="AG4059" t="str">
        <f>IF(AD4059="United States", IFERROR(INDEX(Sheet2!$C:$C, MATCH(AE4059&amp;AF4059, Sheet2!$E:$E, 0)) &amp; ", " &amp; INDEX(Sheet2!$D:$D, MATCH(AE4059&amp;AF4059, Sheet2!$E:$E, 0)), ""), "-")</f>
        <v/>
      </c>
    </row>
    <row r="4060" spans="1:33" x14ac:dyDescent="0.25">
      <c r="A4060" t="s">
        <v>5955</v>
      </c>
      <c r="B4060" t="s">
        <v>5982</v>
      </c>
      <c r="C4060" t="s">
        <v>5961</v>
      </c>
      <c r="D4060" t="s">
        <v>513</v>
      </c>
      <c r="E4060" t="s">
        <v>5983</v>
      </c>
      <c r="F4060">
        <v>1738</v>
      </c>
      <c r="G4060">
        <v>679</v>
      </c>
      <c r="H4060" t="s">
        <v>38</v>
      </c>
      <c r="I4060" t="s">
        <v>39</v>
      </c>
      <c r="J4060" t="s">
        <v>5963</v>
      </c>
      <c r="K4060" t="s">
        <v>38</v>
      </c>
      <c r="L4060" t="s">
        <v>38</v>
      </c>
      <c r="M4060" t="s">
        <v>38</v>
      </c>
      <c r="N4060" t="s">
        <v>38</v>
      </c>
      <c r="O4060" t="s">
        <v>41</v>
      </c>
      <c r="P4060" t="s">
        <v>42</v>
      </c>
      <c r="Q4060" t="s">
        <v>43</v>
      </c>
      <c r="R4060" t="s">
        <v>155</v>
      </c>
      <c r="S4060" t="s">
        <v>153</v>
      </c>
      <c r="T4060" t="s">
        <v>38</v>
      </c>
      <c r="U4060" t="s">
        <v>38</v>
      </c>
      <c r="V4060" t="s">
        <v>740</v>
      </c>
      <c r="W4060" t="s">
        <v>38</v>
      </c>
      <c r="X4060" t="s">
        <v>38</v>
      </c>
      <c r="Y4060" t="s">
        <v>5964</v>
      </c>
      <c r="Z4060" t="s">
        <v>42</v>
      </c>
      <c r="AA4060" t="s">
        <v>155</v>
      </c>
      <c r="AB4060" t="s">
        <v>153</v>
      </c>
      <c r="AC4060" t="s">
        <v>155</v>
      </c>
      <c r="AD4060" t="s">
        <v>48</v>
      </c>
      <c r="AG4060" t="str">
        <f>IF(AD4060="United States", IFERROR(INDEX(Sheet2!$C:$C, MATCH(AE4060&amp;AF4060, Sheet2!$E:$E, 0)) &amp; ", " &amp; INDEX(Sheet2!$D:$D, MATCH(AE4060&amp;AF4060, Sheet2!$E:$E, 0)), ""), "-")</f>
        <v/>
      </c>
    </row>
    <row r="4061" spans="1:33" x14ac:dyDescent="0.25">
      <c r="A4061" t="s">
        <v>5955</v>
      </c>
      <c r="B4061" t="s">
        <v>5984</v>
      </c>
      <c r="C4061" t="s">
        <v>5961</v>
      </c>
      <c r="D4061" t="s">
        <v>200</v>
      </c>
      <c r="E4061" t="s">
        <v>5985</v>
      </c>
      <c r="F4061">
        <v>1753</v>
      </c>
      <c r="G4061">
        <v>690</v>
      </c>
      <c r="H4061" t="s">
        <v>38</v>
      </c>
      <c r="I4061" t="s">
        <v>39</v>
      </c>
      <c r="J4061" t="s">
        <v>5963</v>
      </c>
      <c r="K4061" t="s">
        <v>38</v>
      </c>
      <c r="L4061" t="s">
        <v>38</v>
      </c>
      <c r="M4061" t="s">
        <v>38</v>
      </c>
      <c r="N4061" t="s">
        <v>38</v>
      </c>
      <c r="O4061" t="s">
        <v>41</v>
      </c>
      <c r="P4061" t="s">
        <v>42</v>
      </c>
      <c r="Q4061" t="s">
        <v>43</v>
      </c>
      <c r="R4061" t="s">
        <v>38</v>
      </c>
      <c r="S4061" t="s">
        <v>201</v>
      </c>
      <c r="T4061" t="s">
        <v>38</v>
      </c>
      <c r="U4061" t="s">
        <v>38</v>
      </c>
      <c r="V4061" t="s">
        <v>740</v>
      </c>
      <c r="W4061" t="s">
        <v>38</v>
      </c>
      <c r="X4061" t="s">
        <v>38</v>
      </c>
      <c r="Y4061" t="s">
        <v>5986</v>
      </c>
      <c r="Z4061" t="s">
        <v>42</v>
      </c>
      <c r="AA4061" t="s">
        <v>5987</v>
      </c>
      <c r="AB4061" t="s">
        <v>38</v>
      </c>
      <c r="AC4061" t="s">
        <v>201</v>
      </c>
      <c r="AD4061" t="s">
        <v>48</v>
      </c>
      <c r="AG4061" t="str">
        <f>IF(AD4061="United States", IFERROR(INDEX(Sheet2!$C:$C, MATCH(AE4061&amp;AF4061, Sheet2!$E:$E, 0)) &amp; ", " &amp; INDEX(Sheet2!$D:$D, MATCH(AE4061&amp;AF4061, Sheet2!$E:$E, 0)), ""), "-")</f>
        <v/>
      </c>
    </row>
    <row r="4062" spans="1:33" x14ac:dyDescent="0.25">
      <c r="A4062" t="s">
        <v>5955</v>
      </c>
      <c r="B4062" t="s">
        <v>5988</v>
      </c>
      <c r="C4062" t="s">
        <v>5961</v>
      </c>
      <c r="D4062" t="s">
        <v>1037</v>
      </c>
      <c r="E4062" t="s">
        <v>5962</v>
      </c>
      <c r="F4062">
        <v>1777</v>
      </c>
      <c r="G4062">
        <v>681</v>
      </c>
      <c r="H4062" t="s">
        <v>38</v>
      </c>
      <c r="I4062" t="s">
        <v>39</v>
      </c>
      <c r="J4062" t="s">
        <v>5963</v>
      </c>
      <c r="K4062" t="s">
        <v>38</v>
      </c>
      <c r="L4062" t="s">
        <v>38</v>
      </c>
      <c r="M4062" t="s">
        <v>38</v>
      </c>
      <c r="N4062" t="s">
        <v>38</v>
      </c>
      <c r="O4062" t="s">
        <v>54</v>
      </c>
      <c r="P4062" t="s">
        <v>42</v>
      </c>
      <c r="Q4062" t="s">
        <v>43</v>
      </c>
      <c r="R4062" t="s">
        <v>38</v>
      </c>
      <c r="S4062" t="s">
        <v>38</v>
      </c>
      <c r="T4062" t="s">
        <v>38</v>
      </c>
      <c r="U4062" t="s">
        <v>38</v>
      </c>
      <c r="V4062" t="s">
        <v>740</v>
      </c>
      <c r="W4062" t="s">
        <v>38</v>
      </c>
      <c r="X4062" t="s">
        <v>38</v>
      </c>
      <c r="Y4062" t="s">
        <v>5964</v>
      </c>
      <c r="Z4062" t="s">
        <v>42</v>
      </c>
      <c r="AA4062" t="s">
        <v>38</v>
      </c>
      <c r="AB4062" t="s">
        <v>38</v>
      </c>
      <c r="AC4062" t="s">
        <v>38</v>
      </c>
      <c r="AD4062" t="s">
        <v>48</v>
      </c>
      <c r="AG4062" t="str">
        <f>IF(AD4062="United States", IFERROR(INDEX(Sheet2!$C:$C, MATCH(AE4062&amp;AF4062, Sheet2!$E:$E, 0)) &amp; ", " &amp; INDEX(Sheet2!$D:$D, MATCH(AE4062&amp;AF4062, Sheet2!$E:$E, 0)), ""), "-")</f>
        <v/>
      </c>
    </row>
    <row r="4063" spans="1:33" x14ac:dyDescent="0.25">
      <c r="A4063" t="s">
        <v>5955</v>
      </c>
      <c r="B4063" t="s">
        <v>5989</v>
      </c>
      <c r="C4063" t="s">
        <v>5961</v>
      </c>
      <c r="D4063" t="s">
        <v>774</v>
      </c>
      <c r="E4063" t="s">
        <v>5962</v>
      </c>
      <c r="F4063">
        <v>1779</v>
      </c>
      <c r="G4063">
        <v>682</v>
      </c>
      <c r="H4063" t="s">
        <v>38</v>
      </c>
      <c r="I4063" t="s">
        <v>39</v>
      </c>
      <c r="J4063" t="s">
        <v>5963</v>
      </c>
      <c r="K4063" t="s">
        <v>38</v>
      </c>
      <c r="L4063" t="s">
        <v>38</v>
      </c>
      <c r="M4063" t="s">
        <v>38</v>
      </c>
      <c r="N4063" t="s">
        <v>38</v>
      </c>
      <c r="O4063" t="s">
        <v>54</v>
      </c>
      <c r="P4063" t="s">
        <v>42</v>
      </c>
      <c r="Q4063" t="s">
        <v>43</v>
      </c>
      <c r="R4063" t="s">
        <v>38</v>
      </c>
      <c r="S4063" t="s">
        <v>38</v>
      </c>
      <c r="T4063" t="s">
        <v>38</v>
      </c>
      <c r="U4063" t="s">
        <v>38</v>
      </c>
      <c r="V4063" t="s">
        <v>740</v>
      </c>
      <c r="W4063" t="s">
        <v>38</v>
      </c>
      <c r="X4063" t="s">
        <v>38</v>
      </c>
      <c r="Y4063" t="s">
        <v>5964</v>
      </c>
      <c r="Z4063" t="s">
        <v>42</v>
      </c>
      <c r="AA4063" t="s">
        <v>38</v>
      </c>
      <c r="AB4063" t="s">
        <v>38</v>
      </c>
      <c r="AC4063" t="s">
        <v>38</v>
      </c>
      <c r="AD4063" t="s">
        <v>48</v>
      </c>
      <c r="AG4063" t="str">
        <f>IF(AD4063="United States", IFERROR(INDEX(Sheet2!$C:$C, MATCH(AE4063&amp;AF4063, Sheet2!$E:$E, 0)) &amp; ", " &amp; INDEX(Sheet2!$D:$D, MATCH(AE4063&amp;AF4063, Sheet2!$E:$E, 0)), ""), "-")</f>
        <v/>
      </c>
    </row>
    <row r="4064" spans="1:33" x14ac:dyDescent="0.25">
      <c r="A4064" t="s">
        <v>5955</v>
      </c>
      <c r="B4064" t="s">
        <v>5990</v>
      </c>
      <c r="C4064" t="s">
        <v>5961</v>
      </c>
      <c r="D4064" t="s">
        <v>955</v>
      </c>
      <c r="E4064" t="s">
        <v>1141</v>
      </c>
      <c r="F4064">
        <v>1733</v>
      </c>
      <c r="G4064">
        <v>683</v>
      </c>
      <c r="H4064" t="s">
        <v>38</v>
      </c>
      <c r="I4064" t="s">
        <v>39</v>
      </c>
      <c r="J4064" t="s">
        <v>5963</v>
      </c>
      <c r="K4064" t="s">
        <v>38</v>
      </c>
      <c r="L4064" t="s">
        <v>38</v>
      </c>
      <c r="M4064" t="s">
        <v>38</v>
      </c>
      <c r="N4064" t="s">
        <v>38</v>
      </c>
      <c r="O4064" t="s">
        <v>41</v>
      </c>
      <c r="P4064" t="s">
        <v>42</v>
      </c>
      <c r="Q4064" t="s">
        <v>43</v>
      </c>
      <c r="R4064" t="s">
        <v>38</v>
      </c>
      <c r="S4064" t="s">
        <v>38</v>
      </c>
      <c r="T4064" t="s">
        <v>38</v>
      </c>
      <c r="U4064" t="s">
        <v>38</v>
      </c>
      <c r="V4064" t="s">
        <v>740</v>
      </c>
      <c r="W4064" t="s">
        <v>38</v>
      </c>
      <c r="X4064" t="s">
        <v>38</v>
      </c>
      <c r="Y4064" t="s">
        <v>5991</v>
      </c>
      <c r="Z4064" t="s">
        <v>42</v>
      </c>
      <c r="AA4064" t="s">
        <v>613</v>
      </c>
      <c r="AB4064" t="s">
        <v>38</v>
      </c>
      <c r="AC4064" t="s">
        <v>70</v>
      </c>
      <c r="AD4064" t="s">
        <v>48</v>
      </c>
      <c r="AG4064" t="str">
        <f>IF(AD4064="United States", IFERROR(INDEX(Sheet2!$C:$C, MATCH(AE4064&amp;AF4064, Sheet2!$E:$E, 0)) &amp; ", " &amp; INDEX(Sheet2!$D:$D, MATCH(AE4064&amp;AF4064, Sheet2!$E:$E, 0)), ""), "-")</f>
        <v/>
      </c>
    </row>
    <row r="4065" spans="1:33" x14ac:dyDescent="0.25">
      <c r="A4065" t="s">
        <v>5955</v>
      </c>
      <c r="B4065" t="s">
        <v>5992</v>
      </c>
      <c r="C4065" t="s">
        <v>5961</v>
      </c>
      <c r="D4065" t="s">
        <v>767</v>
      </c>
      <c r="E4065" t="s">
        <v>5993</v>
      </c>
      <c r="F4065">
        <v>1757</v>
      </c>
      <c r="G4065">
        <v>684</v>
      </c>
      <c r="H4065" t="s">
        <v>38</v>
      </c>
      <c r="I4065" t="s">
        <v>39</v>
      </c>
      <c r="J4065" t="s">
        <v>5963</v>
      </c>
      <c r="K4065" t="s">
        <v>38</v>
      </c>
      <c r="L4065" t="s">
        <v>38</v>
      </c>
      <c r="M4065" t="s">
        <v>38</v>
      </c>
      <c r="N4065" t="s">
        <v>38</v>
      </c>
      <c r="O4065" t="s">
        <v>41</v>
      </c>
      <c r="P4065" t="s">
        <v>42</v>
      </c>
      <c r="Q4065" t="s">
        <v>43</v>
      </c>
      <c r="R4065" t="s">
        <v>38</v>
      </c>
      <c r="S4065" t="s">
        <v>38</v>
      </c>
      <c r="T4065" t="s">
        <v>38</v>
      </c>
      <c r="U4065" t="s">
        <v>38</v>
      </c>
      <c r="V4065" t="s">
        <v>740</v>
      </c>
      <c r="W4065" t="s">
        <v>38</v>
      </c>
      <c r="X4065" t="s">
        <v>38</v>
      </c>
      <c r="Y4065" t="s">
        <v>5991</v>
      </c>
      <c r="Z4065" t="s">
        <v>42</v>
      </c>
      <c r="AA4065" t="s">
        <v>613</v>
      </c>
      <c r="AB4065" t="s">
        <v>38</v>
      </c>
      <c r="AC4065" t="s">
        <v>70</v>
      </c>
      <c r="AD4065" t="s">
        <v>48</v>
      </c>
      <c r="AG4065" t="str">
        <f>IF(AD4065="United States", IFERROR(INDEX(Sheet2!$C:$C, MATCH(AE4065&amp;AF4065, Sheet2!$E:$E, 0)) &amp; ", " &amp; INDEX(Sheet2!$D:$D, MATCH(AE4065&amp;AF4065, Sheet2!$E:$E, 0)), ""), "-")</f>
        <v/>
      </c>
    </row>
    <row r="4066" spans="1:33" x14ac:dyDescent="0.25">
      <c r="A4066" t="s">
        <v>5955</v>
      </c>
      <c r="B4066" t="s">
        <v>5994</v>
      </c>
      <c r="C4066" t="s">
        <v>5961</v>
      </c>
      <c r="D4066" t="s">
        <v>195</v>
      </c>
      <c r="E4066" t="s">
        <v>5995</v>
      </c>
      <c r="F4066">
        <v>1770</v>
      </c>
      <c r="G4066">
        <v>685</v>
      </c>
      <c r="H4066" t="s">
        <v>38</v>
      </c>
      <c r="I4066" t="s">
        <v>39</v>
      </c>
      <c r="J4066" t="s">
        <v>5963</v>
      </c>
      <c r="K4066" t="s">
        <v>38</v>
      </c>
      <c r="L4066" t="s">
        <v>38</v>
      </c>
      <c r="M4066" t="s">
        <v>38</v>
      </c>
      <c r="N4066" t="s">
        <v>38</v>
      </c>
      <c r="O4066" t="s">
        <v>54</v>
      </c>
      <c r="P4066" t="s">
        <v>42</v>
      </c>
      <c r="Q4066" t="s">
        <v>43</v>
      </c>
      <c r="R4066" t="s">
        <v>5996</v>
      </c>
      <c r="S4066" t="s">
        <v>153</v>
      </c>
      <c r="T4066" t="s">
        <v>38</v>
      </c>
      <c r="U4066" t="s">
        <v>38</v>
      </c>
      <c r="V4066" t="s">
        <v>740</v>
      </c>
      <c r="W4066" t="s">
        <v>38</v>
      </c>
      <c r="X4066" t="s">
        <v>38</v>
      </c>
      <c r="Y4066" t="s">
        <v>5991</v>
      </c>
      <c r="Z4066" t="s">
        <v>42</v>
      </c>
      <c r="AA4066" t="s">
        <v>153</v>
      </c>
      <c r="AB4066" t="s">
        <v>38</v>
      </c>
      <c r="AC4066" t="s">
        <v>155</v>
      </c>
      <c r="AD4066" t="s">
        <v>48</v>
      </c>
      <c r="AG4066" t="str">
        <f>IF(AD4066="United States", IFERROR(INDEX(Sheet2!$C:$C, MATCH(AE4066&amp;AF4066, Sheet2!$E:$E, 0)) &amp; ", " &amp; INDEX(Sheet2!$D:$D, MATCH(AE4066&amp;AF4066, Sheet2!$E:$E, 0)), ""), "-")</f>
        <v/>
      </c>
    </row>
    <row r="4067" spans="1:33" x14ac:dyDescent="0.25">
      <c r="A4067" t="s">
        <v>5955</v>
      </c>
      <c r="B4067" t="s">
        <v>5997</v>
      </c>
      <c r="C4067" t="s">
        <v>5961</v>
      </c>
      <c r="D4067" t="s">
        <v>190</v>
      </c>
      <c r="E4067" t="s">
        <v>767</v>
      </c>
      <c r="F4067">
        <v>1761</v>
      </c>
      <c r="G4067">
        <v>686</v>
      </c>
      <c r="H4067" t="s">
        <v>38</v>
      </c>
      <c r="I4067" t="s">
        <v>39</v>
      </c>
      <c r="J4067" t="s">
        <v>5963</v>
      </c>
      <c r="K4067" t="s">
        <v>38</v>
      </c>
      <c r="L4067" t="s">
        <v>38</v>
      </c>
      <c r="M4067" t="s">
        <v>38</v>
      </c>
      <c r="N4067" t="s">
        <v>38</v>
      </c>
      <c r="O4067" t="s">
        <v>57</v>
      </c>
      <c r="P4067" t="s">
        <v>42</v>
      </c>
      <c r="Q4067" t="s">
        <v>43</v>
      </c>
      <c r="R4067" t="s">
        <v>38</v>
      </c>
      <c r="S4067" t="s">
        <v>38</v>
      </c>
      <c r="T4067" t="s">
        <v>38</v>
      </c>
      <c r="U4067" t="s">
        <v>38</v>
      </c>
      <c r="V4067" t="s">
        <v>740</v>
      </c>
      <c r="W4067" t="s">
        <v>38</v>
      </c>
      <c r="X4067" t="s">
        <v>38</v>
      </c>
      <c r="Y4067" t="s">
        <v>5991</v>
      </c>
      <c r="Z4067" t="s">
        <v>42</v>
      </c>
      <c r="AA4067" t="s">
        <v>38</v>
      </c>
      <c r="AB4067" t="s">
        <v>38</v>
      </c>
      <c r="AC4067" t="s">
        <v>38</v>
      </c>
      <c r="AD4067" t="s">
        <v>48</v>
      </c>
      <c r="AG4067" t="str">
        <f>IF(AD4067="United States", IFERROR(INDEX(Sheet2!$C:$C, MATCH(AE4067&amp;AF4067, Sheet2!$E:$E, 0)) &amp; ", " &amp; INDEX(Sheet2!$D:$D, MATCH(AE4067&amp;AF4067, Sheet2!$E:$E, 0)), ""), "-")</f>
        <v/>
      </c>
    </row>
    <row r="4068" spans="1:33" x14ac:dyDescent="0.25">
      <c r="A4068" t="s">
        <v>5955</v>
      </c>
      <c r="B4068" t="s">
        <v>5998</v>
      </c>
      <c r="C4068" t="s">
        <v>5961</v>
      </c>
      <c r="D4068" t="s">
        <v>72</v>
      </c>
      <c r="E4068" t="s">
        <v>767</v>
      </c>
      <c r="F4068">
        <v>1777</v>
      </c>
      <c r="G4068">
        <v>687</v>
      </c>
      <c r="H4068" t="s">
        <v>38</v>
      </c>
      <c r="I4068" t="s">
        <v>39</v>
      </c>
      <c r="J4068" t="s">
        <v>5963</v>
      </c>
      <c r="K4068" t="s">
        <v>38</v>
      </c>
      <c r="L4068" t="s">
        <v>38</v>
      </c>
      <c r="M4068" t="s">
        <v>38</v>
      </c>
      <c r="N4068" t="s">
        <v>38</v>
      </c>
      <c r="O4068" t="s">
        <v>54</v>
      </c>
      <c r="P4068" t="s">
        <v>42</v>
      </c>
      <c r="Q4068" t="s">
        <v>43</v>
      </c>
      <c r="R4068" t="s">
        <v>38</v>
      </c>
      <c r="S4068" t="s">
        <v>38</v>
      </c>
      <c r="T4068" t="s">
        <v>38</v>
      </c>
      <c r="U4068" t="s">
        <v>38</v>
      </c>
      <c r="V4068" t="s">
        <v>740</v>
      </c>
      <c r="W4068" t="s">
        <v>38</v>
      </c>
      <c r="X4068" t="s">
        <v>38</v>
      </c>
      <c r="Y4068" t="s">
        <v>5991</v>
      </c>
      <c r="Z4068" t="s">
        <v>42</v>
      </c>
      <c r="AA4068" t="s">
        <v>38</v>
      </c>
      <c r="AB4068" t="s">
        <v>38</v>
      </c>
      <c r="AC4068" t="s">
        <v>5999</v>
      </c>
      <c r="AD4068" t="s">
        <v>48</v>
      </c>
      <c r="AG4068" t="str">
        <f>IF(AD4068="United States", IFERROR(INDEX(Sheet2!$C:$C, MATCH(AE4068&amp;AF4068, Sheet2!$E:$E, 0)) &amp; ", " &amp; INDEX(Sheet2!$D:$D, MATCH(AE4068&amp;AF4068, Sheet2!$E:$E, 0)), ""), "-")</f>
        <v/>
      </c>
    </row>
    <row r="4069" spans="1:33" x14ac:dyDescent="0.25">
      <c r="A4069" t="s">
        <v>5955</v>
      </c>
      <c r="B4069" t="s">
        <v>6000</v>
      </c>
      <c r="C4069" t="s">
        <v>5961</v>
      </c>
      <c r="D4069" t="s">
        <v>62</v>
      </c>
      <c r="E4069" t="s">
        <v>767</v>
      </c>
      <c r="F4069" t="s">
        <v>38</v>
      </c>
      <c r="G4069">
        <v>688</v>
      </c>
      <c r="H4069" t="s">
        <v>38</v>
      </c>
      <c r="I4069" t="s">
        <v>39</v>
      </c>
      <c r="J4069" t="s">
        <v>5963</v>
      </c>
      <c r="K4069" t="s">
        <v>38</v>
      </c>
      <c r="L4069" t="s">
        <v>38</v>
      </c>
      <c r="M4069" t="s">
        <v>38</v>
      </c>
      <c r="N4069" t="s">
        <v>38</v>
      </c>
      <c r="O4069" t="s">
        <v>54</v>
      </c>
      <c r="P4069" t="s">
        <v>42</v>
      </c>
      <c r="Q4069" t="s">
        <v>43</v>
      </c>
      <c r="R4069" t="s">
        <v>38</v>
      </c>
      <c r="S4069" t="s">
        <v>38</v>
      </c>
      <c r="T4069" t="s">
        <v>38</v>
      </c>
      <c r="U4069" t="s">
        <v>38</v>
      </c>
      <c r="V4069" t="s">
        <v>740</v>
      </c>
      <c r="W4069" t="s">
        <v>38</v>
      </c>
      <c r="X4069" t="s">
        <v>38</v>
      </c>
      <c r="Y4069" t="s">
        <v>5991</v>
      </c>
      <c r="Z4069" t="s">
        <v>42</v>
      </c>
      <c r="AA4069" t="s">
        <v>38</v>
      </c>
      <c r="AB4069" t="s">
        <v>38</v>
      </c>
      <c r="AC4069" t="s">
        <v>5999</v>
      </c>
      <c r="AD4069" t="s">
        <v>48</v>
      </c>
      <c r="AG4069" t="str">
        <f>IF(AD4069="United States", IFERROR(INDEX(Sheet2!$C:$C, MATCH(AE4069&amp;AF4069, Sheet2!$E:$E, 0)) &amp; ", " &amp; INDEX(Sheet2!$D:$D, MATCH(AE4069&amp;AF4069, Sheet2!$E:$E, 0)), ""), "-")</f>
        <v/>
      </c>
    </row>
    <row r="4070" spans="1:33" x14ac:dyDescent="0.25">
      <c r="A4070" t="s">
        <v>5955</v>
      </c>
      <c r="B4070" t="s">
        <v>6001</v>
      </c>
      <c r="C4070" t="s">
        <v>5961</v>
      </c>
      <c r="D4070" t="s">
        <v>210</v>
      </c>
      <c r="E4070" t="s">
        <v>120</v>
      </c>
      <c r="F4070">
        <v>1763</v>
      </c>
      <c r="G4070">
        <v>689</v>
      </c>
      <c r="H4070" t="s">
        <v>38</v>
      </c>
      <c r="I4070" t="s">
        <v>39</v>
      </c>
      <c r="J4070" t="s">
        <v>5963</v>
      </c>
      <c r="K4070" t="s">
        <v>38</v>
      </c>
      <c r="L4070" t="s">
        <v>38</v>
      </c>
      <c r="M4070" t="s">
        <v>38</v>
      </c>
      <c r="N4070" t="s">
        <v>38</v>
      </c>
      <c r="O4070" t="s">
        <v>41</v>
      </c>
      <c r="P4070" t="s">
        <v>42</v>
      </c>
      <c r="Q4070" t="s">
        <v>43</v>
      </c>
      <c r="R4070" t="s">
        <v>38</v>
      </c>
      <c r="S4070" t="s">
        <v>38</v>
      </c>
      <c r="T4070" t="s">
        <v>38</v>
      </c>
      <c r="U4070" t="s">
        <v>38</v>
      </c>
      <c r="V4070" t="s">
        <v>740</v>
      </c>
      <c r="W4070" t="s">
        <v>38</v>
      </c>
      <c r="X4070" t="s">
        <v>38</v>
      </c>
      <c r="Y4070" t="s">
        <v>5986</v>
      </c>
      <c r="Z4070" t="s">
        <v>42</v>
      </c>
      <c r="AA4070" t="s">
        <v>38</v>
      </c>
      <c r="AB4070" t="s">
        <v>38</v>
      </c>
      <c r="AC4070" t="s">
        <v>38</v>
      </c>
      <c r="AD4070" t="s">
        <v>48</v>
      </c>
      <c r="AG4070" t="str">
        <f>IF(AD4070="United States", IFERROR(INDEX(Sheet2!$C:$C, MATCH(AE4070&amp;AF4070, Sheet2!$E:$E, 0)) &amp; ", " &amp; INDEX(Sheet2!$D:$D, MATCH(AE4070&amp;AF4070, Sheet2!$E:$E, 0)), ""), "-")</f>
        <v/>
      </c>
    </row>
    <row r="4071" spans="1:33" x14ac:dyDescent="0.25">
      <c r="A4071" t="s">
        <v>5955</v>
      </c>
      <c r="B4071" t="s">
        <v>6002</v>
      </c>
      <c r="C4071" t="s">
        <v>5961</v>
      </c>
      <c r="D4071" t="s">
        <v>204</v>
      </c>
      <c r="E4071" t="s">
        <v>6003</v>
      </c>
      <c r="F4071">
        <v>1741</v>
      </c>
      <c r="G4071">
        <v>691</v>
      </c>
      <c r="H4071" t="s">
        <v>38</v>
      </c>
      <c r="I4071" t="s">
        <v>39</v>
      </c>
      <c r="J4071" t="s">
        <v>5963</v>
      </c>
      <c r="K4071" t="s">
        <v>38</v>
      </c>
      <c r="L4071" t="s">
        <v>38</v>
      </c>
      <c r="M4071" t="s">
        <v>38</v>
      </c>
      <c r="N4071" t="s">
        <v>38</v>
      </c>
      <c r="O4071" t="s">
        <v>41</v>
      </c>
      <c r="P4071" t="s">
        <v>42</v>
      </c>
      <c r="Q4071" t="s">
        <v>43</v>
      </c>
      <c r="R4071" t="s">
        <v>38</v>
      </c>
      <c r="S4071" t="s">
        <v>89</v>
      </c>
      <c r="T4071" t="s">
        <v>38</v>
      </c>
      <c r="U4071" t="s">
        <v>38</v>
      </c>
      <c r="V4071" t="s">
        <v>740</v>
      </c>
      <c r="W4071" t="s">
        <v>38</v>
      </c>
      <c r="X4071" t="s">
        <v>38</v>
      </c>
      <c r="Y4071" t="s">
        <v>6004</v>
      </c>
      <c r="Z4071" t="s">
        <v>42</v>
      </c>
      <c r="AA4071" t="s">
        <v>6005</v>
      </c>
      <c r="AB4071" t="s">
        <v>38</v>
      </c>
      <c r="AC4071" t="s">
        <v>89</v>
      </c>
      <c r="AD4071" t="s">
        <v>48</v>
      </c>
      <c r="AG4071" t="str">
        <f>IF(AD4071="United States", IFERROR(INDEX(Sheet2!$C:$C, MATCH(AE4071&amp;AF4071, Sheet2!$E:$E, 0)) &amp; ", " &amp; INDEX(Sheet2!$D:$D, MATCH(AE4071&amp;AF4071, Sheet2!$E:$E, 0)), ""), "-")</f>
        <v/>
      </c>
    </row>
    <row r="4072" spans="1:33" x14ac:dyDescent="0.25">
      <c r="A4072" t="s">
        <v>6006</v>
      </c>
      <c r="D4072" t="s">
        <v>513</v>
      </c>
      <c r="E4072" t="s">
        <v>5983</v>
      </c>
      <c r="F4072">
        <v>1738</v>
      </c>
      <c r="G4072">
        <v>744</v>
      </c>
      <c r="H4072">
        <v>35</v>
      </c>
      <c r="J4072" t="s">
        <v>5963</v>
      </c>
      <c r="O4072" t="s">
        <v>41</v>
      </c>
      <c r="R4072" t="s">
        <v>89</v>
      </c>
      <c r="T4072" t="s">
        <v>89</v>
      </c>
      <c r="V4072" t="s">
        <v>740</v>
      </c>
      <c r="W4072" t="s">
        <v>92</v>
      </c>
      <c r="Y4072" t="s">
        <v>38</v>
      </c>
      <c r="AA4072" t="s">
        <v>38</v>
      </c>
      <c r="AB4072" t="s">
        <v>38</v>
      </c>
      <c r="AC4072" t="s">
        <v>38</v>
      </c>
      <c r="AD4072" t="s">
        <v>48</v>
      </c>
      <c r="AG4072" t="str">
        <f>IF(AD4072="United States", IFERROR(INDEX(Sheet2!$C:$C, MATCH(AE4072&amp;AF4072, Sheet2!$E:$E, 0)) &amp; ", " &amp; INDEX(Sheet2!$D:$D, MATCH(AE4072&amp;AF4072, Sheet2!$E:$E, 0)), ""), "-")</f>
        <v/>
      </c>
    </row>
    <row r="4073" spans="1:33" x14ac:dyDescent="0.25">
      <c r="A4073" t="s">
        <v>6006</v>
      </c>
      <c r="D4073" t="s">
        <v>1037</v>
      </c>
      <c r="E4073" t="s">
        <v>5962</v>
      </c>
      <c r="F4073">
        <v>1777</v>
      </c>
      <c r="G4073">
        <v>746</v>
      </c>
      <c r="H4073">
        <v>35</v>
      </c>
      <c r="J4073" t="s">
        <v>5963</v>
      </c>
      <c r="O4073" t="s">
        <v>74</v>
      </c>
      <c r="R4073" t="s">
        <v>89</v>
      </c>
      <c r="T4073" t="s">
        <v>89</v>
      </c>
      <c r="V4073" t="s">
        <v>740</v>
      </c>
      <c r="W4073" t="s">
        <v>92</v>
      </c>
      <c r="Y4073" t="s">
        <v>38</v>
      </c>
      <c r="AA4073" t="s">
        <v>38</v>
      </c>
      <c r="AB4073" t="s">
        <v>38</v>
      </c>
      <c r="AC4073" t="s">
        <v>38</v>
      </c>
      <c r="AD4073" t="s">
        <v>48</v>
      </c>
      <c r="AG4073" t="str">
        <f>IF(AD4073="United States", IFERROR(INDEX(Sheet2!$C:$C, MATCH(AE4073&amp;AF4073, Sheet2!$E:$E, 0)) &amp; ", " &amp; INDEX(Sheet2!$D:$D, MATCH(AE4073&amp;AF4073, Sheet2!$E:$E, 0)), ""), "-")</f>
        <v/>
      </c>
    </row>
    <row r="4074" spans="1:33" x14ac:dyDescent="0.25">
      <c r="A4074" t="s">
        <v>6006</v>
      </c>
      <c r="D4074" t="s">
        <v>774</v>
      </c>
      <c r="E4074" t="s">
        <v>5962</v>
      </c>
      <c r="F4074">
        <v>1779</v>
      </c>
      <c r="G4074">
        <v>747</v>
      </c>
      <c r="H4074">
        <v>35</v>
      </c>
      <c r="J4074" t="s">
        <v>5963</v>
      </c>
      <c r="O4074" t="s">
        <v>54</v>
      </c>
      <c r="R4074" t="s">
        <v>89</v>
      </c>
      <c r="T4074" t="s">
        <v>89</v>
      </c>
      <c r="V4074" t="s">
        <v>740</v>
      </c>
      <c r="W4074" t="s">
        <v>92</v>
      </c>
      <c r="Y4074" t="s">
        <v>38</v>
      </c>
      <c r="AA4074" t="s">
        <v>38</v>
      </c>
      <c r="AB4074" t="s">
        <v>38</v>
      </c>
      <c r="AC4074" t="s">
        <v>38</v>
      </c>
      <c r="AD4074" t="s">
        <v>48</v>
      </c>
      <c r="AG4074" t="str">
        <f>IF(AD4074="United States", IFERROR(INDEX(Sheet2!$C:$C, MATCH(AE4074&amp;AF4074, Sheet2!$E:$E, 0)) &amp; ", " &amp; INDEX(Sheet2!$D:$D, MATCH(AE4074&amp;AF4074, Sheet2!$E:$E, 0)), ""), "-")</f>
        <v/>
      </c>
    </row>
    <row r="4075" spans="1:33" x14ac:dyDescent="0.25">
      <c r="A4075" t="s">
        <v>6006</v>
      </c>
      <c r="D4075" t="s">
        <v>955</v>
      </c>
      <c r="E4075" t="s">
        <v>1141</v>
      </c>
      <c r="F4075">
        <v>1733</v>
      </c>
      <c r="G4075">
        <v>748</v>
      </c>
      <c r="H4075">
        <v>35</v>
      </c>
      <c r="J4075" t="s">
        <v>5963</v>
      </c>
      <c r="O4075" t="s">
        <v>41</v>
      </c>
      <c r="R4075" t="s">
        <v>89</v>
      </c>
      <c r="T4075" t="s">
        <v>89</v>
      </c>
      <c r="V4075" t="s">
        <v>740</v>
      </c>
      <c r="W4075" t="s">
        <v>92</v>
      </c>
      <c r="Y4075" t="s">
        <v>38</v>
      </c>
      <c r="AA4075" t="s">
        <v>38</v>
      </c>
      <c r="AB4075" t="s">
        <v>38</v>
      </c>
      <c r="AC4075" t="s">
        <v>38</v>
      </c>
      <c r="AD4075" t="s">
        <v>48</v>
      </c>
      <c r="AG4075" t="str">
        <f>IF(AD4075="United States", IFERROR(INDEX(Sheet2!$C:$C, MATCH(AE4075&amp;AF4075, Sheet2!$E:$E, 0)) &amp; ", " &amp; INDEX(Sheet2!$D:$D, MATCH(AE4075&amp;AF4075, Sheet2!$E:$E, 0)), ""), "-")</f>
        <v/>
      </c>
    </row>
    <row r="4076" spans="1:33" x14ac:dyDescent="0.25">
      <c r="A4076" t="s">
        <v>6006</v>
      </c>
      <c r="D4076" t="s">
        <v>767</v>
      </c>
      <c r="E4076" t="s">
        <v>5993</v>
      </c>
      <c r="F4076">
        <v>1757</v>
      </c>
      <c r="G4076">
        <v>749</v>
      </c>
      <c r="H4076">
        <v>35</v>
      </c>
      <c r="J4076" t="s">
        <v>5963</v>
      </c>
      <c r="O4076" t="s">
        <v>41</v>
      </c>
      <c r="R4076" t="s">
        <v>89</v>
      </c>
      <c r="T4076" t="s">
        <v>89</v>
      </c>
      <c r="V4076" t="s">
        <v>740</v>
      </c>
      <c r="W4076" t="s">
        <v>92</v>
      </c>
      <c r="Y4076" t="s">
        <v>38</v>
      </c>
      <c r="AA4076" t="s">
        <v>38</v>
      </c>
      <c r="AB4076" t="s">
        <v>38</v>
      </c>
      <c r="AC4076" t="s">
        <v>38</v>
      </c>
      <c r="AD4076" t="s">
        <v>48</v>
      </c>
      <c r="AG4076" t="str">
        <f>IF(AD4076="United States", IFERROR(INDEX(Sheet2!$C:$C, MATCH(AE4076&amp;AF4076, Sheet2!$E:$E, 0)) &amp; ", " &amp; INDEX(Sheet2!$D:$D, MATCH(AE4076&amp;AF4076, Sheet2!$E:$E, 0)), ""), "-")</f>
        <v/>
      </c>
    </row>
    <row r="4077" spans="1:33" x14ac:dyDescent="0.25">
      <c r="A4077" t="s">
        <v>6006</v>
      </c>
      <c r="D4077" t="s">
        <v>200</v>
      </c>
      <c r="E4077" t="s">
        <v>5985</v>
      </c>
      <c r="F4077">
        <v>1753</v>
      </c>
      <c r="G4077">
        <v>755</v>
      </c>
      <c r="H4077">
        <v>35</v>
      </c>
      <c r="J4077" t="s">
        <v>5963</v>
      </c>
      <c r="O4077" t="s">
        <v>41</v>
      </c>
      <c r="R4077" t="s">
        <v>89</v>
      </c>
      <c r="T4077" t="s">
        <v>89</v>
      </c>
      <c r="V4077" t="s">
        <v>740</v>
      </c>
      <c r="W4077" t="s">
        <v>92</v>
      </c>
      <c r="Y4077" t="s">
        <v>38</v>
      </c>
      <c r="AA4077" t="s">
        <v>38</v>
      </c>
      <c r="AB4077" t="s">
        <v>38</v>
      </c>
      <c r="AC4077" t="s">
        <v>38</v>
      </c>
      <c r="AD4077" t="s">
        <v>48</v>
      </c>
      <c r="AG4077" t="str">
        <f>IF(AD4077="United States", IFERROR(INDEX(Sheet2!$C:$C, MATCH(AE4077&amp;AF4077, Sheet2!$E:$E, 0)) &amp; ", " &amp; INDEX(Sheet2!$D:$D, MATCH(AE4077&amp;AF4077, Sheet2!$E:$E, 0)), ""), "-")</f>
        <v/>
      </c>
    </row>
    <row r="4078" spans="1:33" x14ac:dyDescent="0.25">
      <c r="A4078" t="s">
        <v>6006</v>
      </c>
      <c r="D4078" t="s">
        <v>190</v>
      </c>
      <c r="E4078" t="s">
        <v>767</v>
      </c>
      <c r="F4078">
        <v>1761</v>
      </c>
      <c r="G4078">
        <v>751</v>
      </c>
      <c r="H4078">
        <v>35</v>
      </c>
      <c r="J4078" t="s">
        <v>5963</v>
      </c>
      <c r="O4078" t="s">
        <v>57</v>
      </c>
      <c r="R4078" t="s">
        <v>89</v>
      </c>
      <c r="T4078" t="s">
        <v>89</v>
      </c>
      <c r="V4078" t="s">
        <v>740</v>
      </c>
      <c r="W4078" t="s">
        <v>92</v>
      </c>
      <c r="Y4078" t="s">
        <v>38</v>
      </c>
      <c r="AA4078" t="s">
        <v>38</v>
      </c>
      <c r="AB4078" t="s">
        <v>38</v>
      </c>
      <c r="AC4078" t="s">
        <v>38</v>
      </c>
      <c r="AD4078" t="s">
        <v>48</v>
      </c>
      <c r="AG4078" t="str">
        <f>IF(AD4078="United States", IFERROR(INDEX(Sheet2!$C:$C, MATCH(AE4078&amp;AF4078, Sheet2!$E:$E, 0)) &amp; ", " &amp; INDEX(Sheet2!$D:$D, MATCH(AE4078&amp;AF4078, Sheet2!$E:$E, 0)), ""), "-")</f>
        <v/>
      </c>
    </row>
    <row r="4079" spans="1:33" x14ac:dyDescent="0.25">
      <c r="A4079" t="s">
        <v>6006</v>
      </c>
      <c r="D4079" t="s">
        <v>72</v>
      </c>
      <c r="E4079" t="s">
        <v>767</v>
      </c>
      <c r="F4079">
        <v>1777</v>
      </c>
      <c r="G4079">
        <v>752</v>
      </c>
      <c r="H4079">
        <v>35</v>
      </c>
      <c r="J4079" t="s">
        <v>5963</v>
      </c>
      <c r="O4079" t="s">
        <v>74</v>
      </c>
      <c r="R4079" t="s">
        <v>89</v>
      </c>
      <c r="T4079" t="s">
        <v>89</v>
      </c>
      <c r="V4079" t="s">
        <v>740</v>
      </c>
      <c r="W4079" t="s">
        <v>92</v>
      </c>
      <c r="Y4079" t="s">
        <v>38</v>
      </c>
      <c r="AA4079" t="s">
        <v>38</v>
      </c>
      <c r="AB4079" t="s">
        <v>38</v>
      </c>
      <c r="AC4079" t="s">
        <v>38</v>
      </c>
      <c r="AD4079" t="s">
        <v>48</v>
      </c>
      <c r="AG4079" t="str">
        <f>IF(AD4079="United States", IFERROR(INDEX(Sheet2!$C:$C, MATCH(AE4079&amp;AF4079, Sheet2!$E:$E, 0)) &amp; ", " &amp; INDEX(Sheet2!$D:$D, MATCH(AE4079&amp;AF4079, Sheet2!$E:$E, 0)), ""), "-")</f>
        <v/>
      </c>
    </row>
    <row r="4080" spans="1:33" x14ac:dyDescent="0.25">
      <c r="A4080" t="s">
        <v>6006</v>
      </c>
      <c r="D4080" t="s">
        <v>62</v>
      </c>
      <c r="E4080" t="s">
        <v>767</v>
      </c>
      <c r="F4080">
        <v>1782</v>
      </c>
      <c r="G4080">
        <v>753</v>
      </c>
      <c r="H4080">
        <v>35</v>
      </c>
      <c r="J4080" t="s">
        <v>5963</v>
      </c>
      <c r="O4080" t="s">
        <v>54</v>
      </c>
      <c r="R4080" t="s">
        <v>89</v>
      </c>
      <c r="T4080" t="s">
        <v>89</v>
      </c>
      <c r="V4080" t="s">
        <v>740</v>
      </c>
      <c r="W4080" t="s">
        <v>92</v>
      </c>
      <c r="Y4080" t="s">
        <v>38</v>
      </c>
      <c r="AA4080" t="s">
        <v>38</v>
      </c>
      <c r="AB4080" t="s">
        <v>38</v>
      </c>
      <c r="AC4080" t="s">
        <v>38</v>
      </c>
      <c r="AD4080" t="s">
        <v>48</v>
      </c>
      <c r="AG4080" t="str">
        <f>IF(AD4080="United States", IFERROR(INDEX(Sheet2!$C:$C, MATCH(AE4080&amp;AF4080, Sheet2!$E:$E, 0)) &amp; ", " &amp; INDEX(Sheet2!$D:$D, MATCH(AE4080&amp;AF4080, Sheet2!$E:$E, 0)), ""), "-")</f>
        <v/>
      </c>
    </row>
    <row r="4081" spans="1:33" x14ac:dyDescent="0.25">
      <c r="A4081" t="s">
        <v>6006</v>
      </c>
      <c r="D4081" t="s">
        <v>210</v>
      </c>
      <c r="E4081" t="s">
        <v>120</v>
      </c>
      <c r="F4081">
        <v>1763</v>
      </c>
      <c r="G4081">
        <v>754</v>
      </c>
      <c r="H4081">
        <v>35</v>
      </c>
      <c r="J4081" t="s">
        <v>5963</v>
      </c>
      <c r="O4081" t="s">
        <v>41</v>
      </c>
      <c r="R4081" t="s">
        <v>89</v>
      </c>
      <c r="T4081" t="s">
        <v>89</v>
      </c>
      <c r="V4081" t="s">
        <v>740</v>
      </c>
      <c r="W4081" t="s">
        <v>92</v>
      </c>
      <c r="Y4081" t="s">
        <v>38</v>
      </c>
      <c r="AA4081" t="s">
        <v>38</v>
      </c>
      <c r="AB4081" t="s">
        <v>38</v>
      </c>
      <c r="AC4081" t="s">
        <v>38</v>
      </c>
      <c r="AD4081" t="s">
        <v>48</v>
      </c>
      <c r="AG4081" t="str">
        <f>IF(AD4081="United States", IFERROR(INDEX(Sheet2!$C:$C, MATCH(AE4081&amp;AF4081, Sheet2!$E:$E, 0)) &amp; ", " &amp; INDEX(Sheet2!$D:$D, MATCH(AE4081&amp;AF4081, Sheet2!$E:$E, 0)), ""), "-")</f>
        <v/>
      </c>
    </row>
    <row r="4082" spans="1:33" x14ac:dyDescent="0.25">
      <c r="A4082" t="s">
        <v>6006</v>
      </c>
      <c r="D4082" t="s">
        <v>1851</v>
      </c>
      <c r="E4082" t="s">
        <v>5962</v>
      </c>
      <c r="F4082">
        <v>1753</v>
      </c>
      <c r="G4082">
        <v>745</v>
      </c>
      <c r="H4082">
        <v>35</v>
      </c>
      <c r="J4082" t="s">
        <v>5963</v>
      </c>
      <c r="O4082" t="s">
        <v>57</v>
      </c>
      <c r="R4082" t="s">
        <v>89</v>
      </c>
      <c r="T4082" t="s">
        <v>89</v>
      </c>
      <c r="V4082" t="s">
        <v>740</v>
      </c>
      <c r="W4082" t="s">
        <v>92</v>
      </c>
      <c r="Y4082" t="s">
        <v>38</v>
      </c>
      <c r="AA4082" t="s">
        <v>38</v>
      </c>
      <c r="AB4082" t="s">
        <v>38</v>
      </c>
      <c r="AC4082" t="s">
        <v>38</v>
      </c>
      <c r="AD4082" t="s">
        <v>48</v>
      </c>
      <c r="AG4082" t="str">
        <f>IF(AD4082="United States", IFERROR(INDEX(Sheet2!$C:$C, MATCH(AE4082&amp;AF4082, Sheet2!$E:$E, 0)) &amp; ", " &amp; INDEX(Sheet2!$D:$D, MATCH(AE4082&amp;AF4082, Sheet2!$E:$E, 0)), ""), "-")</f>
        <v/>
      </c>
    </row>
    <row r="4083" spans="1:33" x14ac:dyDescent="0.25">
      <c r="A4083" t="s">
        <v>6006</v>
      </c>
      <c r="D4083" t="s">
        <v>195</v>
      </c>
      <c r="E4083" t="s">
        <v>6007</v>
      </c>
      <c r="F4083">
        <v>1770</v>
      </c>
      <c r="G4083">
        <v>750</v>
      </c>
      <c r="H4083">
        <v>35</v>
      </c>
      <c r="J4083" t="s">
        <v>5963</v>
      </c>
      <c r="O4083" t="s">
        <v>54</v>
      </c>
      <c r="R4083" t="s">
        <v>89</v>
      </c>
      <c r="T4083" t="s">
        <v>89</v>
      </c>
      <c r="V4083" t="s">
        <v>740</v>
      </c>
      <c r="W4083" t="s">
        <v>92</v>
      </c>
      <c r="Y4083" t="s">
        <v>38</v>
      </c>
      <c r="AA4083" t="s">
        <v>38</v>
      </c>
      <c r="AB4083" t="s">
        <v>38</v>
      </c>
      <c r="AC4083" t="s">
        <v>38</v>
      </c>
      <c r="AD4083" t="s">
        <v>48</v>
      </c>
      <c r="AG4083" t="str">
        <f>IF(AD4083="United States", IFERROR(INDEX(Sheet2!$C:$C, MATCH(AE4083&amp;AF4083, Sheet2!$E:$E, 0)) &amp; ", " &amp; INDEX(Sheet2!$D:$D, MATCH(AE4083&amp;AF4083, Sheet2!$E:$E, 0)), ""), "-")</f>
        <v/>
      </c>
    </row>
    <row r="4084" spans="1:33" x14ac:dyDescent="0.25">
      <c r="A4084" t="s">
        <v>6006</v>
      </c>
      <c r="D4084" t="s">
        <v>720</v>
      </c>
      <c r="E4084" t="s">
        <v>6003</v>
      </c>
      <c r="F4084">
        <v>1741</v>
      </c>
      <c r="G4084">
        <v>756</v>
      </c>
      <c r="H4084">
        <v>35</v>
      </c>
      <c r="J4084" t="s">
        <v>5963</v>
      </c>
      <c r="O4084" t="s">
        <v>41</v>
      </c>
      <c r="R4084" t="s">
        <v>89</v>
      </c>
      <c r="T4084" t="s">
        <v>89</v>
      </c>
      <c r="V4084" t="s">
        <v>740</v>
      </c>
      <c r="W4084" t="s">
        <v>92</v>
      </c>
      <c r="Y4084" t="s">
        <v>38</v>
      </c>
      <c r="AA4084" t="s">
        <v>38</v>
      </c>
      <c r="AB4084" t="s">
        <v>38</v>
      </c>
      <c r="AC4084" t="s">
        <v>38</v>
      </c>
      <c r="AD4084" t="s">
        <v>48</v>
      </c>
      <c r="AG4084" t="str">
        <f>IF(AD4084="United States", IFERROR(INDEX(Sheet2!$C:$C, MATCH(AE4084&amp;AF4084, Sheet2!$E:$E, 0)) &amp; ", " &amp; INDEX(Sheet2!$D:$D, MATCH(AE4084&amp;AF4084, Sheet2!$E:$E, 0)), ""), "-")</f>
        <v/>
      </c>
    </row>
    <row r="4085" spans="1:33" x14ac:dyDescent="0.25">
      <c r="A4085" t="s">
        <v>6008</v>
      </c>
      <c r="B4085" t="s">
        <v>6009</v>
      </c>
      <c r="C4085" t="s">
        <v>6010</v>
      </c>
      <c r="D4085" t="s">
        <v>5947</v>
      </c>
      <c r="E4085" t="s">
        <v>120</v>
      </c>
      <c r="F4085">
        <v>1754</v>
      </c>
      <c r="G4085">
        <v>1888</v>
      </c>
      <c r="H4085" t="s">
        <v>38</v>
      </c>
      <c r="I4085" t="s">
        <v>80</v>
      </c>
      <c r="J4085" t="s">
        <v>38</v>
      </c>
      <c r="K4085" t="s">
        <v>38</v>
      </c>
      <c r="L4085" t="s">
        <v>38</v>
      </c>
      <c r="M4085" t="s">
        <v>38</v>
      </c>
      <c r="N4085" t="s">
        <v>38</v>
      </c>
      <c r="O4085" t="s">
        <v>57</v>
      </c>
      <c r="P4085" t="s">
        <v>42</v>
      </c>
      <c r="Q4085" t="s">
        <v>43</v>
      </c>
      <c r="R4085" t="s">
        <v>6011</v>
      </c>
      <c r="S4085" t="s">
        <v>45</v>
      </c>
      <c r="T4085" t="s">
        <v>38</v>
      </c>
      <c r="U4085" t="s">
        <v>38</v>
      </c>
      <c r="V4085" t="s">
        <v>38</v>
      </c>
      <c r="W4085" t="s">
        <v>38</v>
      </c>
      <c r="X4085" t="s">
        <v>38</v>
      </c>
      <c r="Y4085" t="s">
        <v>6012</v>
      </c>
      <c r="Z4085" t="s">
        <v>42</v>
      </c>
      <c r="AA4085" t="s">
        <v>169</v>
      </c>
      <c r="AB4085" t="s">
        <v>38</v>
      </c>
      <c r="AC4085" t="s">
        <v>45</v>
      </c>
      <c r="AD4085" t="s">
        <v>48</v>
      </c>
      <c r="AG4085" t="str">
        <f>IF(AD4085="United States", IFERROR(INDEX(Sheet2!$C:$C, MATCH(AE4085&amp;AF4085, Sheet2!$E:$E, 0)) &amp; ", " &amp; INDEX(Sheet2!$D:$D, MATCH(AE4085&amp;AF4085, Sheet2!$E:$E, 0)), ""), "-")</f>
        <v/>
      </c>
    </row>
    <row r="4086" spans="1:33" x14ac:dyDescent="0.25">
      <c r="A4086" t="s">
        <v>6008</v>
      </c>
      <c r="B4086" t="s">
        <v>6013</v>
      </c>
      <c r="C4086" t="s">
        <v>6010</v>
      </c>
      <c r="D4086" t="s">
        <v>1103</v>
      </c>
      <c r="E4086" t="s">
        <v>38</v>
      </c>
      <c r="F4086">
        <v>1761</v>
      </c>
      <c r="G4086">
        <v>1883</v>
      </c>
      <c r="H4086" t="s">
        <v>38</v>
      </c>
      <c r="I4086" t="s">
        <v>80</v>
      </c>
      <c r="J4086" t="s">
        <v>38</v>
      </c>
      <c r="K4086" t="s">
        <v>38</v>
      </c>
      <c r="L4086" t="s">
        <v>38</v>
      </c>
      <c r="M4086" t="s">
        <v>38</v>
      </c>
      <c r="N4086" t="s">
        <v>38</v>
      </c>
      <c r="O4086" t="s">
        <v>74</v>
      </c>
      <c r="P4086" t="s">
        <v>42</v>
      </c>
      <c r="Q4086" t="s">
        <v>43</v>
      </c>
      <c r="R4086" t="s">
        <v>6014</v>
      </c>
      <c r="S4086" t="s">
        <v>153</v>
      </c>
      <c r="T4086" t="s">
        <v>38</v>
      </c>
      <c r="U4086" t="s">
        <v>38</v>
      </c>
      <c r="V4086" t="s">
        <v>38</v>
      </c>
      <c r="W4086" t="s">
        <v>38</v>
      </c>
      <c r="X4086" t="s">
        <v>38</v>
      </c>
      <c r="Y4086" t="s">
        <v>6015</v>
      </c>
      <c r="Z4086" t="s">
        <v>42</v>
      </c>
      <c r="AA4086" t="s">
        <v>1103</v>
      </c>
      <c r="AB4086" t="s">
        <v>155</v>
      </c>
      <c r="AC4086" t="s">
        <v>153</v>
      </c>
      <c r="AD4086" t="s">
        <v>48</v>
      </c>
      <c r="AG4086" t="str">
        <f>IF(AD4086="United States", IFERROR(INDEX(Sheet2!$C:$C, MATCH(AE4086&amp;AF4086, Sheet2!$E:$E, 0)) &amp; ", " &amp; INDEX(Sheet2!$D:$D, MATCH(AE4086&amp;AF4086, Sheet2!$E:$E, 0)), ""), "-")</f>
        <v/>
      </c>
    </row>
    <row r="4087" spans="1:33" x14ac:dyDescent="0.25">
      <c r="A4087" t="s">
        <v>6008</v>
      </c>
      <c r="B4087" t="s">
        <v>6016</v>
      </c>
      <c r="C4087" t="s">
        <v>6010</v>
      </c>
      <c r="D4087" t="s">
        <v>3406</v>
      </c>
      <c r="E4087" t="s">
        <v>38</v>
      </c>
      <c r="F4087">
        <v>1773</v>
      </c>
      <c r="G4087">
        <v>1882</v>
      </c>
      <c r="H4087" t="s">
        <v>38</v>
      </c>
      <c r="I4087" t="s">
        <v>80</v>
      </c>
      <c r="J4087" t="s">
        <v>38</v>
      </c>
      <c r="K4087" t="s">
        <v>38</v>
      </c>
      <c r="L4087" t="s">
        <v>38</v>
      </c>
      <c r="M4087" t="s">
        <v>38</v>
      </c>
      <c r="N4087" t="s">
        <v>38</v>
      </c>
      <c r="O4087" t="s">
        <v>54</v>
      </c>
      <c r="P4087" t="s">
        <v>42</v>
      </c>
      <c r="Q4087" t="s">
        <v>43</v>
      </c>
      <c r="R4087" t="s">
        <v>38</v>
      </c>
      <c r="S4087" t="s">
        <v>38</v>
      </c>
      <c r="T4087" t="s">
        <v>38</v>
      </c>
      <c r="U4087" t="s">
        <v>38</v>
      </c>
      <c r="V4087" t="s">
        <v>38</v>
      </c>
      <c r="W4087" t="s">
        <v>38</v>
      </c>
      <c r="X4087" t="s">
        <v>38</v>
      </c>
      <c r="Y4087" t="s">
        <v>6015</v>
      </c>
      <c r="Z4087" t="s">
        <v>42</v>
      </c>
      <c r="AA4087" t="s">
        <v>38</v>
      </c>
      <c r="AB4087" t="s">
        <v>38</v>
      </c>
      <c r="AC4087" t="s">
        <v>3406</v>
      </c>
      <c r="AD4087" t="s">
        <v>48</v>
      </c>
      <c r="AG4087" t="str">
        <f>IF(AD4087="United States", IFERROR(INDEX(Sheet2!$C:$C, MATCH(AE4087&amp;AF4087, Sheet2!$E:$E, 0)) &amp; ", " &amp; INDEX(Sheet2!$D:$D, MATCH(AE4087&amp;AF4087, Sheet2!$E:$E, 0)), ""), "-")</f>
        <v/>
      </c>
    </row>
    <row r="4088" spans="1:33" x14ac:dyDescent="0.25">
      <c r="A4088" t="s">
        <v>6008</v>
      </c>
      <c r="B4088" t="s">
        <v>6017</v>
      </c>
      <c r="C4088" t="s">
        <v>6010</v>
      </c>
      <c r="D4088" t="s">
        <v>6018</v>
      </c>
      <c r="E4088" t="s">
        <v>38</v>
      </c>
      <c r="F4088">
        <v>1753</v>
      </c>
      <c r="G4088">
        <v>1881</v>
      </c>
      <c r="H4088" t="s">
        <v>38</v>
      </c>
      <c r="I4088" t="s">
        <v>80</v>
      </c>
      <c r="J4088" t="s">
        <v>38</v>
      </c>
      <c r="K4088" t="s">
        <v>38</v>
      </c>
      <c r="L4088" t="s">
        <v>38</v>
      </c>
      <c r="M4088" t="s">
        <v>38</v>
      </c>
      <c r="N4088" t="s">
        <v>38</v>
      </c>
      <c r="O4088" t="s">
        <v>41</v>
      </c>
      <c r="P4088" t="s">
        <v>42</v>
      </c>
      <c r="Q4088" t="s">
        <v>43</v>
      </c>
      <c r="R4088" t="s">
        <v>38</v>
      </c>
      <c r="S4088" t="s">
        <v>38</v>
      </c>
      <c r="T4088" t="s">
        <v>38</v>
      </c>
      <c r="U4088" t="s">
        <v>38</v>
      </c>
      <c r="V4088" t="s">
        <v>38</v>
      </c>
      <c r="W4088" t="s">
        <v>38</v>
      </c>
      <c r="X4088" t="s">
        <v>38</v>
      </c>
      <c r="Y4088" t="s">
        <v>6015</v>
      </c>
      <c r="Z4088" t="s">
        <v>42</v>
      </c>
      <c r="AA4088" t="s">
        <v>38</v>
      </c>
      <c r="AB4088" t="s">
        <v>38</v>
      </c>
      <c r="AC4088" t="s">
        <v>38</v>
      </c>
      <c r="AD4088" t="s">
        <v>48</v>
      </c>
      <c r="AG4088" t="str">
        <f>IF(AD4088="United States", IFERROR(INDEX(Sheet2!$C:$C, MATCH(AE4088&amp;AF4088, Sheet2!$E:$E, 0)) &amp; ", " &amp; INDEX(Sheet2!$D:$D, MATCH(AE4088&amp;AF4088, Sheet2!$E:$E, 0)), ""), "-")</f>
        <v/>
      </c>
    </row>
    <row r="4089" spans="1:33" x14ac:dyDescent="0.25">
      <c r="A4089" t="s">
        <v>6008</v>
      </c>
      <c r="B4089" t="s">
        <v>6019</v>
      </c>
      <c r="C4089" t="s">
        <v>6010</v>
      </c>
      <c r="D4089" t="s">
        <v>50</v>
      </c>
      <c r="E4089" t="s">
        <v>5943</v>
      </c>
      <c r="F4089">
        <v>1758</v>
      </c>
      <c r="G4089">
        <v>1880</v>
      </c>
      <c r="H4089" t="s">
        <v>38</v>
      </c>
      <c r="I4089" t="s">
        <v>80</v>
      </c>
      <c r="J4089" t="s">
        <v>38</v>
      </c>
      <c r="K4089" t="s">
        <v>38</v>
      </c>
      <c r="L4089" t="s">
        <v>38</v>
      </c>
      <c r="M4089" t="s">
        <v>38</v>
      </c>
      <c r="N4089" t="s">
        <v>38</v>
      </c>
      <c r="O4089" t="s">
        <v>57</v>
      </c>
      <c r="P4089" t="s">
        <v>42</v>
      </c>
      <c r="Q4089" t="s">
        <v>43</v>
      </c>
      <c r="R4089" t="s">
        <v>6020</v>
      </c>
      <c r="S4089" t="s">
        <v>153</v>
      </c>
      <c r="T4089" t="s">
        <v>38</v>
      </c>
      <c r="U4089" t="s">
        <v>38</v>
      </c>
      <c r="V4089" t="s">
        <v>38</v>
      </c>
      <c r="W4089" t="s">
        <v>38</v>
      </c>
      <c r="X4089" t="s">
        <v>38</v>
      </c>
      <c r="Y4089" t="s">
        <v>6015</v>
      </c>
      <c r="Z4089" t="s">
        <v>42</v>
      </c>
      <c r="AA4089" t="s">
        <v>1919</v>
      </c>
      <c r="AB4089" t="s">
        <v>38</v>
      </c>
      <c r="AC4089" t="s">
        <v>153</v>
      </c>
      <c r="AD4089" t="s">
        <v>48</v>
      </c>
      <c r="AG4089" t="str">
        <f>IF(AD4089="United States", IFERROR(INDEX(Sheet2!$C:$C, MATCH(AE4089&amp;AF4089, Sheet2!$E:$E, 0)) &amp; ", " &amp; INDEX(Sheet2!$D:$D, MATCH(AE4089&amp;AF4089, Sheet2!$E:$E, 0)), ""), "-")</f>
        <v/>
      </c>
    </row>
    <row r="4090" spans="1:33" x14ac:dyDescent="0.25">
      <c r="A4090" t="s">
        <v>6008</v>
      </c>
      <c r="B4090" t="s">
        <v>6021</v>
      </c>
      <c r="C4090" t="s">
        <v>6010</v>
      </c>
      <c r="D4090" t="s">
        <v>6022</v>
      </c>
      <c r="E4090" t="s">
        <v>268</v>
      </c>
      <c r="F4090">
        <v>1748</v>
      </c>
      <c r="G4090">
        <v>1879</v>
      </c>
      <c r="H4090" t="s">
        <v>38</v>
      </c>
      <c r="I4090" t="s">
        <v>80</v>
      </c>
      <c r="J4090" t="s">
        <v>38</v>
      </c>
      <c r="K4090" t="s">
        <v>38</v>
      </c>
      <c r="L4090" t="s">
        <v>38</v>
      </c>
      <c r="M4090" t="s">
        <v>38</v>
      </c>
      <c r="N4090" t="s">
        <v>38</v>
      </c>
      <c r="O4090" t="s">
        <v>41</v>
      </c>
      <c r="P4090" t="s">
        <v>42</v>
      </c>
      <c r="Q4090" t="s">
        <v>43</v>
      </c>
      <c r="R4090" t="s">
        <v>6023</v>
      </c>
      <c r="S4090" t="s">
        <v>153</v>
      </c>
      <c r="T4090" t="s">
        <v>38</v>
      </c>
      <c r="U4090" t="s">
        <v>38</v>
      </c>
      <c r="V4090" t="s">
        <v>38</v>
      </c>
      <c r="W4090" t="s">
        <v>38</v>
      </c>
      <c r="X4090" t="s">
        <v>38</v>
      </c>
      <c r="Y4090" t="s">
        <v>6015</v>
      </c>
      <c r="Z4090" t="s">
        <v>42</v>
      </c>
      <c r="AA4090" t="s">
        <v>166</v>
      </c>
      <c r="AB4090" t="s">
        <v>38</v>
      </c>
      <c r="AC4090" t="s">
        <v>153</v>
      </c>
      <c r="AD4090" t="s">
        <v>48</v>
      </c>
      <c r="AG4090" t="str">
        <f>IF(AD4090="United States", IFERROR(INDEX(Sheet2!$C:$C, MATCH(AE4090&amp;AF4090, Sheet2!$E:$E, 0)) &amp; ", " &amp; INDEX(Sheet2!$D:$D, MATCH(AE4090&amp;AF4090, Sheet2!$E:$E, 0)), ""), "-")</f>
        <v/>
      </c>
    </row>
    <row r="4091" spans="1:33" x14ac:dyDescent="0.25">
      <c r="A4091" t="s">
        <v>6008</v>
      </c>
      <c r="B4091" t="s">
        <v>6024</v>
      </c>
      <c r="C4091" t="s">
        <v>6010</v>
      </c>
      <c r="D4091" t="s">
        <v>1989</v>
      </c>
      <c r="E4091" t="s">
        <v>986</v>
      </c>
      <c r="F4091">
        <v>1753</v>
      </c>
      <c r="G4091">
        <v>1878</v>
      </c>
      <c r="H4091" t="s">
        <v>38</v>
      </c>
      <c r="I4091" t="s">
        <v>80</v>
      </c>
      <c r="J4091" t="s">
        <v>38</v>
      </c>
      <c r="K4091" t="s">
        <v>38</v>
      </c>
      <c r="L4091" t="s">
        <v>38</v>
      </c>
      <c r="M4091" t="s">
        <v>38</v>
      </c>
      <c r="N4091" t="s">
        <v>38</v>
      </c>
      <c r="O4091" t="s">
        <v>41</v>
      </c>
      <c r="P4091" t="s">
        <v>42</v>
      </c>
      <c r="Q4091" t="s">
        <v>43</v>
      </c>
      <c r="R4091" t="s">
        <v>38</v>
      </c>
      <c r="S4091" t="s">
        <v>38</v>
      </c>
      <c r="T4091" t="s">
        <v>38</v>
      </c>
      <c r="U4091" t="s">
        <v>38</v>
      </c>
      <c r="V4091" t="s">
        <v>38</v>
      </c>
      <c r="W4091" t="s">
        <v>38</v>
      </c>
      <c r="X4091" t="s">
        <v>38</v>
      </c>
      <c r="Y4091" t="s">
        <v>6015</v>
      </c>
      <c r="Z4091" t="s">
        <v>42</v>
      </c>
      <c r="AA4091" t="s">
        <v>38</v>
      </c>
      <c r="AB4091" t="s">
        <v>38</v>
      </c>
      <c r="AC4091" t="s">
        <v>593</v>
      </c>
      <c r="AD4091" t="s">
        <v>48</v>
      </c>
      <c r="AG4091" t="str">
        <f>IF(AD4091="United States", IFERROR(INDEX(Sheet2!$C:$C, MATCH(AE4091&amp;AF4091, Sheet2!$E:$E, 0)) &amp; ", " &amp; INDEX(Sheet2!$D:$D, MATCH(AE4091&amp;AF4091, Sheet2!$E:$E, 0)), ""), "-")</f>
        <v/>
      </c>
    </row>
    <row r="4092" spans="1:33" x14ac:dyDescent="0.25">
      <c r="A4092" t="s">
        <v>6008</v>
      </c>
      <c r="B4092" t="s">
        <v>6025</v>
      </c>
      <c r="C4092" t="s">
        <v>6010</v>
      </c>
      <c r="D4092" t="s">
        <v>463</v>
      </c>
      <c r="E4092" t="s">
        <v>1437</v>
      </c>
      <c r="F4092">
        <v>1743</v>
      </c>
      <c r="G4092">
        <v>1877</v>
      </c>
      <c r="H4092" t="s">
        <v>38</v>
      </c>
      <c r="I4092" t="s">
        <v>80</v>
      </c>
      <c r="J4092" t="s">
        <v>38</v>
      </c>
      <c r="K4092" t="s">
        <v>38</v>
      </c>
      <c r="L4092" t="s">
        <v>38</v>
      </c>
      <c r="M4092" t="s">
        <v>38</v>
      </c>
      <c r="N4092" t="s">
        <v>38</v>
      </c>
      <c r="O4092" t="s">
        <v>41</v>
      </c>
      <c r="P4092" t="s">
        <v>42</v>
      </c>
      <c r="Q4092" t="s">
        <v>43</v>
      </c>
      <c r="R4092" t="s">
        <v>38</v>
      </c>
      <c r="S4092" t="s">
        <v>38</v>
      </c>
      <c r="T4092" t="s">
        <v>38</v>
      </c>
      <c r="U4092" t="s">
        <v>38</v>
      </c>
      <c r="V4092" t="s">
        <v>38</v>
      </c>
      <c r="W4092" t="s">
        <v>38</v>
      </c>
      <c r="X4092" t="s">
        <v>38</v>
      </c>
      <c r="Y4092" t="s">
        <v>6015</v>
      </c>
      <c r="Z4092" t="s">
        <v>42</v>
      </c>
      <c r="AA4092" t="s">
        <v>38</v>
      </c>
      <c r="AB4092" t="s">
        <v>38</v>
      </c>
      <c r="AC4092" t="s">
        <v>155</v>
      </c>
      <c r="AD4092" t="s">
        <v>48</v>
      </c>
      <c r="AG4092" t="str">
        <f>IF(AD4092="United States", IFERROR(INDEX(Sheet2!$C:$C, MATCH(AE4092&amp;AF4092, Sheet2!$E:$E, 0)) &amp; ", " &amp; INDEX(Sheet2!$D:$D, MATCH(AE4092&amp;AF4092, Sheet2!$E:$E, 0)), ""), "-")</f>
        <v/>
      </c>
    </row>
    <row r="4093" spans="1:33" x14ac:dyDescent="0.25">
      <c r="A4093" t="s">
        <v>6008</v>
      </c>
      <c r="B4093" t="s">
        <v>6026</v>
      </c>
      <c r="C4093" t="s">
        <v>6010</v>
      </c>
      <c r="D4093" t="s">
        <v>98</v>
      </c>
      <c r="E4093" t="s">
        <v>1084</v>
      </c>
      <c r="F4093">
        <v>1767</v>
      </c>
      <c r="G4093">
        <v>1876</v>
      </c>
      <c r="H4093" t="s">
        <v>38</v>
      </c>
      <c r="I4093" t="s">
        <v>80</v>
      </c>
      <c r="J4093" t="s">
        <v>38</v>
      </c>
      <c r="K4093" t="s">
        <v>38</v>
      </c>
      <c r="L4093" t="s">
        <v>38</v>
      </c>
      <c r="M4093" t="s">
        <v>38</v>
      </c>
      <c r="N4093" t="s">
        <v>38</v>
      </c>
      <c r="O4093" t="s">
        <v>74</v>
      </c>
      <c r="P4093" t="s">
        <v>42</v>
      </c>
      <c r="Q4093" t="s">
        <v>43</v>
      </c>
      <c r="R4093" t="s">
        <v>38</v>
      </c>
      <c r="S4093" t="s">
        <v>38</v>
      </c>
      <c r="T4093" t="s">
        <v>38</v>
      </c>
      <c r="U4093" t="s">
        <v>38</v>
      </c>
      <c r="V4093" t="s">
        <v>38</v>
      </c>
      <c r="W4093" t="s">
        <v>38</v>
      </c>
      <c r="X4093" t="s">
        <v>38</v>
      </c>
      <c r="Y4093" t="s">
        <v>6027</v>
      </c>
      <c r="Z4093" t="s">
        <v>42</v>
      </c>
      <c r="AA4093" t="s">
        <v>38</v>
      </c>
      <c r="AB4093" t="s">
        <v>38</v>
      </c>
      <c r="AC4093" t="s">
        <v>38</v>
      </c>
      <c r="AD4093" t="s">
        <v>48</v>
      </c>
      <c r="AG4093" t="str">
        <f>IF(AD4093="United States", IFERROR(INDEX(Sheet2!$C:$C, MATCH(AE4093&amp;AF4093, Sheet2!$E:$E, 0)) &amp; ", " &amp; INDEX(Sheet2!$D:$D, MATCH(AE4093&amp;AF4093, Sheet2!$E:$E, 0)), ""), "-")</f>
        <v/>
      </c>
    </row>
    <row r="4094" spans="1:33" x14ac:dyDescent="0.25">
      <c r="A4094" t="s">
        <v>6008</v>
      </c>
      <c r="B4094" t="s">
        <v>6028</v>
      </c>
      <c r="C4094" t="s">
        <v>6010</v>
      </c>
      <c r="D4094" t="s">
        <v>361</v>
      </c>
      <c r="E4094" t="s">
        <v>37</v>
      </c>
      <c r="F4094">
        <v>1772</v>
      </c>
      <c r="G4094">
        <v>1875</v>
      </c>
      <c r="H4094" t="s">
        <v>38</v>
      </c>
      <c r="I4094" t="s">
        <v>80</v>
      </c>
      <c r="J4094" t="s">
        <v>38</v>
      </c>
      <c r="K4094" t="s">
        <v>38</v>
      </c>
      <c r="L4094" t="s">
        <v>38</v>
      </c>
      <c r="M4094" t="s">
        <v>38</v>
      </c>
      <c r="N4094" t="s">
        <v>38</v>
      </c>
      <c r="O4094" t="s">
        <v>54</v>
      </c>
      <c r="P4094" t="s">
        <v>42</v>
      </c>
      <c r="Q4094" t="s">
        <v>43</v>
      </c>
      <c r="R4094" t="s">
        <v>155</v>
      </c>
      <c r="S4094" t="s">
        <v>153</v>
      </c>
      <c r="T4094" t="s">
        <v>38</v>
      </c>
      <c r="U4094" t="s">
        <v>38</v>
      </c>
      <c r="V4094" t="s">
        <v>38</v>
      </c>
      <c r="W4094" t="s">
        <v>38</v>
      </c>
      <c r="X4094" t="s">
        <v>38</v>
      </c>
      <c r="Y4094" t="s">
        <v>6027</v>
      </c>
      <c r="Z4094" t="s">
        <v>42</v>
      </c>
      <c r="AA4094" t="s">
        <v>155</v>
      </c>
      <c r="AB4094" t="s">
        <v>38</v>
      </c>
      <c r="AC4094" t="s">
        <v>153</v>
      </c>
      <c r="AD4094" t="s">
        <v>48</v>
      </c>
      <c r="AG4094" t="str">
        <f>IF(AD4094="United States", IFERROR(INDEX(Sheet2!$C:$C, MATCH(AE4094&amp;AF4094, Sheet2!$E:$E, 0)) &amp; ", " &amp; INDEX(Sheet2!$D:$D, MATCH(AE4094&amp;AF4094, Sheet2!$E:$E, 0)), ""), "-")</f>
        <v/>
      </c>
    </row>
    <row r="4095" spans="1:33" x14ac:dyDescent="0.25">
      <c r="A4095" t="s">
        <v>6008</v>
      </c>
      <c r="B4095" t="s">
        <v>6029</v>
      </c>
      <c r="C4095" t="s">
        <v>6010</v>
      </c>
      <c r="D4095" t="s">
        <v>1003</v>
      </c>
      <c r="E4095" t="s">
        <v>37</v>
      </c>
      <c r="F4095">
        <v>1772</v>
      </c>
      <c r="G4095">
        <v>1874</v>
      </c>
      <c r="H4095" t="s">
        <v>38</v>
      </c>
      <c r="I4095" t="s">
        <v>80</v>
      </c>
      <c r="J4095" t="s">
        <v>38</v>
      </c>
      <c r="K4095" t="s">
        <v>38</v>
      </c>
      <c r="L4095" t="s">
        <v>38</v>
      </c>
      <c r="M4095" t="s">
        <v>38</v>
      </c>
      <c r="N4095" t="s">
        <v>38</v>
      </c>
      <c r="O4095" t="s">
        <v>74</v>
      </c>
      <c r="P4095" t="s">
        <v>42</v>
      </c>
      <c r="Q4095" t="s">
        <v>43</v>
      </c>
      <c r="R4095" t="s">
        <v>155</v>
      </c>
      <c r="S4095" t="s">
        <v>153</v>
      </c>
      <c r="T4095" t="s">
        <v>38</v>
      </c>
      <c r="U4095" t="s">
        <v>38</v>
      </c>
      <c r="V4095" t="s">
        <v>38</v>
      </c>
      <c r="W4095" t="s">
        <v>38</v>
      </c>
      <c r="X4095" t="s">
        <v>38</v>
      </c>
      <c r="Y4095" t="s">
        <v>6027</v>
      </c>
      <c r="Z4095" t="s">
        <v>42</v>
      </c>
      <c r="AA4095" t="s">
        <v>155</v>
      </c>
      <c r="AB4095" t="s">
        <v>38</v>
      </c>
      <c r="AC4095" t="s">
        <v>153</v>
      </c>
      <c r="AD4095" t="s">
        <v>48</v>
      </c>
      <c r="AG4095" t="str">
        <f>IF(AD4095="United States", IFERROR(INDEX(Sheet2!$C:$C, MATCH(AE4095&amp;AF4095, Sheet2!$E:$E, 0)) &amp; ", " &amp; INDEX(Sheet2!$D:$D, MATCH(AE4095&amp;AF4095, Sheet2!$E:$E, 0)), ""), "-")</f>
        <v/>
      </c>
    </row>
    <row r="4096" spans="1:33" x14ac:dyDescent="0.25">
      <c r="A4096" t="s">
        <v>6008</v>
      </c>
      <c r="B4096" t="s">
        <v>6030</v>
      </c>
      <c r="C4096" t="s">
        <v>6010</v>
      </c>
      <c r="D4096" t="s">
        <v>132</v>
      </c>
      <c r="E4096" t="s">
        <v>6031</v>
      </c>
      <c r="F4096">
        <v>1746</v>
      </c>
      <c r="G4096">
        <v>1873</v>
      </c>
      <c r="H4096" t="s">
        <v>38</v>
      </c>
      <c r="I4096" t="s">
        <v>80</v>
      </c>
      <c r="J4096" t="s">
        <v>38</v>
      </c>
      <c r="K4096" t="s">
        <v>38</v>
      </c>
      <c r="L4096" t="s">
        <v>38</v>
      </c>
      <c r="M4096" t="s">
        <v>38</v>
      </c>
      <c r="N4096" t="s">
        <v>38</v>
      </c>
      <c r="O4096" t="s">
        <v>41</v>
      </c>
      <c r="P4096" t="s">
        <v>42</v>
      </c>
      <c r="Q4096" t="s">
        <v>43</v>
      </c>
      <c r="R4096" t="s">
        <v>166</v>
      </c>
      <c r="S4096" t="s">
        <v>165</v>
      </c>
      <c r="T4096" t="s">
        <v>38</v>
      </c>
      <c r="U4096" t="s">
        <v>38</v>
      </c>
      <c r="V4096" t="s">
        <v>38</v>
      </c>
      <c r="W4096" t="s">
        <v>38</v>
      </c>
      <c r="X4096" t="s">
        <v>38</v>
      </c>
      <c r="Y4096" t="s">
        <v>6027</v>
      </c>
      <c r="Z4096" t="s">
        <v>42</v>
      </c>
      <c r="AA4096" t="s">
        <v>166</v>
      </c>
      <c r="AB4096" t="s">
        <v>38</v>
      </c>
      <c r="AC4096" t="s">
        <v>165</v>
      </c>
      <c r="AD4096" t="s">
        <v>48</v>
      </c>
      <c r="AG4096" t="str">
        <f>IF(AD4096="United States", IFERROR(INDEX(Sheet2!$C:$C, MATCH(AE4096&amp;AF4096, Sheet2!$E:$E, 0)) &amp; ", " &amp; INDEX(Sheet2!$D:$D, MATCH(AE4096&amp;AF4096, Sheet2!$E:$E, 0)), ""), "-")</f>
        <v/>
      </c>
    </row>
    <row r="4097" spans="1:33" x14ac:dyDescent="0.25">
      <c r="A4097" t="s">
        <v>6008</v>
      </c>
      <c r="B4097" t="s">
        <v>6032</v>
      </c>
      <c r="C4097" t="s">
        <v>6010</v>
      </c>
      <c r="D4097" t="s">
        <v>210</v>
      </c>
      <c r="E4097" t="s">
        <v>191</v>
      </c>
      <c r="F4097">
        <v>1757</v>
      </c>
      <c r="G4097">
        <v>1872</v>
      </c>
      <c r="H4097" t="s">
        <v>38</v>
      </c>
      <c r="I4097" t="s">
        <v>80</v>
      </c>
      <c r="J4097" t="s">
        <v>38</v>
      </c>
      <c r="K4097" t="s">
        <v>38</v>
      </c>
      <c r="L4097" t="s">
        <v>38</v>
      </c>
      <c r="M4097" t="s">
        <v>38</v>
      </c>
      <c r="N4097" t="s">
        <v>38</v>
      </c>
      <c r="O4097" t="s">
        <v>41</v>
      </c>
      <c r="P4097" t="s">
        <v>42</v>
      </c>
      <c r="Q4097" t="s">
        <v>43</v>
      </c>
      <c r="R4097" t="s">
        <v>155</v>
      </c>
      <c r="S4097" t="s">
        <v>153</v>
      </c>
      <c r="T4097" t="s">
        <v>38</v>
      </c>
      <c r="U4097" t="s">
        <v>38</v>
      </c>
      <c r="V4097" t="s">
        <v>38</v>
      </c>
      <c r="W4097" t="s">
        <v>38</v>
      </c>
      <c r="X4097" t="s">
        <v>38</v>
      </c>
      <c r="Y4097" t="s">
        <v>6015</v>
      </c>
      <c r="Z4097" t="s">
        <v>42</v>
      </c>
      <c r="AA4097" t="s">
        <v>155</v>
      </c>
      <c r="AB4097" t="s">
        <v>38</v>
      </c>
      <c r="AC4097" t="s">
        <v>153</v>
      </c>
      <c r="AD4097" t="s">
        <v>48</v>
      </c>
      <c r="AG4097" t="str">
        <f>IF(AD4097="United States", IFERROR(INDEX(Sheet2!$C:$C, MATCH(AE4097&amp;AF4097, Sheet2!$E:$E, 0)) &amp; ", " &amp; INDEX(Sheet2!$D:$D, MATCH(AE4097&amp;AF4097, Sheet2!$E:$E, 0)), ""), "-")</f>
        <v/>
      </c>
    </row>
    <row r="4098" spans="1:33" x14ac:dyDescent="0.25">
      <c r="A4098" t="s">
        <v>6008</v>
      </c>
      <c r="B4098" t="s">
        <v>6033</v>
      </c>
      <c r="C4098" t="s">
        <v>6010</v>
      </c>
      <c r="D4098" t="s">
        <v>36</v>
      </c>
      <c r="E4098" t="s">
        <v>6034</v>
      </c>
      <c r="F4098">
        <v>1756</v>
      </c>
      <c r="G4098">
        <v>1871</v>
      </c>
      <c r="H4098" t="s">
        <v>38</v>
      </c>
      <c r="I4098" t="s">
        <v>80</v>
      </c>
      <c r="J4098" t="s">
        <v>38</v>
      </c>
      <c r="K4098" t="s">
        <v>38</v>
      </c>
      <c r="L4098" t="s">
        <v>38</v>
      </c>
      <c r="M4098" t="s">
        <v>38</v>
      </c>
      <c r="N4098" t="s">
        <v>38</v>
      </c>
      <c r="O4098" t="s">
        <v>41</v>
      </c>
      <c r="P4098" t="s">
        <v>42</v>
      </c>
      <c r="Q4098" t="s">
        <v>43</v>
      </c>
      <c r="R4098" t="s">
        <v>210</v>
      </c>
      <c r="S4098" t="s">
        <v>153</v>
      </c>
      <c r="T4098" t="s">
        <v>38</v>
      </c>
      <c r="U4098" t="s">
        <v>38</v>
      </c>
      <c r="V4098" t="s">
        <v>38</v>
      </c>
      <c r="W4098" t="s">
        <v>38</v>
      </c>
      <c r="X4098" t="s">
        <v>38</v>
      </c>
      <c r="Y4098" t="s">
        <v>6035</v>
      </c>
      <c r="Z4098" t="s">
        <v>42</v>
      </c>
      <c r="AA4098" t="s">
        <v>6036</v>
      </c>
      <c r="AB4098" t="s">
        <v>38</v>
      </c>
      <c r="AC4098" t="s">
        <v>153</v>
      </c>
      <c r="AD4098" t="s">
        <v>48</v>
      </c>
      <c r="AG4098" t="str">
        <f>IF(AD4098="United States", IFERROR(INDEX(Sheet2!$C:$C, MATCH(AE4098&amp;AF4098, Sheet2!$E:$E, 0)) &amp; ", " &amp; INDEX(Sheet2!$D:$D, MATCH(AE4098&amp;AF4098, Sheet2!$E:$E, 0)), ""), "-")</f>
        <v/>
      </c>
    </row>
    <row r="4099" spans="1:33" x14ac:dyDescent="0.25">
      <c r="A4099" t="s">
        <v>6008</v>
      </c>
      <c r="B4099" t="s">
        <v>6037</v>
      </c>
      <c r="C4099" t="s">
        <v>6010</v>
      </c>
      <c r="D4099" t="s">
        <v>1551</v>
      </c>
      <c r="E4099" t="s">
        <v>2836</v>
      </c>
      <c r="F4099">
        <v>1748</v>
      </c>
      <c r="G4099">
        <v>1870</v>
      </c>
      <c r="H4099" t="s">
        <v>38</v>
      </c>
      <c r="I4099" t="s">
        <v>80</v>
      </c>
      <c r="J4099" t="s">
        <v>38</v>
      </c>
      <c r="K4099" t="s">
        <v>38</v>
      </c>
      <c r="L4099" t="s">
        <v>38</v>
      </c>
      <c r="M4099" t="s">
        <v>38</v>
      </c>
      <c r="N4099" t="s">
        <v>38</v>
      </c>
      <c r="O4099" t="s">
        <v>57</v>
      </c>
      <c r="P4099" t="s">
        <v>42</v>
      </c>
      <c r="Q4099" t="s">
        <v>43</v>
      </c>
      <c r="R4099" t="s">
        <v>155</v>
      </c>
      <c r="S4099" t="s">
        <v>153</v>
      </c>
      <c r="T4099" t="s">
        <v>38</v>
      </c>
      <c r="U4099" t="s">
        <v>38</v>
      </c>
      <c r="V4099" t="s">
        <v>38</v>
      </c>
      <c r="W4099" t="s">
        <v>38</v>
      </c>
      <c r="X4099" t="s">
        <v>38</v>
      </c>
      <c r="Y4099" t="s">
        <v>6038</v>
      </c>
      <c r="Z4099" t="s">
        <v>42</v>
      </c>
      <c r="AA4099" t="s">
        <v>155</v>
      </c>
      <c r="AB4099" t="s">
        <v>38</v>
      </c>
      <c r="AC4099" t="s">
        <v>153</v>
      </c>
      <c r="AD4099" t="s">
        <v>48</v>
      </c>
      <c r="AG4099" t="str">
        <f>IF(AD4099="United States", IFERROR(INDEX(Sheet2!$C:$C, MATCH(AE4099&amp;AF4099, Sheet2!$E:$E, 0)) &amp; ", " &amp; INDEX(Sheet2!$D:$D, MATCH(AE4099&amp;AF4099, Sheet2!$E:$E, 0)), ""), "-")</f>
        <v/>
      </c>
    </row>
    <row r="4100" spans="1:33" x14ac:dyDescent="0.25">
      <c r="A4100" t="s">
        <v>6008</v>
      </c>
      <c r="B4100" t="s">
        <v>6039</v>
      </c>
      <c r="C4100" t="s">
        <v>6010</v>
      </c>
      <c r="D4100" t="s">
        <v>1954</v>
      </c>
      <c r="E4100" t="s">
        <v>38</v>
      </c>
      <c r="F4100">
        <v>1761</v>
      </c>
      <c r="G4100">
        <v>1869</v>
      </c>
      <c r="H4100" t="s">
        <v>38</v>
      </c>
      <c r="I4100" t="s">
        <v>80</v>
      </c>
      <c r="J4100" t="s">
        <v>38</v>
      </c>
      <c r="K4100" t="s">
        <v>38</v>
      </c>
      <c r="L4100" t="s">
        <v>38</v>
      </c>
      <c r="M4100" t="s">
        <v>38</v>
      </c>
      <c r="N4100" t="s">
        <v>38</v>
      </c>
      <c r="O4100" t="s">
        <v>74</v>
      </c>
      <c r="P4100" t="s">
        <v>42</v>
      </c>
      <c r="Q4100" t="s">
        <v>43</v>
      </c>
      <c r="R4100" t="s">
        <v>155</v>
      </c>
      <c r="S4100" t="s">
        <v>153</v>
      </c>
      <c r="T4100" t="s">
        <v>38</v>
      </c>
      <c r="U4100" t="s">
        <v>38</v>
      </c>
      <c r="V4100" t="s">
        <v>38</v>
      </c>
      <c r="W4100" t="s">
        <v>38</v>
      </c>
      <c r="X4100" t="s">
        <v>38</v>
      </c>
      <c r="Y4100" t="s">
        <v>6040</v>
      </c>
      <c r="Z4100" t="s">
        <v>42</v>
      </c>
      <c r="AA4100" t="s">
        <v>155</v>
      </c>
      <c r="AB4100" t="s">
        <v>38</v>
      </c>
      <c r="AC4100" t="s">
        <v>153</v>
      </c>
      <c r="AD4100" t="s">
        <v>48</v>
      </c>
      <c r="AG4100" t="str">
        <f>IF(AD4100="United States", IFERROR(INDEX(Sheet2!$C:$C, MATCH(AE4100&amp;AF4100, Sheet2!$E:$E, 0)) &amp; ", " &amp; INDEX(Sheet2!$D:$D, MATCH(AE4100&amp;AF4100, Sheet2!$E:$E, 0)), ""), "-")</f>
        <v/>
      </c>
    </row>
    <row r="4101" spans="1:33" x14ac:dyDescent="0.25">
      <c r="A4101" t="s">
        <v>6008</v>
      </c>
      <c r="B4101" t="s">
        <v>6041</v>
      </c>
      <c r="C4101" t="s">
        <v>6010</v>
      </c>
      <c r="D4101" t="s">
        <v>132</v>
      </c>
      <c r="E4101" t="s">
        <v>5247</v>
      </c>
      <c r="F4101">
        <v>1755</v>
      </c>
      <c r="G4101">
        <v>1868</v>
      </c>
      <c r="H4101" t="s">
        <v>38</v>
      </c>
      <c r="I4101" t="s">
        <v>80</v>
      </c>
      <c r="J4101" t="s">
        <v>38</v>
      </c>
      <c r="K4101" t="s">
        <v>38</v>
      </c>
      <c r="L4101" t="s">
        <v>38</v>
      </c>
      <c r="M4101" t="s">
        <v>38</v>
      </c>
      <c r="N4101" t="s">
        <v>38</v>
      </c>
      <c r="O4101" t="s">
        <v>41</v>
      </c>
      <c r="P4101" t="s">
        <v>42</v>
      </c>
      <c r="Q4101" t="s">
        <v>43</v>
      </c>
      <c r="R4101" t="s">
        <v>6042</v>
      </c>
      <c r="S4101" t="s">
        <v>153</v>
      </c>
      <c r="T4101" t="s">
        <v>38</v>
      </c>
      <c r="U4101" t="s">
        <v>38</v>
      </c>
      <c r="V4101" t="s">
        <v>38</v>
      </c>
      <c r="W4101" t="s">
        <v>38</v>
      </c>
      <c r="X4101" t="s">
        <v>38</v>
      </c>
      <c r="Y4101" t="s">
        <v>6040</v>
      </c>
      <c r="Z4101" t="s">
        <v>42</v>
      </c>
      <c r="AA4101" t="s">
        <v>2008</v>
      </c>
      <c r="AB4101" t="s">
        <v>38</v>
      </c>
      <c r="AC4101" t="s">
        <v>153</v>
      </c>
      <c r="AD4101" t="s">
        <v>48</v>
      </c>
      <c r="AG4101" t="str">
        <f>IF(AD4101="United States", IFERROR(INDEX(Sheet2!$C:$C, MATCH(AE4101&amp;AF4101, Sheet2!$E:$E, 0)) &amp; ", " &amp; INDEX(Sheet2!$D:$D, MATCH(AE4101&amp;AF4101, Sheet2!$E:$E, 0)), ""), "-")</f>
        <v/>
      </c>
    </row>
    <row r="4102" spans="1:33" x14ac:dyDescent="0.25">
      <c r="A4102" t="s">
        <v>6008</v>
      </c>
      <c r="B4102" t="s">
        <v>6043</v>
      </c>
      <c r="C4102" t="s">
        <v>6010</v>
      </c>
      <c r="D4102" t="s">
        <v>150</v>
      </c>
      <c r="E4102" t="s">
        <v>1327</v>
      </c>
      <c r="F4102">
        <v>1757</v>
      </c>
      <c r="G4102">
        <v>1867</v>
      </c>
      <c r="H4102" t="s">
        <v>38</v>
      </c>
      <c r="I4102" t="s">
        <v>80</v>
      </c>
      <c r="J4102" t="s">
        <v>38</v>
      </c>
      <c r="K4102" t="s">
        <v>38</v>
      </c>
      <c r="L4102" t="s">
        <v>38</v>
      </c>
      <c r="M4102" t="s">
        <v>38</v>
      </c>
      <c r="N4102" t="s">
        <v>38</v>
      </c>
      <c r="O4102" t="s">
        <v>41</v>
      </c>
      <c r="P4102" t="s">
        <v>42</v>
      </c>
      <c r="Q4102" t="s">
        <v>43</v>
      </c>
      <c r="R4102" t="s">
        <v>155</v>
      </c>
      <c r="S4102" t="s">
        <v>153</v>
      </c>
      <c r="T4102" t="s">
        <v>38</v>
      </c>
      <c r="U4102" t="s">
        <v>38</v>
      </c>
      <c r="V4102" t="s">
        <v>38</v>
      </c>
      <c r="W4102" t="s">
        <v>38</v>
      </c>
      <c r="X4102" t="s">
        <v>38</v>
      </c>
      <c r="Y4102" t="s">
        <v>6040</v>
      </c>
      <c r="Z4102" t="s">
        <v>42</v>
      </c>
      <c r="AA4102" t="s">
        <v>155</v>
      </c>
      <c r="AB4102" t="s">
        <v>38</v>
      </c>
      <c r="AC4102" t="s">
        <v>153</v>
      </c>
      <c r="AD4102" t="s">
        <v>48</v>
      </c>
      <c r="AG4102" t="str">
        <f>IF(AD4102="United States", IFERROR(INDEX(Sheet2!$C:$C, MATCH(AE4102&amp;AF4102, Sheet2!$E:$E, 0)) &amp; ", " &amp; INDEX(Sheet2!$D:$D, MATCH(AE4102&amp;AF4102, Sheet2!$E:$E, 0)), ""), "-")</f>
        <v/>
      </c>
    </row>
    <row r="4103" spans="1:33" x14ac:dyDescent="0.25">
      <c r="A4103" t="s">
        <v>6008</v>
      </c>
      <c r="B4103" t="s">
        <v>6044</v>
      </c>
      <c r="C4103" t="s">
        <v>6010</v>
      </c>
      <c r="D4103" t="s">
        <v>3092</v>
      </c>
      <c r="E4103" t="s">
        <v>38</v>
      </c>
      <c r="F4103">
        <v>1747</v>
      </c>
      <c r="G4103">
        <v>1866</v>
      </c>
      <c r="H4103" t="s">
        <v>38</v>
      </c>
      <c r="I4103" t="s">
        <v>80</v>
      </c>
      <c r="J4103" t="s">
        <v>38</v>
      </c>
      <c r="K4103" t="s">
        <v>38</v>
      </c>
      <c r="L4103" t="s">
        <v>38</v>
      </c>
      <c r="M4103" t="s">
        <v>38</v>
      </c>
      <c r="N4103" t="s">
        <v>38</v>
      </c>
      <c r="O4103" t="s">
        <v>41</v>
      </c>
      <c r="P4103" t="s">
        <v>42</v>
      </c>
      <c r="Q4103" t="s">
        <v>43</v>
      </c>
      <c r="R4103" t="s">
        <v>38</v>
      </c>
      <c r="S4103" t="s">
        <v>38</v>
      </c>
      <c r="T4103" t="s">
        <v>38</v>
      </c>
      <c r="U4103" t="s">
        <v>38</v>
      </c>
      <c r="V4103" t="s">
        <v>38</v>
      </c>
      <c r="W4103" t="s">
        <v>38</v>
      </c>
      <c r="X4103" t="s">
        <v>38</v>
      </c>
      <c r="Y4103" t="s">
        <v>4631</v>
      </c>
      <c r="Z4103" t="s">
        <v>42</v>
      </c>
      <c r="AA4103" t="s">
        <v>38</v>
      </c>
      <c r="AB4103" t="s">
        <v>38</v>
      </c>
      <c r="AC4103" t="s">
        <v>155</v>
      </c>
      <c r="AD4103" t="s">
        <v>48</v>
      </c>
      <c r="AG4103" t="str">
        <f>IF(AD4103="United States", IFERROR(INDEX(Sheet2!$C:$C, MATCH(AE4103&amp;AF4103, Sheet2!$E:$E, 0)) &amp; ", " &amp; INDEX(Sheet2!$D:$D, MATCH(AE4103&amp;AF4103, Sheet2!$E:$E, 0)), ""), "-")</f>
        <v/>
      </c>
    </row>
    <row r="4104" spans="1:33" x14ac:dyDescent="0.25">
      <c r="A4104" t="s">
        <v>6008</v>
      </c>
      <c r="B4104" t="s">
        <v>6045</v>
      </c>
      <c r="C4104" t="s">
        <v>6010</v>
      </c>
      <c r="D4104" t="s">
        <v>113</v>
      </c>
      <c r="E4104" t="s">
        <v>38</v>
      </c>
      <c r="F4104">
        <v>1758</v>
      </c>
      <c r="G4104">
        <v>1865</v>
      </c>
      <c r="H4104" t="s">
        <v>38</v>
      </c>
      <c r="I4104" t="s">
        <v>80</v>
      </c>
      <c r="J4104" t="s">
        <v>38</v>
      </c>
      <c r="K4104" t="s">
        <v>38</v>
      </c>
      <c r="L4104" t="s">
        <v>38</v>
      </c>
      <c r="M4104" t="s">
        <v>38</v>
      </c>
      <c r="N4104" t="s">
        <v>38</v>
      </c>
      <c r="O4104" t="s">
        <v>41</v>
      </c>
      <c r="P4104" t="s">
        <v>42</v>
      </c>
      <c r="Q4104" t="s">
        <v>43</v>
      </c>
      <c r="R4104" t="s">
        <v>38</v>
      </c>
      <c r="S4104" t="s">
        <v>38</v>
      </c>
      <c r="T4104" t="s">
        <v>38</v>
      </c>
      <c r="U4104" t="s">
        <v>38</v>
      </c>
      <c r="V4104" t="s">
        <v>38</v>
      </c>
      <c r="W4104" t="s">
        <v>38</v>
      </c>
      <c r="X4104" t="s">
        <v>38</v>
      </c>
      <c r="Y4104" t="s">
        <v>4631</v>
      </c>
      <c r="Z4104" t="s">
        <v>42</v>
      </c>
      <c r="AA4104" t="s">
        <v>38</v>
      </c>
      <c r="AB4104" t="s">
        <v>38</v>
      </c>
      <c r="AC4104" t="s">
        <v>672</v>
      </c>
      <c r="AD4104" t="s">
        <v>672</v>
      </c>
      <c r="AG4104" t="str">
        <f>IF(AD4104="United States", IFERROR(INDEX(Sheet2!$C:$C, MATCH(AE4104&amp;AF4104, Sheet2!$E:$E, 0)) &amp; ", " &amp; INDEX(Sheet2!$D:$D, MATCH(AE4104&amp;AF4104, Sheet2!$E:$E, 0)), ""), "18.1850507, -77.3947693")</f>
        <v>18.1850507, -77.3947693</v>
      </c>
    </row>
    <row r="4105" spans="1:33" x14ac:dyDescent="0.25">
      <c r="A4105" t="s">
        <v>6008</v>
      </c>
      <c r="B4105" t="s">
        <v>6046</v>
      </c>
      <c r="C4105" t="s">
        <v>6010</v>
      </c>
      <c r="D4105" t="s">
        <v>5504</v>
      </c>
      <c r="E4105" t="s">
        <v>38</v>
      </c>
      <c r="F4105">
        <v>1733</v>
      </c>
      <c r="G4105">
        <v>1884</v>
      </c>
      <c r="H4105" t="s">
        <v>38</v>
      </c>
      <c r="I4105" t="s">
        <v>80</v>
      </c>
      <c r="J4105" t="s">
        <v>38</v>
      </c>
      <c r="K4105" t="s">
        <v>38</v>
      </c>
      <c r="L4105" t="s">
        <v>38</v>
      </c>
      <c r="M4105" t="s">
        <v>38</v>
      </c>
      <c r="N4105" t="s">
        <v>38</v>
      </c>
      <c r="O4105" t="s">
        <v>41</v>
      </c>
      <c r="P4105" t="s">
        <v>42</v>
      </c>
      <c r="Q4105" t="s">
        <v>43</v>
      </c>
      <c r="R4105" t="s">
        <v>38</v>
      </c>
      <c r="S4105" t="s">
        <v>38</v>
      </c>
      <c r="T4105" t="s">
        <v>38</v>
      </c>
      <c r="U4105" t="s">
        <v>38</v>
      </c>
      <c r="V4105" t="s">
        <v>38</v>
      </c>
      <c r="W4105" t="s">
        <v>38</v>
      </c>
      <c r="X4105" t="s">
        <v>38</v>
      </c>
      <c r="Y4105" t="s">
        <v>6047</v>
      </c>
      <c r="Z4105" t="s">
        <v>42</v>
      </c>
      <c r="AA4105" t="s">
        <v>38</v>
      </c>
      <c r="AB4105" t="s">
        <v>38</v>
      </c>
      <c r="AC4105" t="s">
        <v>5504</v>
      </c>
      <c r="AD4105" t="s">
        <v>48</v>
      </c>
      <c r="AG4105" t="str">
        <f>IF(AD4105="United States", IFERROR(INDEX(Sheet2!$C:$C, MATCH(AE4105&amp;AF4105, Sheet2!$E:$E, 0)) &amp; ", " &amp; INDEX(Sheet2!$D:$D, MATCH(AE4105&amp;AF4105, Sheet2!$E:$E, 0)), ""), "-")</f>
        <v/>
      </c>
    </row>
    <row r="4106" spans="1:33" x14ac:dyDescent="0.25">
      <c r="A4106" t="s">
        <v>6008</v>
      </c>
      <c r="B4106" t="s">
        <v>6048</v>
      </c>
      <c r="C4106" t="s">
        <v>6010</v>
      </c>
      <c r="D4106" t="s">
        <v>72</v>
      </c>
      <c r="E4106" t="s">
        <v>3564</v>
      </c>
      <c r="F4106">
        <v>1761</v>
      </c>
      <c r="G4106">
        <v>1887</v>
      </c>
      <c r="H4106" t="s">
        <v>38</v>
      </c>
      <c r="I4106" t="s">
        <v>80</v>
      </c>
      <c r="J4106" t="s">
        <v>38</v>
      </c>
      <c r="K4106" t="s">
        <v>38</v>
      </c>
      <c r="L4106" t="s">
        <v>38</v>
      </c>
      <c r="M4106" t="s">
        <v>38</v>
      </c>
      <c r="N4106" t="s">
        <v>38</v>
      </c>
      <c r="O4106" t="s">
        <v>74</v>
      </c>
      <c r="P4106" t="s">
        <v>42</v>
      </c>
      <c r="Q4106" t="s">
        <v>43</v>
      </c>
      <c r="R4106" t="s">
        <v>6049</v>
      </c>
      <c r="S4106" t="s">
        <v>45</v>
      </c>
      <c r="T4106" t="s">
        <v>38</v>
      </c>
      <c r="U4106" t="s">
        <v>38</v>
      </c>
      <c r="V4106" t="s">
        <v>38</v>
      </c>
      <c r="W4106" t="s">
        <v>38</v>
      </c>
      <c r="X4106" t="s">
        <v>38</v>
      </c>
      <c r="Y4106" t="s">
        <v>6012</v>
      </c>
      <c r="Z4106" t="s">
        <v>42</v>
      </c>
      <c r="AA4106" t="s">
        <v>143</v>
      </c>
      <c r="AB4106" t="s">
        <v>38</v>
      </c>
      <c r="AC4106" t="s">
        <v>45</v>
      </c>
      <c r="AD4106" t="s">
        <v>48</v>
      </c>
      <c r="AG4106" t="str">
        <f>IF(AD4106="United States", IFERROR(INDEX(Sheet2!$C:$C, MATCH(AE4106&amp;AF4106, Sheet2!$E:$E, 0)) &amp; ", " &amp; INDEX(Sheet2!$D:$D, MATCH(AE4106&amp;AF4106, Sheet2!$E:$E, 0)), ""), "-")</f>
        <v/>
      </c>
    </row>
    <row r="4107" spans="1:33" x14ac:dyDescent="0.25">
      <c r="A4107" t="s">
        <v>6008</v>
      </c>
      <c r="B4107" t="s">
        <v>6050</v>
      </c>
      <c r="C4107" t="s">
        <v>6010</v>
      </c>
      <c r="D4107" t="s">
        <v>359</v>
      </c>
      <c r="E4107" t="s">
        <v>38</v>
      </c>
      <c r="F4107">
        <v>1750</v>
      </c>
      <c r="G4107">
        <v>1885</v>
      </c>
      <c r="H4107" t="s">
        <v>38</v>
      </c>
      <c r="I4107" t="s">
        <v>80</v>
      </c>
      <c r="J4107" t="s">
        <v>38</v>
      </c>
      <c r="K4107" t="s">
        <v>38</v>
      </c>
      <c r="L4107" t="s">
        <v>38</v>
      </c>
      <c r="M4107" t="s">
        <v>38</v>
      </c>
      <c r="N4107" t="s">
        <v>38</v>
      </c>
      <c r="O4107" t="s">
        <v>74</v>
      </c>
      <c r="P4107" t="s">
        <v>42</v>
      </c>
      <c r="Q4107" t="s">
        <v>43</v>
      </c>
      <c r="R4107" t="s">
        <v>38</v>
      </c>
      <c r="S4107" t="s">
        <v>38</v>
      </c>
      <c r="T4107" t="s">
        <v>38</v>
      </c>
      <c r="U4107" t="s">
        <v>38</v>
      </c>
      <c r="V4107" t="s">
        <v>38</v>
      </c>
      <c r="W4107" t="s">
        <v>38</v>
      </c>
      <c r="X4107" t="s">
        <v>38</v>
      </c>
      <c r="Y4107" t="s">
        <v>6047</v>
      </c>
      <c r="Z4107" t="s">
        <v>42</v>
      </c>
      <c r="AA4107" t="s">
        <v>38</v>
      </c>
      <c r="AB4107" t="s">
        <v>38</v>
      </c>
      <c r="AC4107" t="s">
        <v>38</v>
      </c>
      <c r="AD4107" t="s">
        <v>48</v>
      </c>
      <c r="AG4107" t="str">
        <f>IF(AD4107="United States", IFERROR(INDEX(Sheet2!$C:$C, MATCH(AE4107&amp;AF4107, Sheet2!$E:$E, 0)) &amp; ", " &amp; INDEX(Sheet2!$D:$D, MATCH(AE4107&amp;AF4107, Sheet2!$E:$E, 0)), ""), "-")</f>
        <v/>
      </c>
    </row>
    <row r="4108" spans="1:33" x14ac:dyDescent="0.25">
      <c r="A4108" t="s">
        <v>6008</v>
      </c>
      <c r="B4108" t="s">
        <v>6051</v>
      </c>
      <c r="C4108" t="s">
        <v>6010</v>
      </c>
      <c r="D4108" t="s">
        <v>36</v>
      </c>
      <c r="E4108" t="s">
        <v>4223</v>
      </c>
      <c r="F4108">
        <v>1744</v>
      </c>
      <c r="G4108">
        <v>1908</v>
      </c>
      <c r="H4108" t="s">
        <v>38</v>
      </c>
      <c r="I4108" t="s">
        <v>80</v>
      </c>
      <c r="J4108" t="s">
        <v>38</v>
      </c>
      <c r="K4108" t="s">
        <v>38</v>
      </c>
      <c r="L4108" t="s">
        <v>38</v>
      </c>
      <c r="M4108" t="s">
        <v>38</v>
      </c>
      <c r="N4108" t="s">
        <v>38</v>
      </c>
      <c r="O4108" t="s">
        <v>41</v>
      </c>
      <c r="P4108" t="s">
        <v>42</v>
      </c>
      <c r="Q4108" t="s">
        <v>43</v>
      </c>
      <c r="R4108" t="s">
        <v>38</v>
      </c>
      <c r="S4108" t="s">
        <v>89</v>
      </c>
      <c r="T4108" t="s">
        <v>38</v>
      </c>
      <c r="U4108" t="s">
        <v>38</v>
      </c>
      <c r="V4108" t="s">
        <v>38</v>
      </c>
      <c r="W4108" t="s">
        <v>38</v>
      </c>
      <c r="X4108" t="s">
        <v>38</v>
      </c>
      <c r="Y4108" t="s">
        <v>6052</v>
      </c>
      <c r="Z4108" t="s">
        <v>42</v>
      </c>
      <c r="AA4108" t="s">
        <v>38</v>
      </c>
      <c r="AB4108" t="s">
        <v>38</v>
      </c>
      <c r="AC4108" t="s">
        <v>89</v>
      </c>
      <c r="AD4108" t="s">
        <v>48</v>
      </c>
      <c r="AG4108" t="str">
        <f>IF(AD4108="United States", IFERROR(INDEX(Sheet2!$C:$C, MATCH(AE4108&amp;AF4108, Sheet2!$E:$E, 0)) &amp; ", " &amp; INDEX(Sheet2!$D:$D, MATCH(AE4108&amp;AF4108, Sheet2!$E:$E, 0)), ""), "-")</f>
        <v/>
      </c>
    </row>
    <row r="4109" spans="1:33" x14ac:dyDescent="0.25">
      <c r="A4109" t="s">
        <v>6008</v>
      </c>
      <c r="B4109" t="s">
        <v>6053</v>
      </c>
      <c r="C4109" t="s">
        <v>6010</v>
      </c>
      <c r="D4109" t="s">
        <v>334</v>
      </c>
      <c r="E4109" t="s">
        <v>191</v>
      </c>
      <c r="F4109">
        <v>1760</v>
      </c>
      <c r="G4109">
        <v>1889</v>
      </c>
      <c r="H4109" t="s">
        <v>38</v>
      </c>
      <c r="I4109" t="s">
        <v>80</v>
      </c>
      <c r="J4109" t="s">
        <v>38</v>
      </c>
      <c r="K4109" t="s">
        <v>38</v>
      </c>
      <c r="L4109" t="s">
        <v>38</v>
      </c>
      <c r="M4109" t="s">
        <v>38</v>
      </c>
      <c r="N4109" t="s">
        <v>38</v>
      </c>
      <c r="O4109" t="s">
        <v>41</v>
      </c>
      <c r="P4109" t="s">
        <v>42</v>
      </c>
      <c r="Q4109" t="s">
        <v>43</v>
      </c>
      <c r="R4109" t="s">
        <v>6054</v>
      </c>
      <c r="S4109" t="s">
        <v>45</v>
      </c>
      <c r="T4109" t="s">
        <v>38</v>
      </c>
      <c r="U4109" t="s">
        <v>38</v>
      </c>
      <c r="V4109" t="s">
        <v>38</v>
      </c>
      <c r="W4109" t="s">
        <v>38</v>
      </c>
      <c r="X4109" t="s">
        <v>38</v>
      </c>
      <c r="Y4109" t="s">
        <v>6012</v>
      </c>
      <c r="Z4109" t="s">
        <v>42</v>
      </c>
      <c r="AA4109" t="s">
        <v>272</v>
      </c>
      <c r="AB4109" t="s">
        <v>38</v>
      </c>
      <c r="AC4109" t="s">
        <v>45</v>
      </c>
      <c r="AD4109" t="s">
        <v>48</v>
      </c>
      <c r="AG4109" t="str">
        <f>IF(AD4109="United States", IFERROR(INDEX(Sheet2!$C:$C, MATCH(AE4109&amp;AF4109, Sheet2!$E:$E, 0)) &amp; ", " &amp; INDEX(Sheet2!$D:$D, MATCH(AE4109&amp;AF4109, Sheet2!$E:$E, 0)), ""), "-")</f>
        <v/>
      </c>
    </row>
    <row r="4110" spans="1:33" x14ac:dyDescent="0.25">
      <c r="A4110" t="s">
        <v>6008</v>
      </c>
      <c r="B4110" t="s">
        <v>6055</v>
      </c>
      <c r="C4110" t="s">
        <v>6010</v>
      </c>
      <c r="D4110" t="s">
        <v>803</v>
      </c>
      <c r="E4110" t="s">
        <v>38</v>
      </c>
      <c r="F4110">
        <v>1762</v>
      </c>
      <c r="G4110">
        <v>1890</v>
      </c>
      <c r="H4110" t="s">
        <v>38</v>
      </c>
      <c r="I4110" t="s">
        <v>80</v>
      </c>
      <c r="J4110" t="s">
        <v>38</v>
      </c>
      <c r="K4110" t="s">
        <v>38</v>
      </c>
      <c r="L4110" t="s">
        <v>38</v>
      </c>
      <c r="M4110" t="s">
        <v>38</v>
      </c>
      <c r="N4110" t="s">
        <v>38</v>
      </c>
      <c r="O4110" t="s">
        <v>74</v>
      </c>
      <c r="P4110" t="s">
        <v>42</v>
      </c>
      <c r="Q4110" t="s">
        <v>43</v>
      </c>
      <c r="R4110" t="s">
        <v>6056</v>
      </c>
      <c r="S4110" t="s">
        <v>45</v>
      </c>
      <c r="T4110" t="s">
        <v>38</v>
      </c>
      <c r="U4110" t="s">
        <v>38</v>
      </c>
      <c r="V4110" t="s">
        <v>38</v>
      </c>
      <c r="W4110" t="s">
        <v>38</v>
      </c>
      <c r="X4110" t="s">
        <v>38</v>
      </c>
      <c r="Y4110" t="s">
        <v>6012</v>
      </c>
      <c r="Z4110" t="s">
        <v>42</v>
      </c>
      <c r="AA4110" t="s">
        <v>143</v>
      </c>
      <c r="AB4110" t="s">
        <v>38</v>
      </c>
      <c r="AC4110" t="s">
        <v>45</v>
      </c>
      <c r="AD4110" t="s">
        <v>48</v>
      </c>
      <c r="AG4110" t="str">
        <f>IF(AD4110="United States", IFERROR(INDEX(Sheet2!$C:$C, MATCH(AE4110&amp;AF4110, Sheet2!$E:$E, 0)) &amp; ", " &amp; INDEX(Sheet2!$D:$D, MATCH(AE4110&amp;AF4110, Sheet2!$E:$E, 0)), ""), "-")</f>
        <v/>
      </c>
    </row>
    <row r="4111" spans="1:33" x14ac:dyDescent="0.25">
      <c r="A4111" t="s">
        <v>6008</v>
      </c>
      <c r="B4111" t="s">
        <v>6057</v>
      </c>
      <c r="C4111" t="s">
        <v>6010</v>
      </c>
      <c r="D4111" t="s">
        <v>1230</v>
      </c>
      <c r="E4111" t="s">
        <v>268</v>
      </c>
      <c r="F4111">
        <v>1723</v>
      </c>
      <c r="G4111">
        <v>1891</v>
      </c>
      <c r="H4111" t="s">
        <v>38</v>
      </c>
      <c r="I4111" t="s">
        <v>80</v>
      </c>
      <c r="J4111" t="s">
        <v>38</v>
      </c>
      <c r="K4111" t="s">
        <v>38</v>
      </c>
      <c r="L4111" t="s">
        <v>38</v>
      </c>
      <c r="M4111" t="s">
        <v>38</v>
      </c>
      <c r="N4111" t="s">
        <v>38</v>
      </c>
      <c r="O4111" t="s">
        <v>57</v>
      </c>
      <c r="P4111" t="s">
        <v>42</v>
      </c>
      <c r="Q4111" t="s">
        <v>43</v>
      </c>
      <c r="R4111" t="s">
        <v>6058</v>
      </c>
      <c r="S4111" t="s">
        <v>45</v>
      </c>
      <c r="T4111" t="s">
        <v>38</v>
      </c>
      <c r="U4111" t="s">
        <v>38</v>
      </c>
      <c r="V4111" t="s">
        <v>38</v>
      </c>
      <c r="W4111" t="s">
        <v>38</v>
      </c>
      <c r="X4111" t="s">
        <v>38</v>
      </c>
      <c r="Y4111" t="s">
        <v>6012</v>
      </c>
      <c r="Z4111" t="s">
        <v>42</v>
      </c>
      <c r="AA4111" t="s">
        <v>143</v>
      </c>
      <c r="AB4111" t="s">
        <v>38</v>
      </c>
      <c r="AC4111" t="s">
        <v>45</v>
      </c>
      <c r="AD4111" t="s">
        <v>48</v>
      </c>
      <c r="AG4111" t="str">
        <f>IF(AD4111="United States", IFERROR(INDEX(Sheet2!$C:$C, MATCH(AE4111&amp;AF4111, Sheet2!$E:$E, 0)) &amp; ", " &amp; INDEX(Sheet2!$D:$D, MATCH(AE4111&amp;AF4111, Sheet2!$E:$E, 0)), ""), "-")</f>
        <v/>
      </c>
    </row>
    <row r="4112" spans="1:33" x14ac:dyDescent="0.25">
      <c r="A4112" t="s">
        <v>6008</v>
      </c>
      <c r="B4112" t="s">
        <v>6059</v>
      </c>
      <c r="C4112" t="s">
        <v>6010</v>
      </c>
      <c r="D4112" t="s">
        <v>113</v>
      </c>
      <c r="E4112" t="s">
        <v>3564</v>
      </c>
      <c r="F4112">
        <v>1755</v>
      </c>
      <c r="G4112">
        <v>1886</v>
      </c>
      <c r="H4112" t="s">
        <v>38</v>
      </c>
      <c r="I4112" t="s">
        <v>80</v>
      </c>
      <c r="J4112" t="s">
        <v>38</v>
      </c>
      <c r="K4112" t="s">
        <v>38</v>
      </c>
      <c r="L4112" t="s">
        <v>38</v>
      </c>
      <c r="M4112" t="s">
        <v>38</v>
      </c>
      <c r="N4112" t="s">
        <v>38</v>
      </c>
      <c r="O4112" t="s">
        <v>41</v>
      </c>
      <c r="P4112" t="s">
        <v>42</v>
      </c>
      <c r="Q4112" t="s">
        <v>43</v>
      </c>
      <c r="R4112" t="s">
        <v>38</v>
      </c>
      <c r="S4112" t="s">
        <v>38</v>
      </c>
      <c r="T4112" t="s">
        <v>38</v>
      </c>
      <c r="U4112" t="s">
        <v>38</v>
      </c>
      <c r="V4112" t="s">
        <v>38</v>
      </c>
      <c r="W4112" t="s">
        <v>38</v>
      </c>
      <c r="X4112" t="s">
        <v>38</v>
      </c>
      <c r="Y4112" t="s">
        <v>6012</v>
      </c>
      <c r="Z4112" t="s">
        <v>42</v>
      </c>
      <c r="AA4112" t="s">
        <v>38</v>
      </c>
      <c r="AB4112" t="s">
        <v>38</v>
      </c>
      <c r="AC4112" t="s">
        <v>38</v>
      </c>
      <c r="AD4112" t="s">
        <v>48</v>
      </c>
      <c r="AG4112" t="str">
        <f>IF(AD4112="United States", IFERROR(INDEX(Sheet2!$C:$C, MATCH(AE4112&amp;AF4112, Sheet2!$E:$E, 0)) &amp; ", " &amp; INDEX(Sheet2!$D:$D, MATCH(AE4112&amp;AF4112, Sheet2!$E:$E, 0)), ""), "-")</f>
        <v/>
      </c>
    </row>
    <row r="4113" spans="1:33" x14ac:dyDescent="0.25">
      <c r="A4113" t="s">
        <v>6008</v>
      </c>
      <c r="B4113" t="s">
        <v>6060</v>
      </c>
      <c r="C4113" t="s">
        <v>6010</v>
      </c>
      <c r="D4113" t="s">
        <v>515</v>
      </c>
      <c r="E4113" t="s">
        <v>5951</v>
      </c>
      <c r="F4113">
        <v>1749</v>
      </c>
      <c r="G4113">
        <v>1893</v>
      </c>
      <c r="H4113" t="s">
        <v>38</v>
      </c>
      <c r="I4113" t="s">
        <v>80</v>
      </c>
      <c r="J4113" t="s">
        <v>38</v>
      </c>
      <c r="K4113" t="s">
        <v>38</v>
      </c>
      <c r="L4113" t="s">
        <v>38</v>
      </c>
      <c r="M4113" t="s">
        <v>1230</v>
      </c>
      <c r="N4113" t="s">
        <v>268</v>
      </c>
      <c r="O4113" t="s">
        <v>74</v>
      </c>
      <c r="P4113" t="s">
        <v>42</v>
      </c>
      <c r="Q4113" t="s">
        <v>43</v>
      </c>
      <c r="R4113" t="s">
        <v>38</v>
      </c>
      <c r="S4113" t="s">
        <v>38</v>
      </c>
      <c r="T4113" t="s">
        <v>38</v>
      </c>
      <c r="U4113" t="s">
        <v>38</v>
      </c>
      <c r="V4113" t="s">
        <v>38</v>
      </c>
      <c r="W4113" t="s">
        <v>38</v>
      </c>
      <c r="X4113" t="s">
        <v>38</v>
      </c>
      <c r="Y4113" t="s">
        <v>6061</v>
      </c>
      <c r="Z4113" t="s">
        <v>42</v>
      </c>
      <c r="AA4113" t="s">
        <v>38</v>
      </c>
      <c r="AB4113" t="s">
        <v>38</v>
      </c>
      <c r="AC4113" t="s">
        <v>38</v>
      </c>
      <c r="AD4113" t="s">
        <v>48</v>
      </c>
      <c r="AG4113" t="str">
        <f>IF(AD4113="United States", IFERROR(INDEX(Sheet2!$C:$C, MATCH(AE4113&amp;AF4113, Sheet2!$E:$E, 0)) &amp; ", " &amp; INDEX(Sheet2!$D:$D, MATCH(AE4113&amp;AF4113, Sheet2!$E:$E, 0)), ""), "-")</f>
        <v/>
      </c>
    </row>
    <row r="4114" spans="1:33" x14ac:dyDescent="0.25">
      <c r="A4114" t="s">
        <v>6008</v>
      </c>
      <c r="B4114" t="s">
        <v>6062</v>
      </c>
      <c r="C4114" t="s">
        <v>6010</v>
      </c>
      <c r="D4114" t="s">
        <v>621</v>
      </c>
      <c r="E4114" t="s">
        <v>3180</v>
      </c>
      <c r="F4114">
        <v>1767</v>
      </c>
      <c r="G4114">
        <v>1894</v>
      </c>
      <c r="H4114" t="s">
        <v>38</v>
      </c>
      <c r="I4114" t="s">
        <v>80</v>
      </c>
      <c r="J4114" t="s">
        <v>38</v>
      </c>
      <c r="K4114" t="s">
        <v>38</v>
      </c>
      <c r="L4114" t="s">
        <v>38</v>
      </c>
      <c r="M4114" t="s">
        <v>38</v>
      </c>
      <c r="N4114" t="s">
        <v>38</v>
      </c>
      <c r="O4114" t="s">
        <v>54</v>
      </c>
      <c r="P4114" t="s">
        <v>42</v>
      </c>
      <c r="Q4114" t="s">
        <v>43</v>
      </c>
      <c r="R4114" t="s">
        <v>38</v>
      </c>
      <c r="S4114" t="s">
        <v>38</v>
      </c>
      <c r="T4114" t="s">
        <v>38</v>
      </c>
      <c r="U4114" t="s">
        <v>38</v>
      </c>
      <c r="V4114" t="s">
        <v>38</v>
      </c>
      <c r="W4114" t="s">
        <v>38</v>
      </c>
      <c r="X4114" t="s">
        <v>38</v>
      </c>
      <c r="Y4114" t="s">
        <v>6035</v>
      </c>
      <c r="Z4114" t="s">
        <v>42</v>
      </c>
      <c r="AA4114" t="s">
        <v>38</v>
      </c>
      <c r="AB4114" t="s">
        <v>38</v>
      </c>
      <c r="AC4114" t="s">
        <v>38</v>
      </c>
      <c r="AD4114" t="s">
        <v>48</v>
      </c>
      <c r="AG4114" t="str">
        <f>IF(AD4114="United States", IFERROR(INDEX(Sheet2!$C:$C, MATCH(AE4114&amp;AF4114, Sheet2!$E:$E, 0)) &amp; ", " &amp; INDEX(Sheet2!$D:$D, MATCH(AE4114&amp;AF4114, Sheet2!$E:$E, 0)), ""), "-")</f>
        <v/>
      </c>
    </row>
    <row r="4115" spans="1:33" x14ac:dyDescent="0.25">
      <c r="A4115" t="s">
        <v>6008</v>
      </c>
      <c r="B4115" t="s">
        <v>6063</v>
      </c>
      <c r="C4115" t="s">
        <v>6010</v>
      </c>
      <c r="D4115" t="s">
        <v>6064</v>
      </c>
      <c r="E4115" t="s">
        <v>38</v>
      </c>
      <c r="F4115">
        <v>1772</v>
      </c>
      <c r="G4115">
        <v>1895</v>
      </c>
      <c r="H4115" t="s">
        <v>38</v>
      </c>
      <c r="I4115" t="s">
        <v>80</v>
      </c>
      <c r="J4115" t="s">
        <v>38</v>
      </c>
      <c r="K4115" t="s">
        <v>38</v>
      </c>
      <c r="L4115" t="s">
        <v>38</v>
      </c>
      <c r="M4115" t="s">
        <v>38</v>
      </c>
      <c r="N4115" t="s">
        <v>38</v>
      </c>
      <c r="O4115" t="s">
        <v>74</v>
      </c>
      <c r="P4115" t="s">
        <v>42</v>
      </c>
      <c r="Q4115" t="s">
        <v>43</v>
      </c>
      <c r="R4115" t="s">
        <v>38</v>
      </c>
      <c r="S4115" t="s">
        <v>38</v>
      </c>
      <c r="T4115" t="s">
        <v>38</v>
      </c>
      <c r="U4115" t="s">
        <v>38</v>
      </c>
      <c r="V4115" t="s">
        <v>38</v>
      </c>
      <c r="W4115" t="s">
        <v>38</v>
      </c>
      <c r="X4115" t="s">
        <v>38</v>
      </c>
      <c r="Y4115" t="s">
        <v>6065</v>
      </c>
      <c r="Z4115" t="s">
        <v>42</v>
      </c>
      <c r="AA4115" t="s">
        <v>38</v>
      </c>
      <c r="AB4115" t="s">
        <v>38</v>
      </c>
      <c r="AC4115" t="s">
        <v>38</v>
      </c>
      <c r="AD4115" t="s">
        <v>48</v>
      </c>
      <c r="AG4115" t="str">
        <f>IF(AD4115="United States", IFERROR(INDEX(Sheet2!$C:$C, MATCH(AE4115&amp;AF4115, Sheet2!$E:$E, 0)) &amp; ", " &amp; INDEX(Sheet2!$D:$D, MATCH(AE4115&amp;AF4115, Sheet2!$E:$E, 0)), ""), "-")</f>
        <v/>
      </c>
    </row>
    <row r="4116" spans="1:33" x14ac:dyDescent="0.25">
      <c r="A4116" t="s">
        <v>6008</v>
      </c>
      <c r="B4116" t="s">
        <v>6066</v>
      </c>
      <c r="C4116" t="s">
        <v>6010</v>
      </c>
      <c r="D4116" t="s">
        <v>245</v>
      </c>
      <c r="E4116" t="s">
        <v>38</v>
      </c>
      <c r="F4116">
        <v>1759</v>
      </c>
      <c r="G4116">
        <v>1896</v>
      </c>
      <c r="H4116" t="s">
        <v>38</v>
      </c>
      <c r="I4116" t="s">
        <v>80</v>
      </c>
      <c r="J4116" t="s">
        <v>38</v>
      </c>
      <c r="K4116" t="s">
        <v>38</v>
      </c>
      <c r="L4116" t="s">
        <v>38</v>
      </c>
      <c r="M4116" t="s">
        <v>38</v>
      </c>
      <c r="N4116" t="s">
        <v>38</v>
      </c>
      <c r="O4116" t="s">
        <v>74</v>
      </c>
      <c r="P4116" t="s">
        <v>42</v>
      </c>
      <c r="Q4116" t="s">
        <v>43</v>
      </c>
      <c r="R4116" t="s">
        <v>38</v>
      </c>
      <c r="S4116" t="s">
        <v>38</v>
      </c>
      <c r="T4116" t="s">
        <v>38</v>
      </c>
      <c r="U4116" t="s">
        <v>38</v>
      </c>
      <c r="V4116" t="s">
        <v>38</v>
      </c>
      <c r="W4116" t="s">
        <v>38</v>
      </c>
      <c r="X4116" t="s">
        <v>38</v>
      </c>
      <c r="Y4116" t="s">
        <v>6067</v>
      </c>
      <c r="Z4116" t="s">
        <v>42</v>
      </c>
      <c r="AA4116" t="s">
        <v>38</v>
      </c>
      <c r="AB4116" t="s">
        <v>38</v>
      </c>
      <c r="AC4116" t="s">
        <v>38</v>
      </c>
      <c r="AD4116" t="s">
        <v>48</v>
      </c>
      <c r="AG4116" t="str">
        <f>IF(AD4116="United States", IFERROR(INDEX(Sheet2!$C:$C, MATCH(AE4116&amp;AF4116, Sheet2!$E:$E, 0)) &amp; ", " &amp; INDEX(Sheet2!$D:$D, MATCH(AE4116&amp;AF4116, Sheet2!$E:$E, 0)), ""), "-")</f>
        <v/>
      </c>
    </row>
    <row r="4117" spans="1:33" x14ac:dyDescent="0.25">
      <c r="A4117" t="s">
        <v>6008</v>
      </c>
      <c r="B4117" t="s">
        <v>6068</v>
      </c>
      <c r="C4117" t="s">
        <v>6010</v>
      </c>
      <c r="D4117" t="s">
        <v>1413</v>
      </c>
      <c r="E4117" t="s">
        <v>38</v>
      </c>
      <c r="F4117">
        <v>1762</v>
      </c>
      <c r="G4117">
        <v>1897</v>
      </c>
      <c r="H4117" t="s">
        <v>38</v>
      </c>
      <c r="I4117" t="s">
        <v>80</v>
      </c>
      <c r="J4117" t="s">
        <v>38</v>
      </c>
      <c r="K4117" t="s">
        <v>38</v>
      </c>
      <c r="L4117" t="s">
        <v>38</v>
      </c>
      <c r="M4117" t="s">
        <v>38</v>
      </c>
      <c r="N4117" t="s">
        <v>38</v>
      </c>
      <c r="O4117" t="s">
        <v>74</v>
      </c>
      <c r="P4117" t="s">
        <v>42</v>
      </c>
      <c r="Q4117" t="s">
        <v>43</v>
      </c>
      <c r="R4117" t="s">
        <v>38</v>
      </c>
      <c r="S4117" t="s">
        <v>38</v>
      </c>
      <c r="T4117" t="s">
        <v>38</v>
      </c>
      <c r="U4117" t="s">
        <v>38</v>
      </c>
      <c r="V4117" t="s">
        <v>38</v>
      </c>
      <c r="W4117" t="s">
        <v>38</v>
      </c>
      <c r="X4117" t="s">
        <v>38</v>
      </c>
      <c r="Y4117" t="s">
        <v>6069</v>
      </c>
      <c r="Z4117" t="s">
        <v>42</v>
      </c>
      <c r="AA4117" t="s">
        <v>38</v>
      </c>
      <c r="AB4117" t="s">
        <v>38</v>
      </c>
      <c r="AC4117" t="s">
        <v>38</v>
      </c>
      <c r="AD4117" t="s">
        <v>48</v>
      </c>
      <c r="AG4117" t="str">
        <f>IF(AD4117="United States", IFERROR(INDEX(Sheet2!$C:$C, MATCH(AE4117&amp;AF4117, Sheet2!$E:$E, 0)) &amp; ", " &amp; INDEX(Sheet2!$D:$D, MATCH(AE4117&amp;AF4117, Sheet2!$E:$E, 0)), ""), "-")</f>
        <v/>
      </c>
    </row>
    <row r="4118" spans="1:33" x14ac:dyDescent="0.25">
      <c r="A4118" t="s">
        <v>6008</v>
      </c>
      <c r="B4118" t="s">
        <v>6070</v>
      </c>
      <c r="C4118" t="s">
        <v>6010</v>
      </c>
      <c r="D4118" t="s">
        <v>3144</v>
      </c>
      <c r="E4118" t="s">
        <v>4223</v>
      </c>
      <c r="F4118">
        <v>1757</v>
      </c>
      <c r="G4118">
        <v>1909</v>
      </c>
      <c r="H4118" t="s">
        <v>38</v>
      </c>
      <c r="I4118" t="s">
        <v>80</v>
      </c>
      <c r="J4118" t="s">
        <v>38</v>
      </c>
      <c r="K4118" t="s">
        <v>38</v>
      </c>
      <c r="L4118" t="s">
        <v>38</v>
      </c>
      <c r="M4118" t="s">
        <v>38</v>
      </c>
      <c r="N4118" t="s">
        <v>38</v>
      </c>
      <c r="O4118" t="s">
        <v>57</v>
      </c>
      <c r="P4118" t="s">
        <v>42</v>
      </c>
      <c r="Q4118" t="s">
        <v>43</v>
      </c>
      <c r="R4118" t="s">
        <v>38</v>
      </c>
      <c r="S4118" t="s">
        <v>89</v>
      </c>
      <c r="T4118" t="s">
        <v>38</v>
      </c>
      <c r="U4118" t="s">
        <v>38</v>
      </c>
      <c r="V4118" t="s">
        <v>38</v>
      </c>
      <c r="W4118" t="s">
        <v>38</v>
      </c>
      <c r="X4118" t="s">
        <v>38</v>
      </c>
      <c r="Y4118" t="s">
        <v>6052</v>
      </c>
      <c r="Z4118" t="s">
        <v>42</v>
      </c>
      <c r="AA4118" t="s">
        <v>38</v>
      </c>
      <c r="AB4118" t="s">
        <v>38</v>
      </c>
      <c r="AC4118" t="s">
        <v>89</v>
      </c>
      <c r="AD4118" t="s">
        <v>48</v>
      </c>
      <c r="AG4118" t="str">
        <f>IF(AD4118="United States", IFERROR(INDEX(Sheet2!$C:$C, MATCH(AE4118&amp;AF4118, Sheet2!$E:$E, 0)) &amp; ", " &amp; INDEX(Sheet2!$D:$D, MATCH(AE4118&amp;AF4118, Sheet2!$E:$E, 0)), ""), "-")</f>
        <v/>
      </c>
    </row>
    <row r="4119" spans="1:33" x14ac:dyDescent="0.25">
      <c r="A4119" t="s">
        <v>6008</v>
      </c>
      <c r="B4119" t="s">
        <v>6071</v>
      </c>
      <c r="C4119" t="s">
        <v>6010</v>
      </c>
      <c r="D4119" t="s">
        <v>388</v>
      </c>
      <c r="E4119" t="s">
        <v>5934</v>
      </c>
      <c r="F4119">
        <v>1751</v>
      </c>
      <c r="G4119">
        <v>1898</v>
      </c>
      <c r="H4119" t="s">
        <v>38</v>
      </c>
      <c r="I4119" t="s">
        <v>80</v>
      </c>
      <c r="J4119" t="s">
        <v>38</v>
      </c>
      <c r="K4119" t="s">
        <v>38</v>
      </c>
      <c r="L4119" t="s">
        <v>38</v>
      </c>
      <c r="M4119" t="s">
        <v>38</v>
      </c>
      <c r="N4119" t="s">
        <v>38</v>
      </c>
      <c r="O4119" t="s">
        <v>41</v>
      </c>
      <c r="P4119" t="s">
        <v>42</v>
      </c>
      <c r="Q4119" t="s">
        <v>43</v>
      </c>
      <c r="R4119" t="s">
        <v>38</v>
      </c>
      <c r="S4119" t="s">
        <v>38</v>
      </c>
      <c r="T4119" t="s">
        <v>38</v>
      </c>
      <c r="U4119" t="s">
        <v>38</v>
      </c>
      <c r="V4119" t="s">
        <v>38</v>
      </c>
      <c r="W4119" t="s">
        <v>38</v>
      </c>
      <c r="X4119" t="s">
        <v>38</v>
      </c>
      <c r="Y4119" t="s">
        <v>6061</v>
      </c>
      <c r="Z4119" t="s">
        <v>42</v>
      </c>
      <c r="AA4119" t="s">
        <v>38</v>
      </c>
      <c r="AB4119" t="s">
        <v>38</v>
      </c>
      <c r="AC4119" t="s">
        <v>155</v>
      </c>
      <c r="AD4119" t="s">
        <v>48</v>
      </c>
      <c r="AG4119" t="str">
        <f>IF(AD4119="United States", IFERROR(INDEX(Sheet2!$C:$C, MATCH(AE4119&amp;AF4119, Sheet2!$E:$E, 0)) &amp; ", " &amp; INDEX(Sheet2!$D:$D, MATCH(AE4119&amp;AF4119, Sheet2!$E:$E, 0)), ""), "-")</f>
        <v/>
      </c>
    </row>
    <row r="4120" spans="1:33" x14ac:dyDescent="0.25">
      <c r="A4120" t="s">
        <v>6008</v>
      </c>
      <c r="B4120" t="s">
        <v>6072</v>
      </c>
      <c r="C4120" t="s">
        <v>6010</v>
      </c>
      <c r="D4120" t="s">
        <v>140</v>
      </c>
      <c r="E4120" t="s">
        <v>38</v>
      </c>
      <c r="F4120">
        <v>1755</v>
      </c>
      <c r="G4120">
        <v>1900</v>
      </c>
      <c r="H4120" t="s">
        <v>38</v>
      </c>
      <c r="I4120" t="s">
        <v>80</v>
      </c>
      <c r="J4120" t="s">
        <v>38</v>
      </c>
      <c r="K4120" t="s">
        <v>38</v>
      </c>
      <c r="L4120" t="s">
        <v>38</v>
      </c>
      <c r="M4120" t="s">
        <v>38</v>
      </c>
      <c r="N4120" t="s">
        <v>38</v>
      </c>
      <c r="O4120" t="s">
        <v>41</v>
      </c>
      <c r="P4120" t="s">
        <v>42</v>
      </c>
      <c r="Q4120" t="s">
        <v>43</v>
      </c>
      <c r="R4120" t="s">
        <v>38</v>
      </c>
      <c r="S4120" t="s">
        <v>38</v>
      </c>
      <c r="T4120" t="s">
        <v>38</v>
      </c>
      <c r="U4120" t="s">
        <v>38</v>
      </c>
      <c r="V4120" t="s">
        <v>38</v>
      </c>
      <c r="W4120" t="s">
        <v>38</v>
      </c>
      <c r="X4120" t="s">
        <v>38</v>
      </c>
      <c r="Y4120" t="s">
        <v>6073</v>
      </c>
      <c r="Z4120" t="s">
        <v>42</v>
      </c>
      <c r="AA4120" t="s">
        <v>38</v>
      </c>
      <c r="AB4120" t="s">
        <v>38</v>
      </c>
      <c r="AC4120" t="s">
        <v>38</v>
      </c>
      <c r="AD4120" t="s">
        <v>48</v>
      </c>
      <c r="AG4120" t="str">
        <f>IF(AD4120="United States", IFERROR(INDEX(Sheet2!$C:$C, MATCH(AE4120&amp;AF4120, Sheet2!$E:$E, 0)) &amp; ", " &amp; INDEX(Sheet2!$D:$D, MATCH(AE4120&amp;AF4120, Sheet2!$E:$E, 0)), ""), "-")</f>
        <v/>
      </c>
    </row>
    <row r="4121" spans="1:33" x14ac:dyDescent="0.25">
      <c r="A4121" t="s">
        <v>6008</v>
      </c>
      <c r="B4121" t="s">
        <v>6074</v>
      </c>
      <c r="C4121" t="s">
        <v>6010</v>
      </c>
      <c r="D4121" t="s">
        <v>132</v>
      </c>
      <c r="E4121" t="s">
        <v>1635</v>
      </c>
      <c r="F4121">
        <v>1759</v>
      </c>
      <c r="G4121">
        <v>1901</v>
      </c>
      <c r="H4121" t="s">
        <v>38</v>
      </c>
      <c r="I4121" t="s">
        <v>80</v>
      </c>
      <c r="J4121" t="s">
        <v>38</v>
      </c>
      <c r="K4121" t="s">
        <v>38</v>
      </c>
      <c r="L4121" t="s">
        <v>38</v>
      </c>
      <c r="M4121" t="s">
        <v>38</v>
      </c>
      <c r="N4121" t="s">
        <v>38</v>
      </c>
      <c r="O4121" t="s">
        <v>41</v>
      </c>
      <c r="P4121" t="s">
        <v>42</v>
      </c>
      <c r="Q4121" t="s">
        <v>43</v>
      </c>
      <c r="R4121" t="s">
        <v>38</v>
      </c>
      <c r="S4121" t="s">
        <v>38</v>
      </c>
      <c r="T4121" t="s">
        <v>38</v>
      </c>
      <c r="U4121" t="s">
        <v>38</v>
      </c>
      <c r="V4121" t="s">
        <v>38</v>
      </c>
      <c r="W4121" t="s">
        <v>38</v>
      </c>
      <c r="X4121" t="s">
        <v>38</v>
      </c>
      <c r="Y4121" t="s">
        <v>6069</v>
      </c>
      <c r="Z4121" t="s">
        <v>42</v>
      </c>
      <c r="AA4121" t="s">
        <v>38</v>
      </c>
      <c r="AB4121" t="s">
        <v>38</v>
      </c>
      <c r="AC4121" t="s">
        <v>155</v>
      </c>
      <c r="AD4121" t="s">
        <v>48</v>
      </c>
      <c r="AG4121" t="str">
        <f>IF(AD4121="United States", IFERROR(INDEX(Sheet2!$C:$C, MATCH(AE4121&amp;AF4121, Sheet2!$E:$E, 0)) &amp; ", " &amp; INDEX(Sheet2!$D:$D, MATCH(AE4121&amp;AF4121, Sheet2!$E:$E, 0)), ""), "-")</f>
        <v/>
      </c>
    </row>
    <row r="4122" spans="1:33" x14ac:dyDescent="0.25">
      <c r="A4122" t="s">
        <v>6008</v>
      </c>
      <c r="B4122" t="s">
        <v>6075</v>
      </c>
      <c r="C4122" t="s">
        <v>6010</v>
      </c>
      <c r="D4122" t="s">
        <v>986</v>
      </c>
      <c r="E4122" t="s">
        <v>38</v>
      </c>
      <c r="F4122">
        <v>1760</v>
      </c>
      <c r="G4122">
        <v>1902</v>
      </c>
      <c r="H4122" t="s">
        <v>38</v>
      </c>
      <c r="I4122" t="s">
        <v>80</v>
      </c>
      <c r="J4122" t="s">
        <v>38</v>
      </c>
      <c r="K4122" t="s">
        <v>38</v>
      </c>
      <c r="L4122" t="s">
        <v>38</v>
      </c>
      <c r="M4122" t="s">
        <v>38</v>
      </c>
      <c r="N4122" t="s">
        <v>38</v>
      </c>
      <c r="O4122" t="s">
        <v>41</v>
      </c>
      <c r="P4122" t="s">
        <v>42</v>
      </c>
      <c r="Q4122" t="s">
        <v>43</v>
      </c>
      <c r="R4122" t="s">
        <v>38</v>
      </c>
      <c r="S4122" t="s">
        <v>38</v>
      </c>
      <c r="T4122" t="s">
        <v>38</v>
      </c>
      <c r="U4122" t="s">
        <v>38</v>
      </c>
      <c r="V4122" t="s">
        <v>38</v>
      </c>
      <c r="W4122" t="s">
        <v>38</v>
      </c>
      <c r="X4122" t="s">
        <v>38</v>
      </c>
      <c r="Y4122" t="s">
        <v>6035</v>
      </c>
      <c r="Z4122" t="s">
        <v>42</v>
      </c>
      <c r="AA4122" t="s">
        <v>38</v>
      </c>
      <c r="AB4122" t="s">
        <v>38</v>
      </c>
      <c r="AC4122" t="s">
        <v>155</v>
      </c>
      <c r="AD4122" t="s">
        <v>48</v>
      </c>
      <c r="AG4122" t="str">
        <f>IF(AD4122="United States", IFERROR(INDEX(Sheet2!$C:$C, MATCH(AE4122&amp;AF4122, Sheet2!$E:$E, 0)) &amp; ", " &amp; INDEX(Sheet2!$D:$D, MATCH(AE4122&amp;AF4122, Sheet2!$E:$E, 0)), ""), "-")</f>
        <v/>
      </c>
    </row>
    <row r="4123" spans="1:33" x14ac:dyDescent="0.25">
      <c r="A4123" t="s">
        <v>6008</v>
      </c>
      <c r="B4123" t="s">
        <v>6076</v>
      </c>
      <c r="C4123" t="s">
        <v>6010</v>
      </c>
      <c r="D4123" t="s">
        <v>226</v>
      </c>
      <c r="E4123" t="s">
        <v>6077</v>
      </c>
      <c r="F4123">
        <v>1760</v>
      </c>
      <c r="G4123">
        <v>1903</v>
      </c>
      <c r="H4123" t="s">
        <v>38</v>
      </c>
      <c r="I4123" t="s">
        <v>80</v>
      </c>
      <c r="J4123" t="s">
        <v>38</v>
      </c>
      <c r="K4123" t="s">
        <v>38</v>
      </c>
      <c r="L4123" t="s">
        <v>38</v>
      </c>
      <c r="M4123" t="s">
        <v>38</v>
      </c>
      <c r="N4123" t="s">
        <v>38</v>
      </c>
      <c r="O4123" t="s">
        <v>41</v>
      </c>
      <c r="P4123" t="s">
        <v>42</v>
      </c>
      <c r="Q4123" t="s">
        <v>43</v>
      </c>
      <c r="R4123" t="s">
        <v>6078</v>
      </c>
      <c r="S4123" t="s">
        <v>153</v>
      </c>
      <c r="T4123" t="s">
        <v>38</v>
      </c>
      <c r="U4123" t="s">
        <v>38</v>
      </c>
      <c r="V4123" t="s">
        <v>38</v>
      </c>
      <c r="W4123" t="s">
        <v>38</v>
      </c>
      <c r="X4123" t="s">
        <v>38</v>
      </c>
      <c r="Y4123" t="s">
        <v>6079</v>
      </c>
      <c r="Z4123" t="s">
        <v>42</v>
      </c>
      <c r="AA4123" t="s">
        <v>1909</v>
      </c>
      <c r="AB4123" t="s">
        <v>38</v>
      </c>
      <c r="AC4123" t="s">
        <v>153</v>
      </c>
      <c r="AD4123" t="s">
        <v>48</v>
      </c>
      <c r="AG4123" t="str">
        <f>IF(AD4123="United States", IFERROR(INDEX(Sheet2!$C:$C, MATCH(AE4123&amp;AF4123, Sheet2!$E:$E, 0)) &amp; ", " &amp; INDEX(Sheet2!$D:$D, MATCH(AE4123&amp;AF4123, Sheet2!$E:$E, 0)), ""), "-")</f>
        <v/>
      </c>
    </row>
    <row r="4124" spans="1:33" x14ac:dyDescent="0.25">
      <c r="A4124" t="s">
        <v>6008</v>
      </c>
      <c r="B4124" t="s">
        <v>6080</v>
      </c>
      <c r="C4124" t="s">
        <v>6010</v>
      </c>
      <c r="D4124" t="s">
        <v>132</v>
      </c>
      <c r="E4124" t="s">
        <v>633</v>
      </c>
      <c r="F4124">
        <v>1760</v>
      </c>
      <c r="G4124">
        <v>1904</v>
      </c>
      <c r="H4124" t="s">
        <v>38</v>
      </c>
      <c r="I4124" t="s">
        <v>80</v>
      </c>
      <c r="J4124" t="s">
        <v>38</v>
      </c>
      <c r="K4124" t="s">
        <v>38</v>
      </c>
      <c r="L4124" t="s">
        <v>38</v>
      </c>
      <c r="M4124" t="s">
        <v>38</v>
      </c>
      <c r="N4124" t="s">
        <v>38</v>
      </c>
      <c r="O4124" t="s">
        <v>41</v>
      </c>
      <c r="P4124" t="s">
        <v>42</v>
      </c>
      <c r="Q4124" t="s">
        <v>43</v>
      </c>
      <c r="R4124" t="s">
        <v>6081</v>
      </c>
      <c r="S4124" t="s">
        <v>201</v>
      </c>
      <c r="T4124" t="s">
        <v>38</v>
      </c>
      <c r="U4124" t="s">
        <v>38</v>
      </c>
      <c r="V4124" t="s">
        <v>38</v>
      </c>
      <c r="W4124" t="s">
        <v>38</v>
      </c>
      <c r="X4124" t="s">
        <v>38</v>
      </c>
      <c r="Y4124" t="s">
        <v>6082</v>
      </c>
      <c r="Z4124" t="s">
        <v>42</v>
      </c>
      <c r="AA4124" t="s">
        <v>6083</v>
      </c>
      <c r="AB4124" t="s">
        <v>38</v>
      </c>
      <c r="AC4124" t="s">
        <v>201</v>
      </c>
      <c r="AD4124" t="s">
        <v>48</v>
      </c>
      <c r="AG4124" t="str">
        <f>IF(AD4124="United States", IFERROR(INDEX(Sheet2!$C:$C, MATCH(AE4124&amp;AF4124, Sheet2!$E:$E, 0)) &amp; ", " &amp; INDEX(Sheet2!$D:$D, MATCH(AE4124&amp;AF4124, Sheet2!$E:$E, 0)), ""), "-")</f>
        <v/>
      </c>
    </row>
    <row r="4125" spans="1:33" x14ac:dyDescent="0.25">
      <c r="A4125" t="s">
        <v>6008</v>
      </c>
      <c r="B4125" t="s">
        <v>6084</v>
      </c>
      <c r="C4125" t="s">
        <v>6010</v>
      </c>
      <c r="D4125" t="s">
        <v>200</v>
      </c>
      <c r="E4125" t="s">
        <v>633</v>
      </c>
      <c r="F4125">
        <v>1748</v>
      </c>
      <c r="G4125">
        <v>1905</v>
      </c>
      <c r="H4125" t="s">
        <v>38</v>
      </c>
      <c r="I4125" t="s">
        <v>80</v>
      </c>
      <c r="J4125" t="s">
        <v>38</v>
      </c>
      <c r="K4125" t="s">
        <v>38</v>
      </c>
      <c r="L4125" t="s">
        <v>38</v>
      </c>
      <c r="M4125" t="s">
        <v>38</v>
      </c>
      <c r="N4125" t="s">
        <v>38</v>
      </c>
      <c r="O4125" t="s">
        <v>41</v>
      </c>
      <c r="P4125" t="s">
        <v>42</v>
      </c>
      <c r="Q4125" t="s">
        <v>43</v>
      </c>
      <c r="R4125" t="s">
        <v>2721</v>
      </c>
      <c r="S4125" t="s">
        <v>1063</v>
      </c>
      <c r="T4125" t="s">
        <v>38</v>
      </c>
      <c r="U4125" t="s">
        <v>38</v>
      </c>
      <c r="V4125" t="s">
        <v>38</v>
      </c>
      <c r="W4125" t="s">
        <v>38</v>
      </c>
      <c r="X4125" t="s">
        <v>38</v>
      </c>
      <c r="Y4125" t="s">
        <v>2874</v>
      </c>
      <c r="Z4125" t="s">
        <v>42</v>
      </c>
      <c r="AA4125" t="s">
        <v>2721</v>
      </c>
      <c r="AB4125" t="s">
        <v>38</v>
      </c>
      <c r="AC4125" t="s">
        <v>1063</v>
      </c>
      <c r="AD4125" t="s">
        <v>48</v>
      </c>
      <c r="AG4125" t="str">
        <f>IF(AD4125="United States", IFERROR(INDEX(Sheet2!$C:$C, MATCH(AE4125&amp;AF4125, Sheet2!$E:$E, 0)) &amp; ", " &amp; INDEX(Sheet2!$D:$D, MATCH(AE4125&amp;AF4125, Sheet2!$E:$E, 0)), ""), "-")</f>
        <v/>
      </c>
    </row>
    <row r="4126" spans="1:33" x14ac:dyDescent="0.25">
      <c r="A4126" t="s">
        <v>6008</v>
      </c>
      <c r="B4126" t="s">
        <v>6085</v>
      </c>
      <c r="C4126" t="s">
        <v>6010</v>
      </c>
      <c r="D4126" t="s">
        <v>626</v>
      </c>
      <c r="E4126" t="s">
        <v>37</v>
      </c>
      <c r="F4126">
        <v>1752</v>
      </c>
      <c r="G4126">
        <v>1906</v>
      </c>
      <c r="H4126" t="s">
        <v>38</v>
      </c>
      <c r="I4126" t="s">
        <v>80</v>
      </c>
      <c r="J4126" t="s">
        <v>38</v>
      </c>
      <c r="K4126" t="s">
        <v>200</v>
      </c>
      <c r="L4126" t="s">
        <v>633</v>
      </c>
      <c r="M4126" t="s">
        <v>38</v>
      </c>
      <c r="N4126" t="s">
        <v>38</v>
      </c>
      <c r="O4126" t="s">
        <v>41</v>
      </c>
      <c r="P4126" t="s">
        <v>42</v>
      </c>
      <c r="Q4126" t="s">
        <v>43</v>
      </c>
      <c r="R4126" t="s">
        <v>38</v>
      </c>
      <c r="S4126" t="s">
        <v>38</v>
      </c>
      <c r="T4126" t="s">
        <v>38</v>
      </c>
      <c r="U4126" t="s">
        <v>38</v>
      </c>
      <c r="V4126" t="s">
        <v>38</v>
      </c>
      <c r="W4126" t="s">
        <v>38</v>
      </c>
      <c r="X4126" t="s">
        <v>38</v>
      </c>
      <c r="Y4126" t="s">
        <v>6082</v>
      </c>
      <c r="Z4126" t="s">
        <v>42</v>
      </c>
      <c r="AA4126" t="s">
        <v>38</v>
      </c>
      <c r="AB4126" t="s">
        <v>38</v>
      </c>
      <c r="AC4126" t="s">
        <v>38</v>
      </c>
      <c r="AD4126" t="s">
        <v>48</v>
      </c>
      <c r="AG4126" t="str">
        <f>IF(AD4126="United States", IFERROR(INDEX(Sheet2!$C:$C, MATCH(AE4126&amp;AF4126, Sheet2!$E:$E, 0)) &amp; ", " &amp; INDEX(Sheet2!$D:$D, MATCH(AE4126&amp;AF4126, Sheet2!$E:$E, 0)), ""), "-")</f>
        <v/>
      </c>
    </row>
    <row r="4127" spans="1:33" x14ac:dyDescent="0.25">
      <c r="A4127" t="s">
        <v>6008</v>
      </c>
      <c r="B4127" t="s">
        <v>6086</v>
      </c>
      <c r="C4127" t="s">
        <v>6010</v>
      </c>
      <c r="D4127" t="s">
        <v>4711</v>
      </c>
      <c r="E4127" t="s">
        <v>231</v>
      </c>
      <c r="F4127">
        <v>1761</v>
      </c>
      <c r="G4127">
        <v>1907</v>
      </c>
      <c r="H4127" t="s">
        <v>38</v>
      </c>
      <c r="I4127" t="s">
        <v>80</v>
      </c>
      <c r="J4127" t="s">
        <v>38</v>
      </c>
      <c r="K4127" t="s">
        <v>38</v>
      </c>
      <c r="L4127" t="s">
        <v>38</v>
      </c>
      <c r="M4127" t="s">
        <v>38</v>
      </c>
      <c r="N4127" t="s">
        <v>38</v>
      </c>
      <c r="O4127" t="s">
        <v>74</v>
      </c>
      <c r="P4127" t="s">
        <v>42</v>
      </c>
      <c r="Q4127" t="s">
        <v>43</v>
      </c>
      <c r="R4127" t="s">
        <v>38</v>
      </c>
      <c r="S4127" t="s">
        <v>38</v>
      </c>
      <c r="T4127" t="s">
        <v>38</v>
      </c>
      <c r="U4127" t="s">
        <v>38</v>
      </c>
      <c r="V4127" t="s">
        <v>38</v>
      </c>
      <c r="W4127" t="s">
        <v>38</v>
      </c>
      <c r="X4127" t="s">
        <v>38</v>
      </c>
      <c r="Y4127" t="s">
        <v>2874</v>
      </c>
      <c r="Z4127" t="s">
        <v>42</v>
      </c>
      <c r="AA4127" t="s">
        <v>38</v>
      </c>
      <c r="AB4127" t="s">
        <v>38</v>
      </c>
      <c r="AC4127" t="s">
        <v>233</v>
      </c>
      <c r="AD4127" t="s">
        <v>48</v>
      </c>
      <c r="AG4127" t="str">
        <f>IF(AD4127="United States", IFERROR(INDEX(Sheet2!$C:$C, MATCH(AE4127&amp;AF4127, Sheet2!$E:$E, 0)) &amp; ", " &amp; INDEX(Sheet2!$D:$D, MATCH(AE4127&amp;AF4127, Sheet2!$E:$E, 0)), ""), "-")</f>
        <v/>
      </c>
    </row>
    <row r="4128" spans="1:33" x14ac:dyDescent="0.25">
      <c r="A4128" t="s">
        <v>6008</v>
      </c>
      <c r="B4128" t="s">
        <v>6087</v>
      </c>
      <c r="C4128" t="s">
        <v>6010</v>
      </c>
      <c r="D4128" t="s">
        <v>63</v>
      </c>
      <c r="E4128" t="s">
        <v>5935</v>
      </c>
      <c r="F4128">
        <v>1752</v>
      </c>
      <c r="G4128">
        <v>1899</v>
      </c>
      <c r="H4128" t="s">
        <v>38</v>
      </c>
      <c r="I4128" t="s">
        <v>80</v>
      </c>
      <c r="J4128" t="s">
        <v>38</v>
      </c>
      <c r="K4128" t="s">
        <v>38</v>
      </c>
      <c r="L4128" t="s">
        <v>38</v>
      </c>
      <c r="M4128" t="s">
        <v>38</v>
      </c>
      <c r="N4128" t="s">
        <v>38</v>
      </c>
      <c r="O4128" t="s">
        <v>41</v>
      </c>
      <c r="P4128" t="s">
        <v>42</v>
      </c>
      <c r="Q4128" t="s">
        <v>43</v>
      </c>
      <c r="R4128" t="s">
        <v>2008</v>
      </c>
      <c r="S4128" t="s">
        <v>153</v>
      </c>
      <c r="T4128" t="s">
        <v>38</v>
      </c>
      <c r="U4128" t="s">
        <v>38</v>
      </c>
      <c r="V4128" t="s">
        <v>38</v>
      </c>
      <c r="W4128" t="s">
        <v>38</v>
      </c>
      <c r="X4128" t="s">
        <v>38</v>
      </c>
      <c r="Y4128" t="s">
        <v>6061</v>
      </c>
      <c r="Z4128" t="s">
        <v>42</v>
      </c>
      <c r="AA4128" t="s">
        <v>2008</v>
      </c>
      <c r="AB4128" t="s">
        <v>38</v>
      </c>
      <c r="AC4128" t="s">
        <v>153</v>
      </c>
      <c r="AD4128" t="s">
        <v>48</v>
      </c>
      <c r="AG4128" t="str">
        <f>IF(AD4128="United States", IFERROR(INDEX(Sheet2!$C:$C, MATCH(AE4128&amp;AF4128, Sheet2!$E:$E, 0)) &amp; ", " &amp; INDEX(Sheet2!$D:$D, MATCH(AE4128&amp;AF4128, Sheet2!$E:$E, 0)), ""), "-")</f>
        <v/>
      </c>
    </row>
    <row r="4129" spans="1:33" x14ac:dyDescent="0.25">
      <c r="A4129" t="s">
        <v>6008</v>
      </c>
      <c r="B4129" t="s">
        <v>6088</v>
      </c>
      <c r="C4129" t="s">
        <v>6010</v>
      </c>
      <c r="D4129" t="s">
        <v>621</v>
      </c>
      <c r="E4129" t="s">
        <v>5952</v>
      </c>
      <c r="F4129">
        <v>1738</v>
      </c>
      <c r="G4129">
        <v>1892</v>
      </c>
      <c r="H4129" t="s">
        <v>38</v>
      </c>
      <c r="I4129" t="s">
        <v>80</v>
      </c>
      <c r="J4129" t="s">
        <v>38</v>
      </c>
      <c r="K4129" t="s">
        <v>38</v>
      </c>
      <c r="L4129" t="s">
        <v>38</v>
      </c>
      <c r="M4129" t="s">
        <v>38</v>
      </c>
      <c r="N4129" t="s">
        <v>38</v>
      </c>
      <c r="O4129" t="s">
        <v>41</v>
      </c>
      <c r="P4129" t="s">
        <v>42</v>
      </c>
      <c r="Q4129" t="s">
        <v>43</v>
      </c>
      <c r="R4129" t="s">
        <v>6089</v>
      </c>
      <c r="S4129" t="s">
        <v>153</v>
      </c>
      <c r="T4129" t="s">
        <v>38</v>
      </c>
      <c r="U4129" t="s">
        <v>38</v>
      </c>
      <c r="V4129" t="s">
        <v>38</v>
      </c>
      <c r="W4129" t="s">
        <v>38</v>
      </c>
      <c r="X4129" t="s">
        <v>38</v>
      </c>
      <c r="Y4129" t="s">
        <v>6012</v>
      </c>
      <c r="Z4129" t="s">
        <v>42</v>
      </c>
      <c r="AA4129" t="s">
        <v>6089</v>
      </c>
      <c r="AB4129" t="s">
        <v>38</v>
      </c>
      <c r="AC4129" t="s">
        <v>153</v>
      </c>
      <c r="AD4129" t="s">
        <v>48</v>
      </c>
      <c r="AG4129" t="str">
        <f>IF(AD4129="United States", IFERROR(INDEX(Sheet2!$C:$C, MATCH(AE4129&amp;AF4129, Sheet2!$E:$E, 0)) &amp; ", " &amp; INDEX(Sheet2!$D:$D, MATCH(AE4129&amp;AF4129, Sheet2!$E:$E, 0)), ""), "-")</f>
        <v/>
      </c>
    </row>
    <row r="4130" spans="1:33" x14ac:dyDescent="0.25">
      <c r="A4130" t="s">
        <v>6090</v>
      </c>
      <c r="B4130" t="s">
        <v>6091</v>
      </c>
      <c r="C4130" t="s">
        <v>6010</v>
      </c>
      <c r="D4130" t="s">
        <v>1778</v>
      </c>
      <c r="E4130" t="s">
        <v>1779</v>
      </c>
      <c r="F4130">
        <v>1768</v>
      </c>
      <c r="G4130">
        <v>2714</v>
      </c>
      <c r="I4130" t="s">
        <v>80</v>
      </c>
      <c r="J4130" t="s">
        <v>38</v>
      </c>
      <c r="M4130" t="s">
        <v>222</v>
      </c>
      <c r="N4130" t="s">
        <v>1139</v>
      </c>
      <c r="O4130" t="s">
        <v>54</v>
      </c>
      <c r="P4130" t="s">
        <v>42</v>
      </c>
      <c r="Q4130" t="s">
        <v>43</v>
      </c>
      <c r="R4130" t="s">
        <v>1781</v>
      </c>
      <c r="S4130" t="s">
        <v>89</v>
      </c>
      <c r="V4130" t="s">
        <v>6092</v>
      </c>
      <c r="Y4130" t="s">
        <v>38</v>
      </c>
      <c r="Z4130" t="s">
        <v>42</v>
      </c>
      <c r="AA4130" t="s">
        <v>1782</v>
      </c>
      <c r="AB4130" t="s">
        <v>1783</v>
      </c>
      <c r="AC4130" t="s">
        <v>89</v>
      </c>
      <c r="AD4130" t="s">
        <v>48</v>
      </c>
      <c r="AG4130" t="str">
        <f>IF(AD4130="United States", IFERROR(INDEX(Sheet2!$C:$C, MATCH(AE4130&amp;AF4130, Sheet2!$E:$E, 0)) &amp; ", " &amp; INDEX(Sheet2!$D:$D, MATCH(AE4130&amp;AF4130, Sheet2!$E:$E, 0)), ""), "-")</f>
        <v/>
      </c>
    </row>
    <row r="4131" spans="1:33" x14ac:dyDescent="0.25">
      <c r="E4131" t="s">
        <v>38</v>
      </c>
      <c r="F4131" t="s">
        <v>38</v>
      </c>
      <c r="R4131" t="s">
        <v>89</v>
      </c>
      <c r="T4131" t="s">
        <v>89</v>
      </c>
      <c r="U4131" t="s">
        <v>508</v>
      </c>
      <c r="X4131" t="s">
        <v>93</v>
      </c>
      <c r="Y4131" t="s">
        <v>38</v>
      </c>
      <c r="AA4131" t="s">
        <v>38</v>
      </c>
      <c r="AB4131" t="s">
        <v>38</v>
      </c>
      <c r="AC4131" t="s">
        <v>38</v>
      </c>
      <c r="AD4131" t="s">
        <v>48</v>
      </c>
      <c r="AG4131" t="str">
        <f>IF(AD4131="United States", IFERROR(INDEX(Sheet2!$C:$C, MATCH(AE4131&amp;AF4131, Sheet2!$E:$E, 0)) &amp; ", " &amp; INDEX(Sheet2!$D:$D, MATCH(AE4131&amp;AF4131, Sheet2!$E:$E, 0)), ""), "-")</f>
        <v/>
      </c>
    </row>
    <row r="4132" spans="1:33" x14ac:dyDescent="0.25">
      <c r="E4132" t="s">
        <v>38</v>
      </c>
      <c r="F4132" t="s">
        <v>38</v>
      </c>
      <c r="R4132" t="s">
        <v>89</v>
      </c>
      <c r="T4132" t="s">
        <v>89</v>
      </c>
      <c r="U4132" t="s">
        <v>136</v>
      </c>
      <c r="X4132" t="s">
        <v>93</v>
      </c>
      <c r="Y4132" t="s">
        <v>38</v>
      </c>
      <c r="AA4132" t="s">
        <v>38</v>
      </c>
      <c r="AB4132" t="s">
        <v>38</v>
      </c>
      <c r="AC4132" t="s">
        <v>38</v>
      </c>
      <c r="AD4132" t="s">
        <v>48</v>
      </c>
      <c r="AG4132" t="str">
        <f>IF(AD4132="United States", IFERROR(INDEX(Sheet2!$C:$C, MATCH(AE4132&amp;AF4132, Sheet2!$E:$E, 0)) &amp; ", " &amp; INDEX(Sheet2!$D:$D, MATCH(AE4132&amp;AF4132, Sheet2!$E:$E, 0)), ""), "-")</f>
        <v/>
      </c>
    </row>
    <row r="4133" spans="1:33" x14ac:dyDescent="0.25">
      <c r="E4133" t="s">
        <v>38</v>
      </c>
      <c r="F4133" t="s">
        <v>38</v>
      </c>
      <c r="R4133" t="s">
        <v>89</v>
      </c>
      <c r="T4133" t="s">
        <v>89</v>
      </c>
      <c r="U4133" t="s">
        <v>301</v>
      </c>
      <c r="X4133" t="s">
        <v>302</v>
      </c>
      <c r="Y4133" t="s">
        <v>38</v>
      </c>
      <c r="AA4133" t="s">
        <v>38</v>
      </c>
      <c r="AB4133" t="s">
        <v>38</v>
      </c>
      <c r="AC4133" t="s">
        <v>38</v>
      </c>
      <c r="AD4133" t="s">
        <v>48</v>
      </c>
      <c r="AG4133" t="str">
        <f>IF(AD4133="United States", IFERROR(INDEX(Sheet2!$C:$C, MATCH(AE4133&amp;AF4133, Sheet2!$E:$E, 0)) &amp; ", " &amp; INDEX(Sheet2!$D:$D, MATCH(AE4133&amp;AF4133, Sheet2!$E:$E, 0)), ""), "-")</f>
        <v/>
      </c>
    </row>
    <row r="4134" spans="1:33" x14ac:dyDescent="0.25">
      <c r="E4134" t="s">
        <v>38</v>
      </c>
      <c r="F4134" t="s">
        <v>38</v>
      </c>
      <c r="R4134" t="s">
        <v>89</v>
      </c>
      <c r="T4134" t="s">
        <v>89</v>
      </c>
      <c r="U4134" t="s">
        <v>301</v>
      </c>
      <c r="X4134" t="s">
        <v>302</v>
      </c>
      <c r="Y4134" t="s">
        <v>38</v>
      </c>
      <c r="AA4134" t="s">
        <v>38</v>
      </c>
      <c r="AB4134" t="s">
        <v>38</v>
      </c>
      <c r="AC4134" t="s">
        <v>38</v>
      </c>
      <c r="AD4134" t="s">
        <v>48</v>
      </c>
      <c r="AG4134" t="str">
        <f>IF(AD4134="United States", IFERROR(INDEX(Sheet2!$C:$C, MATCH(AE4134&amp;AF4134, Sheet2!$E:$E, 0)) &amp; ", " &amp; INDEX(Sheet2!$D:$D, MATCH(AE4134&amp;AF4134, Sheet2!$E:$E, 0)), ""), "-")</f>
        <v/>
      </c>
    </row>
    <row r="4135" spans="1:33" x14ac:dyDescent="0.25">
      <c r="E4135" t="s">
        <v>38</v>
      </c>
      <c r="F4135" t="s">
        <v>38</v>
      </c>
      <c r="R4135" t="s">
        <v>89</v>
      </c>
      <c r="T4135" t="s">
        <v>89</v>
      </c>
      <c r="U4135" t="s">
        <v>301</v>
      </c>
      <c r="X4135" t="s">
        <v>302</v>
      </c>
      <c r="Y4135" t="s">
        <v>38</v>
      </c>
      <c r="AA4135" t="s">
        <v>38</v>
      </c>
      <c r="AB4135" t="s">
        <v>38</v>
      </c>
      <c r="AC4135" t="s">
        <v>38</v>
      </c>
      <c r="AD4135" t="s">
        <v>48</v>
      </c>
      <c r="AG4135" t="str">
        <f>IF(AD4135="United States", IFERROR(INDEX(Sheet2!$C:$C, MATCH(AE4135&amp;AF4135, Sheet2!$E:$E, 0)) &amp; ", " &amp; INDEX(Sheet2!$D:$D, MATCH(AE4135&amp;AF4135, Sheet2!$E:$E, 0)), ""), "-")</f>
        <v/>
      </c>
    </row>
    <row r="4136" spans="1:33" x14ac:dyDescent="0.25">
      <c r="E4136" t="s">
        <v>38</v>
      </c>
      <c r="F4136" t="s">
        <v>38</v>
      </c>
      <c r="R4136" t="s">
        <v>89</v>
      </c>
      <c r="T4136" t="s">
        <v>89</v>
      </c>
      <c r="U4136" t="s">
        <v>925</v>
      </c>
      <c r="X4136" t="s">
        <v>93</v>
      </c>
      <c r="Y4136" t="s">
        <v>38</v>
      </c>
      <c r="AA4136" t="s">
        <v>38</v>
      </c>
      <c r="AB4136" t="s">
        <v>38</v>
      </c>
      <c r="AC4136" t="s">
        <v>38</v>
      </c>
      <c r="AD4136" t="s">
        <v>48</v>
      </c>
      <c r="AG4136" t="str">
        <f>IF(AD4136="United States", IFERROR(INDEX(Sheet2!$C:$C, MATCH(AE4136&amp;AF4136, Sheet2!$E:$E, 0)) &amp; ", " &amp; INDEX(Sheet2!$D:$D, MATCH(AE4136&amp;AF4136, Sheet2!$E:$E, 0)), ""), "-")</f>
        <v/>
      </c>
    </row>
    <row r="4137" spans="1:33" x14ac:dyDescent="0.25">
      <c r="E4137" t="s">
        <v>38</v>
      </c>
      <c r="F4137" t="s">
        <v>38</v>
      </c>
      <c r="R4137" t="s">
        <v>89</v>
      </c>
      <c r="T4137" t="s">
        <v>89</v>
      </c>
      <c r="U4137" t="s">
        <v>508</v>
      </c>
      <c r="X4137" t="s">
        <v>93</v>
      </c>
      <c r="Y4137" t="s">
        <v>38</v>
      </c>
      <c r="AA4137" t="s">
        <v>38</v>
      </c>
      <c r="AB4137" t="s">
        <v>38</v>
      </c>
      <c r="AC4137" t="s">
        <v>38</v>
      </c>
      <c r="AD4137" t="s">
        <v>48</v>
      </c>
      <c r="AG4137" t="str">
        <f>IF(AD4137="United States", IFERROR(INDEX(Sheet2!$C:$C, MATCH(AE4137&amp;AF4137, Sheet2!$E:$E, 0)) &amp; ", " &amp; INDEX(Sheet2!$D:$D, MATCH(AE4137&amp;AF4137, Sheet2!$E:$E, 0)), ""), "-")</f>
        <v/>
      </c>
    </row>
    <row r="4138" spans="1:33" x14ac:dyDescent="0.25">
      <c r="E4138" t="s">
        <v>38</v>
      </c>
      <c r="F4138" t="s">
        <v>38</v>
      </c>
      <c r="R4138" t="s">
        <v>89</v>
      </c>
      <c r="T4138" t="s">
        <v>89</v>
      </c>
      <c r="U4138" t="s">
        <v>6093</v>
      </c>
      <c r="X4138" t="s">
        <v>93</v>
      </c>
      <c r="Y4138" t="s">
        <v>38</v>
      </c>
      <c r="AA4138" t="s">
        <v>38</v>
      </c>
      <c r="AB4138" t="s">
        <v>38</v>
      </c>
      <c r="AC4138" t="s">
        <v>38</v>
      </c>
      <c r="AD4138" t="s">
        <v>48</v>
      </c>
      <c r="AG4138" t="str">
        <f>IF(AD4138="United States", IFERROR(INDEX(Sheet2!$C:$C, MATCH(AE4138&amp;AF4138, Sheet2!$E:$E, 0)) &amp; ", " &amp; INDEX(Sheet2!$D:$D, MATCH(AE4138&amp;AF4138, Sheet2!$E:$E, 0)), ""), "-")</f>
        <v/>
      </c>
    </row>
    <row r="4139" spans="1:33" x14ac:dyDescent="0.25">
      <c r="E4139" t="s">
        <v>38</v>
      </c>
      <c r="F4139" t="s">
        <v>38</v>
      </c>
      <c r="R4139" t="s">
        <v>89</v>
      </c>
      <c r="T4139" t="s">
        <v>89</v>
      </c>
      <c r="U4139" t="s">
        <v>301</v>
      </c>
      <c r="X4139" t="s">
        <v>302</v>
      </c>
      <c r="Y4139" t="s">
        <v>38</v>
      </c>
      <c r="AA4139" t="s">
        <v>38</v>
      </c>
      <c r="AB4139" t="s">
        <v>38</v>
      </c>
      <c r="AC4139" t="s">
        <v>38</v>
      </c>
      <c r="AD4139" t="s">
        <v>48</v>
      </c>
      <c r="AG4139" t="str">
        <f>IF(AD4139="United States", IFERROR(INDEX(Sheet2!$C:$C, MATCH(AE4139&amp;AF4139, Sheet2!$E:$E, 0)) &amp; ", " &amp; INDEX(Sheet2!$D:$D, MATCH(AE4139&amp;AF4139, Sheet2!$E:$E, 0)), ""), "-")</f>
        <v/>
      </c>
    </row>
    <row r="4140" spans="1:33" x14ac:dyDescent="0.25">
      <c r="E4140" t="s">
        <v>38</v>
      </c>
      <c r="F4140" t="s">
        <v>38</v>
      </c>
      <c r="R4140" t="s">
        <v>89</v>
      </c>
      <c r="T4140" t="s">
        <v>89</v>
      </c>
      <c r="U4140" t="s">
        <v>301</v>
      </c>
      <c r="X4140" t="s">
        <v>302</v>
      </c>
      <c r="Y4140" t="s">
        <v>38</v>
      </c>
      <c r="AA4140" t="s">
        <v>38</v>
      </c>
      <c r="AB4140" t="s">
        <v>38</v>
      </c>
      <c r="AC4140" t="s">
        <v>38</v>
      </c>
      <c r="AD4140" t="s">
        <v>48</v>
      </c>
      <c r="AG4140" t="str">
        <f>IF(AD4140="United States", IFERROR(INDEX(Sheet2!$C:$C, MATCH(AE4140&amp;AF4140, Sheet2!$E:$E, 0)) &amp; ", " &amp; INDEX(Sheet2!$D:$D, MATCH(AE4140&amp;AF4140, Sheet2!$E:$E, 0)), ""), "-")</f>
        <v/>
      </c>
    </row>
    <row r="4141" spans="1:33" x14ac:dyDescent="0.25">
      <c r="E4141" t="s">
        <v>38</v>
      </c>
      <c r="F4141" t="s">
        <v>38</v>
      </c>
      <c r="Y4141" t="s">
        <v>38</v>
      </c>
      <c r="AA4141" t="s">
        <v>38</v>
      </c>
      <c r="AB4141" t="s">
        <v>38</v>
      </c>
      <c r="AC4141" t="s">
        <v>38</v>
      </c>
      <c r="AD4141" t="s">
        <v>48</v>
      </c>
      <c r="AG4141" t="str">
        <f>IF(AD4141="United States", IFERROR(INDEX(Sheet2!$C:$C, MATCH(AE4141&amp;AF4141, Sheet2!$E:$E, 0)) &amp; ", " &amp; INDEX(Sheet2!$D:$D, MATCH(AE4141&amp;AF4141, Sheet2!$E:$E, 0)), ""), "-")</f>
        <v/>
      </c>
    </row>
    <row r="4142" spans="1:33" x14ac:dyDescent="0.25">
      <c r="E4142" t="s">
        <v>38</v>
      </c>
      <c r="F4142" t="s">
        <v>38</v>
      </c>
      <c r="R4142" t="s">
        <v>89</v>
      </c>
      <c r="T4142" t="s">
        <v>89</v>
      </c>
      <c r="U4142" t="s">
        <v>301</v>
      </c>
      <c r="X4142" t="s">
        <v>302</v>
      </c>
      <c r="Y4142" t="s">
        <v>38</v>
      </c>
      <c r="AA4142" t="s">
        <v>38</v>
      </c>
      <c r="AB4142" t="s">
        <v>38</v>
      </c>
      <c r="AC4142" t="s">
        <v>38</v>
      </c>
      <c r="AD4142" t="s">
        <v>48</v>
      </c>
      <c r="AG4142" t="str">
        <f>IF(AD4142="United States", IFERROR(INDEX(Sheet2!$C:$C, MATCH(AE4142&amp;AF4142, Sheet2!$E:$E, 0)) &amp; ", " &amp; INDEX(Sheet2!$D:$D, MATCH(AE4142&amp;AF4142, Sheet2!$E:$E, 0)), ""), "-")</f>
        <v/>
      </c>
    </row>
    <row r="4143" spans="1:33" x14ac:dyDescent="0.25">
      <c r="E4143" t="s">
        <v>38</v>
      </c>
      <c r="F4143" t="s">
        <v>38</v>
      </c>
      <c r="R4143" t="s">
        <v>89</v>
      </c>
      <c r="T4143" t="s">
        <v>89</v>
      </c>
      <c r="U4143" t="s">
        <v>301</v>
      </c>
      <c r="X4143" t="s">
        <v>302</v>
      </c>
      <c r="Y4143" t="s">
        <v>38</v>
      </c>
      <c r="AA4143" t="s">
        <v>38</v>
      </c>
      <c r="AB4143" t="s">
        <v>38</v>
      </c>
      <c r="AC4143" t="s">
        <v>38</v>
      </c>
      <c r="AD4143" t="s">
        <v>48</v>
      </c>
      <c r="AG4143" t="str">
        <f>IF(AD4143="United States", IFERROR(INDEX(Sheet2!$C:$C, MATCH(AE4143&amp;AF4143, Sheet2!$E:$E, 0)) &amp; ", " &amp; INDEX(Sheet2!$D:$D, MATCH(AE4143&amp;AF4143, Sheet2!$E:$E, 0)), ""), "-")</f>
        <v/>
      </c>
    </row>
    <row r="4144" spans="1:33" x14ac:dyDescent="0.25">
      <c r="E4144" t="s">
        <v>38</v>
      </c>
      <c r="F4144" t="s">
        <v>38</v>
      </c>
      <c r="R4144" t="s">
        <v>89</v>
      </c>
      <c r="T4144" t="s">
        <v>89</v>
      </c>
      <c r="U4144" t="s">
        <v>301</v>
      </c>
      <c r="X4144" t="s">
        <v>302</v>
      </c>
      <c r="Y4144" t="s">
        <v>38</v>
      </c>
      <c r="AA4144" t="s">
        <v>38</v>
      </c>
      <c r="AB4144" t="s">
        <v>38</v>
      </c>
      <c r="AC4144" t="s">
        <v>38</v>
      </c>
      <c r="AD4144" t="s">
        <v>48</v>
      </c>
      <c r="AG4144" t="str">
        <f>IF(AD4144="United States", IFERROR(INDEX(Sheet2!$C:$C, MATCH(AE4144&amp;AF4144, Sheet2!$E:$E, 0)) &amp; ", " &amp; INDEX(Sheet2!$D:$D, MATCH(AE4144&amp;AF4144, Sheet2!$E:$E, 0)), ""), "-")</f>
        <v/>
      </c>
    </row>
    <row r="4145" spans="5:33" x14ac:dyDescent="0.25">
      <c r="E4145" t="s">
        <v>38</v>
      </c>
      <c r="F4145" t="s">
        <v>38</v>
      </c>
      <c r="R4145" t="s">
        <v>89</v>
      </c>
      <c r="T4145" t="s">
        <v>89</v>
      </c>
      <c r="U4145" t="s">
        <v>301</v>
      </c>
      <c r="X4145" t="s">
        <v>302</v>
      </c>
      <c r="Y4145" t="s">
        <v>38</v>
      </c>
      <c r="AA4145" t="s">
        <v>38</v>
      </c>
      <c r="AB4145" t="s">
        <v>38</v>
      </c>
      <c r="AC4145" t="s">
        <v>38</v>
      </c>
      <c r="AD4145" t="s">
        <v>48</v>
      </c>
      <c r="AG4145" t="str">
        <f>IF(AD4145="United States", IFERROR(INDEX(Sheet2!$C:$C, MATCH(AE4145&amp;AF4145, Sheet2!$E:$E, 0)) &amp; ", " &amp; INDEX(Sheet2!$D:$D, MATCH(AE4145&amp;AF4145, Sheet2!$E:$E, 0)), ""), "-")</f>
        <v/>
      </c>
    </row>
    <row r="4146" spans="5:33" x14ac:dyDescent="0.25">
      <c r="E4146" t="s">
        <v>38</v>
      </c>
      <c r="F4146" t="s">
        <v>38</v>
      </c>
      <c r="R4146" t="s">
        <v>89</v>
      </c>
      <c r="T4146" t="s">
        <v>89</v>
      </c>
      <c r="U4146" t="s">
        <v>301</v>
      </c>
      <c r="X4146" t="s">
        <v>302</v>
      </c>
      <c r="Y4146" t="s">
        <v>38</v>
      </c>
      <c r="AA4146" t="s">
        <v>38</v>
      </c>
      <c r="AB4146" t="s">
        <v>38</v>
      </c>
      <c r="AC4146" t="s">
        <v>38</v>
      </c>
      <c r="AD4146" t="s">
        <v>48</v>
      </c>
      <c r="AG4146" t="str">
        <f>IF(AD4146="United States", IFERROR(INDEX(Sheet2!$C:$C, MATCH(AE4146&amp;AF4146, Sheet2!$E:$E, 0)) &amp; ", " &amp; INDEX(Sheet2!$D:$D, MATCH(AE4146&amp;AF4146, Sheet2!$E:$E, 0)), ""), "-")</f>
        <v/>
      </c>
    </row>
    <row r="4147" spans="5:33" x14ac:dyDescent="0.25">
      <c r="E4147" t="s">
        <v>38</v>
      </c>
      <c r="F4147" t="s">
        <v>38</v>
      </c>
      <c r="R4147" t="s">
        <v>89</v>
      </c>
      <c r="T4147" t="s">
        <v>89</v>
      </c>
      <c r="U4147" t="s">
        <v>301</v>
      </c>
      <c r="X4147" t="s">
        <v>302</v>
      </c>
      <c r="Y4147" t="s">
        <v>38</v>
      </c>
      <c r="AA4147" t="s">
        <v>38</v>
      </c>
      <c r="AB4147" t="s">
        <v>38</v>
      </c>
      <c r="AC4147" t="s">
        <v>38</v>
      </c>
      <c r="AD4147" t="s">
        <v>48</v>
      </c>
      <c r="AG4147" t="str">
        <f>IF(AD4147="United States", IFERROR(INDEX(Sheet2!$C:$C, MATCH(AE4147&amp;AF4147, Sheet2!$E:$E, 0)) &amp; ", " &amp; INDEX(Sheet2!$D:$D, MATCH(AE4147&amp;AF4147, Sheet2!$E:$E, 0)), ""), "-")</f>
        <v/>
      </c>
    </row>
    <row r="4148" spans="5:33" x14ac:dyDescent="0.25">
      <c r="E4148" t="s">
        <v>38</v>
      </c>
      <c r="F4148" t="s">
        <v>38</v>
      </c>
      <c r="R4148" t="s">
        <v>89</v>
      </c>
      <c r="T4148" t="s">
        <v>89</v>
      </c>
      <c r="U4148" t="s">
        <v>301</v>
      </c>
      <c r="X4148" t="s">
        <v>302</v>
      </c>
      <c r="Y4148" t="s">
        <v>38</v>
      </c>
      <c r="AA4148" t="s">
        <v>38</v>
      </c>
      <c r="AB4148" t="s">
        <v>38</v>
      </c>
      <c r="AC4148" t="s">
        <v>38</v>
      </c>
      <c r="AD4148" t="s">
        <v>48</v>
      </c>
      <c r="AG4148" t="str">
        <f>IF(AD4148="United States", IFERROR(INDEX(Sheet2!$C:$C, MATCH(AE4148&amp;AF4148, Sheet2!$E:$E, 0)) &amp; ", " &amp; INDEX(Sheet2!$D:$D, MATCH(AE4148&amp;AF4148, Sheet2!$E:$E, 0)), ""), "-")</f>
        <v/>
      </c>
    </row>
    <row r="4149" spans="5:33" x14ac:dyDescent="0.25">
      <c r="E4149" t="s">
        <v>38</v>
      </c>
      <c r="F4149" t="s">
        <v>38</v>
      </c>
      <c r="R4149" t="s">
        <v>89</v>
      </c>
      <c r="T4149" t="s">
        <v>89</v>
      </c>
      <c r="U4149" t="s">
        <v>301</v>
      </c>
      <c r="X4149" t="s">
        <v>302</v>
      </c>
      <c r="Y4149" t="s">
        <v>38</v>
      </c>
      <c r="AA4149" t="s">
        <v>38</v>
      </c>
      <c r="AB4149" t="s">
        <v>38</v>
      </c>
      <c r="AC4149" t="s">
        <v>38</v>
      </c>
      <c r="AD4149" t="s">
        <v>48</v>
      </c>
      <c r="AG4149" t="str">
        <f>IF(AD4149="United States", IFERROR(INDEX(Sheet2!$C:$C, MATCH(AE4149&amp;AF4149, Sheet2!$E:$E, 0)) &amp; ", " &amp; INDEX(Sheet2!$D:$D, MATCH(AE4149&amp;AF4149, Sheet2!$E:$E, 0)), ""), "-")</f>
        <v/>
      </c>
    </row>
    <row r="4150" spans="5:33" x14ac:dyDescent="0.25">
      <c r="E4150" t="s">
        <v>38</v>
      </c>
      <c r="F4150" t="s">
        <v>38</v>
      </c>
      <c r="R4150" t="s">
        <v>89</v>
      </c>
      <c r="T4150" t="s">
        <v>89</v>
      </c>
      <c r="U4150" t="s">
        <v>301</v>
      </c>
      <c r="X4150" t="s">
        <v>302</v>
      </c>
      <c r="Y4150" t="s">
        <v>38</v>
      </c>
      <c r="AA4150" t="s">
        <v>38</v>
      </c>
      <c r="AB4150" t="s">
        <v>38</v>
      </c>
      <c r="AC4150" t="s">
        <v>38</v>
      </c>
      <c r="AD4150" t="s">
        <v>48</v>
      </c>
      <c r="AG4150" t="str">
        <f>IF(AD4150="United States", IFERROR(INDEX(Sheet2!$C:$C, MATCH(AE4150&amp;AF4150, Sheet2!$E:$E, 0)) &amp; ", " &amp; INDEX(Sheet2!$D:$D, MATCH(AE4150&amp;AF4150, Sheet2!$E:$E, 0)), ""), "-")</f>
        <v/>
      </c>
    </row>
    <row r="4151" spans="5:33" x14ac:dyDescent="0.25">
      <c r="E4151" t="s">
        <v>38</v>
      </c>
      <c r="F4151" t="s">
        <v>38</v>
      </c>
      <c r="R4151" t="s">
        <v>89</v>
      </c>
      <c r="T4151" t="s">
        <v>89</v>
      </c>
      <c r="U4151" t="s">
        <v>301</v>
      </c>
      <c r="X4151" t="s">
        <v>302</v>
      </c>
      <c r="Y4151" t="s">
        <v>38</v>
      </c>
      <c r="AA4151" t="s">
        <v>38</v>
      </c>
      <c r="AB4151" t="s">
        <v>38</v>
      </c>
      <c r="AC4151" t="s">
        <v>38</v>
      </c>
      <c r="AD4151" t="s">
        <v>48</v>
      </c>
      <c r="AG4151" t="str">
        <f>IF(AD4151="United States", IFERROR(INDEX(Sheet2!$C:$C, MATCH(AE4151&amp;AF4151, Sheet2!$E:$E, 0)) &amp; ", " &amp; INDEX(Sheet2!$D:$D, MATCH(AE4151&amp;AF4151, Sheet2!$E:$E, 0)), ""), "-")</f>
        <v/>
      </c>
    </row>
    <row r="4152" spans="5:33" x14ac:dyDescent="0.25">
      <c r="E4152" t="s">
        <v>38</v>
      </c>
      <c r="F4152" t="s">
        <v>38</v>
      </c>
      <c r="R4152" t="s">
        <v>89</v>
      </c>
      <c r="T4152" t="s">
        <v>89</v>
      </c>
      <c r="U4152" t="s">
        <v>301</v>
      </c>
      <c r="X4152" t="s">
        <v>302</v>
      </c>
      <c r="Y4152" t="s">
        <v>38</v>
      </c>
      <c r="AA4152" t="s">
        <v>38</v>
      </c>
      <c r="AB4152" t="s">
        <v>38</v>
      </c>
      <c r="AC4152" t="s">
        <v>38</v>
      </c>
      <c r="AD4152" t="s">
        <v>48</v>
      </c>
      <c r="AG4152" t="str">
        <f>IF(AD4152="United States", IFERROR(INDEX(Sheet2!$C:$C, MATCH(AE4152&amp;AF4152, Sheet2!$E:$E, 0)) &amp; ", " &amp; INDEX(Sheet2!$D:$D, MATCH(AE4152&amp;AF4152, Sheet2!$E:$E, 0)), ""), "-")</f>
        <v/>
      </c>
    </row>
    <row r="4153" spans="5:33" x14ac:dyDescent="0.25">
      <c r="E4153" t="s">
        <v>38</v>
      </c>
      <c r="F4153" t="s">
        <v>38</v>
      </c>
      <c r="R4153" t="s">
        <v>89</v>
      </c>
      <c r="T4153" t="s">
        <v>89</v>
      </c>
      <c r="U4153" t="s">
        <v>301</v>
      </c>
      <c r="X4153" t="s">
        <v>302</v>
      </c>
      <c r="Y4153" t="s">
        <v>38</v>
      </c>
      <c r="AA4153" t="s">
        <v>38</v>
      </c>
      <c r="AB4153" t="s">
        <v>38</v>
      </c>
      <c r="AC4153" t="s">
        <v>38</v>
      </c>
      <c r="AD4153" t="s">
        <v>48</v>
      </c>
      <c r="AG4153" t="str">
        <f>IF(AD4153="United States", IFERROR(INDEX(Sheet2!$C:$C, MATCH(AE4153&amp;AF4153, Sheet2!$E:$E, 0)) &amp; ", " &amp; INDEX(Sheet2!$D:$D, MATCH(AE4153&amp;AF4153, Sheet2!$E:$E, 0)), ""), "-")</f>
        <v/>
      </c>
    </row>
    <row r="4154" spans="5:33" x14ac:dyDescent="0.25">
      <c r="E4154" t="s">
        <v>38</v>
      </c>
      <c r="F4154" t="s">
        <v>38</v>
      </c>
      <c r="R4154" t="s">
        <v>89</v>
      </c>
      <c r="T4154" t="s">
        <v>89</v>
      </c>
      <c r="U4154" t="s">
        <v>301</v>
      </c>
      <c r="X4154" t="s">
        <v>302</v>
      </c>
      <c r="Y4154" t="s">
        <v>38</v>
      </c>
      <c r="AA4154" t="s">
        <v>38</v>
      </c>
      <c r="AB4154" t="s">
        <v>38</v>
      </c>
      <c r="AC4154" t="s">
        <v>38</v>
      </c>
      <c r="AD4154" t="s">
        <v>48</v>
      </c>
      <c r="AG4154" t="str">
        <f>IF(AD4154="United States", IFERROR(INDEX(Sheet2!$C:$C, MATCH(AE4154&amp;AF4154, Sheet2!$E:$E, 0)) &amp; ", " &amp; INDEX(Sheet2!$D:$D, MATCH(AE4154&amp;AF4154, Sheet2!$E:$E, 0)), ""), "-")</f>
        <v/>
      </c>
    </row>
    <row r="4155" spans="5:33" x14ac:dyDescent="0.25">
      <c r="E4155" t="s">
        <v>38</v>
      </c>
      <c r="F4155" t="s">
        <v>38</v>
      </c>
      <c r="R4155" t="s">
        <v>89</v>
      </c>
      <c r="T4155" t="s">
        <v>89</v>
      </c>
      <c r="U4155" t="s">
        <v>301</v>
      </c>
      <c r="X4155" t="s">
        <v>302</v>
      </c>
      <c r="Y4155" t="s">
        <v>38</v>
      </c>
      <c r="AA4155" t="s">
        <v>38</v>
      </c>
      <c r="AB4155" t="s">
        <v>38</v>
      </c>
      <c r="AC4155" t="s">
        <v>38</v>
      </c>
      <c r="AD4155" t="s">
        <v>48</v>
      </c>
      <c r="AG4155" t="str">
        <f>IF(AD4155="United States", IFERROR(INDEX(Sheet2!$C:$C, MATCH(AE4155&amp;AF4155, Sheet2!$E:$E, 0)) &amp; ", " &amp; INDEX(Sheet2!$D:$D, MATCH(AE4155&amp;AF4155, Sheet2!$E:$E, 0)), ""), "-")</f>
        <v/>
      </c>
    </row>
    <row r="4156" spans="5:33" x14ac:dyDescent="0.25">
      <c r="E4156" t="s">
        <v>38</v>
      </c>
      <c r="F4156" t="s">
        <v>38</v>
      </c>
      <c r="R4156" t="s">
        <v>89</v>
      </c>
      <c r="T4156" t="s">
        <v>89</v>
      </c>
      <c r="U4156" t="s">
        <v>301</v>
      </c>
      <c r="X4156" t="s">
        <v>302</v>
      </c>
      <c r="Y4156" t="s">
        <v>38</v>
      </c>
      <c r="AA4156" t="s">
        <v>38</v>
      </c>
      <c r="AB4156" t="s">
        <v>38</v>
      </c>
      <c r="AC4156" t="s">
        <v>38</v>
      </c>
      <c r="AD4156" t="s">
        <v>48</v>
      </c>
      <c r="AG4156" t="str">
        <f>IF(AD4156="United States", IFERROR(INDEX(Sheet2!$C:$C, MATCH(AE4156&amp;AF4156, Sheet2!$E:$E, 0)) &amp; ", " &amp; INDEX(Sheet2!$D:$D, MATCH(AE4156&amp;AF4156, Sheet2!$E:$E, 0)), ""), "-")</f>
        <v/>
      </c>
    </row>
    <row r="4157" spans="5:33" x14ac:dyDescent="0.25">
      <c r="E4157" t="s">
        <v>38</v>
      </c>
      <c r="F4157" t="s">
        <v>38</v>
      </c>
      <c r="R4157" t="s">
        <v>89</v>
      </c>
      <c r="T4157" t="s">
        <v>89</v>
      </c>
      <c r="U4157" t="s">
        <v>301</v>
      </c>
      <c r="X4157" t="s">
        <v>302</v>
      </c>
      <c r="Y4157" t="s">
        <v>38</v>
      </c>
      <c r="AA4157" t="s">
        <v>38</v>
      </c>
      <c r="AB4157" t="s">
        <v>38</v>
      </c>
      <c r="AC4157" t="s">
        <v>38</v>
      </c>
      <c r="AD4157" t="s">
        <v>48</v>
      </c>
      <c r="AG4157" t="str">
        <f>IF(AD4157="United States", IFERROR(INDEX(Sheet2!$C:$C, MATCH(AE4157&amp;AF4157, Sheet2!$E:$E, 0)) &amp; ", " &amp; INDEX(Sheet2!$D:$D, MATCH(AE4157&amp;AF4157, Sheet2!$E:$E, 0)), ""), "-")</f>
        <v/>
      </c>
    </row>
    <row r="4158" spans="5:33" x14ac:dyDescent="0.25">
      <c r="E4158" t="s">
        <v>38</v>
      </c>
      <c r="F4158" t="s">
        <v>38</v>
      </c>
      <c r="R4158" t="s">
        <v>89</v>
      </c>
      <c r="T4158" t="s">
        <v>89</v>
      </c>
      <c r="U4158" t="s">
        <v>301</v>
      </c>
      <c r="X4158" t="s">
        <v>302</v>
      </c>
      <c r="Y4158" t="s">
        <v>38</v>
      </c>
      <c r="AA4158" t="s">
        <v>38</v>
      </c>
      <c r="AB4158" t="s">
        <v>38</v>
      </c>
      <c r="AC4158" t="s">
        <v>38</v>
      </c>
      <c r="AD4158" t="s">
        <v>48</v>
      </c>
      <c r="AG4158" t="str">
        <f>IF(AD4158="United States", IFERROR(INDEX(Sheet2!$C:$C, MATCH(AE4158&amp;AF4158, Sheet2!$E:$E, 0)) &amp; ", " &amp; INDEX(Sheet2!$D:$D, MATCH(AE4158&amp;AF4158, Sheet2!$E:$E, 0)), ""), "-")</f>
        <v/>
      </c>
    </row>
    <row r="4159" spans="5:33" x14ac:dyDescent="0.25">
      <c r="E4159" t="s">
        <v>38</v>
      </c>
      <c r="F4159" t="s">
        <v>38</v>
      </c>
      <c r="R4159" t="s">
        <v>89</v>
      </c>
      <c r="T4159" t="s">
        <v>89</v>
      </c>
      <c r="U4159" t="s">
        <v>4276</v>
      </c>
      <c r="X4159" t="s">
        <v>93</v>
      </c>
      <c r="Y4159" t="s">
        <v>38</v>
      </c>
      <c r="AA4159" t="s">
        <v>38</v>
      </c>
      <c r="AB4159" t="s">
        <v>38</v>
      </c>
      <c r="AC4159" t="s">
        <v>38</v>
      </c>
      <c r="AD4159" t="s">
        <v>48</v>
      </c>
      <c r="AG4159" t="str">
        <f>IF(AD4159="United States", IFERROR(INDEX(Sheet2!$C:$C, MATCH(AE4159&amp;AF4159, Sheet2!$E:$E, 0)) &amp; ", " &amp; INDEX(Sheet2!$D:$D, MATCH(AE4159&amp;AF4159, Sheet2!$E:$E, 0)), ""), "-")</f>
        <v/>
      </c>
    </row>
    <row r="4160" spans="5:33" x14ac:dyDescent="0.25">
      <c r="E4160" t="s">
        <v>38</v>
      </c>
      <c r="F4160" t="s">
        <v>38</v>
      </c>
      <c r="R4160" t="s">
        <v>89</v>
      </c>
      <c r="T4160" t="s">
        <v>89</v>
      </c>
      <c r="U4160" t="s">
        <v>90</v>
      </c>
      <c r="X4160" t="s">
        <v>93</v>
      </c>
      <c r="Y4160" t="s">
        <v>38</v>
      </c>
      <c r="AA4160" t="s">
        <v>38</v>
      </c>
      <c r="AB4160" t="s">
        <v>38</v>
      </c>
      <c r="AC4160" t="s">
        <v>38</v>
      </c>
      <c r="AD4160" t="s">
        <v>48</v>
      </c>
      <c r="AG4160" t="str">
        <f>IF(AD4160="United States", IFERROR(INDEX(Sheet2!$C:$C, MATCH(AE4160&amp;AF4160, Sheet2!$E:$E, 0)) &amp; ", " &amp; INDEX(Sheet2!$D:$D, MATCH(AE4160&amp;AF4160, Sheet2!$E:$E, 0)), ""), "-")</f>
        <v/>
      </c>
    </row>
    <row r="4161" spans="5:33" x14ac:dyDescent="0.25">
      <c r="E4161" t="s">
        <v>38</v>
      </c>
      <c r="F4161" t="s">
        <v>38</v>
      </c>
      <c r="R4161" t="s">
        <v>89</v>
      </c>
      <c r="T4161" t="s">
        <v>89</v>
      </c>
      <c r="U4161" t="s">
        <v>301</v>
      </c>
      <c r="X4161" t="s">
        <v>302</v>
      </c>
      <c r="Y4161" t="s">
        <v>38</v>
      </c>
      <c r="AA4161" t="s">
        <v>38</v>
      </c>
      <c r="AB4161" t="s">
        <v>38</v>
      </c>
      <c r="AC4161" t="s">
        <v>38</v>
      </c>
      <c r="AD4161" t="s">
        <v>48</v>
      </c>
      <c r="AG4161" t="str">
        <f>IF(AD4161="United States", IFERROR(INDEX(Sheet2!$C:$C, MATCH(AE4161&amp;AF4161, Sheet2!$E:$E, 0)) &amp; ", " &amp; INDEX(Sheet2!$D:$D, MATCH(AE4161&amp;AF4161, Sheet2!$E:$E, 0)), ""), "-")</f>
        <v/>
      </c>
    </row>
    <row r="4162" spans="5:33" x14ac:dyDescent="0.25">
      <c r="E4162" t="s">
        <v>38</v>
      </c>
      <c r="F4162" t="s">
        <v>38</v>
      </c>
      <c r="R4162" t="s">
        <v>89</v>
      </c>
      <c r="T4162" t="s">
        <v>89</v>
      </c>
      <c r="U4162" t="s">
        <v>136</v>
      </c>
      <c r="X4162" t="s">
        <v>93</v>
      </c>
      <c r="Y4162" t="s">
        <v>38</v>
      </c>
      <c r="AA4162" t="s">
        <v>38</v>
      </c>
      <c r="AB4162" t="s">
        <v>38</v>
      </c>
      <c r="AC4162" t="s">
        <v>38</v>
      </c>
      <c r="AD4162" t="s">
        <v>48</v>
      </c>
      <c r="AG4162" t="str">
        <f>IF(AD4162="United States", IFERROR(INDEX(Sheet2!$C:$C, MATCH(AE4162&amp;AF4162, Sheet2!$E:$E, 0)) &amp; ", " &amp; INDEX(Sheet2!$D:$D, MATCH(AE4162&amp;AF4162, Sheet2!$E:$E, 0)), ""), "-")</f>
        <v/>
      </c>
    </row>
    <row r="4163" spans="5:33" x14ac:dyDescent="0.25">
      <c r="E4163" t="s">
        <v>38</v>
      </c>
      <c r="F4163" t="s">
        <v>38</v>
      </c>
      <c r="R4163" t="s">
        <v>89</v>
      </c>
      <c r="T4163" t="s">
        <v>89</v>
      </c>
      <c r="U4163" t="s">
        <v>90</v>
      </c>
      <c r="X4163" t="s">
        <v>93</v>
      </c>
      <c r="Y4163" t="s">
        <v>38</v>
      </c>
      <c r="AA4163" t="s">
        <v>38</v>
      </c>
      <c r="AB4163" t="s">
        <v>38</v>
      </c>
      <c r="AC4163" t="s">
        <v>38</v>
      </c>
      <c r="AD4163" t="s">
        <v>48</v>
      </c>
      <c r="AG4163" t="str">
        <f>IF(AD4163="United States", IFERROR(INDEX(Sheet2!$C:$C, MATCH(AE4163&amp;AF4163, Sheet2!$E:$E, 0)) &amp; ", " &amp; INDEX(Sheet2!$D:$D, MATCH(AE4163&amp;AF4163, Sheet2!$E:$E, 0)), ""), "-")</f>
        <v/>
      </c>
    </row>
    <row r="4164" spans="5:33" x14ac:dyDescent="0.25">
      <c r="E4164" t="s">
        <v>38</v>
      </c>
      <c r="F4164" t="s">
        <v>38</v>
      </c>
      <c r="R4164" t="s">
        <v>89</v>
      </c>
      <c r="T4164" t="s">
        <v>89</v>
      </c>
      <c r="U4164" t="s">
        <v>301</v>
      </c>
      <c r="X4164" t="s">
        <v>302</v>
      </c>
      <c r="Y4164" t="s">
        <v>38</v>
      </c>
      <c r="AA4164" t="s">
        <v>38</v>
      </c>
      <c r="AB4164" t="s">
        <v>38</v>
      </c>
      <c r="AC4164" t="s">
        <v>38</v>
      </c>
      <c r="AD4164" t="s">
        <v>48</v>
      </c>
      <c r="AG4164" t="str">
        <f>IF(AD4164="United States", IFERROR(INDEX(Sheet2!$C:$C, MATCH(AE4164&amp;AF4164, Sheet2!$E:$E, 0)) &amp; ", " &amp; INDEX(Sheet2!$D:$D, MATCH(AE4164&amp;AF4164, Sheet2!$E:$E, 0)), ""), "-")</f>
        <v/>
      </c>
    </row>
    <row r="4165" spans="5:33" x14ac:dyDescent="0.25">
      <c r="E4165" t="s">
        <v>38</v>
      </c>
      <c r="F4165" t="s">
        <v>38</v>
      </c>
      <c r="R4165" t="s">
        <v>89</v>
      </c>
      <c r="T4165" t="s">
        <v>89</v>
      </c>
      <c r="U4165" t="s">
        <v>301</v>
      </c>
      <c r="X4165" t="s">
        <v>302</v>
      </c>
      <c r="Y4165" t="s">
        <v>38</v>
      </c>
      <c r="AA4165" t="s">
        <v>38</v>
      </c>
      <c r="AB4165" t="s">
        <v>38</v>
      </c>
      <c r="AC4165" t="s">
        <v>38</v>
      </c>
      <c r="AD4165" t="s">
        <v>48</v>
      </c>
      <c r="AG4165" t="str">
        <f>IF(AD4165="United States", IFERROR(INDEX(Sheet2!$C:$C, MATCH(AE4165&amp;AF4165, Sheet2!$E:$E, 0)) &amp; ", " &amp; INDEX(Sheet2!$D:$D, MATCH(AE4165&amp;AF4165, Sheet2!$E:$E, 0)), ""), "-")</f>
        <v/>
      </c>
    </row>
    <row r="4166" spans="5:33" x14ac:dyDescent="0.25">
      <c r="E4166" t="s">
        <v>38</v>
      </c>
      <c r="F4166" t="s">
        <v>38</v>
      </c>
      <c r="R4166" t="s">
        <v>89</v>
      </c>
      <c r="T4166" t="s">
        <v>89</v>
      </c>
      <c r="U4166" t="s">
        <v>301</v>
      </c>
      <c r="X4166" t="s">
        <v>302</v>
      </c>
      <c r="Y4166" t="s">
        <v>38</v>
      </c>
      <c r="AA4166" t="s">
        <v>38</v>
      </c>
      <c r="AB4166" t="s">
        <v>38</v>
      </c>
      <c r="AC4166" t="s">
        <v>38</v>
      </c>
      <c r="AD4166" t="s">
        <v>48</v>
      </c>
      <c r="AG4166" t="str">
        <f>IF(AD4166="United States", IFERROR(INDEX(Sheet2!$C:$C, MATCH(AE4166&amp;AF4166, Sheet2!$E:$E, 0)) &amp; ", " &amp; INDEX(Sheet2!$D:$D, MATCH(AE4166&amp;AF4166, Sheet2!$E:$E, 0)), ""), "-")</f>
        <v/>
      </c>
    </row>
    <row r="4167" spans="5:33" x14ac:dyDescent="0.25">
      <c r="E4167" t="s">
        <v>38</v>
      </c>
      <c r="F4167" t="s">
        <v>38</v>
      </c>
      <c r="R4167" t="s">
        <v>89</v>
      </c>
      <c r="T4167" t="s">
        <v>89</v>
      </c>
      <c r="U4167" t="s">
        <v>301</v>
      </c>
      <c r="X4167" t="s">
        <v>302</v>
      </c>
      <c r="Y4167" t="s">
        <v>38</v>
      </c>
      <c r="AA4167" t="s">
        <v>38</v>
      </c>
      <c r="AB4167" t="s">
        <v>38</v>
      </c>
      <c r="AC4167" t="s">
        <v>38</v>
      </c>
      <c r="AD4167" t="s">
        <v>48</v>
      </c>
      <c r="AG4167" t="str">
        <f>IF(AD4167="United States", IFERROR(INDEX(Sheet2!$C:$C, MATCH(AE4167&amp;AF4167, Sheet2!$E:$E, 0)) &amp; ", " &amp; INDEX(Sheet2!$D:$D, MATCH(AE4167&amp;AF4167, Sheet2!$E:$E, 0)), ""), "-")</f>
        <v/>
      </c>
    </row>
    <row r="4168" spans="5:33" x14ac:dyDescent="0.25">
      <c r="E4168" t="s">
        <v>38</v>
      </c>
      <c r="F4168" t="s">
        <v>38</v>
      </c>
      <c r="R4168" t="s">
        <v>89</v>
      </c>
      <c r="T4168" t="s">
        <v>89</v>
      </c>
      <c r="U4168" t="s">
        <v>301</v>
      </c>
      <c r="X4168" t="s">
        <v>302</v>
      </c>
      <c r="Y4168" t="s">
        <v>38</v>
      </c>
      <c r="AA4168" t="s">
        <v>38</v>
      </c>
      <c r="AB4168" t="s">
        <v>38</v>
      </c>
      <c r="AC4168" t="s">
        <v>38</v>
      </c>
      <c r="AD4168" t="s">
        <v>48</v>
      </c>
      <c r="AG4168" t="str">
        <f>IF(AD4168="United States", IFERROR(INDEX(Sheet2!$C:$C, MATCH(AE4168&amp;AF4168, Sheet2!$E:$E, 0)) &amp; ", " &amp; INDEX(Sheet2!$D:$D, MATCH(AE4168&amp;AF4168, Sheet2!$E:$E, 0)), ""), "-")</f>
        <v/>
      </c>
    </row>
    <row r="4169" spans="5:33" x14ac:dyDescent="0.25">
      <c r="E4169" t="s">
        <v>38</v>
      </c>
      <c r="F4169" t="s">
        <v>38</v>
      </c>
      <c r="R4169" t="s">
        <v>89</v>
      </c>
      <c r="T4169" t="s">
        <v>89</v>
      </c>
      <c r="U4169" t="s">
        <v>301</v>
      </c>
      <c r="X4169" t="s">
        <v>302</v>
      </c>
      <c r="Y4169" t="s">
        <v>38</v>
      </c>
      <c r="AA4169" t="s">
        <v>38</v>
      </c>
      <c r="AB4169" t="s">
        <v>38</v>
      </c>
      <c r="AC4169" t="s">
        <v>38</v>
      </c>
      <c r="AD4169" t="s">
        <v>48</v>
      </c>
      <c r="AG4169" t="str">
        <f>IF(AD4169="United States", IFERROR(INDEX(Sheet2!$C:$C, MATCH(AE4169&amp;AF4169, Sheet2!$E:$E, 0)) &amp; ", " &amp; INDEX(Sheet2!$D:$D, MATCH(AE4169&amp;AF4169, Sheet2!$E:$E, 0)), ""), "-")</f>
        <v/>
      </c>
    </row>
    <row r="4170" spans="5:33" x14ac:dyDescent="0.25">
      <c r="E4170" t="s">
        <v>38</v>
      </c>
      <c r="F4170" t="s">
        <v>38</v>
      </c>
      <c r="Y4170" t="s">
        <v>38</v>
      </c>
      <c r="AA4170" t="s">
        <v>38</v>
      </c>
      <c r="AB4170" t="s">
        <v>38</v>
      </c>
      <c r="AC4170" t="s">
        <v>38</v>
      </c>
      <c r="AD4170" t="s">
        <v>48</v>
      </c>
      <c r="AG4170" t="str">
        <f>IF(AD4170="United States", IFERROR(INDEX(Sheet2!$C:$C, MATCH(AE4170&amp;AF4170, Sheet2!$E:$E, 0)) &amp; ", " &amp; INDEX(Sheet2!$D:$D, MATCH(AE4170&amp;AF4170, Sheet2!$E:$E, 0)), ""), "-")</f>
        <v/>
      </c>
    </row>
    <row r="4171" spans="5:33" x14ac:dyDescent="0.25">
      <c r="E4171" t="s">
        <v>38</v>
      </c>
      <c r="F4171" t="s">
        <v>38</v>
      </c>
      <c r="R4171" t="s">
        <v>89</v>
      </c>
      <c r="T4171" t="s">
        <v>89</v>
      </c>
      <c r="U4171" t="s">
        <v>5337</v>
      </c>
      <c r="X4171" t="s">
        <v>5338</v>
      </c>
      <c r="Y4171" t="s">
        <v>38</v>
      </c>
      <c r="AA4171" t="s">
        <v>38</v>
      </c>
      <c r="AB4171" t="s">
        <v>38</v>
      </c>
      <c r="AC4171" t="s">
        <v>38</v>
      </c>
      <c r="AD4171" t="s">
        <v>48</v>
      </c>
      <c r="AG4171" t="str">
        <f>IF(AD4171="United States", IFERROR(INDEX(Sheet2!$C:$C, MATCH(AE4171&amp;AF4171, Sheet2!$E:$E, 0)) &amp; ", " &amp; INDEX(Sheet2!$D:$D, MATCH(AE4171&amp;AF4171, Sheet2!$E:$E, 0)), ""), "-")</f>
        <v/>
      </c>
    </row>
    <row r="4172" spans="5:33" x14ac:dyDescent="0.25">
      <c r="E4172" t="s">
        <v>38</v>
      </c>
      <c r="F4172" t="s">
        <v>38</v>
      </c>
      <c r="R4172" t="s">
        <v>89</v>
      </c>
      <c r="T4172" t="s">
        <v>89</v>
      </c>
      <c r="U4172" t="s">
        <v>301</v>
      </c>
      <c r="X4172" t="s">
        <v>302</v>
      </c>
      <c r="Y4172" t="s">
        <v>38</v>
      </c>
      <c r="AA4172" t="s">
        <v>38</v>
      </c>
      <c r="AB4172" t="s">
        <v>38</v>
      </c>
      <c r="AC4172" t="s">
        <v>38</v>
      </c>
      <c r="AD4172" t="s">
        <v>48</v>
      </c>
      <c r="AG4172" t="str">
        <f>IF(AD4172="United States", IFERROR(INDEX(Sheet2!$C:$C, MATCH(AE4172&amp;AF4172, Sheet2!$E:$E, 0)) &amp; ", " &amp; INDEX(Sheet2!$D:$D, MATCH(AE4172&amp;AF4172, Sheet2!$E:$E, 0)), ""), "-")</f>
        <v/>
      </c>
    </row>
    <row r="4173" spans="5:33" x14ac:dyDescent="0.25">
      <c r="E4173" t="s">
        <v>38</v>
      </c>
      <c r="F4173" t="s">
        <v>38</v>
      </c>
      <c r="R4173" t="s">
        <v>89</v>
      </c>
      <c r="T4173" t="s">
        <v>89</v>
      </c>
      <c r="U4173" t="s">
        <v>4276</v>
      </c>
      <c r="X4173" t="s">
        <v>93</v>
      </c>
      <c r="Y4173" t="s">
        <v>38</v>
      </c>
      <c r="AA4173" t="s">
        <v>38</v>
      </c>
      <c r="AB4173" t="s">
        <v>38</v>
      </c>
      <c r="AC4173" t="s">
        <v>38</v>
      </c>
      <c r="AD4173" t="s">
        <v>48</v>
      </c>
      <c r="AG4173" t="str">
        <f>IF(AD4173="United States", IFERROR(INDEX(Sheet2!$C:$C, MATCH(AE4173&amp;AF4173, Sheet2!$E:$E, 0)) &amp; ", " &amp; INDEX(Sheet2!$D:$D, MATCH(AE4173&amp;AF4173, Sheet2!$E:$E, 0)), ""), "-")</f>
        <v/>
      </c>
    </row>
    <row r="4174" spans="5:33" x14ac:dyDescent="0.25">
      <c r="E4174" t="s">
        <v>38</v>
      </c>
      <c r="F4174" t="s">
        <v>38</v>
      </c>
      <c r="R4174" t="s">
        <v>89</v>
      </c>
      <c r="T4174" t="s">
        <v>89</v>
      </c>
      <c r="U4174" t="s">
        <v>508</v>
      </c>
      <c r="X4174" t="s">
        <v>93</v>
      </c>
      <c r="Y4174" t="s">
        <v>38</v>
      </c>
      <c r="AA4174" t="s">
        <v>38</v>
      </c>
      <c r="AB4174" t="s">
        <v>38</v>
      </c>
      <c r="AC4174" t="s">
        <v>38</v>
      </c>
      <c r="AD4174" t="s">
        <v>48</v>
      </c>
      <c r="AG4174" t="str">
        <f>IF(AD4174="United States", IFERROR(INDEX(Sheet2!$C:$C, MATCH(AE4174&amp;AF4174, Sheet2!$E:$E, 0)) &amp; ", " &amp; INDEX(Sheet2!$D:$D, MATCH(AE4174&amp;AF4174, Sheet2!$E:$E, 0)), ""), "-")</f>
        <v/>
      </c>
    </row>
    <row r="4175" spans="5:33" x14ac:dyDescent="0.25">
      <c r="E4175" t="s">
        <v>38</v>
      </c>
      <c r="F4175" t="s">
        <v>38</v>
      </c>
      <c r="R4175" t="s">
        <v>89</v>
      </c>
      <c r="T4175" t="s">
        <v>89</v>
      </c>
      <c r="U4175" t="s">
        <v>508</v>
      </c>
      <c r="X4175" t="s">
        <v>93</v>
      </c>
      <c r="Y4175" t="s">
        <v>38</v>
      </c>
      <c r="AA4175" t="s">
        <v>38</v>
      </c>
      <c r="AB4175" t="s">
        <v>38</v>
      </c>
      <c r="AC4175" t="s">
        <v>38</v>
      </c>
      <c r="AD4175" t="s">
        <v>48</v>
      </c>
      <c r="AG4175" t="str">
        <f>IF(AD4175="United States", IFERROR(INDEX(Sheet2!$C:$C, MATCH(AE4175&amp;AF4175, Sheet2!$E:$E, 0)) &amp; ", " &amp; INDEX(Sheet2!$D:$D, MATCH(AE4175&amp;AF4175, Sheet2!$E:$E, 0)), ""), "-")</f>
        <v/>
      </c>
    </row>
    <row r="4176" spans="5:33" x14ac:dyDescent="0.25">
      <c r="E4176" t="s">
        <v>38</v>
      </c>
      <c r="F4176" t="s">
        <v>38</v>
      </c>
      <c r="R4176" t="s">
        <v>89</v>
      </c>
      <c r="T4176" t="s">
        <v>89</v>
      </c>
      <c r="U4176" t="s">
        <v>301</v>
      </c>
      <c r="X4176" t="s">
        <v>302</v>
      </c>
      <c r="Y4176" t="s">
        <v>38</v>
      </c>
      <c r="AA4176" t="s">
        <v>38</v>
      </c>
      <c r="AB4176" t="s">
        <v>38</v>
      </c>
      <c r="AC4176" t="s">
        <v>38</v>
      </c>
      <c r="AD4176" t="s">
        <v>48</v>
      </c>
      <c r="AG4176" t="str">
        <f>IF(AD4176="United States", IFERROR(INDEX(Sheet2!$C:$C, MATCH(AE4176&amp;AF4176, Sheet2!$E:$E, 0)) &amp; ", " &amp; INDEX(Sheet2!$D:$D, MATCH(AE4176&amp;AF4176, Sheet2!$E:$E, 0)), ""), "-")</f>
        <v/>
      </c>
    </row>
    <row r="4177" spans="5:33" x14ac:dyDescent="0.25">
      <c r="E4177" t="s">
        <v>38</v>
      </c>
      <c r="F4177" t="s">
        <v>38</v>
      </c>
      <c r="R4177" t="s">
        <v>89</v>
      </c>
      <c r="T4177" t="s">
        <v>89</v>
      </c>
      <c r="U4177" t="s">
        <v>110</v>
      </c>
      <c r="X4177" t="s">
        <v>93</v>
      </c>
      <c r="Y4177" t="s">
        <v>38</v>
      </c>
      <c r="AA4177" t="s">
        <v>38</v>
      </c>
      <c r="AB4177" t="s">
        <v>38</v>
      </c>
      <c r="AC4177" t="s">
        <v>38</v>
      </c>
      <c r="AD4177" t="s">
        <v>48</v>
      </c>
      <c r="AG4177" t="str">
        <f>IF(AD4177="United States", IFERROR(INDEX(Sheet2!$C:$C, MATCH(AE4177&amp;AF4177, Sheet2!$E:$E, 0)) &amp; ", " &amp; INDEX(Sheet2!$D:$D, MATCH(AE4177&amp;AF4177, Sheet2!$E:$E, 0)), ""), "-")</f>
        <v/>
      </c>
    </row>
    <row r="4178" spans="5:33" x14ac:dyDescent="0.25">
      <c r="E4178" t="s">
        <v>38</v>
      </c>
      <c r="F4178" t="s">
        <v>38</v>
      </c>
      <c r="R4178" t="s">
        <v>89</v>
      </c>
      <c r="T4178" t="s">
        <v>89</v>
      </c>
      <c r="U4178" t="s">
        <v>110</v>
      </c>
      <c r="X4178" t="s">
        <v>93</v>
      </c>
      <c r="Y4178" t="s">
        <v>38</v>
      </c>
      <c r="AA4178" t="s">
        <v>38</v>
      </c>
      <c r="AB4178" t="s">
        <v>38</v>
      </c>
      <c r="AC4178" t="s">
        <v>38</v>
      </c>
      <c r="AD4178" t="s">
        <v>48</v>
      </c>
      <c r="AG4178" t="str">
        <f>IF(AD4178="United States", IFERROR(INDEX(Sheet2!$C:$C, MATCH(AE4178&amp;AF4178, Sheet2!$E:$E, 0)) &amp; ", " &amp; INDEX(Sheet2!$D:$D, MATCH(AE4178&amp;AF4178, Sheet2!$E:$E, 0)), ""), "-")</f>
        <v/>
      </c>
    </row>
    <row r="4179" spans="5:33" x14ac:dyDescent="0.25">
      <c r="E4179" t="s">
        <v>38</v>
      </c>
      <c r="F4179" t="s">
        <v>38</v>
      </c>
      <c r="R4179" t="s">
        <v>89</v>
      </c>
      <c r="T4179" t="s">
        <v>89</v>
      </c>
      <c r="U4179" t="s">
        <v>110</v>
      </c>
      <c r="X4179" t="s">
        <v>93</v>
      </c>
      <c r="Y4179" t="s">
        <v>38</v>
      </c>
      <c r="AA4179" t="s">
        <v>38</v>
      </c>
      <c r="AB4179" t="s">
        <v>38</v>
      </c>
      <c r="AC4179" t="s">
        <v>38</v>
      </c>
      <c r="AD4179" t="s">
        <v>48</v>
      </c>
      <c r="AG4179" t="str">
        <f>IF(AD4179="United States", IFERROR(INDEX(Sheet2!$C:$C, MATCH(AE4179&amp;AF4179, Sheet2!$E:$E, 0)) &amp; ", " &amp; INDEX(Sheet2!$D:$D, MATCH(AE4179&amp;AF4179, Sheet2!$E:$E, 0)), ""), "-")</f>
        <v/>
      </c>
    </row>
    <row r="4180" spans="5:33" x14ac:dyDescent="0.25">
      <c r="E4180" t="s">
        <v>38</v>
      </c>
      <c r="F4180" t="s">
        <v>38</v>
      </c>
      <c r="R4180" t="s">
        <v>89</v>
      </c>
      <c r="T4180" t="s">
        <v>89</v>
      </c>
      <c r="U4180" t="s">
        <v>508</v>
      </c>
      <c r="X4180" t="s">
        <v>93</v>
      </c>
      <c r="Y4180" t="s">
        <v>38</v>
      </c>
      <c r="AA4180" t="s">
        <v>38</v>
      </c>
      <c r="AB4180" t="s">
        <v>38</v>
      </c>
      <c r="AC4180" t="s">
        <v>38</v>
      </c>
      <c r="AD4180" t="s">
        <v>48</v>
      </c>
      <c r="AG4180" t="str">
        <f>IF(AD4180="United States", IFERROR(INDEX(Sheet2!$C:$C, MATCH(AE4180&amp;AF4180, Sheet2!$E:$E, 0)) &amp; ", " &amp; INDEX(Sheet2!$D:$D, MATCH(AE4180&amp;AF4180, Sheet2!$E:$E, 0)), ""), "-")</f>
        <v/>
      </c>
    </row>
    <row r="4181" spans="5:33" x14ac:dyDescent="0.25">
      <c r="E4181" t="s">
        <v>38</v>
      </c>
      <c r="F4181" t="s">
        <v>38</v>
      </c>
      <c r="R4181" t="s">
        <v>89</v>
      </c>
      <c r="T4181" t="s">
        <v>89</v>
      </c>
      <c r="U4181" t="s">
        <v>301</v>
      </c>
      <c r="X4181" t="s">
        <v>302</v>
      </c>
      <c r="Y4181" t="s">
        <v>38</v>
      </c>
      <c r="AA4181" t="s">
        <v>38</v>
      </c>
      <c r="AB4181" t="s">
        <v>38</v>
      </c>
      <c r="AC4181" t="s">
        <v>38</v>
      </c>
      <c r="AD4181" t="s">
        <v>48</v>
      </c>
      <c r="AG4181" t="str">
        <f>IF(AD4181="United States", IFERROR(INDEX(Sheet2!$C:$C, MATCH(AE4181&amp;AF4181, Sheet2!$E:$E, 0)) &amp; ", " &amp; INDEX(Sheet2!$D:$D, MATCH(AE4181&amp;AF4181, Sheet2!$E:$E, 0)), ""), "-")</f>
        <v/>
      </c>
    </row>
    <row r="4182" spans="5:33" x14ac:dyDescent="0.25">
      <c r="E4182" t="s">
        <v>38</v>
      </c>
      <c r="F4182" t="s">
        <v>38</v>
      </c>
      <c r="R4182" t="s">
        <v>89</v>
      </c>
      <c r="T4182" t="s">
        <v>89</v>
      </c>
      <c r="U4182" t="s">
        <v>5724</v>
      </c>
      <c r="X4182" t="s">
        <v>93</v>
      </c>
      <c r="Y4182" t="s">
        <v>38</v>
      </c>
      <c r="AA4182" t="s">
        <v>38</v>
      </c>
      <c r="AB4182" t="s">
        <v>38</v>
      </c>
      <c r="AC4182" t="s">
        <v>38</v>
      </c>
      <c r="AD4182" t="s">
        <v>48</v>
      </c>
      <c r="AG4182" t="str">
        <f>IF(AD4182="United States", IFERROR(INDEX(Sheet2!$C:$C, MATCH(AE4182&amp;AF4182, Sheet2!$E:$E, 0)) &amp; ", " &amp; INDEX(Sheet2!$D:$D, MATCH(AE4182&amp;AF4182, Sheet2!$E:$E, 0)), ""), "-")</f>
        <v/>
      </c>
    </row>
    <row r="4183" spans="5:33" x14ac:dyDescent="0.25">
      <c r="E4183" t="s">
        <v>38</v>
      </c>
      <c r="F4183" t="s">
        <v>38</v>
      </c>
      <c r="R4183" t="s">
        <v>89</v>
      </c>
      <c r="T4183" t="s">
        <v>89</v>
      </c>
      <c r="U4183" t="s">
        <v>136</v>
      </c>
      <c r="X4183" t="s">
        <v>93</v>
      </c>
      <c r="Y4183" t="s">
        <v>38</v>
      </c>
      <c r="AA4183" t="s">
        <v>38</v>
      </c>
      <c r="AB4183" t="s">
        <v>38</v>
      </c>
      <c r="AC4183" t="s">
        <v>38</v>
      </c>
      <c r="AD4183" t="s">
        <v>48</v>
      </c>
      <c r="AG4183" t="str">
        <f>IF(AD4183="United States", IFERROR(INDEX(Sheet2!$C:$C, MATCH(AE4183&amp;AF4183, Sheet2!$E:$E, 0)) &amp; ", " &amp; INDEX(Sheet2!$D:$D, MATCH(AE4183&amp;AF4183, Sheet2!$E:$E, 0)), ""), "-")</f>
        <v/>
      </c>
    </row>
    <row r="4184" spans="5:33" x14ac:dyDescent="0.25">
      <c r="E4184" t="s">
        <v>38</v>
      </c>
      <c r="F4184" t="s">
        <v>38</v>
      </c>
      <c r="R4184" t="s">
        <v>89</v>
      </c>
      <c r="T4184" t="s">
        <v>89</v>
      </c>
      <c r="U4184" t="s">
        <v>301</v>
      </c>
      <c r="X4184" t="s">
        <v>302</v>
      </c>
      <c r="Y4184" t="s">
        <v>38</v>
      </c>
      <c r="AA4184" t="s">
        <v>38</v>
      </c>
      <c r="AB4184" t="s">
        <v>38</v>
      </c>
      <c r="AC4184" t="s">
        <v>38</v>
      </c>
      <c r="AD4184" t="s">
        <v>48</v>
      </c>
      <c r="AG4184" t="str">
        <f>IF(AD4184="United States", IFERROR(INDEX(Sheet2!$C:$C, MATCH(AE4184&amp;AF4184, Sheet2!$E:$E, 0)) &amp; ", " &amp; INDEX(Sheet2!$D:$D, MATCH(AE4184&amp;AF4184, Sheet2!$E:$E, 0)), ""), "-")</f>
        <v/>
      </c>
    </row>
    <row r="4185" spans="5:33" x14ac:dyDescent="0.25">
      <c r="E4185" t="s">
        <v>38</v>
      </c>
      <c r="F4185" t="s">
        <v>38</v>
      </c>
      <c r="R4185" t="s">
        <v>89</v>
      </c>
      <c r="T4185" t="s">
        <v>89</v>
      </c>
      <c r="U4185" t="s">
        <v>508</v>
      </c>
      <c r="X4185" t="s">
        <v>93</v>
      </c>
      <c r="Y4185" t="s">
        <v>38</v>
      </c>
      <c r="AA4185" t="s">
        <v>38</v>
      </c>
      <c r="AB4185" t="s">
        <v>38</v>
      </c>
      <c r="AC4185" t="s">
        <v>38</v>
      </c>
      <c r="AD4185" t="s">
        <v>48</v>
      </c>
      <c r="AG4185" t="str">
        <f>IF(AD4185="United States", IFERROR(INDEX(Sheet2!$C:$C, MATCH(AE4185&amp;AF4185, Sheet2!$E:$E, 0)) &amp; ", " &amp; INDEX(Sheet2!$D:$D, MATCH(AE4185&amp;AF4185, Sheet2!$E:$E, 0)), ""), "-")</f>
        <v/>
      </c>
    </row>
    <row r="4186" spans="5:33" x14ac:dyDescent="0.25">
      <c r="E4186" t="s">
        <v>38</v>
      </c>
      <c r="F4186" t="s">
        <v>38</v>
      </c>
      <c r="R4186" t="s">
        <v>89</v>
      </c>
      <c r="T4186" t="s">
        <v>89</v>
      </c>
      <c r="U4186" t="s">
        <v>301</v>
      </c>
      <c r="X4186" t="s">
        <v>302</v>
      </c>
      <c r="Y4186" t="s">
        <v>38</v>
      </c>
      <c r="AA4186" t="s">
        <v>38</v>
      </c>
      <c r="AB4186" t="s">
        <v>38</v>
      </c>
      <c r="AC4186" t="s">
        <v>38</v>
      </c>
      <c r="AD4186" t="s">
        <v>48</v>
      </c>
      <c r="AG4186" t="str">
        <f>IF(AD4186="United States", IFERROR(INDEX(Sheet2!$C:$C, MATCH(AE4186&amp;AF4186, Sheet2!$E:$E, 0)) &amp; ", " &amp; INDEX(Sheet2!$D:$D, MATCH(AE4186&amp;AF4186, Sheet2!$E:$E, 0)), ""), "-")</f>
        <v/>
      </c>
    </row>
    <row r="4187" spans="5:33" x14ac:dyDescent="0.25">
      <c r="E4187" t="s">
        <v>38</v>
      </c>
      <c r="F4187" t="s">
        <v>38</v>
      </c>
      <c r="R4187" t="s">
        <v>89</v>
      </c>
      <c r="T4187" t="s">
        <v>89</v>
      </c>
      <c r="U4187" t="s">
        <v>301</v>
      </c>
      <c r="X4187" t="s">
        <v>302</v>
      </c>
      <c r="Y4187" t="s">
        <v>38</v>
      </c>
      <c r="AA4187" t="s">
        <v>38</v>
      </c>
      <c r="AB4187" t="s">
        <v>38</v>
      </c>
      <c r="AC4187" t="s">
        <v>38</v>
      </c>
      <c r="AD4187" t="s">
        <v>48</v>
      </c>
      <c r="AG4187" t="str">
        <f>IF(AD4187="United States", IFERROR(INDEX(Sheet2!$C:$C, MATCH(AE4187&amp;AF4187, Sheet2!$E:$E, 0)) &amp; ", " &amp; INDEX(Sheet2!$D:$D, MATCH(AE4187&amp;AF4187, Sheet2!$E:$E, 0)), ""), "-")</f>
        <v/>
      </c>
    </row>
    <row r="4188" spans="5:33" x14ac:dyDescent="0.25">
      <c r="E4188" t="s">
        <v>38</v>
      </c>
      <c r="F4188" t="s">
        <v>38</v>
      </c>
      <c r="R4188" t="s">
        <v>89</v>
      </c>
      <c r="T4188" t="s">
        <v>89</v>
      </c>
      <c r="U4188" t="s">
        <v>5724</v>
      </c>
      <c r="X4188" t="s">
        <v>93</v>
      </c>
      <c r="Y4188" t="s">
        <v>38</v>
      </c>
      <c r="AA4188" t="s">
        <v>38</v>
      </c>
      <c r="AB4188" t="s">
        <v>38</v>
      </c>
      <c r="AC4188" t="s">
        <v>38</v>
      </c>
      <c r="AD4188" t="s">
        <v>48</v>
      </c>
      <c r="AG4188" t="str">
        <f>IF(AD4188="United States", IFERROR(INDEX(Sheet2!$C:$C, MATCH(AE4188&amp;AF4188, Sheet2!$E:$E, 0)) &amp; ", " &amp; INDEX(Sheet2!$D:$D, MATCH(AE4188&amp;AF4188, Sheet2!$E:$E, 0)), ""), "-")</f>
        <v/>
      </c>
    </row>
    <row r="4189" spans="5:33" x14ac:dyDescent="0.25">
      <c r="E4189" t="s">
        <v>38</v>
      </c>
      <c r="F4189" t="s">
        <v>38</v>
      </c>
      <c r="R4189" t="s">
        <v>89</v>
      </c>
      <c r="T4189" t="s">
        <v>89</v>
      </c>
      <c r="U4189" t="s">
        <v>136</v>
      </c>
      <c r="X4189" t="s">
        <v>93</v>
      </c>
      <c r="Y4189" t="s">
        <v>38</v>
      </c>
      <c r="AA4189" t="s">
        <v>38</v>
      </c>
      <c r="AB4189" t="s">
        <v>38</v>
      </c>
      <c r="AC4189" t="s">
        <v>38</v>
      </c>
      <c r="AD4189" t="s">
        <v>48</v>
      </c>
      <c r="AG4189" t="str">
        <f>IF(AD4189="United States", IFERROR(INDEX(Sheet2!$C:$C, MATCH(AE4189&amp;AF4189, Sheet2!$E:$E, 0)) &amp; ", " &amp; INDEX(Sheet2!$D:$D, MATCH(AE4189&amp;AF4189, Sheet2!$E:$E, 0)), ""), "-")</f>
        <v/>
      </c>
    </row>
    <row r="4190" spans="5:33" x14ac:dyDescent="0.25">
      <c r="E4190" t="s">
        <v>38</v>
      </c>
      <c r="F4190" t="s">
        <v>38</v>
      </c>
      <c r="R4190" t="s">
        <v>89</v>
      </c>
      <c r="T4190" t="s">
        <v>89</v>
      </c>
      <c r="U4190" t="s">
        <v>301</v>
      </c>
      <c r="X4190" t="s">
        <v>302</v>
      </c>
      <c r="Y4190" t="s">
        <v>38</v>
      </c>
      <c r="AA4190" t="s">
        <v>38</v>
      </c>
      <c r="AB4190" t="s">
        <v>38</v>
      </c>
      <c r="AC4190" t="s">
        <v>38</v>
      </c>
      <c r="AD4190" t="s">
        <v>48</v>
      </c>
      <c r="AG4190" t="str">
        <f>IF(AD4190="United States", IFERROR(INDEX(Sheet2!$C:$C, MATCH(AE4190&amp;AF4190, Sheet2!$E:$E, 0)) &amp; ", " &amp; INDEX(Sheet2!$D:$D, MATCH(AE4190&amp;AF4190, Sheet2!$E:$E, 0)), ""), "-")</f>
        <v/>
      </c>
    </row>
  </sheetData>
  <autoFilter ref="A1:AG4190" xr:uid="{00000000-0001-0000-0000-000000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000-000000000000}">
          <x14:formula1>
            <xm:f>Sheet2!$J$1:$J$51</xm:f>
          </x14:formula1>
          <xm: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AE335 AE336 AE337 AE338 AE339 AE340 AE341 AE342 AE343 AE344 AE345 AE346 AE347 AE348 AE349 AE350 AE351 AE352 AE353 AE354 AE355 AE356 AE357 AE358 AE359 AE360 AE361 AE362 AE363 AE364 AE365 AE366 AE367 AE368 AE369 AE370 AE371 AE372 AE373 AE374 AE375 AE376 AE377 AE378 AE379 AE380 AE381 AE382 AE383 AE384 AE385 AE386 AE387 AE388 AE389 AE390 AE391 AE392 AE393 AE394 AE395 AE396 AE397 AE398 AE399 AE400 AE401 AE402 AE403 AE404 AE405 AE406 AE407 AE408 AE409 AE410 AE411 AE412 AE413 AE414 AE415 AE416 AE417 AE418 AE419 AE420 AE421 AE422 AE423 AE424 AE425 AE426 AE427 AE428 AE429 AE430 AE431 AE432 AE433 AE434 AE435 AE436 AE437 AE438 AE439 AE440 AE441 AE442 AE443 AE444 AE445 AE446 AE447 AE448 AE449 AE450 AE451 AE452 AE453 AE454 AE455 AE456 AE457 AE458 AE459 AE460 AE461 AE462 AE463 AE464 AE465 AE466 AE467 AE468 AE469 AE470 AE471 AE472 AE473 AE474 AE475 AE476 AE477 AE478 AE479 AE480 AE481 AE482 AE483 AE484 AE485 AE486 AE487 AE488 AE489 AE490 AE491 AE492 AE493 AE494 AE495 AE496 AE497 AE498 AE499 AE500 AE501 AE502 AE503 AE504 AE505 AE506 AE507 AE508 AE509 AE510 AE511 AE512 AE513 AE514 AE515 AE516 AE517 AE518 AE519 AE520 AE521 AE522 AE523 AE524 AE525 AE526 AE527 AE528 AE529 AE530 AE531 AE532 AE533 AE534 AE535 AE536 AE537 AE538 AE539 AE540 AE541 AE542 AE543 AE544 AE545 AE546 AE547 AE548 AE549 AE550 AE551 AE552 AE553 AE554 AE555 AE556 AE557 AE558 AE559 AE560 AE561 AE562 AE563 AE564 AE565 AE566 AE567 AE568 AE569 AE570 AE571 AE572 AE573 AE574 AE575 AE576 AE577 AE578 AE579 AE580 AE581 AE582 AE583 AE584 AE585 AE586 AE587 AE588 AE589 AE590 AE591 AE592 AE593 AE594 AE595 AE596 AE597 AE598 AE599 AE600 AE601 AE602 AE603 AE604 AE605 AE606 AE607 AE608 AE609 AE610 AE611 AE612 AE613 AE614 AE615 AE616 AE617 AE618 AE619 AE620 AE621 AE622 AE623 AE624 AE625 AE626 AE627 AE628 AE629 AE630 AE631 AE632 AE633 AE634 AE635 AE636 AE637 AE638 AE639 AE640 AE641 AE642 AE643 AE644 AE645 AE646 AE647 AE648 AE649 AE650 AE651 AE652 AE653 AE654 AE655 AE656 AE657 AE658 AE659 AE660 AE661 AE662 AE663 AE664 AE665 AE666 AE667 AE668 AE669 AE670 AE671 AE672 AE673 AE674 AE675 AE676 AE677 AE678 AE679 AE680 AE681 AE682 AE683 AE684 AE685 AE686 AE687 AE688 AE689 AE690 AE691 AE692 AE693 AE694 AE695 AE696 AE697 AE698 AE699 AE700 AE701 AE702 AE703 AE704 AE705 AE706 AE707 AE708 AE709 AE710 AE711 AE712 AE713 AE714 AE715 AE716 AE717 AE718 AE719 AE720 AE721 AE722 AE723 AE724 AE725 AE726 AE727 AE728 AE729 AE730 AE731 AE732 AE733 AE734 AE735 AE736 AE737 AE738 AE739 AE740 AE741 AE742 AE743 AE744 AE745 AE746 AE747 AE748 AE749 AE750 AE751 AE752 AE753 AE754 AE755 AE756 AE757 AE758 AE759 AE760 AE761 AE762 AE763 AE764 AE765 AE766 AE767 AE768 AE769 AE770 AE771 AE772 AE773 AE774 AE775 AE776 AE777 AE778 AE779 AE780 AE781 AE782 AE783 AE784 AE785 AE786 AE787 AE788 AE789 AE790 AE791 AE792 AE793 AE794 AE795 AE796 AE797 AE798 AE799 AE800 AE801 AE802 AE803 AE804 AE805 AE806 AE807 AE808 AE809 AE810 AE811 AE812 AE813 AE814 AE815 AE816 AE817 AE818 AE819 AE820 AE821 AE822 AE823 AE824 AE825 AE826 AE827 AE828 AE829 AE830 AE831 AE832 AE833 AE834 AE835 AE836 AE837 AE838 AE839 AE840 AE841 AE842 AE843 AE844 AE845 AE846 AE847 AE848 AE849 AE850 AE851 AE852 AE853 AE854 AE855 AE856 AE857 AE858 AE859 AE860 AE861 AE862 AE863 AE864 AE865 AE866 AE867 AE868 AE869 AE870 AE871 AE872 AE873 AE874 AE875 AE876 AE877 AE878 AE879 AE880 AE881 AE882 AE883 AE884 AE885 AE886 AE887 AE888 AE889 AE890 AE891 AE892 AE893 AE894 AE895 AE896 AE897 AE898 AE899 AE900 AE901 AE902 AE903 AE904 AE905 AE906 AE907 AE908 AE909 AE910 AE911 AE912 AE913 AE914 AE915 AE916 AE917 AE918 AE919 AE920 AE921 AE922 AE923 AE924 AE925 AE926 AE927 AE928 AE929 AE930 AE931 AE932 AE933 AE934 AE935 AE936 AE937 AE938 AE939 AE940 AE941 AE942 AE943 AE944 AE945 AE946 AE947 AE948 AE949 AE950 AE951 AE952 AE953 AE954 AE955 AE956 AE957 AE958 AE959 AE960 AE961 AE962 AE963 AE964 AE965 AE966 AE967 AE968 AE969 AE970 AE971 AE972 AE973 AE974 AE975 AE976 AE977 AE978 AE979 AE980 AE981 AE982 AE983 AE984 AE985 AE986 AE987 AE988 AE989 AE990 AE991 AE992 AE993 AE994 AE995 AE996 AE997 AE998 AE999 AE1000 AE1001 AE1002 AE1003 AE1004 AE1005 AE1006 AE1007 AE1008 AE1009 AE1010 AE1011 AE1012 AE1013 AE1014 AE1015 AE1016 AE1017 AE1018 AE1019 AE1020 AE1021 AE1022 AE1023 AE1024 AE1025 AE1026 AE1027 AE1028 AE1029 AE1030 AE1031 AE1032 AE1033 AE1034 AE1035 AE1036 AE1037 AE1038 AE1039 AE1040 AE1041 AE1042 AE1043 AE1044 AE1045 AE1046 AE1047 AE1048 AE1049 AE1050 AE1051 AE1052 AE1053 AE1054 AE1055 AE1056 AE1057 AE1058 AE1059 AE1060 AE1061 AE1062 AE1063 AE1064 AE1065 AE1066 AE1067 AE1068 AE1069 AE1070 AE1071 AE1072 AE1073 AE1074 AE1075 AE1076 AE1077 AE1078 AE1079 AE1080 AE1081 AE1082 AE1083 AE1084 AE1085 AE1086 AE1087 AE1088 AE1089 AE1090 AE1091 AE1092 AE1093 AE1094 AE1095 AE1096 AE1097 AE1098 AE1099 AE1100 AE1101 AE1102 AE1103 AE1104 AE1105 AE1106 AE1107 AE1108 AE1109 AE1110 AE1111 AE1112 AE1113 AE1114 AE1115 AE1116 AE1117 AE1118 AE1119 AE1120 AE1121 AE1122 AE1123 AE1124 AE1125 AE1126 AE1127 AE1128 AE1129 AE1130 AE1131 AE1132 AE1133 AE1134 AE1135 AE1136 AE1137 AE1138 AE1139 AE1140 AE1141 AE1142 AE1143 AE1144 AE1145 AE1146 AE1147 AE1148 AE1149 AE1150 AE1151 AE1152 AE1153 AE1154 AE1155 AE1156 AE1157 AE1158 AE1159 AE1160 AE1161 AE1162 AE1163 AE1164 AE1165 AE1166 AE1167 AE1168 AE1169 AE1170 AE1171 AE1172 AE1173 AE1174 AE1175 AE1176 AE1177 AE1178 AE1179 AE1180 AE1181 AE1182 AE1183 AE1184 AE1185 AE1186 AE1187 AE1188 AE1189 AE1190 AE1191 AE1192 AE1193 AE1194 AE1195 AE1196 AE1197 AE1198 AE1199 AE1200 AE1201 AE1202 AE1203 AE1204 AE1205 AE1206 AE1207 AE1208 AE1209 AE1210 AE1211 AE1212 AE1213 AE1214 AE1215 AE1216 AE1217 AE1218 AE1219 AE1220 AE1221 AE1222 AE1223 AE1224 AE1225 AE1226 AE1227 AE1228 AE1229 AE1230 AE1231 AE1232 AE1233 AE1234 AE1235 AE1236 AE1237 AE1238 AE1239 AE1240 AE1241 AE1242 AE1243 AE1244 AE1245 AE1246 AE1247 AE1248 AE1249 AE1250 AE1251 AE1252 AE1253 AE1254 AE1255 AE1256 AE1257 AE1258 AE1259 AE1260 AE1261 AE1262 AE1263 AE1264 AE1265 AE1266 AE1267 AE1268 AE1269 AE1270 AE1271 AE1272 AE1273 AE1274 AE1275 AE1276 AE1277 AE1278 AE1279 AE1280 AE1281 AE1282 AE1283 AE1284 AE1285 AE1286 AE1287 AE1288 AE1289 AE1290 AE1291 AE1292 AE1293 AE1294 AE1295 AE1296 AE1297 AE1298 AE1299 AE1300 AE1301 AE1302 AE1303 AE1304 AE1305 AE1306 AE1307 AE1308 AE1309 AE1310 AE1311 AE1312 AE1313 AE1314 AE1315 AE1316 AE1317 AE1318 AE1319 AE1320 AE1321 AE1322 AE1323 AE1324 AE1325 AE1326 AE1327 AE1328 AE1329 AE1330 AE1331 AE1332 AE1333 AE1334 AE1335 AE1336 AE1337 AE1338 AE1339 AE1340 AE1341 AE1342 AE1343 AE1344 AE1345 AE1346 AE1347 AE1348 AE1349 AE1350 AE1351 AE1352 AE1353 AE1354 AE1355 AE1356 AE1357 AE1358 AE1359 AE1360 AE1361 AE1362 AE1363 AE1364 AE1365 AE1366 AE1367 AE1368 AE1369 AE1370 AE1371 AE1372 AE1373 AE1374 AE1375 AE1376 AE1377 AE1378 AE1379 AE1380 AE1381 AE1382 AE1383 AE1384 AE1385 AE1386 AE1387 AE1388 AE1389 AE1390 AE1391 AE1392 AE1393 AE1394 AE1395 AE1396 AE1397 AE1398 AE1399 AE1400 AE1401 AE1402 AE1403 AE1404 AE1405 AE1406 AE1407 AE1408 AE1409 AE1410 AE1411 AE1412 AE1413 AE1414 AE1415 AE1416 AE1417 AE1418 AE1419 AE1420 AE1421 AE1422 AE1423 AE1424 AE1425 AE1426 AE1427 AE1428 AE1429 AE1430 AE1431 AE1432 AE1433 AE1434 AE1435 AE1436 AE1437 AE1438 AE1439 AE1440 AE1441 AE1442 AE1443 AE1444 AE1445 AE1446 AE1447 AE1448 AE1449 AE1450 AE1451 AE1452 AE1453 AE1454 AE1455 AE1456 AE1457 AE1458 AE1459 AE1460 AE1461 AE1462 AE1463 AE1464 AE1465 AE1466 AE1467 AE1468 AE1469 AE1470 AE1471 AE1472 AE1473 AE1474 AE1475 AE1476 AE1477 AE1478 AE1479 AE1480 AE1481 AE1482 AE1483 AE1484 AE1485 AE1486 AE1487 AE1488 AE1489 AE1490 AE1491 AE1492 AE1493 AE1494 AE1495 AE1496 AE1497 AE1498 AE1499 AE1500 AE1501 AE1502 AE1503 AE1504 AE1505 AE1506 AE1507 AE1508 AE1509 AE1510 AE1511 AE1512 AE1513 AE1514 AE1515 AE1516 AE1517 AE1518 AE1519 AE1520 AE1521 AE1522 AE1523 AE1524 AE1525 AE1526 AE1527 AE1528 AE1529 AE1530 AE1531 AE1532 AE1533 AE1534 AE1535 AE1536 AE1537 AE1538 AE1539 AE1540 AE1541 AE1542 AE1543 AE1544 AE1545 AE1546 AE1547 AE1548 AE1549 AE1550 AE1551 AE1552 AE1553 AE1554 AE1555 AE1556 AE1557 AE1558 AE1559 AE1560 AE1561 AE1562 AE1563 AE1564 AE1565 AE1566 AE1567 AE1568 AE1569 AE1570 AE1571 AE1572 AE1573 AE1574 AE1575 AE1576 AE1577 AE1578 AE1579 AE1580 AE1581 AE1582 AE1583 AE1584 AE1585 AE1586 AE1587 AE1588 AE1589 AE1590 AE1591 AE1592 AE1593 AE1594 AE1595 AE1596 AE1597 AE1598 AE1599 AE1600 AE1601 AE1602 AE1603 AE1604 AE1605 AE1606 AE1607 AE1608 AE1609 AE1610 AE1611 AE1612 AE1613 AE1614 AE1615 AE1616 AE1617 AE1618 AE1619 AE1620 AE1621 AE1622 AE1623 AE1624 AE1625 AE1626 AE1627 AE1628 AE1629 AE1630 AE1631 AE1632 AE1633 AE1634 AE1635 AE1636 AE1637 AE1638 AE1639 AE1640 AE1641 AE1642 AE1643 AE1644 AE1645 AE1646 AE1647 AE1648 AE1649 AE1650 AE1651 AE1652 AE1653 AE1654 AE1655 AE1656 AE1657 AE1658 AE1659 AE1660 AE1661 AE1662 AE1663 AE1664 AE1665 AE1666 AE1667 AE1668 AE1669 AE1670 AE1671 AE1672 AE1673 AE1674 AE1675 AE1676 AE1677 AE1678 AE1679 AE1680 AE1681 AE1682 AE1683 AE1684 AE1685 AE1686 AE1687 AE1688 AE1689 AE1690 AE1691 AE1692 AE1693 AE1694 AE1695 AE1696 AE1697 AE1698 AE1699 AE1700 AE1701 AE1702 AE1703 AE1704 AE1705 AE1706 AE1707 AE1708 AE1709 AE1710 AE1711 AE1712 AE1713 AE1714 AE1715 AE1716 AE1717 AE1718 AE1719 AE1720 AE1721 AE1722 AE1723 AE1724 AE1725 AE1726 AE1727 AE1728 AE1729 AE1730 AE1731 AE1732 AE1733 AE1734 AE1735 AE1736 AE1737 AE1738 AE1739 AE1740 AE1741 AE1742 AE1743 AE1744 AE1745 AE1746 AE1747 AE1748 AE1749 AE1750 AE1751 AE1752 AE1753 AE1754 AE1755 AE1756 AE1757 AE1758 AE1759 AE1760 AE1761 AE1762 AE1763 AE1764 AE1765 AE1766 AE1767 AE1768 AE1769 AE1770 AE1771 AE1772 AE1773 AE1774 AE1775 AE1776 AE1777 AE1778 AE1779 AE1780 AE1781 AE1782 AE1783 AE1784 AE1785 AE1786 AE1787 AE1788 AE1789 AE1790 AE1791 AE1792 AE1793 AE1794 AE1795 AE1796 AE1797 AE1798 AE1799 AE1800 AE1801 AE1802 AE1803 AE1804 AE1805 AE1806 AE1807 AE1808 AE1809 AE1810 AE1811 AE1812 AE1813 AE1814 AE1815 AE1816 AE1817 AE1818 AE1819 AE1820 AE1821 AE1822 AE1823 AE1824 AE1825 AE1826 AE1827 AE1828 AE1829 AE1830 AE1831 AE1832 AE1833 AE1834 AE1835 AE1836 AE1837 AE1838 AE1839 AE1840 AE1841 AE1842 AE1843 AE1844 AE1845 AE1846 AE1847 AE1848 AE1849 AE1850 AE1851 AE1852 AE1853 AE1854 AE1855 AE1856 AE1857 AE1858 AE1859 AE1860 AE1861 AE1862 AE1863 AE1864 AE1865 AE1866 AE1867 AE1868 AE1869 AE1870 AE1871 AE1872 AE1873 AE1874 AE1875 AE1876 AE1877 AE1878 AE1879 AE1880 AE1881 AE1882 AE1883 AE1884 AE1885 AE1886 AE1887 AE1888 AE1889 AE1890 AE1891 AE1892 AE1893 AE1894 AE1895 AE1896 AE1897 AE1898 AE1899 AE1900 AE1901 AE1902 AE1903 AE1904 AE1905 AE1906 AE1907 AE1908 AE1909 AE1910 AE1911 AE1912 AE1913 AE1914 AE1915 AE1916 AE1917 AE1918 AE1919 AE1920 AE1921 AE1922 AE1923 AE1924 AE1925 AE1926 AE1927 AE1928 AE1929 AE1930 AE1931 AE1932 AE1933 AE1934 AE1935 AE1936 AE1937 AE1938 AE1939 AE1940 AE1941 AE1942 AE1943 AE1944 AE1945 AE1946 AE1947 AE1948 AE1949 AE1950 AE1951 AE1952 AE1953 AE1954 AE1955 AE1956 AE1957 AE1958 AE1959 AE1960 AE1961 AE1962 AE1963 AE1964 AE1965 AE1966 AE1967 AE1968 AE1969 AE1970 AE1971 AE1972 AE1973 AE1974 AE1975 AE1976 AE1977 AE1978 AE1979 AE1980 AE1981 AE1982 AE1983 AE1984 AE1985 AE1986 AE1987 AE1988 AE1989 AE1990 AE1991 AE1992 AE1993 AE1994 AE1995 AE1996 AE1997 AE1998 AE1999 AE2000 AE2001 AE2002 AE2003 AE2004 AE2005 AE2006 AE2007 AE2008 AE2009 AE2010 AE2011 AE2012 AE2013 AE2014 AE2015 AE2016 AE2017 AE2018 AE2019 AE2020 AE2021 AE2022 AE2023 AE2024 AE2025 AE2026 AE2027 AE2028 AE2029 AE2030 AE2031 AE2032 AE2033 AE2034 AE2035 AE2036 AE2037 AE2038 AE2039 AE2040 AE2041 AE2042 AE2043 AE2044 AE2045 AE2046 AE2047 AE2048 AE2049 AE2050 AE2051 AE2052 AE2053 AE2054 AE2055 AE2056 AE2057 AE2058 AE2059 AE2060 AE2061 AE2062 AE2063 AE2064 AE2065 AE2066 AE2067 AE2068 AE2069 AE2070 AE2071 AE2072 AE2073 AE2074 AE2075 AE2076 AE2077 AE2078 AE2079 AE2080 AE2081 AE2082 AE2083 AE2084 AE2085 AE2086 AE2087 AE2088 AE2089 AE2090 AE2091 AE2092 AE2093 AE2094 AE2095 AE2096 AE2097 AE2098 AE2099 AE2100 AE2101 AE2102 AE2103 AE2104 AE2105 AE2106 AE2107 AE2108 AE2109 AE2110 AE2111 AE2112 AE2113 AE2114 AE2115 AE2116 AE2117 AE2118 AE2119 AE2120 AE2121 AE2122 AE2123 AE2124 AE2125 AE2126 AE2127 AE2128 AE2129 AE2130 AE2131 AE2132 AE2133 AE2134 AE2135 AE2136 AE2137 AE2138 AE2139 AE2140 AE2141 AE2142 AE2143 AE2144 AE2145 AE2146 AE2147 AE2148 AE2149 AE2150 AE2151 AE2152 AE2153 AE2154 AE2155 AE2156 AE2157 AE2158 AE2159 AE2160 AE2161 AE2162 AE2163 AE2164 AE2165 AE2166 AE2167 AE2168 AE2169 AE2170 AE2171 AE2172 AE2173 AE2174 AE2175 AE2176 AE2177 AE2178 AE2179 AE2180 AE2181 AE2182 AE2183 AE2184 AE2185 AE2186 AE2187 AE2188 AE2189 AE2190 AE2191 AE2192 AE2193 AE2194 AE2195 AE2196 AE2197 AE2198 AE2199 AE2200 AE2201 AE2202 AE2203 AE2204 AE2205 AE2206 AE2207 AE2208 AE2209 AE2210 AE2211 AE2212 AE2213 AE2214 AE2215 AE2216 AE2217 AE2218 AE2219 AE2220 AE2221 AE2222 AE2223 AE2224 AE2225 AE2226 AE2227 AE2228 AE2229 AE2230 AE2231 AE2232 AE2233 AE2234 AE2235 AE2236 AE2237 AE2238 AE2239 AE2240 AE2241 AE2242 AE2243 AE2244 AE2245 AE2246 AE2247 AE2248 AE2249 AE2250 AE2251 AE2252 AE2253 AE2254 AE2255 AE2256 AE2257 AE2258 AE2259 AE2260 AE2261 AE2262 AE2263 AE2264 AE2265 AE2266 AE2267 AE2268 AE2269 AE2270 AE2271 AE2272 AE2273 AE2274 AE2275 AE2276 AE2277 AE2278 AE2279 AE2280 AE2281 AE2282 AE2283 AE2284 AE2285 AE2286 AE2287 AE2288 AE2289 AE2290 AE2291 AE2292 AE2293 AE2294 AE2295 AE2296 AE2297 AE2298 AE2299 AE2300 AE2301 AE2302 AE2303 AE2304 AE2305 AE2306 AE2307 AE2308 AE2309 AE2310 AE2311 AE2312 AE2313 AE2314 AE2315 AE2316 AE2317 AE2318 AE2319 AE2320 AE2321 AE2322 AE2323 AE2324 AE2325 AE2326 AE2327 AE2328 AE2329 AE2330 AE2331 AE2332 AE2333 AE2334 AE2335 AE2336 AE2337 AE2338 AE2339 AE2340 AE2341 AE2342 AE2343 AE2344 AE2345 AE2346 AE2347 AE2348 AE2349 AE2350 AE2351 AE2352 AE2353 AE2354 AE2355 AE2356 AE2357 AE2358 AE2359 AE2360 AE2361 AE2362 AE2363 AE2364 AE2365 AE2366 AE2367 AE2368 AE2369 AE2370 AE2371 AE2372 AE2373 AE2374 AE2375 AE2376 AE2377 AE2378 AE2379 AE2380 AE2381 AE2382 AE2383 AE2384 AE2385 AE2386 AE2387 AE2388 AE2389 AE2390 AE2391 AE2392 AE2393 AE2394 AE2395 AE2396 AE2397 AE2398 AE2399 AE2400 AE2401 AE2402 AE2403 AE2404 AE2405 AE2406 AE2407 AE2408 AE2409 AE2410 AE2411 AE2412 AE2413 AE2414 AE2415 AE2416 AE2417 AE2418 AE2419 AE2420 AE2421 AE2422 AE2423 AE2424 AE2425 AE2426 AE2427 AE2428 AE2429 AE2430 AE2431 AE2432 AE2433 AE2434 AE2435 AE2436 AE2437 AE2438 AE2439 AE2440 AE2441 AE2442 AE2443 AE2444 AE2445 AE2446 AE2447 AE2448 AE2449 AE2450 AE2451 AE2452 AE2453 AE2454 AE2455 AE2456 AE2457 AE2458 AE2459 AE2460 AE2461 AE2462 AE2463 AE2464 AE2465 AE2466 AE2467 AE2468 AE2469 AE2470 AE2471 AE2472 AE2473 AE2474 AE2475 AE2476 AE2477 AE2478 AE2479 AE2480 AE2481 AE2482 AE2483 AE2484 AE2485 AE2486 AE2487 AE2488 AE2489 AE2490 AE2491 AE2492 AE2493 AE2494 AE2495 AE2496 AE2497 AE2498 AE2499 AE2500 AE2501 AE2502 AE2503 AE2504 AE2505 AE2506 AE2507 AE2508 AE2509 AE2510 AE2511 AE2512 AE2513 AE2514 AE2515 AE2516 AE2517 AE2518 AE2519 AE2520 AE2521 AE2522 AE2523 AE2524 AE2525 AE2526 AE2527 AE2528 AE2529 AE2530 AE2531 AE2532 AE2533 AE2534 AE2535 AE2536 AE2537 AE2538 AE2539 AE2540 AE2541 AE2542 AE2543 AE2544 AE2545 AE2546 AE2547 AE2548 AE2549 AE2550 AE2551 AE2552 AE2553 AE2554 AE2555 AE2556 AE2557 AE2558 AE2559 AE2560 AE2561 AE2562 AE2563 AE2564 AE2565 AE2566 AE2567 AE2568 AE2569 AE2570 AE2571 AE2572 AE2573 AE2574 AE2575 AE2576 AE2577 AE2578 AE2579 AE2580 AE2581 AE2582 AE2583 AE2584 AE2585 AE2586 AE2587 AE2588 AE2589 AE2590 AE2591 AE2592 AE2593 AE2594 AE2595 AE2596 AE2597 AE2598 AE2599 AE2600 AE2601 AE2602 AE2603 AE2604 AE2605 AE2606 AE2607 AE2608 AE2609 AE2610 AE2611 AE2612 AE2613 AE2614 AE2615 AE2616 AE2617 AE2618 AE2619 AE2620 AE2621 AE2622 AE2623 AE2624 AE2625 AE2626 AE2627 AE2628 AE2629 AE2630 AE2631 AE2632 AE2633 AE2634 AE2635 AE2636 AE2637 AE2638 AE2639 AE2640 AE2641 AE2642 AE2643 AE2644 AE2645 AE2646 AE2647 AE2648 AE2649 AE2650 AE2651 AE2652 AE2653 AE2654 AE2655 AE2656 AE2657 AE2658 AE2659 AE2660 AE2661 AE2662 AE2663 AE2664 AE2665 AE2666 AE2667 AE2668 AE2669 AE2670 AE2671 AE2672 AE2673 AE2674 AE2675 AE2676 AE2677 AE2678 AE2679 AE2680 AE2681 AE2682 AE2683 AE2684 AE2685 AE2686 AE2687 AE2688 AE2689 AE2690 AE2691 AE2692 AE2693 AE2694 AE2695 AE2696 AE2697 AE2698 AE2699 AE2700 AE2701 AE2702 AE2703 AE2704 AE2705 AE2706 AE2707 AE2708 AE2709 AE2710 AE2711 AE2712 AE2713 AE2714 AE2715 AE2716 AE2717 AE2718 AE2719 AE2720 AE2721 AE2722 AE2723 AE2724 AE2725 AE2726 AE2727 AE2728 AE2729 AE2730 AE2731 AE2732 AE2733 AE2734 AE2735 AE2736 AE2737 AE2738 AE2739 AE2740 AE2741 AE2742 AE2743 AE2744 AE2745 AE2746 AE2747 AE2748 AE2749 AE2750 AE2751 AE2752 AE2753 AE2754 AE2755 AE2756 AE2757 AE2758 AE2759 AE2760 AE2761 AE2762 AE2763 AE2764 AE2765 AE2766 AE2767 AE2768 AE2769 AE2770 AE2771 AE2772 AE2773 AE2774 AE2775 AE2776 AE2777 AE2778 AE2779 AE2780 AE2781 AE2782 AE2783 AE2784 AE2785 AE2786 AE2787 AE2788 AE2789 AE2790 AE2791 AE2792 AE2793 AE2794 AE2795 AE2796 AE2797 AE2798 AE2799 AE2800 AE2801 AE2802 AE2803 AE2804 AE2805 AE2806 AE2807 AE2808 AE2809 AE2810 AE2811 AE2812 AE2813 AE2814 AE2815 AE2816 AE2817 AE2818 AE2819 AE2820 AE2821 AE2822 AE2823 AE2824 AE2825 AE2826 AE2827 AE2828 AE2829 AE2830 AE2831 AE2832 AE2833 AE2834 AE2835 AE2836 AE2837 AE2838 AE2839 AE2840 AE2841 AE2842 AE2843 AE2844 AE2845 AE2846 AE2847 AE2848 AE2849 AE2850 AE2851 AE2852 AE2853 AE2854 AE2855 AE2856 AE2857 AE2858 AE2859 AE2860 AE2861 AE2862 AE2863 AE2864 AE2865 AE2866 AE2867 AE2868 AE2869 AE2870 AE2871 AE2872 AE2873 AE2874 AE2875 AE2876 AE2877 AE2878 AE2879 AE2880 AE2881 AE2882 AE2883 AE2884 AE2885 AE2886 AE2887 AE2888 AE2889 AE2890 AE2891 AE2892 AE2893 AE2894 AE2895 AE2896 AE2897 AE2898 AE2899 AE2900 AE2901 AE2902 AE2903 AE2904 AE2905 AE2906 AE2907 AE2908 AE2909 AE2910 AE2911 AE2912 AE2913 AE2914 AE2915 AE2916 AE2917 AE2918 AE2919 AE2920 AE2921 AE2922 AE2923 AE2924 AE2925 AE2926 AE2927 AE2928 AE2929 AE2930 AE2931 AE2932 AE2933 AE2934 AE2935 AE2936 AE2937 AE2938 AE2939 AE2940 AE2941 AE2942 AE2943 AE2944 AE2945 AE2946 AE2947 AE2948 AE2949 AE2950 AE2951 AE2952 AE2953 AE2954 AE2955 AE2956 AE2957 AE2958 AE2959 AE2960 AE2961 AE2962 AE2963 AE2964 AE2965 AE2966 AE2967 AE2968 AE2969 AE2970 AE2971 AE2972 AE2973 AE2974 AE2975 AE2976 AE2977 AE2978 AE2979 AE2980 AE2981 AE2982 AE2983 AE2984 AE2985 AE2986 AE2987 AE2988 AE2989 AE2990 AE2991 AE2992 AE2993 AE2994 AE2995 AE2996 AE2997 AE2998 AE2999 AE3000 AE3001 AE3002 AE3003 AE3004 AE3005 AE3006 AE3007 AE3008 AE3009 AE3010 AE3011 AE3012 AE3013 AE3014 AE3015 AE3016 AE3017 AE3018 AE3019 AE3020 AE3021 AE3022 AE3023 AE3024 AE3025 AE3026 AE3027 AE3028 AE3029 AE3030 AE3031 AE3032 AE3033 AE3034 AE3035 AE3036 AE3037 AE3038 AE3039 AE3040 AE3041 AE3042 AE3043 AE3044 AE3045 AE3046 AE3047 AE3048 AE3049 AE3050 AE3051 AE3052 AE3053 AE3054 AE3055 AE3056 AE3057 AE3058 AE3059 AE3060 AE3061 AE3062 AE3063 AE3064 AE3065 AE3066 AE3067 AE3068 AE3069 AE3070 AE3071 AE3072 AE3073 AE3074 AE3075 AE3076 AE3077 AE3078 AE3079 AE3080 AE3081 AE3082 AE3083 AE3084 AE3085 AE3086 AE3087 AE3088 AE3089 AE3090 AE3091 AE3092 AE3093 AE3094 AE3095 AE3096 AE3097 AE3098 AE3099 AE3100 AE3101 AE3102 AE3103 AE3104 AE3105 AE3106 AE3107 AE3108 AE3109 AE3110 AE3111 AE3112 AE3113 AE3114 AE3115 AE3116 AE3117 AE3118 AE3119 AE3120 AE3121 AE3122 AE3123 AE3124 AE3125 AE3126 AE3127 AE3128 AE3129 AE3130 AE3131 AE3132 AE3133 AE3134 AE3135 AE3136 AE3137 AE3138 AE3139 AE3140 AE3141 AE3142 AE3143 AE3144 AE3145 AE3146 AE3147 AE3148 AE3149 AE3150 AE3151 AE3152 AE3153 AE3154 AE3155 AE3156 AE3157 AE3158 AE3159 AE3160 AE3161 AE3162 AE3163 AE3164 AE3165 AE3166 AE3167 AE3168 AE3169 AE3170 AE3171 AE3172 AE3173 AE3174 AE3175 AE3176 AE3177 AE3178 AE3179 AE3180 AE3181 AE3182 AE3183 AE3184 AE3185 AE3186 AE3187 AE3188 AE3189 AE3190 AE3191 AE3192 AE3193 AE3194 AE3195 AE3196 AE3197 AE3198 AE3199 AE3200 AE3201 AE3202 AE3203 AE3204 AE3205 AE3206 AE3207 AE3208 AE3209 AE3210 AE3211 AE3212 AE3213 AE3214 AE3215 AE3216 AE3217 AE3218 AE3219 AE3220 AE3221 AE3222 AE3223 AE3224 AE3225 AE3226 AE3227 AE3228 AE3229 AE3230 AE3231 AE3232 AE3233 AE3234 AE3235 AE3236 AE3237 AE3238 AE3239 AE3240 AE3241 AE3242 AE3243 AE3244 AE3245 AE3246 AE3247 AE3248 AE3249 AE3250 AE3251 AE3252 AE3253 AE3254 AE3255 AE3256 AE3257 AE3258 AE3259 AE3260 AE3261 AE3262 AE3263 AE3264 AE3265 AE3266 AE3267 AE3268 AE3269 AE3270 AE3271 AE3272 AE3273 AE3274 AE3275 AE3276 AE3277 AE3278 AE3279 AE3280 AE3281 AE3282 AE3283 AE3284 AE3285 AE3286 AE3287 AE3288 AE3289 AE3290 AE3291 AE3292 AE3293 AE3294 AE3295 AE3296 AE3297 AE3298 AE3299 AE3300 AE3301 AE3302 AE3303 AE3304 AE3305 AE3306 AE3307 AE3308 AE3309 AE3310 AE3311 AE3312 AE3313 AE3314 AE3315 AE3316 AE3317 AE3318 AE3319 AE3320 AE3321 AE3322 AE3323 AE3324 AE3325 AE3326 AE3327 AE3328 AE3329 AE3330 AE3331 AE3332 AE3333 AE3334 AE3335 AE3336 AE3337 AE3338 AE3339 AE3340 AE3341 AE3342 AE3343 AE3344 AE3345 AE3346 AE3347 AE3348 AE3349 AE3350 AE3351 AE3352 AE3353 AE3354 AE3355 AE3356 AE3357 AE3358 AE3359 AE3360 AE3361 AE3362 AE3363 AE3364 AE3365 AE3366 AE3367 AE3368 AE3369 AE3370 AE3371 AE3372 AE3373 AE3374 AE3375 AE3376 AE3377 AE3378 AE3379 AE3380 AE3381 AE3382 AE3383 AE3384 AE3385 AE3386 AE3387 AE3388 AE3389 AE3390 AE3391 AE3392 AE3393 AE3394 AE3395 AE3396 AE3397 AE3398 AE3399 AE3400 AE3401 AE3402 AE3403 AE3404 AE3405 AE3406 AE3407 AE3408 AE3409 AE3410 AE3411 AE3412 AE3413 AE3414 AE3415 AE3416 AE3417 AE3418 AE3419 AE3420 AE3421 AE3422 AE3423 AE3424 AE3425 AE3426 AE3427 AE3428 AE3429 AE3430 AE3431 AE3432 AE3433 AE3434 AE3435 AE3436 AE3437 AE3438 AE3439 AE3440 AE3441 AE3442 AE3443 AE3444 AE3445 AE3446 AE3447 AE3448 AE3449 AE3450 AE3451 AE3452 AE3453 AE3454 AE3455 AE3456 AE3457 AE3458 AE3459 AE3460 AE3461 AE3462 AE3463 AE3464 AE3465 AE3466 AE3467 AE3468 AE3469 AE3470 AE3471 AE3472 AE3473 AE3474 AE3475 AE3476 AE3477 AE3478 AE3479 AE3480 AE3481 AE3482 AE3483 AE3484 AE3485 AE3486 AE3487 AE3488 AE3489 AE3490 AE3491 AE3492 AE3493 AE3494 AE3495 AE3496 AE3497 AE3498 AE3499 AE3500 AE3501 AE3502 AE3503 AE3504 AE3505 AE3506 AE3507 AE3508 AE3509 AE3510 AE3511 AE3512 AE3513 AE3514 AE3515 AE3516 AE3517 AE3518 AE3519 AE3520 AE3521 AE3522 AE3523 AE3524 AE3525 AE3526 AE3527 AE3528 AE3529 AE3530 AE3531 AE3532 AE3533 AE3534 AE3535 AE3536 AE3537 AE3538 AE3539 AE3540 AE3541 AE3542 AE3543 AE3544 AE3545 AE3546 AE3547 AE3548 AE3549 AE3550 AE3551 AE3552 AE3553 AE3554 AE3555 AE3556 AE3557 AE3558 AE3559 AE3560 AE3561 AE3562 AE3563 AE3564 AE3565 AE3566 AE3567 AE3568 AE3569 AE3570 AE3571 AE3572 AE3573 AE3574 AE3575 AE3576 AE3577 AE3578 AE3579 AE3580 AE3581 AE3582 AE3583 AE3584 AE3585 AE3586 AE3587 AE3588 AE3589 AE3590 AE3591 AE3592 AE3593 AE3594 AE3595 AE3596 AE3597 AE3598 AE3599 AE3600 AE3601 AE3602 AE3603 AE3604 AE3605 AE3606 AE3607 AE3608 AE3609 AE3610 AE3611 AE3612 AE3613 AE3614 AE3615 AE3616 AE3617 AE3618 AE3619 AE3620 AE3621 AE3622 AE3623 AE3624 AE3625 AE3626 AE3627 AE3628 AE3629 AE3630 AE3631 AE3632 AE3633 AE3634 AE3635 AE3636 AE3637 AE3638 AE3639 AE3640 AE3641 AE3642 AE3643 AE3644 AE3645 AE3646 AE3647 AE3648 AE3649 AE3650 AE3651 AE3652 AE3653 AE3654 AE3655 AE3656 AE3657 AE3658 AE3659 AE3660 AE3661 AE3662 AE3663 AE3664 AE3665 AE3666 AE3667 AE3668 AE3669 AE3670 AE3671 AE3672 AE3673 AE3674 AE3675 AE3676 AE3677 AE3678 AE3679 AE3680 AE3681 AE3682 AE3683 AE3684 AE3685 AE3686 AE3687 AE3688 AE3689 AE3690 AE3691 AE3692 AE3693 AE3694 AE3695 AE3696 AE3697 AE3698 AE3699 AE3700 AE3701 AE3702 AE3703 AE3704 AE3705 AE3706 AE3707 AE3708 AE3709 AE3710 AE3711 AE3712 AE3713 AE3714 AE3715 AE3716 AE3717 AE3718 AE3719 AE3720 AE3721 AE3722 AE3723 AE3724 AE3725 AE3726 AE3727 AE3728 AE3729 AE3730 AE3731 AE3732 AE3733 AE3734 AE3735 AE3736 AE3737 AE3738 AE3739 AE3740 AE3741 AE3742 AE3743 AE3744 AE3745 AE3746 AE3747 AE3748 AE3749 AE3750 AE3751 AE3752 AE3753 AE3754 AE3755 AE3756 AE3757 AE3758 AE3759 AE3760 AE3761 AE3762 AE3763 AE3764 AE3765 AE3766 AE3767 AE3768 AE3769 AE3770 AE3771 AE3772 AE3773 AE3774 AE3775 AE3776 AE3777 AE3778 AE3779 AE3780 AE3781 AE3782 AE3783 AE3784 AE3785 AE3786 AE3787 AE3788 AE3789 AE3790 AE3791 AE3792 AE3793 AE3794 AE3795 AE3796 AE3797 AE3798 AE3799 AE3800 AE3801 AE3802 AE3803 AE3804 AE3805 AE3806 AE3807 AE3808 AE3809 AE3810 AE3811 AE3812 AE3813 AE3814 AE3815 AE3816 AE3817 AE3818 AE3819 AE3820 AE3821 AE3822 AE3823 AE3824 AE3825 AE3826 AE3827 AE3828 AE3829 AE3830 AE3831 AE3832 AE3833 AE3834 AE3835 AE3836 AE3837 AE3838 AE3839 AE3840 AE3841 AE3842 AE3843 AE3844 AE3845 AE3846 AE3847 AE3848 AE3849 AE3850 AE3851 AE3852 AE3853 AE3854 AE3855 AE3856 AE3857 AE3858 AE3859 AE3860 AE3861 AE3862 AE3863 AE3864 AE3865 AE3866 AE3867 AE3868 AE3869 AE3870 AE3871 AE3872 AE3873 AE3874 AE3875 AE3876 AE3877 AE3878 AE3879 AE3880 AE3881 AE3882 AE3883 AE3884 AE3885 AE3886 AE3887 AE3888 AE3889 AE3890 AE3891 AE3892 AE3893 AE3894 AE3895 AE3896 AE3897 AE3898 AE3899 AE3900 AE3901 AE3902 AE3903 AE3904 AE3905 AE3906 AE3907 AE3908 AE3909 AE3910 AE3911 AE3912 AE3913 AE3914 AE3915 AE3916 AE3917 AE3918 AE3919 AE3920 AE3921 AE3922 AE3923 AE3924 AE3925 AE3926 AE3927 AE3928 AE3929 AE3930 AE3931 AE3932 AE3933 AE3934 AE3935 AE3936 AE3937 AE3938 AE3939 AE3940 AE3941 AE3942 AE3943 AE3944 AE3945 AE3946 AE3947 AE3948 AE3949 AE3950 AE3951 AE3952 AE3953 AE3954 AE3955 AE3956 AE3957 AE3958 AE3959 AE3960 AE3961 AE3962 AE3963 AE3964 AE3965 AE3966 AE3967 AE3968 AE3969 AE3970 AE3971 AE3972 AE3973 AE3974 AE3975 AE3976 AE3977 AE3978 AE3979 AE3980 AE3981 AE3982 AE3983 AE3984 AE3985 AE3986 AE3987 AE3988 AE3989 AE3990 AE3991 AE3992 AE3993 AE3994 AE3995 AE3996 AE3997 AE3998 AE3999 AE4000 AE4001 AE4002 AE4003 AE4004 AE4005 AE4006 AE4007 AE4008 AE4009 AE4010 AE4011 AE4012 AE4013 AE4014 AE4015 AE4016 AE4017 AE4018 AE4019 AE4020 AE4021 AE4022 AE4023 AE4024 AE4025 AE4026 AE4027 AE4028 AE4029 AE4030 AE4031 AE4032 AE4033 AE4034 AE4035 AE4036 AE4037 AE4038 AE4039 AE4040 AE4041 AE4042 AE4043 AE4044 AE4045 AE4046 AE4047 AE4048 AE4049 AE4050 AE4051 AE4052 AE4053 AE4054 AE4055 AE4056 AE4057 AE4058 AE4059 AE4060 AE4061 AE4062 AE4063 AE4064 AE4065 AE4066 AE4067 AE4068 AE4069 AE4070 AE4071 AE4072 AE4073 AE4074 AE4075 AE4076 AE4077 AE4078 AE4079 AE4080 AE4081 AE4082 AE4083 AE4084 AE4085 AE4086 AE4087 AE4088 AE4089 AE4090 AE4091 AE4092 AE4093 AE4094 AE4095 AE4096 AE4097 AE4098 AE4099 AE4100 AE4101 AE4102 AE4103 AE4104 AE4105 AE4106 AE4107 AE4108 AE4109 AE4110 AE4111 AE4112 AE4113 AE4114 AE4115 AE4116 AE4117 AE4118 AE4119 AE4120 AE4121 AE4122 AE4123 AE4124 AE4125 AE4126 AE4127 AE4128 AE4129 AE4130 AE4131 AE4132 AE4133 AE4134 AE4135 AE4136 AE4137 AE4138 AE4139 AE4140 AE4141 AE4142 AE4143 AE4144 AE4145 AE4146 AE4147 AE4148 AE4149 AE4150 AE4151 AE4152 AE4153 AE4154 AE4155 AE4156 AE4157 AE4158 AE4159 AE4160 AE4161 AE4162 AE4163 AE4164 AE4165 AE4166 AE4167 AE4168 AE4169 AE4170 AE4171 AE4172 AE4173 AE4174 AE4175 AE4176 AE4177 AE4178 AE4179 AE4180 AE4181 AE4182 AE4183 AE4184 AE4185 AE4186 AE4187 AE4188 AE4189 AE4190</xm:sqref>
        </x14:dataValidation>
        <x14:dataValidation type="list" allowBlank="1" xr:uid="{00000000-0002-0000-0000-000001000000}">
          <x14:formula1>
            <xm:f>OFFSET(Sheet2!$A$1, MATCH(AE2, Sheet2!$B:$B, 0)-1, 0, COUNTIF(Sheet2!$B:$B, AE2), 1)</xm:f>
          </x14:formula1>
          <xm:sqref>AF2:AF4190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3145"/>
  <sheetViews>
    <sheetView zoomScale="265" zoomScaleNormal="265" workbookViewId="0">
      <pane ySplit="1" topLeftCell="A384" activePane="bottomLeft" state="frozen"/>
      <selection activeCell="B1" sqref="B1"/>
      <selection pane="bottomLeft" activeCell="B3" sqref="B3"/>
    </sheetView>
  </sheetViews>
  <sheetFormatPr defaultRowHeight="15" x14ac:dyDescent="0.25"/>
  <cols>
    <col min="1" max="1" width="29" bestFit="1" customWidth="1"/>
    <col min="2" max="2" width="7.85546875" bestFit="1" customWidth="1"/>
    <col min="3" max="3" width="8.28515625" bestFit="1" customWidth="1"/>
    <col min="4" max="4" width="10" bestFit="1" customWidth="1"/>
    <col min="5" max="5" width="31.28515625" bestFit="1" customWidth="1"/>
    <col min="10" max="10" width="4.140625" bestFit="1" customWidth="1"/>
  </cols>
  <sheetData>
    <row r="1" spans="1:10" x14ac:dyDescent="0.25">
      <c r="A1" t="s">
        <v>31</v>
      </c>
      <c r="B1" t="s">
        <v>30</v>
      </c>
      <c r="C1" t="s">
        <v>6094</v>
      </c>
      <c r="D1" t="s">
        <v>6095</v>
      </c>
      <c r="E1" t="s">
        <v>6096</v>
      </c>
      <c r="J1" t="s">
        <v>6097</v>
      </c>
    </row>
    <row r="2" spans="1:10" hidden="1" x14ac:dyDescent="0.25">
      <c r="A2" t="s">
        <v>6098</v>
      </c>
      <c r="B2" t="s">
        <v>6097</v>
      </c>
      <c r="C2">
        <v>55.366900000000001</v>
      </c>
      <c r="D2">
        <v>-161.98050000000001</v>
      </c>
      <c r="E2" t="s">
        <v>6099</v>
      </c>
      <c r="J2" t="s">
        <v>6100</v>
      </c>
    </row>
    <row r="3" spans="1:10" hidden="1" x14ac:dyDescent="0.25">
      <c r="A3" t="s">
        <v>6101</v>
      </c>
      <c r="B3" t="s">
        <v>6097</v>
      </c>
      <c r="C3">
        <v>52.798499999999997</v>
      </c>
      <c r="D3">
        <v>-106.5633</v>
      </c>
      <c r="E3" t="s">
        <v>6102</v>
      </c>
      <c r="J3" t="s">
        <v>6103</v>
      </c>
    </row>
    <row r="4" spans="1:10" hidden="1" x14ac:dyDescent="0.25">
      <c r="A4" t="s">
        <v>6104</v>
      </c>
      <c r="B4" t="s">
        <v>6097</v>
      </c>
      <c r="C4">
        <v>61.149799999999999</v>
      </c>
      <c r="D4">
        <v>-149.10820000000001</v>
      </c>
      <c r="E4" t="s">
        <v>6105</v>
      </c>
      <c r="J4" t="s">
        <v>6106</v>
      </c>
    </row>
    <row r="5" spans="1:10" hidden="1" x14ac:dyDescent="0.25">
      <c r="A5" t="s">
        <v>6107</v>
      </c>
      <c r="B5" t="s">
        <v>6097</v>
      </c>
      <c r="C5">
        <v>60.913200000000003</v>
      </c>
      <c r="D5">
        <v>-159.8186</v>
      </c>
      <c r="E5" t="s">
        <v>6108</v>
      </c>
      <c r="J5" t="s">
        <v>6109</v>
      </c>
    </row>
    <row r="6" spans="1:10" hidden="1" x14ac:dyDescent="0.25">
      <c r="A6" t="s">
        <v>6110</v>
      </c>
      <c r="B6" t="s">
        <v>6097</v>
      </c>
      <c r="C6">
        <v>58.743099999999998</v>
      </c>
      <c r="D6">
        <v>-156.70150000000001</v>
      </c>
      <c r="E6" t="s">
        <v>6111</v>
      </c>
      <c r="J6" t="s">
        <v>6112</v>
      </c>
    </row>
    <row r="7" spans="1:10" hidden="1" x14ac:dyDescent="0.25">
      <c r="A7" t="s">
        <v>6113</v>
      </c>
      <c r="B7" t="s">
        <v>6097</v>
      </c>
      <c r="C7">
        <v>60.723300000000002</v>
      </c>
      <c r="D7">
        <v>-145.75829999999999</v>
      </c>
      <c r="E7" t="s">
        <v>6114</v>
      </c>
      <c r="J7" t="s">
        <v>6115</v>
      </c>
    </row>
    <row r="8" spans="1:10" hidden="1" x14ac:dyDescent="0.25">
      <c r="A8" t="s">
        <v>6116</v>
      </c>
      <c r="B8" t="s">
        <v>6097</v>
      </c>
      <c r="C8">
        <v>61.8855</v>
      </c>
      <c r="D8">
        <v>-143.97</v>
      </c>
      <c r="E8" t="s">
        <v>6117</v>
      </c>
      <c r="J8" t="s">
        <v>6118</v>
      </c>
    </row>
    <row r="9" spans="1:10" hidden="1" x14ac:dyDescent="0.25">
      <c r="A9" t="s">
        <v>6119</v>
      </c>
      <c r="B9" t="s">
        <v>6097</v>
      </c>
      <c r="C9">
        <v>63.671399999999998</v>
      </c>
      <c r="D9">
        <v>-150.01179999999999</v>
      </c>
      <c r="E9" t="s">
        <v>6120</v>
      </c>
      <c r="J9" t="s">
        <v>6121</v>
      </c>
    </row>
    <row r="10" spans="1:10" hidden="1" x14ac:dyDescent="0.25">
      <c r="A10" t="s">
        <v>6122</v>
      </c>
      <c r="B10" t="s">
        <v>6097</v>
      </c>
      <c r="C10">
        <v>59.8003</v>
      </c>
      <c r="D10">
        <v>-158.2346</v>
      </c>
      <c r="E10" t="s">
        <v>6123</v>
      </c>
      <c r="J10" t="s">
        <v>6124</v>
      </c>
    </row>
    <row r="11" spans="1:10" hidden="1" x14ac:dyDescent="0.25">
      <c r="A11" t="s">
        <v>6125</v>
      </c>
      <c r="B11" t="s">
        <v>6097</v>
      </c>
      <c r="C11">
        <v>64.8078</v>
      </c>
      <c r="D11">
        <v>-146.56540000000001</v>
      </c>
      <c r="E11" t="s">
        <v>6126</v>
      </c>
      <c r="J11" t="s">
        <v>6127</v>
      </c>
    </row>
    <row r="12" spans="1:10" hidden="1" x14ac:dyDescent="0.25">
      <c r="A12" t="s">
        <v>4192</v>
      </c>
      <c r="B12" t="s">
        <v>6097</v>
      </c>
      <c r="C12">
        <v>59.118600000000001</v>
      </c>
      <c r="D12">
        <v>-135.50069999999999</v>
      </c>
      <c r="E12" t="s">
        <v>6128</v>
      </c>
      <c r="J12" t="s">
        <v>6129</v>
      </c>
    </row>
    <row r="13" spans="1:10" hidden="1" x14ac:dyDescent="0.25">
      <c r="A13" t="s">
        <v>6130</v>
      </c>
      <c r="B13" t="s">
        <v>6097</v>
      </c>
      <c r="C13">
        <v>58.286999999999999</v>
      </c>
      <c r="D13">
        <v>-135.63929999999999</v>
      </c>
      <c r="E13" t="s">
        <v>6131</v>
      </c>
      <c r="J13" t="s">
        <v>6132</v>
      </c>
    </row>
    <row r="14" spans="1:10" hidden="1" x14ac:dyDescent="0.25">
      <c r="A14" t="s">
        <v>6133</v>
      </c>
      <c r="B14" t="s">
        <v>6097</v>
      </c>
      <c r="C14">
        <v>58.454999999999998</v>
      </c>
      <c r="D14">
        <v>-134.17339999999999</v>
      </c>
      <c r="E14" t="s">
        <v>6134</v>
      </c>
      <c r="J14" t="s">
        <v>6</v>
      </c>
    </row>
    <row r="15" spans="1:10" hidden="1" x14ac:dyDescent="0.25">
      <c r="A15" t="s">
        <v>6135</v>
      </c>
      <c r="B15" t="s">
        <v>6097</v>
      </c>
      <c r="C15">
        <v>60.2654</v>
      </c>
      <c r="D15">
        <v>-151.5651</v>
      </c>
      <c r="E15" t="s">
        <v>6136</v>
      </c>
      <c r="J15" t="s">
        <v>6137</v>
      </c>
    </row>
    <row r="16" spans="1:10" hidden="1" x14ac:dyDescent="0.25">
      <c r="A16" t="s">
        <v>6138</v>
      </c>
      <c r="B16" t="s">
        <v>6097</v>
      </c>
      <c r="C16">
        <v>55.5852</v>
      </c>
      <c r="D16">
        <v>-130.9282</v>
      </c>
      <c r="E16" t="s">
        <v>6139</v>
      </c>
      <c r="J16" t="s">
        <v>6140</v>
      </c>
    </row>
    <row r="17" spans="1:10" hidden="1" x14ac:dyDescent="0.25">
      <c r="A17" t="s">
        <v>6141</v>
      </c>
      <c r="B17" t="s">
        <v>6097</v>
      </c>
      <c r="C17">
        <v>57.679099999999998</v>
      </c>
      <c r="D17">
        <v>-153.79920000000001</v>
      </c>
      <c r="E17" t="s">
        <v>6142</v>
      </c>
      <c r="J17" t="s">
        <v>6143</v>
      </c>
    </row>
    <row r="18" spans="1:10" hidden="1" x14ac:dyDescent="0.25">
      <c r="A18" t="s">
        <v>6144</v>
      </c>
      <c r="B18" t="s">
        <v>6097</v>
      </c>
      <c r="C18">
        <v>62.154699999999998</v>
      </c>
      <c r="D18">
        <v>-163.38120000000001</v>
      </c>
      <c r="E18" t="s">
        <v>6145</v>
      </c>
      <c r="J18" t="s">
        <v>6146</v>
      </c>
    </row>
    <row r="19" spans="1:10" hidden="1" x14ac:dyDescent="0.25">
      <c r="A19" t="s">
        <v>6147</v>
      </c>
      <c r="B19" t="s">
        <v>6097</v>
      </c>
      <c r="C19">
        <v>58.654800000000002</v>
      </c>
      <c r="D19">
        <v>-156.1891</v>
      </c>
      <c r="E19" t="s">
        <v>6148</v>
      </c>
      <c r="J19" t="s">
        <v>6149</v>
      </c>
    </row>
    <row r="20" spans="1:10" hidden="1" x14ac:dyDescent="0.25">
      <c r="A20" t="s">
        <v>6150</v>
      </c>
      <c r="B20" t="s">
        <v>6097</v>
      </c>
      <c r="C20">
        <v>62.316000000000003</v>
      </c>
      <c r="D20">
        <v>-149.5729</v>
      </c>
      <c r="E20" t="s">
        <v>6151</v>
      </c>
      <c r="J20" t="s">
        <v>6152</v>
      </c>
    </row>
    <row r="21" spans="1:10" hidden="1" x14ac:dyDescent="0.25">
      <c r="A21" t="s">
        <v>6153</v>
      </c>
      <c r="B21" t="s">
        <v>6097</v>
      </c>
      <c r="C21">
        <v>64.911100000000005</v>
      </c>
      <c r="D21">
        <v>-164.0274</v>
      </c>
      <c r="E21" t="s">
        <v>6154</v>
      </c>
      <c r="J21" t="s">
        <v>6155</v>
      </c>
    </row>
    <row r="22" spans="1:10" hidden="1" x14ac:dyDescent="0.25">
      <c r="A22" t="s">
        <v>6156</v>
      </c>
      <c r="B22" t="s">
        <v>6097</v>
      </c>
      <c r="C22">
        <v>69.311899999999994</v>
      </c>
      <c r="D22">
        <v>-153.4813</v>
      </c>
      <c r="E22" t="s">
        <v>6157</v>
      </c>
      <c r="J22" t="s">
        <v>6158</v>
      </c>
    </row>
    <row r="23" spans="1:10" hidden="1" x14ac:dyDescent="0.25">
      <c r="A23" t="s">
        <v>6159</v>
      </c>
      <c r="B23" t="s">
        <v>6097</v>
      </c>
      <c r="C23">
        <v>67.059799999999996</v>
      </c>
      <c r="D23">
        <v>-159.7062</v>
      </c>
      <c r="E23" t="s">
        <v>6160</v>
      </c>
      <c r="J23" t="s">
        <v>6161</v>
      </c>
    </row>
    <row r="24" spans="1:10" hidden="1" x14ac:dyDescent="0.25">
      <c r="A24" t="s">
        <v>3997</v>
      </c>
      <c r="B24" t="s">
        <v>6097</v>
      </c>
      <c r="C24">
        <v>57.120399999999997</v>
      </c>
      <c r="D24">
        <v>-132.934</v>
      </c>
      <c r="E24" t="s">
        <v>6162</v>
      </c>
      <c r="J24" t="s">
        <v>6163</v>
      </c>
    </row>
    <row r="25" spans="1:10" hidden="1" x14ac:dyDescent="0.25">
      <c r="A25" t="s">
        <v>6164</v>
      </c>
      <c r="B25" t="s">
        <v>6097</v>
      </c>
      <c r="C25">
        <v>55.801099999999998</v>
      </c>
      <c r="D25">
        <v>-133.01669999999999</v>
      </c>
      <c r="E25" t="s">
        <v>6165</v>
      </c>
      <c r="J25" t="s">
        <v>6166</v>
      </c>
    </row>
    <row r="26" spans="1:10" hidden="1" x14ac:dyDescent="0.25">
      <c r="A26" t="s">
        <v>6167</v>
      </c>
      <c r="B26" t="s">
        <v>6097</v>
      </c>
      <c r="C26">
        <v>57.242400000000004</v>
      </c>
      <c r="D26">
        <v>-135.31450000000001</v>
      </c>
      <c r="E26" t="s">
        <v>6168</v>
      </c>
      <c r="J26" t="s">
        <v>6169</v>
      </c>
    </row>
    <row r="27" spans="1:10" hidden="1" x14ac:dyDescent="0.25">
      <c r="A27" t="s">
        <v>6170</v>
      </c>
      <c r="B27" t="s">
        <v>6097</v>
      </c>
      <c r="C27">
        <v>59.561399999999999</v>
      </c>
      <c r="D27">
        <v>-135.3382</v>
      </c>
      <c r="E27" t="s">
        <v>6171</v>
      </c>
      <c r="J27" t="s">
        <v>6172</v>
      </c>
    </row>
    <row r="28" spans="1:10" hidden="1" x14ac:dyDescent="0.25">
      <c r="A28" t="s">
        <v>6173</v>
      </c>
      <c r="B28" t="s">
        <v>6097</v>
      </c>
      <c r="C28">
        <v>63.876199999999997</v>
      </c>
      <c r="D28">
        <v>-143.21299999999999</v>
      </c>
      <c r="E28" t="s">
        <v>6174</v>
      </c>
      <c r="J28" t="s">
        <v>6175</v>
      </c>
    </row>
    <row r="29" spans="1:10" hidden="1" x14ac:dyDescent="0.25">
      <c r="A29" t="s">
        <v>6176</v>
      </c>
      <c r="B29" t="s">
        <v>6097</v>
      </c>
      <c r="C29">
        <v>56.332299999999996</v>
      </c>
      <c r="D29">
        <v>-132.02209999999999</v>
      </c>
      <c r="E29" t="s">
        <v>6177</v>
      </c>
      <c r="J29" t="s">
        <v>6178</v>
      </c>
    </row>
    <row r="30" spans="1:10" hidden="1" x14ac:dyDescent="0.25">
      <c r="A30" t="s">
        <v>6179</v>
      </c>
      <c r="B30" t="s">
        <v>6097</v>
      </c>
      <c r="C30">
        <v>59.888800000000003</v>
      </c>
      <c r="D30">
        <v>-140.35749999999999</v>
      </c>
      <c r="E30" t="s">
        <v>6180</v>
      </c>
      <c r="J30" t="s">
        <v>6181</v>
      </c>
    </row>
    <row r="31" spans="1:10" hidden="1" x14ac:dyDescent="0.25">
      <c r="A31" t="s">
        <v>6182</v>
      </c>
      <c r="B31" t="s">
        <v>6097</v>
      </c>
      <c r="C31">
        <v>65.508700000000005</v>
      </c>
      <c r="D31">
        <v>-151.3896</v>
      </c>
      <c r="E31" t="s">
        <v>6183</v>
      </c>
      <c r="J31" t="s">
        <v>6184</v>
      </c>
    </row>
    <row r="32" spans="1:10" hidden="1" x14ac:dyDescent="0.25">
      <c r="A32" t="s">
        <v>6185</v>
      </c>
      <c r="B32" t="s">
        <v>6100</v>
      </c>
      <c r="C32">
        <v>32.5349</v>
      </c>
      <c r="D32">
        <v>-86.642700000000005</v>
      </c>
      <c r="E32" t="s">
        <v>6186</v>
      </c>
      <c r="J32" t="s">
        <v>6187</v>
      </c>
    </row>
    <row r="33" spans="1:10" hidden="1" x14ac:dyDescent="0.25">
      <c r="A33" t="s">
        <v>6188</v>
      </c>
      <c r="B33" t="s">
        <v>6100</v>
      </c>
      <c r="C33">
        <v>30.727699999999999</v>
      </c>
      <c r="D33">
        <v>-87.7226</v>
      </c>
      <c r="E33" t="s">
        <v>6189</v>
      </c>
      <c r="J33" t="s">
        <v>6190</v>
      </c>
    </row>
    <row r="34" spans="1:10" hidden="1" x14ac:dyDescent="0.25">
      <c r="A34" t="s">
        <v>6191</v>
      </c>
      <c r="B34" t="s">
        <v>6100</v>
      </c>
      <c r="C34">
        <v>31.869599999999998</v>
      </c>
      <c r="D34">
        <v>-85.393199999999993</v>
      </c>
      <c r="E34" t="s">
        <v>6192</v>
      </c>
      <c r="J34" t="s">
        <v>6193</v>
      </c>
    </row>
    <row r="35" spans="1:10" hidden="1" x14ac:dyDescent="0.25">
      <c r="A35" t="s">
        <v>6194</v>
      </c>
      <c r="B35" t="s">
        <v>6100</v>
      </c>
      <c r="C35">
        <v>32.998600000000003</v>
      </c>
      <c r="D35">
        <v>-87.126499999999993</v>
      </c>
      <c r="E35" t="s">
        <v>6195</v>
      </c>
      <c r="J35" t="s">
        <v>6196</v>
      </c>
    </row>
    <row r="36" spans="1:10" hidden="1" x14ac:dyDescent="0.25">
      <c r="A36" t="s">
        <v>6197</v>
      </c>
      <c r="B36" t="s">
        <v>6100</v>
      </c>
      <c r="C36">
        <v>33.980899999999998</v>
      </c>
      <c r="D36">
        <v>-86.567400000000006</v>
      </c>
      <c r="E36" t="s">
        <v>6198</v>
      </c>
      <c r="J36" t="s">
        <v>6199</v>
      </c>
    </row>
    <row r="37" spans="1:10" hidden="1" x14ac:dyDescent="0.25">
      <c r="A37" t="s">
        <v>6200</v>
      </c>
      <c r="B37" t="s">
        <v>6100</v>
      </c>
      <c r="C37">
        <v>32.100499999999997</v>
      </c>
      <c r="D37">
        <v>-85.715699999999998</v>
      </c>
      <c r="E37" t="s">
        <v>6201</v>
      </c>
      <c r="J37" t="s">
        <v>6202</v>
      </c>
    </row>
    <row r="38" spans="1:10" hidden="1" x14ac:dyDescent="0.25">
      <c r="A38" t="s">
        <v>4103</v>
      </c>
      <c r="B38" t="s">
        <v>6100</v>
      </c>
      <c r="C38">
        <v>31.752400000000002</v>
      </c>
      <c r="D38">
        <v>-86.680300000000003</v>
      </c>
      <c r="E38" t="s">
        <v>6203</v>
      </c>
      <c r="J38" t="s">
        <v>6204</v>
      </c>
    </row>
    <row r="39" spans="1:10" hidden="1" x14ac:dyDescent="0.25">
      <c r="A39" t="s">
        <v>1505</v>
      </c>
      <c r="B39" t="s">
        <v>6100</v>
      </c>
      <c r="C39">
        <v>33.7714</v>
      </c>
      <c r="D39">
        <v>-85.825999999999993</v>
      </c>
      <c r="E39" t="s">
        <v>6205</v>
      </c>
      <c r="J39" t="s">
        <v>6206</v>
      </c>
    </row>
    <row r="40" spans="1:10" hidden="1" x14ac:dyDescent="0.25">
      <c r="A40" t="s">
        <v>6207</v>
      </c>
      <c r="B40" t="s">
        <v>6100</v>
      </c>
      <c r="C40">
        <v>32.914299999999997</v>
      </c>
      <c r="D40">
        <v>-85.391999999999996</v>
      </c>
      <c r="E40" t="s">
        <v>6208</v>
      </c>
      <c r="J40" t="s">
        <v>6209</v>
      </c>
    </row>
    <row r="41" spans="1:10" hidden="1" x14ac:dyDescent="0.25">
      <c r="A41" t="s">
        <v>6210</v>
      </c>
      <c r="B41" t="s">
        <v>6100</v>
      </c>
      <c r="C41">
        <v>34.175899999999999</v>
      </c>
      <c r="D41">
        <v>-85.603800000000007</v>
      </c>
      <c r="E41" t="s">
        <v>6211</v>
      </c>
      <c r="J41" t="s">
        <v>6212</v>
      </c>
    </row>
    <row r="42" spans="1:10" hidden="1" x14ac:dyDescent="0.25">
      <c r="A42" t="s">
        <v>6213</v>
      </c>
      <c r="B42" t="s">
        <v>6100</v>
      </c>
      <c r="C42">
        <v>32.847900000000003</v>
      </c>
      <c r="D42">
        <v>-86.718800000000002</v>
      </c>
      <c r="E42" t="s">
        <v>6214</v>
      </c>
      <c r="J42" t="s">
        <v>6215</v>
      </c>
    </row>
    <row r="43" spans="1:10" hidden="1" x14ac:dyDescent="0.25">
      <c r="A43" t="s">
        <v>6216</v>
      </c>
      <c r="B43" t="s">
        <v>6100</v>
      </c>
      <c r="C43">
        <v>32.019799999999996</v>
      </c>
      <c r="D43">
        <v>-88.263199999999998</v>
      </c>
      <c r="E43" t="s">
        <v>6217</v>
      </c>
      <c r="J43" t="s">
        <v>6218</v>
      </c>
    </row>
    <row r="44" spans="1:10" hidden="1" x14ac:dyDescent="0.25">
      <c r="A44" t="s">
        <v>5280</v>
      </c>
      <c r="B44" t="s">
        <v>6100</v>
      </c>
      <c r="C44">
        <v>31.6767</v>
      </c>
      <c r="D44">
        <v>-87.830799999999996</v>
      </c>
      <c r="E44" t="s">
        <v>6219</v>
      </c>
      <c r="J44" t="s">
        <v>6220</v>
      </c>
    </row>
    <row r="45" spans="1:10" hidden="1" x14ac:dyDescent="0.25">
      <c r="A45" t="s">
        <v>6221</v>
      </c>
      <c r="B45" t="s">
        <v>6100</v>
      </c>
      <c r="C45">
        <v>33.268999999999998</v>
      </c>
      <c r="D45">
        <v>-85.860500000000002</v>
      </c>
      <c r="E45" t="s">
        <v>6222</v>
      </c>
      <c r="J45" t="s">
        <v>6223</v>
      </c>
    </row>
    <row r="46" spans="1:10" hidden="1" x14ac:dyDescent="0.25">
      <c r="A46" t="s">
        <v>6224</v>
      </c>
      <c r="B46" t="s">
        <v>6100</v>
      </c>
      <c r="C46">
        <v>33.674500000000002</v>
      </c>
      <c r="D46">
        <v>-85.518799999999999</v>
      </c>
      <c r="E46" t="s">
        <v>6225</v>
      </c>
      <c r="J46" t="s">
        <v>6226</v>
      </c>
    </row>
    <row r="47" spans="1:10" hidden="1" x14ac:dyDescent="0.25">
      <c r="A47" t="s">
        <v>6227</v>
      </c>
      <c r="B47" t="s">
        <v>6100</v>
      </c>
      <c r="C47">
        <v>31.402699999999999</v>
      </c>
      <c r="D47">
        <v>-85.988200000000006</v>
      </c>
      <c r="E47" t="s">
        <v>6228</v>
      </c>
      <c r="J47" t="s">
        <v>6229</v>
      </c>
    </row>
    <row r="48" spans="1:10" hidden="1" x14ac:dyDescent="0.25">
      <c r="A48" t="s">
        <v>6230</v>
      </c>
      <c r="B48" t="s">
        <v>6100</v>
      </c>
      <c r="C48">
        <v>34.700499999999998</v>
      </c>
      <c r="D48">
        <v>-87.804900000000004</v>
      </c>
      <c r="E48" t="s">
        <v>6231</v>
      </c>
      <c r="J48" t="s">
        <v>6232</v>
      </c>
    </row>
    <row r="49" spans="1:10" hidden="1" x14ac:dyDescent="0.25">
      <c r="A49" t="s">
        <v>6233</v>
      </c>
      <c r="B49" t="s">
        <v>6100</v>
      </c>
      <c r="C49">
        <v>31.429200000000002</v>
      </c>
      <c r="D49">
        <v>-86.993700000000004</v>
      </c>
      <c r="E49" t="s">
        <v>6234</v>
      </c>
      <c r="J49" t="s">
        <v>6235</v>
      </c>
    </row>
    <row r="50" spans="1:10" hidden="1" x14ac:dyDescent="0.25">
      <c r="A50" t="s">
        <v>6236</v>
      </c>
      <c r="B50" t="s">
        <v>6100</v>
      </c>
      <c r="C50">
        <v>32.936199999999999</v>
      </c>
      <c r="D50">
        <v>-86.247699999999995</v>
      </c>
      <c r="E50" t="s">
        <v>6237</v>
      </c>
      <c r="J50" t="s">
        <v>6238</v>
      </c>
    </row>
    <row r="51" spans="1:10" hidden="1" x14ac:dyDescent="0.25">
      <c r="A51" t="s">
        <v>6239</v>
      </c>
      <c r="B51" t="s">
        <v>6100</v>
      </c>
      <c r="C51">
        <v>31.2485</v>
      </c>
      <c r="D51">
        <v>-86.451300000000003</v>
      </c>
      <c r="E51" t="s">
        <v>6240</v>
      </c>
      <c r="J51" t="s">
        <v>6241</v>
      </c>
    </row>
    <row r="52" spans="1:10" hidden="1" x14ac:dyDescent="0.25">
      <c r="A52" t="s">
        <v>6242</v>
      </c>
      <c r="B52" t="s">
        <v>6100</v>
      </c>
      <c r="C52">
        <v>31.7315</v>
      </c>
      <c r="D52">
        <v>-86.313599999999994</v>
      </c>
      <c r="E52" t="s">
        <v>6243</v>
      </c>
    </row>
    <row r="53" spans="1:10" hidden="1" x14ac:dyDescent="0.25">
      <c r="A53" t="s">
        <v>6244</v>
      </c>
      <c r="B53" t="s">
        <v>6100</v>
      </c>
      <c r="C53">
        <v>34.131900000000002</v>
      </c>
      <c r="D53">
        <v>-86.867599999999996</v>
      </c>
      <c r="E53" t="s">
        <v>6245</v>
      </c>
    </row>
    <row r="54" spans="1:10" hidden="1" x14ac:dyDescent="0.25">
      <c r="A54" t="s">
        <v>6246</v>
      </c>
      <c r="B54" t="s">
        <v>6100</v>
      </c>
      <c r="C54">
        <v>31.431799999999999</v>
      </c>
      <c r="D54">
        <v>-85.611000000000004</v>
      </c>
      <c r="E54" t="s">
        <v>6247</v>
      </c>
    </row>
    <row r="55" spans="1:10" hidden="1" x14ac:dyDescent="0.25">
      <c r="A55" t="s">
        <v>6248</v>
      </c>
      <c r="B55" t="s">
        <v>6100</v>
      </c>
      <c r="C55">
        <v>32.326000000000001</v>
      </c>
      <c r="D55">
        <v>-87.106499999999997</v>
      </c>
      <c r="E55" t="s">
        <v>6249</v>
      </c>
    </row>
    <row r="56" spans="1:10" hidden="1" x14ac:dyDescent="0.25">
      <c r="A56" t="s">
        <v>6250</v>
      </c>
      <c r="B56" t="s">
        <v>6100</v>
      </c>
      <c r="C56">
        <v>34.459800000000001</v>
      </c>
      <c r="D56">
        <v>-85.804100000000005</v>
      </c>
      <c r="E56" t="s">
        <v>6251</v>
      </c>
    </row>
    <row r="57" spans="1:10" hidden="1" x14ac:dyDescent="0.25">
      <c r="A57" t="s">
        <v>6252</v>
      </c>
      <c r="B57" t="s">
        <v>6100</v>
      </c>
      <c r="C57">
        <v>32.596600000000002</v>
      </c>
      <c r="D57">
        <v>-86.149199999999993</v>
      </c>
      <c r="E57" t="s">
        <v>6253</v>
      </c>
    </row>
    <row r="58" spans="1:10" hidden="1" x14ac:dyDescent="0.25">
      <c r="A58" t="s">
        <v>6254</v>
      </c>
      <c r="B58" t="s">
        <v>6100</v>
      </c>
      <c r="C58">
        <v>31.126100000000001</v>
      </c>
      <c r="D58">
        <v>-87.161500000000004</v>
      </c>
      <c r="E58" t="s">
        <v>6255</v>
      </c>
    </row>
    <row r="59" spans="1:10" hidden="1" x14ac:dyDescent="0.25">
      <c r="A59" t="s">
        <v>6256</v>
      </c>
      <c r="B59" t="s">
        <v>6100</v>
      </c>
      <c r="C59">
        <v>34.045299999999997</v>
      </c>
      <c r="D59">
        <v>-86.034800000000004</v>
      </c>
      <c r="E59" t="s">
        <v>6257</v>
      </c>
    </row>
    <row r="60" spans="1:10" hidden="1" x14ac:dyDescent="0.25">
      <c r="A60" t="s">
        <v>6258</v>
      </c>
      <c r="B60" t="s">
        <v>6100</v>
      </c>
      <c r="C60">
        <v>33.721200000000003</v>
      </c>
      <c r="D60">
        <v>-87.738799999999998</v>
      </c>
      <c r="E60" t="s">
        <v>6259</v>
      </c>
    </row>
    <row r="61" spans="1:10" hidden="1" x14ac:dyDescent="0.25">
      <c r="A61" t="s">
        <v>6260</v>
      </c>
      <c r="B61" t="s">
        <v>6100</v>
      </c>
      <c r="C61">
        <v>34.441699999999997</v>
      </c>
      <c r="D61">
        <v>-87.843699999999998</v>
      </c>
      <c r="E61" t="s">
        <v>6261</v>
      </c>
    </row>
    <row r="62" spans="1:10" hidden="1" x14ac:dyDescent="0.25">
      <c r="A62" t="s">
        <v>6262</v>
      </c>
      <c r="B62" t="s">
        <v>6100</v>
      </c>
      <c r="C62">
        <v>31.094999999999999</v>
      </c>
      <c r="D62">
        <v>-85.839100000000002</v>
      </c>
      <c r="E62" t="s">
        <v>6263</v>
      </c>
    </row>
    <row r="63" spans="1:10" hidden="1" x14ac:dyDescent="0.25">
      <c r="A63" t="s">
        <v>6264</v>
      </c>
      <c r="B63" t="s">
        <v>6100</v>
      </c>
      <c r="C63">
        <v>32.853099999999998</v>
      </c>
      <c r="D63">
        <v>-87.952200000000005</v>
      </c>
      <c r="E63" t="s">
        <v>6265</v>
      </c>
    </row>
    <row r="64" spans="1:10" hidden="1" x14ac:dyDescent="0.25">
      <c r="A64" t="s">
        <v>6266</v>
      </c>
      <c r="B64" t="s">
        <v>6100</v>
      </c>
      <c r="C64">
        <v>32.762700000000002</v>
      </c>
      <c r="D64">
        <v>-87.629099999999994</v>
      </c>
      <c r="E64" t="s">
        <v>6267</v>
      </c>
    </row>
    <row r="65" spans="1:5" hidden="1" x14ac:dyDescent="0.25">
      <c r="A65" t="s">
        <v>334</v>
      </c>
      <c r="B65" t="s">
        <v>6100</v>
      </c>
      <c r="C65">
        <v>31.514700000000001</v>
      </c>
      <c r="D65">
        <v>-85.241399999999999</v>
      </c>
      <c r="E65" t="s">
        <v>6268</v>
      </c>
    </row>
    <row r="66" spans="1:5" hidden="1" x14ac:dyDescent="0.25">
      <c r="A66" t="s">
        <v>6269</v>
      </c>
      <c r="B66" t="s">
        <v>6100</v>
      </c>
      <c r="C66">
        <v>31.153199999999998</v>
      </c>
      <c r="D66">
        <v>-85.302499999999995</v>
      </c>
      <c r="E66" t="s">
        <v>6270</v>
      </c>
    </row>
    <row r="67" spans="1:5" hidden="1" x14ac:dyDescent="0.25">
      <c r="A67" t="s">
        <v>191</v>
      </c>
      <c r="B67" t="s">
        <v>6100</v>
      </c>
      <c r="C67">
        <v>34.779499999999999</v>
      </c>
      <c r="D67">
        <v>-85.999300000000005</v>
      </c>
      <c r="E67" t="s">
        <v>6271</v>
      </c>
    </row>
    <row r="68" spans="1:5" hidden="1" x14ac:dyDescent="0.25">
      <c r="A68" t="s">
        <v>6272</v>
      </c>
      <c r="B68" t="s">
        <v>6100</v>
      </c>
      <c r="C68">
        <v>33.554299999999998</v>
      </c>
      <c r="D68">
        <v>-86.8964</v>
      </c>
      <c r="E68" t="s">
        <v>6273</v>
      </c>
    </row>
    <row r="69" spans="1:5" hidden="1" x14ac:dyDescent="0.25">
      <c r="A69" t="s">
        <v>6274</v>
      </c>
      <c r="B69" t="s">
        <v>6100</v>
      </c>
      <c r="C69">
        <v>33.7791</v>
      </c>
      <c r="D69">
        <v>-88.096900000000005</v>
      </c>
      <c r="E69" t="s">
        <v>6275</v>
      </c>
    </row>
    <row r="70" spans="1:5" hidden="1" x14ac:dyDescent="0.25">
      <c r="A70" t="s">
        <v>6276</v>
      </c>
      <c r="B70" t="s">
        <v>6100</v>
      </c>
      <c r="C70">
        <v>34.901400000000002</v>
      </c>
      <c r="D70">
        <v>-87.653999999999996</v>
      </c>
      <c r="E70" t="s">
        <v>6277</v>
      </c>
    </row>
    <row r="71" spans="1:5" hidden="1" x14ac:dyDescent="0.25">
      <c r="A71" t="s">
        <v>492</v>
      </c>
      <c r="B71" t="s">
        <v>6100</v>
      </c>
      <c r="C71">
        <v>34.521700000000003</v>
      </c>
      <c r="D71">
        <v>-87.311000000000007</v>
      </c>
      <c r="E71" t="s">
        <v>6278</v>
      </c>
    </row>
    <row r="72" spans="1:5" hidden="1" x14ac:dyDescent="0.25">
      <c r="A72" t="s">
        <v>2353</v>
      </c>
      <c r="B72" t="s">
        <v>6100</v>
      </c>
      <c r="C72">
        <v>32.601100000000002</v>
      </c>
      <c r="D72">
        <v>-85.355500000000006</v>
      </c>
      <c r="E72" t="s">
        <v>6279</v>
      </c>
    </row>
    <row r="73" spans="1:5" hidden="1" x14ac:dyDescent="0.25">
      <c r="A73" t="s">
        <v>6280</v>
      </c>
      <c r="B73" t="s">
        <v>6100</v>
      </c>
      <c r="C73">
        <v>34.810099999999998</v>
      </c>
      <c r="D73">
        <v>-86.981399999999994</v>
      </c>
      <c r="E73" t="s">
        <v>6281</v>
      </c>
    </row>
    <row r="74" spans="1:5" hidden="1" x14ac:dyDescent="0.25">
      <c r="A74" t="s">
        <v>6282</v>
      </c>
      <c r="B74" t="s">
        <v>6100</v>
      </c>
      <c r="C74">
        <v>32.154699999999998</v>
      </c>
      <c r="D74">
        <v>-86.650099999999995</v>
      </c>
      <c r="E74" t="s">
        <v>6283</v>
      </c>
    </row>
    <row r="75" spans="1:5" hidden="1" x14ac:dyDescent="0.25">
      <c r="A75" t="s">
        <v>6284</v>
      </c>
      <c r="B75" t="s">
        <v>6100</v>
      </c>
      <c r="C75">
        <v>32.385899999999999</v>
      </c>
      <c r="D75">
        <v>-85.692700000000002</v>
      </c>
      <c r="E75" t="s">
        <v>6285</v>
      </c>
    </row>
    <row r="76" spans="1:5" hidden="1" x14ac:dyDescent="0.25">
      <c r="A76" t="s">
        <v>6286</v>
      </c>
      <c r="B76" t="s">
        <v>6100</v>
      </c>
      <c r="C76">
        <v>34.763100000000001</v>
      </c>
      <c r="D76">
        <v>-86.550200000000004</v>
      </c>
      <c r="E76" t="s">
        <v>6287</v>
      </c>
    </row>
    <row r="77" spans="1:5" hidden="1" x14ac:dyDescent="0.25">
      <c r="A77" t="s">
        <v>6288</v>
      </c>
      <c r="B77" t="s">
        <v>6100</v>
      </c>
      <c r="C77">
        <v>32.247700000000002</v>
      </c>
      <c r="D77">
        <v>-87.789500000000004</v>
      </c>
      <c r="E77" t="s">
        <v>6289</v>
      </c>
    </row>
    <row r="78" spans="1:5" hidden="1" x14ac:dyDescent="0.25">
      <c r="A78" t="s">
        <v>6290</v>
      </c>
      <c r="B78" t="s">
        <v>6100</v>
      </c>
      <c r="C78">
        <v>34.136600000000001</v>
      </c>
      <c r="D78">
        <v>-87.887100000000004</v>
      </c>
      <c r="E78" t="s">
        <v>6291</v>
      </c>
    </row>
    <row r="79" spans="1:5" hidden="1" x14ac:dyDescent="0.25">
      <c r="A79" t="s">
        <v>1391</v>
      </c>
      <c r="B79" t="s">
        <v>6100</v>
      </c>
      <c r="C79">
        <v>34.366999999999997</v>
      </c>
      <c r="D79">
        <v>-86.306600000000003</v>
      </c>
      <c r="E79" t="s">
        <v>6292</v>
      </c>
    </row>
    <row r="80" spans="1:5" hidden="1" x14ac:dyDescent="0.25">
      <c r="A80" t="s">
        <v>6293</v>
      </c>
      <c r="B80" t="s">
        <v>6100</v>
      </c>
      <c r="C80">
        <v>30.787700000000001</v>
      </c>
      <c r="D80">
        <v>-88.205799999999996</v>
      </c>
      <c r="E80" t="s">
        <v>6294</v>
      </c>
    </row>
    <row r="81" spans="1:5" hidden="1" x14ac:dyDescent="0.25">
      <c r="A81" t="s">
        <v>6295</v>
      </c>
      <c r="B81" t="s">
        <v>6100</v>
      </c>
      <c r="C81">
        <v>31.570900000000002</v>
      </c>
      <c r="D81">
        <v>-87.365399999999994</v>
      </c>
      <c r="E81" t="s">
        <v>6296</v>
      </c>
    </row>
    <row r="82" spans="1:5" hidden="1" x14ac:dyDescent="0.25">
      <c r="A82" t="s">
        <v>6297</v>
      </c>
      <c r="B82" t="s">
        <v>6100</v>
      </c>
      <c r="C82">
        <v>32.220300000000002</v>
      </c>
      <c r="D82">
        <v>-86.207599999999999</v>
      </c>
      <c r="E82" t="s">
        <v>6298</v>
      </c>
    </row>
    <row r="83" spans="1:5" hidden="1" x14ac:dyDescent="0.25">
      <c r="A83" t="s">
        <v>496</v>
      </c>
      <c r="B83" t="s">
        <v>6100</v>
      </c>
      <c r="C83">
        <v>34.453499999999998</v>
      </c>
      <c r="D83">
        <v>-86.852900000000005</v>
      </c>
      <c r="E83" t="s">
        <v>6299</v>
      </c>
    </row>
    <row r="84" spans="1:5" hidden="1" x14ac:dyDescent="0.25">
      <c r="A84" t="s">
        <v>1641</v>
      </c>
      <c r="B84" t="s">
        <v>6100</v>
      </c>
      <c r="C84">
        <v>32.638500000000001</v>
      </c>
      <c r="D84">
        <v>-87.294399999999996</v>
      </c>
      <c r="E84" t="s">
        <v>6300</v>
      </c>
    </row>
    <row r="85" spans="1:5" hidden="1" x14ac:dyDescent="0.25">
      <c r="A85" t="s">
        <v>6301</v>
      </c>
      <c r="B85" t="s">
        <v>6100</v>
      </c>
      <c r="C85">
        <v>33.280799999999999</v>
      </c>
      <c r="D85">
        <v>-88.088700000000003</v>
      </c>
      <c r="E85" t="s">
        <v>6302</v>
      </c>
    </row>
    <row r="86" spans="1:5" hidden="1" x14ac:dyDescent="0.25">
      <c r="A86" t="s">
        <v>6303</v>
      </c>
      <c r="B86" t="s">
        <v>6100</v>
      </c>
      <c r="C86">
        <v>31.802700000000002</v>
      </c>
      <c r="D86">
        <v>-85.940899999999999</v>
      </c>
      <c r="E86" t="s">
        <v>6304</v>
      </c>
    </row>
    <row r="87" spans="1:5" hidden="1" x14ac:dyDescent="0.25">
      <c r="A87" t="s">
        <v>6305</v>
      </c>
      <c r="B87" t="s">
        <v>6100</v>
      </c>
      <c r="C87">
        <v>33.293799999999997</v>
      </c>
      <c r="D87">
        <v>-85.459100000000007</v>
      </c>
      <c r="E87" t="s">
        <v>6306</v>
      </c>
    </row>
    <row r="88" spans="1:5" hidden="1" x14ac:dyDescent="0.25">
      <c r="A88" t="s">
        <v>6307</v>
      </c>
      <c r="B88" t="s">
        <v>6100</v>
      </c>
      <c r="C88">
        <v>32.288400000000003</v>
      </c>
      <c r="D88">
        <v>-85.184899999999999</v>
      </c>
      <c r="E88" t="s">
        <v>6308</v>
      </c>
    </row>
    <row r="89" spans="1:5" hidden="1" x14ac:dyDescent="0.25">
      <c r="A89" t="s">
        <v>6309</v>
      </c>
      <c r="B89" t="s">
        <v>6100</v>
      </c>
      <c r="C89">
        <v>33.264299999999999</v>
      </c>
      <c r="D89">
        <v>-86.660700000000006</v>
      </c>
      <c r="E89" t="s">
        <v>6310</v>
      </c>
    </row>
    <row r="90" spans="1:5" hidden="1" x14ac:dyDescent="0.25">
      <c r="A90" t="s">
        <v>6311</v>
      </c>
      <c r="B90" t="s">
        <v>6100</v>
      </c>
      <c r="C90">
        <v>33.715699999999998</v>
      </c>
      <c r="D90">
        <v>-86.314599999999999</v>
      </c>
      <c r="E90" t="s">
        <v>6312</v>
      </c>
    </row>
    <row r="91" spans="1:5" hidden="1" x14ac:dyDescent="0.25">
      <c r="A91" t="s">
        <v>6313</v>
      </c>
      <c r="B91" t="s">
        <v>6100</v>
      </c>
      <c r="C91">
        <v>32.591099999999997</v>
      </c>
      <c r="D91">
        <v>-88.198800000000006</v>
      </c>
      <c r="E91" t="s">
        <v>6314</v>
      </c>
    </row>
    <row r="92" spans="1:5" hidden="1" x14ac:dyDescent="0.25">
      <c r="A92" t="s">
        <v>6315</v>
      </c>
      <c r="B92" t="s">
        <v>6100</v>
      </c>
      <c r="C92">
        <v>33.380099999999999</v>
      </c>
      <c r="D92">
        <v>-86.165899999999993</v>
      </c>
      <c r="E92" t="s">
        <v>6316</v>
      </c>
    </row>
    <row r="93" spans="1:5" hidden="1" x14ac:dyDescent="0.25">
      <c r="A93" t="s">
        <v>6317</v>
      </c>
      <c r="B93" t="s">
        <v>6100</v>
      </c>
      <c r="C93">
        <v>32.862400000000001</v>
      </c>
      <c r="D93">
        <v>-85.797499999999999</v>
      </c>
      <c r="E93" t="s">
        <v>6318</v>
      </c>
    </row>
    <row r="94" spans="1:5" hidden="1" x14ac:dyDescent="0.25">
      <c r="A94" t="s">
        <v>6319</v>
      </c>
      <c r="B94" t="s">
        <v>6100</v>
      </c>
      <c r="C94">
        <v>33.2896</v>
      </c>
      <c r="D94">
        <v>-87.525099999999995</v>
      </c>
      <c r="E94" t="s">
        <v>6320</v>
      </c>
    </row>
    <row r="95" spans="1:5" hidden="1" x14ac:dyDescent="0.25">
      <c r="A95" t="s">
        <v>246</v>
      </c>
      <c r="B95" t="s">
        <v>6100</v>
      </c>
      <c r="C95">
        <v>33.8033</v>
      </c>
      <c r="D95">
        <v>-87.297300000000007</v>
      </c>
      <c r="E95" t="s">
        <v>6321</v>
      </c>
    </row>
    <row r="96" spans="1:5" hidden="1" x14ac:dyDescent="0.25">
      <c r="A96" t="s">
        <v>3052</v>
      </c>
      <c r="B96" t="s">
        <v>6100</v>
      </c>
      <c r="C96">
        <v>31.407599999999999</v>
      </c>
      <c r="D96">
        <v>-88.207899999999995</v>
      </c>
      <c r="E96" t="s">
        <v>6322</v>
      </c>
    </row>
    <row r="97" spans="1:5" hidden="1" x14ac:dyDescent="0.25">
      <c r="A97" t="s">
        <v>6323</v>
      </c>
      <c r="B97" t="s">
        <v>6100</v>
      </c>
      <c r="C97">
        <v>31.9893</v>
      </c>
      <c r="D97">
        <v>-87.308199999999999</v>
      </c>
      <c r="E97" t="s">
        <v>6324</v>
      </c>
    </row>
    <row r="98" spans="1:5" hidden="1" x14ac:dyDescent="0.25">
      <c r="A98" t="s">
        <v>6325</v>
      </c>
      <c r="B98" t="s">
        <v>6100</v>
      </c>
      <c r="C98">
        <v>34.1492</v>
      </c>
      <c r="D98">
        <v>-87.373699999999999</v>
      </c>
      <c r="E98" t="s">
        <v>6326</v>
      </c>
    </row>
    <row r="99" spans="1:5" hidden="1" x14ac:dyDescent="0.25">
      <c r="A99" t="s">
        <v>6327</v>
      </c>
      <c r="B99" t="s">
        <v>6103</v>
      </c>
      <c r="C99">
        <v>34.289200000000001</v>
      </c>
      <c r="D99">
        <v>-91.374200000000002</v>
      </c>
      <c r="E99" t="s">
        <v>6328</v>
      </c>
    </row>
    <row r="100" spans="1:5" hidden="1" x14ac:dyDescent="0.25">
      <c r="A100" t="s">
        <v>6329</v>
      </c>
      <c r="B100" t="s">
        <v>6103</v>
      </c>
      <c r="C100">
        <v>33.191200000000002</v>
      </c>
      <c r="D100">
        <v>-91.768500000000003</v>
      </c>
      <c r="E100" t="s">
        <v>6330</v>
      </c>
    </row>
    <row r="101" spans="1:5" hidden="1" x14ac:dyDescent="0.25">
      <c r="A101" t="s">
        <v>6331</v>
      </c>
      <c r="B101" t="s">
        <v>6103</v>
      </c>
      <c r="C101">
        <v>36.287199999999999</v>
      </c>
      <c r="D101">
        <v>-92.3369</v>
      </c>
      <c r="E101" t="s">
        <v>6332</v>
      </c>
    </row>
    <row r="102" spans="1:5" hidden="1" x14ac:dyDescent="0.25">
      <c r="A102" t="s">
        <v>6333</v>
      </c>
      <c r="B102" t="s">
        <v>6103</v>
      </c>
      <c r="C102">
        <v>36.338700000000003</v>
      </c>
      <c r="D102">
        <v>-94.256100000000004</v>
      </c>
      <c r="E102" t="s">
        <v>6334</v>
      </c>
    </row>
    <row r="103" spans="1:5" hidden="1" x14ac:dyDescent="0.25">
      <c r="A103" t="s">
        <v>6335</v>
      </c>
      <c r="B103" t="s">
        <v>6103</v>
      </c>
      <c r="C103">
        <v>36.308599999999998</v>
      </c>
      <c r="D103">
        <v>-93.091499999999996</v>
      </c>
      <c r="E103" t="s">
        <v>6336</v>
      </c>
    </row>
    <row r="104" spans="1:5" hidden="1" x14ac:dyDescent="0.25">
      <c r="A104" t="s">
        <v>6337</v>
      </c>
      <c r="B104" t="s">
        <v>6103</v>
      </c>
      <c r="C104">
        <v>33.4664</v>
      </c>
      <c r="D104">
        <v>-92.162400000000005</v>
      </c>
      <c r="E104" t="s">
        <v>6338</v>
      </c>
    </row>
    <row r="105" spans="1:5" hidden="1" x14ac:dyDescent="0.25">
      <c r="A105" t="s">
        <v>1505</v>
      </c>
      <c r="B105" t="s">
        <v>6103</v>
      </c>
      <c r="C105">
        <v>33.558100000000003</v>
      </c>
      <c r="D105">
        <v>-92.503</v>
      </c>
      <c r="E105" t="s">
        <v>6339</v>
      </c>
    </row>
    <row r="106" spans="1:5" hidden="1" x14ac:dyDescent="0.25">
      <c r="A106" t="s">
        <v>6340</v>
      </c>
      <c r="B106" t="s">
        <v>6103</v>
      </c>
      <c r="C106">
        <v>36.341000000000001</v>
      </c>
      <c r="D106">
        <v>-93.538200000000003</v>
      </c>
      <c r="E106" t="s">
        <v>6341</v>
      </c>
    </row>
    <row r="107" spans="1:5" hidden="1" x14ac:dyDescent="0.25">
      <c r="A107" t="s">
        <v>6342</v>
      </c>
      <c r="B107" t="s">
        <v>6103</v>
      </c>
      <c r="C107">
        <v>33.267000000000003</v>
      </c>
      <c r="D107">
        <v>-91.293700000000001</v>
      </c>
      <c r="E107" t="s">
        <v>6343</v>
      </c>
    </row>
    <row r="108" spans="1:5" hidden="1" x14ac:dyDescent="0.25">
      <c r="A108" t="s">
        <v>174</v>
      </c>
      <c r="B108" t="s">
        <v>6103</v>
      </c>
      <c r="C108">
        <v>34.051000000000002</v>
      </c>
      <c r="D108">
        <v>-93.176400000000001</v>
      </c>
      <c r="E108" t="s">
        <v>6344</v>
      </c>
    </row>
    <row r="109" spans="1:5" hidden="1" x14ac:dyDescent="0.25">
      <c r="A109" t="s">
        <v>6221</v>
      </c>
      <c r="B109" t="s">
        <v>6103</v>
      </c>
      <c r="C109">
        <v>36.368299999999998</v>
      </c>
      <c r="D109">
        <v>-90.417299999999997</v>
      </c>
      <c r="E109" t="s">
        <v>6345</v>
      </c>
    </row>
    <row r="110" spans="1:5" hidden="1" x14ac:dyDescent="0.25">
      <c r="A110" t="s">
        <v>6224</v>
      </c>
      <c r="B110" t="s">
        <v>6103</v>
      </c>
      <c r="C110">
        <v>35.538200000000003</v>
      </c>
      <c r="D110">
        <v>-92.026700000000005</v>
      </c>
      <c r="E110" t="s">
        <v>6346</v>
      </c>
    </row>
    <row r="111" spans="1:5" hidden="1" x14ac:dyDescent="0.25">
      <c r="A111" t="s">
        <v>6347</v>
      </c>
      <c r="B111" t="s">
        <v>6103</v>
      </c>
      <c r="C111">
        <v>33.898400000000002</v>
      </c>
      <c r="D111">
        <v>-92.185199999999995</v>
      </c>
      <c r="E111" t="s">
        <v>6348</v>
      </c>
    </row>
    <row r="112" spans="1:5" hidden="1" x14ac:dyDescent="0.25">
      <c r="A112" t="s">
        <v>6349</v>
      </c>
      <c r="B112" t="s">
        <v>6103</v>
      </c>
      <c r="C112">
        <v>33.214300000000001</v>
      </c>
      <c r="D112">
        <v>-93.2273</v>
      </c>
      <c r="E112" t="s">
        <v>6350</v>
      </c>
    </row>
    <row r="113" spans="1:5" hidden="1" x14ac:dyDescent="0.25">
      <c r="A113" t="s">
        <v>4662</v>
      </c>
      <c r="B113" t="s">
        <v>6103</v>
      </c>
      <c r="C113">
        <v>35.2624</v>
      </c>
      <c r="D113">
        <v>-92.701400000000007</v>
      </c>
      <c r="E113" t="s">
        <v>6351</v>
      </c>
    </row>
    <row r="114" spans="1:5" hidden="1" x14ac:dyDescent="0.25">
      <c r="A114" t="s">
        <v>6352</v>
      </c>
      <c r="B114" t="s">
        <v>6103</v>
      </c>
      <c r="C114">
        <v>35.830800000000004</v>
      </c>
      <c r="D114">
        <v>-90.632800000000003</v>
      </c>
      <c r="E114" t="s">
        <v>6353</v>
      </c>
    </row>
    <row r="115" spans="1:5" hidden="1" x14ac:dyDescent="0.25">
      <c r="A115" t="s">
        <v>3776</v>
      </c>
      <c r="B115" t="s">
        <v>6103</v>
      </c>
      <c r="C115">
        <v>35.588099999999997</v>
      </c>
      <c r="D115">
        <v>-94.242800000000003</v>
      </c>
      <c r="E115" t="s">
        <v>6354</v>
      </c>
    </row>
    <row r="116" spans="1:5" hidden="1" x14ac:dyDescent="0.25">
      <c r="A116" t="s">
        <v>6355</v>
      </c>
      <c r="B116" t="s">
        <v>6103</v>
      </c>
      <c r="C116">
        <v>35.2057</v>
      </c>
      <c r="D116">
        <v>-90.3078</v>
      </c>
      <c r="E116" t="s">
        <v>6356</v>
      </c>
    </row>
    <row r="117" spans="1:5" hidden="1" x14ac:dyDescent="0.25">
      <c r="A117" t="s">
        <v>353</v>
      </c>
      <c r="B117" t="s">
        <v>6103</v>
      </c>
      <c r="C117">
        <v>35.295699999999997</v>
      </c>
      <c r="D117">
        <v>-90.771100000000004</v>
      </c>
      <c r="E117" t="s">
        <v>6357</v>
      </c>
    </row>
    <row r="118" spans="1:5" hidden="1" x14ac:dyDescent="0.25">
      <c r="A118" t="s">
        <v>6248</v>
      </c>
      <c r="B118" t="s">
        <v>6103</v>
      </c>
      <c r="C118">
        <v>33.969900000000003</v>
      </c>
      <c r="D118">
        <v>-92.654399999999995</v>
      </c>
      <c r="E118" t="s">
        <v>6358</v>
      </c>
    </row>
    <row r="119" spans="1:5" hidden="1" x14ac:dyDescent="0.25">
      <c r="A119" t="s">
        <v>6359</v>
      </c>
      <c r="B119" t="s">
        <v>6103</v>
      </c>
      <c r="C119">
        <v>33.8309</v>
      </c>
      <c r="D119">
        <v>-91.255099999999999</v>
      </c>
      <c r="E119" t="s">
        <v>6360</v>
      </c>
    </row>
    <row r="120" spans="1:5" hidden="1" x14ac:dyDescent="0.25">
      <c r="A120" t="s">
        <v>6361</v>
      </c>
      <c r="B120" t="s">
        <v>6103</v>
      </c>
      <c r="C120">
        <v>33.589399999999998</v>
      </c>
      <c r="D120">
        <v>-91.72</v>
      </c>
      <c r="E120" t="s">
        <v>6362</v>
      </c>
    </row>
    <row r="121" spans="1:5" hidden="1" x14ac:dyDescent="0.25">
      <c r="A121" t="s">
        <v>6363</v>
      </c>
      <c r="B121" t="s">
        <v>6103</v>
      </c>
      <c r="C121">
        <v>35.146999999999998</v>
      </c>
      <c r="D121">
        <v>-92.331999999999994</v>
      </c>
      <c r="E121" t="s">
        <v>6364</v>
      </c>
    </row>
    <row r="122" spans="1:5" hidden="1" x14ac:dyDescent="0.25">
      <c r="A122" t="s">
        <v>6260</v>
      </c>
      <c r="B122" t="s">
        <v>6103</v>
      </c>
      <c r="C122">
        <v>35.5124</v>
      </c>
      <c r="D122">
        <v>-93.890600000000006</v>
      </c>
      <c r="E122" t="s">
        <v>6365</v>
      </c>
    </row>
    <row r="123" spans="1:5" hidden="1" x14ac:dyDescent="0.25">
      <c r="A123" t="s">
        <v>6366</v>
      </c>
      <c r="B123" t="s">
        <v>6103</v>
      </c>
      <c r="C123">
        <v>36.381700000000002</v>
      </c>
      <c r="D123">
        <v>-91.818200000000004</v>
      </c>
      <c r="E123" t="s">
        <v>6367</v>
      </c>
    </row>
    <row r="124" spans="1:5" hidden="1" x14ac:dyDescent="0.25">
      <c r="A124" t="s">
        <v>6368</v>
      </c>
      <c r="B124" t="s">
        <v>6103</v>
      </c>
      <c r="C124">
        <v>34.576700000000002</v>
      </c>
      <c r="D124">
        <v>-93.150400000000005</v>
      </c>
      <c r="E124" t="s">
        <v>6369</v>
      </c>
    </row>
    <row r="125" spans="1:5" hidden="1" x14ac:dyDescent="0.25">
      <c r="A125" t="s">
        <v>4593</v>
      </c>
      <c r="B125" t="s">
        <v>6103</v>
      </c>
      <c r="C125">
        <v>34.29</v>
      </c>
      <c r="D125">
        <v>-92.423699999999997</v>
      </c>
      <c r="E125" t="s">
        <v>6370</v>
      </c>
    </row>
    <row r="126" spans="1:5" hidden="1" x14ac:dyDescent="0.25">
      <c r="A126" t="s">
        <v>6264</v>
      </c>
      <c r="B126" t="s">
        <v>6103</v>
      </c>
      <c r="C126">
        <v>36.117600000000003</v>
      </c>
      <c r="D126">
        <v>-90.559100000000001</v>
      </c>
      <c r="E126" t="s">
        <v>6371</v>
      </c>
    </row>
    <row r="127" spans="1:5" hidden="1" x14ac:dyDescent="0.25">
      <c r="A127" t="s">
        <v>4314</v>
      </c>
      <c r="B127" t="s">
        <v>6103</v>
      </c>
      <c r="C127">
        <v>33.735399999999998</v>
      </c>
      <c r="D127">
        <v>-93.668400000000005</v>
      </c>
      <c r="E127" t="s">
        <v>6372</v>
      </c>
    </row>
    <row r="128" spans="1:5" hidden="1" x14ac:dyDescent="0.25">
      <c r="A128" t="s">
        <v>6373</v>
      </c>
      <c r="B128" t="s">
        <v>6103</v>
      </c>
      <c r="C128">
        <v>34.317700000000002</v>
      </c>
      <c r="D128">
        <v>-92.946100000000001</v>
      </c>
      <c r="E128" t="s">
        <v>6374</v>
      </c>
    </row>
    <row r="129" spans="1:5" hidden="1" x14ac:dyDescent="0.25">
      <c r="A129" t="s">
        <v>793</v>
      </c>
      <c r="B129" t="s">
        <v>6103</v>
      </c>
      <c r="C129">
        <v>34.088900000000002</v>
      </c>
      <c r="D129">
        <v>-93.993600000000001</v>
      </c>
      <c r="E129" t="s">
        <v>6375</v>
      </c>
    </row>
    <row r="130" spans="1:5" hidden="1" x14ac:dyDescent="0.25">
      <c r="A130" t="s">
        <v>6376</v>
      </c>
      <c r="B130" t="s">
        <v>6103</v>
      </c>
      <c r="C130">
        <v>35.741599999999998</v>
      </c>
      <c r="D130">
        <v>-91.569699999999997</v>
      </c>
      <c r="E130" t="s">
        <v>6377</v>
      </c>
    </row>
    <row r="131" spans="1:5" hidden="1" x14ac:dyDescent="0.25">
      <c r="A131" t="s">
        <v>4692</v>
      </c>
      <c r="B131" t="s">
        <v>6103</v>
      </c>
      <c r="C131">
        <v>36.094900000000003</v>
      </c>
      <c r="D131">
        <v>-91.913399999999996</v>
      </c>
      <c r="E131" t="s">
        <v>6378</v>
      </c>
    </row>
    <row r="132" spans="1:5" hidden="1" x14ac:dyDescent="0.25">
      <c r="A132" t="s">
        <v>191</v>
      </c>
      <c r="B132" t="s">
        <v>6103</v>
      </c>
      <c r="C132">
        <v>35.599200000000003</v>
      </c>
      <c r="D132">
        <v>-91.214500000000001</v>
      </c>
      <c r="E132" t="s">
        <v>6379</v>
      </c>
    </row>
    <row r="133" spans="1:5" hidden="1" x14ac:dyDescent="0.25">
      <c r="A133" t="s">
        <v>6272</v>
      </c>
      <c r="B133" t="s">
        <v>6103</v>
      </c>
      <c r="C133">
        <v>34.268300000000004</v>
      </c>
      <c r="D133">
        <v>-91.930400000000006</v>
      </c>
      <c r="E133" t="s">
        <v>6380</v>
      </c>
    </row>
    <row r="134" spans="1:5" hidden="1" x14ac:dyDescent="0.25">
      <c r="A134" t="s">
        <v>37</v>
      </c>
      <c r="B134" t="s">
        <v>6103</v>
      </c>
      <c r="C134">
        <v>35.569699999999997</v>
      </c>
      <c r="D134">
        <v>-93.4602</v>
      </c>
      <c r="E134" t="s">
        <v>6381</v>
      </c>
    </row>
    <row r="135" spans="1:5" hidden="1" x14ac:dyDescent="0.25">
      <c r="A135" t="s">
        <v>6382</v>
      </c>
      <c r="B135" t="s">
        <v>6103</v>
      </c>
      <c r="C135">
        <v>33.241599999999998</v>
      </c>
      <c r="D135">
        <v>-93.606999999999999</v>
      </c>
      <c r="E135" t="s">
        <v>6383</v>
      </c>
    </row>
    <row r="136" spans="1:5" hidden="1" x14ac:dyDescent="0.25">
      <c r="A136" t="s">
        <v>492</v>
      </c>
      <c r="B136" t="s">
        <v>6103</v>
      </c>
      <c r="C136">
        <v>36.041200000000003</v>
      </c>
      <c r="D136">
        <v>-91.106999999999999</v>
      </c>
      <c r="E136" t="s">
        <v>6384</v>
      </c>
    </row>
    <row r="137" spans="1:5" hidden="1" x14ac:dyDescent="0.25">
      <c r="A137" t="s">
        <v>2353</v>
      </c>
      <c r="B137" t="s">
        <v>6103</v>
      </c>
      <c r="C137">
        <v>34.780500000000004</v>
      </c>
      <c r="D137">
        <v>-90.780799999999999</v>
      </c>
      <c r="E137" t="s">
        <v>6385</v>
      </c>
    </row>
    <row r="138" spans="1:5" hidden="1" x14ac:dyDescent="0.25">
      <c r="A138" t="s">
        <v>6386</v>
      </c>
      <c r="B138" t="s">
        <v>6103</v>
      </c>
      <c r="C138">
        <v>33.957000000000001</v>
      </c>
      <c r="D138">
        <v>-91.734399999999994</v>
      </c>
      <c r="E138" t="s">
        <v>6387</v>
      </c>
    </row>
    <row r="139" spans="1:5" hidden="1" x14ac:dyDescent="0.25">
      <c r="A139" t="s">
        <v>6388</v>
      </c>
      <c r="B139" t="s">
        <v>6103</v>
      </c>
      <c r="C139">
        <v>33.700899999999997</v>
      </c>
      <c r="D139">
        <v>-94.235200000000006</v>
      </c>
      <c r="E139" t="s">
        <v>6389</v>
      </c>
    </row>
    <row r="140" spans="1:5" hidden="1" x14ac:dyDescent="0.25">
      <c r="A140" t="s">
        <v>987</v>
      </c>
      <c r="B140" t="s">
        <v>6103</v>
      </c>
      <c r="C140">
        <v>35.2149</v>
      </c>
      <c r="D140">
        <v>-93.7166</v>
      </c>
      <c r="E140" t="s">
        <v>6390</v>
      </c>
    </row>
    <row r="141" spans="1:5" hidden="1" x14ac:dyDescent="0.25">
      <c r="A141" t="s">
        <v>6391</v>
      </c>
      <c r="B141" t="s">
        <v>6103</v>
      </c>
      <c r="C141">
        <v>34.754300000000001</v>
      </c>
      <c r="D141">
        <v>-91.888800000000003</v>
      </c>
      <c r="E141" t="s">
        <v>6392</v>
      </c>
    </row>
    <row r="142" spans="1:5" hidden="1" x14ac:dyDescent="0.25">
      <c r="A142" t="s">
        <v>6286</v>
      </c>
      <c r="B142" t="s">
        <v>6103</v>
      </c>
      <c r="C142">
        <v>36.011000000000003</v>
      </c>
      <c r="D142">
        <v>-93.724599999999995</v>
      </c>
      <c r="E142" t="s">
        <v>6393</v>
      </c>
    </row>
    <row r="143" spans="1:5" hidden="1" x14ac:dyDescent="0.25">
      <c r="A143" t="s">
        <v>6290</v>
      </c>
      <c r="B143" t="s">
        <v>6103</v>
      </c>
      <c r="C143">
        <v>36.2684</v>
      </c>
      <c r="D143">
        <v>-92.684200000000004</v>
      </c>
      <c r="E143" t="s">
        <v>6394</v>
      </c>
    </row>
    <row r="144" spans="1:5" hidden="1" x14ac:dyDescent="0.25">
      <c r="A144" t="s">
        <v>1684</v>
      </c>
      <c r="B144" t="s">
        <v>6103</v>
      </c>
      <c r="C144">
        <v>33.312399999999997</v>
      </c>
      <c r="D144">
        <v>-93.892099999999999</v>
      </c>
      <c r="E144" t="s">
        <v>6395</v>
      </c>
    </row>
    <row r="145" spans="1:5" hidden="1" x14ac:dyDescent="0.25">
      <c r="A145" t="s">
        <v>6396</v>
      </c>
      <c r="B145" t="s">
        <v>6103</v>
      </c>
      <c r="C145">
        <v>35.7624</v>
      </c>
      <c r="D145">
        <v>-90.052199999999999</v>
      </c>
      <c r="E145" t="s">
        <v>6397</v>
      </c>
    </row>
    <row r="146" spans="1:5" hidden="1" x14ac:dyDescent="0.25">
      <c r="A146" t="s">
        <v>6295</v>
      </c>
      <c r="B146" t="s">
        <v>6103</v>
      </c>
      <c r="C146">
        <v>34.677799999999998</v>
      </c>
      <c r="D146">
        <v>-91.203900000000004</v>
      </c>
      <c r="E146" t="s">
        <v>6398</v>
      </c>
    </row>
    <row r="147" spans="1:5" hidden="1" x14ac:dyDescent="0.25">
      <c r="A147" t="s">
        <v>6297</v>
      </c>
      <c r="B147" t="s">
        <v>6103</v>
      </c>
      <c r="C147">
        <v>34.538899999999998</v>
      </c>
      <c r="D147">
        <v>-93.659599999999998</v>
      </c>
      <c r="E147" t="s">
        <v>6399</v>
      </c>
    </row>
    <row r="148" spans="1:5" hidden="1" x14ac:dyDescent="0.25">
      <c r="A148" t="s">
        <v>6400</v>
      </c>
      <c r="B148" t="s">
        <v>6103</v>
      </c>
      <c r="C148">
        <v>33.664000000000001</v>
      </c>
      <c r="D148">
        <v>-93.307199999999995</v>
      </c>
      <c r="E148" t="s">
        <v>6401</v>
      </c>
    </row>
    <row r="149" spans="1:5" hidden="1" x14ac:dyDescent="0.25">
      <c r="A149" t="s">
        <v>3078</v>
      </c>
      <c r="B149" t="s">
        <v>6103</v>
      </c>
      <c r="C149">
        <v>35.92</v>
      </c>
      <c r="D149">
        <v>-93.2179</v>
      </c>
      <c r="E149" t="s">
        <v>6402</v>
      </c>
    </row>
    <row r="150" spans="1:5" hidden="1" x14ac:dyDescent="0.25">
      <c r="A150" t="s">
        <v>6403</v>
      </c>
      <c r="B150" t="s">
        <v>6103</v>
      </c>
      <c r="C150">
        <v>33.593400000000003</v>
      </c>
      <c r="D150">
        <v>-92.881900000000002</v>
      </c>
      <c r="E150" t="s">
        <v>6404</v>
      </c>
    </row>
    <row r="151" spans="1:5" hidden="1" x14ac:dyDescent="0.25">
      <c r="A151" t="s">
        <v>1641</v>
      </c>
      <c r="B151" t="s">
        <v>6103</v>
      </c>
      <c r="C151">
        <v>34.947499999999998</v>
      </c>
      <c r="D151">
        <v>-92.931299999999993</v>
      </c>
      <c r="E151" t="s">
        <v>6405</v>
      </c>
    </row>
    <row r="152" spans="1:5" hidden="1" x14ac:dyDescent="0.25">
      <c r="A152" t="s">
        <v>4249</v>
      </c>
      <c r="B152" t="s">
        <v>6103</v>
      </c>
      <c r="C152">
        <v>34.427399999999999</v>
      </c>
      <c r="D152">
        <v>-90.8489</v>
      </c>
      <c r="E152" t="s">
        <v>6406</v>
      </c>
    </row>
    <row r="153" spans="1:5" hidden="1" x14ac:dyDescent="0.25">
      <c r="A153" t="s">
        <v>6303</v>
      </c>
      <c r="B153" t="s">
        <v>6103</v>
      </c>
      <c r="C153">
        <v>34.163499999999999</v>
      </c>
      <c r="D153">
        <v>-93.656400000000005</v>
      </c>
      <c r="E153" t="s">
        <v>6407</v>
      </c>
    </row>
    <row r="154" spans="1:5" hidden="1" x14ac:dyDescent="0.25">
      <c r="A154" t="s">
        <v>6408</v>
      </c>
      <c r="B154" t="s">
        <v>6103</v>
      </c>
      <c r="C154">
        <v>35.573999999999998</v>
      </c>
      <c r="D154">
        <v>-90.662999999999997</v>
      </c>
      <c r="E154" t="s">
        <v>6409</v>
      </c>
    </row>
    <row r="155" spans="1:5" hidden="1" x14ac:dyDescent="0.25">
      <c r="A155" t="s">
        <v>6410</v>
      </c>
      <c r="B155" t="s">
        <v>6103</v>
      </c>
      <c r="C155">
        <v>34.485799999999998</v>
      </c>
      <c r="D155">
        <v>-94.228200000000001</v>
      </c>
      <c r="E155" t="s">
        <v>6411</v>
      </c>
    </row>
    <row r="156" spans="1:5" hidden="1" x14ac:dyDescent="0.25">
      <c r="A156" t="s">
        <v>6412</v>
      </c>
      <c r="B156" t="s">
        <v>6103</v>
      </c>
      <c r="C156">
        <v>35.447899999999997</v>
      </c>
      <c r="D156">
        <v>-93.034499999999994</v>
      </c>
      <c r="E156" t="s">
        <v>6413</v>
      </c>
    </row>
    <row r="157" spans="1:5" hidden="1" x14ac:dyDescent="0.25">
      <c r="A157" t="s">
        <v>6414</v>
      </c>
      <c r="B157" t="s">
        <v>6103</v>
      </c>
      <c r="C157">
        <v>34.829799999999999</v>
      </c>
      <c r="D157">
        <v>-91.552800000000005</v>
      </c>
      <c r="E157" t="s">
        <v>6415</v>
      </c>
    </row>
    <row r="158" spans="1:5" hidden="1" x14ac:dyDescent="0.25">
      <c r="A158" t="s">
        <v>6416</v>
      </c>
      <c r="B158" t="s">
        <v>6103</v>
      </c>
      <c r="C158">
        <v>34.770000000000003</v>
      </c>
      <c r="D158">
        <v>-92.311999999999998</v>
      </c>
      <c r="E158" t="s">
        <v>6417</v>
      </c>
    </row>
    <row r="159" spans="1:5" hidden="1" x14ac:dyDescent="0.25">
      <c r="A159" t="s">
        <v>6305</v>
      </c>
      <c r="B159" t="s">
        <v>6103</v>
      </c>
      <c r="C159">
        <v>36.341500000000003</v>
      </c>
      <c r="D159">
        <v>-91.027600000000007</v>
      </c>
      <c r="E159" t="s">
        <v>6418</v>
      </c>
    </row>
    <row r="160" spans="1:5" hidden="1" x14ac:dyDescent="0.25">
      <c r="A160" t="s">
        <v>6419</v>
      </c>
      <c r="B160" t="s">
        <v>6103</v>
      </c>
      <c r="C160">
        <v>34.646599999999999</v>
      </c>
      <c r="D160">
        <v>-92.676599999999993</v>
      </c>
      <c r="E160" t="s">
        <v>6420</v>
      </c>
    </row>
    <row r="161" spans="1:5" hidden="1" x14ac:dyDescent="0.25">
      <c r="A161" t="s">
        <v>5291</v>
      </c>
      <c r="B161" t="s">
        <v>6103</v>
      </c>
      <c r="C161">
        <v>34.860700000000001</v>
      </c>
      <c r="D161">
        <v>-94.063299999999998</v>
      </c>
      <c r="E161" t="s">
        <v>6421</v>
      </c>
    </row>
    <row r="162" spans="1:5" hidden="1" x14ac:dyDescent="0.25">
      <c r="A162" t="s">
        <v>6422</v>
      </c>
      <c r="B162" t="s">
        <v>6103</v>
      </c>
      <c r="C162">
        <v>35.911000000000001</v>
      </c>
      <c r="D162">
        <v>-92.6995</v>
      </c>
      <c r="E162" t="s">
        <v>6423</v>
      </c>
    </row>
    <row r="163" spans="1:5" hidden="1" x14ac:dyDescent="0.25">
      <c r="A163" t="s">
        <v>6424</v>
      </c>
      <c r="B163" t="s">
        <v>6103</v>
      </c>
      <c r="C163">
        <v>35.198900000000002</v>
      </c>
      <c r="D163">
        <v>-94.274299999999997</v>
      </c>
      <c r="E163" t="s">
        <v>6425</v>
      </c>
    </row>
    <row r="164" spans="1:5" hidden="1" x14ac:dyDescent="0.25">
      <c r="A164" t="s">
        <v>6426</v>
      </c>
      <c r="B164" t="s">
        <v>6103</v>
      </c>
      <c r="C164">
        <v>33.997199999999999</v>
      </c>
      <c r="D164">
        <v>-94.241200000000006</v>
      </c>
      <c r="E164" t="s">
        <v>6427</v>
      </c>
    </row>
    <row r="165" spans="1:5" hidden="1" x14ac:dyDescent="0.25">
      <c r="A165" t="s">
        <v>3092</v>
      </c>
      <c r="B165" t="s">
        <v>6103</v>
      </c>
      <c r="C165">
        <v>36.161200000000001</v>
      </c>
      <c r="D165">
        <v>-91.479799999999997</v>
      </c>
      <c r="E165" t="s">
        <v>6428</v>
      </c>
    </row>
    <row r="166" spans="1:5" hidden="1" x14ac:dyDescent="0.25">
      <c r="A166" t="s">
        <v>6429</v>
      </c>
      <c r="B166" t="s">
        <v>6103</v>
      </c>
      <c r="C166">
        <v>35.021999999999998</v>
      </c>
      <c r="D166">
        <v>-90.747799999999998</v>
      </c>
      <c r="E166" t="s">
        <v>6430</v>
      </c>
    </row>
    <row r="167" spans="1:5" hidden="1" x14ac:dyDescent="0.25">
      <c r="A167" t="s">
        <v>1332</v>
      </c>
      <c r="B167" t="s">
        <v>6103</v>
      </c>
      <c r="C167">
        <v>35.859900000000003</v>
      </c>
      <c r="D167">
        <v>-92.156800000000004</v>
      </c>
      <c r="E167" t="s">
        <v>6431</v>
      </c>
    </row>
    <row r="168" spans="1:5" hidden="1" x14ac:dyDescent="0.25">
      <c r="A168" t="s">
        <v>5878</v>
      </c>
      <c r="B168" t="s">
        <v>6103</v>
      </c>
      <c r="C168">
        <v>33.171300000000002</v>
      </c>
      <c r="D168">
        <v>-92.597200000000001</v>
      </c>
      <c r="E168" t="s">
        <v>6432</v>
      </c>
    </row>
    <row r="169" spans="1:5" hidden="1" x14ac:dyDescent="0.25">
      <c r="A169" t="s">
        <v>6433</v>
      </c>
      <c r="B169" t="s">
        <v>6103</v>
      </c>
      <c r="C169">
        <v>35.580599999999997</v>
      </c>
      <c r="D169">
        <v>-92.515799999999999</v>
      </c>
      <c r="E169" t="s">
        <v>6434</v>
      </c>
    </row>
    <row r="170" spans="1:5" hidden="1" x14ac:dyDescent="0.25">
      <c r="A170" t="s">
        <v>3052</v>
      </c>
      <c r="B170" t="s">
        <v>6103</v>
      </c>
      <c r="C170">
        <v>35.979100000000003</v>
      </c>
      <c r="D170">
        <v>-94.215599999999995</v>
      </c>
      <c r="E170" t="s">
        <v>6435</v>
      </c>
    </row>
    <row r="171" spans="1:5" hidden="1" x14ac:dyDescent="0.25">
      <c r="A171" t="s">
        <v>1147</v>
      </c>
      <c r="B171" t="s">
        <v>6103</v>
      </c>
      <c r="C171">
        <v>35.256300000000003</v>
      </c>
      <c r="D171">
        <v>-91.745599999999996</v>
      </c>
      <c r="E171" t="s">
        <v>6436</v>
      </c>
    </row>
    <row r="172" spans="1:5" hidden="1" x14ac:dyDescent="0.25">
      <c r="A172" t="s">
        <v>6437</v>
      </c>
      <c r="B172" t="s">
        <v>6103</v>
      </c>
      <c r="C172">
        <v>35.186300000000003</v>
      </c>
      <c r="D172">
        <v>-91.243099999999998</v>
      </c>
      <c r="E172" t="s">
        <v>6438</v>
      </c>
    </row>
    <row r="173" spans="1:5" hidden="1" x14ac:dyDescent="0.25">
      <c r="A173" t="s">
        <v>6439</v>
      </c>
      <c r="B173" t="s">
        <v>6103</v>
      </c>
      <c r="C173">
        <v>35.002600000000001</v>
      </c>
      <c r="D173">
        <v>-93.410799999999995</v>
      </c>
      <c r="E173" t="s">
        <v>6440</v>
      </c>
    </row>
    <row r="174" spans="1:5" hidden="1" x14ac:dyDescent="0.25">
      <c r="A174" t="s">
        <v>6441</v>
      </c>
      <c r="B174" t="s">
        <v>6106</v>
      </c>
      <c r="C174">
        <v>35.395499999999998</v>
      </c>
      <c r="D174">
        <v>-109.4888</v>
      </c>
      <c r="E174" t="s">
        <v>6442</v>
      </c>
    </row>
    <row r="175" spans="1:5" hidden="1" x14ac:dyDescent="0.25">
      <c r="A175" t="s">
        <v>6443</v>
      </c>
      <c r="B175" t="s">
        <v>6106</v>
      </c>
      <c r="C175">
        <v>31.8796</v>
      </c>
      <c r="D175">
        <v>-109.7512</v>
      </c>
      <c r="E175" t="s">
        <v>6444</v>
      </c>
    </row>
    <row r="176" spans="1:5" hidden="1" x14ac:dyDescent="0.25">
      <c r="A176" t="s">
        <v>6445</v>
      </c>
      <c r="B176" t="s">
        <v>6106</v>
      </c>
      <c r="C176">
        <v>35.838700000000003</v>
      </c>
      <c r="D176">
        <v>-111.7705</v>
      </c>
      <c r="E176" t="s">
        <v>6446</v>
      </c>
    </row>
    <row r="177" spans="1:5" hidden="1" x14ac:dyDescent="0.25">
      <c r="A177" t="s">
        <v>6447</v>
      </c>
      <c r="B177" t="s">
        <v>6106</v>
      </c>
      <c r="C177">
        <v>33.799700000000001</v>
      </c>
      <c r="D177">
        <v>-110.8116</v>
      </c>
      <c r="E177" t="s">
        <v>6448</v>
      </c>
    </row>
    <row r="178" spans="1:5" hidden="1" x14ac:dyDescent="0.25">
      <c r="A178" t="s">
        <v>2404</v>
      </c>
      <c r="B178" t="s">
        <v>6106</v>
      </c>
      <c r="C178">
        <v>32.932600000000001</v>
      </c>
      <c r="D178">
        <v>-109.8875</v>
      </c>
      <c r="E178" t="s">
        <v>6449</v>
      </c>
    </row>
    <row r="179" spans="1:5" hidden="1" x14ac:dyDescent="0.25">
      <c r="A179" t="s">
        <v>6450</v>
      </c>
      <c r="B179" t="s">
        <v>6106</v>
      </c>
      <c r="C179">
        <v>33.215200000000003</v>
      </c>
      <c r="D179">
        <v>-109.2402</v>
      </c>
      <c r="E179" t="s">
        <v>6451</v>
      </c>
    </row>
    <row r="180" spans="1:5" hidden="1" x14ac:dyDescent="0.25">
      <c r="A180" t="s">
        <v>6452</v>
      </c>
      <c r="B180" t="s">
        <v>6106</v>
      </c>
      <c r="C180">
        <v>33.729399999999998</v>
      </c>
      <c r="D180">
        <v>-113.9815</v>
      </c>
      <c r="E180" t="s">
        <v>6453</v>
      </c>
    </row>
    <row r="181" spans="1:5" hidden="1" x14ac:dyDescent="0.25">
      <c r="A181" t="s">
        <v>6454</v>
      </c>
      <c r="B181" t="s">
        <v>6106</v>
      </c>
      <c r="C181">
        <v>33.348999999999997</v>
      </c>
      <c r="D181">
        <v>-112.4915</v>
      </c>
      <c r="E181" t="s">
        <v>6455</v>
      </c>
    </row>
    <row r="182" spans="1:5" hidden="1" x14ac:dyDescent="0.25">
      <c r="A182" t="s">
        <v>6456</v>
      </c>
      <c r="B182" t="s">
        <v>6106</v>
      </c>
      <c r="C182">
        <v>35.704099999999997</v>
      </c>
      <c r="D182">
        <v>-113.75790000000001</v>
      </c>
      <c r="E182" t="s">
        <v>6457</v>
      </c>
    </row>
    <row r="183" spans="1:5" hidden="1" x14ac:dyDescent="0.25">
      <c r="A183" t="s">
        <v>6458</v>
      </c>
      <c r="B183" t="s">
        <v>6106</v>
      </c>
      <c r="C183">
        <v>35.3996</v>
      </c>
      <c r="D183">
        <v>-110.3214</v>
      </c>
      <c r="E183" t="s">
        <v>6459</v>
      </c>
    </row>
    <row r="184" spans="1:5" hidden="1" x14ac:dyDescent="0.25">
      <c r="A184" t="s">
        <v>6460</v>
      </c>
      <c r="B184" t="s">
        <v>6106</v>
      </c>
      <c r="C184">
        <v>32.0974</v>
      </c>
      <c r="D184">
        <v>-111.7899</v>
      </c>
      <c r="E184" t="s">
        <v>6461</v>
      </c>
    </row>
    <row r="185" spans="1:5" hidden="1" x14ac:dyDescent="0.25">
      <c r="A185" t="s">
        <v>6462</v>
      </c>
      <c r="B185" t="s">
        <v>6106</v>
      </c>
      <c r="C185">
        <v>32.904400000000003</v>
      </c>
      <c r="D185">
        <v>-111.34480000000001</v>
      </c>
      <c r="E185" t="s">
        <v>6463</v>
      </c>
    </row>
    <row r="186" spans="1:5" hidden="1" x14ac:dyDescent="0.25">
      <c r="A186" t="s">
        <v>6464</v>
      </c>
      <c r="B186" t="s">
        <v>6106</v>
      </c>
      <c r="C186">
        <v>31.5259</v>
      </c>
      <c r="D186">
        <v>-110.84650000000001</v>
      </c>
      <c r="E186" t="s">
        <v>6465</v>
      </c>
    </row>
    <row r="187" spans="1:5" hidden="1" x14ac:dyDescent="0.25">
      <c r="A187" t="s">
        <v>6466</v>
      </c>
      <c r="B187" t="s">
        <v>6106</v>
      </c>
      <c r="C187">
        <v>34.599800000000002</v>
      </c>
      <c r="D187">
        <v>-112.5538</v>
      </c>
      <c r="E187" t="s">
        <v>6467</v>
      </c>
    </row>
    <row r="188" spans="1:5" hidden="1" x14ac:dyDescent="0.25">
      <c r="A188" t="s">
        <v>6468</v>
      </c>
      <c r="B188" t="s">
        <v>6106</v>
      </c>
      <c r="C188">
        <v>32.769500000000001</v>
      </c>
      <c r="D188">
        <v>-113.90560000000001</v>
      </c>
      <c r="E188" t="s">
        <v>6469</v>
      </c>
    </row>
    <row r="189" spans="1:5" hidden="1" x14ac:dyDescent="0.25">
      <c r="A189" t="s">
        <v>6470</v>
      </c>
      <c r="B189" t="s">
        <v>6109</v>
      </c>
      <c r="C189">
        <v>37.646900000000002</v>
      </c>
      <c r="D189">
        <v>-121.8887</v>
      </c>
      <c r="E189" t="s">
        <v>6471</v>
      </c>
    </row>
    <row r="190" spans="1:5" hidden="1" x14ac:dyDescent="0.25">
      <c r="A190" t="s">
        <v>6472</v>
      </c>
      <c r="B190" t="s">
        <v>6109</v>
      </c>
      <c r="C190">
        <v>38.597200000000001</v>
      </c>
      <c r="D190">
        <v>-119.8207</v>
      </c>
      <c r="E190" t="s">
        <v>6473</v>
      </c>
    </row>
    <row r="191" spans="1:5" hidden="1" x14ac:dyDescent="0.25">
      <c r="A191" t="s">
        <v>6474</v>
      </c>
      <c r="B191" t="s">
        <v>6109</v>
      </c>
      <c r="C191">
        <v>38.446399999999997</v>
      </c>
      <c r="D191">
        <v>-120.6511</v>
      </c>
      <c r="E191" t="s">
        <v>6475</v>
      </c>
    </row>
    <row r="192" spans="1:5" hidden="1" x14ac:dyDescent="0.25">
      <c r="A192" t="s">
        <v>6476</v>
      </c>
      <c r="B192" t="s">
        <v>6109</v>
      </c>
      <c r="C192">
        <v>39.666899999999998</v>
      </c>
      <c r="D192">
        <v>-121.6007</v>
      </c>
      <c r="E192" t="s">
        <v>6477</v>
      </c>
    </row>
    <row r="193" spans="1:5" hidden="1" x14ac:dyDescent="0.25">
      <c r="A193" t="s">
        <v>6478</v>
      </c>
      <c r="B193" t="s">
        <v>6109</v>
      </c>
      <c r="C193">
        <v>38.204599999999999</v>
      </c>
      <c r="D193">
        <v>-120.55410000000001</v>
      </c>
      <c r="E193" t="s">
        <v>6479</v>
      </c>
    </row>
    <row r="194" spans="1:5" hidden="1" x14ac:dyDescent="0.25">
      <c r="A194" t="s">
        <v>6480</v>
      </c>
      <c r="B194" t="s">
        <v>6109</v>
      </c>
      <c r="C194">
        <v>39.177500000000002</v>
      </c>
      <c r="D194">
        <v>-122.23699999999999</v>
      </c>
      <c r="E194" t="s">
        <v>6481</v>
      </c>
    </row>
    <row r="195" spans="1:5" hidden="1" x14ac:dyDescent="0.25">
      <c r="A195" t="s">
        <v>6482</v>
      </c>
      <c r="B195" t="s">
        <v>6109</v>
      </c>
      <c r="C195">
        <v>37.919199999999996</v>
      </c>
      <c r="D195">
        <v>-121.92749999999999</v>
      </c>
      <c r="E195" t="s">
        <v>6483</v>
      </c>
    </row>
    <row r="196" spans="1:5" hidden="1" x14ac:dyDescent="0.25">
      <c r="A196" t="s">
        <v>6484</v>
      </c>
      <c r="B196" t="s">
        <v>6109</v>
      </c>
      <c r="C196">
        <v>41.743099999999998</v>
      </c>
      <c r="D196">
        <v>-123.8972</v>
      </c>
      <c r="E196" t="s">
        <v>6485</v>
      </c>
    </row>
    <row r="197" spans="1:5" hidden="1" x14ac:dyDescent="0.25">
      <c r="A197" t="s">
        <v>6486</v>
      </c>
      <c r="B197" t="s">
        <v>6109</v>
      </c>
      <c r="C197">
        <v>38.778700000000001</v>
      </c>
      <c r="D197">
        <v>-120.5247</v>
      </c>
      <c r="E197" t="s">
        <v>6487</v>
      </c>
    </row>
    <row r="198" spans="1:5" hidden="1" x14ac:dyDescent="0.25">
      <c r="A198" t="s">
        <v>6488</v>
      </c>
      <c r="B198" t="s">
        <v>6109</v>
      </c>
      <c r="C198">
        <v>36.758200000000002</v>
      </c>
      <c r="D198">
        <v>-119.6493</v>
      </c>
      <c r="E198" t="s">
        <v>6489</v>
      </c>
    </row>
    <row r="199" spans="1:5" hidden="1" x14ac:dyDescent="0.25">
      <c r="A199" t="s">
        <v>6490</v>
      </c>
      <c r="B199" t="s">
        <v>6109</v>
      </c>
      <c r="C199">
        <v>39.598100000000002</v>
      </c>
      <c r="D199">
        <v>-122.39190000000001</v>
      </c>
      <c r="E199" t="s">
        <v>6491</v>
      </c>
    </row>
    <row r="200" spans="1:5" hidden="1" x14ac:dyDescent="0.25">
      <c r="A200" t="s">
        <v>6492</v>
      </c>
      <c r="B200" t="s">
        <v>6109</v>
      </c>
      <c r="C200">
        <v>40.699300000000001</v>
      </c>
      <c r="D200">
        <v>-123.87560000000001</v>
      </c>
      <c r="E200" t="s">
        <v>6493</v>
      </c>
    </row>
    <row r="201" spans="1:5" hidden="1" x14ac:dyDescent="0.25">
      <c r="A201" t="s">
        <v>6494</v>
      </c>
      <c r="B201" t="s">
        <v>6109</v>
      </c>
      <c r="C201">
        <v>33.039499999999997</v>
      </c>
      <c r="D201">
        <v>-115.3653</v>
      </c>
      <c r="E201" t="s">
        <v>6495</v>
      </c>
    </row>
    <row r="202" spans="1:5" hidden="1" x14ac:dyDescent="0.25">
      <c r="A202" t="s">
        <v>6496</v>
      </c>
      <c r="B202" t="s">
        <v>6109</v>
      </c>
      <c r="C202">
        <v>36.511099999999999</v>
      </c>
      <c r="D202">
        <v>-117.41070000000001</v>
      </c>
      <c r="E202" t="s">
        <v>6497</v>
      </c>
    </row>
    <row r="203" spans="1:5" hidden="1" x14ac:dyDescent="0.25">
      <c r="A203" t="s">
        <v>6498</v>
      </c>
      <c r="B203" t="s">
        <v>6109</v>
      </c>
      <c r="C203">
        <v>35.342599999999997</v>
      </c>
      <c r="D203">
        <v>-118.73009999999999</v>
      </c>
      <c r="E203" t="s">
        <v>6499</v>
      </c>
    </row>
    <row r="204" spans="1:5" hidden="1" x14ac:dyDescent="0.25">
      <c r="A204" t="s">
        <v>6500</v>
      </c>
      <c r="B204" t="s">
        <v>6109</v>
      </c>
      <c r="C204">
        <v>36.075200000000002</v>
      </c>
      <c r="D204">
        <v>-119.8155</v>
      </c>
      <c r="E204" t="s">
        <v>6501</v>
      </c>
    </row>
    <row r="205" spans="1:5" hidden="1" x14ac:dyDescent="0.25">
      <c r="A205" t="s">
        <v>3705</v>
      </c>
      <c r="B205" t="s">
        <v>6109</v>
      </c>
      <c r="C205">
        <v>39.1</v>
      </c>
      <c r="D205">
        <v>-122.7534</v>
      </c>
      <c r="E205" t="s">
        <v>6502</v>
      </c>
    </row>
    <row r="206" spans="1:5" hidden="1" x14ac:dyDescent="0.25">
      <c r="A206" t="s">
        <v>6503</v>
      </c>
      <c r="B206" t="s">
        <v>6109</v>
      </c>
      <c r="C206">
        <v>40.6736</v>
      </c>
      <c r="D206">
        <v>-120.5943</v>
      </c>
      <c r="E206" t="s">
        <v>6504</v>
      </c>
    </row>
    <row r="207" spans="1:5" hidden="1" x14ac:dyDescent="0.25">
      <c r="A207" t="s">
        <v>6505</v>
      </c>
      <c r="B207" t="s">
        <v>6109</v>
      </c>
      <c r="C207">
        <v>34.321899999999999</v>
      </c>
      <c r="D207">
        <v>-118.2247</v>
      </c>
      <c r="E207" t="s">
        <v>6506</v>
      </c>
    </row>
    <row r="208" spans="1:5" hidden="1" x14ac:dyDescent="0.25">
      <c r="A208" t="s">
        <v>6507</v>
      </c>
      <c r="B208" t="s">
        <v>6109</v>
      </c>
      <c r="C208">
        <v>37.218000000000004</v>
      </c>
      <c r="D208">
        <v>-119.7627</v>
      </c>
      <c r="E208" t="s">
        <v>6508</v>
      </c>
    </row>
    <row r="209" spans="1:5" hidden="1" x14ac:dyDescent="0.25">
      <c r="A209" t="s">
        <v>6509</v>
      </c>
      <c r="B209" t="s">
        <v>6109</v>
      </c>
      <c r="C209">
        <v>38.073500000000003</v>
      </c>
      <c r="D209">
        <v>-122.7236</v>
      </c>
      <c r="E209" t="s">
        <v>6510</v>
      </c>
    </row>
    <row r="210" spans="1:5" hidden="1" x14ac:dyDescent="0.25">
      <c r="A210" t="s">
        <v>6511</v>
      </c>
      <c r="B210" t="s">
        <v>6109</v>
      </c>
      <c r="C210">
        <v>37.581499999999998</v>
      </c>
      <c r="D210">
        <v>-119.9054</v>
      </c>
      <c r="E210" t="s">
        <v>6512</v>
      </c>
    </row>
    <row r="211" spans="1:5" hidden="1" x14ac:dyDescent="0.25">
      <c r="A211" t="s">
        <v>6513</v>
      </c>
      <c r="B211" t="s">
        <v>6109</v>
      </c>
      <c r="C211">
        <v>39.440199999999997</v>
      </c>
      <c r="D211">
        <v>-123.39149999999999</v>
      </c>
      <c r="E211" t="s">
        <v>6514</v>
      </c>
    </row>
    <row r="212" spans="1:5" hidden="1" x14ac:dyDescent="0.25">
      <c r="A212" t="s">
        <v>6515</v>
      </c>
      <c r="B212" t="s">
        <v>6109</v>
      </c>
      <c r="C212">
        <v>37.191899999999997</v>
      </c>
      <c r="D212">
        <v>-120.71769999999999</v>
      </c>
      <c r="E212" t="s">
        <v>6516</v>
      </c>
    </row>
    <row r="213" spans="1:5" hidden="1" x14ac:dyDescent="0.25">
      <c r="A213" t="s">
        <v>6517</v>
      </c>
      <c r="B213" t="s">
        <v>6109</v>
      </c>
      <c r="C213">
        <v>41.589799999999997</v>
      </c>
      <c r="D213">
        <v>-120.72499999999999</v>
      </c>
      <c r="E213" t="s">
        <v>6518</v>
      </c>
    </row>
    <row r="214" spans="1:5" hidden="1" x14ac:dyDescent="0.25">
      <c r="A214" t="s">
        <v>6519</v>
      </c>
      <c r="B214" t="s">
        <v>6109</v>
      </c>
      <c r="C214">
        <v>37.939100000000003</v>
      </c>
      <c r="D214">
        <v>-118.88679999999999</v>
      </c>
      <c r="E214" t="s">
        <v>6520</v>
      </c>
    </row>
    <row r="215" spans="1:5" hidden="1" x14ac:dyDescent="0.25">
      <c r="A215" t="s">
        <v>6521</v>
      </c>
      <c r="B215" t="s">
        <v>6109</v>
      </c>
      <c r="C215">
        <v>36.217100000000002</v>
      </c>
      <c r="D215">
        <v>-121.2388</v>
      </c>
      <c r="E215" t="s">
        <v>6522</v>
      </c>
    </row>
    <row r="216" spans="1:5" hidden="1" x14ac:dyDescent="0.25">
      <c r="A216" t="s">
        <v>6523</v>
      </c>
      <c r="B216" t="s">
        <v>6109</v>
      </c>
      <c r="C216">
        <v>38.506999999999998</v>
      </c>
      <c r="D216">
        <v>-122.3306</v>
      </c>
      <c r="E216" t="s">
        <v>6524</v>
      </c>
    </row>
    <row r="217" spans="1:5" hidden="1" x14ac:dyDescent="0.25">
      <c r="A217" t="s">
        <v>6400</v>
      </c>
      <c r="B217" t="s">
        <v>6109</v>
      </c>
      <c r="C217">
        <v>39.301299999999998</v>
      </c>
      <c r="D217">
        <v>-120.7689</v>
      </c>
      <c r="E217" t="s">
        <v>6525</v>
      </c>
    </row>
    <row r="218" spans="1:5" hidden="1" x14ac:dyDescent="0.25">
      <c r="A218" t="s">
        <v>6526</v>
      </c>
      <c r="B218" t="s">
        <v>6109</v>
      </c>
      <c r="C218">
        <v>33.703099999999999</v>
      </c>
      <c r="D218">
        <v>-117.76090000000001</v>
      </c>
      <c r="E218" t="s">
        <v>6527</v>
      </c>
    </row>
    <row r="219" spans="1:5" hidden="1" x14ac:dyDescent="0.25">
      <c r="A219" t="s">
        <v>6528</v>
      </c>
      <c r="B219" t="s">
        <v>6109</v>
      </c>
      <c r="C219">
        <v>39.063400000000001</v>
      </c>
      <c r="D219">
        <v>-120.71769999999999</v>
      </c>
      <c r="E219" t="s">
        <v>6529</v>
      </c>
    </row>
    <row r="220" spans="1:5" hidden="1" x14ac:dyDescent="0.25">
      <c r="A220" t="s">
        <v>6530</v>
      </c>
      <c r="B220" t="s">
        <v>6109</v>
      </c>
      <c r="C220">
        <v>40.004600000000003</v>
      </c>
      <c r="D220">
        <v>-120.8385</v>
      </c>
      <c r="E220" t="s">
        <v>6531</v>
      </c>
    </row>
    <row r="221" spans="1:5" hidden="1" x14ac:dyDescent="0.25">
      <c r="A221" t="s">
        <v>6532</v>
      </c>
      <c r="B221" t="s">
        <v>6109</v>
      </c>
      <c r="C221">
        <v>33.743699999999997</v>
      </c>
      <c r="D221">
        <v>-115.99379999999999</v>
      </c>
      <c r="E221" t="s">
        <v>6533</v>
      </c>
    </row>
    <row r="222" spans="1:5" hidden="1" x14ac:dyDescent="0.25">
      <c r="A222" t="s">
        <v>6534</v>
      </c>
      <c r="B222" t="s">
        <v>6109</v>
      </c>
      <c r="C222">
        <v>38.449300000000001</v>
      </c>
      <c r="D222">
        <v>-121.3443</v>
      </c>
      <c r="E222" t="s">
        <v>6535</v>
      </c>
    </row>
    <row r="223" spans="1:5" hidden="1" x14ac:dyDescent="0.25">
      <c r="A223" t="s">
        <v>6536</v>
      </c>
      <c r="B223" t="s">
        <v>6109</v>
      </c>
      <c r="C223">
        <v>36.605699999999999</v>
      </c>
      <c r="D223">
        <v>-121.075</v>
      </c>
      <c r="E223" t="s">
        <v>6537</v>
      </c>
    </row>
    <row r="224" spans="1:5" hidden="1" x14ac:dyDescent="0.25">
      <c r="A224" t="s">
        <v>6538</v>
      </c>
      <c r="B224" t="s">
        <v>6109</v>
      </c>
      <c r="C224">
        <v>34.8414</v>
      </c>
      <c r="D224">
        <v>-116.1785</v>
      </c>
      <c r="E224" t="s">
        <v>6539</v>
      </c>
    </row>
    <row r="225" spans="1:5" hidden="1" x14ac:dyDescent="0.25">
      <c r="A225" t="s">
        <v>6540</v>
      </c>
      <c r="B225" t="s">
        <v>6109</v>
      </c>
      <c r="C225">
        <v>33.034300000000002</v>
      </c>
      <c r="D225">
        <v>-116.735</v>
      </c>
      <c r="E225" t="s">
        <v>6541</v>
      </c>
    </row>
    <row r="226" spans="1:5" hidden="1" x14ac:dyDescent="0.25">
      <c r="A226" t="s">
        <v>6542</v>
      </c>
      <c r="B226" t="s">
        <v>6109</v>
      </c>
      <c r="C226">
        <v>37.755600000000001</v>
      </c>
      <c r="D226">
        <v>-122.44499999999999</v>
      </c>
      <c r="E226" t="s">
        <v>6543</v>
      </c>
    </row>
    <row r="227" spans="1:5" hidden="1" x14ac:dyDescent="0.25">
      <c r="A227" t="s">
        <v>6544</v>
      </c>
      <c r="B227" t="s">
        <v>6109</v>
      </c>
      <c r="C227">
        <v>37.934800000000003</v>
      </c>
      <c r="D227">
        <v>-121.2714</v>
      </c>
      <c r="E227" t="s">
        <v>6545</v>
      </c>
    </row>
    <row r="228" spans="1:5" hidden="1" x14ac:dyDescent="0.25">
      <c r="A228" t="s">
        <v>6546</v>
      </c>
      <c r="B228" t="s">
        <v>6109</v>
      </c>
      <c r="C228">
        <v>35.387099999999997</v>
      </c>
      <c r="D228">
        <v>-120.4044</v>
      </c>
      <c r="E228" t="s">
        <v>6547</v>
      </c>
    </row>
    <row r="229" spans="1:5" hidden="1" x14ac:dyDescent="0.25">
      <c r="A229" t="s">
        <v>6548</v>
      </c>
      <c r="B229" t="s">
        <v>6109</v>
      </c>
      <c r="C229">
        <v>37.422800000000002</v>
      </c>
      <c r="D229">
        <v>-122.3291</v>
      </c>
      <c r="E229" t="s">
        <v>6549</v>
      </c>
    </row>
    <row r="230" spans="1:5" hidden="1" x14ac:dyDescent="0.25">
      <c r="A230" t="s">
        <v>6550</v>
      </c>
      <c r="B230" t="s">
        <v>6109</v>
      </c>
      <c r="C230">
        <v>34.672899999999998</v>
      </c>
      <c r="D230">
        <v>-120.01690000000001</v>
      </c>
      <c r="E230" t="s">
        <v>6551</v>
      </c>
    </row>
    <row r="231" spans="1:5" hidden="1" x14ac:dyDescent="0.25">
      <c r="A231" t="s">
        <v>6552</v>
      </c>
      <c r="B231" t="s">
        <v>6109</v>
      </c>
      <c r="C231">
        <v>37.2318</v>
      </c>
      <c r="D231">
        <v>-121.6951</v>
      </c>
      <c r="E231" t="s">
        <v>6553</v>
      </c>
    </row>
    <row r="232" spans="1:5" hidden="1" x14ac:dyDescent="0.25">
      <c r="A232" t="s">
        <v>6464</v>
      </c>
      <c r="B232" t="s">
        <v>6109</v>
      </c>
      <c r="C232">
        <v>37.056199999999997</v>
      </c>
      <c r="D232">
        <v>-122.0018</v>
      </c>
      <c r="E232" t="s">
        <v>6554</v>
      </c>
    </row>
    <row r="233" spans="1:5" hidden="1" x14ac:dyDescent="0.25">
      <c r="A233" t="s">
        <v>6555</v>
      </c>
      <c r="B233" t="s">
        <v>6109</v>
      </c>
      <c r="C233">
        <v>40.7637</v>
      </c>
      <c r="D233">
        <v>-122.04049999999999</v>
      </c>
      <c r="E233" t="s">
        <v>6556</v>
      </c>
    </row>
    <row r="234" spans="1:5" hidden="1" x14ac:dyDescent="0.25">
      <c r="A234" t="s">
        <v>6557</v>
      </c>
      <c r="B234" t="s">
        <v>6109</v>
      </c>
      <c r="C234">
        <v>39.580300000000001</v>
      </c>
      <c r="D234">
        <v>-120.51609999999999</v>
      </c>
      <c r="E234" t="s">
        <v>6558</v>
      </c>
    </row>
    <row r="235" spans="1:5" hidden="1" x14ac:dyDescent="0.25">
      <c r="A235" t="s">
        <v>6559</v>
      </c>
      <c r="B235" t="s">
        <v>6109</v>
      </c>
      <c r="C235">
        <v>41.592700000000001</v>
      </c>
      <c r="D235">
        <v>-122.54040000000001</v>
      </c>
      <c r="E235" t="s">
        <v>6560</v>
      </c>
    </row>
    <row r="236" spans="1:5" hidden="1" x14ac:dyDescent="0.25">
      <c r="A236" t="s">
        <v>6561</v>
      </c>
      <c r="B236" t="s">
        <v>6109</v>
      </c>
      <c r="C236">
        <v>38.270000000000003</v>
      </c>
      <c r="D236">
        <v>-121.9328</v>
      </c>
      <c r="E236" t="s">
        <v>6562</v>
      </c>
    </row>
    <row r="237" spans="1:5" hidden="1" x14ac:dyDescent="0.25">
      <c r="A237" t="s">
        <v>6563</v>
      </c>
      <c r="B237" t="s">
        <v>6109</v>
      </c>
      <c r="C237">
        <v>38.529000000000003</v>
      </c>
      <c r="D237">
        <v>-122.8882</v>
      </c>
      <c r="E237" t="s">
        <v>6564</v>
      </c>
    </row>
    <row r="238" spans="1:5" hidden="1" x14ac:dyDescent="0.25">
      <c r="A238" t="s">
        <v>6565</v>
      </c>
      <c r="B238" t="s">
        <v>6109</v>
      </c>
      <c r="C238">
        <v>37.559100000000001</v>
      </c>
      <c r="D238">
        <v>-120.99769999999999</v>
      </c>
      <c r="E238" t="s">
        <v>6566</v>
      </c>
    </row>
    <row r="239" spans="1:5" hidden="1" x14ac:dyDescent="0.25">
      <c r="A239" t="s">
        <v>6567</v>
      </c>
      <c r="B239" t="s">
        <v>6109</v>
      </c>
      <c r="C239">
        <v>39.034599999999998</v>
      </c>
      <c r="D239">
        <v>-121.6948</v>
      </c>
      <c r="E239" t="s">
        <v>6568</v>
      </c>
    </row>
    <row r="240" spans="1:5" hidden="1" x14ac:dyDescent="0.25">
      <c r="A240" t="s">
        <v>6569</v>
      </c>
      <c r="B240" t="s">
        <v>6109</v>
      </c>
      <c r="C240">
        <v>40.125599999999999</v>
      </c>
      <c r="D240">
        <v>-122.2341</v>
      </c>
      <c r="E240" t="s">
        <v>6570</v>
      </c>
    </row>
    <row r="241" spans="1:5" hidden="1" x14ac:dyDescent="0.25">
      <c r="A241" t="s">
        <v>6571</v>
      </c>
      <c r="B241" t="s">
        <v>6109</v>
      </c>
      <c r="C241">
        <v>40.650700000000001</v>
      </c>
      <c r="D241">
        <v>-123.1126</v>
      </c>
      <c r="E241" t="s">
        <v>6572</v>
      </c>
    </row>
    <row r="242" spans="1:5" hidden="1" x14ac:dyDescent="0.25">
      <c r="A242" t="s">
        <v>6573</v>
      </c>
      <c r="B242" t="s">
        <v>6109</v>
      </c>
      <c r="C242">
        <v>36.220199999999998</v>
      </c>
      <c r="D242">
        <v>-118.8005</v>
      </c>
      <c r="E242" t="s">
        <v>6574</v>
      </c>
    </row>
    <row r="243" spans="1:5" hidden="1" x14ac:dyDescent="0.25">
      <c r="A243" t="s">
        <v>6575</v>
      </c>
      <c r="B243" t="s">
        <v>6109</v>
      </c>
      <c r="C243">
        <v>38.0276</v>
      </c>
      <c r="D243">
        <v>-119.95480000000001</v>
      </c>
      <c r="E243" t="s">
        <v>6576</v>
      </c>
    </row>
    <row r="244" spans="1:5" hidden="1" x14ac:dyDescent="0.25">
      <c r="A244" t="s">
        <v>6577</v>
      </c>
      <c r="B244" t="s">
        <v>6109</v>
      </c>
      <c r="C244">
        <v>34.456099999999999</v>
      </c>
      <c r="D244">
        <v>-119.0836</v>
      </c>
      <c r="E244" t="s">
        <v>6578</v>
      </c>
    </row>
    <row r="245" spans="1:5" hidden="1" x14ac:dyDescent="0.25">
      <c r="A245" t="s">
        <v>6579</v>
      </c>
      <c r="B245" t="s">
        <v>6109</v>
      </c>
      <c r="C245">
        <v>38.686599999999999</v>
      </c>
      <c r="D245">
        <v>-121.9011</v>
      </c>
      <c r="E245" t="s">
        <v>6580</v>
      </c>
    </row>
    <row r="246" spans="1:5" hidden="1" x14ac:dyDescent="0.25">
      <c r="A246" t="s">
        <v>6581</v>
      </c>
      <c r="B246" t="s">
        <v>6109</v>
      </c>
      <c r="C246">
        <v>39.268999999999998</v>
      </c>
      <c r="D246">
        <v>-121.35129999999999</v>
      </c>
      <c r="E246" t="s">
        <v>6582</v>
      </c>
    </row>
    <row r="247" spans="1:5" hidden="1" x14ac:dyDescent="0.25">
      <c r="A247" t="s">
        <v>1324</v>
      </c>
      <c r="B247" t="s">
        <v>6112</v>
      </c>
      <c r="C247">
        <v>39.873600000000003</v>
      </c>
      <c r="D247">
        <v>-104.3378</v>
      </c>
      <c r="E247" t="s">
        <v>6583</v>
      </c>
    </row>
    <row r="248" spans="1:5" hidden="1" x14ac:dyDescent="0.25">
      <c r="A248" t="s">
        <v>6584</v>
      </c>
      <c r="B248" t="s">
        <v>6112</v>
      </c>
      <c r="C248">
        <v>37.572899999999997</v>
      </c>
      <c r="D248">
        <v>-105.78830000000001</v>
      </c>
      <c r="E248" t="s">
        <v>6585</v>
      </c>
    </row>
    <row r="249" spans="1:5" hidden="1" x14ac:dyDescent="0.25">
      <c r="A249" t="s">
        <v>6586</v>
      </c>
      <c r="B249" t="s">
        <v>6112</v>
      </c>
      <c r="C249">
        <v>39.649799999999999</v>
      </c>
      <c r="D249">
        <v>-104.33929999999999</v>
      </c>
      <c r="E249" t="s">
        <v>6587</v>
      </c>
    </row>
    <row r="250" spans="1:5" hidden="1" x14ac:dyDescent="0.25">
      <c r="A250" t="s">
        <v>6588</v>
      </c>
      <c r="B250" t="s">
        <v>6112</v>
      </c>
      <c r="C250">
        <v>37.1935</v>
      </c>
      <c r="D250">
        <v>-107.0483</v>
      </c>
      <c r="E250" t="s">
        <v>6589</v>
      </c>
    </row>
    <row r="251" spans="1:5" hidden="1" x14ac:dyDescent="0.25">
      <c r="A251" t="s">
        <v>6590</v>
      </c>
      <c r="B251" t="s">
        <v>6112</v>
      </c>
      <c r="C251">
        <v>37.319200000000002</v>
      </c>
      <c r="D251">
        <v>-102.5605</v>
      </c>
      <c r="E251" t="s">
        <v>6591</v>
      </c>
    </row>
    <row r="252" spans="1:5" hidden="1" x14ac:dyDescent="0.25">
      <c r="A252" t="s">
        <v>6592</v>
      </c>
      <c r="B252" t="s">
        <v>6112</v>
      </c>
      <c r="C252">
        <v>37.955100000000002</v>
      </c>
      <c r="D252">
        <v>-103.07170000000001</v>
      </c>
      <c r="E252" t="s">
        <v>6593</v>
      </c>
    </row>
    <row r="253" spans="1:5" hidden="1" x14ac:dyDescent="0.25">
      <c r="A253" t="s">
        <v>6594</v>
      </c>
      <c r="B253" t="s">
        <v>6112</v>
      </c>
      <c r="C253">
        <v>40.092500000000001</v>
      </c>
      <c r="D253">
        <v>-105.35769999999999</v>
      </c>
      <c r="E253" t="s">
        <v>6595</v>
      </c>
    </row>
    <row r="254" spans="1:5" hidden="1" x14ac:dyDescent="0.25">
      <c r="A254" t="s">
        <v>6596</v>
      </c>
      <c r="B254" t="s">
        <v>6112</v>
      </c>
      <c r="C254">
        <v>39.954099999999997</v>
      </c>
      <c r="D254">
        <v>-105.0527</v>
      </c>
      <c r="E254" t="s">
        <v>6597</v>
      </c>
    </row>
    <row r="255" spans="1:5" hidden="1" x14ac:dyDescent="0.25">
      <c r="A255" t="s">
        <v>6598</v>
      </c>
      <c r="B255" t="s">
        <v>6112</v>
      </c>
      <c r="C255">
        <v>38.747</v>
      </c>
      <c r="D255">
        <v>-106.19410000000001</v>
      </c>
      <c r="E255" t="s">
        <v>6599</v>
      </c>
    </row>
    <row r="256" spans="1:5" hidden="1" x14ac:dyDescent="0.25">
      <c r="A256" t="s">
        <v>6600</v>
      </c>
      <c r="B256" t="s">
        <v>6112</v>
      </c>
      <c r="C256">
        <v>38.8279</v>
      </c>
      <c r="D256">
        <v>-102.6036</v>
      </c>
      <c r="E256" t="s">
        <v>6601</v>
      </c>
    </row>
    <row r="257" spans="1:5" hidden="1" x14ac:dyDescent="0.25">
      <c r="A257" t="s">
        <v>6602</v>
      </c>
      <c r="B257" t="s">
        <v>6112</v>
      </c>
      <c r="C257">
        <v>39.689100000000003</v>
      </c>
      <c r="D257">
        <v>-105.6444</v>
      </c>
      <c r="E257" t="s">
        <v>6603</v>
      </c>
    </row>
    <row r="258" spans="1:5" hidden="1" x14ac:dyDescent="0.25">
      <c r="A258" t="s">
        <v>6604</v>
      </c>
      <c r="B258" t="s">
        <v>6112</v>
      </c>
      <c r="C258">
        <v>37.200699999999998</v>
      </c>
      <c r="D258">
        <v>-106.19159999999999</v>
      </c>
      <c r="E258" t="s">
        <v>6605</v>
      </c>
    </row>
    <row r="259" spans="1:5" hidden="1" x14ac:dyDescent="0.25">
      <c r="A259" t="s">
        <v>6606</v>
      </c>
      <c r="B259" t="s">
        <v>6112</v>
      </c>
      <c r="C259">
        <v>37.278100000000002</v>
      </c>
      <c r="D259">
        <v>-105.4282</v>
      </c>
      <c r="E259" t="s">
        <v>6607</v>
      </c>
    </row>
    <row r="260" spans="1:5" hidden="1" x14ac:dyDescent="0.25">
      <c r="A260" t="s">
        <v>6608</v>
      </c>
      <c r="B260" t="s">
        <v>6112</v>
      </c>
      <c r="C260">
        <v>38.326599999999999</v>
      </c>
      <c r="D260">
        <v>-103.78449999999999</v>
      </c>
      <c r="E260" t="s">
        <v>6609</v>
      </c>
    </row>
    <row r="261" spans="1:5" hidden="1" x14ac:dyDescent="0.25">
      <c r="A261" t="s">
        <v>6610</v>
      </c>
      <c r="B261" t="s">
        <v>6112</v>
      </c>
      <c r="C261">
        <v>38.108699999999999</v>
      </c>
      <c r="D261">
        <v>-105.36750000000001</v>
      </c>
      <c r="E261" t="s">
        <v>6611</v>
      </c>
    </row>
    <row r="262" spans="1:5" hidden="1" x14ac:dyDescent="0.25">
      <c r="A262" t="s">
        <v>6612</v>
      </c>
      <c r="B262" t="s">
        <v>6112</v>
      </c>
      <c r="C262">
        <v>38.861400000000003</v>
      </c>
      <c r="D262">
        <v>-107.8629</v>
      </c>
      <c r="E262" t="s">
        <v>6613</v>
      </c>
    </row>
    <row r="263" spans="1:5" hidden="1" x14ac:dyDescent="0.25">
      <c r="A263" t="s">
        <v>6614</v>
      </c>
      <c r="B263" t="s">
        <v>6112</v>
      </c>
      <c r="C263">
        <v>39.762</v>
      </c>
      <c r="D263">
        <v>-104.8758</v>
      </c>
      <c r="E263" t="s">
        <v>6615</v>
      </c>
    </row>
    <row r="264" spans="1:5" hidden="1" x14ac:dyDescent="0.25">
      <c r="A264" t="s">
        <v>6616</v>
      </c>
      <c r="B264" t="s">
        <v>6112</v>
      </c>
      <c r="C264">
        <v>37.7517</v>
      </c>
      <c r="D264">
        <v>-108.51739999999999</v>
      </c>
      <c r="E264" t="s">
        <v>6617</v>
      </c>
    </row>
    <row r="265" spans="1:5" hidden="1" x14ac:dyDescent="0.25">
      <c r="A265" t="s">
        <v>2538</v>
      </c>
      <c r="B265" t="s">
        <v>6112</v>
      </c>
      <c r="C265">
        <v>39.329799999999999</v>
      </c>
      <c r="D265">
        <v>-104.9293</v>
      </c>
      <c r="E265" t="s">
        <v>6618</v>
      </c>
    </row>
    <row r="266" spans="1:5" hidden="1" x14ac:dyDescent="0.25">
      <c r="A266" t="s">
        <v>1797</v>
      </c>
      <c r="B266" t="s">
        <v>6112</v>
      </c>
      <c r="C266">
        <v>39.627800000000001</v>
      </c>
      <c r="D266">
        <v>-106.6953</v>
      </c>
      <c r="E266" t="s">
        <v>6619</v>
      </c>
    </row>
    <row r="267" spans="1:5" hidden="1" x14ac:dyDescent="0.25">
      <c r="A267" t="s">
        <v>6620</v>
      </c>
      <c r="B267" t="s">
        <v>6112</v>
      </c>
      <c r="C267">
        <v>38.832099999999997</v>
      </c>
      <c r="D267">
        <v>-104.5254</v>
      </c>
      <c r="E267" t="s">
        <v>6621</v>
      </c>
    </row>
    <row r="268" spans="1:5" hidden="1" x14ac:dyDescent="0.25">
      <c r="A268" t="s">
        <v>6622</v>
      </c>
      <c r="B268" t="s">
        <v>6112</v>
      </c>
      <c r="C268">
        <v>39.286499999999997</v>
      </c>
      <c r="D268">
        <v>-104.1357</v>
      </c>
      <c r="E268" t="s">
        <v>6623</v>
      </c>
    </row>
    <row r="269" spans="1:5" hidden="1" x14ac:dyDescent="0.25">
      <c r="A269" t="s">
        <v>6624</v>
      </c>
      <c r="B269" t="s">
        <v>6112</v>
      </c>
      <c r="C269">
        <v>38.473100000000002</v>
      </c>
      <c r="D269">
        <v>-105.4395</v>
      </c>
      <c r="E269" t="s">
        <v>6625</v>
      </c>
    </row>
    <row r="270" spans="1:5" hidden="1" x14ac:dyDescent="0.25">
      <c r="A270" t="s">
        <v>6626</v>
      </c>
      <c r="B270" t="s">
        <v>6112</v>
      </c>
      <c r="C270">
        <v>39.599299999999999</v>
      </c>
      <c r="D270">
        <v>-107.904</v>
      </c>
      <c r="E270" t="s">
        <v>6627</v>
      </c>
    </row>
    <row r="271" spans="1:5" hidden="1" x14ac:dyDescent="0.25">
      <c r="A271" t="s">
        <v>6628</v>
      </c>
      <c r="B271" t="s">
        <v>6112</v>
      </c>
      <c r="C271">
        <v>39.857500000000002</v>
      </c>
      <c r="D271">
        <v>-105.5226</v>
      </c>
      <c r="E271" t="s">
        <v>6629</v>
      </c>
    </row>
    <row r="272" spans="1:5" hidden="1" x14ac:dyDescent="0.25">
      <c r="A272" t="s">
        <v>6630</v>
      </c>
      <c r="B272" t="s">
        <v>6112</v>
      </c>
      <c r="C272">
        <v>40.102600000000002</v>
      </c>
      <c r="D272">
        <v>-106.1183</v>
      </c>
      <c r="E272" t="s">
        <v>6631</v>
      </c>
    </row>
    <row r="273" spans="1:5" hidden="1" x14ac:dyDescent="0.25">
      <c r="A273" t="s">
        <v>6632</v>
      </c>
      <c r="B273" t="s">
        <v>6112</v>
      </c>
      <c r="C273">
        <v>38.666699999999999</v>
      </c>
      <c r="D273">
        <v>-107.0316</v>
      </c>
      <c r="E273" t="s">
        <v>6633</v>
      </c>
    </row>
    <row r="274" spans="1:5" hidden="1" x14ac:dyDescent="0.25">
      <c r="A274" t="s">
        <v>6634</v>
      </c>
      <c r="B274" t="s">
        <v>6112</v>
      </c>
      <c r="C274">
        <v>37.821300000000001</v>
      </c>
      <c r="D274">
        <v>-107.30029999999999</v>
      </c>
      <c r="E274" t="s">
        <v>6635</v>
      </c>
    </row>
    <row r="275" spans="1:5" hidden="1" x14ac:dyDescent="0.25">
      <c r="A275" t="s">
        <v>6636</v>
      </c>
      <c r="B275" t="s">
        <v>6112</v>
      </c>
      <c r="C275">
        <v>37.684699999999999</v>
      </c>
      <c r="D275">
        <v>-104.9606</v>
      </c>
      <c r="E275" t="s">
        <v>6637</v>
      </c>
    </row>
    <row r="276" spans="1:5" hidden="1" x14ac:dyDescent="0.25">
      <c r="A276" t="s">
        <v>191</v>
      </c>
      <c r="B276" t="s">
        <v>6112</v>
      </c>
      <c r="C276">
        <v>40.666400000000003</v>
      </c>
      <c r="D276">
        <v>-106.3428</v>
      </c>
      <c r="E276" t="s">
        <v>6638</v>
      </c>
    </row>
    <row r="277" spans="1:5" hidden="1" x14ac:dyDescent="0.25">
      <c r="A277" t="s">
        <v>6272</v>
      </c>
      <c r="B277" t="s">
        <v>6112</v>
      </c>
      <c r="C277">
        <v>39.586399999999998</v>
      </c>
      <c r="D277">
        <v>-105.2505</v>
      </c>
      <c r="E277" t="s">
        <v>6639</v>
      </c>
    </row>
    <row r="278" spans="1:5" hidden="1" x14ac:dyDescent="0.25">
      <c r="A278" t="s">
        <v>6640</v>
      </c>
      <c r="B278" t="s">
        <v>6112</v>
      </c>
      <c r="C278">
        <v>38.432600000000001</v>
      </c>
      <c r="D278">
        <v>-102.7402</v>
      </c>
      <c r="E278" t="s">
        <v>6641</v>
      </c>
    </row>
    <row r="279" spans="1:5" hidden="1" x14ac:dyDescent="0.25">
      <c r="A279" t="s">
        <v>6642</v>
      </c>
      <c r="B279" t="s">
        <v>6112</v>
      </c>
      <c r="C279">
        <v>39.305500000000002</v>
      </c>
      <c r="D279">
        <v>-102.60299999999999</v>
      </c>
      <c r="E279" t="s">
        <v>6643</v>
      </c>
    </row>
    <row r="280" spans="1:5" hidden="1" x14ac:dyDescent="0.25">
      <c r="A280" t="s">
        <v>6644</v>
      </c>
      <c r="B280" t="s">
        <v>6112</v>
      </c>
      <c r="C280">
        <v>37.2866</v>
      </c>
      <c r="D280">
        <v>-107.8433</v>
      </c>
      <c r="E280" t="s">
        <v>6645</v>
      </c>
    </row>
    <row r="281" spans="1:5" hidden="1" x14ac:dyDescent="0.25">
      <c r="A281" t="s">
        <v>3705</v>
      </c>
      <c r="B281" t="s">
        <v>6112</v>
      </c>
      <c r="C281">
        <v>39.202500000000001</v>
      </c>
      <c r="D281">
        <v>-106.34480000000001</v>
      </c>
      <c r="E281" t="s">
        <v>6646</v>
      </c>
    </row>
    <row r="282" spans="1:5" hidden="1" x14ac:dyDescent="0.25">
      <c r="A282" t="s">
        <v>6647</v>
      </c>
      <c r="B282" t="s">
        <v>6112</v>
      </c>
      <c r="C282">
        <v>40.666400000000003</v>
      </c>
      <c r="D282">
        <v>-105.4611</v>
      </c>
      <c r="E282" t="s">
        <v>6648</v>
      </c>
    </row>
    <row r="283" spans="1:5" hidden="1" x14ac:dyDescent="0.25">
      <c r="A283" t="s">
        <v>6649</v>
      </c>
      <c r="B283" t="s">
        <v>6112</v>
      </c>
      <c r="C283">
        <v>37.315800000000003</v>
      </c>
      <c r="D283">
        <v>-104.03870000000001</v>
      </c>
      <c r="E283" t="s">
        <v>6650</v>
      </c>
    </row>
    <row r="284" spans="1:5" hidden="1" x14ac:dyDescent="0.25">
      <c r="A284" t="s">
        <v>6386</v>
      </c>
      <c r="B284" t="s">
        <v>6112</v>
      </c>
      <c r="C284">
        <v>38.988100000000003</v>
      </c>
      <c r="D284">
        <v>-103.514</v>
      </c>
      <c r="E284" t="s">
        <v>6651</v>
      </c>
    </row>
    <row r="285" spans="1:5" hidden="1" x14ac:dyDescent="0.25">
      <c r="A285" t="s">
        <v>987</v>
      </c>
      <c r="B285" t="s">
        <v>6112</v>
      </c>
      <c r="C285">
        <v>40.724699999999999</v>
      </c>
      <c r="D285">
        <v>-103.1101</v>
      </c>
      <c r="E285" t="s">
        <v>6652</v>
      </c>
    </row>
    <row r="286" spans="1:5" hidden="1" x14ac:dyDescent="0.25">
      <c r="A286" t="s">
        <v>6653</v>
      </c>
      <c r="B286" t="s">
        <v>6112</v>
      </c>
      <c r="C286">
        <v>39.018300000000004</v>
      </c>
      <c r="D286">
        <v>-108.46639999999999</v>
      </c>
      <c r="E286" t="s">
        <v>6654</v>
      </c>
    </row>
    <row r="287" spans="1:5" hidden="1" x14ac:dyDescent="0.25">
      <c r="A287" t="s">
        <v>6655</v>
      </c>
      <c r="B287" t="s">
        <v>6112</v>
      </c>
      <c r="C287">
        <v>37.668900000000001</v>
      </c>
      <c r="D287">
        <v>-106.9241</v>
      </c>
      <c r="E287" t="s">
        <v>6656</v>
      </c>
    </row>
    <row r="288" spans="1:5" hidden="1" x14ac:dyDescent="0.25">
      <c r="A288" t="s">
        <v>6657</v>
      </c>
      <c r="B288" t="s">
        <v>6112</v>
      </c>
      <c r="C288">
        <v>40.618400000000001</v>
      </c>
      <c r="D288">
        <v>-108.20740000000001</v>
      </c>
      <c r="E288" t="s">
        <v>6658</v>
      </c>
    </row>
    <row r="289" spans="1:5" hidden="1" x14ac:dyDescent="0.25">
      <c r="A289" t="s">
        <v>6659</v>
      </c>
      <c r="B289" t="s">
        <v>6112</v>
      </c>
      <c r="C289">
        <v>37.3386</v>
      </c>
      <c r="D289">
        <v>-108.5966</v>
      </c>
      <c r="E289" t="s">
        <v>6660</v>
      </c>
    </row>
    <row r="290" spans="1:5" hidden="1" x14ac:dyDescent="0.25">
      <c r="A290" t="s">
        <v>6661</v>
      </c>
      <c r="B290" t="s">
        <v>6112</v>
      </c>
      <c r="C290">
        <v>38.402200000000001</v>
      </c>
      <c r="D290">
        <v>-108.2692</v>
      </c>
      <c r="E290" t="s">
        <v>6662</v>
      </c>
    </row>
    <row r="291" spans="1:5" hidden="1" x14ac:dyDescent="0.25">
      <c r="A291" t="s">
        <v>496</v>
      </c>
      <c r="B291" t="s">
        <v>6112</v>
      </c>
      <c r="C291">
        <v>40.262599999999999</v>
      </c>
      <c r="D291">
        <v>-103.80970000000001</v>
      </c>
      <c r="E291" t="s">
        <v>6663</v>
      </c>
    </row>
    <row r="292" spans="1:5" hidden="1" x14ac:dyDescent="0.25">
      <c r="A292" t="s">
        <v>6664</v>
      </c>
      <c r="B292" t="s">
        <v>6112</v>
      </c>
      <c r="C292">
        <v>37.9026</v>
      </c>
      <c r="D292">
        <v>-103.7165</v>
      </c>
      <c r="E292" t="s">
        <v>6665</v>
      </c>
    </row>
    <row r="293" spans="1:5" hidden="1" x14ac:dyDescent="0.25">
      <c r="A293" t="s">
        <v>6666</v>
      </c>
      <c r="B293" t="s">
        <v>6112</v>
      </c>
      <c r="C293">
        <v>38.155500000000004</v>
      </c>
      <c r="D293">
        <v>-107.7693</v>
      </c>
      <c r="E293" t="s">
        <v>6667</v>
      </c>
    </row>
    <row r="294" spans="1:5" hidden="1" x14ac:dyDescent="0.25">
      <c r="A294" t="s">
        <v>6668</v>
      </c>
      <c r="B294" t="s">
        <v>6112</v>
      </c>
      <c r="C294">
        <v>39.119399999999999</v>
      </c>
      <c r="D294">
        <v>-105.71720000000001</v>
      </c>
      <c r="E294" t="s">
        <v>6669</v>
      </c>
    </row>
    <row r="295" spans="1:5" hidden="1" x14ac:dyDescent="0.25">
      <c r="A295" t="s">
        <v>4249</v>
      </c>
      <c r="B295" t="s">
        <v>6112</v>
      </c>
      <c r="C295">
        <v>40.594000000000001</v>
      </c>
      <c r="D295">
        <v>-102.35760000000001</v>
      </c>
      <c r="E295" t="s">
        <v>6670</v>
      </c>
    </row>
    <row r="296" spans="1:5" hidden="1" x14ac:dyDescent="0.25">
      <c r="A296" t="s">
        <v>6671</v>
      </c>
      <c r="B296" t="s">
        <v>6112</v>
      </c>
      <c r="C296">
        <v>39.217100000000002</v>
      </c>
      <c r="D296">
        <v>-106.9166</v>
      </c>
      <c r="E296" t="s">
        <v>6672</v>
      </c>
    </row>
    <row r="297" spans="1:5" hidden="1" x14ac:dyDescent="0.25">
      <c r="A297" t="s">
        <v>6673</v>
      </c>
      <c r="B297" t="s">
        <v>6112</v>
      </c>
      <c r="C297">
        <v>37.955199999999998</v>
      </c>
      <c r="D297">
        <v>-102.3934</v>
      </c>
      <c r="E297" t="s">
        <v>6674</v>
      </c>
    </row>
    <row r="298" spans="1:5" hidden="1" x14ac:dyDescent="0.25">
      <c r="A298" t="s">
        <v>6675</v>
      </c>
      <c r="B298" t="s">
        <v>6112</v>
      </c>
      <c r="C298">
        <v>38.173499999999997</v>
      </c>
      <c r="D298">
        <v>-104.5127</v>
      </c>
      <c r="E298" t="s">
        <v>6676</v>
      </c>
    </row>
    <row r="299" spans="1:5" hidden="1" x14ac:dyDescent="0.25">
      <c r="A299" t="s">
        <v>6677</v>
      </c>
      <c r="B299" t="s">
        <v>6112</v>
      </c>
      <c r="C299">
        <v>39.979799999999997</v>
      </c>
      <c r="D299">
        <v>-108.2171</v>
      </c>
      <c r="E299" t="s">
        <v>6678</v>
      </c>
    </row>
    <row r="300" spans="1:5" hidden="1" x14ac:dyDescent="0.25">
      <c r="A300" t="s">
        <v>6679</v>
      </c>
      <c r="B300" t="s">
        <v>6112</v>
      </c>
      <c r="C300">
        <v>37.582500000000003</v>
      </c>
      <c r="D300">
        <v>-106.3832</v>
      </c>
      <c r="E300" t="s">
        <v>6680</v>
      </c>
    </row>
    <row r="301" spans="1:5" hidden="1" x14ac:dyDescent="0.25">
      <c r="A301" t="s">
        <v>6681</v>
      </c>
      <c r="B301" t="s">
        <v>6112</v>
      </c>
      <c r="C301">
        <v>40.485199999999999</v>
      </c>
      <c r="D301">
        <v>-106.9913</v>
      </c>
      <c r="E301" t="s">
        <v>6682</v>
      </c>
    </row>
    <row r="302" spans="1:5" hidden="1" x14ac:dyDescent="0.25">
      <c r="A302" t="s">
        <v>6683</v>
      </c>
      <c r="B302" t="s">
        <v>6112</v>
      </c>
      <c r="C302">
        <v>38.080500000000001</v>
      </c>
      <c r="D302">
        <v>-106.28149999999999</v>
      </c>
      <c r="E302" t="s">
        <v>6684</v>
      </c>
    </row>
    <row r="303" spans="1:5" hidden="1" x14ac:dyDescent="0.25">
      <c r="A303" t="s">
        <v>6685</v>
      </c>
      <c r="B303" t="s">
        <v>6112</v>
      </c>
      <c r="C303">
        <v>37.764000000000003</v>
      </c>
      <c r="D303">
        <v>-107.67619999999999</v>
      </c>
      <c r="E303" t="s">
        <v>6686</v>
      </c>
    </row>
    <row r="304" spans="1:5" hidden="1" x14ac:dyDescent="0.25">
      <c r="A304" t="s">
        <v>6687</v>
      </c>
      <c r="B304" t="s">
        <v>6112</v>
      </c>
      <c r="C304">
        <v>38.003799999999998</v>
      </c>
      <c r="D304">
        <v>-108.4059</v>
      </c>
      <c r="E304" t="s">
        <v>6688</v>
      </c>
    </row>
    <row r="305" spans="1:5" hidden="1" x14ac:dyDescent="0.25">
      <c r="A305" t="s">
        <v>6689</v>
      </c>
      <c r="B305" t="s">
        <v>6112</v>
      </c>
      <c r="C305">
        <v>40.875900000000001</v>
      </c>
      <c r="D305">
        <v>-102.3518</v>
      </c>
      <c r="E305" t="s">
        <v>6690</v>
      </c>
    </row>
    <row r="306" spans="1:5" hidden="1" x14ac:dyDescent="0.25">
      <c r="A306" t="s">
        <v>6691</v>
      </c>
      <c r="B306" t="s">
        <v>6112</v>
      </c>
      <c r="C306">
        <v>39.6342</v>
      </c>
      <c r="D306">
        <v>-106.1164</v>
      </c>
      <c r="E306" t="s">
        <v>6692</v>
      </c>
    </row>
    <row r="307" spans="1:5" hidden="1" x14ac:dyDescent="0.25">
      <c r="A307" t="s">
        <v>6693</v>
      </c>
      <c r="B307" t="s">
        <v>6112</v>
      </c>
      <c r="C307">
        <v>38.882399999999997</v>
      </c>
      <c r="D307">
        <v>-105.1617</v>
      </c>
      <c r="E307" t="s">
        <v>6694</v>
      </c>
    </row>
    <row r="308" spans="1:5" hidden="1" x14ac:dyDescent="0.25">
      <c r="A308" t="s">
        <v>3052</v>
      </c>
      <c r="B308" t="s">
        <v>6112</v>
      </c>
      <c r="C308">
        <v>39.970999999999997</v>
      </c>
      <c r="D308">
        <v>-103.2012</v>
      </c>
      <c r="E308" t="s">
        <v>6695</v>
      </c>
    </row>
    <row r="309" spans="1:5" hidden="1" x14ac:dyDescent="0.25">
      <c r="A309" t="s">
        <v>6696</v>
      </c>
      <c r="B309" t="s">
        <v>6112</v>
      </c>
      <c r="C309">
        <v>40.5548</v>
      </c>
      <c r="D309">
        <v>-104.3925</v>
      </c>
      <c r="E309" t="s">
        <v>6697</v>
      </c>
    </row>
    <row r="310" spans="1:5" hidden="1" x14ac:dyDescent="0.25">
      <c r="A310" t="s">
        <v>6468</v>
      </c>
      <c r="B310" t="s">
        <v>6112</v>
      </c>
      <c r="C310">
        <v>40.002899999999997</v>
      </c>
      <c r="D310">
        <v>-102.4243</v>
      </c>
      <c r="E310" t="s">
        <v>6698</v>
      </c>
    </row>
    <row r="311" spans="1:5" hidden="1" x14ac:dyDescent="0.25">
      <c r="A311" t="s">
        <v>6699</v>
      </c>
      <c r="B311" t="s">
        <v>6115</v>
      </c>
      <c r="C311">
        <v>41.8185</v>
      </c>
      <c r="D311">
        <v>-72.572000000000003</v>
      </c>
      <c r="E311" t="s">
        <v>6700</v>
      </c>
    </row>
    <row r="312" spans="1:5" hidden="1" x14ac:dyDescent="0.25">
      <c r="A312" t="s">
        <v>6701</v>
      </c>
      <c r="B312" t="s">
        <v>6115</v>
      </c>
      <c r="C312">
        <v>41.242800000000003</v>
      </c>
      <c r="D312">
        <v>-73.231399999999994</v>
      </c>
      <c r="E312" t="s">
        <v>6702</v>
      </c>
    </row>
    <row r="313" spans="1:5" hidden="1" x14ac:dyDescent="0.25">
      <c r="A313" t="s">
        <v>6703</v>
      </c>
      <c r="B313" t="s">
        <v>6115</v>
      </c>
      <c r="C313">
        <v>41.45</v>
      </c>
      <c r="D313">
        <v>-72.507300000000001</v>
      </c>
      <c r="E313" t="s">
        <v>6704</v>
      </c>
    </row>
    <row r="314" spans="1:5" hidden="1" x14ac:dyDescent="0.25">
      <c r="A314" t="s">
        <v>6705</v>
      </c>
      <c r="B314" t="s">
        <v>6115</v>
      </c>
      <c r="C314">
        <v>41.523099999999999</v>
      </c>
      <c r="D314">
        <v>-73.085999999999999</v>
      </c>
      <c r="E314" t="s">
        <v>6706</v>
      </c>
    </row>
    <row r="315" spans="1:5" hidden="1" x14ac:dyDescent="0.25">
      <c r="A315" t="s">
        <v>6707</v>
      </c>
      <c r="B315" t="s">
        <v>6115</v>
      </c>
      <c r="C315">
        <v>41.826999999999998</v>
      </c>
      <c r="D315">
        <v>-71.976900000000001</v>
      </c>
      <c r="E315" t="s">
        <v>6708</v>
      </c>
    </row>
    <row r="316" spans="1:5" hidden="1" x14ac:dyDescent="0.25">
      <c r="A316" t="s">
        <v>6709</v>
      </c>
      <c r="B316" t="s">
        <v>6115</v>
      </c>
      <c r="C316">
        <v>41.846899999999998</v>
      </c>
      <c r="D316">
        <v>-73.221199999999996</v>
      </c>
      <c r="E316" t="s">
        <v>6710</v>
      </c>
    </row>
    <row r="317" spans="1:5" hidden="1" x14ac:dyDescent="0.25">
      <c r="A317" t="s">
        <v>6711</v>
      </c>
      <c r="B317" t="s">
        <v>6115</v>
      </c>
      <c r="C317">
        <v>41.3613</v>
      </c>
      <c r="D317">
        <v>-72.844499999999996</v>
      </c>
      <c r="E317" t="s">
        <v>6712</v>
      </c>
    </row>
    <row r="318" spans="1:5" hidden="1" x14ac:dyDescent="0.25">
      <c r="A318" t="s">
        <v>6713</v>
      </c>
      <c r="B318" t="s">
        <v>6115</v>
      </c>
      <c r="C318">
        <v>41.502299999999998</v>
      </c>
      <c r="D318">
        <v>-72.099999999999994</v>
      </c>
      <c r="E318" t="s">
        <v>6714</v>
      </c>
    </row>
    <row r="319" spans="1:5" hidden="1" x14ac:dyDescent="0.25">
      <c r="A319" t="s">
        <v>6715</v>
      </c>
      <c r="B319" t="s">
        <v>6115</v>
      </c>
      <c r="C319">
        <v>41.322499999999998</v>
      </c>
      <c r="D319">
        <v>-73.447500000000005</v>
      </c>
      <c r="E319" t="s">
        <v>6716</v>
      </c>
    </row>
    <row r="320" spans="1:5" hidden="1" x14ac:dyDescent="0.25">
      <c r="A320" t="s">
        <v>6717</v>
      </c>
      <c r="B320" t="s">
        <v>6118</v>
      </c>
      <c r="C320">
        <v>38.904699999999998</v>
      </c>
      <c r="D320">
        <v>-77.016300000000001</v>
      </c>
      <c r="E320" t="s">
        <v>6718</v>
      </c>
    </row>
    <row r="321" spans="1:5" hidden="1" x14ac:dyDescent="0.25">
      <c r="A321" t="s">
        <v>2070</v>
      </c>
      <c r="B321" t="s">
        <v>6121</v>
      </c>
      <c r="C321">
        <v>39.085999999999999</v>
      </c>
      <c r="D321">
        <v>-75.568600000000004</v>
      </c>
      <c r="E321" t="s">
        <v>6719</v>
      </c>
    </row>
    <row r="322" spans="1:5" hidden="1" x14ac:dyDescent="0.25">
      <c r="A322" t="s">
        <v>6720</v>
      </c>
      <c r="B322" t="s">
        <v>6121</v>
      </c>
      <c r="C322">
        <v>39.576799999999999</v>
      </c>
      <c r="D322">
        <v>-75.652699999999996</v>
      </c>
      <c r="E322" t="s">
        <v>6721</v>
      </c>
    </row>
    <row r="323" spans="1:5" hidden="1" x14ac:dyDescent="0.25">
      <c r="A323" t="s">
        <v>6722</v>
      </c>
      <c r="B323" t="s">
        <v>6121</v>
      </c>
      <c r="C323">
        <v>38.660600000000002</v>
      </c>
      <c r="D323">
        <v>-75.39</v>
      </c>
      <c r="E323" t="s">
        <v>6723</v>
      </c>
    </row>
    <row r="324" spans="1:5" hidden="1" x14ac:dyDescent="0.25">
      <c r="A324" t="s">
        <v>6724</v>
      </c>
      <c r="B324" t="s">
        <v>6124</v>
      </c>
      <c r="C324">
        <v>29.674700000000001</v>
      </c>
      <c r="D324">
        <v>-82.357699999999994</v>
      </c>
      <c r="E324" t="s">
        <v>6725</v>
      </c>
    </row>
    <row r="325" spans="1:5" hidden="1" x14ac:dyDescent="0.25">
      <c r="A325" t="s">
        <v>1620</v>
      </c>
      <c r="B325" t="s">
        <v>6124</v>
      </c>
      <c r="C325">
        <v>30.331099999999999</v>
      </c>
      <c r="D325">
        <v>-82.284599999999998</v>
      </c>
      <c r="E325" t="s">
        <v>6726</v>
      </c>
    </row>
    <row r="326" spans="1:5" hidden="1" x14ac:dyDescent="0.25">
      <c r="A326" t="s">
        <v>6727</v>
      </c>
      <c r="B326" t="s">
        <v>6124</v>
      </c>
      <c r="C326">
        <v>30.2652</v>
      </c>
      <c r="D326">
        <v>-85.6203</v>
      </c>
      <c r="E326" t="s">
        <v>6728</v>
      </c>
    </row>
    <row r="327" spans="1:5" hidden="1" x14ac:dyDescent="0.25">
      <c r="A327" t="s">
        <v>6729</v>
      </c>
      <c r="B327" t="s">
        <v>6124</v>
      </c>
      <c r="C327">
        <v>29.95</v>
      </c>
      <c r="D327">
        <v>-82.168800000000005</v>
      </c>
      <c r="E327" t="s">
        <v>6730</v>
      </c>
    </row>
    <row r="328" spans="1:5" hidden="1" x14ac:dyDescent="0.25">
      <c r="A328" t="s">
        <v>6731</v>
      </c>
      <c r="B328" t="s">
        <v>6124</v>
      </c>
      <c r="C328">
        <v>28.293700000000001</v>
      </c>
      <c r="D328">
        <v>-80.732299999999995</v>
      </c>
      <c r="E328" t="s">
        <v>6732</v>
      </c>
    </row>
    <row r="329" spans="1:5" hidden="1" x14ac:dyDescent="0.25">
      <c r="A329" t="s">
        <v>6733</v>
      </c>
      <c r="B329" t="s">
        <v>6124</v>
      </c>
      <c r="C329">
        <v>26.1523</v>
      </c>
      <c r="D329">
        <v>-80.487099999999998</v>
      </c>
      <c r="E329" t="s">
        <v>6734</v>
      </c>
    </row>
    <row r="330" spans="1:5" hidden="1" x14ac:dyDescent="0.25">
      <c r="A330" t="s">
        <v>1505</v>
      </c>
      <c r="B330" t="s">
        <v>6124</v>
      </c>
      <c r="C330">
        <v>30.405999999999999</v>
      </c>
      <c r="D330">
        <v>-85.197199999999995</v>
      </c>
      <c r="E330" t="s">
        <v>6735</v>
      </c>
    </row>
    <row r="331" spans="1:5" hidden="1" x14ac:dyDescent="0.25">
      <c r="A331" t="s">
        <v>2124</v>
      </c>
      <c r="B331" t="s">
        <v>6124</v>
      </c>
      <c r="C331">
        <v>26.905799999999999</v>
      </c>
      <c r="D331">
        <v>-81.9114</v>
      </c>
      <c r="E331" t="s">
        <v>6736</v>
      </c>
    </row>
    <row r="332" spans="1:5" hidden="1" x14ac:dyDescent="0.25">
      <c r="A332" t="s">
        <v>6737</v>
      </c>
      <c r="B332" t="s">
        <v>6124</v>
      </c>
      <c r="C332">
        <v>28.8489</v>
      </c>
      <c r="D332">
        <v>-82.479399999999998</v>
      </c>
      <c r="E332" t="s">
        <v>6738</v>
      </c>
    </row>
    <row r="333" spans="1:5" hidden="1" x14ac:dyDescent="0.25">
      <c r="A333" t="s">
        <v>6221</v>
      </c>
      <c r="B333" t="s">
        <v>6124</v>
      </c>
      <c r="C333">
        <v>29.9831</v>
      </c>
      <c r="D333">
        <v>-81.857900000000001</v>
      </c>
      <c r="E333" t="s">
        <v>6739</v>
      </c>
    </row>
    <row r="334" spans="1:5" hidden="1" x14ac:dyDescent="0.25">
      <c r="A334" t="s">
        <v>6740</v>
      </c>
      <c r="B334" t="s">
        <v>6124</v>
      </c>
      <c r="C334">
        <v>26.110800000000001</v>
      </c>
      <c r="D334">
        <v>-81.347399999999993</v>
      </c>
      <c r="E334" t="s">
        <v>6741</v>
      </c>
    </row>
    <row r="335" spans="1:5" hidden="1" x14ac:dyDescent="0.25">
      <c r="A335" t="s">
        <v>6349</v>
      </c>
      <c r="B335" t="s">
        <v>6124</v>
      </c>
      <c r="C335">
        <v>30.2242</v>
      </c>
      <c r="D335">
        <v>-82.621499999999997</v>
      </c>
      <c r="E335" t="s">
        <v>6742</v>
      </c>
    </row>
    <row r="336" spans="1:5" hidden="1" x14ac:dyDescent="0.25">
      <c r="A336" t="s">
        <v>6743</v>
      </c>
      <c r="B336" t="s">
        <v>6124</v>
      </c>
      <c r="C336">
        <v>27.186299999999999</v>
      </c>
      <c r="D336">
        <v>-81.8095</v>
      </c>
      <c r="E336" t="s">
        <v>6744</v>
      </c>
    </row>
    <row r="337" spans="1:5" hidden="1" x14ac:dyDescent="0.25">
      <c r="A337" t="s">
        <v>6745</v>
      </c>
      <c r="B337" t="s">
        <v>6124</v>
      </c>
      <c r="C337">
        <v>29.608599999999999</v>
      </c>
      <c r="D337">
        <v>-83.158699999999996</v>
      </c>
      <c r="E337" t="s">
        <v>6746</v>
      </c>
    </row>
    <row r="338" spans="1:5" hidden="1" x14ac:dyDescent="0.25">
      <c r="A338" t="s">
        <v>6747</v>
      </c>
      <c r="B338" t="s">
        <v>6124</v>
      </c>
      <c r="C338">
        <v>30.331299999999999</v>
      </c>
      <c r="D338">
        <v>-81.671499999999995</v>
      </c>
      <c r="E338" t="s">
        <v>6748</v>
      </c>
    </row>
    <row r="339" spans="1:5" hidden="1" x14ac:dyDescent="0.25">
      <c r="A339" t="s">
        <v>6254</v>
      </c>
      <c r="B339" t="s">
        <v>6124</v>
      </c>
      <c r="C339">
        <v>30.669</v>
      </c>
      <c r="D339">
        <v>-87.363</v>
      </c>
      <c r="E339" t="s">
        <v>6749</v>
      </c>
    </row>
    <row r="340" spans="1:5" hidden="1" x14ac:dyDescent="0.25">
      <c r="A340" t="s">
        <v>6750</v>
      </c>
      <c r="B340" t="s">
        <v>6124</v>
      </c>
      <c r="C340">
        <v>29.461400000000001</v>
      </c>
      <c r="D340">
        <v>-81.313599999999994</v>
      </c>
      <c r="E340" t="s">
        <v>6751</v>
      </c>
    </row>
    <row r="341" spans="1:5" hidden="1" x14ac:dyDescent="0.25">
      <c r="A341" t="s">
        <v>6260</v>
      </c>
      <c r="B341" t="s">
        <v>6124</v>
      </c>
      <c r="C341">
        <v>29.8766</v>
      </c>
      <c r="D341">
        <v>-84.813699999999997</v>
      </c>
      <c r="E341" t="s">
        <v>6752</v>
      </c>
    </row>
    <row r="342" spans="1:5" hidden="1" x14ac:dyDescent="0.25">
      <c r="A342" t="s">
        <v>6753</v>
      </c>
      <c r="B342" t="s">
        <v>6124</v>
      </c>
      <c r="C342">
        <v>30.579499999999999</v>
      </c>
      <c r="D342">
        <v>-84.613699999999994</v>
      </c>
      <c r="E342" t="s">
        <v>6754</v>
      </c>
    </row>
    <row r="343" spans="1:5" hidden="1" x14ac:dyDescent="0.25">
      <c r="A343" t="s">
        <v>6755</v>
      </c>
      <c r="B343" t="s">
        <v>6124</v>
      </c>
      <c r="C343">
        <v>29.7258</v>
      </c>
      <c r="D343">
        <v>-82.800399999999996</v>
      </c>
      <c r="E343" t="s">
        <v>6756</v>
      </c>
    </row>
    <row r="344" spans="1:5" hidden="1" x14ac:dyDescent="0.25">
      <c r="A344" t="s">
        <v>6757</v>
      </c>
      <c r="B344" t="s">
        <v>6124</v>
      </c>
      <c r="C344">
        <v>26.956399999999999</v>
      </c>
      <c r="D344">
        <v>-81.188999999999993</v>
      </c>
      <c r="E344" t="s">
        <v>6758</v>
      </c>
    </row>
    <row r="345" spans="1:5" hidden="1" x14ac:dyDescent="0.25">
      <c r="A345" t="s">
        <v>6759</v>
      </c>
      <c r="B345" t="s">
        <v>6124</v>
      </c>
      <c r="C345">
        <v>29.956499999999998</v>
      </c>
      <c r="D345">
        <v>-85.226299999999995</v>
      </c>
      <c r="E345" t="s">
        <v>6760</v>
      </c>
    </row>
    <row r="346" spans="1:5" hidden="1" x14ac:dyDescent="0.25">
      <c r="A346" t="s">
        <v>6761</v>
      </c>
      <c r="B346" t="s">
        <v>6124</v>
      </c>
      <c r="C346">
        <v>30.496400000000001</v>
      </c>
      <c r="D346">
        <v>-82.947900000000004</v>
      </c>
      <c r="E346" t="s">
        <v>6762</v>
      </c>
    </row>
    <row r="347" spans="1:5" hidden="1" x14ac:dyDescent="0.25">
      <c r="A347" t="s">
        <v>6763</v>
      </c>
      <c r="B347" t="s">
        <v>6124</v>
      </c>
      <c r="C347">
        <v>27.492699999999999</v>
      </c>
      <c r="D347">
        <v>-81.81</v>
      </c>
      <c r="E347" t="s">
        <v>6764</v>
      </c>
    </row>
    <row r="348" spans="1:5" hidden="1" x14ac:dyDescent="0.25">
      <c r="A348" t="s">
        <v>6765</v>
      </c>
      <c r="B348" t="s">
        <v>6124</v>
      </c>
      <c r="C348">
        <v>26.5535</v>
      </c>
      <c r="D348">
        <v>-81.165899999999993</v>
      </c>
      <c r="E348" t="s">
        <v>6766</v>
      </c>
    </row>
    <row r="349" spans="1:5" hidden="1" x14ac:dyDescent="0.25">
      <c r="A349" t="s">
        <v>6767</v>
      </c>
      <c r="B349" t="s">
        <v>6124</v>
      </c>
      <c r="C349">
        <v>28.553699999999999</v>
      </c>
      <c r="D349">
        <v>-82.424000000000007</v>
      </c>
      <c r="E349" t="s">
        <v>6768</v>
      </c>
    </row>
    <row r="350" spans="1:5" hidden="1" x14ac:dyDescent="0.25">
      <c r="A350" t="s">
        <v>6769</v>
      </c>
      <c r="B350" t="s">
        <v>6124</v>
      </c>
      <c r="C350">
        <v>27.343299999999999</v>
      </c>
      <c r="D350">
        <v>-81.340999999999994</v>
      </c>
      <c r="E350" t="s">
        <v>6770</v>
      </c>
    </row>
    <row r="351" spans="1:5" hidden="1" x14ac:dyDescent="0.25">
      <c r="A351" t="s">
        <v>6771</v>
      </c>
      <c r="B351" t="s">
        <v>6124</v>
      </c>
      <c r="C351">
        <v>27.929200000000002</v>
      </c>
      <c r="D351">
        <v>-82.308800000000005</v>
      </c>
      <c r="E351" t="s">
        <v>6772</v>
      </c>
    </row>
    <row r="352" spans="1:5" hidden="1" x14ac:dyDescent="0.25">
      <c r="A352" t="s">
        <v>1403</v>
      </c>
      <c r="B352" t="s">
        <v>6124</v>
      </c>
      <c r="C352">
        <v>30.867899999999999</v>
      </c>
      <c r="D352">
        <v>-85.813999999999993</v>
      </c>
      <c r="E352" t="s">
        <v>6773</v>
      </c>
    </row>
    <row r="353" spans="1:5" hidden="1" x14ac:dyDescent="0.25">
      <c r="A353" t="s">
        <v>6774</v>
      </c>
      <c r="B353" t="s">
        <v>6124</v>
      </c>
      <c r="C353">
        <v>27.694299999999998</v>
      </c>
      <c r="D353">
        <v>-80.606399999999994</v>
      </c>
      <c r="E353" t="s">
        <v>6775</v>
      </c>
    </row>
    <row r="354" spans="1:5" hidden="1" x14ac:dyDescent="0.25">
      <c r="A354" t="s">
        <v>191</v>
      </c>
      <c r="B354" t="s">
        <v>6124</v>
      </c>
      <c r="C354">
        <v>30.795400000000001</v>
      </c>
      <c r="D354">
        <v>-85.215500000000006</v>
      </c>
      <c r="E354" t="s">
        <v>6776</v>
      </c>
    </row>
    <row r="355" spans="1:5" hidden="1" x14ac:dyDescent="0.25">
      <c r="A355" t="s">
        <v>6272</v>
      </c>
      <c r="B355" t="s">
        <v>6124</v>
      </c>
      <c r="C355">
        <v>30.4375</v>
      </c>
      <c r="D355">
        <v>-83.895300000000006</v>
      </c>
      <c r="E355" t="s">
        <v>6777</v>
      </c>
    </row>
    <row r="356" spans="1:5" hidden="1" x14ac:dyDescent="0.25">
      <c r="A356" t="s">
        <v>6382</v>
      </c>
      <c r="B356" t="s">
        <v>6124</v>
      </c>
      <c r="C356">
        <v>29.985499999999998</v>
      </c>
      <c r="D356">
        <v>-83.181100000000001</v>
      </c>
      <c r="E356" t="s">
        <v>6778</v>
      </c>
    </row>
    <row r="357" spans="1:5" hidden="1" x14ac:dyDescent="0.25">
      <c r="A357" t="s">
        <v>3705</v>
      </c>
      <c r="B357" t="s">
        <v>6124</v>
      </c>
      <c r="C357">
        <v>28.761500000000002</v>
      </c>
      <c r="D357">
        <v>-81.711299999999994</v>
      </c>
      <c r="E357" t="s">
        <v>6779</v>
      </c>
    </row>
    <row r="358" spans="1:5" hidden="1" x14ac:dyDescent="0.25">
      <c r="A358" t="s">
        <v>2353</v>
      </c>
      <c r="B358" t="s">
        <v>6124</v>
      </c>
      <c r="C358">
        <v>26.577999999999999</v>
      </c>
      <c r="D358">
        <v>-81.833200000000005</v>
      </c>
      <c r="E358" t="s">
        <v>6780</v>
      </c>
    </row>
    <row r="359" spans="1:5" hidden="1" x14ac:dyDescent="0.25">
      <c r="A359" t="s">
        <v>6781</v>
      </c>
      <c r="B359" t="s">
        <v>6124</v>
      </c>
      <c r="C359">
        <v>30.457999999999998</v>
      </c>
      <c r="D359">
        <v>-84.277900000000002</v>
      </c>
      <c r="E359" t="s">
        <v>6782</v>
      </c>
    </row>
    <row r="360" spans="1:5" hidden="1" x14ac:dyDescent="0.25">
      <c r="A360" t="s">
        <v>6783</v>
      </c>
      <c r="B360" t="s">
        <v>6124</v>
      </c>
      <c r="C360">
        <v>29.3184</v>
      </c>
      <c r="D360">
        <v>-82.743399999999994</v>
      </c>
      <c r="E360" t="s">
        <v>6784</v>
      </c>
    </row>
    <row r="361" spans="1:5" hidden="1" x14ac:dyDescent="0.25">
      <c r="A361" t="s">
        <v>5522</v>
      </c>
      <c r="B361" t="s">
        <v>6124</v>
      </c>
      <c r="C361">
        <v>30.241399999999999</v>
      </c>
      <c r="D361">
        <v>-84.882900000000006</v>
      </c>
      <c r="E361" t="s">
        <v>6785</v>
      </c>
    </row>
    <row r="362" spans="1:5" hidden="1" x14ac:dyDescent="0.25">
      <c r="A362" t="s">
        <v>6286</v>
      </c>
      <c r="B362" t="s">
        <v>6124</v>
      </c>
      <c r="C362">
        <v>30.444099999999999</v>
      </c>
      <c r="D362">
        <v>-83.470100000000002</v>
      </c>
      <c r="E362" t="s">
        <v>6786</v>
      </c>
    </row>
    <row r="363" spans="1:5" hidden="1" x14ac:dyDescent="0.25">
      <c r="A363" t="s">
        <v>6787</v>
      </c>
      <c r="B363" t="s">
        <v>6124</v>
      </c>
      <c r="C363">
        <v>27.471900000000002</v>
      </c>
      <c r="D363">
        <v>-82.315299999999993</v>
      </c>
      <c r="E363" t="s">
        <v>6788</v>
      </c>
    </row>
    <row r="364" spans="1:5" hidden="1" x14ac:dyDescent="0.25">
      <c r="A364" t="s">
        <v>6290</v>
      </c>
      <c r="B364" t="s">
        <v>6124</v>
      </c>
      <c r="C364">
        <v>29.2102</v>
      </c>
      <c r="D364">
        <v>-82.056700000000006</v>
      </c>
      <c r="E364" t="s">
        <v>6789</v>
      </c>
    </row>
    <row r="365" spans="1:5" hidden="1" x14ac:dyDescent="0.25">
      <c r="A365" t="s">
        <v>2429</v>
      </c>
      <c r="B365" t="s">
        <v>6124</v>
      </c>
      <c r="C365">
        <v>27.077500000000001</v>
      </c>
      <c r="D365">
        <v>-80.4315</v>
      </c>
      <c r="E365" t="s">
        <v>6790</v>
      </c>
    </row>
    <row r="366" spans="1:5" hidden="1" x14ac:dyDescent="0.25">
      <c r="A366" t="s">
        <v>6791</v>
      </c>
      <c r="B366" t="s">
        <v>6124</v>
      </c>
      <c r="C366">
        <v>25.614999999999998</v>
      </c>
      <c r="D366">
        <v>-80.562399999999997</v>
      </c>
      <c r="E366" t="s">
        <v>6792</v>
      </c>
    </row>
    <row r="367" spans="1:5" hidden="1" x14ac:dyDescent="0.25">
      <c r="A367" t="s">
        <v>6295</v>
      </c>
      <c r="B367" t="s">
        <v>6124</v>
      </c>
      <c r="C367">
        <v>25.319099999999999</v>
      </c>
      <c r="D367">
        <v>-81.108900000000006</v>
      </c>
      <c r="E367" t="s">
        <v>6793</v>
      </c>
    </row>
    <row r="368" spans="1:5" hidden="1" x14ac:dyDescent="0.25">
      <c r="A368" t="s">
        <v>6794</v>
      </c>
      <c r="B368" t="s">
        <v>6124</v>
      </c>
      <c r="C368">
        <v>30.610700000000001</v>
      </c>
      <c r="D368">
        <v>-81.801900000000003</v>
      </c>
      <c r="E368" t="s">
        <v>6795</v>
      </c>
    </row>
    <row r="369" spans="1:5" hidden="1" x14ac:dyDescent="0.25">
      <c r="A369" t="s">
        <v>6796</v>
      </c>
      <c r="B369" t="s">
        <v>6124</v>
      </c>
      <c r="C369">
        <v>30.691299999999998</v>
      </c>
      <c r="D369">
        <v>-86.591700000000003</v>
      </c>
      <c r="E369" t="s">
        <v>6797</v>
      </c>
    </row>
    <row r="370" spans="1:5" hidden="1" x14ac:dyDescent="0.25">
      <c r="A370" t="s">
        <v>6798</v>
      </c>
      <c r="B370" t="s">
        <v>6124</v>
      </c>
      <c r="C370">
        <v>27.386399999999998</v>
      </c>
      <c r="D370">
        <v>-80.888599999999997</v>
      </c>
      <c r="E370" t="s">
        <v>6799</v>
      </c>
    </row>
    <row r="371" spans="1:5" hidden="1" x14ac:dyDescent="0.25">
      <c r="A371" t="s">
        <v>6526</v>
      </c>
      <c r="B371" t="s">
        <v>6124</v>
      </c>
      <c r="C371">
        <v>28.514399999999998</v>
      </c>
      <c r="D371">
        <v>-81.323499999999996</v>
      </c>
      <c r="E371" t="s">
        <v>6800</v>
      </c>
    </row>
    <row r="372" spans="1:5" hidden="1" x14ac:dyDescent="0.25">
      <c r="A372" t="s">
        <v>6801</v>
      </c>
      <c r="B372" t="s">
        <v>6124</v>
      </c>
      <c r="C372">
        <v>28.0626</v>
      </c>
      <c r="D372">
        <v>-81.149500000000003</v>
      </c>
      <c r="E372" t="s">
        <v>6802</v>
      </c>
    </row>
    <row r="373" spans="1:5" hidden="1" x14ac:dyDescent="0.25">
      <c r="A373" t="s">
        <v>6803</v>
      </c>
      <c r="B373" t="s">
        <v>6124</v>
      </c>
      <c r="C373">
        <v>26.647600000000001</v>
      </c>
      <c r="D373">
        <v>-80.465500000000006</v>
      </c>
      <c r="E373" t="s">
        <v>6804</v>
      </c>
    </row>
    <row r="374" spans="1:5" hidden="1" x14ac:dyDescent="0.25">
      <c r="A374" t="s">
        <v>6805</v>
      </c>
      <c r="B374" t="s">
        <v>6124</v>
      </c>
      <c r="C374">
        <v>28.309200000000001</v>
      </c>
      <c r="D374">
        <v>-82.391999999999996</v>
      </c>
      <c r="E374" t="s">
        <v>6806</v>
      </c>
    </row>
    <row r="375" spans="1:5" hidden="1" x14ac:dyDescent="0.25">
      <c r="A375" t="s">
        <v>6807</v>
      </c>
      <c r="B375" t="s">
        <v>6124</v>
      </c>
      <c r="C375">
        <v>27.919799999999999</v>
      </c>
      <c r="D375">
        <v>-82.725499999999997</v>
      </c>
      <c r="E375" t="s">
        <v>6808</v>
      </c>
    </row>
    <row r="376" spans="1:5" hidden="1" x14ac:dyDescent="0.25">
      <c r="A376" t="s">
        <v>6410</v>
      </c>
      <c r="B376" t="s">
        <v>6124</v>
      </c>
      <c r="C376">
        <v>27.948899999999998</v>
      </c>
      <c r="D376">
        <v>-81.697599999999994</v>
      </c>
      <c r="E376" t="s">
        <v>6809</v>
      </c>
    </row>
    <row r="377" spans="1:5" hidden="1" x14ac:dyDescent="0.25">
      <c r="A377" t="s">
        <v>6810</v>
      </c>
      <c r="B377" t="s">
        <v>6124</v>
      </c>
      <c r="C377">
        <v>29.608699999999999</v>
      </c>
      <c r="D377">
        <v>-81.744299999999996</v>
      </c>
      <c r="E377" t="s">
        <v>6811</v>
      </c>
    </row>
    <row r="378" spans="1:5" hidden="1" x14ac:dyDescent="0.25">
      <c r="A378" t="s">
        <v>6812</v>
      </c>
      <c r="B378" t="s">
        <v>6124</v>
      </c>
      <c r="C378">
        <v>30.700399999999998</v>
      </c>
      <c r="D378">
        <v>-87.021900000000002</v>
      </c>
      <c r="E378" t="s">
        <v>6813</v>
      </c>
    </row>
    <row r="379" spans="1:5" hidden="1" x14ac:dyDescent="0.25">
      <c r="A379" t="s">
        <v>6814</v>
      </c>
      <c r="B379" t="s">
        <v>6124</v>
      </c>
      <c r="C379">
        <v>27.1845</v>
      </c>
      <c r="D379">
        <v>-82.331500000000005</v>
      </c>
      <c r="E379" t="s">
        <v>6815</v>
      </c>
    </row>
    <row r="380" spans="1:5" hidden="1" x14ac:dyDescent="0.25">
      <c r="A380" t="s">
        <v>6816</v>
      </c>
      <c r="B380" t="s">
        <v>6124</v>
      </c>
      <c r="C380">
        <v>28.716999999999999</v>
      </c>
      <c r="D380">
        <v>-81.2363</v>
      </c>
      <c r="E380" t="s">
        <v>6817</v>
      </c>
    </row>
    <row r="381" spans="1:5" hidden="1" x14ac:dyDescent="0.25">
      <c r="A381" t="s">
        <v>111</v>
      </c>
      <c r="B381" t="s">
        <v>6124</v>
      </c>
      <c r="C381">
        <v>29.901599999999998</v>
      </c>
      <c r="D381">
        <v>-81.440700000000007</v>
      </c>
      <c r="E381" t="s">
        <v>6818</v>
      </c>
    </row>
    <row r="382" spans="1:5" hidden="1" x14ac:dyDescent="0.25">
      <c r="A382" t="s">
        <v>6819</v>
      </c>
      <c r="B382" t="s">
        <v>6124</v>
      </c>
      <c r="C382">
        <v>27.377300000000002</v>
      </c>
      <c r="D382">
        <v>-80.472099999999998</v>
      </c>
      <c r="E382" t="s">
        <v>6820</v>
      </c>
    </row>
    <row r="383" spans="1:5" hidden="1" x14ac:dyDescent="0.25">
      <c r="A383" t="s">
        <v>6313</v>
      </c>
      <c r="B383" t="s">
        <v>6124</v>
      </c>
      <c r="C383">
        <v>28.704799999999999</v>
      </c>
      <c r="D383">
        <v>-82.081000000000003</v>
      </c>
      <c r="E383" t="s">
        <v>6821</v>
      </c>
    </row>
    <row r="384" spans="1:5" x14ac:dyDescent="0.25">
      <c r="A384" t="s">
        <v>6822</v>
      </c>
      <c r="B384" t="s">
        <v>6124</v>
      </c>
      <c r="C384">
        <v>30.195599999999999</v>
      </c>
      <c r="D384">
        <v>-82.991500000000002</v>
      </c>
      <c r="E384" t="s">
        <v>6823</v>
      </c>
    </row>
    <row r="385" spans="1:5" hidden="1" x14ac:dyDescent="0.25">
      <c r="A385" t="s">
        <v>3564</v>
      </c>
      <c r="B385" t="s">
        <v>6124</v>
      </c>
      <c r="C385">
        <v>30.047000000000001</v>
      </c>
      <c r="D385">
        <v>-83.603499999999997</v>
      </c>
      <c r="E385" t="s">
        <v>6824</v>
      </c>
    </row>
    <row r="386" spans="1:5" hidden="1" x14ac:dyDescent="0.25">
      <c r="A386" t="s">
        <v>5878</v>
      </c>
      <c r="B386" t="s">
        <v>6124</v>
      </c>
      <c r="C386">
        <v>30.043900000000001</v>
      </c>
      <c r="D386">
        <v>-82.371399999999994</v>
      </c>
      <c r="E386" t="s">
        <v>6825</v>
      </c>
    </row>
    <row r="387" spans="1:5" hidden="1" x14ac:dyDescent="0.25">
      <c r="A387" t="s">
        <v>6826</v>
      </c>
      <c r="B387" t="s">
        <v>6124</v>
      </c>
      <c r="C387">
        <v>29.058399999999999</v>
      </c>
      <c r="D387">
        <v>-81.181899999999999</v>
      </c>
      <c r="E387" t="s">
        <v>6827</v>
      </c>
    </row>
    <row r="388" spans="1:5" hidden="1" x14ac:dyDescent="0.25">
      <c r="A388" t="s">
        <v>6828</v>
      </c>
      <c r="B388" t="s">
        <v>6124</v>
      </c>
      <c r="C388">
        <v>30.167300000000001</v>
      </c>
      <c r="D388">
        <v>-84.400700000000001</v>
      </c>
      <c r="E388" t="s">
        <v>6829</v>
      </c>
    </row>
    <row r="389" spans="1:5" hidden="1" x14ac:dyDescent="0.25">
      <c r="A389" t="s">
        <v>2711</v>
      </c>
      <c r="B389" t="s">
        <v>6124</v>
      </c>
      <c r="C389">
        <v>30.643599999999999</v>
      </c>
      <c r="D389">
        <v>-86.169700000000006</v>
      </c>
      <c r="E389" t="s">
        <v>6830</v>
      </c>
    </row>
    <row r="390" spans="1:5" hidden="1" x14ac:dyDescent="0.25">
      <c r="A390" t="s">
        <v>3052</v>
      </c>
      <c r="B390" t="s">
        <v>6124</v>
      </c>
      <c r="C390">
        <v>30.610600000000002</v>
      </c>
      <c r="D390">
        <v>-85.665300000000002</v>
      </c>
      <c r="E390" t="s">
        <v>6831</v>
      </c>
    </row>
    <row r="391" spans="1:5" hidden="1" x14ac:dyDescent="0.25">
      <c r="A391" t="s">
        <v>6832</v>
      </c>
      <c r="B391" t="s">
        <v>6127</v>
      </c>
      <c r="C391">
        <v>31.749199999999998</v>
      </c>
      <c r="D391">
        <v>-82.288899999999998</v>
      </c>
      <c r="E391" t="s">
        <v>6833</v>
      </c>
    </row>
    <row r="392" spans="1:5" hidden="1" x14ac:dyDescent="0.25">
      <c r="A392" t="s">
        <v>431</v>
      </c>
      <c r="B392" t="s">
        <v>6127</v>
      </c>
      <c r="C392">
        <v>31.2971</v>
      </c>
      <c r="D392">
        <v>-82.88</v>
      </c>
      <c r="E392" t="s">
        <v>6834</v>
      </c>
    </row>
    <row r="393" spans="1:5" hidden="1" x14ac:dyDescent="0.25">
      <c r="A393" t="s">
        <v>6835</v>
      </c>
      <c r="B393" t="s">
        <v>6127</v>
      </c>
      <c r="C393">
        <v>31.553699999999999</v>
      </c>
      <c r="D393">
        <v>-82.452699999999993</v>
      </c>
      <c r="E393" t="s">
        <v>6836</v>
      </c>
    </row>
    <row r="394" spans="1:5" hidden="1" x14ac:dyDescent="0.25">
      <c r="A394" t="s">
        <v>1620</v>
      </c>
      <c r="B394" t="s">
        <v>6127</v>
      </c>
      <c r="C394">
        <v>31.3261</v>
      </c>
      <c r="D394">
        <v>-84.444699999999997</v>
      </c>
      <c r="E394" t="s">
        <v>6837</v>
      </c>
    </row>
    <row r="395" spans="1:5" hidden="1" x14ac:dyDescent="0.25">
      <c r="A395" t="s">
        <v>6188</v>
      </c>
      <c r="B395" t="s">
        <v>6127</v>
      </c>
      <c r="C395">
        <v>33.069299999999998</v>
      </c>
      <c r="D395">
        <v>-83.249600000000001</v>
      </c>
      <c r="E395" t="s">
        <v>6838</v>
      </c>
    </row>
    <row r="396" spans="1:5" hidden="1" x14ac:dyDescent="0.25">
      <c r="A396" t="s">
        <v>6839</v>
      </c>
      <c r="B396" t="s">
        <v>6127</v>
      </c>
      <c r="C396">
        <v>34.354300000000002</v>
      </c>
      <c r="D396">
        <v>-83.497200000000007</v>
      </c>
      <c r="E396" t="s">
        <v>6840</v>
      </c>
    </row>
    <row r="397" spans="1:5" hidden="1" x14ac:dyDescent="0.25">
      <c r="A397" t="s">
        <v>6841</v>
      </c>
      <c r="B397" t="s">
        <v>6127</v>
      </c>
      <c r="C397">
        <v>33.993200000000002</v>
      </c>
      <c r="D397">
        <v>-83.712699999999998</v>
      </c>
      <c r="E397" t="s">
        <v>6842</v>
      </c>
    </row>
    <row r="398" spans="1:5" hidden="1" x14ac:dyDescent="0.25">
      <c r="A398" t="s">
        <v>6843</v>
      </c>
      <c r="B398" t="s">
        <v>6127</v>
      </c>
      <c r="C398">
        <v>34.237699999999997</v>
      </c>
      <c r="D398">
        <v>-84.840299999999999</v>
      </c>
      <c r="E398" t="s">
        <v>6844</v>
      </c>
    </row>
    <row r="399" spans="1:5" hidden="1" x14ac:dyDescent="0.25">
      <c r="A399" t="s">
        <v>6845</v>
      </c>
      <c r="B399" t="s">
        <v>6127</v>
      </c>
      <c r="C399">
        <v>31.759799999999998</v>
      </c>
      <c r="D399">
        <v>-83.220500000000001</v>
      </c>
      <c r="E399" t="s">
        <v>6846</v>
      </c>
    </row>
    <row r="400" spans="1:5" hidden="1" x14ac:dyDescent="0.25">
      <c r="A400" t="s">
        <v>6847</v>
      </c>
      <c r="B400" t="s">
        <v>6127</v>
      </c>
      <c r="C400">
        <v>31.276</v>
      </c>
      <c r="D400">
        <v>-83.229600000000005</v>
      </c>
      <c r="E400" t="s">
        <v>6848</v>
      </c>
    </row>
    <row r="401" spans="1:5" hidden="1" x14ac:dyDescent="0.25">
      <c r="A401" t="s">
        <v>6194</v>
      </c>
      <c r="B401" t="s">
        <v>6127</v>
      </c>
      <c r="C401">
        <v>32.8065</v>
      </c>
      <c r="D401">
        <v>-83.697400000000002</v>
      </c>
      <c r="E401" t="s">
        <v>6849</v>
      </c>
    </row>
    <row r="402" spans="1:5" hidden="1" x14ac:dyDescent="0.25">
      <c r="A402" t="s">
        <v>6850</v>
      </c>
      <c r="B402" t="s">
        <v>6127</v>
      </c>
      <c r="C402">
        <v>32.434399999999997</v>
      </c>
      <c r="D402">
        <v>-83.327799999999996</v>
      </c>
      <c r="E402" t="s">
        <v>6851</v>
      </c>
    </row>
    <row r="403" spans="1:5" hidden="1" x14ac:dyDescent="0.25">
      <c r="A403" t="s">
        <v>6852</v>
      </c>
      <c r="B403" t="s">
        <v>6127</v>
      </c>
      <c r="C403">
        <v>31.196899999999999</v>
      </c>
      <c r="D403">
        <v>-81.981899999999996</v>
      </c>
      <c r="E403" t="s">
        <v>6853</v>
      </c>
    </row>
    <row r="404" spans="1:5" hidden="1" x14ac:dyDescent="0.25">
      <c r="A404" t="s">
        <v>6854</v>
      </c>
      <c r="B404" t="s">
        <v>6127</v>
      </c>
      <c r="C404">
        <v>30.841999999999999</v>
      </c>
      <c r="D404">
        <v>-83.580200000000005</v>
      </c>
      <c r="E404" t="s">
        <v>6855</v>
      </c>
    </row>
    <row r="405" spans="1:5" hidden="1" x14ac:dyDescent="0.25">
      <c r="A405" t="s">
        <v>977</v>
      </c>
      <c r="B405" t="s">
        <v>6127</v>
      </c>
      <c r="C405">
        <v>32.014499999999998</v>
      </c>
      <c r="D405">
        <v>-81.443600000000004</v>
      </c>
      <c r="E405" t="s">
        <v>6856</v>
      </c>
    </row>
    <row r="406" spans="1:5" hidden="1" x14ac:dyDescent="0.25">
      <c r="A406" t="s">
        <v>6857</v>
      </c>
      <c r="B406" t="s">
        <v>6127</v>
      </c>
      <c r="C406">
        <v>32.396799999999999</v>
      </c>
      <c r="D406">
        <v>-81.743200000000002</v>
      </c>
      <c r="E406" t="s">
        <v>6858</v>
      </c>
    </row>
    <row r="407" spans="1:5" hidden="1" x14ac:dyDescent="0.25">
      <c r="A407" t="s">
        <v>6859</v>
      </c>
      <c r="B407" t="s">
        <v>6127</v>
      </c>
      <c r="C407">
        <v>33.061100000000003</v>
      </c>
      <c r="D407">
        <v>-82.000699999999995</v>
      </c>
      <c r="E407" t="s">
        <v>6860</v>
      </c>
    </row>
    <row r="408" spans="1:5" hidden="1" x14ac:dyDescent="0.25">
      <c r="A408" t="s">
        <v>6861</v>
      </c>
      <c r="B408" t="s">
        <v>6127</v>
      </c>
      <c r="C408">
        <v>33.2879</v>
      </c>
      <c r="D408">
        <v>-83.9572</v>
      </c>
      <c r="E408" t="s">
        <v>6862</v>
      </c>
    </row>
    <row r="409" spans="1:5" hidden="1" x14ac:dyDescent="0.25">
      <c r="A409" t="s">
        <v>1505</v>
      </c>
      <c r="B409" t="s">
        <v>6127</v>
      </c>
      <c r="C409">
        <v>31.529199999999999</v>
      </c>
      <c r="D409">
        <v>-84.624499999999998</v>
      </c>
      <c r="E409" t="s">
        <v>6863</v>
      </c>
    </row>
    <row r="410" spans="1:5" hidden="1" x14ac:dyDescent="0.25">
      <c r="A410" t="s">
        <v>4482</v>
      </c>
      <c r="B410" t="s">
        <v>6127</v>
      </c>
      <c r="C410">
        <v>30.930599999999998</v>
      </c>
      <c r="D410">
        <v>-81.669899999999998</v>
      </c>
      <c r="E410" t="s">
        <v>6864</v>
      </c>
    </row>
    <row r="411" spans="1:5" hidden="1" x14ac:dyDescent="0.25">
      <c r="A411" t="s">
        <v>6865</v>
      </c>
      <c r="B411" t="s">
        <v>6127</v>
      </c>
      <c r="C411">
        <v>32.403399999999998</v>
      </c>
      <c r="D411">
        <v>-82.073700000000002</v>
      </c>
      <c r="E411" t="s">
        <v>6866</v>
      </c>
    </row>
    <row r="412" spans="1:5" hidden="1" x14ac:dyDescent="0.25">
      <c r="A412" t="s">
        <v>6340</v>
      </c>
      <c r="B412" t="s">
        <v>6127</v>
      </c>
      <c r="C412">
        <v>33.582799999999999</v>
      </c>
      <c r="D412">
        <v>-85.079800000000006</v>
      </c>
      <c r="E412" t="s">
        <v>6867</v>
      </c>
    </row>
    <row r="413" spans="1:5" hidden="1" x14ac:dyDescent="0.25">
      <c r="A413" t="s">
        <v>6868</v>
      </c>
      <c r="B413" t="s">
        <v>6127</v>
      </c>
      <c r="C413">
        <v>34.903599999999997</v>
      </c>
      <c r="D413">
        <v>-85.138199999999998</v>
      </c>
      <c r="E413" t="s">
        <v>6869</v>
      </c>
    </row>
    <row r="414" spans="1:5" hidden="1" x14ac:dyDescent="0.25">
      <c r="A414" t="s">
        <v>6870</v>
      </c>
      <c r="B414" t="s">
        <v>6127</v>
      </c>
      <c r="C414">
        <v>30.781700000000001</v>
      </c>
      <c r="D414">
        <v>-82.137900000000002</v>
      </c>
      <c r="E414" t="s">
        <v>6871</v>
      </c>
    </row>
    <row r="415" spans="1:5" hidden="1" x14ac:dyDescent="0.25">
      <c r="A415" t="s">
        <v>6872</v>
      </c>
      <c r="B415" t="s">
        <v>6127</v>
      </c>
      <c r="C415">
        <v>32.004300000000001</v>
      </c>
      <c r="D415">
        <v>-81.132900000000006</v>
      </c>
      <c r="E415" t="s">
        <v>6873</v>
      </c>
    </row>
    <row r="416" spans="1:5" hidden="1" x14ac:dyDescent="0.25">
      <c r="A416" t="s">
        <v>6874</v>
      </c>
      <c r="B416" t="s">
        <v>6127</v>
      </c>
      <c r="C416">
        <v>32.347000000000001</v>
      </c>
      <c r="D416">
        <v>-84.787000000000006</v>
      </c>
      <c r="E416" t="s">
        <v>6875</v>
      </c>
    </row>
    <row r="417" spans="1:5" hidden="1" x14ac:dyDescent="0.25">
      <c r="A417" t="s">
        <v>6876</v>
      </c>
      <c r="B417" t="s">
        <v>6127</v>
      </c>
      <c r="C417">
        <v>34.475000000000001</v>
      </c>
      <c r="D417">
        <v>-85.345299999999995</v>
      </c>
      <c r="E417" t="s">
        <v>6877</v>
      </c>
    </row>
    <row r="418" spans="1:5" hidden="1" x14ac:dyDescent="0.25">
      <c r="A418" t="s">
        <v>6210</v>
      </c>
      <c r="B418" t="s">
        <v>6127</v>
      </c>
      <c r="C418">
        <v>34.244</v>
      </c>
      <c r="D418">
        <v>-84.476200000000006</v>
      </c>
      <c r="E418" t="s">
        <v>6878</v>
      </c>
    </row>
    <row r="419" spans="1:5" hidden="1" x14ac:dyDescent="0.25">
      <c r="A419" t="s">
        <v>5280</v>
      </c>
      <c r="B419" t="s">
        <v>6127</v>
      </c>
      <c r="C419">
        <v>33.9512</v>
      </c>
      <c r="D419">
        <v>-83.3673</v>
      </c>
      <c r="E419" t="s">
        <v>6879</v>
      </c>
    </row>
    <row r="420" spans="1:5" hidden="1" x14ac:dyDescent="0.25">
      <c r="A420" t="s">
        <v>6221</v>
      </c>
      <c r="B420" t="s">
        <v>6127</v>
      </c>
      <c r="C420">
        <v>31.626200000000001</v>
      </c>
      <c r="D420">
        <v>-84.980099999999993</v>
      </c>
      <c r="E420" t="s">
        <v>6880</v>
      </c>
    </row>
    <row r="421" spans="1:5" hidden="1" x14ac:dyDescent="0.25">
      <c r="A421" t="s">
        <v>1664</v>
      </c>
      <c r="B421" t="s">
        <v>6127</v>
      </c>
      <c r="C421">
        <v>33.541899999999998</v>
      </c>
      <c r="D421">
        <v>-84.357600000000005</v>
      </c>
      <c r="E421" t="s">
        <v>6881</v>
      </c>
    </row>
    <row r="422" spans="1:5" hidden="1" x14ac:dyDescent="0.25">
      <c r="A422" t="s">
        <v>6882</v>
      </c>
      <c r="B422" t="s">
        <v>6127</v>
      </c>
      <c r="C422">
        <v>30.914999999999999</v>
      </c>
      <c r="D422">
        <v>-82.706299999999999</v>
      </c>
      <c r="E422" t="s">
        <v>6883</v>
      </c>
    </row>
    <row r="423" spans="1:5" hidden="1" x14ac:dyDescent="0.25">
      <c r="A423" t="s">
        <v>6884</v>
      </c>
      <c r="B423" t="s">
        <v>6127</v>
      </c>
      <c r="C423">
        <v>33.941600000000001</v>
      </c>
      <c r="D423">
        <v>-84.576700000000002</v>
      </c>
      <c r="E423" t="s">
        <v>6885</v>
      </c>
    </row>
    <row r="424" spans="1:5" hidden="1" x14ac:dyDescent="0.25">
      <c r="A424" t="s">
        <v>6227</v>
      </c>
      <c r="B424" t="s">
        <v>6127</v>
      </c>
      <c r="C424">
        <v>31.549299999999999</v>
      </c>
      <c r="D424">
        <v>-82.849199999999996</v>
      </c>
      <c r="E424" t="s">
        <v>6886</v>
      </c>
    </row>
    <row r="425" spans="1:5" hidden="1" x14ac:dyDescent="0.25">
      <c r="A425" t="s">
        <v>6887</v>
      </c>
      <c r="B425" t="s">
        <v>6127</v>
      </c>
      <c r="C425">
        <v>31.188400000000001</v>
      </c>
      <c r="D425">
        <v>-83.768799999999999</v>
      </c>
      <c r="E425" t="s">
        <v>6888</v>
      </c>
    </row>
    <row r="426" spans="1:5" hidden="1" x14ac:dyDescent="0.25">
      <c r="A426" t="s">
        <v>6349</v>
      </c>
      <c r="B426" t="s">
        <v>6127</v>
      </c>
      <c r="C426">
        <v>33.5441</v>
      </c>
      <c r="D426">
        <v>-82.264099999999999</v>
      </c>
      <c r="E426" t="s">
        <v>6889</v>
      </c>
    </row>
    <row r="427" spans="1:5" hidden="1" x14ac:dyDescent="0.25">
      <c r="A427" t="s">
        <v>2926</v>
      </c>
      <c r="B427" t="s">
        <v>6127</v>
      </c>
      <c r="C427">
        <v>31.154</v>
      </c>
      <c r="D427">
        <v>-83.430499999999995</v>
      </c>
      <c r="E427" t="s">
        <v>6890</v>
      </c>
    </row>
    <row r="428" spans="1:5" hidden="1" x14ac:dyDescent="0.25">
      <c r="A428" t="s">
        <v>6891</v>
      </c>
      <c r="B428" t="s">
        <v>6127</v>
      </c>
      <c r="C428">
        <v>33.353299999999997</v>
      </c>
      <c r="D428">
        <v>-84.763400000000004</v>
      </c>
      <c r="E428" t="s">
        <v>6892</v>
      </c>
    </row>
    <row r="429" spans="1:5" hidden="1" x14ac:dyDescent="0.25">
      <c r="A429" t="s">
        <v>3776</v>
      </c>
      <c r="B429" t="s">
        <v>6127</v>
      </c>
      <c r="C429">
        <v>32.714500000000001</v>
      </c>
      <c r="D429">
        <v>-83.9863</v>
      </c>
      <c r="E429" t="s">
        <v>6893</v>
      </c>
    </row>
    <row r="430" spans="1:5" hidden="1" x14ac:dyDescent="0.25">
      <c r="A430" t="s">
        <v>6894</v>
      </c>
      <c r="B430" t="s">
        <v>6127</v>
      </c>
      <c r="C430">
        <v>31.922899999999998</v>
      </c>
      <c r="D430">
        <v>-83.768100000000004</v>
      </c>
      <c r="E430" t="s">
        <v>6895</v>
      </c>
    </row>
    <row r="431" spans="1:5" hidden="1" x14ac:dyDescent="0.25">
      <c r="A431" t="s">
        <v>6896</v>
      </c>
      <c r="B431" t="s">
        <v>6127</v>
      </c>
      <c r="C431">
        <v>34.854599999999998</v>
      </c>
      <c r="D431">
        <v>-85.504400000000004</v>
      </c>
      <c r="E431" t="s">
        <v>6897</v>
      </c>
    </row>
    <row r="432" spans="1:5" hidden="1" x14ac:dyDescent="0.25">
      <c r="A432" t="s">
        <v>6898</v>
      </c>
      <c r="B432" t="s">
        <v>6127</v>
      </c>
      <c r="C432">
        <v>34.444299999999998</v>
      </c>
      <c r="D432">
        <v>-84.170599999999993</v>
      </c>
      <c r="E432" t="s">
        <v>6899</v>
      </c>
    </row>
    <row r="433" spans="1:5" hidden="1" x14ac:dyDescent="0.25">
      <c r="A433" t="s">
        <v>6250</v>
      </c>
      <c r="B433" t="s">
        <v>6127</v>
      </c>
      <c r="C433">
        <v>33.771599999999999</v>
      </c>
      <c r="D433">
        <v>-84.226399999999998</v>
      </c>
      <c r="E433" t="s">
        <v>6900</v>
      </c>
    </row>
    <row r="434" spans="1:5" hidden="1" x14ac:dyDescent="0.25">
      <c r="A434" t="s">
        <v>6901</v>
      </c>
      <c r="B434" t="s">
        <v>6127</v>
      </c>
      <c r="C434">
        <v>30.878299999999999</v>
      </c>
      <c r="D434">
        <v>-84.579099999999997</v>
      </c>
      <c r="E434" t="s">
        <v>6902</v>
      </c>
    </row>
    <row r="435" spans="1:5" hidden="1" x14ac:dyDescent="0.25">
      <c r="A435" t="s">
        <v>6903</v>
      </c>
      <c r="B435" t="s">
        <v>6127</v>
      </c>
      <c r="C435">
        <v>32.172199999999997</v>
      </c>
      <c r="D435">
        <v>-83.168400000000005</v>
      </c>
      <c r="E435" t="s">
        <v>6904</v>
      </c>
    </row>
    <row r="436" spans="1:5" hidden="1" x14ac:dyDescent="0.25">
      <c r="A436" t="s">
        <v>6905</v>
      </c>
      <c r="B436" t="s">
        <v>6127</v>
      </c>
      <c r="C436">
        <v>32.157200000000003</v>
      </c>
      <c r="D436">
        <v>-83.7988</v>
      </c>
      <c r="E436" t="s">
        <v>6906</v>
      </c>
    </row>
    <row r="437" spans="1:5" hidden="1" x14ac:dyDescent="0.25">
      <c r="A437" t="s">
        <v>6907</v>
      </c>
      <c r="B437" t="s">
        <v>6127</v>
      </c>
      <c r="C437">
        <v>31.5335</v>
      </c>
      <c r="D437">
        <v>-84.216399999999993</v>
      </c>
      <c r="E437" t="s">
        <v>6908</v>
      </c>
    </row>
    <row r="438" spans="1:5" hidden="1" x14ac:dyDescent="0.25">
      <c r="A438" t="s">
        <v>2538</v>
      </c>
      <c r="B438" t="s">
        <v>6127</v>
      </c>
      <c r="C438">
        <v>33.701900000000002</v>
      </c>
      <c r="D438">
        <v>-84.767899999999997</v>
      </c>
      <c r="E438" t="s">
        <v>6909</v>
      </c>
    </row>
    <row r="439" spans="1:5" hidden="1" x14ac:dyDescent="0.25">
      <c r="A439" t="s">
        <v>6910</v>
      </c>
      <c r="B439" t="s">
        <v>6127</v>
      </c>
      <c r="C439">
        <v>31.322800000000001</v>
      </c>
      <c r="D439">
        <v>-84.903599999999997</v>
      </c>
      <c r="E439" t="s">
        <v>6911</v>
      </c>
    </row>
    <row r="440" spans="1:5" hidden="1" x14ac:dyDescent="0.25">
      <c r="A440" t="s">
        <v>6912</v>
      </c>
      <c r="B440" t="s">
        <v>6127</v>
      </c>
      <c r="C440">
        <v>30.710100000000001</v>
      </c>
      <c r="D440">
        <v>-82.894000000000005</v>
      </c>
      <c r="E440" t="s">
        <v>6913</v>
      </c>
    </row>
    <row r="441" spans="1:5" hidden="1" x14ac:dyDescent="0.25">
      <c r="A441" t="s">
        <v>6914</v>
      </c>
      <c r="B441" t="s">
        <v>6127</v>
      </c>
      <c r="C441">
        <v>32.367400000000004</v>
      </c>
      <c r="D441">
        <v>-81.341399999999993</v>
      </c>
      <c r="E441" t="s">
        <v>6915</v>
      </c>
    </row>
    <row r="442" spans="1:5" hidden="1" x14ac:dyDescent="0.25">
      <c r="A442" t="s">
        <v>6622</v>
      </c>
      <c r="B442" t="s">
        <v>6127</v>
      </c>
      <c r="C442">
        <v>34.116799999999998</v>
      </c>
      <c r="D442">
        <v>-82.840100000000007</v>
      </c>
      <c r="E442" t="s">
        <v>6916</v>
      </c>
    </row>
    <row r="443" spans="1:5" hidden="1" x14ac:dyDescent="0.25">
      <c r="A443" t="s">
        <v>2261</v>
      </c>
      <c r="B443" t="s">
        <v>6127</v>
      </c>
      <c r="C443">
        <v>32.589700000000001</v>
      </c>
      <c r="D443">
        <v>-82.301699999999997</v>
      </c>
      <c r="E443" t="s">
        <v>6917</v>
      </c>
    </row>
    <row r="444" spans="1:5" hidden="1" x14ac:dyDescent="0.25">
      <c r="A444" t="s">
        <v>3039</v>
      </c>
      <c r="B444" t="s">
        <v>6127</v>
      </c>
      <c r="C444">
        <v>32.156799999999997</v>
      </c>
      <c r="D444">
        <v>-81.886899999999997</v>
      </c>
      <c r="E444" t="s">
        <v>6918</v>
      </c>
    </row>
    <row r="445" spans="1:5" x14ac:dyDescent="0.25">
      <c r="A445" t="s">
        <v>6919</v>
      </c>
      <c r="B445" t="s">
        <v>6127</v>
      </c>
      <c r="C445">
        <v>34.864100000000001</v>
      </c>
      <c r="D445">
        <v>-84.319800000000001</v>
      </c>
      <c r="E445" t="s">
        <v>6920</v>
      </c>
    </row>
    <row r="446" spans="1:5" hidden="1" x14ac:dyDescent="0.25">
      <c r="A446" t="s">
        <v>6258</v>
      </c>
      <c r="B446" t="s">
        <v>6127</v>
      </c>
      <c r="C446">
        <v>33.414000000000001</v>
      </c>
      <c r="D446">
        <v>-84.494299999999996</v>
      </c>
      <c r="E446" t="s">
        <v>6921</v>
      </c>
    </row>
    <row r="447" spans="1:5" hidden="1" x14ac:dyDescent="0.25">
      <c r="A447" t="s">
        <v>1320</v>
      </c>
      <c r="B447" t="s">
        <v>6127</v>
      </c>
      <c r="C447">
        <v>34.263199999999998</v>
      </c>
      <c r="D447">
        <v>-85.214299999999994</v>
      </c>
      <c r="E447" t="s">
        <v>6922</v>
      </c>
    </row>
    <row r="448" spans="1:5" hidden="1" x14ac:dyDescent="0.25">
      <c r="A448" t="s">
        <v>6923</v>
      </c>
      <c r="B448" t="s">
        <v>6127</v>
      </c>
      <c r="C448">
        <v>34.225499999999997</v>
      </c>
      <c r="D448">
        <v>-84.125</v>
      </c>
      <c r="E448" t="s">
        <v>6924</v>
      </c>
    </row>
    <row r="449" spans="1:5" hidden="1" x14ac:dyDescent="0.25">
      <c r="A449" t="s">
        <v>6260</v>
      </c>
      <c r="B449" t="s">
        <v>6127</v>
      </c>
      <c r="C449">
        <v>34.375399999999999</v>
      </c>
      <c r="D449">
        <v>-83.229100000000003</v>
      </c>
      <c r="E449" t="s">
        <v>6925</v>
      </c>
    </row>
    <row r="450" spans="1:5" hidden="1" x14ac:dyDescent="0.25">
      <c r="A450" t="s">
        <v>6366</v>
      </c>
      <c r="B450" t="s">
        <v>6127</v>
      </c>
      <c r="C450">
        <v>33.790300000000002</v>
      </c>
      <c r="D450">
        <v>-84.467100000000002</v>
      </c>
      <c r="E450" t="s">
        <v>6926</v>
      </c>
    </row>
    <row r="451" spans="1:5" hidden="1" x14ac:dyDescent="0.25">
      <c r="A451" t="s">
        <v>6927</v>
      </c>
      <c r="B451" t="s">
        <v>6127</v>
      </c>
      <c r="C451">
        <v>34.691200000000002</v>
      </c>
      <c r="D451">
        <v>-84.455600000000004</v>
      </c>
      <c r="E451" t="s">
        <v>6928</v>
      </c>
    </row>
    <row r="452" spans="1:5" hidden="1" x14ac:dyDescent="0.25">
      <c r="A452" t="s">
        <v>6929</v>
      </c>
      <c r="B452" t="s">
        <v>6127</v>
      </c>
      <c r="C452">
        <v>33.229300000000002</v>
      </c>
      <c r="D452">
        <v>-82.610699999999994</v>
      </c>
      <c r="E452" t="s">
        <v>6930</v>
      </c>
    </row>
    <row r="453" spans="1:5" hidden="1" x14ac:dyDescent="0.25">
      <c r="A453" t="s">
        <v>6931</v>
      </c>
      <c r="B453" t="s">
        <v>6127</v>
      </c>
      <c r="C453">
        <v>31.230899999999998</v>
      </c>
      <c r="D453">
        <v>-81.540700000000001</v>
      </c>
      <c r="E453" t="s">
        <v>6932</v>
      </c>
    </row>
    <row r="454" spans="1:5" hidden="1" x14ac:dyDescent="0.25">
      <c r="A454" t="s">
        <v>368</v>
      </c>
      <c r="B454" t="s">
        <v>6127</v>
      </c>
      <c r="C454">
        <v>34.5032</v>
      </c>
      <c r="D454">
        <v>-84.875900000000001</v>
      </c>
      <c r="E454" t="s">
        <v>6933</v>
      </c>
    </row>
    <row r="455" spans="1:5" hidden="1" x14ac:dyDescent="0.25">
      <c r="A455" t="s">
        <v>6934</v>
      </c>
      <c r="B455" t="s">
        <v>6127</v>
      </c>
      <c r="C455">
        <v>30.874700000000001</v>
      </c>
      <c r="D455">
        <v>-84.234499999999997</v>
      </c>
      <c r="E455" t="s">
        <v>6935</v>
      </c>
    </row>
    <row r="456" spans="1:5" hidden="1" x14ac:dyDescent="0.25">
      <c r="A456" t="s">
        <v>6264</v>
      </c>
      <c r="B456" t="s">
        <v>6127</v>
      </c>
      <c r="C456">
        <v>33.578800000000001</v>
      </c>
      <c r="D456">
        <v>-83.166700000000006</v>
      </c>
      <c r="E456" t="s">
        <v>6936</v>
      </c>
    </row>
    <row r="457" spans="1:5" hidden="1" x14ac:dyDescent="0.25">
      <c r="A457" t="s">
        <v>6937</v>
      </c>
      <c r="B457" t="s">
        <v>6127</v>
      </c>
      <c r="C457">
        <v>33.9619</v>
      </c>
      <c r="D457">
        <v>-84.023499999999999</v>
      </c>
      <c r="E457" t="s">
        <v>6938</v>
      </c>
    </row>
    <row r="458" spans="1:5" hidden="1" x14ac:dyDescent="0.25">
      <c r="A458" t="s">
        <v>6939</v>
      </c>
      <c r="B458" t="s">
        <v>6127</v>
      </c>
      <c r="C458">
        <v>34.631</v>
      </c>
      <c r="D458">
        <v>-83.531099999999995</v>
      </c>
      <c r="E458" t="s">
        <v>6940</v>
      </c>
    </row>
    <row r="459" spans="1:5" hidden="1" x14ac:dyDescent="0.25">
      <c r="A459" t="s">
        <v>2889</v>
      </c>
      <c r="B459" t="s">
        <v>6127</v>
      </c>
      <c r="C459">
        <v>34.317100000000003</v>
      </c>
      <c r="D459">
        <v>-83.819599999999994</v>
      </c>
      <c r="E459" t="s">
        <v>6941</v>
      </c>
    </row>
    <row r="460" spans="1:5" hidden="1" x14ac:dyDescent="0.25">
      <c r="A460" t="s">
        <v>1216</v>
      </c>
      <c r="B460" t="s">
        <v>6127</v>
      </c>
      <c r="C460">
        <v>33.270400000000002</v>
      </c>
      <c r="D460">
        <v>-83.000699999999995</v>
      </c>
      <c r="E460" t="s">
        <v>6942</v>
      </c>
    </row>
    <row r="461" spans="1:5" hidden="1" x14ac:dyDescent="0.25">
      <c r="A461" t="s">
        <v>6943</v>
      </c>
      <c r="B461" t="s">
        <v>6127</v>
      </c>
      <c r="C461">
        <v>33.794199999999996</v>
      </c>
      <c r="D461">
        <v>-85.210999999999999</v>
      </c>
      <c r="E461" t="s">
        <v>6944</v>
      </c>
    </row>
    <row r="462" spans="1:5" hidden="1" x14ac:dyDescent="0.25">
      <c r="A462" t="s">
        <v>1861</v>
      </c>
      <c r="B462" t="s">
        <v>6127</v>
      </c>
      <c r="C462">
        <v>32.735999999999997</v>
      </c>
      <c r="D462">
        <v>-84.908900000000003</v>
      </c>
      <c r="E462" t="s">
        <v>6945</v>
      </c>
    </row>
    <row r="463" spans="1:5" hidden="1" x14ac:dyDescent="0.25">
      <c r="A463" t="s">
        <v>4649</v>
      </c>
      <c r="B463" t="s">
        <v>6127</v>
      </c>
      <c r="C463">
        <v>34.350900000000003</v>
      </c>
      <c r="D463">
        <v>-82.964200000000005</v>
      </c>
      <c r="E463" t="s">
        <v>6946</v>
      </c>
    </row>
    <row r="464" spans="1:5" hidden="1" x14ac:dyDescent="0.25">
      <c r="A464" t="s">
        <v>6947</v>
      </c>
      <c r="B464" t="s">
        <v>6127</v>
      </c>
      <c r="C464">
        <v>33.296999999999997</v>
      </c>
      <c r="D464">
        <v>-85.128299999999996</v>
      </c>
      <c r="E464" t="s">
        <v>6948</v>
      </c>
    </row>
    <row r="465" spans="1:5" hidden="1" x14ac:dyDescent="0.25">
      <c r="A465" t="s">
        <v>334</v>
      </c>
      <c r="B465" t="s">
        <v>6127</v>
      </c>
      <c r="C465">
        <v>33.453000000000003</v>
      </c>
      <c r="D465">
        <v>-84.154200000000003</v>
      </c>
      <c r="E465" t="s">
        <v>6949</v>
      </c>
    </row>
    <row r="466" spans="1:5" hidden="1" x14ac:dyDescent="0.25">
      <c r="A466" t="s">
        <v>6269</v>
      </c>
      <c r="B466" t="s">
        <v>6127</v>
      </c>
      <c r="C466">
        <v>32.459000000000003</v>
      </c>
      <c r="D466">
        <v>-83.666200000000003</v>
      </c>
      <c r="E466" t="s">
        <v>6950</v>
      </c>
    </row>
    <row r="467" spans="1:5" hidden="1" x14ac:dyDescent="0.25">
      <c r="A467" t="s">
        <v>6951</v>
      </c>
      <c r="B467" t="s">
        <v>6127</v>
      </c>
      <c r="C467">
        <v>31.6022</v>
      </c>
      <c r="D467">
        <v>-83.276399999999995</v>
      </c>
      <c r="E467" t="s">
        <v>6952</v>
      </c>
    </row>
    <row r="468" spans="1:5" hidden="1" x14ac:dyDescent="0.25">
      <c r="A468" t="s">
        <v>191</v>
      </c>
      <c r="B468" t="s">
        <v>6127</v>
      </c>
      <c r="C468">
        <v>34.134</v>
      </c>
      <c r="D468">
        <v>-83.566500000000005</v>
      </c>
      <c r="E468" t="s">
        <v>6953</v>
      </c>
    </row>
    <row r="469" spans="1:5" hidden="1" x14ac:dyDescent="0.25">
      <c r="A469" t="s">
        <v>2108</v>
      </c>
      <c r="B469" t="s">
        <v>6127</v>
      </c>
      <c r="C469">
        <v>33.316499999999998</v>
      </c>
      <c r="D469">
        <v>-83.688000000000002</v>
      </c>
      <c r="E469" t="s">
        <v>6954</v>
      </c>
    </row>
    <row r="470" spans="1:5" hidden="1" x14ac:dyDescent="0.25">
      <c r="A470" t="s">
        <v>6955</v>
      </c>
      <c r="B470" t="s">
        <v>6127</v>
      </c>
      <c r="C470">
        <v>31.805599999999998</v>
      </c>
      <c r="D470">
        <v>-82.636799999999994</v>
      </c>
      <c r="E470" t="s">
        <v>6956</v>
      </c>
    </row>
    <row r="471" spans="1:5" hidden="1" x14ac:dyDescent="0.25">
      <c r="A471" t="s">
        <v>6272</v>
      </c>
      <c r="B471" t="s">
        <v>6127</v>
      </c>
      <c r="C471">
        <v>33.054900000000004</v>
      </c>
      <c r="D471">
        <v>-82.418199999999999</v>
      </c>
      <c r="E471" t="s">
        <v>6957</v>
      </c>
    </row>
    <row r="472" spans="1:5" hidden="1" x14ac:dyDescent="0.25">
      <c r="A472" t="s">
        <v>489</v>
      </c>
      <c r="B472" t="s">
        <v>6127</v>
      </c>
      <c r="C472">
        <v>32.792400000000001</v>
      </c>
      <c r="D472">
        <v>-81.963499999999996</v>
      </c>
      <c r="E472" t="s">
        <v>6958</v>
      </c>
    </row>
    <row r="473" spans="1:5" hidden="1" x14ac:dyDescent="0.25">
      <c r="A473" t="s">
        <v>37</v>
      </c>
      <c r="B473" t="s">
        <v>6127</v>
      </c>
      <c r="C473">
        <v>32.701500000000003</v>
      </c>
      <c r="D473">
        <v>-82.6601</v>
      </c>
      <c r="E473" t="s">
        <v>6959</v>
      </c>
    </row>
    <row r="474" spans="1:5" hidden="1" x14ac:dyDescent="0.25">
      <c r="A474" t="s">
        <v>728</v>
      </c>
      <c r="B474" t="s">
        <v>6127</v>
      </c>
      <c r="C474">
        <v>33.025100000000002</v>
      </c>
      <c r="D474">
        <v>-83.560500000000005</v>
      </c>
      <c r="E474" t="s">
        <v>6960</v>
      </c>
    </row>
    <row r="475" spans="1:5" hidden="1" x14ac:dyDescent="0.25">
      <c r="A475" t="s">
        <v>6274</v>
      </c>
      <c r="B475" t="s">
        <v>6127</v>
      </c>
      <c r="C475">
        <v>33.076500000000003</v>
      </c>
      <c r="D475">
        <v>-84.139499999999998</v>
      </c>
      <c r="E475" t="s">
        <v>6961</v>
      </c>
    </row>
    <row r="476" spans="1:5" hidden="1" x14ac:dyDescent="0.25">
      <c r="A476" t="s">
        <v>6962</v>
      </c>
      <c r="B476" t="s">
        <v>6127</v>
      </c>
      <c r="C476">
        <v>31.0379</v>
      </c>
      <c r="D476">
        <v>-83.062799999999996</v>
      </c>
      <c r="E476" t="s">
        <v>6963</v>
      </c>
    </row>
    <row r="477" spans="1:5" hidden="1" x14ac:dyDescent="0.25">
      <c r="A477" t="s">
        <v>6964</v>
      </c>
      <c r="B477" t="s">
        <v>6127</v>
      </c>
      <c r="C477">
        <v>32.4636</v>
      </c>
      <c r="D477">
        <v>-82.922200000000004</v>
      </c>
      <c r="E477" t="s">
        <v>6965</v>
      </c>
    </row>
    <row r="478" spans="1:5" hidden="1" x14ac:dyDescent="0.25">
      <c r="A478" t="s">
        <v>2353</v>
      </c>
      <c r="B478" t="s">
        <v>6127</v>
      </c>
      <c r="C478">
        <v>31.779499999999999</v>
      </c>
      <c r="D478">
        <v>-84.141099999999994</v>
      </c>
      <c r="E478" t="s">
        <v>6966</v>
      </c>
    </row>
    <row r="479" spans="1:5" hidden="1" x14ac:dyDescent="0.25">
      <c r="A479" t="s">
        <v>5522</v>
      </c>
      <c r="B479" t="s">
        <v>6127</v>
      </c>
      <c r="C479">
        <v>31.828199999999999</v>
      </c>
      <c r="D479">
        <v>-81.494900000000001</v>
      </c>
      <c r="E479" t="s">
        <v>6967</v>
      </c>
    </row>
    <row r="480" spans="1:5" hidden="1" x14ac:dyDescent="0.25">
      <c r="A480" t="s">
        <v>6386</v>
      </c>
      <c r="B480" t="s">
        <v>6127</v>
      </c>
      <c r="C480">
        <v>33.793599999999998</v>
      </c>
      <c r="D480">
        <v>-82.4512</v>
      </c>
      <c r="E480" t="s">
        <v>6968</v>
      </c>
    </row>
    <row r="481" spans="1:5" hidden="1" x14ac:dyDescent="0.25">
      <c r="A481" t="s">
        <v>6969</v>
      </c>
      <c r="B481" t="s">
        <v>6127</v>
      </c>
      <c r="C481">
        <v>31.752600000000001</v>
      </c>
      <c r="D481">
        <v>-81.745699999999999</v>
      </c>
      <c r="E481" t="s">
        <v>6970</v>
      </c>
    </row>
    <row r="482" spans="1:5" hidden="1" x14ac:dyDescent="0.25">
      <c r="A482" t="s">
        <v>6282</v>
      </c>
      <c r="B482" t="s">
        <v>6127</v>
      </c>
      <c r="C482">
        <v>30.8338</v>
      </c>
      <c r="D482">
        <v>-83.267700000000005</v>
      </c>
      <c r="E482" t="s">
        <v>6971</v>
      </c>
    </row>
    <row r="483" spans="1:5" hidden="1" x14ac:dyDescent="0.25">
      <c r="A483" t="s">
        <v>6972</v>
      </c>
      <c r="B483" t="s">
        <v>6127</v>
      </c>
      <c r="C483">
        <v>34.572200000000002</v>
      </c>
      <c r="D483">
        <v>-84.002700000000004</v>
      </c>
      <c r="E483" t="s">
        <v>6973</v>
      </c>
    </row>
    <row r="484" spans="1:5" hidden="1" x14ac:dyDescent="0.25">
      <c r="A484" t="s">
        <v>6284</v>
      </c>
      <c r="B484" t="s">
        <v>6127</v>
      </c>
      <c r="C484">
        <v>32.358400000000003</v>
      </c>
      <c r="D484">
        <v>-84.042500000000004</v>
      </c>
      <c r="E484" t="s">
        <v>6974</v>
      </c>
    </row>
    <row r="485" spans="1:5" hidden="1" x14ac:dyDescent="0.25">
      <c r="A485" t="s">
        <v>6286</v>
      </c>
      <c r="B485" t="s">
        <v>6127</v>
      </c>
      <c r="C485">
        <v>34.127800000000001</v>
      </c>
      <c r="D485">
        <v>-83.209000000000003</v>
      </c>
      <c r="E485" t="s">
        <v>6975</v>
      </c>
    </row>
    <row r="486" spans="1:5" hidden="1" x14ac:dyDescent="0.25">
      <c r="A486" t="s">
        <v>6290</v>
      </c>
      <c r="B486" t="s">
        <v>6127</v>
      </c>
      <c r="C486">
        <v>32.353499999999997</v>
      </c>
      <c r="D486">
        <v>-84.524600000000007</v>
      </c>
      <c r="E486" t="s">
        <v>6976</v>
      </c>
    </row>
    <row r="487" spans="1:5" hidden="1" x14ac:dyDescent="0.25">
      <c r="A487" t="s">
        <v>6977</v>
      </c>
      <c r="B487" t="s">
        <v>6127</v>
      </c>
      <c r="C487">
        <v>33.482799999999997</v>
      </c>
      <c r="D487">
        <v>-82.481399999999994</v>
      </c>
      <c r="E487" t="s">
        <v>6978</v>
      </c>
    </row>
    <row r="488" spans="1:5" hidden="1" x14ac:dyDescent="0.25">
      <c r="A488" t="s">
        <v>6979</v>
      </c>
      <c r="B488" t="s">
        <v>6127</v>
      </c>
      <c r="C488">
        <v>31.496300000000002</v>
      </c>
      <c r="D488">
        <v>-81.410300000000007</v>
      </c>
      <c r="E488" t="s">
        <v>6980</v>
      </c>
    </row>
    <row r="489" spans="1:5" hidden="1" x14ac:dyDescent="0.25">
      <c r="A489" t="s">
        <v>6981</v>
      </c>
      <c r="B489" t="s">
        <v>6127</v>
      </c>
      <c r="C489">
        <v>33.040599999999998</v>
      </c>
      <c r="D489">
        <v>-84.688299999999998</v>
      </c>
      <c r="E489" t="s">
        <v>6982</v>
      </c>
    </row>
    <row r="490" spans="1:5" hidden="1" x14ac:dyDescent="0.25">
      <c r="A490" t="s">
        <v>1684</v>
      </c>
      <c r="B490" t="s">
        <v>6127</v>
      </c>
      <c r="C490">
        <v>31.164000000000001</v>
      </c>
      <c r="D490">
        <v>-84.730800000000002</v>
      </c>
      <c r="E490" t="s">
        <v>6983</v>
      </c>
    </row>
    <row r="491" spans="1:5" hidden="1" x14ac:dyDescent="0.25">
      <c r="A491" t="s">
        <v>172</v>
      </c>
      <c r="B491" t="s">
        <v>6127</v>
      </c>
      <c r="C491">
        <v>31.225300000000001</v>
      </c>
      <c r="D491">
        <v>-84.194299999999998</v>
      </c>
      <c r="E491" t="s">
        <v>6984</v>
      </c>
    </row>
    <row r="492" spans="1:5" hidden="1" x14ac:dyDescent="0.25">
      <c r="A492" t="s">
        <v>6295</v>
      </c>
      <c r="B492" t="s">
        <v>6127</v>
      </c>
      <c r="C492">
        <v>33.0139</v>
      </c>
      <c r="D492">
        <v>-83.918700000000001</v>
      </c>
      <c r="E492" t="s">
        <v>6985</v>
      </c>
    </row>
    <row r="493" spans="1:5" hidden="1" x14ac:dyDescent="0.25">
      <c r="A493" t="s">
        <v>6297</v>
      </c>
      <c r="B493" t="s">
        <v>6127</v>
      </c>
      <c r="C493">
        <v>32.173400000000001</v>
      </c>
      <c r="D493">
        <v>-82.534800000000004</v>
      </c>
      <c r="E493" t="s">
        <v>6986</v>
      </c>
    </row>
    <row r="494" spans="1:5" hidden="1" x14ac:dyDescent="0.25">
      <c r="A494" t="s">
        <v>496</v>
      </c>
      <c r="B494" t="s">
        <v>6127</v>
      </c>
      <c r="C494">
        <v>33.590899999999998</v>
      </c>
      <c r="D494">
        <v>-83.4923</v>
      </c>
      <c r="E494" t="s">
        <v>6987</v>
      </c>
    </row>
    <row r="495" spans="1:5" hidden="1" x14ac:dyDescent="0.25">
      <c r="A495" t="s">
        <v>3180</v>
      </c>
      <c r="B495" t="s">
        <v>6127</v>
      </c>
      <c r="C495">
        <v>34.788400000000003</v>
      </c>
      <c r="D495">
        <v>-84.748099999999994</v>
      </c>
      <c r="E495" t="s">
        <v>6988</v>
      </c>
    </row>
    <row r="496" spans="1:5" hidden="1" x14ac:dyDescent="0.25">
      <c r="A496" t="s">
        <v>6989</v>
      </c>
      <c r="B496" t="s">
        <v>6127</v>
      </c>
      <c r="C496">
        <v>32.51</v>
      </c>
      <c r="D496">
        <v>-84.877099999999999</v>
      </c>
      <c r="E496" t="s">
        <v>6990</v>
      </c>
    </row>
    <row r="497" spans="1:5" hidden="1" x14ac:dyDescent="0.25">
      <c r="A497" t="s">
        <v>3078</v>
      </c>
      <c r="B497" t="s">
        <v>6127</v>
      </c>
      <c r="C497">
        <v>33.555</v>
      </c>
      <c r="D497">
        <v>-83.850200000000001</v>
      </c>
      <c r="E497" t="s">
        <v>6991</v>
      </c>
    </row>
    <row r="498" spans="1:5" hidden="1" x14ac:dyDescent="0.25">
      <c r="A498" t="s">
        <v>6992</v>
      </c>
      <c r="B498" t="s">
        <v>6127</v>
      </c>
      <c r="C498">
        <v>33.835000000000001</v>
      </c>
      <c r="D498">
        <v>-83.437100000000001</v>
      </c>
      <c r="E498" t="s">
        <v>6993</v>
      </c>
    </row>
    <row r="499" spans="1:5" hidden="1" x14ac:dyDescent="0.25">
      <c r="A499" t="s">
        <v>6994</v>
      </c>
      <c r="B499" t="s">
        <v>6127</v>
      </c>
      <c r="C499">
        <v>33.880699999999997</v>
      </c>
      <c r="D499">
        <v>-83.080699999999993</v>
      </c>
      <c r="E499" t="s">
        <v>6995</v>
      </c>
    </row>
    <row r="500" spans="1:5" hidden="1" x14ac:dyDescent="0.25">
      <c r="A500" t="s">
        <v>6996</v>
      </c>
      <c r="B500" t="s">
        <v>6127</v>
      </c>
      <c r="C500">
        <v>33.920499999999997</v>
      </c>
      <c r="D500">
        <v>-84.8673</v>
      </c>
      <c r="E500" t="s">
        <v>6997</v>
      </c>
    </row>
    <row r="501" spans="1:5" hidden="1" x14ac:dyDescent="0.25">
      <c r="A501" t="s">
        <v>6998</v>
      </c>
      <c r="B501" t="s">
        <v>6127</v>
      </c>
      <c r="C501">
        <v>32.568800000000003</v>
      </c>
      <c r="D501">
        <v>-83.826899999999995</v>
      </c>
      <c r="E501" t="s">
        <v>6999</v>
      </c>
    </row>
    <row r="502" spans="1:5" hidden="1" x14ac:dyDescent="0.25">
      <c r="A502" t="s">
        <v>6301</v>
      </c>
      <c r="B502" t="s">
        <v>6127</v>
      </c>
      <c r="C502">
        <v>34.464300000000001</v>
      </c>
      <c r="D502">
        <v>-84.465599999999995</v>
      </c>
      <c r="E502" t="s">
        <v>7000</v>
      </c>
    </row>
    <row r="503" spans="1:5" hidden="1" x14ac:dyDescent="0.25">
      <c r="A503" t="s">
        <v>7001</v>
      </c>
      <c r="B503" t="s">
        <v>6127</v>
      </c>
      <c r="C503">
        <v>31.358799999999999</v>
      </c>
      <c r="D503">
        <v>-82.212800000000001</v>
      </c>
      <c r="E503" t="s">
        <v>7002</v>
      </c>
    </row>
    <row r="504" spans="1:5" hidden="1" x14ac:dyDescent="0.25">
      <c r="A504" t="s">
        <v>6303</v>
      </c>
      <c r="B504" t="s">
        <v>6127</v>
      </c>
      <c r="C504">
        <v>33.092300000000002</v>
      </c>
      <c r="D504">
        <v>-84.389200000000002</v>
      </c>
      <c r="E504" t="s">
        <v>7003</v>
      </c>
    </row>
    <row r="505" spans="1:5" hidden="1" x14ac:dyDescent="0.25">
      <c r="A505" t="s">
        <v>6410</v>
      </c>
      <c r="B505" t="s">
        <v>6127</v>
      </c>
      <c r="C505">
        <v>34.001800000000003</v>
      </c>
      <c r="D505">
        <v>-85.188100000000006</v>
      </c>
      <c r="E505" t="s">
        <v>7004</v>
      </c>
    </row>
    <row r="506" spans="1:5" hidden="1" x14ac:dyDescent="0.25">
      <c r="A506" t="s">
        <v>6416</v>
      </c>
      <c r="B506" t="s">
        <v>6127</v>
      </c>
      <c r="C506">
        <v>32.232300000000002</v>
      </c>
      <c r="D506">
        <v>-83.475999999999999</v>
      </c>
      <c r="E506" t="s">
        <v>7005</v>
      </c>
    </row>
    <row r="507" spans="1:5" hidden="1" x14ac:dyDescent="0.25">
      <c r="A507" t="s">
        <v>6810</v>
      </c>
      <c r="B507" t="s">
        <v>6127</v>
      </c>
      <c r="C507">
        <v>33.321800000000003</v>
      </c>
      <c r="D507">
        <v>-83.372799999999998</v>
      </c>
      <c r="E507" t="s">
        <v>7006</v>
      </c>
    </row>
    <row r="508" spans="1:5" hidden="1" x14ac:dyDescent="0.25">
      <c r="A508" t="s">
        <v>7007</v>
      </c>
      <c r="B508" t="s">
        <v>6127</v>
      </c>
      <c r="C508">
        <v>31.8673</v>
      </c>
      <c r="D508">
        <v>-85.018799999999999</v>
      </c>
      <c r="E508" t="s">
        <v>7008</v>
      </c>
    </row>
    <row r="509" spans="1:5" hidden="1" x14ac:dyDescent="0.25">
      <c r="A509" t="s">
        <v>7009</v>
      </c>
      <c r="B509" t="s">
        <v>6127</v>
      </c>
      <c r="C509">
        <v>34.881799999999998</v>
      </c>
      <c r="D509">
        <v>-83.402000000000001</v>
      </c>
      <c r="E509" t="s">
        <v>7010</v>
      </c>
    </row>
    <row r="510" spans="1:5" hidden="1" x14ac:dyDescent="0.25">
      <c r="A510" t="s">
        <v>6305</v>
      </c>
      <c r="B510" t="s">
        <v>6127</v>
      </c>
      <c r="C510">
        <v>31.762599999999999</v>
      </c>
      <c r="D510">
        <v>-84.754199999999997</v>
      </c>
      <c r="E510" t="s">
        <v>7011</v>
      </c>
    </row>
    <row r="511" spans="1:5" hidden="1" x14ac:dyDescent="0.25">
      <c r="A511" t="s">
        <v>272</v>
      </c>
      <c r="B511" t="s">
        <v>6127</v>
      </c>
      <c r="C511">
        <v>33.3596</v>
      </c>
      <c r="D511">
        <v>-82.073599999999999</v>
      </c>
      <c r="E511" t="s">
        <v>7012</v>
      </c>
    </row>
    <row r="512" spans="1:5" hidden="1" x14ac:dyDescent="0.25">
      <c r="A512" t="s">
        <v>7013</v>
      </c>
      <c r="B512" t="s">
        <v>6127</v>
      </c>
      <c r="C512">
        <v>33.654200000000003</v>
      </c>
      <c r="D512">
        <v>-84.026600000000002</v>
      </c>
      <c r="E512" t="s">
        <v>7014</v>
      </c>
    </row>
    <row r="513" spans="1:5" hidden="1" x14ac:dyDescent="0.25">
      <c r="A513" t="s">
        <v>7015</v>
      </c>
      <c r="B513" t="s">
        <v>6127</v>
      </c>
      <c r="C513">
        <v>32.261699999999998</v>
      </c>
      <c r="D513">
        <v>-84.314800000000005</v>
      </c>
      <c r="E513" t="s">
        <v>7016</v>
      </c>
    </row>
    <row r="514" spans="1:5" hidden="1" x14ac:dyDescent="0.25">
      <c r="A514" t="s">
        <v>7017</v>
      </c>
      <c r="B514" t="s">
        <v>6127</v>
      </c>
      <c r="C514">
        <v>32.750599999999999</v>
      </c>
      <c r="D514">
        <v>-81.611999999999995</v>
      </c>
      <c r="E514" t="s">
        <v>7018</v>
      </c>
    </row>
    <row r="515" spans="1:5" hidden="1" x14ac:dyDescent="0.25">
      <c r="A515" t="s">
        <v>6816</v>
      </c>
      <c r="B515" t="s">
        <v>6127</v>
      </c>
      <c r="C515">
        <v>30.938800000000001</v>
      </c>
      <c r="D515">
        <v>-84.868799999999993</v>
      </c>
      <c r="E515" t="s">
        <v>7019</v>
      </c>
    </row>
    <row r="516" spans="1:5" hidden="1" x14ac:dyDescent="0.25">
      <c r="A516" t="s">
        <v>7020</v>
      </c>
      <c r="B516" t="s">
        <v>6127</v>
      </c>
      <c r="C516">
        <v>33.260899999999999</v>
      </c>
      <c r="D516">
        <v>-84.284099999999995</v>
      </c>
      <c r="E516" t="s">
        <v>7021</v>
      </c>
    </row>
    <row r="517" spans="1:5" hidden="1" x14ac:dyDescent="0.25">
      <c r="A517" t="s">
        <v>1223</v>
      </c>
      <c r="B517" t="s">
        <v>6127</v>
      </c>
      <c r="C517">
        <v>34.554000000000002</v>
      </c>
      <c r="D517">
        <v>-83.293199999999999</v>
      </c>
      <c r="E517" t="s">
        <v>7022</v>
      </c>
    </row>
    <row r="518" spans="1:5" hidden="1" x14ac:dyDescent="0.25">
      <c r="A518" t="s">
        <v>1377</v>
      </c>
      <c r="B518" t="s">
        <v>6127</v>
      </c>
      <c r="C518">
        <v>32.078499999999998</v>
      </c>
      <c r="D518">
        <v>-84.8352</v>
      </c>
      <c r="E518" t="s">
        <v>7023</v>
      </c>
    </row>
    <row r="519" spans="1:5" hidden="1" x14ac:dyDescent="0.25">
      <c r="A519" t="s">
        <v>6313</v>
      </c>
      <c r="B519" t="s">
        <v>6127</v>
      </c>
      <c r="C519">
        <v>32.039900000000003</v>
      </c>
      <c r="D519">
        <v>-84.197000000000003</v>
      </c>
      <c r="E519" t="s">
        <v>7024</v>
      </c>
    </row>
    <row r="520" spans="1:5" hidden="1" x14ac:dyDescent="0.25">
      <c r="A520" t="s">
        <v>2465</v>
      </c>
      <c r="B520" t="s">
        <v>6127</v>
      </c>
      <c r="C520">
        <v>32.6995</v>
      </c>
      <c r="D520">
        <v>-84.533000000000001</v>
      </c>
      <c r="E520" t="s">
        <v>7025</v>
      </c>
    </row>
    <row r="521" spans="1:5" hidden="1" x14ac:dyDescent="0.25">
      <c r="A521" t="s">
        <v>7026</v>
      </c>
      <c r="B521" t="s">
        <v>6127</v>
      </c>
      <c r="C521">
        <v>33.566099999999999</v>
      </c>
      <c r="D521">
        <v>-82.878799999999998</v>
      </c>
      <c r="E521" t="s">
        <v>7027</v>
      </c>
    </row>
    <row r="522" spans="1:5" hidden="1" x14ac:dyDescent="0.25">
      <c r="A522" t="s">
        <v>7028</v>
      </c>
      <c r="B522" t="s">
        <v>6127</v>
      </c>
      <c r="C522">
        <v>32.0458</v>
      </c>
      <c r="D522">
        <v>-82.058099999999996</v>
      </c>
      <c r="E522" t="s">
        <v>7029</v>
      </c>
    </row>
    <row r="523" spans="1:5" hidden="1" x14ac:dyDescent="0.25">
      <c r="A523" t="s">
        <v>3564</v>
      </c>
      <c r="B523" t="s">
        <v>6127</v>
      </c>
      <c r="C523">
        <v>32.555500000000002</v>
      </c>
      <c r="D523">
        <v>-84.250500000000002</v>
      </c>
      <c r="E523" t="s">
        <v>7030</v>
      </c>
    </row>
    <row r="524" spans="1:5" hidden="1" x14ac:dyDescent="0.25">
      <c r="A524" t="s">
        <v>7031</v>
      </c>
      <c r="B524" t="s">
        <v>6127</v>
      </c>
      <c r="C524">
        <v>31.9298</v>
      </c>
      <c r="D524">
        <v>-82.938999999999993</v>
      </c>
      <c r="E524" t="s">
        <v>7032</v>
      </c>
    </row>
    <row r="525" spans="1:5" hidden="1" x14ac:dyDescent="0.25">
      <c r="A525" t="s">
        <v>3832</v>
      </c>
      <c r="B525" t="s">
        <v>6127</v>
      </c>
      <c r="C525">
        <v>31.777000000000001</v>
      </c>
      <c r="D525">
        <v>-84.436999999999998</v>
      </c>
      <c r="E525" t="s">
        <v>7033</v>
      </c>
    </row>
    <row r="526" spans="1:5" hidden="1" x14ac:dyDescent="0.25">
      <c r="A526" t="s">
        <v>226</v>
      </c>
      <c r="B526" t="s">
        <v>6127</v>
      </c>
      <c r="C526">
        <v>30.863700000000001</v>
      </c>
      <c r="D526">
        <v>-83.919300000000007</v>
      </c>
      <c r="E526" t="s">
        <v>7034</v>
      </c>
    </row>
    <row r="527" spans="1:5" hidden="1" x14ac:dyDescent="0.25">
      <c r="A527" t="s">
        <v>7035</v>
      </c>
      <c r="B527" t="s">
        <v>6127</v>
      </c>
      <c r="C527">
        <v>31.4574</v>
      </c>
      <c r="D527">
        <v>-83.526600000000002</v>
      </c>
      <c r="E527" t="s">
        <v>7036</v>
      </c>
    </row>
    <row r="528" spans="1:5" hidden="1" x14ac:dyDescent="0.25">
      <c r="A528" t="s">
        <v>7037</v>
      </c>
      <c r="B528" t="s">
        <v>6127</v>
      </c>
      <c r="C528">
        <v>32.121600000000001</v>
      </c>
      <c r="D528">
        <v>-82.331199999999995</v>
      </c>
      <c r="E528" t="s">
        <v>7038</v>
      </c>
    </row>
    <row r="529" spans="1:5" hidden="1" x14ac:dyDescent="0.25">
      <c r="A529" t="s">
        <v>7039</v>
      </c>
      <c r="B529" t="s">
        <v>6127</v>
      </c>
      <c r="C529">
        <v>34.916699999999999</v>
      </c>
      <c r="D529">
        <v>-83.737300000000005</v>
      </c>
      <c r="E529" t="s">
        <v>7040</v>
      </c>
    </row>
    <row r="530" spans="1:5" hidden="1" x14ac:dyDescent="0.25">
      <c r="A530" t="s">
        <v>7041</v>
      </c>
      <c r="B530" t="s">
        <v>6127</v>
      </c>
      <c r="C530">
        <v>32.4039</v>
      </c>
      <c r="D530">
        <v>-82.567300000000003</v>
      </c>
      <c r="E530" t="s">
        <v>7042</v>
      </c>
    </row>
    <row r="531" spans="1:5" hidden="1" x14ac:dyDescent="0.25">
      <c r="A531" t="s">
        <v>7043</v>
      </c>
      <c r="B531" t="s">
        <v>6127</v>
      </c>
      <c r="C531">
        <v>33.033499999999997</v>
      </c>
      <c r="D531">
        <v>-85.028400000000005</v>
      </c>
      <c r="E531" t="s">
        <v>7044</v>
      </c>
    </row>
    <row r="532" spans="1:5" hidden="1" x14ac:dyDescent="0.25">
      <c r="A532" t="s">
        <v>3138</v>
      </c>
      <c r="B532" t="s">
        <v>6127</v>
      </c>
      <c r="C532">
        <v>31.7164</v>
      </c>
      <c r="D532">
        <v>-83.624099999999999</v>
      </c>
      <c r="E532" t="s">
        <v>7045</v>
      </c>
    </row>
    <row r="533" spans="1:5" hidden="1" x14ac:dyDescent="0.25">
      <c r="A533" t="s">
        <v>7046</v>
      </c>
      <c r="B533" t="s">
        <v>6127</v>
      </c>
      <c r="C533">
        <v>32.667200000000001</v>
      </c>
      <c r="D533">
        <v>-83.427099999999996</v>
      </c>
      <c r="E533" t="s">
        <v>7047</v>
      </c>
    </row>
    <row r="534" spans="1:5" hidden="1" x14ac:dyDescent="0.25">
      <c r="A534" t="s">
        <v>5878</v>
      </c>
      <c r="B534" t="s">
        <v>6127</v>
      </c>
      <c r="C534">
        <v>34.834099999999999</v>
      </c>
      <c r="D534">
        <v>-83.990700000000004</v>
      </c>
      <c r="E534" t="s">
        <v>7048</v>
      </c>
    </row>
    <row r="535" spans="1:5" hidden="1" x14ac:dyDescent="0.25">
      <c r="A535" t="s">
        <v>7049</v>
      </c>
      <c r="B535" t="s">
        <v>6127</v>
      </c>
      <c r="C535">
        <v>32.881300000000003</v>
      </c>
      <c r="D535">
        <v>-84.299400000000006</v>
      </c>
      <c r="E535" t="s">
        <v>7050</v>
      </c>
    </row>
    <row r="536" spans="1:5" hidden="1" x14ac:dyDescent="0.25">
      <c r="A536" t="s">
        <v>246</v>
      </c>
      <c r="B536" t="s">
        <v>6127</v>
      </c>
      <c r="C536">
        <v>34.735599999999998</v>
      </c>
      <c r="D536">
        <v>-85.301000000000002</v>
      </c>
      <c r="E536" t="s">
        <v>7051</v>
      </c>
    </row>
    <row r="537" spans="1:5" hidden="1" x14ac:dyDescent="0.25">
      <c r="A537" t="s">
        <v>2711</v>
      </c>
      <c r="B537" t="s">
        <v>6127</v>
      </c>
      <c r="C537">
        <v>33.781599999999997</v>
      </c>
      <c r="D537">
        <v>-83.733900000000006</v>
      </c>
      <c r="E537" t="s">
        <v>7052</v>
      </c>
    </row>
    <row r="538" spans="1:5" hidden="1" x14ac:dyDescent="0.25">
      <c r="A538" t="s">
        <v>7053</v>
      </c>
      <c r="B538" t="s">
        <v>6127</v>
      </c>
      <c r="C538">
        <v>31.053799999999999</v>
      </c>
      <c r="D538">
        <v>-82.423699999999997</v>
      </c>
      <c r="E538" t="s">
        <v>7054</v>
      </c>
    </row>
    <row r="539" spans="1:5" hidden="1" x14ac:dyDescent="0.25">
      <c r="A539" t="s">
        <v>448</v>
      </c>
      <c r="B539" t="s">
        <v>6127</v>
      </c>
      <c r="C539">
        <v>33.408900000000003</v>
      </c>
      <c r="D539">
        <v>-82.6768</v>
      </c>
      <c r="E539" t="s">
        <v>7055</v>
      </c>
    </row>
    <row r="540" spans="1:5" hidden="1" x14ac:dyDescent="0.25">
      <c r="A540" t="s">
        <v>3052</v>
      </c>
      <c r="B540" t="s">
        <v>6127</v>
      </c>
      <c r="C540">
        <v>32.969499999999996</v>
      </c>
      <c r="D540">
        <v>-82.795900000000003</v>
      </c>
      <c r="E540" t="s">
        <v>7056</v>
      </c>
    </row>
    <row r="541" spans="1:5" hidden="1" x14ac:dyDescent="0.25">
      <c r="A541" t="s">
        <v>7057</v>
      </c>
      <c r="B541" t="s">
        <v>6127</v>
      </c>
      <c r="C541">
        <v>31.551500000000001</v>
      </c>
      <c r="D541">
        <v>-81.916799999999995</v>
      </c>
      <c r="E541" t="s">
        <v>7058</v>
      </c>
    </row>
    <row r="542" spans="1:5" hidden="1" x14ac:dyDescent="0.25">
      <c r="A542" t="s">
        <v>7059</v>
      </c>
      <c r="B542" t="s">
        <v>6127</v>
      </c>
      <c r="C542">
        <v>32.046799999999998</v>
      </c>
      <c r="D542">
        <v>-84.551100000000005</v>
      </c>
      <c r="E542" t="s">
        <v>7060</v>
      </c>
    </row>
    <row r="543" spans="1:5" hidden="1" x14ac:dyDescent="0.25">
      <c r="A543" t="s">
        <v>1447</v>
      </c>
      <c r="B543" t="s">
        <v>6127</v>
      </c>
      <c r="C543">
        <v>32.116999999999997</v>
      </c>
      <c r="D543">
        <v>-82.724599999999995</v>
      </c>
      <c r="E543" t="s">
        <v>7061</v>
      </c>
    </row>
    <row r="544" spans="1:5" hidden="1" x14ac:dyDescent="0.25">
      <c r="A544" t="s">
        <v>1147</v>
      </c>
      <c r="B544" t="s">
        <v>6127</v>
      </c>
      <c r="C544">
        <v>34.6464</v>
      </c>
      <c r="D544">
        <v>-83.747100000000003</v>
      </c>
      <c r="E544" t="s">
        <v>7062</v>
      </c>
    </row>
    <row r="545" spans="1:5" hidden="1" x14ac:dyDescent="0.25">
      <c r="A545" t="s">
        <v>7063</v>
      </c>
      <c r="B545" t="s">
        <v>6127</v>
      </c>
      <c r="C545">
        <v>34.805599999999998</v>
      </c>
      <c r="D545">
        <v>-84.967200000000005</v>
      </c>
      <c r="E545" t="s">
        <v>7064</v>
      </c>
    </row>
    <row r="546" spans="1:5" hidden="1" x14ac:dyDescent="0.25">
      <c r="A546" t="s">
        <v>6323</v>
      </c>
      <c r="B546" t="s">
        <v>6127</v>
      </c>
      <c r="C546">
        <v>31.972899999999999</v>
      </c>
      <c r="D546">
        <v>-83.432299999999998</v>
      </c>
      <c r="E546" t="s">
        <v>7065</v>
      </c>
    </row>
    <row r="547" spans="1:5" hidden="1" x14ac:dyDescent="0.25">
      <c r="A547" t="s">
        <v>7066</v>
      </c>
      <c r="B547" t="s">
        <v>6127</v>
      </c>
      <c r="C547">
        <v>33.781999999999996</v>
      </c>
      <c r="D547">
        <v>-82.743200000000002</v>
      </c>
      <c r="E547" t="s">
        <v>7067</v>
      </c>
    </row>
    <row r="548" spans="1:5" hidden="1" x14ac:dyDescent="0.25">
      <c r="A548" t="s">
        <v>2754</v>
      </c>
      <c r="B548" t="s">
        <v>6127</v>
      </c>
      <c r="C548">
        <v>32.802399999999999</v>
      </c>
      <c r="D548">
        <v>-83.171199999999999</v>
      </c>
      <c r="E548" t="s">
        <v>7068</v>
      </c>
    </row>
    <row r="549" spans="1:5" hidden="1" x14ac:dyDescent="0.25">
      <c r="A549" t="s">
        <v>7069</v>
      </c>
      <c r="B549" t="s">
        <v>6127</v>
      </c>
      <c r="C549">
        <v>31.551500000000001</v>
      </c>
      <c r="D549">
        <v>-83.850899999999996</v>
      </c>
      <c r="E549" t="s">
        <v>7070</v>
      </c>
    </row>
    <row r="550" spans="1:5" hidden="1" x14ac:dyDescent="0.25">
      <c r="A550" t="s">
        <v>7071</v>
      </c>
      <c r="B550" t="s">
        <v>6129</v>
      </c>
      <c r="C550">
        <v>19.598400000000002</v>
      </c>
      <c r="D550">
        <v>-155.51830000000001</v>
      </c>
      <c r="E550" t="s">
        <v>7072</v>
      </c>
    </row>
    <row r="551" spans="1:5" hidden="1" x14ac:dyDescent="0.25">
      <c r="A551" t="s">
        <v>7073</v>
      </c>
      <c r="B551" t="s">
        <v>6129</v>
      </c>
      <c r="C551">
        <v>21.489899999999999</v>
      </c>
      <c r="D551">
        <v>-158.07390000000001</v>
      </c>
      <c r="E551" t="s">
        <v>7074</v>
      </c>
    </row>
    <row r="552" spans="1:5" hidden="1" x14ac:dyDescent="0.25">
      <c r="A552" t="s">
        <v>7075</v>
      </c>
      <c r="B552" t="s">
        <v>6129</v>
      </c>
      <c r="C552">
        <v>21.1709</v>
      </c>
      <c r="D552">
        <v>-156.94749999999999</v>
      </c>
      <c r="E552" t="s">
        <v>7076</v>
      </c>
    </row>
    <row r="553" spans="1:5" hidden="1" x14ac:dyDescent="0.25">
      <c r="A553" t="s">
        <v>7077</v>
      </c>
      <c r="B553" t="s">
        <v>6129</v>
      </c>
      <c r="C553">
        <v>22.04</v>
      </c>
      <c r="D553">
        <v>-159.59610000000001</v>
      </c>
      <c r="E553" t="s">
        <v>7078</v>
      </c>
    </row>
    <row r="554" spans="1:5" hidden="1" x14ac:dyDescent="0.25">
      <c r="A554" t="s">
        <v>7079</v>
      </c>
      <c r="B554" t="s">
        <v>6129</v>
      </c>
      <c r="C554">
        <v>20.8596</v>
      </c>
      <c r="D554">
        <v>-156.565</v>
      </c>
      <c r="E554" t="s">
        <v>7080</v>
      </c>
    </row>
    <row r="555" spans="1:5" hidden="1" x14ac:dyDescent="0.25">
      <c r="A555" t="s">
        <v>7081</v>
      </c>
      <c r="B555" t="s">
        <v>6132</v>
      </c>
      <c r="C555">
        <v>41.3307</v>
      </c>
      <c r="D555">
        <v>-94.471000000000004</v>
      </c>
      <c r="E555" t="s">
        <v>7082</v>
      </c>
    </row>
    <row r="556" spans="1:5" hidden="1" x14ac:dyDescent="0.25">
      <c r="A556" t="s">
        <v>1324</v>
      </c>
      <c r="B556" t="s">
        <v>6132</v>
      </c>
      <c r="C556">
        <v>41.029000000000003</v>
      </c>
      <c r="D556">
        <v>-94.699200000000005</v>
      </c>
      <c r="E556" t="s">
        <v>7083</v>
      </c>
    </row>
    <row r="557" spans="1:5" hidden="1" x14ac:dyDescent="0.25">
      <c r="A557" t="s">
        <v>7084</v>
      </c>
      <c r="B557" t="s">
        <v>6132</v>
      </c>
      <c r="C557">
        <v>43.284300000000002</v>
      </c>
      <c r="D557">
        <v>-91.378100000000003</v>
      </c>
      <c r="E557" t="s">
        <v>7085</v>
      </c>
    </row>
    <row r="558" spans="1:5" hidden="1" x14ac:dyDescent="0.25">
      <c r="A558" t="s">
        <v>7086</v>
      </c>
      <c r="B558" t="s">
        <v>6132</v>
      </c>
      <c r="C558">
        <v>40.743200000000002</v>
      </c>
      <c r="D558">
        <v>-92.868600000000001</v>
      </c>
      <c r="E558" t="s">
        <v>7087</v>
      </c>
    </row>
    <row r="559" spans="1:5" hidden="1" x14ac:dyDescent="0.25">
      <c r="A559" t="s">
        <v>7088</v>
      </c>
      <c r="B559" t="s">
        <v>6132</v>
      </c>
      <c r="C559">
        <v>41.684600000000003</v>
      </c>
      <c r="D559">
        <v>-94.905799999999999</v>
      </c>
      <c r="E559" t="s">
        <v>7089</v>
      </c>
    </row>
    <row r="560" spans="1:5" hidden="1" x14ac:dyDescent="0.25">
      <c r="A560" t="s">
        <v>6333</v>
      </c>
      <c r="B560" t="s">
        <v>6132</v>
      </c>
      <c r="C560">
        <v>42.080199999999998</v>
      </c>
      <c r="D560">
        <v>-92.065700000000007</v>
      </c>
      <c r="E560" t="s">
        <v>7090</v>
      </c>
    </row>
    <row r="561" spans="1:5" hidden="1" x14ac:dyDescent="0.25">
      <c r="A561" t="s">
        <v>7091</v>
      </c>
      <c r="B561" t="s">
        <v>6132</v>
      </c>
      <c r="C561">
        <v>42.470100000000002</v>
      </c>
      <c r="D561">
        <v>-92.308800000000005</v>
      </c>
      <c r="E561" t="s">
        <v>7092</v>
      </c>
    </row>
    <row r="562" spans="1:5" hidden="1" x14ac:dyDescent="0.25">
      <c r="A562" t="s">
        <v>6335</v>
      </c>
      <c r="B562" t="s">
        <v>6132</v>
      </c>
      <c r="C562">
        <v>42.036499999999997</v>
      </c>
      <c r="D562">
        <v>-93.931600000000003</v>
      </c>
      <c r="E562" t="s">
        <v>7093</v>
      </c>
    </row>
    <row r="563" spans="1:5" hidden="1" x14ac:dyDescent="0.25">
      <c r="A563" t="s">
        <v>7094</v>
      </c>
      <c r="B563" t="s">
        <v>6132</v>
      </c>
      <c r="C563">
        <v>42.7746</v>
      </c>
      <c r="D563">
        <v>-92.318100000000001</v>
      </c>
      <c r="E563" t="s">
        <v>7095</v>
      </c>
    </row>
    <row r="564" spans="1:5" hidden="1" x14ac:dyDescent="0.25">
      <c r="A564" t="s">
        <v>7096</v>
      </c>
      <c r="B564" t="s">
        <v>6132</v>
      </c>
      <c r="C564">
        <v>42.470799999999997</v>
      </c>
      <c r="D564">
        <v>-91.837900000000005</v>
      </c>
      <c r="E564" t="s">
        <v>7097</v>
      </c>
    </row>
    <row r="565" spans="1:5" hidden="1" x14ac:dyDescent="0.25">
      <c r="A565" t="s">
        <v>7098</v>
      </c>
      <c r="B565" t="s">
        <v>6132</v>
      </c>
      <c r="C565">
        <v>42.735500000000002</v>
      </c>
      <c r="D565">
        <v>-95.1511</v>
      </c>
      <c r="E565" t="s">
        <v>7099</v>
      </c>
    </row>
    <row r="566" spans="1:5" hidden="1" x14ac:dyDescent="0.25">
      <c r="A566" t="s">
        <v>4103</v>
      </c>
      <c r="B566" t="s">
        <v>6132</v>
      </c>
      <c r="C566">
        <v>42.7316</v>
      </c>
      <c r="D566">
        <v>-92.790199999999999</v>
      </c>
      <c r="E566" t="s">
        <v>7100</v>
      </c>
    </row>
    <row r="567" spans="1:5" hidden="1" x14ac:dyDescent="0.25">
      <c r="A567" t="s">
        <v>1505</v>
      </c>
      <c r="B567" t="s">
        <v>6132</v>
      </c>
      <c r="C567">
        <v>42.385199999999998</v>
      </c>
      <c r="D567">
        <v>-94.6404</v>
      </c>
      <c r="E567" t="s">
        <v>7101</v>
      </c>
    </row>
    <row r="568" spans="1:5" hidden="1" x14ac:dyDescent="0.25">
      <c r="A568" t="s">
        <v>6340</v>
      </c>
      <c r="B568" t="s">
        <v>6132</v>
      </c>
      <c r="C568">
        <v>42.036200000000001</v>
      </c>
      <c r="D568">
        <v>-94.860500000000002</v>
      </c>
      <c r="E568" t="s">
        <v>7102</v>
      </c>
    </row>
    <row r="569" spans="1:5" hidden="1" x14ac:dyDescent="0.25">
      <c r="A569" t="s">
        <v>7103</v>
      </c>
      <c r="B569" t="s">
        <v>6132</v>
      </c>
      <c r="C569">
        <v>41.331499999999998</v>
      </c>
      <c r="D569">
        <v>-94.927800000000005</v>
      </c>
      <c r="E569" t="s">
        <v>7104</v>
      </c>
    </row>
    <row r="570" spans="1:5" hidden="1" x14ac:dyDescent="0.25">
      <c r="A570" t="s">
        <v>7105</v>
      </c>
      <c r="B570" t="s">
        <v>6132</v>
      </c>
      <c r="C570">
        <v>41.772300000000001</v>
      </c>
      <c r="D570">
        <v>-91.132400000000004</v>
      </c>
      <c r="E570" t="s">
        <v>7106</v>
      </c>
    </row>
    <row r="571" spans="1:5" hidden="1" x14ac:dyDescent="0.25">
      <c r="A571" t="s">
        <v>7107</v>
      </c>
      <c r="B571" t="s">
        <v>6132</v>
      </c>
      <c r="C571">
        <v>43.081600000000002</v>
      </c>
      <c r="D571">
        <v>-93.260800000000003</v>
      </c>
      <c r="E571" t="s">
        <v>7108</v>
      </c>
    </row>
    <row r="572" spans="1:5" hidden="1" x14ac:dyDescent="0.25">
      <c r="A572" t="s">
        <v>6210</v>
      </c>
      <c r="B572" t="s">
        <v>6132</v>
      </c>
      <c r="C572">
        <v>42.735599999999998</v>
      </c>
      <c r="D572">
        <v>-95.623800000000003</v>
      </c>
      <c r="E572" t="s">
        <v>7109</v>
      </c>
    </row>
    <row r="573" spans="1:5" hidden="1" x14ac:dyDescent="0.25">
      <c r="A573" t="s">
        <v>7110</v>
      </c>
      <c r="B573" t="s">
        <v>6132</v>
      </c>
      <c r="C573">
        <v>43.060099999999998</v>
      </c>
      <c r="D573">
        <v>-92.317700000000002</v>
      </c>
      <c r="E573" t="s">
        <v>7111</v>
      </c>
    </row>
    <row r="574" spans="1:5" hidden="1" x14ac:dyDescent="0.25">
      <c r="A574" t="s">
        <v>5280</v>
      </c>
      <c r="B574" t="s">
        <v>6132</v>
      </c>
      <c r="C574">
        <v>41.029000000000003</v>
      </c>
      <c r="D574">
        <v>-93.785200000000003</v>
      </c>
      <c r="E574" t="s">
        <v>7112</v>
      </c>
    </row>
    <row r="575" spans="1:5" hidden="1" x14ac:dyDescent="0.25">
      <c r="A575" t="s">
        <v>6221</v>
      </c>
      <c r="B575" t="s">
        <v>6132</v>
      </c>
      <c r="C575">
        <v>43.082599999999999</v>
      </c>
      <c r="D575">
        <v>-95.150899999999993</v>
      </c>
      <c r="E575" t="s">
        <v>7113</v>
      </c>
    </row>
    <row r="576" spans="1:5" hidden="1" x14ac:dyDescent="0.25">
      <c r="A576" t="s">
        <v>1664</v>
      </c>
      <c r="B576" t="s">
        <v>6132</v>
      </c>
      <c r="C576">
        <v>42.844700000000003</v>
      </c>
      <c r="D576">
        <v>-91.341399999999993</v>
      </c>
      <c r="E576" t="s">
        <v>7114</v>
      </c>
    </row>
    <row r="577" spans="1:5" hidden="1" x14ac:dyDescent="0.25">
      <c r="A577" t="s">
        <v>1113</v>
      </c>
      <c r="B577" t="s">
        <v>6132</v>
      </c>
      <c r="C577">
        <v>41.898000000000003</v>
      </c>
      <c r="D577">
        <v>-90.531999999999996</v>
      </c>
      <c r="E577" t="s">
        <v>7115</v>
      </c>
    </row>
    <row r="578" spans="1:5" hidden="1" x14ac:dyDescent="0.25">
      <c r="A578" t="s">
        <v>3776</v>
      </c>
      <c r="B578" t="s">
        <v>6132</v>
      </c>
      <c r="C578">
        <v>42.037199999999999</v>
      </c>
      <c r="D578">
        <v>-95.382000000000005</v>
      </c>
      <c r="E578" t="s">
        <v>7116</v>
      </c>
    </row>
    <row r="579" spans="1:5" hidden="1" x14ac:dyDescent="0.25">
      <c r="A579" t="s">
        <v>6248</v>
      </c>
      <c r="B579" t="s">
        <v>6132</v>
      </c>
      <c r="C579">
        <v>41.684899999999999</v>
      </c>
      <c r="D579">
        <v>-94.0398</v>
      </c>
      <c r="E579" t="s">
        <v>7117</v>
      </c>
    </row>
    <row r="580" spans="1:5" hidden="1" x14ac:dyDescent="0.25">
      <c r="A580" t="s">
        <v>1879</v>
      </c>
      <c r="B580" t="s">
        <v>6132</v>
      </c>
      <c r="C580">
        <v>40.747700000000002</v>
      </c>
      <c r="D580">
        <v>-92.409700000000001</v>
      </c>
      <c r="E580" t="s">
        <v>7118</v>
      </c>
    </row>
    <row r="581" spans="1:5" hidden="1" x14ac:dyDescent="0.25">
      <c r="A581" t="s">
        <v>6901</v>
      </c>
      <c r="B581" t="s">
        <v>6132</v>
      </c>
      <c r="C581">
        <v>40.737699999999997</v>
      </c>
      <c r="D581">
        <v>-93.786299999999997</v>
      </c>
      <c r="E581" t="s">
        <v>7119</v>
      </c>
    </row>
    <row r="582" spans="1:5" hidden="1" x14ac:dyDescent="0.25">
      <c r="A582" t="s">
        <v>3512</v>
      </c>
      <c r="B582" t="s">
        <v>6132</v>
      </c>
      <c r="C582">
        <v>42.471200000000003</v>
      </c>
      <c r="D582">
        <v>-91.3673</v>
      </c>
      <c r="E582" t="s">
        <v>7120</v>
      </c>
    </row>
    <row r="583" spans="1:5" hidden="1" x14ac:dyDescent="0.25">
      <c r="A583" t="s">
        <v>7121</v>
      </c>
      <c r="B583" t="s">
        <v>6132</v>
      </c>
      <c r="C583">
        <v>40.923200000000001</v>
      </c>
      <c r="D583">
        <v>-91.1815</v>
      </c>
      <c r="E583" t="s">
        <v>7122</v>
      </c>
    </row>
    <row r="584" spans="1:5" hidden="1" x14ac:dyDescent="0.25">
      <c r="A584" t="s">
        <v>4825</v>
      </c>
      <c r="B584" t="s">
        <v>6132</v>
      </c>
      <c r="C584">
        <v>43.378</v>
      </c>
      <c r="D584">
        <v>-95.150800000000004</v>
      </c>
      <c r="E584" t="s">
        <v>7123</v>
      </c>
    </row>
    <row r="585" spans="1:5" hidden="1" x14ac:dyDescent="0.25">
      <c r="A585" t="s">
        <v>7124</v>
      </c>
      <c r="B585" t="s">
        <v>6132</v>
      </c>
      <c r="C585">
        <v>42.468800000000002</v>
      </c>
      <c r="D585">
        <v>-90.882499999999993</v>
      </c>
      <c r="E585" t="s">
        <v>7125</v>
      </c>
    </row>
    <row r="586" spans="1:5" hidden="1" x14ac:dyDescent="0.25">
      <c r="A586" t="s">
        <v>7126</v>
      </c>
      <c r="B586" t="s">
        <v>6132</v>
      </c>
      <c r="C586">
        <v>43.378100000000003</v>
      </c>
      <c r="D586">
        <v>-94.6785</v>
      </c>
      <c r="E586" t="s">
        <v>7127</v>
      </c>
    </row>
    <row r="587" spans="1:5" hidden="1" x14ac:dyDescent="0.25">
      <c r="A587" t="s">
        <v>6258</v>
      </c>
      <c r="B587" t="s">
        <v>6132</v>
      </c>
      <c r="C587">
        <v>42.8626</v>
      </c>
      <c r="D587">
        <v>-91.844399999999993</v>
      </c>
      <c r="E587" t="s">
        <v>7128</v>
      </c>
    </row>
    <row r="588" spans="1:5" hidden="1" x14ac:dyDescent="0.25">
      <c r="A588" t="s">
        <v>1320</v>
      </c>
      <c r="B588" t="s">
        <v>6132</v>
      </c>
      <c r="C588">
        <v>43.059899999999999</v>
      </c>
      <c r="D588">
        <v>-92.789000000000001</v>
      </c>
      <c r="E588" t="s">
        <v>7129</v>
      </c>
    </row>
    <row r="589" spans="1:5" hidden="1" x14ac:dyDescent="0.25">
      <c r="A589" t="s">
        <v>6260</v>
      </c>
      <c r="B589" t="s">
        <v>6132</v>
      </c>
      <c r="C589">
        <v>42.732500000000002</v>
      </c>
      <c r="D589">
        <v>-93.262500000000003</v>
      </c>
      <c r="E589" t="s">
        <v>7130</v>
      </c>
    </row>
    <row r="590" spans="1:5" hidden="1" x14ac:dyDescent="0.25">
      <c r="A590" t="s">
        <v>6624</v>
      </c>
      <c r="B590" t="s">
        <v>6132</v>
      </c>
      <c r="C590">
        <v>40.745600000000003</v>
      </c>
      <c r="D590">
        <v>-95.604699999999994</v>
      </c>
      <c r="E590" t="s">
        <v>7131</v>
      </c>
    </row>
    <row r="591" spans="1:5" hidden="1" x14ac:dyDescent="0.25">
      <c r="A591" t="s">
        <v>6264</v>
      </c>
      <c r="B591" t="s">
        <v>6132</v>
      </c>
      <c r="C591">
        <v>42.036299999999997</v>
      </c>
      <c r="D591">
        <v>-94.396799999999999</v>
      </c>
      <c r="E591" t="s">
        <v>7132</v>
      </c>
    </row>
    <row r="592" spans="1:5" hidden="1" x14ac:dyDescent="0.25">
      <c r="A592" t="s">
        <v>7133</v>
      </c>
      <c r="B592" t="s">
        <v>6132</v>
      </c>
      <c r="C592">
        <v>42.401899999999998</v>
      </c>
      <c r="D592">
        <v>-92.791399999999996</v>
      </c>
      <c r="E592" t="s">
        <v>7134</v>
      </c>
    </row>
    <row r="593" spans="1:5" hidden="1" x14ac:dyDescent="0.25">
      <c r="A593" t="s">
        <v>7135</v>
      </c>
      <c r="B593" t="s">
        <v>6132</v>
      </c>
      <c r="C593">
        <v>41.683700000000002</v>
      </c>
      <c r="D593">
        <v>-94.501099999999994</v>
      </c>
      <c r="E593" t="s">
        <v>7136</v>
      </c>
    </row>
    <row r="594" spans="1:5" hidden="1" x14ac:dyDescent="0.25">
      <c r="A594" t="s">
        <v>6761</v>
      </c>
      <c r="B594" t="s">
        <v>6132</v>
      </c>
      <c r="C594">
        <v>42.383800000000001</v>
      </c>
      <c r="D594">
        <v>-93.706800000000001</v>
      </c>
      <c r="E594" t="s">
        <v>7137</v>
      </c>
    </row>
    <row r="595" spans="1:5" hidden="1" x14ac:dyDescent="0.25">
      <c r="A595" t="s">
        <v>1216</v>
      </c>
      <c r="B595" t="s">
        <v>6132</v>
      </c>
      <c r="C595">
        <v>43.081899999999997</v>
      </c>
      <c r="D595">
        <v>-93.734300000000005</v>
      </c>
      <c r="E595" t="s">
        <v>7138</v>
      </c>
    </row>
    <row r="596" spans="1:5" hidden="1" x14ac:dyDescent="0.25">
      <c r="A596" t="s">
        <v>7139</v>
      </c>
      <c r="B596" t="s">
        <v>6132</v>
      </c>
      <c r="C596">
        <v>42.383899999999997</v>
      </c>
      <c r="D596">
        <v>-93.240399999999994</v>
      </c>
      <c r="E596" t="s">
        <v>7140</v>
      </c>
    </row>
    <row r="597" spans="1:5" hidden="1" x14ac:dyDescent="0.25">
      <c r="A597" t="s">
        <v>1623</v>
      </c>
      <c r="B597" t="s">
        <v>6132</v>
      </c>
      <c r="C597">
        <v>41.682899999999997</v>
      </c>
      <c r="D597">
        <v>-95.816800000000001</v>
      </c>
      <c r="E597" t="s">
        <v>7141</v>
      </c>
    </row>
    <row r="598" spans="1:5" hidden="1" x14ac:dyDescent="0.25">
      <c r="A598" t="s">
        <v>334</v>
      </c>
      <c r="B598" t="s">
        <v>6132</v>
      </c>
      <c r="C598">
        <v>40.988</v>
      </c>
      <c r="D598">
        <v>-91.544499999999999</v>
      </c>
      <c r="E598" t="s">
        <v>7142</v>
      </c>
    </row>
    <row r="599" spans="1:5" hidden="1" x14ac:dyDescent="0.25">
      <c r="A599" t="s">
        <v>793</v>
      </c>
      <c r="B599" t="s">
        <v>6132</v>
      </c>
      <c r="C599">
        <v>43.3568</v>
      </c>
      <c r="D599">
        <v>-92.3172</v>
      </c>
      <c r="E599" t="s">
        <v>7143</v>
      </c>
    </row>
    <row r="600" spans="1:5" hidden="1" x14ac:dyDescent="0.25">
      <c r="A600" t="s">
        <v>6492</v>
      </c>
      <c r="B600" t="s">
        <v>6132</v>
      </c>
      <c r="C600">
        <v>42.776499999999999</v>
      </c>
      <c r="D600">
        <v>-94.2072</v>
      </c>
      <c r="E600" t="s">
        <v>7144</v>
      </c>
    </row>
    <row r="601" spans="1:5" hidden="1" x14ac:dyDescent="0.25">
      <c r="A601" t="s">
        <v>7145</v>
      </c>
      <c r="B601" t="s">
        <v>6132</v>
      </c>
      <c r="C601">
        <v>42.386899999999997</v>
      </c>
      <c r="D601">
        <v>-95.513499999999993</v>
      </c>
      <c r="E601" t="s">
        <v>7146</v>
      </c>
    </row>
    <row r="602" spans="1:5" hidden="1" x14ac:dyDescent="0.25">
      <c r="A602" t="s">
        <v>7147</v>
      </c>
      <c r="B602" t="s">
        <v>6132</v>
      </c>
      <c r="C602">
        <v>41.686300000000003</v>
      </c>
      <c r="D602">
        <v>-92.0655</v>
      </c>
      <c r="E602" t="s">
        <v>7148</v>
      </c>
    </row>
    <row r="603" spans="1:5" hidden="1" x14ac:dyDescent="0.25">
      <c r="A603" t="s">
        <v>191</v>
      </c>
      <c r="B603" t="s">
        <v>6132</v>
      </c>
      <c r="C603">
        <v>42.171700000000001</v>
      </c>
      <c r="D603">
        <v>-90.574299999999994</v>
      </c>
      <c r="E603" t="s">
        <v>7149</v>
      </c>
    </row>
    <row r="604" spans="1:5" hidden="1" x14ac:dyDescent="0.25">
      <c r="A604" t="s">
        <v>2108</v>
      </c>
      <c r="B604" t="s">
        <v>6132</v>
      </c>
      <c r="C604">
        <v>41.686</v>
      </c>
      <c r="D604">
        <v>-93.053799999999995</v>
      </c>
      <c r="E604" t="s">
        <v>7150</v>
      </c>
    </row>
    <row r="605" spans="1:5" hidden="1" x14ac:dyDescent="0.25">
      <c r="A605" t="s">
        <v>6272</v>
      </c>
      <c r="B605" t="s">
        <v>6132</v>
      </c>
      <c r="C605">
        <v>41.031799999999997</v>
      </c>
      <c r="D605">
        <v>-91.948899999999995</v>
      </c>
      <c r="E605" t="s">
        <v>7151</v>
      </c>
    </row>
    <row r="606" spans="1:5" hidden="1" x14ac:dyDescent="0.25">
      <c r="A606" t="s">
        <v>37</v>
      </c>
      <c r="B606" t="s">
        <v>6132</v>
      </c>
      <c r="C606">
        <v>41.671500000000002</v>
      </c>
      <c r="D606">
        <v>-91.588099999999997</v>
      </c>
      <c r="E606" t="s">
        <v>7152</v>
      </c>
    </row>
    <row r="607" spans="1:5" hidden="1" x14ac:dyDescent="0.25">
      <c r="A607" t="s">
        <v>728</v>
      </c>
      <c r="B607" t="s">
        <v>6132</v>
      </c>
      <c r="C607">
        <v>42.121200000000002</v>
      </c>
      <c r="D607">
        <v>-91.131500000000003</v>
      </c>
      <c r="E607" t="s">
        <v>7153</v>
      </c>
    </row>
    <row r="608" spans="1:5" hidden="1" x14ac:dyDescent="0.25">
      <c r="A608" t="s">
        <v>7154</v>
      </c>
      <c r="B608" t="s">
        <v>6132</v>
      </c>
      <c r="C608">
        <v>41.336500000000001</v>
      </c>
      <c r="D608">
        <v>-92.178600000000003</v>
      </c>
      <c r="E608" t="s">
        <v>7155</v>
      </c>
    </row>
    <row r="609" spans="1:5" hidden="1" x14ac:dyDescent="0.25">
      <c r="A609" t="s">
        <v>7156</v>
      </c>
      <c r="B609" t="s">
        <v>6132</v>
      </c>
      <c r="C609">
        <v>43.204099999999997</v>
      </c>
      <c r="D609">
        <v>-94.206699999999998</v>
      </c>
      <c r="E609" t="s">
        <v>7157</v>
      </c>
    </row>
    <row r="610" spans="1:5" hidden="1" x14ac:dyDescent="0.25">
      <c r="A610" t="s">
        <v>2353</v>
      </c>
      <c r="B610" t="s">
        <v>6132</v>
      </c>
      <c r="C610">
        <v>40.642000000000003</v>
      </c>
      <c r="D610">
        <v>-91.479299999999995</v>
      </c>
      <c r="E610" t="s">
        <v>7158</v>
      </c>
    </row>
    <row r="611" spans="1:5" hidden="1" x14ac:dyDescent="0.25">
      <c r="A611" t="s">
        <v>7159</v>
      </c>
      <c r="B611" t="s">
        <v>6132</v>
      </c>
      <c r="C611">
        <v>42.079000000000001</v>
      </c>
      <c r="D611">
        <v>-91.599000000000004</v>
      </c>
      <c r="E611" t="s">
        <v>7160</v>
      </c>
    </row>
    <row r="612" spans="1:5" hidden="1" x14ac:dyDescent="0.25">
      <c r="A612" t="s">
        <v>7161</v>
      </c>
      <c r="B612" t="s">
        <v>6132</v>
      </c>
      <c r="C612">
        <v>41.218499999999999</v>
      </c>
      <c r="D612">
        <v>-91.259600000000006</v>
      </c>
      <c r="E612" t="s">
        <v>7162</v>
      </c>
    </row>
    <row r="613" spans="1:5" hidden="1" x14ac:dyDescent="0.25">
      <c r="A613" t="s">
        <v>4581</v>
      </c>
      <c r="B613" t="s">
        <v>6132</v>
      </c>
      <c r="C613">
        <v>41.029400000000003</v>
      </c>
      <c r="D613">
        <v>-93.327699999999993</v>
      </c>
      <c r="E613" t="s">
        <v>7163</v>
      </c>
    </row>
    <row r="614" spans="1:5" hidden="1" x14ac:dyDescent="0.25">
      <c r="A614" t="s">
        <v>4235</v>
      </c>
      <c r="B614" t="s">
        <v>6132</v>
      </c>
      <c r="C614">
        <v>43.380499999999998</v>
      </c>
      <c r="D614">
        <v>-96.2102</v>
      </c>
      <c r="E614" t="s">
        <v>7164</v>
      </c>
    </row>
    <row r="615" spans="1:5" hidden="1" x14ac:dyDescent="0.25">
      <c r="A615" t="s">
        <v>6286</v>
      </c>
      <c r="B615" t="s">
        <v>6132</v>
      </c>
      <c r="C615">
        <v>41.3307</v>
      </c>
      <c r="D615">
        <v>-94.015600000000006</v>
      </c>
      <c r="E615" t="s">
        <v>7165</v>
      </c>
    </row>
    <row r="616" spans="1:5" hidden="1" x14ac:dyDescent="0.25">
      <c r="A616" t="s">
        <v>7166</v>
      </c>
      <c r="B616" t="s">
        <v>6132</v>
      </c>
      <c r="C616">
        <v>41.3352</v>
      </c>
      <c r="D616">
        <v>-92.640900000000002</v>
      </c>
      <c r="E616" t="s">
        <v>7167</v>
      </c>
    </row>
    <row r="617" spans="1:5" hidden="1" x14ac:dyDescent="0.25">
      <c r="A617" t="s">
        <v>6290</v>
      </c>
      <c r="B617" t="s">
        <v>6132</v>
      </c>
      <c r="C617">
        <v>41.334400000000002</v>
      </c>
      <c r="D617">
        <v>-93.099400000000003</v>
      </c>
      <c r="E617" t="s">
        <v>7168</v>
      </c>
    </row>
    <row r="618" spans="1:5" hidden="1" x14ac:dyDescent="0.25">
      <c r="A618" t="s">
        <v>1391</v>
      </c>
      <c r="B618" t="s">
        <v>6132</v>
      </c>
      <c r="C618">
        <v>42.035800000000002</v>
      </c>
      <c r="D618">
        <v>-92.998800000000003</v>
      </c>
      <c r="E618" t="s">
        <v>7169</v>
      </c>
    </row>
    <row r="619" spans="1:5" hidden="1" x14ac:dyDescent="0.25">
      <c r="A619" t="s">
        <v>4458</v>
      </c>
      <c r="B619" t="s">
        <v>6132</v>
      </c>
      <c r="C619">
        <v>41.0334</v>
      </c>
      <c r="D619">
        <v>-95.621300000000005</v>
      </c>
      <c r="E619" t="s">
        <v>7170</v>
      </c>
    </row>
    <row r="620" spans="1:5" hidden="1" x14ac:dyDescent="0.25">
      <c r="A620" t="s">
        <v>172</v>
      </c>
      <c r="B620" t="s">
        <v>6132</v>
      </c>
      <c r="C620">
        <v>43.356400000000001</v>
      </c>
      <c r="D620">
        <v>-92.789000000000001</v>
      </c>
      <c r="E620" t="s">
        <v>7171</v>
      </c>
    </row>
    <row r="621" spans="1:5" hidden="1" x14ac:dyDescent="0.25">
      <c r="A621" t="s">
        <v>7172</v>
      </c>
      <c r="B621" t="s">
        <v>6132</v>
      </c>
      <c r="C621">
        <v>42.051600000000001</v>
      </c>
      <c r="D621">
        <v>-95.959900000000005</v>
      </c>
      <c r="E621" t="s">
        <v>7173</v>
      </c>
    </row>
    <row r="622" spans="1:5" hidden="1" x14ac:dyDescent="0.25">
      <c r="A622" t="s">
        <v>6295</v>
      </c>
      <c r="B622" t="s">
        <v>6132</v>
      </c>
      <c r="C622">
        <v>41.029800000000002</v>
      </c>
      <c r="D622">
        <v>-92.869</v>
      </c>
      <c r="E622" t="s">
        <v>7174</v>
      </c>
    </row>
    <row r="623" spans="1:5" hidden="1" x14ac:dyDescent="0.25">
      <c r="A623" t="s">
        <v>6297</v>
      </c>
      <c r="B623" t="s">
        <v>6132</v>
      </c>
      <c r="C623">
        <v>41.030099999999997</v>
      </c>
      <c r="D623">
        <v>-95.156400000000005</v>
      </c>
      <c r="E623" t="s">
        <v>7175</v>
      </c>
    </row>
    <row r="624" spans="1:5" hidden="1" x14ac:dyDescent="0.25">
      <c r="A624" t="s">
        <v>7176</v>
      </c>
      <c r="B624" t="s">
        <v>6132</v>
      </c>
      <c r="C624">
        <v>41.483899999999998</v>
      </c>
      <c r="D624">
        <v>-91.112700000000004</v>
      </c>
      <c r="E624" t="s">
        <v>7177</v>
      </c>
    </row>
    <row r="625" spans="1:5" hidden="1" x14ac:dyDescent="0.25">
      <c r="A625" t="s">
        <v>7178</v>
      </c>
      <c r="B625" t="s">
        <v>6132</v>
      </c>
      <c r="C625">
        <v>43.083799999999997</v>
      </c>
      <c r="D625">
        <v>-95.624899999999997</v>
      </c>
      <c r="E625" t="s">
        <v>7179</v>
      </c>
    </row>
    <row r="626" spans="1:5" hidden="1" x14ac:dyDescent="0.25">
      <c r="A626" t="s">
        <v>6801</v>
      </c>
      <c r="B626" t="s">
        <v>6132</v>
      </c>
      <c r="C626">
        <v>43.378599999999999</v>
      </c>
      <c r="D626">
        <v>-95.623699999999999</v>
      </c>
      <c r="E626" t="s">
        <v>7180</v>
      </c>
    </row>
    <row r="627" spans="1:5" hidden="1" x14ac:dyDescent="0.25">
      <c r="A627" t="s">
        <v>4707</v>
      </c>
      <c r="B627" t="s">
        <v>6132</v>
      </c>
      <c r="C627">
        <v>40.739100000000001</v>
      </c>
      <c r="D627">
        <v>-95.150199999999998</v>
      </c>
      <c r="E627" t="s">
        <v>7181</v>
      </c>
    </row>
    <row r="628" spans="1:5" hidden="1" x14ac:dyDescent="0.25">
      <c r="A628" t="s">
        <v>7182</v>
      </c>
      <c r="B628" t="s">
        <v>6132</v>
      </c>
      <c r="C628">
        <v>43.082099999999997</v>
      </c>
      <c r="D628">
        <v>-94.678100000000001</v>
      </c>
      <c r="E628" t="s">
        <v>7183</v>
      </c>
    </row>
    <row r="629" spans="1:5" hidden="1" x14ac:dyDescent="0.25">
      <c r="A629" t="s">
        <v>7184</v>
      </c>
      <c r="B629" t="s">
        <v>6132</v>
      </c>
      <c r="C629">
        <v>42.7378</v>
      </c>
      <c r="D629">
        <v>-96.214100000000002</v>
      </c>
      <c r="E629" t="s">
        <v>7185</v>
      </c>
    </row>
    <row r="630" spans="1:5" hidden="1" x14ac:dyDescent="0.25">
      <c r="A630" t="s">
        <v>7186</v>
      </c>
      <c r="B630" t="s">
        <v>6132</v>
      </c>
      <c r="C630">
        <v>42.734200000000001</v>
      </c>
      <c r="D630">
        <v>-94.678700000000006</v>
      </c>
      <c r="E630" t="s">
        <v>7187</v>
      </c>
    </row>
    <row r="631" spans="1:5" hidden="1" x14ac:dyDescent="0.25">
      <c r="A631" t="s">
        <v>6410</v>
      </c>
      <c r="B631" t="s">
        <v>6132</v>
      </c>
      <c r="C631">
        <v>41.685400000000001</v>
      </c>
      <c r="D631">
        <v>-93.573400000000007</v>
      </c>
      <c r="E631" t="s">
        <v>7188</v>
      </c>
    </row>
    <row r="632" spans="1:5" hidden="1" x14ac:dyDescent="0.25">
      <c r="A632" t="s">
        <v>7189</v>
      </c>
      <c r="B632" t="s">
        <v>6132</v>
      </c>
      <c r="C632">
        <v>41.336599999999997</v>
      </c>
      <c r="D632">
        <v>-95.542299999999997</v>
      </c>
      <c r="E632" t="s">
        <v>7190</v>
      </c>
    </row>
    <row r="633" spans="1:5" hidden="1" x14ac:dyDescent="0.25">
      <c r="A633" t="s">
        <v>7191</v>
      </c>
      <c r="B633" t="s">
        <v>6132</v>
      </c>
      <c r="C633">
        <v>41.686399999999999</v>
      </c>
      <c r="D633">
        <v>-92.531499999999994</v>
      </c>
      <c r="E633" t="s">
        <v>7192</v>
      </c>
    </row>
    <row r="634" spans="1:5" hidden="1" x14ac:dyDescent="0.25">
      <c r="A634" t="s">
        <v>7193</v>
      </c>
      <c r="B634" t="s">
        <v>6132</v>
      </c>
      <c r="C634">
        <v>40.735199999999999</v>
      </c>
      <c r="D634">
        <v>-94.244</v>
      </c>
      <c r="E634" t="s">
        <v>7194</v>
      </c>
    </row>
    <row r="635" spans="1:5" hidden="1" x14ac:dyDescent="0.25">
      <c r="A635" t="s">
        <v>7195</v>
      </c>
      <c r="B635" t="s">
        <v>6132</v>
      </c>
      <c r="C635">
        <v>42.386200000000002</v>
      </c>
      <c r="D635">
        <v>-95.105400000000003</v>
      </c>
      <c r="E635" t="s">
        <v>7196</v>
      </c>
    </row>
    <row r="636" spans="1:5" hidden="1" x14ac:dyDescent="0.25">
      <c r="A636" t="s">
        <v>5291</v>
      </c>
      <c r="B636" t="s">
        <v>6132</v>
      </c>
      <c r="C636">
        <v>41.637099999999997</v>
      </c>
      <c r="D636">
        <v>-90.623199999999997</v>
      </c>
      <c r="E636" t="s">
        <v>7197</v>
      </c>
    </row>
    <row r="637" spans="1:5" hidden="1" x14ac:dyDescent="0.25">
      <c r="A637" t="s">
        <v>6309</v>
      </c>
      <c r="B637" t="s">
        <v>6132</v>
      </c>
      <c r="C637">
        <v>41.685099999999998</v>
      </c>
      <c r="D637">
        <v>-95.310199999999995</v>
      </c>
      <c r="E637" t="s">
        <v>7198</v>
      </c>
    </row>
    <row r="638" spans="1:5" hidden="1" x14ac:dyDescent="0.25">
      <c r="A638" t="s">
        <v>7199</v>
      </c>
      <c r="B638" t="s">
        <v>6132</v>
      </c>
      <c r="C638">
        <v>43.082599999999999</v>
      </c>
      <c r="D638">
        <v>-96.177899999999994</v>
      </c>
      <c r="E638" t="s">
        <v>7200</v>
      </c>
    </row>
    <row r="639" spans="1:5" hidden="1" x14ac:dyDescent="0.25">
      <c r="A639" t="s">
        <v>7201</v>
      </c>
      <c r="B639" t="s">
        <v>6132</v>
      </c>
      <c r="C639">
        <v>42.036200000000001</v>
      </c>
      <c r="D639">
        <v>-93.465000000000003</v>
      </c>
      <c r="E639" t="s">
        <v>7202</v>
      </c>
    </row>
    <row r="640" spans="1:5" hidden="1" x14ac:dyDescent="0.25">
      <c r="A640" t="s">
        <v>7203</v>
      </c>
      <c r="B640" t="s">
        <v>6132</v>
      </c>
      <c r="C640">
        <v>42.079799999999999</v>
      </c>
      <c r="D640">
        <v>-92.532600000000002</v>
      </c>
      <c r="E640" t="s">
        <v>7204</v>
      </c>
    </row>
    <row r="641" spans="1:5" hidden="1" x14ac:dyDescent="0.25">
      <c r="A641" t="s">
        <v>3564</v>
      </c>
      <c r="B641" t="s">
        <v>6132</v>
      </c>
      <c r="C641">
        <v>40.737400000000001</v>
      </c>
      <c r="D641">
        <v>-94.696399999999997</v>
      </c>
      <c r="E641" t="s">
        <v>7205</v>
      </c>
    </row>
    <row r="642" spans="1:5" hidden="1" x14ac:dyDescent="0.25">
      <c r="A642" t="s">
        <v>5878</v>
      </c>
      <c r="B642" t="s">
        <v>6132</v>
      </c>
      <c r="C642">
        <v>41.027700000000003</v>
      </c>
      <c r="D642">
        <v>-94.242400000000004</v>
      </c>
      <c r="E642" t="s">
        <v>7206</v>
      </c>
    </row>
    <row r="643" spans="1:5" hidden="1" x14ac:dyDescent="0.25">
      <c r="A643" t="s">
        <v>6433</v>
      </c>
      <c r="B643" t="s">
        <v>6132</v>
      </c>
      <c r="C643">
        <v>40.7532</v>
      </c>
      <c r="D643">
        <v>-91.95</v>
      </c>
      <c r="E643" t="s">
        <v>7207</v>
      </c>
    </row>
    <row r="644" spans="1:5" hidden="1" x14ac:dyDescent="0.25">
      <c r="A644" t="s">
        <v>7208</v>
      </c>
      <c r="B644" t="s">
        <v>6132</v>
      </c>
      <c r="C644">
        <v>41.0306</v>
      </c>
      <c r="D644">
        <v>-92.409499999999994</v>
      </c>
      <c r="E644" t="s">
        <v>7209</v>
      </c>
    </row>
    <row r="645" spans="1:5" hidden="1" x14ac:dyDescent="0.25">
      <c r="A645" t="s">
        <v>448</v>
      </c>
      <c r="B645" t="s">
        <v>6132</v>
      </c>
      <c r="C645">
        <v>41.334299999999999</v>
      </c>
      <c r="D645">
        <v>-93.561499999999995</v>
      </c>
      <c r="E645" t="s">
        <v>7210</v>
      </c>
    </row>
    <row r="646" spans="1:5" hidden="1" x14ac:dyDescent="0.25">
      <c r="A646" t="s">
        <v>3052</v>
      </c>
      <c r="B646" t="s">
        <v>6132</v>
      </c>
      <c r="C646">
        <v>41.335599999999999</v>
      </c>
      <c r="D646">
        <v>-91.7179</v>
      </c>
      <c r="E646" t="s">
        <v>7211</v>
      </c>
    </row>
    <row r="647" spans="1:5" hidden="1" x14ac:dyDescent="0.25">
      <c r="A647" t="s">
        <v>7057</v>
      </c>
      <c r="B647" t="s">
        <v>6132</v>
      </c>
      <c r="C647">
        <v>40.7395</v>
      </c>
      <c r="D647">
        <v>-93.327399999999997</v>
      </c>
      <c r="E647" t="s">
        <v>7212</v>
      </c>
    </row>
    <row r="648" spans="1:5" hidden="1" x14ac:dyDescent="0.25">
      <c r="A648" t="s">
        <v>7059</v>
      </c>
      <c r="B648" t="s">
        <v>6132</v>
      </c>
      <c r="C648">
        <v>42.427900000000001</v>
      </c>
      <c r="D648">
        <v>-94.181799999999996</v>
      </c>
      <c r="E648" t="s">
        <v>7213</v>
      </c>
    </row>
    <row r="649" spans="1:5" hidden="1" x14ac:dyDescent="0.25">
      <c r="A649" t="s">
        <v>7214</v>
      </c>
      <c r="B649" t="s">
        <v>6132</v>
      </c>
      <c r="C649">
        <v>43.377600000000001</v>
      </c>
      <c r="D649">
        <v>-93.734200000000001</v>
      </c>
      <c r="E649" t="s">
        <v>7215</v>
      </c>
    </row>
    <row r="650" spans="1:5" hidden="1" x14ac:dyDescent="0.25">
      <c r="A650" t="s">
        <v>7216</v>
      </c>
      <c r="B650" t="s">
        <v>6132</v>
      </c>
      <c r="C650">
        <v>43.290700000000001</v>
      </c>
      <c r="D650">
        <v>-91.843699999999998</v>
      </c>
      <c r="E650" t="s">
        <v>7217</v>
      </c>
    </row>
    <row r="651" spans="1:5" hidden="1" x14ac:dyDescent="0.25">
      <c r="A651" t="s">
        <v>554</v>
      </c>
      <c r="B651" t="s">
        <v>6132</v>
      </c>
      <c r="C651">
        <v>42.389699999999998</v>
      </c>
      <c r="D651">
        <v>-96.044799999999995</v>
      </c>
      <c r="E651" t="s">
        <v>7218</v>
      </c>
    </row>
    <row r="652" spans="1:5" hidden="1" x14ac:dyDescent="0.25">
      <c r="A652" t="s">
        <v>7069</v>
      </c>
      <c r="B652" t="s">
        <v>6132</v>
      </c>
      <c r="C652">
        <v>43.377400000000002</v>
      </c>
      <c r="D652">
        <v>-93.260900000000007</v>
      </c>
      <c r="E652" t="s">
        <v>7219</v>
      </c>
    </row>
    <row r="653" spans="1:5" hidden="1" x14ac:dyDescent="0.25">
      <c r="A653" t="s">
        <v>465</v>
      </c>
      <c r="B653" t="s">
        <v>6132</v>
      </c>
      <c r="C653">
        <v>42.7331</v>
      </c>
      <c r="D653">
        <v>-93.735200000000006</v>
      </c>
      <c r="E653" t="s">
        <v>7220</v>
      </c>
    </row>
    <row r="654" spans="1:5" hidden="1" x14ac:dyDescent="0.25">
      <c r="A654" t="s">
        <v>7221</v>
      </c>
      <c r="B654" t="s">
        <v>6</v>
      </c>
      <c r="C654">
        <v>43.4512</v>
      </c>
      <c r="D654">
        <v>-116.24120000000001</v>
      </c>
      <c r="E654" t="s">
        <v>7222</v>
      </c>
    </row>
    <row r="655" spans="1:5" hidden="1" x14ac:dyDescent="0.25">
      <c r="A655" t="s">
        <v>1324</v>
      </c>
      <c r="B655" t="s">
        <v>6</v>
      </c>
      <c r="C655">
        <v>44.889600000000002</v>
      </c>
      <c r="D655">
        <v>-116.4538</v>
      </c>
      <c r="E655" t="s">
        <v>7223</v>
      </c>
    </row>
    <row r="656" spans="1:5" x14ac:dyDescent="0.25">
      <c r="A656" t="s">
        <v>7224</v>
      </c>
      <c r="B656" t="s">
        <v>6</v>
      </c>
      <c r="C656">
        <v>42.668500000000002</v>
      </c>
      <c r="D656">
        <v>-112.2246</v>
      </c>
      <c r="E656" t="s">
        <v>7225</v>
      </c>
    </row>
    <row r="657" spans="1:5" hidden="1" x14ac:dyDescent="0.25">
      <c r="A657" t="s">
        <v>7226</v>
      </c>
      <c r="B657" t="s">
        <v>6</v>
      </c>
      <c r="C657">
        <v>42.284799999999997</v>
      </c>
      <c r="D657">
        <v>-111.3297</v>
      </c>
      <c r="E657" t="s">
        <v>7227</v>
      </c>
    </row>
    <row r="658" spans="1:5" hidden="1" x14ac:dyDescent="0.25">
      <c r="A658" t="s">
        <v>7228</v>
      </c>
      <c r="B658" t="s">
        <v>6</v>
      </c>
      <c r="C658">
        <v>47.217599999999997</v>
      </c>
      <c r="D658">
        <v>-116.6587</v>
      </c>
      <c r="E658" t="s">
        <v>7229</v>
      </c>
    </row>
    <row r="659" spans="1:5" hidden="1" x14ac:dyDescent="0.25">
      <c r="A659" t="s">
        <v>7230</v>
      </c>
      <c r="B659" t="s">
        <v>6</v>
      </c>
      <c r="C659">
        <v>43.2166</v>
      </c>
      <c r="D659">
        <v>-112.3981</v>
      </c>
      <c r="E659" t="s">
        <v>7231</v>
      </c>
    </row>
    <row r="660" spans="1:5" hidden="1" x14ac:dyDescent="0.25">
      <c r="A660" t="s">
        <v>7232</v>
      </c>
      <c r="B660" t="s">
        <v>6</v>
      </c>
      <c r="C660">
        <v>43.411900000000003</v>
      </c>
      <c r="D660">
        <v>-113.9802</v>
      </c>
      <c r="E660" t="s">
        <v>7233</v>
      </c>
    </row>
    <row r="661" spans="1:5" hidden="1" x14ac:dyDescent="0.25">
      <c r="A661" t="s">
        <v>7234</v>
      </c>
      <c r="B661" t="s">
        <v>6</v>
      </c>
      <c r="C661">
        <v>43.989199999999997</v>
      </c>
      <c r="D661">
        <v>-115.7303</v>
      </c>
      <c r="E661" t="s">
        <v>7235</v>
      </c>
    </row>
    <row r="662" spans="1:5" hidden="1" x14ac:dyDescent="0.25">
      <c r="A662" t="s">
        <v>7236</v>
      </c>
      <c r="B662" t="s">
        <v>6</v>
      </c>
      <c r="C662">
        <v>48.3</v>
      </c>
      <c r="D662">
        <v>-116.6011</v>
      </c>
      <c r="E662" t="s">
        <v>7237</v>
      </c>
    </row>
    <row r="663" spans="1:5" hidden="1" x14ac:dyDescent="0.25">
      <c r="A663" t="s">
        <v>7238</v>
      </c>
      <c r="B663" t="s">
        <v>6</v>
      </c>
      <c r="C663">
        <v>43.387700000000002</v>
      </c>
      <c r="D663">
        <v>-111.6148</v>
      </c>
      <c r="E663" t="s">
        <v>7239</v>
      </c>
    </row>
    <row r="664" spans="1:5" hidden="1" x14ac:dyDescent="0.25">
      <c r="A664" t="s">
        <v>7240</v>
      </c>
      <c r="B664" t="s">
        <v>6</v>
      </c>
      <c r="C664">
        <v>48.7669</v>
      </c>
      <c r="D664">
        <v>-116.4629</v>
      </c>
      <c r="E664" t="s">
        <v>7241</v>
      </c>
    </row>
    <row r="665" spans="1:5" hidden="1" x14ac:dyDescent="0.25">
      <c r="A665" t="s">
        <v>6476</v>
      </c>
      <c r="B665" t="s">
        <v>6</v>
      </c>
      <c r="C665">
        <v>43.722900000000003</v>
      </c>
      <c r="D665">
        <v>-113.172</v>
      </c>
      <c r="E665" t="s">
        <v>7242</v>
      </c>
    </row>
    <row r="666" spans="1:5" hidden="1" x14ac:dyDescent="0.25">
      <c r="A666" t="s">
        <v>7243</v>
      </c>
      <c r="B666" t="s">
        <v>6</v>
      </c>
      <c r="C666">
        <v>43.463299999999997</v>
      </c>
      <c r="D666">
        <v>-114.8058</v>
      </c>
      <c r="E666" t="s">
        <v>7244</v>
      </c>
    </row>
    <row r="667" spans="1:5" hidden="1" x14ac:dyDescent="0.25">
      <c r="A667" t="s">
        <v>7245</v>
      </c>
      <c r="B667" t="s">
        <v>6</v>
      </c>
      <c r="C667">
        <v>43.625100000000003</v>
      </c>
      <c r="D667">
        <v>-116.7093</v>
      </c>
      <c r="E667" t="s">
        <v>7246</v>
      </c>
    </row>
    <row r="668" spans="1:5" hidden="1" x14ac:dyDescent="0.25">
      <c r="A668" t="s">
        <v>7247</v>
      </c>
      <c r="B668" t="s">
        <v>6</v>
      </c>
      <c r="C668">
        <v>42.770499999999998</v>
      </c>
      <c r="D668">
        <v>-111.56229999999999</v>
      </c>
      <c r="E668" t="s">
        <v>7248</v>
      </c>
    </row>
    <row r="669" spans="1:5" hidden="1" x14ac:dyDescent="0.25">
      <c r="A669" t="s">
        <v>7249</v>
      </c>
      <c r="B669" t="s">
        <v>6</v>
      </c>
      <c r="C669">
        <v>42.283900000000003</v>
      </c>
      <c r="D669">
        <v>-113.6001</v>
      </c>
      <c r="E669" t="s">
        <v>7250</v>
      </c>
    </row>
    <row r="670" spans="1:5" hidden="1" x14ac:dyDescent="0.25">
      <c r="A670" t="s">
        <v>174</v>
      </c>
      <c r="B670" t="s">
        <v>6</v>
      </c>
      <c r="C670">
        <v>44.283900000000003</v>
      </c>
      <c r="D670">
        <v>-112.35120000000001</v>
      </c>
      <c r="E670" t="s">
        <v>7251</v>
      </c>
    </row>
    <row r="671" spans="1:5" hidden="1" x14ac:dyDescent="0.25">
      <c r="A671" t="s">
        <v>7252</v>
      </c>
      <c r="B671" t="s">
        <v>6</v>
      </c>
      <c r="C671">
        <v>46.6736</v>
      </c>
      <c r="D671">
        <v>-115.6567</v>
      </c>
      <c r="E671" t="s">
        <v>7253</v>
      </c>
    </row>
    <row r="672" spans="1:5" hidden="1" x14ac:dyDescent="0.25">
      <c r="A672" t="s">
        <v>6610</v>
      </c>
      <c r="B672" t="s">
        <v>6</v>
      </c>
      <c r="C672">
        <v>44.241100000000003</v>
      </c>
      <c r="D672">
        <v>-114.2817</v>
      </c>
      <c r="E672" t="s">
        <v>7254</v>
      </c>
    </row>
    <row r="673" spans="1:5" hidden="1" x14ac:dyDescent="0.25">
      <c r="A673" t="s">
        <v>6252</v>
      </c>
      <c r="B673" t="s">
        <v>6</v>
      </c>
      <c r="C673">
        <v>43.353999999999999</v>
      </c>
      <c r="D673">
        <v>-115.4693</v>
      </c>
      <c r="E673" t="s">
        <v>7255</v>
      </c>
    </row>
    <row r="674" spans="1:5" hidden="1" x14ac:dyDescent="0.25">
      <c r="A674" t="s">
        <v>6260</v>
      </c>
      <c r="B674" t="s">
        <v>6</v>
      </c>
      <c r="C674">
        <v>42.181100000000001</v>
      </c>
      <c r="D674">
        <v>-111.81319999999999</v>
      </c>
      <c r="E674" t="s">
        <v>7256</v>
      </c>
    </row>
    <row r="675" spans="1:5" hidden="1" x14ac:dyDescent="0.25">
      <c r="A675" t="s">
        <v>6624</v>
      </c>
      <c r="B675" t="s">
        <v>6</v>
      </c>
      <c r="C675">
        <v>44.2288</v>
      </c>
      <c r="D675">
        <v>-111.4819</v>
      </c>
      <c r="E675" t="s">
        <v>7257</v>
      </c>
    </row>
    <row r="676" spans="1:5" hidden="1" x14ac:dyDescent="0.25">
      <c r="A676" t="s">
        <v>7258</v>
      </c>
      <c r="B676" t="s">
        <v>6</v>
      </c>
      <c r="C676">
        <v>44.061500000000002</v>
      </c>
      <c r="D676">
        <v>-116.39749999999999</v>
      </c>
      <c r="E676" t="s">
        <v>7259</v>
      </c>
    </row>
    <row r="677" spans="1:5" hidden="1" x14ac:dyDescent="0.25">
      <c r="A677" t="s">
        <v>7260</v>
      </c>
      <c r="B677" t="s">
        <v>6</v>
      </c>
      <c r="C677">
        <v>42.970999999999997</v>
      </c>
      <c r="D677">
        <v>-114.8115</v>
      </c>
      <c r="E677" t="s">
        <v>7261</v>
      </c>
    </row>
    <row r="678" spans="1:5" hidden="1" x14ac:dyDescent="0.25">
      <c r="A678" t="s">
        <v>7262</v>
      </c>
      <c r="B678" t="s">
        <v>6</v>
      </c>
      <c r="C678">
        <v>45.844099999999997</v>
      </c>
      <c r="D678">
        <v>-115.4675</v>
      </c>
      <c r="E678" t="s">
        <v>7263</v>
      </c>
    </row>
    <row r="679" spans="1:5" hidden="1" x14ac:dyDescent="0.25">
      <c r="A679" t="s">
        <v>6272</v>
      </c>
      <c r="B679" t="s">
        <v>6</v>
      </c>
      <c r="C679">
        <v>43.820099999999996</v>
      </c>
      <c r="D679">
        <v>-112.3113</v>
      </c>
      <c r="E679" t="s">
        <v>7264</v>
      </c>
    </row>
    <row r="680" spans="1:5" hidden="1" x14ac:dyDescent="0.25">
      <c r="A680" t="s">
        <v>7265</v>
      </c>
      <c r="B680" t="s">
        <v>6</v>
      </c>
      <c r="C680">
        <v>42.689900000000002</v>
      </c>
      <c r="D680">
        <v>-114.26390000000001</v>
      </c>
      <c r="E680" t="s">
        <v>7266</v>
      </c>
    </row>
    <row r="681" spans="1:5" hidden="1" x14ac:dyDescent="0.25">
      <c r="A681" t="s">
        <v>7267</v>
      </c>
      <c r="B681" t="s">
        <v>6</v>
      </c>
      <c r="C681">
        <v>47.674399999999999</v>
      </c>
      <c r="D681">
        <v>-116.70180000000001</v>
      </c>
      <c r="E681" t="s">
        <v>7268</v>
      </c>
    </row>
    <row r="682" spans="1:5" hidden="1" x14ac:dyDescent="0.25">
      <c r="A682" t="s">
        <v>7269</v>
      </c>
      <c r="B682" t="s">
        <v>6</v>
      </c>
      <c r="C682">
        <v>46.816200000000002</v>
      </c>
      <c r="D682">
        <v>-116.71169999999999</v>
      </c>
      <c r="E682" t="s">
        <v>7270</v>
      </c>
    </row>
    <row r="683" spans="1:5" hidden="1" x14ac:dyDescent="0.25">
      <c r="A683" t="s">
        <v>7271</v>
      </c>
      <c r="B683" t="s">
        <v>6</v>
      </c>
      <c r="C683">
        <v>44.943300000000001</v>
      </c>
      <c r="D683">
        <v>-113.9333</v>
      </c>
      <c r="E683" t="s">
        <v>7272</v>
      </c>
    </row>
    <row r="684" spans="1:5" hidden="1" x14ac:dyDescent="0.25">
      <c r="A684" t="s">
        <v>1515</v>
      </c>
      <c r="B684" t="s">
        <v>6</v>
      </c>
      <c r="C684">
        <v>46.237000000000002</v>
      </c>
      <c r="D684">
        <v>-116.4263</v>
      </c>
      <c r="E684" t="s">
        <v>7273</v>
      </c>
    </row>
    <row r="685" spans="1:5" hidden="1" x14ac:dyDescent="0.25">
      <c r="A685" t="s">
        <v>6386</v>
      </c>
      <c r="B685" t="s">
        <v>6</v>
      </c>
      <c r="C685">
        <v>43.002400000000002</v>
      </c>
      <c r="D685">
        <v>-114.1383</v>
      </c>
      <c r="E685" t="s">
        <v>7274</v>
      </c>
    </row>
    <row r="686" spans="1:5" hidden="1" x14ac:dyDescent="0.25">
      <c r="A686" t="s">
        <v>6286</v>
      </c>
      <c r="B686" t="s">
        <v>6</v>
      </c>
      <c r="C686">
        <v>43.784100000000002</v>
      </c>
      <c r="D686">
        <v>-111.6592</v>
      </c>
      <c r="E686" t="s">
        <v>7275</v>
      </c>
    </row>
    <row r="687" spans="1:5" hidden="1" x14ac:dyDescent="0.25">
      <c r="A687" t="s">
        <v>7276</v>
      </c>
      <c r="B687" t="s">
        <v>6</v>
      </c>
      <c r="C687">
        <v>42.854300000000002</v>
      </c>
      <c r="D687">
        <v>-113.6375</v>
      </c>
      <c r="E687" t="s">
        <v>7277</v>
      </c>
    </row>
    <row r="688" spans="1:5" hidden="1" x14ac:dyDescent="0.25">
      <c r="A688" t="s">
        <v>7278</v>
      </c>
      <c r="B688" t="s">
        <v>6</v>
      </c>
      <c r="C688">
        <v>46.326799999999999</v>
      </c>
      <c r="D688">
        <v>-116.75020000000001</v>
      </c>
      <c r="E688" t="s">
        <v>7279</v>
      </c>
    </row>
    <row r="689" spans="1:5" hidden="1" x14ac:dyDescent="0.25">
      <c r="A689" t="s">
        <v>7280</v>
      </c>
      <c r="B689" t="s">
        <v>6</v>
      </c>
      <c r="C689">
        <v>42.195</v>
      </c>
      <c r="D689">
        <v>-112.5394</v>
      </c>
      <c r="E689" t="s">
        <v>7281</v>
      </c>
    </row>
    <row r="690" spans="1:5" hidden="1" x14ac:dyDescent="0.25">
      <c r="A690" t="s">
        <v>7282</v>
      </c>
      <c r="B690" t="s">
        <v>6</v>
      </c>
      <c r="C690">
        <v>42.581400000000002</v>
      </c>
      <c r="D690">
        <v>-116.1699</v>
      </c>
      <c r="E690" t="s">
        <v>7283</v>
      </c>
    </row>
    <row r="691" spans="1:5" hidden="1" x14ac:dyDescent="0.25">
      <c r="A691" t="s">
        <v>7284</v>
      </c>
      <c r="B691" t="s">
        <v>6</v>
      </c>
      <c r="C691">
        <v>44.006799999999998</v>
      </c>
      <c r="D691">
        <v>-116.7608</v>
      </c>
      <c r="E691" t="s">
        <v>7285</v>
      </c>
    </row>
    <row r="692" spans="1:5" hidden="1" x14ac:dyDescent="0.25">
      <c r="A692" t="s">
        <v>7286</v>
      </c>
      <c r="B692" t="s">
        <v>6</v>
      </c>
      <c r="C692">
        <v>42.6937</v>
      </c>
      <c r="D692">
        <v>-112.8407</v>
      </c>
      <c r="E692" t="s">
        <v>7287</v>
      </c>
    </row>
    <row r="693" spans="1:5" hidden="1" x14ac:dyDescent="0.25">
      <c r="A693" t="s">
        <v>7288</v>
      </c>
      <c r="B693" t="s">
        <v>6</v>
      </c>
      <c r="C693">
        <v>47.352899999999998</v>
      </c>
      <c r="D693">
        <v>-115.89239999999999</v>
      </c>
      <c r="E693" t="s">
        <v>7289</v>
      </c>
    </row>
    <row r="694" spans="1:5" hidden="1" x14ac:dyDescent="0.25">
      <c r="A694" t="s">
        <v>7290</v>
      </c>
      <c r="B694" t="s">
        <v>6</v>
      </c>
      <c r="C694">
        <v>43.759399999999999</v>
      </c>
      <c r="D694">
        <v>-111.2076</v>
      </c>
      <c r="E694" t="s">
        <v>7291</v>
      </c>
    </row>
    <row r="695" spans="1:5" hidden="1" x14ac:dyDescent="0.25">
      <c r="A695" t="s">
        <v>7292</v>
      </c>
      <c r="B695" t="s">
        <v>6</v>
      </c>
      <c r="C695">
        <v>42.356000000000002</v>
      </c>
      <c r="D695">
        <v>-114.66719999999999</v>
      </c>
      <c r="E695" t="s">
        <v>7293</v>
      </c>
    </row>
    <row r="696" spans="1:5" hidden="1" x14ac:dyDescent="0.25">
      <c r="A696" t="s">
        <v>7294</v>
      </c>
      <c r="B696" t="s">
        <v>6</v>
      </c>
      <c r="C696">
        <v>44.766599999999997</v>
      </c>
      <c r="D696">
        <v>-115.5663</v>
      </c>
      <c r="E696" t="s">
        <v>7295</v>
      </c>
    </row>
    <row r="697" spans="1:5" hidden="1" x14ac:dyDescent="0.25">
      <c r="A697" t="s">
        <v>3052</v>
      </c>
      <c r="B697" t="s">
        <v>6</v>
      </c>
      <c r="C697">
        <v>44.452399999999997</v>
      </c>
      <c r="D697">
        <v>-116.7847</v>
      </c>
      <c r="E697" t="s">
        <v>7296</v>
      </c>
    </row>
    <row r="698" spans="1:5" hidden="1" x14ac:dyDescent="0.25">
      <c r="A698" t="s">
        <v>1324</v>
      </c>
      <c r="B698" t="s">
        <v>6137</v>
      </c>
      <c r="C698">
        <v>39.987900000000003</v>
      </c>
      <c r="D698">
        <v>-91.188500000000005</v>
      </c>
      <c r="E698" t="s">
        <v>7297</v>
      </c>
    </row>
    <row r="699" spans="1:5" hidden="1" x14ac:dyDescent="0.25">
      <c r="A699" t="s">
        <v>82</v>
      </c>
      <c r="B699" t="s">
        <v>6137</v>
      </c>
      <c r="C699">
        <v>37.191499999999998</v>
      </c>
      <c r="D699">
        <v>-89.337500000000006</v>
      </c>
      <c r="E699" t="s">
        <v>7298</v>
      </c>
    </row>
    <row r="700" spans="1:5" hidden="1" x14ac:dyDescent="0.25">
      <c r="A700" t="s">
        <v>3326</v>
      </c>
      <c r="B700" t="s">
        <v>6137</v>
      </c>
      <c r="C700">
        <v>38.886800000000001</v>
      </c>
      <c r="D700">
        <v>-89.435500000000005</v>
      </c>
      <c r="E700" t="s">
        <v>7299</v>
      </c>
    </row>
    <row r="701" spans="1:5" hidden="1" x14ac:dyDescent="0.25">
      <c r="A701" t="s">
        <v>6335</v>
      </c>
      <c r="B701" t="s">
        <v>6137</v>
      </c>
      <c r="C701">
        <v>42.323099999999997</v>
      </c>
      <c r="D701">
        <v>-88.823400000000007</v>
      </c>
      <c r="E701" t="s">
        <v>7300</v>
      </c>
    </row>
    <row r="702" spans="1:5" hidden="1" x14ac:dyDescent="0.25">
      <c r="A702" t="s">
        <v>633</v>
      </c>
      <c r="B702" t="s">
        <v>6137</v>
      </c>
      <c r="C702">
        <v>39.961799999999997</v>
      </c>
      <c r="D702">
        <v>-90.750399999999999</v>
      </c>
      <c r="E702" t="s">
        <v>7301</v>
      </c>
    </row>
    <row r="703" spans="1:5" hidden="1" x14ac:dyDescent="0.25">
      <c r="A703" t="s">
        <v>7302</v>
      </c>
      <c r="B703" t="s">
        <v>6137</v>
      </c>
      <c r="C703">
        <v>41.4041</v>
      </c>
      <c r="D703">
        <v>-89.528599999999997</v>
      </c>
      <c r="E703" t="s">
        <v>7303</v>
      </c>
    </row>
    <row r="704" spans="1:5" hidden="1" x14ac:dyDescent="0.25">
      <c r="A704" t="s">
        <v>1505</v>
      </c>
      <c r="B704" t="s">
        <v>6137</v>
      </c>
      <c r="C704">
        <v>39.1693</v>
      </c>
      <c r="D704">
        <v>-90.667599999999993</v>
      </c>
      <c r="E704" t="s">
        <v>7304</v>
      </c>
    </row>
    <row r="705" spans="1:5" hidden="1" x14ac:dyDescent="0.25">
      <c r="A705" t="s">
        <v>6340</v>
      </c>
      <c r="B705" t="s">
        <v>6137</v>
      </c>
      <c r="C705">
        <v>42.0687</v>
      </c>
      <c r="D705">
        <v>-89.934299999999993</v>
      </c>
      <c r="E705" t="s">
        <v>7305</v>
      </c>
    </row>
    <row r="706" spans="1:5" hidden="1" x14ac:dyDescent="0.25">
      <c r="A706" t="s">
        <v>7103</v>
      </c>
      <c r="B706" t="s">
        <v>6137</v>
      </c>
      <c r="C706">
        <v>39.973500000000001</v>
      </c>
      <c r="D706">
        <v>-90.247399999999999</v>
      </c>
      <c r="E706" t="s">
        <v>7306</v>
      </c>
    </row>
    <row r="707" spans="1:5" hidden="1" x14ac:dyDescent="0.25">
      <c r="A707" t="s">
        <v>7307</v>
      </c>
      <c r="B707" t="s">
        <v>6137</v>
      </c>
      <c r="C707">
        <v>40.140099999999997</v>
      </c>
      <c r="D707">
        <v>-88.199200000000005</v>
      </c>
      <c r="E707" t="s">
        <v>7308</v>
      </c>
    </row>
    <row r="708" spans="1:5" hidden="1" x14ac:dyDescent="0.25">
      <c r="A708" t="s">
        <v>3555</v>
      </c>
      <c r="B708" t="s">
        <v>6137</v>
      </c>
      <c r="C708">
        <v>39.5458</v>
      </c>
      <c r="D708">
        <v>-89.277299999999997</v>
      </c>
      <c r="E708" t="s">
        <v>7309</v>
      </c>
    </row>
    <row r="709" spans="1:5" hidden="1" x14ac:dyDescent="0.25">
      <c r="A709" t="s">
        <v>174</v>
      </c>
      <c r="B709" t="s">
        <v>6137</v>
      </c>
      <c r="C709">
        <v>39.333599999999997</v>
      </c>
      <c r="D709">
        <v>-87.787700000000001</v>
      </c>
      <c r="E709" t="s">
        <v>7310</v>
      </c>
    </row>
    <row r="710" spans="1:5" hidden="1" x14ac:dyDescent="0.25">
      <c r="A710" t="s">
        <v>6221</v>
      </c>
      <c r="B710" t="s">
        <v>6137</v>
      </c>
      <c r="C710">
        <v>38.754199999999997</v>
      </c>
      <c r="D710">
        <v>-88.490200000000002</v>
      </c>
      <c r="E710" t="s">
        <v>7311</v>
      </c>
    </row>
    <row r="711" spans="1:5" hidden="1" x14ac:dyDescent="0.25">
      <c r="A711" t="s">
        <v>1113</v>
      </c>
      <c r="B711" t="s">
        <v>6137</v>
      </c>
      <c r="C711">
        <v>38.606499999999997</v>
      </c>
      <c r="D711">
        <v>-89.422499999999999</v>
      </c>
      <c r="E711" t="s">
        <v>7312</v>
      </c>
    </row>
    <row r="712" spans="1:5" hidden="1" x14ac:dyDescent="0.25">
      <c r="A712" t="s">
        <v>1316</v>
      </c>
      <c r="B712" t="s">
        <v>6137</v>
      </c>
      <c r="C712">
        <v>39.520299999999999</v>
      </c>
      <c r="D712">
        <v>-88.221699999999998</v>
      </c>
      <c r="E712" t="s">
        <v>7313</v>
      </c>
    </row>
    <row r="713" spans="1:5" hidden="1" x14ac:dyDescent="0.25">
      <c r="A713" t="s">
        <v>2926</v>
      </c>
      <c r="B713" t="s">
        <v>6137</v>
      </c>
      <c r="C713">
        <v>41.8401</v>
      </c>
      <c r="D713">
        <v>-87.816800000000001</v>
      </c>
      <c r="E713" t="s">
        <v>7314</v>
      </c>
    </row>
    <row r="714" spans="1:5" hidden="1" x14ac:dyDescent="0.25">
      <c r="A714" t="s">
        <v>3776</v>
      </c>
      <c r="B714" t="s">
        <v>6137</v>
      </c>
      <c r="C714">
        <v>39.002699999999997</v>
      </c>
      <c r="D714">
        <v>-87.759600000000006</v>
      </c>
      <c r="E714" t="s">
        <v>7315</v>
      </c>
    </row>
    <row r="715" spans="1:5" hidden="1" x14ac:dyDescent="0.25">
      <c r="A715" t="s">
        <v>7316</v>
      </c>
      <c r="B715" t="s">
        <v>6137</v>
      </c>
      <c r="C715">
        <v>39.273299999999999</v>
      </c>
      <c r="D715">
        <v>-88.240200000000002</v>
      </c>
      <c r="E715" t="s">
        <v>7317</v>
      </c>
    </row>
    <row r="716" spans="1:5" hidden="1" x14ac:dyDescent="0.25">
      <c r="A716" t="s">
        <v>7318</v>
      </c>
      <c r="B716" t="s">
        <v>6137</v>
      </c>
      <c r="C716">
        <v>40.174599999999998</v>
      </c>
      <c r="D716">
        <v>-88.9041</v>
      </c>
      <c r="E716" t="s">
        <v>7319</v>
      </c>
    </row>
    <row r="717" spans="1:5" hidden="1" x14ac:dyDescent="0.25">
      <c r="A717" t="s">
        <v>6250</v>
      </c>
      <c r="B717" t="s">
        <v>6137</v>
      </c>
      <c r="C717">
        <v>41.893500000000003</v>
      </c>
      <c r="D717">
        <v>-88.770300000000006</v>
      </c>
      <c r="E717" t="s">
        <v>7320</v>
      </c>
    </row>
    <row r="718" spans="1:5" hidden="1" x14ac:dyDescent="0.25">
      <c r="A718" t="s">
        <v>2538</v>
      </c>
      <c r="B718" t="s">
        <v>6137</v>
      </c>
      <c r="C718">
        <v>39.769399999999997</v>
      </c>
      <c r="D718">
        <v>-88.217299999999994</v>
      </c>
      <c r="E718" t="s">
        <v>7321</v>
      </c>
    </row>
    <row r="719" spans="1:5" hidden="1" x14ac:dyDescent="0.25">
      <c r="A719" t="s">
        <v>7322</v>
      </c>
      <c r="B719" t="s">
        <v>6137</v>
      </c>
      <c r="C719">
        <v>41.851999999999997</v>
      </c>
      <c r="D719">
        <v>-88.085599999999999</v>
      </c>
      <c r="E719" t="s">
        <v>7323</v>
      </c>
    </row>
    <row r="720" spans="1:5" hidden="1" x14ac:dyDescent="0.25">
      <c r="A720" t="s">
        <v>7324</v>
      </c>
      <c r="B720" t="s">
        <v>6137</v>
      </c>
      <c r="C720">
        <v>39.678600000000003</v>
      </c>
      <c r="D720">
        <v>-87.745599999999996</v>
      </c>
      <c r="E720" t="s">
        <v>7325</v>
      </c>
    </row>
    <row r="721" spans="1:5" hidden="1" x14ac:dyDescent="0.25">
      <c r="A721" t="s">
        <v>1936</v>
      </c>
      <c r="B721" t="s">
        <v>6137</v>
      </c>
      <c r="C721">
        <v>38.416499999999999</v>
      </c>
      <c r="D721">
        <v>-88.053299999999993</v>
      </c>
      <c r="E721" t="s">
        <v>7326</v>
      </c>
    </row>
    <row r="722" spans="1:5" hidden="1" x14ac:dyDescent="0.25">
      <c r="A722" t="s">
        <v>6914</v>
      </c>
      <c r="B722" t="s">
        <v>6137</v>
      </c>
      <c r="C722">
        <v>39.059800000000003</v>
      </c>
      <c r="D722">
        <v>-88.5899</v>
      </c>
      <c r="E722" t="s">
        <v>7327</v>
      </c>
    </row>
    <row r="723" spans="1:5" hidden="1" x14ac:dyDescent="0.25">
      <c r="A723" t="s">
        <v>6258</v>
      </c>
      <c r="B723" t="s">
        <v>6137</v>
      </c>
      <c r="C723">
        <v>39.0002</v>
      </c>
      <c r="D723">
        <v>-89.024100000000004</v>
      </c>
      <c r="E723" t="s">
        <v>7328</v>
      </c>
    </row>
    <row r="724" spans="1:5" hidden="1" x14ac:dyDescent="0.25">
      <c r="A724" t="s">
        <v>3332</v>
      </c>
      <c r="B724" t="s">
        <v>6137</v>
      </c>
      <c r="C724">
        <v>40.597200000000001</v>
      </c>
      <c r="D724">
        <v>-88.223299999999995</v>
      </c>
      <c r="E724" t="s">
        <v>7329</v>
      </c>
    </row>
    <row r="725" spans="1:5" hidden="1" x14ac:dyDescent="0.25">
      <c r="A725" t="s">
        <v>6260</v>
      </c>
      <c r="B725" t="s">
        <v>6137</v>
      </c>
      <c r="C725">
        <v>37.9923</v>
      </c>
      <c r="D725">
        <v>-88.924199999999999</v>
      </c>
      <c r="E725" t="s">
        <v>7330</v>
      </c>
    </row>
    <row r="726" spans="1:5" hidden="1" x14ac:dyDescent="0.25">
      <c r="A726" t="s">
        <v>6366</v>
      </c>
      <c r="B726" t="s">
        <v>6137</v>
      </c>
      <c r="C726">
        <v>40.472799999999999</v>
      </c>
      <c r="D726">
        <v>-90.207499999999996</v>
      </c>
      <c r="E726" t="s">
        <v>7331</v>
      </c>
    </row>
    <row r="727" spans="1:5" hidden="1" x14ac:dyDescent="0.25">
      <c r="A727" t="s">
        <v>7332</v>
      </c>
      <c r="B727" t="s">
        <v>6137</v>
      </c>
      <c r="C727">
        <v>37.762799999999999</v>
      </c>
      <c r="D727">
        <v>-88.230500000000006</v>
      </c>
      <c r="E727" t="s">
        <v>7333</v>
      </c>
    </row>
    <row r="728" spans="1:5" hidden="1" x14ac:dyDescent="0.25">
      <c r="A728" t="s">
        <v>6264</v>
      </c>
      <c r="B728" t="s">
        <v>6137</v>
      </c>
      <c r="C728">
        <v>39.356200000000001</v>
      </c>
      <c r="D728">
        <v>-90.390500000000003</v>
      </c>
      <c r="E728" t="s">
        <v>7334</v>
      </c>
    </row>
    <row r="729" spans="1:5" hidden="1" x14ac:dyDescent="0.25">
      <c r="A729" t="s">
        <v>7133</v>
      </c>
      <c r="B729" t="s">
        <v>6137</v>
      </c>
      <c r="C729">
        <v>41.2851</v>
      </c>
      <c r="D729">
        <v>-88.418499999999995</v>
      </c>
      <c r="E729" t="s">
        <v>7335</v>
      </c>
    </row>
    <row r="730" spans="1:5" hidden="1" x14ac:dyDescent="0.25">
      <c r="A730" t="s">
        <v>6761</v>
      </c>
      <c r="B730" t="s">
        <v>6137</v>
      </c>
      <c r="C730">
        <v>38.081600000000002</v>
      </c>
      <c r="D730">
        <v>-88.539100000000005</v>
      </c>
      <c r="E730" t="s">
        <v>7336</v>
      </c>
    </row>
    <row r="731" spans="1:5" hidden="1" x14ac:dyDescent="0.25">
      <c r="A731" t="s">
        <v>1216</v>
      </c>
      <c r="B731" t="s">
        <v>6137</v>
      </c>
      <c r="C731">
        <v>40.403700000000001</v>
      </c>
      <c r="D731">
        <v>-91.164699999999996</v>
      </c>
      <c r="E731" t="s">
        <v>7337</v>
      </c>
    </row>
    <row r="732" spans="1:5" hidden="1" x14ac:dyDescent="0.25">
      <c r="A732" t="s">
        <v>7139</v>
      </c>
      <c r="B732" t="s">
        <v>6137</v>
      </c>
      <c r="C732">
        <v>37.5182</v>
      </c>
      <c r="D732">
        <v>-88.266800000000003</v>
      </c>
      <c r="E732" t="s">
        <v>7338</v>
      </c>
    </row>
    <row r="733" spans="1:5" hidden="1" x14ac:dyDescent="0.25">
      <c r="A733" t="s">
        <v>7339</v>
      </c>
      <c r="B733" t="s">
        <v>6137</v>
      </c>
      <c r="C733">
        <v>40.817999999999998</v>
      </c>
      <c r="D733">
        <v>-90.9251</v>
      </c>
      <c r="E733" t="s">
        <v>7340</v>
      </c>
    </row>
    <row r="734" spans="1:5" hidden="1" x14ac:dyDescent="0.25">
      <c r="A734" t="s">
        <v>334</v>
      </c>
      <c r="B734" t="s">
        <v>6137</v>
      </c>
      <c r="C734">
        <v>41.353099999999998</v>
      </c>
      <c r="D734">
        <v>-90.131399999999999</v>
      </c>
      <c r="E734" t="s">
        <v>7341</v>
      </c>
    </row>
    <row r="735" spans="1:5" hidden="1" x14ac:dyDescent="0.25">
      <c r="A735" t="s">
        <v>7342</v>
      </c>
      <c r="B735" t="s">
        <v>6137</v>
      </c>
      <c r="C735">
        <v>40.747300000000003</v>
      </c>
      <c r="D735">
        <v>-87.824299999999994</v>
      </c>
      <c r="E735" t="s">
        <v>7343</v>
      </c>
    </row>
    <row r="736" spans="1:5" hidden="1" x14ac:dyDescent="0.25">
      <c r="A736" t="s">
        <v>191</v>
      </c>
      <c r="B736" t="s">
        <v>6137</v>
      </c>
      <c r="C736">
        <v>37.7851</v>
      </c>
      <c r="D736">
        <v>-89.382099999999994</v>
      </c>
      <c r="E736" t="s">
        <v>7344</v>
      </c>
    </row>
    <row r="737" spans="1:5" hidden="1" x14ac:dyDescent="0.25">
      <c r="A737" t="s">
        <v>2108</v>
      </c>
      <c r="B737" t="s">
        <v>6137</v>
      </c>
      <c r="C737">
        <v>39.010100000000001</v>
      </c>
      <c r="D737">
        <v>-88.153800000000004</v>
      </c>
      <c r="E737" t="s">
        <v>7345</v>
      </c>
    </row>
    <row r="738" spans="1:5" hidden="1" x14ac:dyDescent="0.25">
      <c r="A738" t="s">
        <v>6272</v>
      </c>
      <c r="B738" t="s">
        <v>6137</v>
      </c>
      <c r="C738">
        <v>38.3005</v>
      </c>
      <c r="D738">
        <v>-88.924000000000007</v>
      </c>
      <c r="E738" t="s">
        <v>7346</v>
      </c>
    </row>
    <row r="739" spans="1:5" hidden="1" x14ac:dyDescent="0.25">
      <c r="A739" t="s">
        <v>562</v>
      </c>
      <c r="B739" t="s">
        <v>6137</v>
      </c>
      <c r="C739">
        <v>39.085500000000003</v>
      </c>
      <c r="D739">
        <v>-90.356499999999997</v>
      </c>
      <c r="E739" t="s">
        <v>7347</v>
      </c>
    </row>
    <row r="740" spans="1:5" hidden="1" x14ac:dyDescent="0.25">
      <c r="A740" t="s">
        <v>7348</v>
      </c>
      <c r="B740" t="s">
        <v>6137</v>
      </c>
      <c r="C740">
        <v>42.3658</v>
      </c>
      <c r="D740">
        <v>-90.212599999999995</v>
      </c>
      <c r="E740" t="s">
        <v>7349</v>
      </c>
    </row>
    <row r="741" spans="1:5" hidden="1" x14ac:dyDescent="0.25">
      <c r="A741" t="s">
        <v>37</v>
      </c>
      <c r="B741" t="s">
        <v>6137</v>
      </c>
      <c r="C741">
        <v>37.459699999999998</v>
      </c>
      <c r="D741">
        <v>-88.880899999999997</v>
      </c>
      <c r="E741" t="s">
        <v>7350</v>
      </c>
    </row>
    <row r="742" spans="1:5" hidden="1" x14ac:dyDescent="0.25">
      <c r="A742" t="s">
        <v>7351</v>
      </c>
      <c r="B742" t="s">
        <v>6137</v>
      </c>
      <c r="C742">
        <v>41.938800000000001</v>
      </c>
      <c r="D742">
        <v>-88.428600000000003</v>
      </c>
      <c r="E742" t="s">
        <v>7352</v>
      </c>
    </row>
    <row r="743" spans="1:5" hidden="1" x14ac:dyDescent="0.25">
      <c r="A743" t="s">
        <v>7353</v>
      </c>
      <c r="B743" t="s">
        <v>6137</v>
      </c>
      <c r="C743">
        <v>41.137700000000002</v>
      </c>
      <c r="D743">
        <v>-87.861800000000002</v>
      </c>
      <c r="E743" t="s">
        <v>7354</v>
      </c>
    </row>
    <row r="744" spans="1:5" hidden="1" x14ac:dyDescent="0.25">
      <c r="A744" t="s">
        <v>7355</v>
      </c>
      <c r="B744" t="s">
        <v>6137</v>
      </c>
      <c r="C744">
        <v>41.590600000000002</v>
      </c>
      <c r="D744">
        <v>-88.428799999999995</v>
      </c>
      <c r="E744" t="s">
        <v>7356</v>
      </c>
    </row>
    <row r="745" spans="1:5" hidden="1" x14ac:dyDescent="0.25">
      <c r="A745" t="s">
        <v>7357</v>
      </c>
      <c r="B745" t="s">
        <v>6137</v>
      </c>
      <c r="C745">
        <v>40.931800000000003</v>
      </c>
      <c r="D745">
        <v>-90.213200000000001</v>
      </c>
      <c r="E745" t="s">
        <v>7358</v>
      </c>
    </row>
    <row r="746" spans="1:5" hidden="1" x14ac:dyDescent="0.25">
      <c r="A746" t="s">
        <v>7359</v>
      </c>
      <c r="B746" t="s">
        <v>6137</v>
      </c>
      <c r="C746">
        <v>41.344000000000001</v>
      </c>
      <c r="D746">
        <v>-88.885900000000007</v>
      </c>
      <c r="E746" t="s">
        <v>7360</v>
      </c>
    </row>
    <row r="747" spans="1:5" hidden="1" x14ac:dyDescent="0.25">
      <c r="A747" t="s">
        <v>3705</v>
      </c>
      <c r="B747" t="s">
        <v>6137</v>
      </c>
      <c r="C747">
        <v>42.323300000000003</v>
      </c>
      <c r="D747">
        <v>-88.003699999999995</v>
      </c>
      <c r="E747" t="s">
        <v>7361</v>
      </c>
    </row>
    <row r="748" spans="1:5" hidden="1" x14ac:dyDescent="0.25">
      <c r="A748" t="s">
        <v>492</v>
      </c>
      <c r="B748" t="s">
        <v>6137</v>
      </c>
      <c r="C748">
        <v>38.72</v>
      </c>
      <c r="D748">
        <v>-87.726799999999997</v>
      </c>
      <c r="E748" t="s">
        <v>7362</v>
      </c>
    </row>
    <row r="749" spans="1:5" hidden="1" x14ac:dyDescent="0.25">
      <c r="A749" t="s">
        <v>2353</v>
      </c>
      <c r="B749" t="s">
        <v>6137</v>
      </c>
      <c r="C749">
        <v>41.746099999999998</v>
      </c>
      <c r="D749">
        <v>-89.300299999999993</v>
      </c>
      <c r="E749" t="s">
        <v>7363</v>
      </c>
    </row>
    <row r="750" spans="1:5" hidden="1" x14ac:dyDescent="0.25">
      <c r="A750" t="s">
        <v>1355</v>
      </c>
      <c r="B750" t="s">
        <v>6137</v>
      </c>
      <c r="C750">
        <v>40.891599999999997</v>
      </c>
      <c r="D750">
        <v>-88.557699999999997</v>
      </c>
      <c r="E750" t="s">
        <v>7364</v>
      </c>
    </row>
    <row r="751" spans="1:5" hidden="1" x14ac:dyDescent="0.25">
      <c r="A751" t="s">
        <v>987</v>
      </c>
      <c r="B751" t="s">
        <v>6137</v>
      </c>
      <c r="C751">
        <v>40.124499999999998</v>
      </c>
      <c r="D751">
        <v>-89.367500000000007</v>
      </c>
      <c r="E751" t="s">
        <v>7365</v>
      </c>
    </row>
    <row r="752" spans="1:5" hidden="1" x14ac:dyDescent="0.25">
      <c r="A752" t="s">
        <v>6284</v>
      </c>
      <c r="B752" t="s">
        <v>6137</v>
      </c>
      <c r="C752">
        <v>39.86</v>
      </c>
      <c r="D752">
        <v>-88.961600000000004</v>
      </c>
      <c r="E752" t="s">
        <v>7366</v>
      </c>
    </row>
    <row r="753" spans="1:5" hidden="1" x14ac:dyDescent="0.25">
      <c r="A753" t="s">
        <v>7367</v>
      </c>
      <c r="B753" t="s">
        <v>6137</v>
      </c>
      <c r="C753">
        <v>39.261000000000003</v>
      </c>
      <c r="D753">
        <v>-89.924499999999995</v>
      </c>
      <c r="E753" t="s">
        <v>7368</v>
      </c>
    </row>
    <row r="754" spans="1:5" hidden="1" x14ac:dyDescent="0.25">
      <c r="A754" t="s">
        <v>6286</v>
      </c>
      <c r="B754" t="s">
        <v>6137</v>
      </c>
      <c r="C754">
        <v>38.829700000000003</v>
      </c>
      <c r="D754">
        <v>-89.904899999999998</v>
      </c>
      <c r="E754" t="s">
        <v>7369</v>
      </c>
    </row>
    <row r="755" spans="1:5" hidden="1" x14ac:dyDescent="0.25">
      <c r="A755" t="s">
        <v>6290</v>
      </c>
      <c r="B755" t="s">
        <v>6137</v>
      </c>
      <c r="C755">
        <v>38.6496</v>
      </c>
      <c r="D755">
        <v>-88.918999999999997</v>
      </c>
      <c r="E755" t="s">
        <v>7370</v>
      </c>
    </row>
    <row r="756" spans="1:5" hidden="1" x14ac:dyDescent="0.25">
      <c r="A756" t="s">
        <v>1391</v>
      </c>
      <c r="B756" t="s">
        <v>6137</v>
      </c>
      <c r="C756">
        <v>41.033200000000001</v>
      </c>
      <c r="D756">
        <v>-89.344800000000006</v>
      </c>
      <c r="E756" t="s">
        <v>7371</v>
      </c>
    </row>
    <row r="757" spans="1:5" hidden="1" x14ac:dyDescent="0.25">
      <c r="A757" t="s">
        <v>2217</v>
      </c>
      <c r="B757" t="s">
        <v>6137</v>
      </c>
      <c r="C757">
        <v>40.239600000000003</v>
      </c>
      <c r="D757">
        <v>-89.916799999999995</v>
      </c>
      <c r="E757" t="s">
        <v>7372</v>
      </c>
    </row>
    <row r="758" spans="1:5" hidden="1" x14ac:dyDescent="0.25">
      <c r="A758" t="s">
        <v>7373</v>
      </c>
      <c r="B758" t="s">
        <v>6137</v>
      </c>
      <c r="C758">
        <v>37.218899999999998</v>
      </c>
      <c r="D758">
        <v>-88.707599999999999</v>
      </c>
      <c r="E758" t="s">
        <v>7374</v>
      </c>
    </row>
    <row r="759" spans="1:5" hidden="1" x14ac:dyDescent="0.25">
      <c r="A759" t="s">
        <v>7375</v>
      </c>
      <c r="B759" t="s">
        <v>6137</v>
      </c>
      <c r="C759">
        <v>40.456200000000003</v>
      </c>
      <c r="D759">
        <v>-90.677899999999994</v>
      </c>
      <c r="E759" t="s">
        <v>7376</v>
      </c>
    </row>
    <row r="760" spans="1:5" hidden="1" x14ac:dyDescent="0.25">
      <c r="A760" t="s">
        <v>7377</v>
      </c>
      <c r="B760" t="s">
        <v>6137</v>
      </c>
      <c r="C760">
        <v>42.324399999999997</v>
      </c>
      <c r="D760">
        <v>-88.452299999999994</v>
      </c>
      <c r="E760" t="s">
        <v>7378</v>
      </c>
    </row>
    <row r="761" spans="1:5" hidden="1" x14ac:dyDescent="0.25">
      <c r="A761" t="s">
        <v>7379</v>
      </c>
      <c r="B761" t="s">
        <v>6137</v>
      </c>
      <c r="C761">
        <v>40.490900000000003</v>
      </c>
      <c r="D761">
        <v>-88.847300000000004</v>
      </c>
      <c r="E761" t="s">
        <v>7380</v>
      </c>
    </row>
    <row r="762" spans="1:5" hidden="1" x14ac:dyDescent="0.25">
      <c r="A762" t="s">
        <v>7381</v>
      </c>
      <c r="B762" t="s">
        <v>6137</v>
      </c>
      <c r="C762">
        <v>40.0274</v>
      </c>
      <c r="D762">
        <v>-89.802199999999999</v>
      </c>
      <c r="E762" t="s">
        <v>7382</v>
      </c>
    </row>
    <row r="763" spans="1:5" hidden="1" x14ac:dyDescent="0.25">
      <c r="A763" t="s">
        <v>1636</v>
      </c>
      <c r="B763" t="s">
        <v>6137</v>
      </c>
      <c r="C763">
        <v>41.205300000000001</v>
      </c>
      <c r="D763">
        <v>-90.741399999999999</v>
      </c>
      <c r="E763" t="s">
        <v>7383</v>
      </c>
    </row>
    <row r="764" spans="1:5" hidden="1" x14ac:dyDescent="0.25">
      <c r="A764" t="s">
        <v>6295</v>
      </c>
      <c r="B764" t="s">
        <v>6137</v>
      </c>
      <c r="C764">
        <v>38.278500000000001</v>
      </c>
      <c r="D764">
        <v>-90.177300000000002</v>
      </c>
      <c r="E764" t="s">
        <v>7384</v>
      </c>
    </row>
    <row r="765" spans="1:5" hidden="1" x14ac:dyDescent="0.25">
      <c r="A765" t="s">
        <v>6297</v>
      </c>
      <c r="B765" t="s">
        <v>6137</v>
      </c>
      <c r="C765">
        <v>39.231000000000002</v>
      </c>
      <c r="D765">
        <v>-89.478899999999996</v>
      </c>
      <c r="E765" t="s">
        <v>7385</v>
      </c>
    </row>
    <row r="766" spans="1:5" hidden="1" x14ac:dyDescent="0.25">
      <c r="A766" t="s">
        <v>496</v>
      </c>
      <c r="B766" t="s">
        <v>6137</v>
      </c>
      <c r="C766">
        <v>39.715600000000002</v>
      </c>
      <c r="D766">
        <v>-90.201499999999996</v>
      </c>
      <c r="E766" t="s">
        <v>7386</v>
      </c>
    </row>
    <row r="767" spans="1:5" hidden="1" x14ac:dyDescent="0.25">
      <c r="A767" t="s">
        <v>7387</v>
      </c>
      <c r="B767" t="s">
        <v>6137</v>
      </c>
      <c r="C767">
        <v>39.641500000000001</v>
      </c>
      <c r="D767">
        <v>-88.619299999999996</v>
      </c>
      <c r="E767" t="s">
        <v>7388</v>
      </c>
    </row>
    <row r="768" spans="1:5" hidden="1" x14ac:dyDescent="0.25">
      <c r="A768" t="s">
        <v>7389</v>
      </c>
      <c r="B768" t="s">
        <v>6137</v>
      </c>
      <c r="C768">
        <v>42.0426</v>
      </c>
      <c r="D768">
        <v>-89.320700000000002</v>
      </c>
      <c r="E768" t="s">
        <v>7390</v>
      </c>
    </row>
    <row r="769" spans="1:5" hidden="1" x14ac:dyDescent="0.25">
      <c r="A769" t="s">
        <v>7391</v>
      </c>
      <c r="B769" t="s">
        <v>6137</v>
      </c>
      <c r="C769">
        <v>40.787999999999997</v>
      </c>
      <c r="D769">
        <v>-89.76</v>
      </c>
      <c r="E769" t="s">
        <v>7392</v>
      </c>
    </row>
    <row r="770" spans="1:5" hidden="1" x14ac:dyDescent="0.25">
      <c r="A770" t="s">
        <v>1641</v>
      </c>
      <c r="B770" t="s">
        <v>6137</v>
      </c>
      <c r="C770">
        <v>38.0837</v>
      </c>
      <c r="D770">
        <v>-89.367000000000004</v>
      </c>
      <c r="E770" t="s">
        <v>7393</v>
      </c>
    </row>
    <row r="771" spans="1:5" hidden="1" x14ac:dyDescent="0.25">
      <c r="A771" t="s">
        <v>7394</v>
      </c>
      <c r="B771" t="s">
        <v>6137</v>
      </c>
      <c r="C771">
        <v>40.010300000000001</v>
      </c>
      <c r="D771">
        <v>-88.591099999999997</v>
      </c>
      <c r="E771" t="s">
        <v>7395</v>
      </c>
    </row>
    <row r="772" spans="1:5" hidden="1" x14ac:dyDescent="0.25">
      <c r="A772" t="s">
        <v>6303</v>
      </c>
      <c r="B772" t="s">
        <v>6137</v>
      </c>
      <c r="C772">
        <v>39.622500000000002</v>
      </c>
      <c r="D772">
        <v>-90.886300000000006</v>
      </c>
      <c r="E772" t="s">
        <v>7396</v>
      </c>
    </row>
    <row r="773" spans="1:5" hidden="1" x14ac:dyDescent="0.25">
      <c r="A773" t="s">
        <v>6412</v>
      </c>
      <c r="B773" t="s">
        <v>6137</v>
      </c>
      <c r="C773">
        <v>37.412700000000001</v>
      </c>
      <c r="D773">
        <v>-88.561499999999995</v>
      </c>
      <c r="E773" t="s">
        <v>7397</v>
      </c>
    </row>
    <row r="774" spans="1:5" hidden="1" x14ac:dyDescent="0.25">
      <c r="A774" t="s">
        <v>6416</v>
      </c>
      <c r="B774" t="s">
        <v>6137</v>
      </c>
      <c r="C774">
        <v>37.223199999999999</v>
      </c>
      <c r="D774">
        <v>-89.126599999999996</v>
      </c>
      <c r="E774" t="s">
        <v>7398</v>
      </c>
    </row>
    <row r="775" spans="1:5" hidden="1" x14ac:dyDescent="0.25">
      <c r="A775" t="s">
        <v>6810</v>
      </c>
      <c r="B775" t="s">
        <v>6137</v>
      </c>
      <c r="C775">
        <v>41.204500000000003</v>
      </c>
      <c r="D775">
        <v>-89.285799999999995</v>
      </c>
      <c r="E775" t="s">
        <v>7399</v>
      </c>
    </row>
    <row r="776" spans="1:5" hidden="1" x14ac:dyDescent="0.25">
      <c r="A776" t="s">
        <v>6305</v>
      </c>
      <c r="B776" t="s">
        <v>6137</v>
      </c>
      <c r="C776">
        <v>38.052100000000003</v>
      </c>
      <c r="D776">
        <v>-89.825199999999995</v>
      </c>
      <c r="E776" t="s">
        <v>7400</v>
      </c>
    </row>
    <row r="777" spans="1:5" hidden="1" x14ac:dyDescent="0.25">
      <c r="A777" t="s">
        <v>7401</v>
      </c>
      <c r="B777" t="s">
        <v>6137</v>
      </c>
      <c r="C777">
        <v>38.712400000000002</v>
      </c>
      <c r="D777">
        <v>-88.085099999999997</v>
      </c>
      <c r="E777" t="s">
        <v>7402</v>
      </c>
    </row>
    <row r="778" spans="1:5" hidden="1" x14ac:dyDescent="0.25">
      <c r="A778" t="s">
        <v>7403</v>
      </c>
      <c r="B778" t="s">
        <v>6137</v>
      </c>
      <c r="C778">
        <v>41.467300000000002</v>
      </c>
      <c r="D778">
        <v>-90.567400000000006</v>
      </c>
      <c r="E778" t="s">
        <v>7404</v>
      </c>
    </row>
    <row r="779" spans="1:5" hidden="1" x14ac:dyDescent="0.25">
      <c r="A779" t="s">
        <v>6419</v>
      </c>
      <c r="B779" t="s">
        <v>6137</v>
      </c>
      <c r="C779">
        <v>37.753100000000003</v>
      </c>
      <c r="D779">
        <v>-88.540700000000001</v>
      </c>
      <c r="E779" t="s">
        <v>7405</v>
      </c>
    </row>
    <row r="780" spans="1:5" hidden="1" x14ac:dyDescent="0.25">
      <c r="A780" t="s">
        <v>7406</v>
      </c>
      <c r="B780" t="s">
        <v>6137</v>
      </c>
      <c r="C780">
        <v>39.758200000000002</v>
      </c>
      <c r="D780">
        <v>-89.658900000000003</v>
      </c>
      <c r="E780" t="s">
        <v>7407</v>
      </c>
    </row>
    <row r="781" spans="1:5" hidden="1" x14ac:dyDescent="0.25">
      <c r="A781" t="s">
        <v>7408</v>
      </c>
      <c r="B781" t="s">
        <v>6137</v>
      </c>
      <c r="C781">
        <v>40.158000000000001</v>
      </c>
      <c r="D781">
        <v>-90.615099999999998</v>
      </c>
      <c r="E781" t="s">
        <v>7409</v>
      </c>
    </row>
    <row r="782" spans="1:5" hidden="1" x14ac:dyDescent="0.25">
      <c r="A782" t="s">
        <v>5291</v>
      </c>
      <c r="B782" t="s">
        <v>6137</v>
      </c>
      <c r="C782">
        <v>39.644100000000002</v>
      </c>
      <c r="D782">
        <v>-90.474699999999999</v>
      </c>
      <c r="E782" t="s">
        <v>7410</v>
      </c>
    </row>
    <row r="783" spans="1:5" hidden="1" x14ac:dyDescent="0.25">
      <c r="A783" t="s">
        <v>6309</v>
      </c>
      <c r="B783" t="s">
        <v>6137</v>
      </c>
      <c r="C783">
        <v>39.391100000000002</v>
      </c>
      <c r="D783">
        <v>-88.805499999999995</v>
      </c>
      <c r="E783" t="s">
        <v>7411</v>
      </c>
    </row>
    <row r="784" spans="1:5" hidden="1" x14ac:dyDescent="0.25">
      <c r="A784" t="s">
        <v>6311</v>
      </c>
      <c r="B784" t="s">
        <v>6137</v>
      </c>
      <c r="C784">
        <v>38.470300000000002</v>
      </c>
      <c r="D784">
        <v>-89.928399999999996</v>
      </c>
      <c r="E784" t="s">
        <v>7412</v>
      </c>
    </row>
    <row r="785" spans="1:5" hidden="1" x14ac:dyDescent="0.25">
      <c r="A785" t="s">
        <v>7413</v>
      </c>
      <c r="B785" t="s">
        <v>6137</v>
      </c>
      <c r="C785">
        <v>41.093400000000003</v>
      </c>
      <c r="D785">
        <v>-89.797499999999999</v>
      </c>
      <c r="E785" t="s">
        <v>7414</v>
      </c>
    </row>
    <row r="786" spans="1:5" hidden="1" x14ac:dyDescent="0.25">
      <c r="A786" t="s">
        <v>2044</v>
      </c>
      <c r="B786" t="s">
        <v>6137</v>
      </c>
      <c r="C786">
        <v>42.351799999999997</v>
      </c>
      <c r="D786">
        <v>-89.662300000000002</v>
      </c>
      <c r="E786" t="s">
        <v>7415</v>
      </c>
    </row>
    <row r="787" spans="1:5" hidden="1" x14ac:dyDescent="0.25">
      <c r="A787" t="s">
        <v>7416</v>
      </c>
      <c r="B787" t="s">
        <v>6137</v>
      </c>
      <c r="C787">
        <v>40.5075</v>
      </c>
      <c r="D787">
        <v>-89.513499999999993</v>
      </c>
      <c r="E787" t="s">
        <v>7417</v>
      </c>
    </row>
    <row r="788" spans="1:5" hidden="1" x14ac:dyDescent="0.25">
      <c r="A788" t="s">
        <v>5878</v>
      </c>
      <c r="B788" t="s">
        <v>6137</v>
      </c>
      <c r="C788">
        <v>37.471299999999999</v>
      </c>
      <c r="D788">
        <v>-89.255099999999999</v>
      </c>
      <c r="E788" t="s">
        <v>7418</v>
      </c>
    </row>
    <row r="789" spans="1:5" hidden="1" x14ac:dyDescent="0.25">
      <c r="A789" t="s">
        <v>7419</v>
      </c>
      <c r="B789" t="s">
        <v>6137</v>
      </c>
      <c r="C789">
        <v>40.183399999999999</v>
      </c>
      <c r="D789">
        <v>-87.732799999999997</v>
      </c>
      <c r="E789" t="s">
        <v>7420</v>
      </c>
    </row>
    <row r="790" spans="1:5" hidden="1" x14ac:dyDescent="0.25">
      <c r="A790" t="s">
        <v>7421</v>
      </c>
      <c r="B790" t="s">
        <v>6137</v>
      </c>
      <c r="C790">
        <v>38.446100000000001</v>
      </c>
      <c r="D790">
        <v>-87.844300000000004</v>
      </c>
      <c r="E790" t="s">
        <v>7422</v>
      </c>
    </row>
    <row r="791" spans="1:5" hidden="1" x14ac:dyDescent="0.25">
      <c r="A791" t="s">
        <v>448</v>
      </c>
      <c r="B791" t="s">
        <v>6137</v>
      </c>
      <c r="C791">
        <v>40.848799999999997</v>
      </c>
      <c r="D791">
        <v>-90.614999999999995</v>
      </c>
      <c r="E791" t="s">
        <v>7423</v>
      </c>
    </row>
    <row r="792" spans="1:5" hidden="1" x14ac:dyDescent="0.25">
      <c r="A792" t="s">
        <v>3052</v>
      </c>
      <c r="B792" t="s">
        <v>6137</v>
      </c>
      <c r="C792">
        <v>38.352200000000003</v>
      </c>
      <c r="D792">
        <v>-89.410499999999999</v>
      </c>
      <c r="E792" t="s">
        <v>7424</v>
      </c>
    </row>
    <row r="793" spans="1:5" hidden="1" x14ac:dyDescent="0.25">
      <c r="A793" t="s">
        <v>7057</v>
      </c>
      <c r="B793" t="s">
        <v>6137</v>
      </c>
      <c r="C793">
        <v>38.429600000000001</v>
      </c>
      <c r="D793">
        <v>-88.425600000000003</v>
      </c>
      <c r="E793" t="s">
        <v>7425</v>
      </c>
    </row>
    <row r="794" spans="1:5" hidden="1" x14ac:dyDescent="0.25">
      <c r="A794" t="s">
        <v>1147</v>
      </c>
      <c r="B794" t="s">
        <v>6137</v>
      </c>
      <c r="C794">
        <v>38.087499999999999</v>
      </c>
      <c r="D794">
        <v>-88.179599999999994</v>
      </c>
      <c r="E794" t="s">
        <v>7426</v>
      </c>
    </row>
    <row r="795" spans="1:5" hidden="1" x14ac:dyDescent="0.25">
      <c r="A795" t="s">
        <v>7427</v>
      </c>
      <c r="B795" t="s">
        <v>6137</v>
      </c>
      <c r="C795">
        <v>41.7562</v>
      </c>
      <c r="D795">
        <v>-89.914100000000005</v>
      </c>
      <c r="E795" t="s">
        <v>7428</v>
      </c>
    </row>
    <row r="796" spans="1:5" hidden="1" x14ac:dyDescent="0.25">
      <c r="A796" t="s">
        <v>2376</v>
      </c>
      <c r="B796" t="s">
        <v>6137</v>
      </c>
      <c r="C796">
        <v>41.445</v>
      </c>
      <c r="D796">
        <v>-87.9786</v>
      </c>
      <c r="E796" t="s">
        <v>7429</v>
      </c>
    </row>
    <row r="797" spans="1:5" hidden="1" x14ac:dyDescent="0.25">
      <c r="A797" t="s">
        <v>7430</v>
      </c>
      <c r="B797" t="s">
        <v>6137</v>
      </c>
      <c r="C797">
        <v>37.7303</v>
      </c>
      <c r="D797">
        <v>-88.929900000000004</v>
      </c>
      <c r="E797" t="s">
        <v>7431</v>
      </c>
    </row>
    <row r="798" spans="1:5" hidden="1" x14ac:dyDescent="0.25">
      <c r="A798" t="s">
        <v>7214</v>
      </c>
      <c r="B798" t="s">
        <v>6137</v>
      </c>
      <c r="C798">
        <v>42.336300000000001</v>
      </c>
      <c r="D798">
        <v>-89.160899999999998</v>
      </c>
      <c r="E798" t="s">
        <v>7432</v>
      </c>
    </row>
    <row r="799" spans="1:5" hidden="1" x14ac:dyDescent="0.25">
      <c r="A799" t="s">
        <v>7433</v>
      </c>
      <c r="B799" t="s">
        <v>6137</v>
      </c>
      <c r="C799">
        <v>40.7883</v>
      </c>
      <c r="D799">
        <v>-89.211299999999994</v>
      </c>
      <c r="E799" t="s">
        <v>7434</v>
      </c>
    </row>
    <row r="800" spans="1:5" hidden="1" x14ac:dyDescent="0.25">
      <c r="A800" t="s">
        <v>1324</v>
      </c>
      <c r="B800" t="s">
        <v>6140</v>
      </c>
      <c r="C800">
        <v>40.745699999999999</v>
      </c>
      <c r="D800">
        <v>-84.936700000000002</v>
      </c>
      <c r="E800" t="s">
        <v>7435</v>
      </c>
    </row>
    <row r="801" spans="1:5" hidden="1" x14ac:dyDescent="0.25">
      <c r="A801" t="s">
        <v>523</v>
      </c>
      <c r="B801" t="s">
        <v>6140</v>
      </c>
      <c r="C801">
        <v>41.090899999999998</v>
      </c>
      <c r="D801">
        <v>-85.066500000000005</v>
      </c>
      <c r="E801" t="s">
        <v>7436</v>
      </c>
    </row>
    <row r="802" spans="1:5" hidden="1" x14ac:dyDescent="0.25">
      <c r="A802" t="s">
        <v>7437</v>
      </c>
      <c r="B802" t="s">
        <v>6140</v>
      </c>
      <c r="C802">
        <v>39.206000000000003</v>
      </c>
      <c r="D802">
        <v>-85.897599999999997</v>
      </c>
      <c r="E802" t="s">
        <v>7438</v>
      </c>
    </row>
    <row r="803" spans="1:5" hidden="1" x14ac:dyDescent="0.25">
      <c r="A803" t="s">
        <v>6333</v>
      </c>
      <c r="B803" t="s">
        <v>6140</v>
      </c>
      <c r="C803">
        <v>40.606299999999997</v>
      </c>
      <c r="D803">
        <v>-87.310900000000004</v>
      </c>
      <c r="E803" t="s">
        <v>7439</v>
      </c>
    </row>
    <row r="804" spans="1:5" hidden="1" x14ac:dyDescent="0.25">
      <c r="A804" t="s">
        <v>7440</v>
      </c>
      <c r="B804" t="s">
        <v>6140</v>
      </c>
      <c r="C804">
        <v>40.473599999999998</v>
      </c>
      <c r="D804">
        <v>-85.3249</v>
      </c>
      <c r="E804" t="s">
        <v>7441</v>
      </c>
    </row>
    <row r="805" spans="1:5" hidden="1" x14ac:dyDescent="0.25">
      <c r="A805" t="s">
        <v>6335</v>
      </c>
      <c r="B805" t="s">
        <v>6140</v>
      </c>
      <c r="C805">
        <v>40.050800000000002</v>
      </c>
      <c r="D805">
        <v>-86.468699999999998</v>
      </c>
      <c r="E805" t="s">
        <v>7442</v>
      </c>
    </row>
    <row r="806" spans="1:5" hidden="1" x14ac:dyDescent="0.25">
      <c r="A806" t="s">
        <v>633</v>
      </c>
      <c r="B806" t="s">
        <v>6140</v>
      </c>
      <c r="C806">
        <v>39.196199999999997</v>
      </c>
      <c r="D806">
        <v>-86.227400000000003</v>
      </c>
      <c r="E806" t="s">
        <v>7443</v>
      </c>
    </row>
    <row r="807" spans="1:5" hidden="1" x14ac:dyDescent="0.25">
      <c r="A807" t="s">
        <v>6340</v>
      </c>
      <c r="B807" t="s">
        <v>6140</v>
      </c>
      <c r="C807">
        <v>40.582799999999999</v>
      </c>
      <c r="D807">
        <v>-86.563500000000005</v>
      </c>
      <c r="E807" t="s">
        <v>7444</v>
      </c>
    </row>
    <row r="808" spans="1:5" hidden="1" x14ac:dyDescent="0.25">
      <c r="A808" t="s">
        <v>7103</v>
      </c>
      <c r="B808" t="s">
        <v>6140</v>
      </c>
      <c r="C808">
        <v>40.761499999999998</v>
      </c>
      <c r="D808">
        <v>-86.346000000000004</v>
      </c>
      <c r="E808" t="s">
        <v>7445</v>
      </c>
    </row>
    <row r="809" spans="1:5" hidden="1" x14ac:dyDescent="0.25">
      <c r="A809" t="s">
        <v>174</v>
      </c>
      <c r="B809" t="s">
        <v>6140</v>
      </c>
      <c r="C809">
        <v>38.477200000000003</v>
      </c>
      <c r="D809">
        <v>-85.707300000000004</v>
      </c>
      <c r="E809" t="s">
        <v>7446</v>
      </c>
    </row>
    <row r="810" spans="1:5" hidden="1" x14ac:dyDescent="0.25">
      <c r="A810" t="s">
        <v>6221</v>
      </c>
      <c r="B810" t="s">
        <v>6140</v>
      </c>
      <c r="C810">
        <v>39.392800000000001</v>
      </c>
      <c r="D810">
        <v>-87.115799999999993</v>
      </c>
      <c r="E810" t="s">
        <v>7447</v>
      </c>
    </row>
    <row r="811" spans="1:5" hidden="1" x14ac:dyDescent="0.25">
      <c r="A811" t="s">
        <v>1113</v>
      </c>
      <c r="B811" t="s">
        <v>6140</v>
      </c>
      <c r="C811">
        <v>40.301699999999997</v>
      </c>
      <c r="D811">
        <v>-86.475099999999998</v>
      </c>
      <c r="E811" t="s">
        <v>7448</v>
      </c>
    </row>
    <row r="812" spans="1:5" hidden="1" x14ac:dyDescent="0.25">
      <c r="A812" t="s">
        <v>3776</v>
      </c>
      <c r="B812" t="s">
        <v>6140</v>
      </c>
      <c r="C812">
        <v>38.292400000000001</v>
      </c>
      <c r="D812">
        <v>-86.451700000000002</v>
      </c>
      <c r="E812" t="s">
        <v>7449</v>
      </c>
    </row>
    <row r="813" spans="1:5" hidden="1" x14ac:dyDescent="0.25">
      <c r="A813" t="s">
        <v>7450</v>
      </c>
      <c r="B813" t="s">
        <v>6140</v>
      </c>
      <c r="C813">
        <v>38.702399999999997</v>
      </c>
      <c r="D813">
        <v>-87.072000000000003</v>
      </c>
      <c r="E813" t="s">
        <v>7451</v>
      </c>
    </row>
    <row r="814" spans="1:5" hidden="1" x14ac:dyDescent="0.25">
      <c r="A814" t="s">
        <v>6250</v>
      </c>
      <c r="B814" t="s">
        <v>6140</v>
      </c>
      <c r="C814">
        <v>41.397599999999997</v>
      </c>
      <c r="D814">
        <v>-84.999099999999999</v>
      </c>
      <c r="E814" t="s">
        <v>7452</v>
      </c>
    </row>
    <row r="815" spans="1:5" hidden="1" x14ac:dyDescent="0.25">
      <c r="A815" t="s">
        <v>7453</v>
      </c>
      <c r="B815" t="s">
        <v>6140</v>
      </c>
      <c r="C815">
        <v>39.145200000000003</v>
      </c>
      <c r="D815">
        <v>-84.973200000000006</v>
      </c>
      <c r="E815" t="s">
        <v>7454</v>
      </c>
    </row>
    <row r="816" spans="1:5" hidden="1" x14ac:dyDescent="0.25">
      <c r="A816" t="s">
        <v>6901</v>
      </c>
      <c r="B816" t="s">
        <v>6140</v>
      </c>
      <c r="C816">
        <v>39.307000000000002</v>
      </c>
      <c r="D816">
        <v>-85.501099999999994</v>
      </c>
      <c r="E816" t="s">
        <v>7455</v>
      </c>
    </row>
    <row r="817" spans="1:5" hidden="1" x14ac:dyDescent="0.25">
      <c r="A817" t="s">
        <v>3512</v>
      </c>
      <c r="B817" t="s">
        <v>6140</v>
      </c>
      <c r="C817">
        <v>40.227499999999999</v>
      </c>
      <c r="D817">
        <v>-85.396900000000002</v>
      </c>
      <c r="E817" t="s">
        <v>7456</v>
      </c>
    </row>
    <row r="818" spans="1:5" hidden="1" x14ac:dyDescent="0.25">
      <c r="A818" t="s">
        <v>7457</v>
      </c>
      <c r="B818" t="s">
        <v>6140</v>
      </c>
      <c r="C818">
        <v>38.3643</v>
      </c>
      <c r="D818">
        <v>-86.879800000000003</v>
      </c>
      <c r="E818" t="s">
        <v>7458</v>
      </c>
    </row>
    <row r="819" spans="1:5" hidden="1" x14ac:dyDescent="0.25">
      <c r="A819" t="s">
        <v>7459</v>
      </c>
      <c r="B819" t="s">
        <v>6140</v>
      </c>
      <c r="C819">
        <v>41.5974</v>
      </c>
      <c r="D819">
        <v>-85.858699999999999</v>
      </c>
      <c r="E819" t="s">
        <v>7460</v>
      </c>
    </row>
    <row r="820" spans="1:5" hidden="1" x14ac:dyDescent="0.25">
      <c r="A820" t="s">
        <v>6258</v>
      </c>
      <c r="B820" t="s">
        <v>6140</v>
      </c>
      <c r="C820">
        <v>39.64</v>
      </c>
      <c r="D820">
        <v>-85.178799999999995</v>
      </c>
      <c r="E820" t="s">
        <v>7461</v>
      </c>
    </row>
    <row r="821" spans="1:5" hidden="1" x14ac:dyDescent="0.25">
      <c r="A821" t="s">
        <v>1320</v>
      </c>
      <c r="B821" t="s">
        <v>6140</v>
      </c>
      <c r="C821">
        <v>38.3187</v>
      </c>
      <c r="D821">
        <v>-85.906999999999996</v>
      </c>
      <c r="E821" t="s">
        <v>7462</v>
      </c>
    </row>
    <row r="822" spans="1:5" hidden="1" x14ac:dyDescent="0.25">
      <c r="A822" t="s">
        <v>2293</v>
      </c>
      <c r="B822" t="s">
        <v>6140</v>
      </c>
      <c r="C822">
        <v>40.120899999999999</v>
      </c>
      <c r="D822">
        <v>-87.242000000000004</v>
      </c>
      <c r="E822" t="s">
        <v>7463</v>
      </c>
    </row>
    <row r="823" spans="1:5" hidden="1" x14ac:dyDescent="0.25">
      <c r="A823" t="s">
        <v>6260</v>
      </c>
      <c r="B823" t="s">
        <v>6140</v>
      </c>
      <c r="C823">
        <v>39.414900000000003</v>
      </c>
      <c r="D823">
        <v>-85.060199999999995</v>
      </c>
      <c r="E823" t="s">
        <v>7464</v>
      </c>
    </row>
    <row r="824" spans="1:5" hidden="1" x14ac:dyDescent="0.25">
      <c r="A824" t="s">
        <v>6366</v>
      </c>
      <c r="B824" t="s">
        <v>6140</v>
      </c>
      <c r="C824">
        <v>41.046999999999997</v>
      </c>
      <c r="D824">
        <v>-86.263499999999993</v>
      </c>
      <c r="E824" t="s">
        <v>7465</v>
      </c>
    </row>
    <row r="825" spans="1:5" hidden="1" x14ac:dyDescent="0.25">
      <c r="A825" t="s">
        <v>2982</v>
      </c>
      <c r="B825" t="s">
        <v>6140</v>
      </c>
      <c r="C825">
        <v>38.311900000000001</v>
      </c>
      <c r="D825">
        <v>-87.584599999999995</v>
      </c>
      <c r="E825" t="s">
        <v>7466</v>
      </c>
    </row>
    <row r="826" spans="1:5" hidden="1" x14ac:dyDescent="0.25">
      <c r="A826" t="s">
        <v>4593</v>
      </c>
      <c r="B826" t="s">
        <v>6140</v>
      </c>
      <c r="C826">
        <v>40.515799999999999</v>
      </c>
      <c r="D826">
        <v>-85.654700000000005</v>
      </c>
      <c r="E826" t="s">
        <v>7467</v>
      </c>
    </row>
    <row r="827" spans="1:5" hidden="1" x14ac:dyDescent="0.25">
      <c r="A827" t="s">
        <v>6264</v>
      </c>
      <c r="B827" t="s">
        <v>6140</v>
      </c>
      <c r="C827">
        <v>39.0364</v>
      </c>
      <c r="D827">
        <v>-86.962100000000007</v>
      </c>
      <c r="E827" t="s">
        <v>7468</v>
      </c>
    </row>
    <row r="828" spans="1:5" hidden="1" x14ac:dyDescent="0.25">
      <c r="A828" t="s">
        <v>6761</v>
      </c>
      <c r="B828" t="s">
        <v>6140</v>
      </c>
      <c r="C828">
        <v>40.072499999999998</v>
      </c>
      <c r="D828">
        <v>-86.052000000000007</v>
      </c>
      <c r="E828" t="s">
        <v>7469</v>
      </c>
    </row>
    <row r="829" spans="1:5" hidden="1" x14ac:dyDescent="0.25">
      <c r="A829" t="s">
        <v>1216</v>
      </c>
      <c r="B829" t="s">
        <v>6140</v>
      </c>
      <c r="C829">
        <v>39.823599999999999</v>
      </c>
      <c r="D829">
        <v>-85.773300000000006</v>
      </c>
      <c r="E829" t="s">
        <v>7470</v>
      </c>
    </row>
    <row r="830" spans="1:5" hidden="1" x14ac:dyDescent="0.25">
      <c r="A830" t="s">
        <v>1623</v>
      </c>
      <c r="B830" t="s">
        <v>6140</v>
      </c>
      <c r="C830">
        <v>38.195099999999996</v>
      </c>
      <c r="D830">
        <v>-86.111500000000007</v>
      </c>
      <c r="E830" t="s">
        <v>7471</v>
      </c>
    </row>
    <row r="831" spans="1:5" hidden="1" x14ac:dyDescent="0.25">
      <c r="A831" t="s">
        <v>7472</v>
      </c>
      <c r="B831" t="s">
        <v>6140</v>
      </c>
      <c r="C831">
        <v>39.769500000000001</v>
      </c>
      <c r="D831">
        <v>-86.51</v>
      </c>
      <c r="E831" t="s">
        <v>7473</v>
      </c>
    </row>
    <row r="832" spans="1:5" hidden="1" x14ac:dyDescent="0.25">
      <c r="A832" t="s">
        <v>334</v>
      </c>
      <c r="B832" t="s">
        <v>6140</v>
      </c>
      <c r="C832">
        <v>39.931100000000001</v>
      </c>
      <c r="D832">
        <v>-85.3964</v>
      </c>
      <c r="E832" t="s">
        <v>7474</v>
      </c>
    </row>
    <row r="833" spans="1:5" hidden="1" x14ac:dyDescent="0.25">
      <c r="A833" t="s">
        <v>793</v>
      </c>
      <c r="B833" t="s">
        <v>6140</v>
      </c>
      <c r="C833">
        <v>40.483600000000003</v>
      </c>
      <c r="D833">
        <v>-86.116900000000001</v>
      </c>
      <c r="E833" t="s">
        <v>7475</v>
      </c>
    </row>
    <row r="834" spans="1:5" hidden="1" x14ac:dyDescent="0.25">
      <c r="A834" t="s">
        <v>2648</v>
      </c>
      <c r="B834" t="s">
        <v>6140</v>
      </c>
      <c r="C834">
        <v>40.8292</v>
      </c>
      <c r="D834">
        <v>-85.488100000000003</v>
      </c>
      <c r="E834" t="s">
        <v>7476</v>
      </c>
    </row>
    <row r="835" spans="1:5" hidden="1" x14ac:dyDescent="0.25">
      <c r="A835" t="s">
        <v>191</v>
      </c>
      <c r="B835" t="s">
        <v>6140</v>
      </c>
      <c r="C835">
        <v>38.906399999999998</v>
      </c>
      <c r="D835">
        <v>-86.037499999999994</v>
      </c>
      <c r="E835" t="s">
        <v>7477</v>
      </c>
    </row>
    <row r="836" spans="1:5" hidden="1" x14ac:dyDescent="0.25">
      <c r="A836" t="s">
        <v>2108</v>
      </c>
      <c r="B836" t="s">
        <v>6140</v>
      </c>
      <c r="C836">
        <v>41.023000000000003</v>
      </c>
      <c r="D836">
        <v>-87.116100000000003</v>
      </c>
      <c r="E836" t="s">
        <v>7478</v>
      </c>
    </row>
    <row r="837" spans="1:5" hidden="1" x14ac:dyDescent="0.25">
      <c r="A837" t="s">
        <v>7479</v>
      </c>
      <c r="B837" t="s">
        <v>6140</v>
      </c>
      <c r="C837">
        <v>40.437899999999999</v>
      </c>
      <c r="D837">
        <v>-85.005600000000001</v>
      </c>
      <c r="E837" t="s">
        <v>7480</v>
      </c>
    </row>
    <row r="838" spans="1:5" hidden="1" x14ac:dyDescent="0.25">
      <c r="A838" t="s">
        <v>6272</v>
      </c>
      <c r="B838" t="s">
        <v>6140</v>
      </c>
      <c r="C838">
        <v>38.785800000000002</v>
      </c>
      <c r="D838">
        <v>-85.438599999999994</v>
      </c>
      <c r="E838" t="s">
        <v>7481</v>
      </c>
    </row>
    <row r="839" spans="1:5" hidden="1" x14ac:dyDescent="0.25">
      <c r="A839" t="s">
        <v>7482</v>
      </c>
      <c r="B839" t="s">
        <v>6140</v>
      </c>
      <c r="C839">
        <v>38.996899999999997</v>
      </c>
      <c r="D839">
        <v>-85.628</v>
      </c>
      <c r="E839" t="s">
        <v>7483</v>
      </c>
    </row>
    <row r="840" spans="1:5" hidden="1" x14ac:dyDescent="0.25">
      <c r="A840" t="s">
        <v>37</v>
      </c>
      <c r="B840" t="s">
        <v>6140</v>
      </c>
      <c r="C840">
        <v>39.49</v>
      </c>
      <c r="D840">
        <v>-86.101600000000005</v>
      </c>
      <c r="E840" t="s">
        <v>7484</v>
      </c>
    </row>
    <row r="841" spans="1:5" hidden="1" x14ac:dyDescent="0.25">
      <c r="A841" t="s">
        <v>7357</v>
      </c>
      <c r="B841" t="s">
        <v>6140</v>
      </c>
      <c r="C841">
        <v>38.689100000000003</v>
      </c>
      <c r="D841">
        <v>-87.418000000000006</v>
      </c>
      <c r="E841" t="s">
        <v>7485</v>
      </c>
    </row>
    <row r="842" spans="1:5" hidden="1" x14ac:dyDescent="0.25">
      <c r="A842" t="s">
        <v>7486</v>
      </c>
      <c r="B842" t="s">
        <v>6140</v>
      </c>
      <c r="C842">
        <v>41.244100000000003</v>
      </c>
      <c r="D842">
        <v>-85.860699999999994</v>
      </c>
      <c r="E842" t="s">
        <v>7487</v>
      </c>
    </row>
    <row r="843" spans="1:5" hidden="1" x14ac:dyDescent="0.25">
      <c r="A843" t="s">
        <v>7488</v>
      </c>
      <c r="B843" t="s">
        <v>6140</v>
      </c>
      <c r="C843">
        <v>41.642600000000002</v>
      </c>
      <c r="D843">
        <v>-85.426500000000004</v>
      </c>
      <c r="E843" t="s">
        <v>7489</v>
      </c>
    </row>
    <row r="844" spans="1:5" hidden="1" x14ac:dyDescent="0.25">
      <c r="A844" t="s">
        <v>7490</v>
      </c>
      <c r="B844" t="s">
        <v>6140</v>
      </c>
      <c r="C844">
        <v>41.545999999999999</v>
      </c>
      <c r="D844">
        <v>-86.74</v>
      </c>
      <c r="E844" t="s">
        <v>7491</v>
      </c>
    </row>
    <row r="845" spans="1:5" hidden="1" x14ac:dyDescent="0.25">
      <c r="A845" t="s">
        <v>3705</v>
      </c>
      <c r="B845" t="s">
        <v>6140</v>
      </c>
      <c r="C845">
        <v>41.416699999999999</v>
      </c>
      <c r="D845">
        <v>-87.382099999999994</v>
      </c>
      <c r="E845" t="s">
        <v>7492</v>
      </c>
    </row>
    <row r="846" spans="1:5" hidden="1" x14ac:dyDescent="0.25">
      <c r="A846" t="s">
        <v>492</v>
      </c>
      <c r="B846" t="s">
        <v>6140</v>
      </c>
      <c r="C846">
        <v>38.841200000000001</v>
      </c>
      <c r="D846">
        <v>-86.483400000000003</v>
      </c>
      <c r="E846" t="s">
        <v>7493</v>
      </c>
    </row>
    <row r="847" spans="1:5" hidden="1" x14ac:dyDescent="0.25">
      <c r="A847" t="s">
        <v>6286</v>
      </c>
      <c r="B847" t="s">
        <v>6140</v>
      </c>
      <c r="C847">
        <v>40.1616</v>
      </c>
      <c r="D847">
        <v>-85.719399999999993</v>
      </c>
      <c r="E847" t="s">
        <v>7494</v>
      </c>
    </row>
    <row r="848" spans="1:5" hidden="1" x14ac:dyDescent="0.25">
      <c r="A848" t="s">
        <v>6290</v>
      </c>
      <c r="B848" t="s">
        <v>6140</v>
      </c>
      <c r="C848">
        <v>39.781700000000001</v>
      </c>
      <c r="D848">
        <v>-86.138499999999993</v>
      </c>
      <c r="E848" t="s">
        <v>7495</v>
      </c>
    </row>
    <row r="849" spans="1:5" hidden="1" x14ac:dyDescent="0.25">
      <c r="A849" t="s">
        <v>1391</v>
      </c>
      <c r="B849" t="s">
        <v>6140</v>
      </c>
      <c r="C849">
        <v>41.324800000000003</v>
      </c>
      <c r="D849">
        <v>-86.261799999999994</v>
      </c>
      <c r="E849" t="s">
        <v>7496</v>
      </c>
    </row>
    <row r="850" spans="1:5" hidden="1" x14ac:dyDescent="0.25">
      <c r="A850" t="s">
        <v>2429</v>
      </c>
      <c r="B850" t="s">
        <v>6140</v>
      </c>
      <c r="C850">
        <v>38.707999999999998</v>
      </c>
      <c r="D850">
        <v>-86.803100000000001</v>
      </c>
      <c r="E850" t="s">
        <v>7497</v>
      </c>
    </row>
    <row r="851" spans="1:5" hidden="1" x14ac:dyDescent="0.25">
      <c r="A851" t="s">
        <v>7498</v>
      </c>
      <c r="B851" t="s">
        <v>6140</v>
      </c>
      <c r="C851">
        <v>40.769500000000001</v>
      </c>
      <c r="D851">
        <v>-86.045000000000002</v>
      </c>
      <c r="E851" t="s">
        <v>7499</v>
      </c>
    </row>
    <row r="852" spans="1:5" hidden="1" x14ac:dyDescent="0.25">
      <c r="A852" t="s">
        <v>6295</v>
      </c>
      <c r="B852" t="s">
        <v>6140</v>
      </c>
      <c r="C852">
        <v>39.160899999999998</v>
      </c>
      <c r="D852">
        <v>-86.523099999999999</v>
      </c>
      <c r="E852" t="s">
        <v>7500</v>
      </c>
    </row>
    <row r="853" spans="1:5" hidden="1" x14ac:dyDescent="0.25">
      <c r="A853" t="s">
        <v>6297</v>
      </c>
      <c r="B853" t="s">
        <v>6140</v>
      </c>
      <c r="C853">
        <v>40.040399999999998</v>
      </c>
      <c r="D853">
        <v>-86.893299999999996</v>
      </c>
      <c r="E853" t="s">
        <v>7501</v>
      </c>
    </row>
    <row r="854" spans="1:5" hidden="1" x14ac:dyDescent="0.25">
      <c r="A854" t="s">
        <v>496</v>
      </c>
      <c r="B854" t="s">
        <v>6140</v>
      </c>
      <c r="C854">
        <v>39.4816</v>
      </c>
      <c r="D854">
        <v>-86.446200000000005</v>
      </c>
      <c r="E854" t="s">
        <v>7502</v>
      </c>
    </row>
    <row r="855" spans="1:5" hidden="1" x14ac:dyDescent="0.25">
      <c r="A855" t="s">
        <v>3078</v>
      </c>
      <c r="B855" t="s">
        <v>6140</v>
      </c>
      <c r="C855">
        <v>40.955800000000004</v>
      </c>
      <c r="D855">
        <v>-87.397599999999997</v>
      </c>
      <c r="E855" t="s">
        <v>7503</v>
      </c>
    </row>
    <row r="856" spans="1:5" hidden="1" x14ac:dyDescent="0.25">
      <c r="A856" t="s">
        <v>7504</v>
      </c>
      <c r="B856" t="s">
        <v>6140</v>
      </c>
      <c r="C856">
        <v>41.398600000000002</v>
      </c>
      <c r="D856">
        <v>-85.417500000000004</v>
      </c>
      <c r="E856" t="s">
        <v>7505</v>
      </c>
    </row>
    <row r="857" spans="1:5" hidden="1" x14ac:dyDescent="0.25">
      <c r="A857" t="s">
        <v>7506</v>
      </c>
      <c r="B857" t="s">
        <v>6140</v>
      </c>
      <c r="C857">
        <v>38.950099999999999</v>
      </c>
      <c r="D857">
        <v>-84.965199999999996</v>
      </c>
      <c r="E857" t="s">
        <v>7507</v>
      </c>
    </row>
    <row r="858" spans="1:5" hidden="1" x14ac:dyDescent="0.25">
      <c r="A858" t="s">
        <v>6526</v>
      </c>
      <c r="B858" t="s">
        <v>6140</v>
      </c>
      <c r="C858">
        <v>38.541800000000002</v>
      </c>
      <c r="D858">
        <v>-86.495000000000005</v>
      </c>
      <c r="E858" t="s">
        <v>7508</v>
      </c>
    </row>
    <row r="859" spans="1:5" hidden="1" x14ac:dyDescent="0.25">
      <c r="A859" t="s">
        <v>7509</v>
      </c>
      <c r="B859" t="s">
        <v>6140</v>
      </c>
      <c r="C859">
        <v>39.312800000000003</v>
      </c>
      <c r="D859">
        <v>-86.837699999999998</v>
      </c>
      <c r="E859" t="s">
        <v>7510</v>
      </c>
    </row>
    <row r="860" spans="1:5" hidden="1" x14ac:dyDescent="0.25">
      <c r="A860" t="s">
        <v>7511</v>
      </c>
      <c r="B860" t="s">
        <v>6140</v>
      </c>
      <c r="C860">
        <v>39.773600000000002</v>
      </c>
      <c r="D860">
        <v>-87.206400000000002</v>
      </c>
      <c r="E860" t="s">
        <v>7512</v>
      </c>
    </row>
    <row r="861" spans="1:5" hidden="1" x14ac:dyDescent="0.25">
      <c r="A861" t="s">
        <v>1641</v>
      </c>
      <c r="B861" t="s">
        <v>6140</v>
      </c>
      <c r="C861">
        <v>38.079599999999999</v>
      </c>
      <c r="D861">
        <v>-86.638000000000005</v>
      </c>
      <c r="E861" t="s">
        <v>7513</v>
      </c>
    </row>
    <row r="862" spans="1:5" hidden="1" x14ac:dyDescent="0.25">
      <c r="A862" t="s">
        <v>6303</v>
      </c>
      <c r="B862" t="s">
        <v>6140</v>
      </c>
      <c r="C862">
        <v>38.398800000000001</v>
      </c>
      <c r="D862">
        <v>-87.232200000000006</v>
      </c>
      <c r="E862" t="s">
        <v>7514</v>
      </c>
    </row>
    <row r="863" spans="1:5" hidden="1" x14ac:dyDescent="0.25">
      <c r="A863" t="s">
        <v>7515</v>
      </c>
      <c r="B863" t="s">
        <v>6140</v>
      </c>
      <c r="C863">
        <v>41.460299999999997</v>
      </c>
      <c r="D863">
        <v>-87.0672</v>
      </c>
      <c r="E863" t="s">
        <v>7516</v>
      </c>
    </row>
    <row r="864" spans="1:5" hidden="1" x14ac:dyDescent="0.25">
      <c r="A864" t="s">
        <v>7517</v>
      </c>
      <c r="B864" t="s">
        <v>6140</v>
      </c>
      <c r="C864">
        <v>38.021799999999999</v>
      </c>
      <c r="D864">
        <v>-87.868499999999997</v>
      </c>
      <c r="E864" t="s">
        <v>7518</v>
      </c>
    </row>
    <row r="865" spans="1:5" hidden="1" x14ac:dyDescent="0.25">
      <c r="A865" t="s">
        <v>6416</v>
      </c>
      <c r="B865" t="s">
        <v>6140</v>
      </c>
      <c r="C865">
        <v>41.041899999999998</v>
      </c>
      <c r="D865">
        <v>-86.698800000000006</v>
      </c>
      <c r="E865" t="s">
        <v>7519</v>
      </c>
    </row>
    <row r="866" spans="1:5" hidden="1" x14ac:dyDescent="0.25">
      <c r="A866" t="s">
        <v>6810</v>
      </c>
      <c r="B866" t="s">
        <v>6140</v>
      </c>
      <c r="C866">
        <v>39.6663</v>
      </c>
      <c r="D866">
        <v>-86.844999999999999</v>
      </c>
      <c r="E866" t="s">
        <v>7520</v>
      </c>
    </row>
    <row r="867" spans="1:5" hidden="1" x14ac:dyDescent="0.25">
      <c r="A867" t="s">
        <v>6305</v>
      </c>
      <c r="B867" t="s">
        <v>6140</v>
      </c>
      <c r="C867">
        <v>40.157600000000002</v>
      </c>
      <c r="D867">
        <v>-85.011300000000006</v>
      </c>
      <c r="E867" t="s">
        <v>7521</v>
      </c>
    </row>
    <row r="868" spans="1:5" hidden="1" x14ac:dyDescent="0.25">
      <c r="A868" t="s">
        <v>7522</v>
      </c>
      <c r="B868" t="s">
        <v>6140</v>
      </c>
      <c r="C868">
        <v>39.103499999999997</v>
      </c>
      <c r="D868">
        <v>-85.2624</v>
      </c>
      <c r="E868" t="s">
        <v>7523</v>
      </c>
    </row>
    <row r="869" spans="1:5" hidden="1" x14ac:dyDescent="0.25">
      <c r="A869" t="s">
        <v>7524</v>
      </c>
      <c r="B869" t="s">
        <v>6140</v>
      </c>
      <c r="C869">
        <v>39.619999999999997</v>
      </c>
      <c r="D869">
        <v>-85.465800000000002</v>
      </c>
      <c r="E869" t="s">
        <v>7525</v>
      </c>
    </row>
    <row r="870" spans="1:5" hidden="1" x14ac:dyDescent="0.25">
      <c r="A870" t="s">
        <v>5291</v>
      </c>
      <c r="B870" t="s">
        <v>6140</v>
      </c>
      <c r="C870">
        <v>38.685099999999998</v>
      </c>
      <c r="D870">
        <v>-85.747500000000002</v>
      </c>
      <c r="E870" t="s">
        <v>7526</v>
      </c>
    </row>
    <row r="871" spans="1:5" hidden="1" x14ac:dyDescent="0.25">
      <c r="A871" t="s">
        <v>6309</v>
      </c>
      <c r="B871" t="s">
        <v>6140</v>
      </c>
      <c r="C871">
        <v>39.523699999999998</v>
      </c>
      <c r="D871">
        <v>-85.791700000000006</v>
      </c>
      <c r="E871" t="s">
        <v>7527</v>
      </c>
    </row>
    <row r="872" spans="1:5" hidden="1" x14ac:dyDescent="0.25">
      <c r="A872" t="s">
        <v>1672</v>
      </c>
      <c r="B872" t="s">
        <v>6140</v>
      </c>
      <c r="C872">
        <v>38.014099999999999</v>
      </c>
      <c r="D872">
        <v>-87.0077</v>
      </c>
      <c r="E872" t="s">
        <v>7528</v>
      </c>
    </row>
    <row r="873" spans="1:5" hidden="1" x14ac:dyDescent="0.25">
      <c r="A873" t="s">
        <v>7529</v>
      </c>
      <c r="B873" t="s">
        <v>6140</v>
      </c>
      <c r="C873">
        <v>41.616700000000002</v>
      </c>
      <c r="D873">
        <v>-86.289900000000003</v>
      </c>
      <c r="E873" t="s">
        <v>7530</v>
      </c>
    </row>
    <row r="874" spans="1:5" hidden="1" x14ac:dyDescent="0.25">
      <c r="A874" t="s">
        <v>7531</v>
      </c>
      <c r="B874" t="s">
        <v>6140</v>
      </c>
      <c r="C874">
        <v>41.280900000000003</v>
      </c>
      <c r="D874">
        <v>-86.647599999999997</v>
      </c>
      <c r="E874" t="s">
        <v>7532</v>
      </c>
    </row>
    <row r="875" spans="1:5" hidden="1" x14ac:dyDescent="0.25">
      <c r="A875" t="s">
        <v>7533</v>
      </c>
      <c r="B875" t="s">
        <v>6140</v>
      </c>
      <c r="C875">
        <v>41.643900000000002</v>
      </c>
      <c r="D875">
        <v>-85.000799999999998</v>
      </c>
      <c r="E875" t="s">
        <v>7534</v>
      </c>
    </row>
    <row r="876" spans="1:5" hidden="1" x14ac:dyDescent="0.25">
      <c r="A876" t="s">
        <v>3228</v>
      </c>
      <c r="B876" t="s">
        <v>6140</v>
      </c>
      <c r="C876">
        <v>39.088900000000002</v>
      </c>
      <c r="D876">
        <v>-87.414699999999996</v>
      </c>
      <c r="E876" t="s">
        <v>7535</v>
      </c>
    </row>
    <row r="877" spans="1:5" hidden="1" x14ac:dyDescent="0.25">
      <c r="A877" t="s">
        <v>7536</v>
      </c>
      <c r="B877" t="s">
        <v>6140</v>
      </c>
      <c r="C877">
        <v>38.8262</v>
      </c>
      <c r="D877">
        <v>-85.036900000000003</v>
      </c>
      <c r="E877" t="s">
        <v>7537</v>
      </c>
    </row>
    <row r="878" spans="1:5" hidden="1" x14ac:dyDescent="0.25">
      <c r="A878" t="s">
        <v>7538</v>
      </c>
      <c r="B878" t="s">
        <v>6140</v>
      </c>
      <c r="C878">
        <v>40.388599999999997</v>
      </c>
      <c r="D878">
        <v>-86.894099999999995</v>
      </c>
      <c r="E878" t="s">
        <v>7539</v>
      </c>
    </row>
    <row r="879" spans="1:5" hidden="1" x14ac:dyDescent="0.25">
      <c r="A879" t="s">
        <v>7540</v>
      </c>
      <c r="B879" t="s">
        <v>6140</v>
      </c>
      <c r="C879">
        <v>40.311300000000003</v>
      </c>
      <c r="D879">
        <v>-86.051900000000003</v>
      </c>
      <c r="E879" t="s">
        <v>7541</v>
      </c>
    </row>
    <row r="880" spans="1:5" hidden="1" x14ac:dyDescent="0.25">
      <c r="A880" t="s">
        <v>5878</v>
      </c>
      <c r="B880" t="s">
        <v>6140</v>
      </c>
      <c r="C880">
        <v>39.625599999999999</v>
      </c>
      <c r="D880">
        <v>-84.925200000000004</v>
      </c>
      <c r="E880" t="s">
        <v>7542</v>
      </c>
    </row>
    <row r="881" spans="1:5" hidden="1" x14ac:dyDescent="0.25">
      <c r="A881" t="s">
        <v>7543</v>
      </c>
      <c r="B881" t="s">
        <v>6140</v>
      </c>
      <c r="C881">
        <v>38.024900000000002</v>
      </c>
      <c r="D881">
        <v>-87.585899999999995</v>
      </c>
      <c r="E881" t="s">
        <v>7544</v>
      </c>
    </row>
    <row r="882" spans="1:5" hidden="1" x14ac:dyDescent="0.25">
      <c r="A882" t="s">
        <v>7545</v>
      </c>
      <c r="B882" t="s">
        <v>6140</v>
      </c>
      <c r="C882">
        <v>39.8538</v>
      </c>
      <c r="D882">
        <v>-87.463999999999999</v>
      </c>
      <c r="E882" t="s">
        <v>7546</v>
      </c>
    </row>
    <row r="883" spans="1:5" hidden="1" x14ac:dyDescent="0.25">
      <c r="A883" t="s">
        <v>1088</v>
      </c>
      <c r="B883" t="s">
        <v>6140</v>
      </c>
      <c r="C883">
        <v>39.430599999999998</v>
      </c>
      <c r="D883">
        <v>-87.39</v>
      </c>
      <c r="E883" t="s">
        <v>7547</v>
      </c>
    </row>
    <row r="884" spans="1:5" hidden="1" x14ac:dyDescent="0.25">
      <c r="A884" t="s">
        <v>7421</v>
      </c>
      <c r="B884" t="s">
        <v>6140</v>
      </c>
      <c r="C884">
        <v>40.845700000000001</v>
      </c>
      <c r="D884">
        <v>-85.793999999999997</v>
      </c>
      <c r="E884" t="s">
        <v>7548</v>
      </c>
    </row>
    <row r="885" spans="1:5" hidden="1" x14ac:dyDescent="0.25">
      <c r="A885" t="s">
        <v>448</v>
      </c>
      <c r="B885" t="s">
        <v>6140</v>
      </c>
      <c r="C885">
        <v>40.346899999999998</v>
      </c>
      <c r="D885">
        <v>-87.353300000000004</v>
      </c>
      <c r="E885" t="s">
        <v>7549</v>
      </c>
    </row>
    <row r="886" spans="1:5" hidden="1" x14ac:dyDescent="0.25">
      <c r="A886" t="s">
        <v>7550</v>
      </c>
      <c r="B886" t="s">
        <v>6140</v>
      </c>
      <c r="C886">
        <v>38.092199999999998</v>
      </c>
      <c r="D886">
        <v>-87.272099999999995</v>
      </c>
      <c r="E886" t="s">
        <v>7551</v>
      </c>
    </row>
    <row r="887" spans="1:5" hidden="1" x14ac:dyDescent="0.25">
      <c r="A887" t="s">
        <v>3052</v>
      </c>
      <c r="B887" t="s">
        <v>6140</v>
      </c>
      <c r="C887">
        <v>38.6</v>
      </c>
      <c r="D887">
        <v>-86.1053</v>
      </c>
      <c r="E887" t="s">
        <v>7552</v>
      </c>
    </row>
    <row r="888" spans="1:5" hidden="1" x14ac:dyDescent="0.25">
      <c r="A888" t="s">
        <v>7057</v>
      </c>
      <c r="B888" t="s">
        <v>6140</v>
      </c>
      <c r="C888">
        <v>39.864400000000003</v>
      </c>
      <c r="D888">
        <v>-85.009900000000002</v>
      </c>
      <c r="E888" t="s">
        <v>7553</v>
      </c>
    </row>
    <row r="889" spans="1:5" hidden="1" x14ac:dyDescent="0.25">
      <c r="A889" t="s">
        <v>2133</v>
      </c>
      <c r="B889" t="s">
        <v>6140</v>
      </c>
      <c r="C889">
        <v>40.729300000000002</v>
      </c>
      <c r="D889">
        <v>-85.221199999999996</v>
      </c>
      <c r="E889" t="s">
        <v>7554</v>
      </c>
    </row>
    <row r="890" spans="1:5" hidden="1" x14ac:dyDescent="0.25">
      <c r="A890" t="s">
        <v>1147</v>
      </c>
      <c r="B890" t="s">
        <v>6140</v>
      </c>
      <c r="C890">
        <v>40.7498</v>
      </c>
      <c r="D890">
        <v>-86.865499999999997</v>
      </c>
      <c r="E890" t="s">
        <v>7555</v>
      </c>
    </row>
    <row r="891" spans="1:5" hidden="1" x14ac:dyDescent="0.25">
      <c r="A891" t="s">
        <v>7556</v>
      </c>
      <c r="B891" t="s">
        <v>6140</v>
      </c>
      <c r="C891">
        <v>41.139400000000002</v>
      </c>
      <c r="D891">
        <v>-85.505099999999999</v>
      </c>
      <c r="E891" t="s">
        <v>7557</v>
      </c>
    </row>
    <row r="892" spans="1:5" hidden="1" x14ac:dyDescent="0.25">
      <c r="A892" t="s">
        <v>523</v>
      </c>
      <c r="B892" t="s">
        <v>6143</v>
      </c>
      <c r="C892">
        <v>37.8857</v>
      </c>
      <c r="D892">
        <v>-95.301400000000001</v>
      </c>
      <c r="E892" t="s">
        <v>7558</v>
      </c>
    </row>
    <row r="893" spans="1:5" hidden="1" x14ac:dyDescent="0.25">
      <c r="A893" t="s">
        <v>646</v>
      </c>
      <c r="B893" t="s">
        <v>6143</v>
      </c>
      <c r="C893">
        <v>38.214199999999998</v>
      </c>
      <c r="D893">
        <v>-95.293300000000002</v>
      </c>
      <c r="E893" t="s">
        <v>7559</v>
      </c>
    </row>
    <row r="894" spans="1:5" hidden="1" x14ac:dyDescent="0.25">
      <c r="A894" t="s">
        <v>7560</v>
      </c>
      <c r="B894" t="s">
        <v>6143</v>
      </c>
      <c r="C894">
        <v>39.531799999999997</v>
      </c>
      <c r="D894">
        <v>-95.313500000000005</v>
      </c>
      <c r="E894" t="s">
        <v>7561</v>
      </c>
    </row>
    <row r="895" spans="1:5" hidden="1" x14ac:dyDescent="0.25">
      <c r="A895" t="s">
        <v>616</v>
      </c>
      <c r="B895" t="s">
        <v>6143</v>
      </c>
      <c r="C895">
        <v>37.228900000000003</v>
      </c>
      <c r="D895">
        <v>-98.684799999999996</v>
      </c>
      <c r="E895" t="s">
        <v>7562</v>
      </c>
    </row>
    <row r="896" spans="1:5" hidden="1" x14ac:dyDescent="0.25">
      <c r="A896" t="s">
        <v>7563</v>
      </c>
      <c r="B896" t="s">
        <v>6143</v>
      </c>
      <c r="C896">
        <v>38.478999999999999</v>
      </c>
      <c r="D896">
        <v>-98.756500000000003</v>
      </c>
      <c r="E896" t="s">
        <v>7564</v>
      </c>
    </row>
    <row r="897" spans="1:5" hidden="1" x14ac:dyDescent="0.25">
      <c r="A897" t="s">
        <v>7565</v>
      </c>
      <c r="B897" t="s">
        <v>6143</v>
      </c>
      <c r="C897">
        <v>37.855200000000004</v>
      </c>
      <c r="D897">
        <v>-94.849299999999999</v>
      </c>
      <c r="E897" t="s">
        <v>7566</v>
      </c>
    </row>
    <row r="898" spans="1:5" hidden="1" x14ac:dyDescent="0.25">
      <c r="A898" t="s">
        <v>633</v>
      </c>
      <c r="B898" t="s">
        <v>6143</v>
      </c>
      <c r="C898">
        <v>39.826500000000003</v>
      </c>
      <c r="D898">
        <v>-95.5642</v>
      </c>
      <c r="E898" t="s">
        <v>7567</v>
      </c>
    </row>
    <row r="899" spans="1:5" hidden="1" x14ac:dyDescent="0.25">
      <c r="A899" t="s">
        <v>4103</v>
      </c>
      <c r="B899" t="s">
        <v>6143</v>
      </c>
      <c r="C899">
        <v>37.781300000000002</v>
      </c>
      <c r="D899">
        <v>-96.839100000000002</v>
      </c>
      <c r="E899" t="s">
        <v>7568</v>
      </c>
    </row>
    <row r="900" spans="1:5" hidden="1" x14ac:dyDescent="0.25">
      <c r="A900" t="s">
        <v>5486</v>
      </c>
      <c r="B900" t="s">
        <v>6143</v>
      </c>
      <c r="C900">
        <v>38.302</v>
      </c>
      <c r="D900">
        <v>-96.593999999999994</v>
      </c>
      <c r="E900" t="s">
        <v>7569</v>
      </c>
    </row>
    <row r="901" spans="1:5" hidden="1" x14ac:dyDescent="0.25">
      <c r="A901" t="s">
        <v>7570</v>
      </c>
      <c r="B901" t="s">
        <v>6143</v>
      </c>
      <c r="C901">
        <v>37.15</v>
      </c>
      <c r="D901">
        <v>-96.245400000000004</v>
      </c>
      <c r="E901" t="s">
        <v>7571</v>
      </c>
    </row>
    <row r="902" spans="1:5" hidden="1" x14ac:dyDescent="0.25">
      <c r="A902" t="s">
        <v>6210</v>
      </c>
      <c r="B902" t="s">
        <v>6143</v>
      </c>
      <c r="C902">
        <v>37.1693</v>
      </c>
      <c r="D902">
        <v>-94.846299999999999</v>
      </c>
      <c r="E902" t="s">
        <v>7572</v>
      </c>
    </row>
    <row r="903" spans="1:5" hidden="1" x14ac:dyDescent="0.25">
      <c r="A903" t="s">
        <v>6600</v>
      </c>
      <c r="B903" t="s">
        <v>6143</v>
      </c>
      <c r="C903">
        <v>39.785899999999998</v>
      </c>
      <c r="D903">
        <v>-101.7319</v>
      </c>
      <c r="E903" t="s">
        <v>7573</v>
      </c>
    </row>
    <row r="904" spans="1:5" hidden="1" x14ac:dyDescent="0.25">
      <c r="A904" t="s">
        <v>174</v>
      </c>
      <c r="B904" t="s">
        <v>6143</v>
      </c>
      <c r="C904">
        <v>37.235500000000002</v>
      </c>
      <c r="D904">
        <v>-99.820300000000003</v>
      </c>
      <c r="E904" t="s">
        <v>7574</v>
      </c>
    </row>
    <row r="905" spans="1:5" hidden="1" x14ac:dyDescent="0.25">
      <c r="A905" t="s">
        <v>6221</v>
      </c>
      <c r="B905" t="s">
        <v>6143</v>
      </c>
      <c r="C905">
        <v>39.349699999999999</v>
      </c>
      <c r="D905">
        <v>-97.165199999999999</v>
      </c>
      <c r="E905" t="s">
        <v>7575</v>
      </c>
    </row>
    <row r="906" spans="1:5" hidden="1" x14ac:dyDescent="0.25">
      <c r="A906" t="s">
        <v>7576</v>
      </c>
      <c r="B906" t="s">
        <v>6143</v>
      </c>
      <c r="C906">
        <v>39.4803</v>
      </c>
      <c r="D906">
        <v>-97.649199999999993</v>
      </c>
      <c r="E906" t="s">
        <v>7577</v>
      </c>
    </row>
    <row r="907" spans="1:5" hidden="1" x14ac:dyDescent="0.25">
      <c r="A907" t="s">
        <v>7578</v>
      </c>
      <c r="B907" t="s">
        <v>6143</v>
      </c>
      <c r="C907">
        <v>38.236899999999999</v>
      </c>
      <c r="D907">
        <v>-95.734099999999998</v>
      </c>
      <c r="E907" t="s">
        <v>7579</v>
      </c>
    </row>
    <row r="908" spans="1:5" hidden="1" x14ac:dyDescent="0.25">
      <c r="A908" t="s">
        <v>7580</v>
      </c>
      <c r="B908" t="s">
        <v>6143</v>
      </c>
      <c r="C908">
        <v>37.191299999999998</v>
      </c>
      <c r="D908">
        <v>-99.271799999999999</v>
      </c>
      <c r="E908" t="s">
        <v>7581</v>
      </c>
    </row>
    <row r="909" spans="1:5" hidden="1" x14ac:dyDescent="0.25">
      <c r="A909" t="s">
        <v>7582</v>
      </c>
      <c r="B909" t="s">
        <v>6143</v>
      </c>
      <c r="C909">
        <v>37.237699999999997</v>
      </c>
      <c r="D909">
        <v>-96.837500000000006</v>
      </c>
      <c r="E909" t="s">
        <v>7583</v>
      </c>
    </row>
    <row r="910" spans="1:5" hidden="1" x14ac:dyDescent="0.25">
      <c r="A910" t="s">
        <v>3776</v>
      </c>
      <c r="B910" t="s">
        <v>6143</v>
      </c>
      <c r="C910">
        <v>37.507300000000001</v>
      </c>
      <c r="D910">
        <v>-94.851799999999997</v>
      </c>
      <c r="E910" t="s">
        <v>7584</v>
      </c>
    </row>
    <row r="911" spans="1:5" hidden="1" x14ac:dyDescent="0.25">
      <c r="A911" t="s">
        <v>6901</v>
      </c>
      <c r="B911" t="s">
        <v>6143</v>
      </c>
      <c r="C911">
        <v>39.784700000000001</v>
      </c>
      <c r="D911">
        <v>-100.4599</v>
      </c>
      <c r="E911" t="s">
        <v>7585</v>
      </c>
    </row>
    <row r="912" spans="1:5" hidden="1" x14ac:dyDescent="0.25">
      <c r="A912" t="s">
        <v>4825</v>
      </c>
      <c r="B912" t="s">
        <v>6143</v>
      </c>
      <c r="C912">
        <v>38.866500000000002</v>
      </c>
      <c r="D912">
        <v>-97.152699999999996</v>
      </c>
      <c r="E912" t="s">
        <v>7586</v>
      </c>
    </row>
    <row r="913" spans="1:5" hidden="1" x14ac:dyDescent="0.25">
      <c r="A913" t="s">
        <v>7587</v>
      </c>
      <c r="B913" t="s">
        <v>6143</v>
      </c>
      <c r="C913">
        <v>39.7881</v>
      </c>
      <c r="D913">
        <v>-95.146799999999999</v>
      </c>
      <c r="E913" t="s">
        <v>7588</v>
      </c>
    </row>
    <row r="914" spans="1:5" hidden="1" x14ac:dyDescent="0.25">
      <c r="A914" t="s">
        <v>2538</v>
      </c>
      <c r="B914" t="s">
        <v>6143</v>
      </c>
      <c r="C914">
        <v>38.884700000000002</v>
      </c>
      <c r="D914">
        <v>-95.292599999999993</v>
      </c>
      <c r="E914" t="s">
        <v>7589</v>
      </c>
    </row>
    <row r="915" spans="1:5" hidden="1" x14ac:dyDescent="0.25">
      <c r="A915" t="s">
        <v>1936</v>
      </c>
      <c r="B915" t="s">
        <v>6143</v>
      </c>
      <c r="C915">
        <v>37.887599999999999</v>
      </c>
      <c r="D915">
        <v>-99.312100000000001</v>
      </c>
      <c r="E915" t="s">
        <v>7590</v>
      </c>
    </row>
    <row r="916" spans="1:5" hidden="1" x14ac:dyDescent="0.25">
      <c r="A916" t="s">
        <v>1727</v>
      </c>
      <c r="B916" t="s">
        <v>6143</v>
      </c>
      <c r="C916">
        <v>37.453699999999998</v>
      </c>
      <c r="D916">
        <v>-96.244100000000003</v>
      </c>
      <c r="E916" t="s">
        <v>7591</v>
      </c>
    </row>
    <row r="917" spans="1:5" hidden="1" x14ac:dyDescent="0.25">
      <c r="A917" t="s">
        <v>5208</v>
      </c>
      <c r="B917" t="s">
        <v>6143</v>
      </c>
      <c r="C917">
        <v>38.914700000000003</v>
      </c>
      <c r="D917">
        <v>-99.317300000000003</v>
      </c>
      <c r="E917" t="s">
        <v>7592</v>
      </c>
    </row>
    <row r="918" spans="1:5" hidden="1" x14ac:dyDescent="0.25">
      <c r="A918" t="s">
        <v>7593</v>
      </c>
      <c r="B918" t="s">
        <v>6143</v>
      </c>
      <c r="C918">
        <v>38.696599999999997</v>
      </c>
      <c r="D918">
        <v>-98.204800000000006</v>
      </c>
      <c r="E918" t="s">
        <v>7594</v>
      </c>
    </row>
    <row r="919" spans="1:5" hidden="1" x14ac:dyDescent="0.25">
      <c r="A919" t="s">
        <v>7595</v>
      </c>
      <c r="B919" t="s">
        <v>6143</v>
      </c>
      <c r="C919">
        <v>38.0443</v>
      </c>
      <c r="D919">
        <v>-100.73699999999999</v>
      </c>
      <c r="E919" t="s">
        <v>7596</v>
      </c>
    </row>
    <row r="920" spans="1:5" hidden="1" x14ac:dyDescent="0.25">
      <c r="A920" t="s">
        <v>3332</v>
      </c>
      <c r="B920" t="s">
        <v>6143</v>
      </c>
      <c r="C920">
        <v>37.691699999999997</v>
      </c>
      <c r="D920">
        <v>-99.888000000000005</v>
      </c>
      <c r="E920" t="s">
        <v>7597</v>
      </c>
    </row>
    <row r="921" spans="1:5" hidden="1" x14ac:dyDescent="0.25">
      <c r="A921" t="s">
        <v>6260</v>
      </c>
      <c r="B921" t="s">
        <v>6143</v>
      </c>
      <c r="C921">
        <v>38.564500000000002</v>
      </c>
      <c r="D921">
        <v>-95.285899999999998</v>
      </c>
      <c r="E921" t="s">
        <v>7598</v>
      </c>
    </row>
    <row r="922" spans="1:5" hidden="1" x14ac:dyDescent="0.25">
      <c r="A922" t="s">
        <v>7599</v>
      </c>
      <c r="B922" t="s">
        <v>6143</v>
      </c>
      <c r="C922">
        <v>39.002400000000002</v>
      </c>
      <c r="D922">
        <v>-96.752499999999998</v>
      </c>
      <c r="E922" t="s">
        <v>7600</v>
      </c>
    </row>
    <row r="923" spans="1:5" hidden="1" x14ac:dyDescent="0.25">
      <c r="A923" t="s">
        <v>7601</v>
      </c>
      <c r="B923" t="s">
        <v>6143</v>
      </c>
      <c r="C923">
        <v>38.9161</v>
      </c>
      <c r="D923">
        <v>-100.483</v>
      </c>
      <c r="E923" t="s">
        <v>7602</v>
      </c>
    </row>
    <row r="924" spans="1:5" hidden="1" x14ac:dyDescent="0.25">
      <c r="A924" t="s">
        <v>2404</v>
      </c>
      <c r="B924" t="s">
        <v>6143</v>
      </c>
      <c r="C924">
        <v>39.349699999999999</v>
      </c>
      <c r="D924">
        <v>-99.883200000000002</v>
      </c>
      <c r="E924" t="s">
        <v>7603</v>
      </c>
    </row>
    <row r="925" spans="1:5" hidden="1" x14ac:dyDescent="0.25">
      <c r="A925" t="s">
        <v>4593</v>
      </c>
      <c r="B925" t="s">
        <v>6143</v>
      </c>
      <c r="C925">
        <v>37.5623</v>
      </c>
      <c r="D925">
        <v>-101.30800000000001</v>
      </c>
      <c r="E925" t="s">
        <v>7604</v>
      </c>
    </row>
    <row r="926" spans="1:5" hidden="1" x14ac:dyDescent="0.25">
      <c r="A926" t="s">
        <v>260</v>
      </c>
      <c r="B926" t="s">
        <v>6143</v>
      </c>
      <c r="C926">
        <v>37.738199999999999</v>
      </c>
      <c r="D926">
        <v>-100.4379</v>
      </c>
      <c r="E926" t="s">
        <v>7605</v>
      </c>
    </row>
    <row r="927" spans="1:5" hidden="1" x14ac:dyDescent="0.25">
      <c r="A927" t="s">
        <v>7606</v>
      </c>
      <c r="B927" t="s">
        <v>6143</v>
      </c>
      <c r="C927">
        <v>38.480600000000003</v>
      </c>
      <c r="D927">
        <v>-101.806</v>
      </c>
      <c r="E927" t="s">
        <v>7607</v>
      </c>
    </row>
    <row r="928" spans="1:5" hidden="1" x14ac:dyDescent="0.25">
      <c r="A928" t="s">
        <v>7608</v>
      </c>
      <c r="B928" t="s">
        <v>6143</v>
      </c>
      <c r="C928">
        <v>37.877800000000001</v>
      </c>
      <c r="D928">
        <v>-96.232600000000005</v>
      </c>
      <c r="E928" t="s">
        <v>7609</v>
      </c>
    </row>
    <row r="929" spans="1:5" hidden="1" x14ac:dyDescent="0.25">
      <c r="A929" t="s">
        <v>6761</v>
      </c>
      <c r="B929" t="s">
        <v>6143</v>
      </c>
      <c r="C929">
        <v>37.999099999999999</v>
      </c>
      <c r="D929">
        <v>-101.7912</v>
      </c>
      <c r="E929" t="s">
        <v>7610</v>
      </c>
    </row>
    <row r="930" spans="1:5" hidden="1" x14ac:dyDescent="0.25">
      <c r="A930" t="s">
        <v>7611</v>
      </c>
      <c r="B930" t="s">
        <v>6143</v>
      </c>
      <c r="C930">
        <v>37.191600000000001</v>
      </c>
      <c r="D930">
        <v>-98.075500000000005</v>
      </c>
      <c r="E930" t="s">
        <v>7612</v>
      </c>
    </row>
    <row r="931" spans="1:5" hidden="1" x14ac:dyDescent="0.25">
      <c r="A931" t="s">
        <v>7613</v>
      </c>
      <c r="B931" t="s">
        <v>6143</v>
      </c>
      <c r="C931">
        <v>38.043199999999999</v>
      </c>
      <c r="D931">
        <v>-97.427199999999999</v>
      </c>
      <c r="E931" t="s">
        <v>7614</v>
      </c>
    </row>
    <row r="932" spans="1:5" hidden="1" x14ac:dyDescent="0.25">
      <c r="A932" t="s">
        <v>7615</v>
      </c>
      <c r="B932" t="s">
        <v>6143</v>
      </c>
      <c r="C932">
        <v>37.562199999999997</v>
      </c>
      <c r="D932">
        <v>-100.8712</v>
      </c>
      <c r="E932" t="s">
        <v>7616</v>
      </c>
    </row>
    <row r="933" spans="1:5" hidden="1" x14ac:dyDescent="0.25">
      <c r="A933" t="s">
        <v>7617</v>
      </c>
      <c r="B933" t="s">
        <v>6143</v>
      </c>
      <c r="C933">
        <v>38.087499999999999</v>
      </c>
      <c r="D933">
        <v>-99.897900000000007</v>
      </c>
      <c r="E933" t="s">
        <v>7618</v>
      </c>
    </row>
    <row r="934" spans="1:5" hidden="1" x14ac:dyDescent="0.25">
      <c r="A934" t="s">
        <v>191</v>
      </c>
      <c r="B934" t="s">
        <v>6143</v>
      </c>
      <c r="C934">
        <v>39.416800000000002</v>
      </c>
      <c r="D934">
        <v>-95.793700000000001</v>
      </c>
      <c r="E934" t="s">
        <v>7619</v>
      </c>
    </row>
    <row r="935" spans="1:5" hidden="1" x14ac:dyDescent="0.25">
      <c r="A935" t="s">
        <v>6272</v>
      </c>
      <c r="B935" t="s">
        <v>6143</v>
      </c>
      <c r="C935">
        <v>39.235799999999998</v>
      </c>
      <c r="D935">
        <v>-95.383399999999995</v>
      </c>
      <c r="E935" t="s">
        <v>7620</v>
      </c>
    </row>
    <row r="936" spans="1:5" hidden="1" x14ac:dyDescent="0.25">
      <c r="A936" t="s">
        <v>7621</v>
      </c>
      <c r="B936" t="s">
        <v>6143</v>
      </c>
      <c r="C936">
        <v>39.784700000000001</v>
      </c>
      <c r="D936">
        <v>-98.218299999999999</v>
      </c>
      <c r="E936" t="s">
        <v>7622</v>
      </c>
    </row>
    <row r="937" spans="1:5" hidden="1" x14ac:dyDescent="0.25">
      <c r="A937" t="s">
        <v>37</v>
      </c>
      <c r="B937" t="s">
        <v>6143</v>
      </c>
      <c r="C937">
        <v>38.883800000000001</v>
      </c>
      <c r="D937">
        <v>-94.822299999999998</v>
      </c>
      <c r="E937" t="s">
        <v>7623</v>
      </c>
    </row>
    <row r="938" spans="1:5" hidden="1" x14ac:dyDescent="0.25">
      <c r="A938" t="s">
        <v>7624</v>
      </c>
      <c r="B938" t="s">
        <v>6143</v>
      </c>
      <c r="C938">
        <v>38.000300000000003</v>
      </c>
      <c r="D938">
        <v>-101.3199</v>
      </c>
      <c r="E938" t="s">
        <v>7625</v>
      </c>
    </row>
    <row r="939" spans="1:5" hidden="1" x14ac:dyDescent="0.25">
      <c r="A939" t="s">
        <v>7626</v>
      </c>
      <c r="B939" t="s">
        <v>6143</v>
      </c>
      <c r="C939">
        <v>37.558900000000001</v>
      </c>
      <c r="D939">
        <v>-98.136300000000006</v>
      </c>
      <c r="E939" t="s">
        <v>7627</v>
      </c>
    </row>
    <row r="940" spans="1:5" hidden="1" x14ac:dyDescent="0.25">
      <c r="A940" t="s">
        <v>6640</v>
      </c>
      <c r="B940" t="s">
        <v>6143</v>
      </c>
      <c r="C940">
        <v>37.558199999999999</v>
      </c>
      <c r="D940">
        <v>-99.286100000000005</v>
      </c>
      <c r="E940" t="s">
        <v>7628</v>
      </c>
    </row>
    <row r="941" spans="1:5" hidden="1" x14ac:dyDescent="0.25">
      <c r="A941" t="s">
        <v>7629</v>
      </c>
      <c r="B941" t="s">
        <v>6143</v>
      </c>
      <c r="C941">
        <v>37.191299999999998</v>
      </c>
      <c r="D941">
        <v>-95.297600000000003</v>
      </c>
      <c r="E941" t="s">
        <v>7630</v>
      </c>
    </row>
    <row r="942" spans="1:5" hidden="1" x14ac:dyDescent="0.25">
      <c r="A942" t="s">
        <v>7631</v>
      </c>
      <c r="B942" t="s">
        <v>6143</v>
      </c>
      <c r="C942">
        <v>38.481299999999997</v>
      </c>
      <c r="D942">
        <v>-100.46639999999999</v>
      </c>
      <c r="E942" t="s">
        <v>7632</v>
      </c>
    </row>
    <row r="943" spans="1:5" hidden="1" x14ac:dyDescent="0.25">
      <c r="A943" t="s">
        <v>7633</v>
      </c>
      <c r="B943" t="s">
        <v>6143</v>
      </c>
      <c r="C943">
        <v>39.199300000000001</v>
      </c>
      <c r="D943">
        <v>-95.037999999999997</v>
      </c>
      <c r="E943" t="s">
        <v>7634</v>
      </c>
    </row>
    <row r="944" spans="1:5" hidden="1" x14ac:dyDescent="0.25">
      <c r="A944" t="s">
        <v>6386</v>
      </c>
      <c r="B944" t="s">
        <v>6143</v>
      </c>
      <c r="C944">
        <v>39.045299999999997</v>
      </c>
      <c r="D944">
        <v>-98.207700000000003</v>
      </c>
      <c r="E944" t="s">
        <v>7635</v>
      </c>
    </row>
    <row r="945" spans="1:5" hidden="1" x14ac:dyDescent="0.25">
      <c r="A945" t="s">
        <v>7159</v>
      </c>
      <c r="B945" t="s">
        <v>6143</v>
      </c>
      <c r="C945">
        <v>38.212299999999999</v>
      </c>
      <c r="D945">
        <v>-94.843000000000004</v>
      </c>
      <c r="E945" t="s">
        <v>7636</v>
      </c>
    </row>
    <row r="946" spans="1:5" hidden="1" x14ac:dyDescent="0.25">
      <c r="A946" t="s">
        <v>987</v>
      </c>
      <c r="B946" t="s">
        <v>6143</v>
      </c>
      <c r="C946">
        <v>38.917299999999997</v>
      </c>
      <c r="D946">
        <v>-101.1484</v>
      </c>
      <c r="E946" t="s">
        <v>7637</v>
      </c>
    </row>
    <row r="947" spans="1:5" hidden="1" x14ac:dyDescent="0.25">
      <c r="A947" t="s">
        <v>4235</v>
      </c>
      <c r="B947" t="s">
        <v>6143</v>
      </c>
      <c r="C947">
        <v>38.456200000000003</v>
      </c>
      <c r="D947">
        <v>-96.152600000000007</v>
      </c>
      <c r="E947" t="s">
        <v>7638</v>
      </c>
    </row>
    <row r="948" spans="1:5" hidden="1" x14ac:dyDescent="0.25">
      <c r="A948" t="s">
        <v>6290</v>
      </c>
      <c r="B948" t="s">
        <v>6143</v>
      </c>
      <c r="C948">
        <v>38.358899999999998</v>
      </c>
      <c r="D948">
        <v>-97.096900000000005</v>
      </c>
      <c r="E948" t="s">
        <v>7639</v>
      </c>
    </row>
    <row r="949" spans="1:5" hidden="1" x14ac:dyDescent="0.25">
      <c r="A949" t="s">
        <v>1391</v>
      </c>
      <c r="B949" t="s">
        <v>6143</v>
      </c>
      <c r="C949">
        <v>39.7836</v>
      </c>
      <c r="D949">
        <v>-96.522900000000007</v>
      </c>
      <c r="E949" t="s">
        <v>7640</v>
      </c>
    </row>
    <row r="950" spans="1:5" hidden="1" x14ac:dyDescent="0.25">
      <c r="A950" t="s">
        <v>7641</v>
      </c>
      <c r="B950" t="s">
        <v>6143</v>
      </c>
      <c r="C950">
        <v>38.3917</v>
      </c>
      <c r="D950">
        <v>-97.647999999999996</v>
      </c>
      <c r="E950" t="s">
        <v>7642</v>
      </c>
    </row>
    <row r="951" spans="1:5" hidden="1" x14ac:dyDescent="0.25">
      <c r="A951" t="s">
        <v>7643</v>
      </c>
      <c r="B951" t="s">
        <v>6143</v>
      </c>
      <c r="C951">
        <v>37.238199999999999</v>
      </c>
      <c r="D951">
        <v>-100.36620000000001</v>
      </c>
      <c r="E951" t="s">
        <v>7644</v>
      </c>
    </row>
    <row r="952" spans="1:5" hidden="1" x14ac:dyDescent="0.25">
      <c r="A952" t="s">
        <v>7498</v>
      </c>
      <c r="B952" t="s">
        <v>6143</v>
      </c>
      <c r="C952">
        <v>38.563499999999998</v>
      </c>
      <c r="D952">
        <v>-94.838099999999997</v>
      </c>
      <c r="E952" t="s">
        <v>7645</v>
      </c>
    </row>
    <row r="953" spans="1:5" hidden="1" x14ac:dyDescent="0.25">
      <c r="A953" t="s">
        <v>172</v>
      </c>
      <c r="B953" t="s">
        <v>6143</v>
      </c>
      <c r="C953">
        <v>39.393300000000004</v>
      </c>
      <c r="D953">
        <v>-98.209400000000002</v>
      </c>
      <c r="E953" t="s">
        <v>7646</v>
      </c>
    </row>
    <row r="954" spans="1:5" hidden="1" x14ac:dyDescent="0.25">
      <c r="A954" t="s">
        <v>6297</v>
      </c>
      <c r="B954" t="s">
        <v>6143</v>
      </c>
      <c r="C954">
        <v>37.192500000000003</v>
      </c>
      <c r="D954">
        <v>-95.742900000000006</v>
      </c>
      <c r="E954" t="s">
        <v>7647</v>
      </c>
    </row>
    <row r="955" spans="1:5" hidden="1" x14ac:dyDescent="0.25">
      <c r="A955" t="s">
        <v>624</v>
      </c>
      <c r="B955" t="s">
        <v>6143</v>
      </c>
      <c r="C955">
        <v>38.687399999999997</v>
      </c>
      <c r="D955">
        <v>-96.649900000000002</v>
      </c>
      <c r="E955" t="s">
        <v>7648</v>
      </c>
    </row>
    <row r="956" spans="1:5" hidden="1" x14ac:dyDescent="0.25">
      <c r="A956" t="s">
        <v>7649</v>
      </c>
      <c r="B956" t="s">
        <v>6143</v>
      </c>
      <c r="C956">
        <v>37.191400000000002</v>
      </c>
      <c r="D956">
        <v>-101.7992</v>
      </c>
      <c r="E956" t="s">
        <v>7650</v>
      </c>
    </row>
    <row r="957" spans="1:5" hidden="1" x14ac:dyDescent="0.25">
      <c r="A957" t="s">
        <v>7651</v>
      </c>
      <c r="B957" t="s">
        <v>6143</v>
      </c>
      <c r="C957">
        <v>39.7834</v>
      </c>
      <c r="D957">
        <v>-96.014099999999999</v>
      </c>
      <c r="E957" t="s">
        <v>7652</v>
      </c>
    </row>
    <row r="958" spans="1:5" hidden="1" x14ac:dyDescent="0.25">
      <c r="A958" t="s">
        <v>7653</v>
      </c>
      <c r="B958" t="s">
        <v>6143</v>
      </c>
      <c r="C958">
        <v>37.558500000000002</v>
      </c>
      <c r="D958">
        <v>-95.306799999999996</v>
      </c>
      <c r="E958" t="s">
        <v>7654</v>
      </c>
    </row>
    <row r="959" spans="1:5" hidden="1" x14ac:dyDescent="0.25">
      <c r="A959" t="s">
        <v>4480</v>
      </c>
      <c r="B959" t="s">
        <v>6143</v>
      </c>
      <c r="C959">
        <v>38.479399999999998</v>
      </c>
      <c r="D959">
        <v>-99.916200000000003</v>
      </c>
      <c r="E959" t="s">
        <v>7655</v>
      </c>
    </row>
    <row r="960" spans="1:5" hidden="1" x14ac:dyDescent="0.25">
      <c r="A960" t="s">
        <v>7656</v>
      </c>
      <c r="B960" t="s">
        <v>6143</v>
      </c>
      <c r="C960">
        <v>39.784399999999998</v>
      </c>
      <c r="D960">
        <v>-99.903499999999994</v>
      </c>
      <c r="E960" t="s">
        <v>7657</v>
      </c>
    </row>
    <row r="961" spans="1:5" hidden="1" x14ac:dyDescent="0.25">
      <c r="A961" t="s">
        <v>7658</v>
      </c>
      <c r="B961" t="s">
        <v>6143</v>
      </c>
      <c r="C961">
        <v>38.652299999999997</v>
      </c>
      <c r="D961">
        <v>-95.726900000000001</v>
      </c>
      <c r="E961" t="s">
        <v>7659</v>
      </c>
    </row>
    <row r="962" spans="1:5" hidden="1" x14ac:dyDescent="0.25">
      <c r="A962" t="s">
        <v>7660</v>
      </c>
      <c r="B962" t="s">
        <v>6143</v>
      </c>
      <c r="C962">
        <v>39.350299999999997</v>
      </c>
      <c r="D962">
        <v>-98.767899999999997</v>
      </c>
      <c r="E962" t="s">
        <v>7661</v>
      </c>
    </row>
    <row r="963" spans="1:5" hidden="1" x14ac:dyDescent="0.25">
      <c r="A963" t="s">
        <v>7662</v>
      </c>
      <c r="B963" t="s">
        <v>6143</v>
      </c>
      <c r="C963">
        <v>39.1325</v>
      </c>
      <c r="D963">
        <v>-97.650199999999998</v>
      </c>
      <c r="E963" t="s">
        <v>7663</v>
      </c>
    </row>
    <row r="964" spans="1:5" hidden="1" x14ac:dyDescent="0.25">
      <c r="A964" t="s">
        <v>7664</v>
      </c>
      <c r="B964" t="s">
        <v>6143</v>
      </c>
      <c r="C964">
        <v>38.1813</v>
      </c>
      <c r="D964">
        <v>-99.236699999999999</v>
      </c>
      <c r="E964" t="s">
        <v>7665</v>
      </c>
    </row>
    <row r="965" spans="1:5" hidden="1" x14ac:dyDescent="0.25">
      <c r="A965" t="s">
        <v>4249</v>
      </c>
      <c r="B965" t="s">
        <v>6143</v>
      </c>
      <c r="C965">
        <v>39.784599999999998</v>
      </c>
      <c r="D965">
        <v>-99.346999999999994</v>
      </c>
      <c r="E965" t="s">
        <v>7666</v>
      </c>
    </row>
    <row r="966" spans="1:5" hidden="1" x14ac:dyDescent="0.25">
      <c r="A966" t="s">
        <v>7667</v>
      </c>
      <c r="B966" t="s">
        <v>6143</v>
      </c>
      <c r="C966">
        <v>39.378999999999998</v>
      </c>
      <c r="D966">
        <v>-96.342399999999998</v>
      </c>
      <c r="E966" t="s">
        <v>7668</v>
      </c>
    </row>
    <row r="967" spans="1:5" hidden="1" x14ac:dyDescent="0.25">
      <c r="A967" t="s">
        <v>7669</v>
      </c>
      <c r="B967" t="s">
        <v>6143</v>
      </c>
      <c r="C967">
        <v>37.6477</v>
      </c>
      <c r="D967">
        <v>-98.739599999999996</v>
      </c>
      <c r="E967" t="s">
        <v>7670</v>
      </c>
    </row>
    <row r="968" spans="1:5" hidden="1" x14ac:dyDescent="0.25">
      <c r="A968" t="s">
        <v>7671</v>
      </c>
      <c r="B968" t="s">
        <v>6143</v>
      </c>
      <c r="C968">
        <v>39.785200000000003</v>
      </c>
      <c r="D968">
        <v>-101.0765</v>
      </c>
      <c r="E968" t="s">
        <v>7672</v>
      </c>
    </row>
    <row r="969" spans="1:5" hidden="1" x14ac:dyDescent="0.25">
      <c r="A969" t="s">
        <v>7673</v>
      </c>
      <c r="B969" t="s">
        <v>6143</v>
      </c>
      <c r="C969">
        <v>37.953000000000003</v>
      </c>
      <c r="D969">
        <v>-98.085999999999999</v>
      </c>
      <c r="E969" t="s">
        <v>7674</v>
      </c>
    </row>
    <row r="970" spans="1:5" hidden="1" x14ac:dyDescent="0.25">
      <c r="A970" t="s">
        <v>7675</v>
      </c>
      <c r="B970" t="s">
        <v>6143</v>
      </c>
      <c r="C970">
        <v>39.827800000000003</v>
      </c>
      <c r="D970">
        <v>-97.650599999999997</v>
      </c>
      <c r="E970" t="s">
        <v>7676</v>
      </c>
    </row>
    <row r="971" spans="1:5" hidden="1" x14ac:dyDescent="0.25">
      <c r="A971" t="s">
        <v>7677</v>
      </c>
      <c r="B971" t="s">
        <v>6143</v>
      </c>
      <c r="C971">
        <v>38.347200000000001</v>
      </c>
      <c r="D971">
        <v>-98.200999999999993</v>
      </c>
      <c r="E971" t="s">
        <v>7678</v>
      </c>
    </row>
    <row r="972" spans="1:5" hidden="1" x14ac:dyDescent="0.25">
      <c r="A972" t="s">
        <v>7679</v>
      </c>
      <c r="B972" t="s">
        <v>6143</v>
      </c>
      <c r="C972">
        <v>39.296599999999998</v>
      </c>
      <c r="D972">
        <v>-96.735200000000006</v>
      </c>
      <c r="E972" t="s">
        <v>7680</v>
      </c>
    </row>
    <row r="973" spans="1:5" hidden="1" x14ac:dyDescent="0.25">
      <c r="A973" t="s">
        <v>7681</v>
      </c>
      <c r="B973" t="s">
        <v>6143</v>
      </c>
      <c r="C973">
        <v>39.350200000000001</v>
      </c>
      <c r="D973">
        <v>-99.325000000000003</v>
      </c>
      <c r="E973" t="s">
        <v>7682</v>
      </c>
    </row>
    <row r="974" spans="1:5" hidden="1" x14ac:dyDescent="0.25">
      <c r="A974" t="s">
        <v>7524</v>
      </c>
      <c r="B974" t="s">
        <v>6143</v>
      </c>
      <c r="C974">
        <v>38.523099999999999</v>
      </c>
      <c r="D974">
        <v>-99.309200000000004</v>
      </c>
      <c r="E974" t="s">
        <v>7683</v>
      </c>
    </row>
    <row r="975" spans="1:5" hidden="1" x14ac:dyDescent="0.25">
      <c r="A975" t="s">
        <v>6307</v>
      </c>
      <c r="B975" t="s">
        <v>6143</v>
      </c>
      <c r="C975">
        <v>38.9148</v>
      </c>
      <c r="D975">
        <v>-98.7624</v>
      </c>
      <c r="E975" t="s">
        <v>7684</v>
      </c>
    </row>
    <row r="976" spans="1:5" hidden="1" x14ac:dyDescent="0.25">
      <c r="A976" t="s">
        <v>6419</v>
      </c>
      <c r="B976" t="s">
        <v>6143</v>
      </c>
      <c r="C976">
        <v>38.783799999999999</v>
      </c>
      <c r="D976">
        <v>-97.65</v>
      </c>
      <c r="E976" t="s">
        <v>7685</v>
      </c>
    </row>
    <row r="977" spans="1:5" hidden="1" x14ac:dyDescent="0.25">
      <c r="A977" t="s">
        <v>5291</v>
      </c>
      <c r="B977" t="s">
        <v>6143</v>
      </c>
      <c r="C977">
        <v>38.482199999999999</v>
      </c>
      <c r="D977">
        <v>-100.90689999999999</v>
      </c>
      <c r="E977" t="s">
        <v>7686</v>
      </c>
    </row>
    <row r="978" spans="1:5" hidden="1" x14ac:dyDescent="0.25">
      <c r="A978" t="s">
        <v>6689</v>
      </c>
      <c r="B978" t="s">
        <v>6143</v>
      </c>
      <c r="C978">
        <v>37.684800000000003</v>
      </c>
      <c r="D978">
        <v>-97.460999999999999</v>
      </c>
      <c r="E978" t="s">
        <v>7687</v>
      </c>
    </row>
    <row r="979" spans="1:5" hidden="1" x14ac:dyDescent="0.25">
      <c r="A979" t="s">
        <v>7688</v>
      </c>
      <c r="B979" t="s">
        <v>6143</v>
      </c>
      <c r="C979">
        <v>37.193300000000001</v>
      </c>
      <c r="D979">
        <v>-100.85129999999999</v>
      </c>
      <c r="E979" t="s">
        <v>7689</v>
      </c>
    </row>
    <row r="980" spans="1:5" hidden="1" x14ac:dyDescent="0.25">
      <c r="A980" t="s">
        <v>7690</v>
      </c>
      <c r="B980" t="s">
        <v>6143</v>
      </c>
      <c r="C980">
        <v>39.041499999999999</v>
      </c>
      <c r="D980">
        <v>-95.756500000000003</v>
      </c>
      <c r="E980" t="s">
        <v>7691</v>
      </c>
    </row>
    <row r="981" spans="1:5" hidden="1" x14ac:dyDescent="0.25">
      <c r="A981" t="s">
        <v>7692</v>
      </c>
      <c r="B981" t="s">
        <v>6143</v>
      </c>
      <c r="C981">
        <v>39.350299999999997</v>
      </c>
      <c r="D981">
        <v>-100.4418</v>
      </c>
      <c r="E981" t="s">
        <v>7693</v>
      </c>
    </row>
    <row r="982" spans="1:5" hidden="1" x14ac:dyDescent="0.25">
      <c r="A982" t="s">
        <v>7694</v>
      </c>
      <c r="B982" t="s">
        <v>6143</v>
      </c>
      <c r="C982">
        <v>39.351399999999998</v>
      </c>
      <c r="D982">
        <v>-101.72</v>
      </c>
      <c r="E982" t="s">
        <v>7695</v>
      </c>
    </row>
    <row r="983" spans="1:5" hidden="1" x14ac:dyDescent="0.25">
      <c r="A983" t="s">
        <v>275</v>
      </c>
      <c r="B983" t="s">
        <v>6143</v>
      </c>
      <c r="C983">
        <v>39.785200000000003</v>
      </c>
      <c r="D983">
        <v>-98.785499999999999</v>
      </c>
      <c r="E983" t="s">
        <v>7696</v>
      </c>
    </row>
    <row r="984" spans="1:5" hidden="1" x14ac:dyDescent="0.25">
      <c r="A984" t="s">
        <v>575</v>
      </c>
      <c r="B984" t="s">
        <v>6143</v>
      </c>
      <c r="C984">
        <v>38.030999999999999</v>
      </c>
      <c r="D984">
        <v>-98.717399999999998</v>
      </c>
      <c r="E984" t="s">
        <v>7697</v>
      </c>
    </row>
    <row r="985" spans="1:5" hidden="1" x14ac:dyDescent="0.25">
      <c r="A985" t="s">
        <v>7698</v>
      </c>
      <c r="B985" t="s">
        <v>6143</v>
      </c>
      <c r="C985">
        <v>37.563000000000002</v>
      </c>
      <c r="D985">
        <v>-101.7842</v>
      </c>
      <c r="E985" t="s">
        <v>7699</v>
      </c>
    </row>
    <row r="986" spans="1:5" hidden="1" x14ac:dyDescent="0.25">
      <c r="A986" t="s">
        <v>1150</v>
      </c>
      <c r="B986" t="s">
        <v>6143</v>
      </c>
      <c r="C986">
        <v>37.192300000000003</v>
      </c>
      <c r="D986">
        <v>-101.3121</v>
      </c>
      <c r="E986" t="s">
        <v>7700</v>
      </c>
    </row>
    <row r="987" spans="1:5" hidden="1" x14ac:dyDescent="0.25">
      <c r="A987" t="s">
        <v>5288</v>
      </c>
      <c r="B987" t="s">
        <v>6143</v>
      </c>
      <c r="C987">
        <v>37.237299999999998</v>
      </c>
      <c r="D987">
        <v>-97.476500000000001</v>
      </c>
      <c r="E987" t="s">
        <v>7701</v>
      </c>
    </row>
    <row r="988" spans="1:5" hidden="1" x14ac:dyDescent="0.25">
      <c r="A988" t="s">
        <v>226</v>
      </c>
      <c r="B988" t="s">
        <v>6143</v>
      </c>
      <c r="C988">
        <v>39.350900000000003</v>
      </c>
      <c r="D988">
        <v>-101.0556</v>
      </c>
      <c r="E988" t="s">
        <v>7702</v>
      </c>
    </row>
    <row r="989" spans="1:5" hidden="1" x14ac:dyDescent="0.25">
      <c r="A989" t="s">
        <v>7703</v>
      </c>
      <c r="B989" t="s">
        <v>6143</v>
      </c>
      <c r="C989">
        <v>38.914299999999997</v>
      </c>
      <c r="D989">
        <v>-99.872799999999998</v>
      </c>
      <c r="E989" t="s">
        <v>7704</v>
      </c>
    </row>
    <row r="990" spans="1:5" hidden="1" x14ac:dyDescent="0.25">
      <c r="A990" t="s">
        <v>7705</v>
      </c>
      <c r="B990" t="s">
        <v>6143</v>
      </c>
      <c r="C990">
        <v>38.953299999999999</v>
      </c>
      <c r="D990">
        <v>-96.204999999999998</v>
      </c>
      <c r="E990" t="s">
        <v>7706</v>
      </c>
    </row>
    <row r="991" spans="1:5" hidden="1" x14ac:dyDescent="0.25">
      <c r="A991" t="s">
        <v>1660</v>
      </c>
      <c r="B991" t="s">
        <v>6143</v>
      </c>
      <c r="C991">
        <v>38.916699999999999</v>
      </c>
      <c r="D991">
        <v>-101.7636</v>
      </c>
      <c r="E991" t="s">
        <v>7707</v>
      </c>
    </row>
    <row r="992" spans="1:5" hidden="1" x14ac:dyDescent="0.25">
      <c r="A992" t="s">
        <v>3052</v>
      </c>
      <c r="B992" t="s">
        <v>6143</v>
      </c>
      <c r="C992">
        <v>39.784199999999998</v>
      </c>
      <c r="D992">
        <v>-97.087500000000006</v>
      </c>
      <c r="E992" t="s">
        <v>7708</v>
      </c>
    </row>
    <row r="993" spans="1:5" hidden="1" x14ac:dyDescent="0.25">
      <c r="A993" t="s">
        <v>7709</v>
      </c>
      <c r="B993" t="s">
        <v>6143</v>
      </c>
      <c r="C993">
        <v>38.482100000000003</v>
      </c>
      <c r="D993">
        <v>-101.34739999999999</v>
      </c>
      <c r="E993" t="s">
        <v>7710</v>
      </c>
    </row>
    <row r="994" spans="1:5" hidden="1" x14ac:dyDescent="0.25">
      <c r="A994" t="s">
        <v>2298</v>
      </c>
      <c r="B994" t="s">
        <v>6143</v>
      </c>
      <c r="C994">
        <v>37.5593</v>
      </c>
      <c r="D994">
        <v>-95.743399999999994</v>
      </c>
      <c r="E994" t="s">
        <v>7711</v>
      </c>
    </row>
    <row r="995" spans="1:5" hidden="1" x14ac:dyDescent="0.25">
      <c r="A995" t="s">
        <v>7712</v>
      </c>
      <c r="B995" t="s">
        <v>6143</v>
      </c>
      <c r="C995">
        <v>37.886699999999998</v>
      </c>
      <c r="D995">
        <v>-95.740099999999998</v>
      </c>
      <c r="E995" t="s">
        <v>7713</v>
      </c>
    </row>
    <row r="996" spans="1:5" hidden="1" x14ac:dyDescent="0.25">
      <c r="A996" t="s">
        <v>7714</v>
      </c>
      <c r="B996" t="s">
        <v>6143</v>
      </c>
      <c r="C996">
        <v>39.114600000000003</v>
      </c>
      <c r="D996">
        <v>-94.764600000000002</v>
      </c>
      <c r="E996" t="s">
        <v>7715</v>
      </c>
    </row>
    <row r="997" spans="1:5" hidden="1" x14ac:dyDescent="0.25">
      <c r="A997" t="s">
        <v>7081</v>
      </c>
      <c r="B997" t="s">
        <v>6146</v>
      </c>
      <c r="C997">
        <v>37.104199999999999</v>
      </c>
      <c r="D997">
        <v>-85.280600000000007</v>
      </c>
      <c r="E997" t="s">
        <v>7716</v>
      </c>
    </row>
    <row r="998" spans="1:5" hidden="1" x14ac:dyDescent="0.25">
      <c r="A998" t="s">
        <v>523</v>
      </c>
      <c r="B998" t="s">
        <v>6146</v>
      </c>
      <c r="C998">
        <v>36.751300000000001</v>
      </c>
      <c r="D998">
        <v>-86.190399999999997</v>
      </c>
      <c r="E998" t="s">
        <v>7717</v>
      </c>
    </row>
    <row r="999" spans="1:5" hidden="1" x14ac:dyDescent="0.25">
      <c r="A999" t="s">
        <v>646</v>
      </c>
      <c r="B999" t="s">
        <v>6146</v>
      </c>
      <c r="C999">
        <v>38.003900000000002</v>
      </c>
      <c r="D999">
        <v>-84.991</v>
      </c>
      <c r="E999" t="s">
        <v>7718</v>
      </c>
    </row>
    <row r="1000" spans="1:5" hidden="1" x14ac:dyDescent="0.25">
      <c r="A1000" t="s">
        <v>7719</v>
      </c>
      <c r="B1000" t="s">
        <v>6146</v>
      </c>
      <c r="C1000">
        <v>37.058500000000002</v>
      </c>
      <c r="D1000">
        <v>-88.999499999999998</v>
      </c>
      <c r="E1000" t="s">
        <v>7720</v>
      </c>
    </row>
    <row r="1001" spans="1:5" hidden="1" x14ac:dyDescent="0.25">
      <c r="A1001" t="s">
        <v>4717</v>
      </c>
      <c r="B1001" t="s">
        <v>6146</v>
      </c>
      <c r="C1001">
        <v>36.965600000000002</v>
      </c>
      <c r="D1001">
        <v>-85.933700000000002</v>
      </c>
      <c r="E1001" t="s">
        <v>7721</v>
      </c>
    </row>
    <row r="1002" spans="1:5" hidden="1" x14ac:dyDescent="0.25">
      <c r="A1002" t="s">
        <v>7722</v>
      </c>
      <c r="B1002" t="s">
        <v>6146</v>
      </c>
      <c r="C1002">
        <v>38.145000000000003</v>
      </c>
      <c r="D1002">
        <v>-83.742699999999999</v>
      </c>
      <c r="E1002" t="s">
        <v>7723</v>
      </c>
    </row>
    <row r="1003" spans="1:5" hidden="1" x14ac:dyDescent="0.25">
      <c r="A1003" t="s">
        <v>3500</v>
      </c>
      <c r="B1003" t="s">
        <v>6146</v>
      </c>
      <c r="C1003">
        <v>36.730600000000003</v>
      </c>
      <c r="D1003">
        <v>-83.674099999999996</v>
      </c>
      <c r="E1003" t="s">
        <v>7724</v>
      </c>
    </row>
    <row r="1004" spans="1:5" hidden="1" x14ac:dyDescent="0.25">
      <c r="A1004" t="s">
        <v>6335</v>
      </c>
      <c r="B1004" t="s">
        <v>6146</v>
      </c>
      <c r="C1004">
        <v>38.969900000000003</v>
      </c>
      <c r="D1004">
        <v>-84.727800000000002</v>
      </c>
      <c r="E1004" t="s">
        <v>7725</v>
      </c>
    </row>
    <row r="1005" spans="1:5" hidden="1" x14ac:dyDescent="0.25">
      <c r="A1005" t="s">
        <v>7565</v>
      </c>
      <c r="B1005" t="s">
        <v>6146</v>
      </c>
      <c r="C1005">
        <v>38.206699999999998</v>
      </c>
      <c r="D1005">
        <v>-84.217200000000005</v>
      </c>
      <c r="E1005" t="s">
        <v>7726</v>
      </c>
    </row>
    <row r="1006" spans="1:5" hidden="1" x14ac:dyDescent="0.25">
      <c r="A1006" t="s">
        <v>7727</v>
      </c>
      <c r="B1006" t="s">
        <v>6146</v>
      </c>
      <c r="C1006">
        <v>38.3596</v>
      </c>
      <c r="D1006">
        <v>-82.687799999999996</v>
      </c>
      <c r="E1006" t="s">
        <v>7728</v>
      </c>
    </row>
    <row r="1007" spans="1:5" hidden="1" x14ac:dyDescent="0.25">
      <c r="A1007" t="s">
        <v>4701</v>
      </c>
      <c r="B1007" t="s">
        <v>6146</v>
      </c>
      <c r="C1007">
        <v>37.624400000000001</v>
      </c>
      <c r="D1007">
        <v>-84.866799999999998</v>
      </c>
      <c r="E1007" t="s">
        <v>7729</v>
      </c>
    </row>
    <row r="1008" spans="1:5" hidden="1" x14ac:dyDescent="0.25">
      <c r="A1008" t="s">
        <v>7730</v>
      </c>
      <c r="B1008" t="s">
        <v>6146</v>
      </c>
      <c r="C1008">
        <v>38.688800000000001</v>
      </c>
      <c r="D1008">
        <v>-84.090100000000007</v>
      </c>
      <c r="E1008" t="s">
        <v>7731</v>
      </c>
    </row>
    <row r="1009" spans="1:5" hidden="1" x14ac:dyDescent="0.25">
      <c r="A1009" t="s">
        <v>7732</v>
      </c>
      <c r="B1009" t="s">
        <v>6146</v>
      </c>
      <c r="C1009">
        <v>37.521599999999999</v>
      </c>
      <c r="D1009">
        <v>-83.324100000000001</v>
      </c>
      <c r="E1009" t="s">
        <v>7733</v>
      </c>
    </row>
    <row r="1010" spans="1:5" hidden="1" x14ac:dyDescent="0.25">
      <c r="A1010" t="s">
        <v>7734</v>
      </c>
      <c r="B1010" t="s">
        <v>6146</v>
      </c>
      <c r="C1010">
        <v>37.773400000000002</v>
      </c>
      <c r="D1010">
        <v>-86.429299999999998</v>
      </c>
      <c r="E1010" t="s">
        <v>7735</v>
      </c>
    </row>
    <row r="1011" spans="1:5" hidden="1" x14ac:dyDescent="0.25">
      <c r="A1011" t="s">
        <v>7736</v>
      </c>
      <c r="B1011" t="s">
        <v>6146</v>
      </c>
      <c r="C1011">
        <v>37.970100000000002</v>
      </c>
      <c r="D1011">
        <v>-85.695899999999995</v>
      </c>
      <c r="E1011" t="s">
        <v>7737</v>
      </c>
    </row>
    <row r="1012" spans="1:5" hidden="1" x14ac:dyDescent="0.25">
      <c r="A1012" t="s">
        <v>4103</v>
      </c>
      <c r="B1012" t="s">
        <v>6146</v>
      </c>
      <c r="C1012">
        <v>37.207299999999996</v>
      </c>
      <c r="D1012">
        <v>-86.681600000000003</v>
      </c>
      <c r="E1012" t="s">
        <v>7738</v>
      </c>
    </row>
    <row r="1013" spans="1:5" hidden="1" x14ac:dyDescent="0.25">
      <c r="A1013" t="s">
        <v>3494</v>
      </c>
      <c r="B1013" t="s">
        <v>6146</v>
      </c>
      <c r="C1013">
        <v>37.145400000000002</v>
      </c>
      <c r="D1013">
        <v>-87.867800000000003</v>
      </c>
      <c r="E1013" t="s">
        <v>7739</v>
      </c>
    </row>
    <row r="1014" spans="1:5" hidden="1" x14ac:dyDescent="0.25">
      <c r="A1014" t="s">
        <v>7740</v>
      </c>
      <c r="B1014" t="s">
        <v>6146</v>
      </c>
      <c r="C1014">
        <v>36.621000000000002</v>
      </c>
      <c r="D1014">
        <v>-88.272300000000001</v>
      </c>
      <c r="E1014" t="s">
        <v>7741</v>
      </c>
    </row>
    <row r="1015" spans="1:5" hidden="1" x14ac:dyDescent="0.25">
      <c r="A1015" t="s">
        <v>1941</v>
      </c>
      <c r="B1015" t="s">
        <v>6146</v>
      </c>
      <c r="C1015">
        <v>38.9465</v>
      </c>
      <c r="D1015">
        <v>-84.379499999999993</v>
      </c>
      <c r="E1015" t="s">
        <v>7742</v>
      </c>
    </row>
    <row r="1016" spans="1:5" hidden="1" x14ac:dyDescent="0.25">
      <c r="A1016" t="s">
        <v>7743</v>
      </c>
      <c r="B1016" t="s">
        <v>6146</v>
      </c>
      <c r="C1016">
        <v>36.853200000000001</v>
      </c>
      <c r="D1016">
        <v>-88.971000000000004</v>
      </c>
      <c r="E1016" t="s">
        <v>7744</v>
      </c>
    </row>
    <row r="1017" spans="1:5" hidden="1" x14ac:dyDescent="0.25">
      <c r="A1017" t="s">
        <v>6340</v>
      </c>
      <c r="B1017" t="s">
        <v>6146</v>
      </c>
      <c r="C1017">
        <v>38.6678</v>
      </c>
      <c r="D1017">
        <v>-85.123599999999996</v>
      </c>
      <c r="E1017" t="s">
        <v>7745</v>
      </c>
    </row>
    <row r="1018" spans="1:5" hidden="1" x14ac:dyDescent="0.25">
      <c r="A1018" t="s">
        <v>427</v>
      </c>
      <c r="B1018" t="s">
        <v>6146</v>
      </c>
      <c r="C1018">
        <v>38.318199999999997</v>
      </c>
      <c r="D1018">
        <v>-83.049499999999995</v>
      </c>
      <c r="E1018" t="s">
        <v>7746</v>
      </c>
    </row>
    <row r="1019" spans="1:5" hidden="1" x14ac:dyDescent="0.25">
      <c r="A1019" t="s">
        <v>1127</v>
      </c>
      <c r="B1019" t="s">
        <v>6146</v>
      </c>
      <c r="C1019">
        <v>37.322299999999998</v>
      </c>
      <c r="D1019">
        <v>-84.928299999999993</v>
      </c>
      <c r="E1019" t="s">
        <v>7747</v>
      </c>
    </row>
    <row r="1020" spans="1:5" hidden="1" x14ac:dyDescent="0.25">
      <c r="A1020" t="s">
        <v>3555</v>
      </c>
      <c r="B1020" t="s">
        <v>6146</v>
      </c>
      <c r="C1020">
        <v>36.894100000000002</v>
      </c>
      <c r="D1020">
        <v>-87.490399999999994</v>
      </c>
      <c r="E1020" t="s">
        <v>7748</v>
      </c>
    </row>
    <row r="1021" spans="1:5" hidden="1" x14ac:dyDescent="0.25">
      <c r="A1021" t="s">
        <v>174</v>
      </c>
      <c r="B1021" t="s">
        <v>6146</v>
      </c>
      <c r="C1021">
        <v>37.970799999999997</v>
      </c>
      <c r="D1021">
        <v>-84.147400000000005</v>
      </c>
      <c r="E1021" t="s">
        <v>7749</v>
      </c>
    </row>
    <row r="1022" spans="1:5" hidden="1" x14ac:dyDescent="0.25">
      <c r="A1022" t="s">
        <v>6221</v>
      </c>
      <c r="B1022" t="s">
        <v>6146</v>
      </c>
      <c r="C1022">
        <v>37.159700000000001</v>
      </c>
      <c r="D1022">
        <v>-83.714600000000004</v>
      </c>
      <c r="E1022" t="s">
        <v>7750</v>
      </c>
    </row>
    <row r="1023" spans="1:5" hidden="1" x14ac:dyDescent="0.25">
      <c r="A1023" t="s">
        <v>1113</v>
      </c>
      <c r="B1023" t="s">
        <v>6146</v>
      </c>
      <c r="C1023">
        <v>36.727400000000003</v>
      </c>
      <c r="D1023">
        <v>-85.136200000000002</v>
      </c>
      <c r="E1023" t="s">
        <v>7751</v>
      </c>
    </row>
    <row r="1024" spans="1:5" hidden="1" x14ac:dyDescent="0.25">
      <c r="A1024" t="s">
        <v>6355</v>
      </c>
      <c r="B1024" t="s">
        <v>6146</v>
      </c>
      <c r="C1024">
        <v>37.352699999999999</v>
      </c>
      <c r="D1024">
        <v>-88.097200000000001</v>
      </c>
      <c r="E1024" t="s">
        <v>7752</v>
      </c>
    </row>
    <row r="1025" spans="1:5" hidden="1" x14ac:dyDescent="0.25">
      <c r="A1025" t="s">
        <v>7316</v>
      </c>
      <c r="B1025" t="s">
        <v>6146</v>
      </c>
      <c r="C1025">
        <v>36.7866</v>
      </c>
      <c r="D1025">
        <v>-85.388499999999993</v>
      </c>
      <c r="E1025" t="s">
        <v>7753</v>
      </c>
    </row>
    <row r="1026" spans="1:5" hidden="1" x14ac:dyDescent="0.25">
      <c r="A1026" t="s">
        <v>7450</v>
      </c>
      <c r="B1026" t="s">
        <v>6146</v>
      </c>
      <c r="C1026">
        <v>37.7318</v>
      </c>
      <c r="D1026">
        <v>-87.087299999999999</v>
      </c>
      <c r="E1026" t="s">
        <v>7754</v>
      </c>
    </row>
    <row r="1027" spans="1:5" hidden="1" x14ac:dyDescent="0.25">
      <c r="A1027" t="s">
        <v>7755</v>
      </c>
      <c r="B1027" t="s">
        <v>6146</v>
      </c>
      <c r="C1027">
        <v>37.208799999999997</v>
      </c>
      <c r="D1027">
        <v>-86.238399999999999</v>
      </c>
      <c r="E1027" t="s">
        <v>7756</v>
      </c>
    </row>
    <row r="1028" spans="1:5" hidden="1" x14ac:dyDescent="0.25">
      <c r="A1028" t="s">
        <v>7757</v>
      </c>
      <c r="B1028" t="s">
        <v>6146</v>
      </c>
      <c r="C1028">
        <v>38.117899999999999</v>
      </c>
      <c r="D1028">
        <v>-83.0976</v>
      </c>
      <c r="E1028" t="s">
        <v>7758</v>
      </c>
    </row>
    <row r="1029" spans="1:5" hidden="1" x14ac:dyDescent="0.25">
      <c r="A1029" t="s">
        <v>7759</v>
      </c>
      <c r="B1029" t="s">
        <v>6146</v>
      </c>
      <c r="C1029">
        <v>37.692399999999999</v>
      </c>
      <c r="D1029">
        <v>-83.964299999999994</v>
      </c>
      <c r="E1029" t="s">
        <v>7760</v>
      </c>
    </row>
    <row r="1030" spans="1:5" hidden="1" x14ac:dyDescent="0.25">
      <c r="A1030" t="s">
        <v>6258</v>
      </c>
      <c r="B1030" t="s">
        <v>6146</v>
      </c>
      <c r="C1030">
        <v>38.042299999999997</v>
      </c>
      <c r="D1030">
        <v>-84.458699999999993</v>
      </c>
      <c r="E1030" t="s">
        <v>7761</v>
      </c>
    </row>
    <row r="1031" spans="1:5" hidden="1" x14ac:dyDescent="0.25">
      <c r="A1031" t="s">
        <v>1236</v>
      </c>
      <c r="B1031" t="s">
        <v>6146</v>
      </c>
      <c r="C1031">
        <v>38.370100000000001</v>
      </c>
      <c r="D1031">
        <v>-83.696700000000007</v>
      </c>
      <c r="E1031" t="s">
        <v>7762</v>
      </c>
    </row>
    <row r="1032" spans="1:5" hidden="1" x14ac:dyDescent="0.25">
      <c r="A1032" t="s">
        <v>1320</v>
      </c>
      <c r="B1032" t="s">
        <v>6146</v>
      </c>
      <c r="C1032">
        <v>37.557099999999998</v>
      </c>
      <c r="D1032">
        <v>-82.745699999999999</v>
      </c>
      <c r="E1032" t="s">
        <v>7763</v>
      </c>
    </row>
    <row r="1033" spans="1:5" hidden="1" x14ac:dyDescent="0.25">
      <c r="A1033" t="s">
        <v>6260</v>
      </c>
      <c r="B1033" t="s">
        <v>6146</v>
      </c>
      <c r="C1033">
        <v>38.239100000000001</v>
      </c>
      <c r="D1033">
        <v>-84.877099999999999</v>
      </c>
      <c r="E1033" t="s">
        <v>7764</v>
      </c>
    </row>
    <row r="1034" spans="1:5" hidden="1" x14ac:dyDescent="0.25">
      <c r="A1034" t="s">
        <v>6366</v>
      </c>
      <c r="B1034" t="s">
        <v>6146</v>
      </c>
      <c r="C1034">
        <v>36.554000000000002</v>
      </c>
      <c r="D1034">
        <v>-89.187399999999997</v>
      </c>
      <c r="E1034" t="s">
        <v>7765</v>
      </c>
    </row>
    <row r="1035" spans="1:5" hidden="1" x14ac:dyDescent="0.25">
      <c r="A1035" t="s">
        <v>7332</v>
      </c>
      <c r="B1035" t="s">
        <v>6146</v>
      </c>
      <c r="C1035">
        <v>38.756900000000002</v>
      </c>
      <c r="D1035">
        <v>-84.859300000000005</v>
      </c>
      <c r="E1035" t="s">
        <v>7766</v>
      </c>
    </row>
    <row r="1036" spans="1:5" hidden="1" x14ac:dyDescent="0.25">
      <c r="A1036" t="s">
        <v>7767</v>
      </c>
      <c r="B1036" t="s">
        <v>6146</v>
      </c>
      <c r="C1036">
        <v>37.639600000000002</v>
      </c>
      <c r="D1036">
        <v>-84.537700000000001</v>
      </c>
      <c r="E1036" t="s">
        <v>7768</v>
      </c>
    </row>
    <row r="1037" spans="1:5" hidden="1" x14ac:dyDescent="0.25">
      <c r="A1037" t="s">
        <v>4593</v>
      </c>
      <c r="B1037" t="s">
        <v>6146</v>
      </c>
      <c r="C1037">
        <v>38.648800000000001</v>
      </c>
      <c r="D1037">
        <v>-84.624600000000001</v>
      </c>
      <c r="E1037" t="s">
        <v>7769</v>
      </c>
    </row>
    <row r="1038" spans="1:5" hidden="1" x14ac:dyDescent="0.25">
      <c r="A1038" t="s">
        <v>7770</v>
      </c>
      <c r="B1038" t="s">
        <v>6146</v>
      </c>
      <c r="C1038">
        <v>36.723100000000002</v>
      </c>
      <c r="D1038">
        <v>-88.651200000000003</v>
      </c>
      <c r="E1038" t="s">
        <v>7771</v>
      </c>
    </row>
    <row r="1039" spans="1:5" hidden="1" x14ac:dyDescent="0.25">
      <c r="A1039" t="s">
        <v>4215</v>
      </c>
      <c r="B1039" t="s">
        <v>6146</v>
      </c>
      <c r="C1039">
        <v>37.460799999999999</v>
      </c>
      <c r="D1039">
        <v>-86.343900000000005</v>
      </c>
      <c r="E1039" t="s">
        <v>7772</v>
      </c>
    </row>
    <row r="1040" spans="1:5" hidden="1" x14ac:dyDescent="0.25">
      <c r="A1040" t="s">
        <v>3314</v>
      </c>
      <c r="B1040" t="s">
        <v>6146</v>
      </c>
      <c r="C1040">
        <v>37.264000000000003</v>
      </c>
      <c r="D1040">
        <v>-85.553100000000001</v>
      </c>
      <c r="E1040" t="s">
        <v>7773</v>
      </c>
    </row>
    <row r="1041" spans="1:5" hidden="1" x14ac:dyDescent="0.25">
      <c r="A1041" t="s">
        <v>7774</v>
      </c>
      <c r="B1041" t="s">
        <v>6146</v>
      </c>
      <c r="C1041">
        <v>38.545699999999997</v>
      </c>
      <c r="D1041">
        <v>-82.922300000000007</v>
      </c>
      <c r="E1041" t="s">
        <v>7775</v>
      </c>
    </row>
    <row r="1042" spans="1:5" hidden="1" x14ac:dyDescent="0.25">
      <c r="A1042" t="s">
        <v>1216</v>
      </c>
      <c r="B1042" t="s">
        <v>6146</v>
      </c>
      <c r="C1042">
        <v>37.841500000000003</v>
      </c>
      <c r="D1042">
        <v>-86.777900000000002</v>
      </c>
      <c r="E1042" t="s">
        <v>7776</v>
      </c>
    </row>
    <row r="1043" spans="1:5" hidden="1" x14ac:dyDescent="0.25">
      <c r="A1043" t="s">
        <v>7139</v>
      </c>
      <c r="B1043" t="s">
        <v>6146</v>
      </c>
      <c r="C1043">
        <v>37.697899999999997</v>
      </c>
      <c r="D1043">
        <v>-85.963399999999993</v>
      </c>
      <c r="E1043" t="s">
        <v>7777</v>
      </c>
    </row>
    <row r="1044" spans="1:5" hidden="1" x14ac:dyDescent="0.25">
      <c r="A1044" t="s">
        <v>7778</v>
      </c>
      <c r="B1044" t="s">
        <v>6146</v>
      </c>
      <c r="C1044">
        <v>36.856900000000003</v>
      </c>
      <c r="D1044">
        <v>-83.218000000000004</v>
      </c>
      <c r="E1044" t="s">
        <v>7779</v>
      </c>
    </row>
    <row r="1045" spans="1:5" hidden="1" x14ac:dyDescent="0.25">
      <c r="A1045" t="s">
        <v>1623</v>
      </c>
      <c r="B1045" t="s">
        <v>6146</v>
      </c>
      <c r="C1045">
        <v>38.441800000000001</v>
      </c>
      <c r="D1045">
        <v>-84.331400000000002</v>
      </c>
      <c r="E1045" t="s">
        <v>7780</v>
      </c>
    </row>
    <row r="1046" spans="1:5" hidden="1" x14ac:dyDescent="0.25">
      <c r="A1046" t="s">
        <v>4649</v>
      </c>
      <c r="B1046" t="s">
        <v>6146</v>
      </c>
      <c r="C1046">
        <v>37.299900000000001</v>
      </c>
      <c r="D1046">
        <v>-85.884699999999995</v>
      </c>
      <c r="E1046" t="s">
        <v>7781</v>
      </c>
    </row>
    <row r="1047" spans="1:5" hidden="1" x14ac:dyDescent="0.25">
      <c r="A1047" t="s">
        <v>7339</v>
      </c>
      <c r="B1047" t="s">
        <v>6146</v>
      </c>
      <c r="C1047">
        <v>37.7958</v>
      </c>
      <c r="D1047">
        <v>-87.572900000000004</v>
      </c>
      <c r="E1047" t="s">
        <v>7782</v>
      </c>
    </row>
    <row r="1048" spans="1:5" hidden="1" x14ac:dyDescent="0.25">
      <c r="A1048" t="s">
        <v>334</v>
      </c>
      <c r="B1048" t="s">
        <v>6146</v>
      </c>
      <c r="C1048">
        <v>38.448500000000003</v>
      </c>
      <c r="D1048">
        <v>-85.118899999999996</v>
      </c>
      <c r="E1048" t="s">
        <v>7783</v>
      </c>
    </row>
    <row r="1049" spans="1:5" hidden="1" x14ac:dyDescent="0.25">
      <c r="A1049" t="s">
        <v>7784</v>
      </c>
      <c r="B1049" t="s">
        <v>6146</v>
      </c>
      <c r="C1049">
        <v>36.678100000000001</v>
      </c>
      <c r="D1049">
        <v>-88.976100000000002</v>
      </c>
      <c r="E1049" t="s">
        <v>7785</v>
      </c>
    </row>
    <row r="1050" spans="1:5" hidden="1" x14ac:dyDescent="0.25">
      <c r="A1050" t="s">
        <v>7786</v>
      </c>
      <c r="B1050" t="s">
        <v>6146</v>
      </c>
      <c r="C1050">
        <v>37.308799999999998</v>
      </c>
      <c r="D1050">
        <v>-87.540800000000004</v>
      </c>
      <c r="E1050" t="s">
        <v>7787</v>
      </c>
    </row>
    <row r="1051" spans="1:5" hidden="1" x14ac:dyDescent="0.25">
      <c r="A1051" t="s">
        <v>191</v>
      </c>
      <c r="B1051" t="s">
        <v>6146</v>
      </c>
      <c r="C1051">
        <v>37.419800000000002</v>
      </c>
      <c r="D1051">
        <v>-84.005799999999994</v>
      </c>
      <c r="E1051" t="s">
        <v>7788</v>
      </c>
    </row>
    <row r="1052" spans="1:5" hidden="1" x14ac:dyDescent="0.25">
      <c r="A1052" t="s">
        <v>6272</v>
      </c>
      <c r="B1052" t="s">
        <v>6146</v>
      </c>
      <c r="C1052">
        <v>38.187199999999997</v>
      </c>
      <c r="D1052">
        <v>-85.659099999999995</v>
      </c>
      <c r="E1052" t="s">
        <v>7789</v>
      </c>
    </row>
    <row r="1053" spans="1:5" hidden="1" x14ac:dyDescent="0.25">
      <c r="A1053" t="s">
        <v>7790</v>
      </c>
      <c r="B1053" t="s">
        <v>6146</v>
      </c>
      <c r="C1053">
        <v>37.872</v>
      </c>
      <c r="D1053">
        <v>-84.5809</v>
      </c>
      <c r="E1053" t="s">
        <v>7791</v>
      </c>
    </row>
    <row r="1054" spans="1:5" hidden="1" x14ac:dyDescent="0.25">
      <c r="A1054" t="s">
        <v>37</v>
      </c>
      <c r="B1054" t="s">
        <v>6146</v>
      </c>
      <c r="C1054">
        <v>37.846600000000002</v>
      </c>
      <c r="D1054">
        <v>-82.831500000000005</v>
      </c>
      <c r="E1054" t="s">
        <v>7792</v>
      </c>
    </row>
    <row r="1055" spans="1:5" hidden="1" x14ac:dyDescent="0.25">
      <c r="A1055" t="s">
        <v>7793</v>
      </c>
      <c r="B1055" t="s">
        <v>6146</v>
      </c>
      <c r="C1055">
        <v>38.933399999999999</v>
      </c>
      <c r="D1055">
        <v>-84.533299999999997</v>
      </c>
      <c r="E1055" t="s">
        <v>7794</v>
      </c>
    </row>
    <row r="1056" spans="1:5" hidden="1" x14ac:dyDescent="0.25">
      <c r="A1056" t="s">
        <v>7795</v>
      </c>
      <c r="B1056" t="s">
        <v>6146</v>
      </c>
      <c r="C1056">
        <v>37.353999999999999</v>
      </c>
      <c r="D1056">
        <v>-82.954099999999997</v>
      </c>
      <c r="E1056" t="s">
        <v>7796</v>
      </c>
    </row>
    <row r="1057" spans="1:5" hidden="1" x14ac:dyDescent="0.25">
      <c r="A1057" t="s">
        <v>7357</v>
      </c>
      <c r="B1057" t="s">
        <v>6146</v>
      </c>
      <c r="C1057">
        <v>36.890599999999999</v>
      </c>
      <c r="D1057">
        <v>-83.853999999999999</v>
      </c>
      <c r="E1057" t="s">
        <v>7797</v>
      </c>
    </row>
    <row r="1058" spans="1:5" hidden="1" x14ac:dyDescent="0.25">
      <c r="A1058" t="s">
        <v>7798</v>
      </c>
      <c r="B1058" t="s">
        <v>6146</v>
      </c>
      <c r="C1058">
        <v>37.5458</v>
      </c>
      <c r="D1058">
        <v>-85.697900000000004</v>
      </c>
      <c r="E1058" t="s">
        <v>7799</v>
      </c>
    </row>
    <row r="1059" spans="1:5" hidden="1" x14ac:dyDescent="0.25">
      <c r="A1059" t="s">
        <v>7800</v>
      </c>
      <c r="B1059" t="s">
        <v>6146</v>
      </c>
      <c r="C1059">
        <v>37.110700000000001</v>
      </c>
      <c r="D1059">
        <v>-84.117800000000003</v>
      </c>
      <c r="E1059" t="s">
        <v>7801</v>
      </c>
    </row>
    <row r="1060" spans="1:5" hidden="1" x14ac:dyDescent="0.25">
      <c r="A1060" t="s">
        <v>492</v>
      </c>
      <c r="B1060" t="s">
        <v>6146</v>
      </c>
      <c r="C1060">
        <v>38.067900000000002</v>
      </c>
      <c r="D1060">
        <v>-82.734800000000007</v>
      </c>
      <c r="E1060" t="s">
        <v>7802</v>
      </c>
    </row>
    <row r="1061" spans="1:5" hidden="1" x14ac:dyDescent="0.25">
      <c r="A1061" t="s">
        <v>2353</v>
      </c>
      <c r="B1061" t="s">
        <v>6146</v>
      </c>
      <c r="C1061">
        <v>37.594799999999999</v>
      </c>
      <c r="D1061">
        <v>-83.716200000000001</v>
      </c>
      <c r="E1061" t="s">
        <v>7803</v>
      </c>
    </row>
    <row r="1062" spans="1:5" hidden="1" x14ac:dyDescent="0.25">
      <c r="A1062" t="s">
        <v>3164</v>
      </c>
      <c r="B1062" t="s">
        <v>6146</v>
      </c>
      <c r="C1062">
        <v>37.094099999999997</v>
      </c>
      <c r="D1062">
        <v>-83.381100000000004</v>
      </c>
      <c r="E1062" t="s">
        <v>7804</v>
      </c>
    </row>
    <row r="1063" spans="1:5" hidden="1" x14ac:dyDescent="0.25">
      <c r="A1063" t="s">
        <v>7805</v>
      </c>
      <c r="B1063" t="s">
        <v>6146</v>
      </c>
      <c r="C1063">
        <v>37.121200000000002</v>
      </c>
      <c r="D1063">
        <v>-82.8553</v>
      </c>
      <c r="E1063" t="s">
        <v>7806</v>
      </c>
    </row>
    <row r="1064" spans="1:5" hidden="1" x14ac:dyDescent="0.25">
      <c r="A1064" t="s">
        <v>1515</v>
      </c>
      <c r="B1064" t="s">
        <v>6146</v>
      </c>
      <c r="C1064">
        <v>38.531500000000001</v>
      </c>
      <c r="D1064">
        <v>-83.378100000000003</v>
      </c>
      <c r="E1064" t="s">
        <v>7807</v>
      </c>
    </row>
    <row r="1065" spans="1:5" hidden="1" x14ac:dyDescent="0.25">
      <c r="A1065" t="s">
        <v>6386</v>
      </c>
      <c r="B1065" t="s">
        <v>6146</v>
      </c>
      <c r="C1065">
        <v>37.455399999999997</v>
      </c>
      <c r="D1065">
        <v>-84.660799999999995</v>
      </c>
      <c r="E1065" t="s">
        <v>7808</v>
      </c>
    </row>
    <row r="1066" spans="1:5" hidden="1" x14ac:dyDescent="0.25">
      <c r="A1066" t="s">
        <v>1355</v>
      </c>
      <c r="B1066" t="s">
        <v>6146</v>
      </c>
      <c r="C1066">
        <v>37.209600000000002</v>
      </c>
      <c r="D1066">
        <v>-88.353700000000003</v>
      </c>
      <c r="E1066" t="s">
        <v>7809</v>
      </c>
    </row>
    <row r="1067" spans="1:5" hidden="1" x14ac:dyDescent="0.25">
      <c r="A1067" t="s">
        <v>987</v>
      </c>
      <c r="B1067" t="s">
        <v>6146</v>
      </c>
      <c r="C1067">
        <v>36.859699999999997</v>
      </c>
      <c r="D1067">
        <v>-86.878900000000002</v>
      </c>
      <c r="E1067" t="s">
        <v>7810</v>
      </c>
    </row>
    <row r="1068" spans="1:5" hidden="1" x14ac:dyDescent="0.25">
      <c r="A1068" t="s">
        <v>4235</v>
      </c>
      <c r="B1068" t="s">
        <v>6146</v>
      </c>
      <c r="C1068">
        <v>37.019100000000002</v>
      </c>
      <c r="D1068">
        <v>-88.083200000000005</v>
      </c>
      <c r="E1068" t="s">
        <v>7811</v>
      </c>
    </row>
    <row r="1069" spans="1:5" hidden="1" x14ac:dyDescent="0.25">
      <c r="A1069" t="s">
        <v>6286</v>
      </c>
      <c r="B1069" t="s">
        <v>6146</v>
      </c>
      <c r="C1069">
        <v>37.720199999999998</v>
      </c>
      <c r="D1069">
        <v>-84.278000000000006</v>
      </c>
      <c r="E1069" t="s">
        <v>7812</v>
      </c>
    </row>
    <row r="1070" spans="1:5" hidden="1" x14ac:dyDescent="0.25">
      <c r="A1070" t="s">
        <v>7813</v>
      </c>
      <c r="B1070" t="s">
        <v>6146</v>
      </c>
      <c r="C1070">
        <v>37.706499999999998</v>
      </c>
      <c r="D1070">
        <v>-83.064899999999994</v>
      </c>
      <c r="E1070" t="s">
        <v>7814</v>
      </c>
    </row>
    <row r="1071" spans="1:5" hidden="1" x14ac:dyDescent="0.25">
      <c r="A1071" t="s">
        <v>6290</v>
      </c>
      <c r="B1071" t="s">
        <v>6146</v>
      </c>
      <c r="C1071">
        <v>37.552500000000002</v>
      </c>
      <c r="D1071">
        <v>-85.269599999999997</v>
      </c>
      <c r="E1071" t="s">
        <v>7815</v>
      </c>
    </row>
    <row r="1072" spans="1:5" hidden="1" x14ac:dyDescent="0.25">
      <c r="A1072" t="s">
        <v>1391</v>
      </c>
      <c r="B1072" t="s">
        <v>6146</v>
      </c>
      <c r="C1072">
        <v>36.883499999999998</v>
      </c>
      <c r="D1072">
        <v>-88.329400000000007</v>
      </c>
      <c r="E1072" t="s">
        <v>7816</v>
      </c>
    </row>
    <row r="1073" spans="1:5" hidden="1" x14ac:dyDescent="0.25">
      <c r="A1073" t="s">
        <v>2429</v>
      </c>
      <c r="B1073" t="s">
        <v>6146</v>
      </c>
      <c r="C1073">
        <v>37.801600000000001</v>
      </c>
      <c r="D1073">
        <v>-82.513199999999998</v>
      </c>
      <c r="E1073" t="s">
        <v>7817</v>
      </c>
    </row>
    <row r="1074" spans="1:5" hidden="1" x14ac:dyDescent="0.25">
      <c r="A1074" t="s">
        <v>2217</v>
      </c>
      <c r="B1074" t="s">
        <v>6146</v>
      </c>
      <c r="C1074">
        <v>38.595199999999998</v>
      </c>
      <c r="D1074">
        <v>-83.824200000000005</v>
      </c>
      <c r="E1074" t="s">
        <v>7818</v>
      </c>
    </row>
    <row r="1075" spans="1:5" hidden="1" x14ac:dyDescent="0.25">
      <c r="A1075" t="s">
        <v>7819</v>
      </c>
      <c r="B1075" t="s">
        <v>6146</v>
      </c>
      <c r="C1075">
        <v>37.054000000000002</v>
      </c>
      <c r="D1075">
        <v>-88.712800000000001</v>
      </c>
      <c r="E1075" t="s">
        <v>7820</v>
      </c>
    </row>
    <row r="1076" spans="1:5" hidden="1" x14ac:dyDescent="0.25">
      <c r="A1076" t="s">
        <v>7821</v>
      </c>
      <c r="B1076" t="s">
        <v>6146</v>
      </c>
      <c r="C1076">
        <v>36.737099999999998</v>
      </c>
      <c r="D1076">
        <v>-84.484200000000001</v>
      </c>
      <c r="E1076" t="s">
        <v>7822</v>
      </c>
    </row>
    <row r="1077" spans="1:5" hidden="1" x14ac:dyDescent="0.25">
      <c r="A1077" t="s">
        <v>7379</v>
      </c>
      <c r="B1077" t="s">
        <v>6146</v>
      </c>
      <c r="C1077">
        <v>37.529200000000003</v>
      </c>
      <c r="D1077">
        <v>-87.263599999999997</v>
      </c>
      <c r="E1077" t="s">
        <v>7823</v>
      </c>
    </row>
    <row r="1078" spans="1:5" hidden="1" x14ac:dyDescent="0.25">
      <c r="A1078" t="s">
        <v>7643</v>
      </c>
      <c r="B1078" t="s">
        <v>6146</v>
      </c>
      <c r="C1078">
        <v>37.969700000000003</v>
      </c>
      <c r="D1078">
        <v>-86.216999999999999</v>
      </c>
      <c r="E1078" t="s">
        <v>7824</v>
      </c>
    </row>
    <row r="1079" spans="1:5" hidden="1" x14ac:dyDescent="0.25">
      <c r="A1079" t="s">
        <v>7825</v>
      </c>
      <c r="B1079" t="s">
        <v>6146</v>
      </c>
      <c r="C1079">
        <v>37.941400000000002</v>
      </c>
      <c r="D1079">
        <v>-83.5989</v>
      </c>
      <c r="E1079" t="s">
        <v>7826</v>
      </c>
    </row>
    <row r="1080" spans="1:5" hidden="1" x14ac:dyDescent="0.25">
      <c r="A1080" t="s">
        <v>1636</v>
      </c>
      <c r="B1080" t="s">
        <v>6146</v>
      </c>
      <c r="C1080">
        <v>37.811</v>
      </c>
      <c r="D1080">
        <v>-84.874499999999998</v>
      </c>
      <c r="E1080" t="s">
        <v>7827</v>
      </c>
    </row>
    <row r="1081" spans="1:5" hidden="1" x14ac:dyDescent="0.25">
      <c r="A1081" t="s">
        <v>7828</v>
      </c>
      <c r="B1081" t="s">
        <v>6146</v>
      </c>
      <c r="C1081">
        <v>36.990499999999997</v>
      </c>
      <c r="D1081">
        <v>-85.629199999999997</v>
      </c>
      <c r="E1081" t="s">
        <v>7829</v>
      </c>
    </row>
    <row r="1082" spans="1:5" hidden="1" x14ac:dyDescent="0.25">
      <c r="A1082" t="s">
        <v>6295</v>
      </c>
      <c r="B1082" t="s">
        <v>6146</v>
      </c>
      <c r="C1082">
        <v>36.712200000000003</v>
      </c>
      <c r="D1082">
        <v>-85.716499999999996</v>
      </c>
      <c r="E1082" t="s">
        <v>7830</v>
      </c>
    </row>
    <row r="1083" spans="1:5" hidden="1" x14ac:dyDescent="0.25">
      <c r="A1083" t="s">
        <v>6297</v>
      </c>
      <c r="B1083" t="s">
        <v>6146</v>
      </c>
      <c r="C1083">
        <v>38.033499999999997</v>
      </c>
      <c r="D1083">
        <v>-83.9131</v>
      </c>
      <c r="E1083" t="s">
        <v>7831</v>
      </c>
    </row>
    <row r="1084" spans="1:5" hidden="1" x14ac:dyDescent="0.25">
      <c r="A1084" t="s">
        <v>496</v>
      </c>
      <c r="B1084" t="s">
        <v>6146</v>
      </c>
      <c r="C1084">
        <v>37.9223</v>
      </c>
      <c r="D1084">
        <v>-83.258899999999997</v>
      </c>
      <c r="E1084" t="s">
        <v>7832</v>
      </c>
    </row>
    <row r="1085" spans="1:5" hidden="1" x14ac:dyDescent="0.25">
      <c r="A1085" t="s">
        <v>7833</v>
      </c>
      <c r="B1085" t="s">
        <v>6146</v>
      </c>
      <c r="C1085">
        <v>37.215800000000002</v>
      </c>
      <c r="D1085">
        <v>-87.141999999999996</v>
      </c>
      <c r="E1085" t="s">
        <v>7834</v>
      </c>
    </row>
    <row r="1086" spans="1:5" hidden="1" x14ac:dyDescent="0.25">
      <c r="A1086" t="s">
        <v>7835</v>
      </c>
      <c r="B1086" t="s">
        <v>6146</v>
      </c>
      <c r="C1086">
        <v>37.805199999999999</v>
      </c>
      <c r="D1086">
        <v>-85.465999999999994</v>
      </c>
      <c r="E1086" t="s">
        <v>7836</v>
      </c>
    </row>
    <row r="1087" spans="1:5" hidden="1" x14ac:dyDescent="0.25">
      <c r="A1087" t="s">
        <v>691</v>
      </c>
      <c r="B1087" t="s">
        <v>6146</v>
      </c>
      <c r="C1087">
        <v>38.335599999999999</v>
      </c>
      <c r="D1087">
        <v>-84.015299999999996</v>
      </c>
      <c r="E1087" t="s">
        <v>7837</v>
      </c>
    </row>
    <row r="1088" spans="1:5" hidden="1" x14ac:dyDescent="0.25">
      <c r="A1088" t="s">
        <v>7506</v>
      </c>
      <c r="B1088" t="s">
        <v>6146</v>
      </c>
      <c r="C1088">
        <v>37.478200000000001</v>
      </c>
      <c r="D1088">
        <v>-86.8489</v>
      </c>
      <c r="E1088" t="s">
        <v>7838</v>
      </c>
    </row>
    <row r="1089" spans="1:5" hidden="1" x14ac:dyDescent="0.25">
      <c r="A1089" t="s">
        <v>7839</v>
      </c>
      <c r="B1089" t="s">
        <v>6146</v>
      </c>
      <c r="C1089">
        <v>38.3994</v>
      </c>
      <c r="D1089">
        <v>-85.448300000000003</v>
      </c>
      <c r="E1089" t="s">
        <v>7840</v>
      </c>
    </row>
    <row r="1090" spans="1:5" hidden="1" x14ac:dyDescent="0.25">
      <c r="A1090" t="s">
        <v>7509</v>
      </c>
      <c r="B1090" t="s">
        <v>6146</v>
      </c>
      <c r="C1090">
        <v>38.5197</v>
      </c>
      <c r="D1090">
        <v>-84.828100000000006</v>
      </c>
      <c r="E1090" t="s">
        <v>7841</v>
      </c>
    </row>
    <row r="1091" spans="1:5" hidden="1" x14ac:dyDescent="0.25">
      <c r="A1091" t="s">
        <v>7842</v>
      </c>
      <c r="B1091" t="s">
        <v>6146</v>
      </c>
      <c r="C1091">
        <v>37.419199999999996</v>
      </c>
      <c r="D1091">
        <v>-83.683099999999996</v>
      </c>
      <c r="E1091" t="s">
        <v>7843</v>
      </c>
    </row>
    <row r="1092" spans="1:5" hidden="1" x14ac:dyDescent="0.25">
      <c r="A1092" t="s">
        <v>7844</v>
      </c>
      <c r="B1092" t="s">
        <v>6146</v>
      </c>
      <c r="C1092">
        <v>38.695599999999999</v>
      </c>
      <c r="D1092">
        <v>-84.360299999999995</v>
      </c>
      <c r="E1092" t="s">
        <v>7845</v>
      </c>
    </row>
    <row r="1093" spans="1:5" hidden="1" x14ac:dyDescent="0.25">
      <c r="A1093" t="s">
        <v>1641</v>
      </c>
      <c r="B1093" t="s">
        <v>6146</v>
      </c>
      <c r="C1093">
        <v>37.244300000000003</v>
      </c>
      <c r="D1093">
        <v>-83.221500000000006</v>
      </c>
      <c r="E1093" t="s">
        <v>7846</v>
      </c>
    </row>
    <row r="1094" spans="1:5" hidden="1" x14ac:dyDescent="0.25">
      <c r="A1094" t="s">
        <v>6303</v>
      </c>
      <c r="B1094" t="s">
        <v>6146</v>
      </c>
      <c r="C1094">
        <v>37.469099999999997</v>
      </c>
      <c r="D1094">
        <v>-82.395799999999994</v>
      </c>
      <c r="E1094" t="s">
        <v>7847</v>
      </c>
    </row>
    <row r="1095" spans="1:5" hidden="1" x14ac:dyDescent="0.25">
      <c r="A1095" t="s">
        <v>5934</v>
      </c>
      <c r="B1095" t="s">
        <v>6146</v>
      </c>
      <c r="C1095">
        <v>37.831099999999999</v>
      </c>
      <c r="D1095">
        <v>-83.823700000000002</v>
      </c>
      <c r="E1095" t="s">
        <v>7848</v>
      </c>
    </row>
    <row r="1096" spans="1:5" hidden="1" x14ac:dyDescent="0.25">
      <c r="A1096" t="s">
        <v>6416</v>
      </c>
      <c r="B1096" t="s">
        <v>6146</v>
      </c>
      <c r="C1096">
        <v>37.103900000000003</v>
      </c>
      <c r="D1096">
        <v>-84.577200000000005</v>
      </c>
      <c r="E1096" t="s">
        <v>7849</v>
      </c>
    </row>
    <row r="1097" spans="1:5" hidden="1" x14ac:dyDescent="0.25">
      <c r="A1097" t="s">
        <v>133</v>
      </c>
      <c r="B1097" t="s">
        <v>6146</v>
      </c>
      <c r="C1097">
        <v>38.518799999999999</v>
      </c>
      <c r="D1097">
        <v>-84.052000000000007</v>
      </c>
      <c r="E1097" t="s">
        <v>7850</v>
      </c>
    </row>
    <row r="1098" spans="1:5" hidden="1" x14ac:dyDescent="0.25">
      <c r="A1098" t="s">
        <v>7851</v>
      </c>
      <c r="B1098" t="s">
        <v>6146</v>
      </c>
      <c r="C1098">
        <v>37.365200000000002</v>
      </c>
      <c r="D1098">
        <v>-84.316000000000003</v>
      </c>
      <c r="E1098" t="s">
        <v>7852</v>
      </c>
    </row>
    <row r="1099" spans="1:5" hidden="1" x14ac:dyDescent="0.25">
      <c r="A1099" t="s">
        <v>1914</v>
      </c>
      <c r="B1099" t="s">
        <v>6146</v>
      </c>
      <c r="C1099">
        <v>38.196300000000001</v>
      </c>
      <c r="D1099">
        <v>-83.421099999999996</v>
      </c>
      <c r="E1099" t="s">
        <v>7853</v>
      </c>
    </row>
    <row r="1100" spans="1:5" hidden="1" x14ac:dyDescent="0.25">
      <c r="A1100" t="s">
        <v>6307</v>
      </c>
      <c r="B1100" t="s">
        <v>6146</v>
      </c>
      <c r="C1100">
        <v>36.991100000000003</v>
      </c>
      <c r="D1100">
        <v>-85.058700000000002</v>
      </c>
      <c r="E1100" t="s">
        <v>7854</v>
      </c>
    </row>
    <row r="1101" spans="1:5" hidden="1" x14ac:dyDescent="0.25">
      <c r="A1101" t="s">
        <v>5291</v>
      </c>
      <c r="B1101" t="s">
        <v>6146</v>
      </c>
      <c r="C1101">
        <v>38.291600000000003</v>
      </c>
      <c r="D1101">
        <v>-84.5839</v>
      </c>
      <c r="E1101" t="s">
        <v>7855</v>
      </c>
    </row>
    <row r="1102" spans="1:5" hidden="1" x14ac:dyDescent="0.25">
      <c r="A1102" t="s">
        <v>6309</v>
      </c>
      <c r="B1102" t="s">
        <v>6146</v>
      </c>
      <c r="C1102">
        <v>38.215499999999999</v>
      </c>
      <c r="D1102">
        <v>-85.194800000000001</v>
      </c>
      <c r="E1102" t="s">
        <v>7856</v>
      </c>
    </row>
    <row r="1103" spans="1:5" hidden="1" x14ac:dyDescent="0.25">
      <c r="A1103" t="s">
        <v>1790</v>
      </c>
      <c r="B1103" t="s">
        <v>6146</v>
      </c>
      <c r="C1103">
        <v>36.741999999999997</v>
      </c>
      <c r="D1103">
        <v>-86.582300000000004</v>
      </c>
      <c r="E1103" t="s">
        <v>7857</v>
      </c>
    </row>
    <row r="1104" spans="1:5" hidden="1" x14ac:dyDescent="0.25">
      <c r="A1104" t="s">
        <v>1672</v>
      </c>
      <c r="B1104" t="s">
        <v>6146</v>
      </c>
      <c r="C1104">
        <v>38.032499999999999</v>
      </c>
      <c r="D1104">
        <v>-85.327799999999996</v>
      </c>
      <c r="E1104" t="s">
        <v>7858</v>
      </c>
    </row>
    <row r="1105" spans="1:5" hidden="1" x14ac:dyDescent="0.25">
      <c r="A1105" t="s">
        <v>3564</v>
      </c>
      <c r="B1105" t="s">
        <v>6146</v>
      </c>
      <c r="C1105">
        <v>37.366500000000002</v>
      </c>
      <c r="D1105">
        <v>-85.3279</v>
      </c>
      <c r="E1105" t="s">
        <v>7859</v>
      </c>
    </row>
    <row r="1106" spans="1:5" hidden="1" x14ac:dyDescent="0.25">
      <c r="A1106" t="s">
        <v>7860</v>
      </c>
      <c r="B1106" t="s">
        <v>6146</v>
      </c>
      <c r="C1106">
        <v>36.835700000000003</v>
      </c>
      <c r="D1106">
        <v>-87.179199999999994</v>
      </c>
      <c r="E1106" t="s">
        <v>7861</v>
      </c>
    </row>
    <row r="1107" spans="1:5" hidden="1" x14ac:dyDescent="0.25">
      <c r="A1107" t="s">
        <v>7862</v>
      </c>
      <c r="B1107" t="s">
        <v>6146</v>
      </c>
      <c r="C1107">
        <v>36.806399999999996</v>
      </c>
      <c r="D1107">
        <v>-87.8733</v>
      </c>
      <c r="E1107" t="s">
        <v>7863</v>
      </c>
    </row>
    <row r="1108" spans="1:5" hidden="1" x14ac:dyDescent="0.25">
      <c r="A1108" t="s">
        <v>7864</v>
      </c>
      <c r="B1108" t="s">
        <v>6146</v>
      </c>
      <c r="C1108">
        <v>38.613</v>
      </c>
      <c r="D1108">
        <v>-85.337500000000006</v>
      </c>
      <c r="E1108" t="s">
        <v>7865</v>
      </c>
    </row>
    <row r="1109" spans="1:5" hidden="1" x14ac:dyDescent="0.25">
      <c r="A1109" t="s">
        <v>5878</v>
      </c>
      <c r="B1109" t="s">
        <v>6146</v>
      </c>
      <c r="C1109">
        <v>37.6584</v>
      </c>
      <c r="D1109">
        <v>-87.945400000000006</v>
      </c>
      <c r="E1109" t="s">
        <v>7866</v>
      </c>
    </row>
    <row r="1110" spans="1:5" hidden="1" x14ac:dyDescent="0.25">
      <c r="A1110" t="s">
        <v>448</v>
      </c>
      <c r="B1110" t="s">
        <v>6146</v>
      </c>
      <c r="C1110">
        <v>36.993600000000001</v>
      </c>
      <c r="D1110">
        <v>-86.4238</v>
      </c>
      <c r="E1110" t="s">
        <v>7867</v>
      </c>
    </row>
    <row r="1111" spans="1:5" hidden="1" x14ac:dyDescent="0.25">
      <c r="A1111" t="s">
        <v>3052</v>
      </c>
      <c r="B1111" t="s">
        <v>6146</v>
      </c>
      <c r="C1111">
        <v>37.753399999999999</v>
      </c>
      <c r="D1111">
        <v>-85.174800000000005</v>
      </c>
      <c r="E1111" t="s">
        <v>7868</v>
      </c>
    </row>
    <row r="1112" spans="1:5" hidden="1" x14ac:dyDescent="0.25">
      <c r="A1112" t="s">
        <v>7057</v>
      </c>
      <c r="B1112" t="s">
        <v>6146</v>
      </c>
      <c r="C1112">
        <v>36.801299999999998</v>
      </c>
      <c r="D1112">
        <v>-84.828599999999994</v>
      </c>
      <c r="E1112" t="s">
        <v>7869</v>
      </c>
    </row>
    <row r="1113" spans="1:5" hidden="1" x14ac:dyDescent="0.25">
      <c r="A1113" t="s">
        <v>7059</v>
      </c>
      <c r="B1113" t="s">
        <v>6146</v>
      </c>
      <c r="C1113">
        <v>37.5184</v>
      </c>
      <c r="D1113">
        <v>-87.683199999999999</v>
      </c>
      <c r="E1113" t="s">
        <v>7870</v>
      </c>
    </row>
    <row r="1114" spans="1:5" hidden="1" x14ac:dyDescent="0.25">
      <c r="A1114" t="s">
        <v>7556</v>
      </c>
      <c r="B1114" t="s">
        <v>6146</v>
      </c>
      <c r="C1114">
        <v>36.758099999999999</v>
      </c>
      <c r="D1114">
        <v>-84.145200000000003</v>
      </c>
      <c r="E1114" t="s">
        <v>7871</v>
      </c>
    </row>
    <row r="1115" spans="1:5" hidden="1" x14ac:dyDescent="0.25">
      <c r="A1115" t="s">
        <v>7872</v>
      </c>
      <c r="B1115" t="s">
        <v>6146</v>
      </c>
      <c r="C1115">
        <v>37.7393</v>
      </c>
      <c r="D1115">
        <v>-83.493200000000002</v>
      </c>
      <c r="E1115" t="s">
        <v>7873</v>
      </c>
    </row>
    <row r="1116" spans="1:5" hidden="1" x14ac:dyDescent="0.25">
      <c r="A1116" t="s">
        <v>7433</v>
      </c>
      <c r="B1116" t="s">
        <v>6146</v>
      </c>
      <c r="C1116">
        <v>38.042400000000001</v>
      </c>
      <c r="D1116">
        <v>-84.743600000000001</v>
      </c>
      <c r="E1116" t="s">
        <v>7874</v>
      </c>
    </row>
    <row r="1117" spans="1:5" hidden="1" x14ac:dyDescent="0.25">
      <c r="A1117" t="s">
        <v>7875</v>
      </c>
      <c r="B1117" t="s">
        <v>6149</v>
      </c>
      <c r="C1117">
        <v>30.290600000000001</v>
      </c>
      <c r="D1117">
        <v>-92.412000000000006</v>
      </c>
      <c r="E1117" t="s">
        <v>7876</v>
      </c>
    </row>
    <row r="1118" spans="1:5" hidden="1" x14ac:dyDescent="0.25">
      <c r="A1118" t="s">
        <v>523</v>
      </c>
      <c r="B1118" t="s">
        <v>6149</v>
      </c>
      <c r="C1118">
        <v>30.652899999999999</v>
      </c>
      <c r="D1118">
        <v>-92.828000000000003</v>
      </c>
      <c r="E1118" t="s">
        <v>7877</v>
      </c>
    </row>
    <row r="1119" spans="1:5" hidden="1" x14ac:dyDescent="0.25">
      <c r="A1119" t="s">
        <v>7878</v>
      </c>
      <c r="B1119" t="s">
        <v>6149</v>
      </c>
      <c r="C1119">
        <v>30.203600000000002</v>
      </c>
      <c r="D1119">
        <v>-90.911299999999997</v>
      </c>
      <c r="E1119" t="s">
        <v>7879</v>
      </c>
    </row>
    <row r="1120" spans="1:5" hidden="1" x14ac:dyDescent="0.25">
      <c r="A1120" t="s">
        <v>7880</v>
      </c>
      <c r="B1120" t="s">
        <v>6149</v>
      </c>
      <c r="C1120">
        <v>29.9024</v>
      </c>
      <c r="D1120">
        <v>-91.0608</v>
      </c>
      <c r="E1120" t="s">
        <v>7881</v>
      </c>
    </row>
    <row r="1121" spans="1:5" hidden="1" x14ac:dyDescent="0.25">
      <c r="A1121" t="s">
        <v>7882</v>
      </c>
      <c r="B1121" t="s">
        <v>6149</v>
      </c>
      <c r="C1121">
        <v>31.0763</v>
      </c>
      <c r="D1121">
        <v>-92.001400000000004</v>
      </c>
      <c r="E1121" t="s">
        <v>7883</v>
      </c>
    </row>
    <row r="1122" spans="1:5" hidden="1" x14ac:dyDescent="0.25">
      <c r="A1122" t="s">
        <v>7884</v>
      </c>
      <c r="B1122" t="s">
        <v>6149</v>
      </c>
      <c r="C1122">
        <v>30.648599999999998</v>
      </c>
      <c r="D1122">
        <v>-93.343199999999996</v>
      </c>
      <c r="E1122" t="s">
        <v>7885</v>
      </c>
    </row>
    <row r="1123" spans="1:5" hidden="1" x14ac:dyDescent="0.25">
      <c r="A1123" t="s">
        <v>7886</v>
      </c>
      <c r="B1123" t="s">
        <v>6149</v>
      </c>
      <c r="C1123">
        <v>32.347299999999997</v>
      </c>
      <c r="D1123">
        <v>-93.056100000000001</v>
      </c>
      <c r="E1123" t="s">
        <v>7887</v>
      </c>
    </row>
    <row r="1124" spans="1:5" hidden="1" x14ac:dyDescent="0.25">
      <c r="A1124" t="s">
        <v>7888</v>
      </c>
      <c r="B1124" t="s">
        <v>6149</v>
      </c>
      <c r="C1124">
        <v>32.678400000000003</v>
      </c>
      <c r="D1124">
        <v>-93.604900000000001</v>
      </c>
      <c r="E1124" t="s">
        <v>7889</v>
      </c>
    </row>
    <row r="1125" spans="1:5" hidden="1" x14ac:dyDescent="0.25">
      <c r="A1125" t="s">
        <v>7890</v>
      </c>
      <c r="B1125" t="s">
        <v>6149</v>
      </c>
      <c r="C1125">
        <v>32.580599999999997</v>
      </c>
      <c r="D1125">
        <v>-93.882300000000001</v>
      </c>
      <c r="E1125" t="s">
        <v>7891</v>
      </c>
    </row>
    <row r="1126" spans="1:5" hidden="1" x14ac:dyDescent="0.25">
      <c r="A1126" t="s">
        <v>7892</v>
      </c>
      <c r="B1126" t="s">
        <v>6149</v>
      </c>
      <c r="C1126">
        <v>30.229299999999999</v>
      </c>
      <c r="D1126">
        <v>-93.358099999999993</v>
      </c>
      <c r="E1126" t="s">
        <v>7893</v>
      </c>
    </row>
    <row r="1127" spans="1:5" hidden="1" x14ac:dyDescent="0.25">
      <c r="A1127" t="s">
        <v>3494</v>
      </c>
      <c r="B1127" t="s">
        <v>6149</v>
      </c>
      <c r="C1127">
        <v>32.092500000000001</v>
      </c>
      <c r="D1127">
        <v>-92.116600000000005</v>
      </c>
      <c r="E1127" t="s">
        <v>7894</v>
      </c>
    </row>
    <row r="1128" spans="1:5" hidden="1" x14ac:dyDescent="0.25">
      <c r="A1128" t="s">
        <v>7895</v>
      </c>
      <c r="B1128" t="s">
        <v>6149</v>
      </c>
      <c r="C1128">
        <v>29.875399999999999</v>
      </c>
      <c r="D1128">
        <v>-93.193700000000007</v>
      </c>
      <c r="E1128" t="s">
        <v>7896</v>
      </c>
    </row>
    <row r="1129" spans="1:5" hidden="1" x14ac:dyDescent="0.25">
      <c r="A1129" t="s">
        <v>7897</v>
      </c>
      <c r="B1129" t="s">
        <v>6149</v>
      </c>
      <c r="C1129">
        <v>31.6662</v>
      </c>
      <c r="D1129">
        <v>-91.846999999999994</v>
      </c>
      <c r="E1129" t="s">
        <v>7898</v>
      </c>
    </row>
    <row r="1130" spans="1:5" hidden="1" x14ac:dyDescent="0.25">
      <c r="A1130" t="s">
        <v>7899</v>
      </c>
      <c r="B1130" t="s">
        <v>6149</v>
      </c>
      <c r="C1130">
        <v>32.822699999999998</v>
      </c>
      <c r="D1130">
        <v>-92.995800000000003</v>
      </c>
      <c r="E1130" t="s">
        <v>7900</v>
      </c>
    </row>
    <row r="1131" spans="1:5" hidden="1" x14ac:dyDescent="0.25">
      <c r="A1131" t="s">
        <v>7901</v>
      </c>
      <c r="B1131" t="s">
        <v>6149</v>
      </c>
      <c r="C1131">
        <v>31.445900000000002</v>
      </c>
      <c r="D1131">
        <v>-91.640100000000004</v>
      </c>
      <c r="E1131" t="s">
        <v>7902</v>
      </c>
    </row>
    <row r="1132" spans="1:5" hidden="1" x14ac:dyDescent="0.25">
      <c r="A1132" t="s">
        <v>7903</v>
      </c>
      <c r="B1132" t="s">
        <v>6149</v>
      </c>
      <c r="C1132">
        <v>32.055399999999999</v>
      </c>
      <c r="D1132">
        <v>-93.737300000000005</v>
      </c>
      <c r="E1132" t="s">
        <v>7904</v>
      </c>
    </row>
    <row r="1133" spans="1:5" hidden="1" x14ac:dyDescent="0.25">
      <c r="A1133" t="s">
        <v>7905</v>
      </c>
      <c r="B1133" t="s">
        <v>6149</v>
      </c>
      <c r="C1133">
        <v>30.5383</v>
      </c>
      <c r="D1133">
        <v>-91.095600000000005</v>
      </c>
      <c r="E1133" t="s">
        <v>7906</v>
      </c>
    </row>
    <row r="1134" spans="1:5" hidden="1" x14ac:dyDescent="0.25">
      <c r="A1134" t="s">
        <v>7907</v>
      </c>
      <c r="B1134" t="s">
        <v>6149</v>
      </c>
      <c r="C1134">
        <v>32.732500000000002</v>
      </c>
      <c r="D1134">
        <v>-91.234999999999999</v>
      </c>
      <c r="E1134" t="s">
        <v>7908</v>
      </c>
    </row>
    <row r="1135" spans="1:5" hidden="1" x14ac:dyDescent="0.25">
      <c r="A1135" t="s">
        <v>7909</v>
      </c>
      <c r="B1135" t="s">
        <v>6149</v>
      </c>
      <c r="C1135">
        <v>30.845099999999999</v>
      </c>
      <c r="D1135">
        <v>-91.045500000000004</v>
      </c>
      <c r="E1135" t="s">
        <v>7910</v>
      </c>
    </row>
    <row r="1136" spans="1:5" hidden="1" x14ac:dyDescent="0.25">
      <c r="A1136" t="s">
        <v>7911</v>
      </c>
      <c r="B1136" t="s">
        <v>6149</v>
      </c>
      <c r="C1136">
        <v>30.728899999999999</v>
      </c>
      <c r="D1136">
        <v>-92.406000000000006</v>
      </c>
      <c r="E1136" t="s">
        <v>7912</v>
      </c>
    </row>
    <row r="1137" spans="1:5" hidden="1" x14ac:dyDescent="0.25">
      <c r="A1137" t="s">
        <v>6260</v>
      </c>
      <c r="B1137" t="s">
        <v>6149</v>
      </c>
      <c r="C1137">
        <v>32.133299999999998</v>
      </c>
      <c r="D1137">
        <v>-91.6738</v>
      </c>
      <c r="E1137" t="s">
        <v>7913</v>
      </c>
    </row>
    <row r="1138" spans="1:5" hidden="1" x14ac:dyDescent="0.25">
      <c r="A1138" t="s">
        <v>4593</v>
      </c>
      <c r="B1138" t="s">
        <v>6149</v>
      </c>
      <c r="C1138">
        <v>31.599699999999999</v>
      </c>
      <c r="D1138">
        <v>-92.5595</v>
      </c>
      <c r="E1138" t="s">
        <v>7914</v>
      </c>
    </row>
    <row r="1139" spans="1:5" hidden="1" x14ac:dyDescent="0.25">
      <c r="A1139" t="s">
        <v>7915</v>
      </c>
      <c r="B1139" t="s">
        <v>6149</v>
      </c>
      <c r="C1139">
        <v>29.896699999999999</v>
      </c>
      <c r="D1139">
        <v>-91.730800000000002</v>
      </c>
      <c r="E1139" t="s">
        <v>7916</v>
      </c>
    </row>
    <row r="1140" spans="1:5" hidden="1" x14ac:dyDescent="0.25">
      <c r="A1140" t="s">
        <v>7917</v>
      </c>
      <c r="B1140" t="s">
        <v>6149</v>
      </c>
      <c r="C1140">
        <v>30.258600000000001</v>
      </c>
      <c r="D1140">
        <v>-91.349500000000006</v>
      </c>
      <c r="E1140" t="s">
        <v>7918</v>
      </c>
    </row>
    <row r="1141" spans="1:5" hidden="1" x14ac:dyDescent="0.25">
      <c r="A1141" t="s">
        <v>191</v>
      </c>
      <c r="B1141" t="s">
        <v>6149</v>
      </c>
      <c r="C1141">
        <v>32.302100000000003</v>
      </c>
      <c r="D1141">
        <v>-92.557900000000004</v>
      </c>
      <c r="E1141" t="s">
        <v>7919</v>
      </c>
    </row>
    <row r="1142" spans="1:5" hidden="1" x14ac:dyDescent="0.25">
      <c r="A1142" t="s">
        <v>6272</v>
      </c>
      <c r="B1142" t="s">
        <v>6149</v>
      </c>
      <c r="C1142">
        <v>29.7882</v>
      </c>
      <c r="D1142">
        <v>-90.127600000000001</v>
      </c>
      <c r="E1142" t="s">
        <v>7920</v>
      </c>
    </row>
    <row r="1143" spans="1:5" hidden="1" x14ac:dyDescent="0.25">
      <c r="A1143" t="s">
        <v>7921</v>
      </c>
      <c r="B1143" t="s">
        <v>6149</v>
      </c>
      <c r="C1143">
        <v>30.267700000000001</v>
      </c>
      <c r="D1143">
        <v>-92.814099999999996</v>
      </c>
      <c r="E1143" t="s">
        <v>7922</v>
      </c>
    </row>
    <row r="1144" spans="1:5" hidden="1" x14ac:dyDescent="0.25">
      <c r="A1144" t="s">
        <v>7359</v>
      </c>
      <c r="B1144" t="s">
        <v>6149</v>
      </c>
      <c r="C1144">
        <v>31.6769</v>
      </c>
      <c r="D1144">
        <v>-92.160499999999999</v>
      </c>
      <c r="E1144" t="s">
        <v>7923</v>
      </c>
    </row>
    <row r="1145" spans="1:5" hidden="1" x14ac:dyDescent="0.25">
      <c r="A1145" t="s">
        <v>6382</v>
      </c>
      <c r="B1145" t="s">
        <v>6149</v>
      </c>
      <c r="C1145">
        <v>30.206800000000001</v>
      </c>
      <c r="D1145">
        <v>-92.063900000000004</v>
      </c>
      <c r="E1145" t="s">
        <v>7924</v>
      </c>
    </row>
    <row r="1146" spans="1:5" hidden="1" x14ac:dyDescent="0.25">
      <c r="A1146" t="s">
        <v>7925</v>
      </c>
      <c r="B1146" t="s">
        <v>6149</v>
      </c>
      <c r="C1146">
        <v>29.566199999999998</v>
      </c>
      <c r="D1146">
        <v>-90.425600000000003</v>
      </c>
      <c r="E1146" t="s">
        <v>7926</v>
      </c>
    </row>
    <row r="1147" spans="1:5" hidden="1" x14ac:dyDescent="0.25">
      <c r="A1147" t="s">
        <v>6386</v>
      </c>
      <c r="B1147" t="s">
        <v>6149</v>
      </c>
      <c r="C1147">
        <v>32.601599999999998</v>
      </c>
      <c r="D1147">
        <v>-92.664900000000003</v>
      </c>
      <c r="E1147" t="s">
        <v>7927</v>
      </c>
    </row>
    <row r="1148" spans="1:5" hidden="1" x14ac:dyDescent="0.25">
      <c r="A1148" t="s">
        <v>1355</v>
      </c>
      <c r="B1148" t="s">
        <v>6149</v>
      </c>
      <c r="C1148">
        <v>30.440100000000001</v>
      </c>
      <c r="D1148">
        <v>-90.727900000000005</v>
      </c>
      <c r="E1148" t="s">
        <v>7928</v>
      </c>
    </row>
    <row r="1149" spans="1:5" hidden="1" x14ac:dyDescent="0.25">
      <c r="A1149" t="s">
        <v>6286</v>
      </c>
      <c r="B1149" t="s">
        <v>6149</v>
      </c>
      <c r="C1149">
        <v>32.364400000000003</v>
      </c>
      <c r="D1149">
        <v>-91.242699999999999</v>
      </c>
      <c r="E1149" t="s">
        <v>7929</v>
      </c>
    </row>
    <row r="1150" spans="1:5" hidden="1" x14ac:dyDescent="0.25">
      <c r="A1150" t="s">
        <v>7930</v>
      </c>
      <c r="B1150" t="s">
        <v>6149</v>
      </c>
      <c r="C1150">
        <v>32.8202</v>
      </c>
      <c r="D1150">
        <v>-91.8018</v>
      </c>
      <c r="E1150" t="s">
        <v>7931</v>
      </c>
    </row>
    <row r="1151" spans="1:5" hidden="1" x14ac:dyDescent="0.25">
      <c r="A1151" t="s">
        <v>7932</v>
      </c>
      <c r="B1151" t="s">
        <v>6149</v>
      </c>
      <c r="C1151">
        <v>31.723400000000002</v>
      </c>
      <c r="D1151">
        <v>-93.096199999999996</v>
      </c>
      <c r="E1151" t="s">
        <v>7933</v>
      </c>
    </row>
    <row r="1152" spans="1:5" hidden="1" x14ac:dyDescent="0.25">
      <c r="A1152" t="s">
        <v>7934</v>
      </c>
      <c r="B1152" t="s">
        <v>6149</v>
      </c>
      <c r="C1152">
        <v>30.0687</v>
      </c>
      <c r="D1152">
        <v>-89.928899999999999</v>
      </c>
      <c r="E1152" t="s">
        <v>7935</v>
      </c>
    </row>
    <row r="1153" spans="1:5" hidden="1" x14ac:dyDescent="0.25">
      <c r="A1153" t="s">
        <v>6403</v>
      </c>
      <c r="B1153" t="s">
        <v>6149</v>
      </c>
      <c r="C1153">
        <v>32.478400000000001</v>
      </c>
      <c r="D1153">
        <v>-92.154899999999998</v>
      </c>
      <c r="E1153" t="s">
        <v>7936</v>
      </c>
    </row>
    <row r="1154" spans="1:5" hidden="1" x14ac:dyDescent="0.25">
      <c r="A1154" t="s">
        <v>7937</v>
      </c>
      <c r="B1154" t="s">
        <v>6149</v>
      </c>
      <c r="C1154">
        <v>29.4406</v>
      </c>
      <c r="D1154">
        <v>-89.61</v>
      </c>
      <c r="E1154" t="s">
        <v>7938</v>
      </c>
    </row>
    <row r="1155" spans="1:5" hidden="1" x14ac:dyDescent="0.25">
      <c r="A1155" t="s">
        <v>7939</v>
      </c>
      <c r="B1155" t="s">
        <v>6149</v>
      </c>
      <c r="C1155">
        <v>30.709499999999998</v>
      </c>
      <c r="D1155">
        <v>-91.600800000000007</v>
      </c>
      <c r="E1155" t="s">
        <v>7940</v>
      </c>
    </row>
    <row r="1156" spans="1:5" hidden="1" x14ac:dyDescent="0.25">
      <c r="A1156" t="s">
        <v>7941</v>
      </c>
      <c r="B1156" t="s">
        <v>6149</v>
      </c>
      <c r="C1156">
        <v>31.198599999999999</v>
      </c>
      <c r="D1156">
        <v>-92.533199999999994</v>
      </c>
      <c r="E1156" t="s">
        <v>7942</v>
      </c>
    </row>
    <row r="1157" spans="1:5" hidden="1" x14ac:dyDescent="0.25">
      <c r="A1157" t="s">
        <v>7943</v>
      </c>
      <c r="B1157" t="s">
        <v>6149</v>
      </c>
      <c r="C1157">
        <v>32.0931</v>
      </c>
      <c r="D1157">
        <v>-93.339799999999997</v>
      </c>
      <c r="E1157" t="s">
        <v>7944</v>
      </c>
    </row>
    <row r="1158" spans="1:5" hidden="1" x14ac:dyDescent="0.25">
      <c r="A1158" t="s">
        <v>7401</v>
      </c>
      <c r="B1158" t="s">
        <v>6149</v>
      </c>
      <c r="C1158">
        <v>32.4178</v>
      </c>
      <c r="D1158">
        <v>-91.763499999999993</v>
      </c>
      <c r="E1158" t="s">
        <v>7945</v>
      </c>
    </row>
    <row r="1159" spans="1:5" hidden="1" x14ac:dyDescent="0.25">
      <c r="A1159" t="s">
        <v>7946</v>
      </c>
      <c r="B1159" t="s">
        <v>6149</v>
      </c>
      <c r="C1159">
        <v>31.564</v>
      </c>
      <c r="D1159">
        <v>-93.554699999999997</v>
      </c>
      <c r="E1159" t="s">
        <v>7947</v>
      </c>
    </row>
    <row r="1160" spans="1:5" hidden="1" x14ac:dyDescent="0.25">
      <c r="A1160" t="s">
        <v>7948</v>
      </c>
      <c r="B1160" t="s">
        <v>6149</v>
      </c>
      <c r="C1160">
        <v>29.8691</v>
      </c>
      <c r="D1160">
        <v>-89.554900000000004</v>
      </c>
      <c r="E1160" t="s">
        <v>7949</v>
      </c>
    </row>
    <row r="1161" spans="1:5" hidden="1" x14ac:dyDescent="0.25">
      <c r="A1161" t="s">
        <v>7950</v>
      </c>
      <c r="B1161" t="s">
        <v>6149</v>
      </c>
      <c r="C1161">
        <v>29.9055</v>
      </c>
      <c r="D1161">
        <v>-90.358199999999997</v>
      </c>
      <c r="E1161" t="s">
        <v>7951</v>
      </c>
    </row>
    <row r="1162" spans="1:5" hidden="1" x14ac:dyDescent="0.25">
      <c r="A1162" t="s">
        <v>7952</v>
      </c>
      <c r="B1162" t="s">
        <v>6149</v>
      </c>
      <c r="C1162">
        <v>30.821899999999999</v>
      </c>
      <c r="D1162">
        <v>-90.710300000000004</v>
      </c>
      <c r="E1162" t="s">
        <v>7953</v>
      </c>
    </row>
    <row r="1163" spans="1:5" hidden="1" x14ac:dyDescent="0.25">
      <c r="A1163" t="s">
        <v>7954</v>
      </c>
      <c r="B1163" t="s">
        <v>6149</v>
      </c>
      <c r="C1163">
        <v>30.027000000000001</v>
      </c>
      <c r="D1163">
        <v>-90.793099999999995</v>
      </c>
      <c r="E1163" t="s">
        <v>7955</v>
      </c>
    </row>
    <row r="1164" spans="1:5" hidden="1" x14ac:dyDescent="0.25">
      <c r="A1164" t="s">
        <v>7956</v>
      </c>
      <c r="B1164" t="s">
        <v>6149</v>
      </c>
      <c r="C1164">
        <v>30.1264</v>
      </c>
      <c r="D1164">
        <v>-90.471000000000004</v>
      </c>
      <c r="E1164" t="s">
        <v>7957</v>
      </c>
    </row>
    <row r="1165" spans="1:5" hidden="1" x14ac:dyDescent="0.25">
      <c r="A1165" t="s">
        <v>7958</v>
      </c>
      <c r="B1165" t="s">
        <v>6149</v>
      </c>
      <c r="C1165">
        <v>30.5989</v>
      </c>
      <c r="D1165">
        <v>-92.005799999999994</v>
      </c>
      <c r="E1165" t="s">
        <v>7959</v>
      </c>
    </row>
    <row r="1166" spans="1:5" hidden="1" x14ac:dyDescent="0.25">
      <c r="A1166" t="s">
        <v>7960</v>
      </c>
      <c r="B1166" t="s">
        <v>6149</v>
      </c>
      <c r="C1166">
        <v>30.129100000000001</v>
      </c>
      <c r="D1166">
        <v>-91.6083</v>
      </c>
      <c r="E1166" t="s">
        <v>7961</v>
      </c>
    </row>
    <row r="1167" spans="1:5" hidden="1" x14ac:dyDescent="0.25">
      <c r="A1167" t="s">
        <v>7962</v>
      </c>
      <c r="B1167" t="s">
        <v>6149</v>
      </c>
      <c r="C1167">
        <v>29.720700000000001</v>
      </c>
      <c r="D1167">
        <v>-91.448599999999999</v>
      </c>
      <c r="E1167" t="s">
        <v>7963</v>
      </c>
    </row>
    <row r="1168" spans="1:5" hidden="1" x14ac:dyDescent="0.25">
      <c r="A1168" t="s">
        <v>7964</v>
      </c>
      <c r="B1168" t="s">
        <v>6149</v>
      </c>
      <c r="C1168">
        <v>30.410299999999999</v>
      </c>
      <c r="D1168">
        <v>-89.958399999999997</v>
      </c>
      <c r="E1168" t="s">
        <v>7965</v>
      </c>
    </row>
    <row r="1169" spans="1:5" hidden="1" x14ac:dyDescent="0.25">
      <c r="A1169" t="s">
        <v>7966</v>
      </c>
      <c r="B1169" t="s">
        <v>6149</v>
      </c>
      <c r="C1169">
        <v>30.6266</v>
      </c>
      <c r="D1169">
        <v>-90.405699999999996</v>
      </c>
      <c r="E1169" t="s">
        <v>7967</v>
      </c>
    </row>
    <row r="1170" spans="1:5" hidden="1" x14ac:dyDescent="0.25">
      <c r="A1170" t="s">
        <v>7968</v>
      </c>
      <c r="B1170" t="s">
        <v>6149</v>
      </c>
      <c r="C1170">
        <v>32.001899999999999</v>
      </c>
      <c r="D1170">
        <v>-91.340100000000007</v>
      </c>
      <c r="E1170" t="s">
        <v>7969</v>
      </c>
    </row>
    <row r="1171" spans="1:5" hidden="1" x14ac:dyDescent="0.25">
      <c r="A1171" t="s">
        <v>7970</v>
      </c>
      <c r="B1171" t="s">
        <v>6149</v>
      </c>
      <c r="C1171">
        <v>29.4148</v>
      </c>
      <c r="D1171">
        <v>-90.866299999999995</v>
      </c>
      <c r="E1171" t="s">
        <v>7971</v>
      </c>
    </row>
    <row r="1172" spans="1:5" hidden="1" x14ac:dyDescent="0.25">
      <c r="A1172" t="s">
        <v>5878</v>
      </c>
      <c r="B1172" t="s">
        <v>6149</v>
      </c>
      <c r="C1172">
        <v>32.831800000000001</v>
      </c>
      <c r="D1172">
        <v>-92.374799999999993</v>
      </c>
      <c r="E1172" t="s">
        <v>7972</v>
      </c>
    </row>
    <row r="1173" spans="1:5" hidden="1" x14ac:dyDescent="0.25">
      <c r="A1173" t="s">
        <v>7419</v>
      </c>
      <c r="B1173" t="s">
        <v>6149</v>
      </c>
      <c r="C1173">
        <v>29.846499999999999</v>
      </c>
      <c r="D1173">
        <v>-92.324200000000005</v>
      </c>
      <c r="E1173" t="s">
        <v>7973</v>
      </c>
    </row>
    <row r="1174" spans="1:5" hidden="1" x14ac:dyDescent="0.25">
      <c r="A1174" t="s">
        <v>7974</v>
      </c>
      <c r="B1174" t="s">
        <v>6149</v>
      </c>
      <c r="C1174">
        <v>31.1083</v>
      </c>
      <c r="D1174">
        <v>-93.184299999999993</v>
      </c>
      <c r="E1174" t="s">
        <v>7975</v>
      </c>
    </row>
    <row r="1175" spans="1:5" hidden="1" x14ac:dyDescent="0.25">
      <c r="A1175" t="s">
        <v>3052</v>
      </c>
      <c r="B1175" t="s">
        <v>6149</v>
      </c>
      <c r="C1175">
        <v>30.853300000000001</v>
      </c>
      <c r="D1175">
        <v>-90.040499999999994</v>
      </c>
      <c r="E1175" t="s">
        <v>7976</v>
      </c>
    </row>
    <row r="1176" spans="1:5" hidden="1" x14ac:dyDescent="0.25">
      <c r="A1176" t="s">
        <v>7059</v>
      </c>
      <c r="B1176" t="s">
        <v>6149</v>
      </c>
      <c r="C1176">
        <v>32.713500000000003</v>
      </c>
      <c r="D1176">
        <v>-93.334999999999994</v>
      </c>
      <c r="E1176" t="s">
        <v>7977</v>
      </c>
    </row>
    <row r="1177" spans="1:5" hidden="1" x14ac:dyDescent="0.25">
      <c r="A1177" t="s">
        <v>7978</v>
      </c>
      <c r="B1177" t="s">
        <v>6149</v>
      </c>
      <c r="C1177">
        <v>30.4636</v>
      </c>
      <c r="D1177">
        <v>-91.312700000000007</v>
      </c>
      <c r="E1177" t="s">
        <v>7979</v>
      </c>
    </row>
    <row r="1178" spans="1:5" hidden="1" x14ac:dyDescent="0.25">
      <c r="A1178" t="s">
        <v>7980</v>
      </c>
      <c r="B1178" t="s">
        <v>6149</v>
      </c>
      <c r="C1178">
        <v>32.788499999999999</v>
      </c>
      <c r="D1178">
        <v>-91.456800000000001</v>
      </c>
      <c r="E1178" t="s">
        <v>7981</v>
      </c>
    </row>
    <row r="1179" spans="1:5" hidden="1" x14ac:dyDescent="0.25">
      <c r="A1179" t="s">
        <v>7982</v>
      </c>
      <c r="B1179" t="s">
        <v>6149</v>
      </c>
      <c r="C1179">
        <v>30.879799999999999</v>
      </c>
      <c r="D1179">
        <v>-91.42</v>
      </c>
      <c r="E1179" t="s">
        <v>7983</v>
      </c>
    </row>
    <row r="1180" spans="1:5" hidden="1" x14ac:dyDescent="0.25">
      <c r="A1180" t="s">
        <v>7984</v>
      </c>
      <c r="B1180" t="s">
        <v>6149</v>
      </c>
      <c r="C1180">
        <v>31.944299999999998</v>
      </c>
      <c r="D1180">
        <v>-92.636799999999994</v>
      </c>
      <c r="E1180" t="s">
        <v>7985</v>
      </c>
    </row>
    <row r="1181" spans="1:5" hidden="1" x14ac:dyDescent="0.25">
      <c r="A1181" t="s">
        <v>7986</v>
      </c>
      <c r="B1181" t="s">
        <v>6152</v>
      </c>
      <c r="C1181">
        <v>41.724400000000003</v>
      </c>
      <c r="D1181">
        <v>-70.290300000000002</v>
      </c>
      <c r="E1181" t="s">
        <v>7987</v>
      </c>
    </row>
    <row r="1182" spans="1:5" hidden="1" x14ac:dyDescent="0.25">
      <c r="A1182" t="s">
        <v>7988</v>
      </c>
      <c r="B1182" t="s">
        <v>6152</v>
      </c>
      <c r="C1182">
        <v>42.370699999999999</v>
      </c>
      <c r="D1182">
        <v>-73.206299999999999</v>
      </c>
      <c r="E1182" t="s">
        <v>7989</v>
      </c>
    </row>
    <row r="1183" spans="1:5" hidden="1" x14ac:dyDescent="0.25">
      <c r="A1183" t="s">
        <v>556</v>
      </c>
      <c r="B1183" t="s">
        <v>6152</v>
      </c>
      <c r="C1183">
        <v>41.797199999999997</v>
      </c>
      <c r="D1183">
        <v>-71.114500000000007</v>
      </c>
      <c r="E1183" t="s">
        <v>7990</v>
      </c>
    </row>
    <row r="1184" spans="1:5" hidden="1" x14ac:dyDescent="0.25">
      <c r="A1184" t="s">
        <v>7991</v>
      </c>
      <c r="B1184" t="s">
        <v>6152</v>
      </c>
      <c r="C1184">
        <v>41.396099999999997</v>
      </c>
      <c r="D1184">
        <v>-70.650000000000006</v>
      </c>
      <c r="E1184" t="s">
        <v>7992</v>
      </c>
    </row>
    <row r="1185" spans="1:5" hidden="1" x14ac:dyDescent="0.25">
      <c r="A1185" t="s">
        <v>7993</v>
      </c>
      <c r="B1185" t="s">
        <v>6152</v>
      </c>
      <c r="C1185">
        <v>42.673200000000001</v>
      </c>
      <c r="D1185">
        <v>-70.952399999999997</v>
      </c>
      <c r="E1185" t="s">
        <v>7994</v>
      </c>
    </row>
    <row r="1186" spans="1:5" hidden="1" x14ac:dyDescent="0.25">
      <c r="A1186" t="s">
        <v>6260</v>
      </c>
      <c r="B1186" t="s">
        <v>6152</v>
      </c>
      <c r="C1186">
        <v>42.583100000000002</v>
      </c>
      <c r="D1186">
        <v>-72.591800000000006</v>
      </c>
      <c r="E1186" t="s">
        <v>7995</v>
      </c>
    </row>
    <row r="1187" spans="1:5" hidden="1" x14ac:dyDescent="0.25">
      <c r="A1187" t="s">
        <v>7996</v>
      </c>
      <c r="B1187" t="s">
        <v>6152</v>
      </c>
      <c r="C1187">
        <v>42.135100000000001</v>
      </c>
      <c r="D1187">
        <v>-72.631600000000006</v>
      </c>
      <c r="E1187" t="s">
        <v>7997</v>
      </c>
    </row>
    <row r="1188" spans="1:5" hidden="1" x14ac:dyDescent="0.25">
      <c r="A1188" t="s">
        <v>7998</v>
      </c>
      <c r="B1188" t="s">
        <v>6152</v>
      </c>
      <c r="C1188">
        <v>42.340200000000003</v>
      </c>
      <c r="D1188">
        <v>-72.663799999999995</v>
      </c>
      <c r="E1188" t="s">
        <v>7999</v>
      </c>
    </row>
    <row r="1189" spans="1:5" hidden="1" x14ac:dyDescent="0.25">
      <c r="A1189" t="s">
        <v>428</v>
      </c>
      <c r="B1189" t="s">
        <v>6152</v>
      </c>
      <c r="C1189">
        <v>42.485599999999998</v>
      </c>
      <c r="D1189">
        <v>-71.391800000000003</v>
      </c>
      <c r="E1189" t="s">
        <v>8000</v>
      </c>
    </row>
    <row r="1190" spans="1:5" hidden="1" x14ac:dyDescent="0.25">
      <c r="A1190" t="s">
        <v>8001</v>
      </c>
      <c r="B1190" t="s">
        <v>6152</v>
      </c>
      <c r="C1190">
        <v>41.283099999999997</v>
      </c>
      <c r="D1190">
        <v>-70.069199999999995</v>
      </c>
      <c r="E1190" t="s">
        <v>8002</v>
      </c>
    </row>
    <row r="1191" spans="1:5" hidden="1" x14ac:dyDescent="0.25">
      <c r="A1191" t="s">
        <v>169</v>
      </c>
      <c r="B1191" t="s">
        <v>6152</v>
      </c>
      <c r="C1191">
        <v>42.160299999999999</v>
      </c>
      <c r="D1191">
        <v>-71.211799999999997</v>
      </c>
      <c r="E1191" t="s">
        <v>8003</v>
      </c>
    </row>
    <row r="1192" spans="1:5" hidden="1" x14ac:dyDescent="0.25">
      <c r="A1192" t="s">
        <v>7184</v>
      </c>
      <c r="B1192" t="s">
        <v>6152</v>
      </c>
      <c r="C1192">
        <v>41.951099999999997</v>
      </c>
      <c r="D1192">
        <v>-70.811499999999995</v>
      </c>
      <c r="E1192" t="s">
        <v>8004</v>
      </c>
    </row>
    <row r="1193" spans="1:5" hidden="1" x14ac:dyDescent="0.25">
      <c r="A1193" t="s">
        <v>1059</v>
      </c>
      <c r="B1193" t="s">
        <v>6152</v>
      </c>
      <c r="C1193">
        <v>42.332900000000002</v>
      </c>
      <c r="D1193">
        <v>-71.073499999999996</v>
      </c>
      <c r="E1193" t="s">
        <v>8005</v>
      </c>
    </row>
    <row r="1194" spans="1:5" hidden="1" x14ac:dyDescent="0.25">
      <c r="A1194" t="s">
        <v>8006</v>
      </c>
      <c r="B1194" t="s">
        <v>6152</v>
      </c>
      <c r="C1194">
        <v>42.351399999999998</v>
      </c>
      <c r="D1194">
        <v>-71.907700000000006</v>
      </c>
      <c r="E1194" t="s">
        <v>8007</v>
      </c>
    </row>
    <row r="1195" spans="1:5" hidden="1" x14ac:dyDescent="0.25">
      <c r="A1195" t="s">
        <v>8008</v>
      </c>
      <c r="B1195" t="s">
        <v>6155</v>
      </c>
      <c r="C1195">
        <v>39.621400000000001</v>
      </c>
      <c r="D1195">
        <v>-78.697599999999994</v>
      </c>
      <c r="E1195" t="s">
        <v>8009</v>
      </c>
    </row>
    <row r="1196" spans="1:5" x14ac:dyDescent="0.25">
      <c r="A1196" t="s">
        <v>8010</v>
      </c>
      <c r="B1196" t="s">
        <v>6155</v>
      </c>
      <c r="C1196">
        <v>39.006500000000003</v>
      </c>
      <c r="D1196">
        <v>-76.605099999999993</v>
      </c>
      <c r="E1196" t="s">
        <v>8011</v>
      </c>
    </row>
    <row r="1197" spans="1:5" hidden="1" x14ac:dyDescent="0.25">
      <c r="A1197" t="s">
        <v>8012</v>
      </c>
      <c r="B1197" t="s">
        <v>6155</v>
      </c>
      <c r="C1197">
        <v>39.462899999999998</v>
      </c>
      <c r="D1197">
        <v>-76.639499999999998</v>
      </c>
      <c r="E1197" t="s">
        <v>8013</v>
      </c>
    </row>
    <row r="1198" spans="1:5" hidden="1" x14ac:dyDescent="0.25">
      <c r="A1198" t="s">
        <v>8012</v>
      </c>
      <c r="B1198" t="s">
        <v>6155</v>
      </c>
      <c r="C1198">
        <v>39.305100000000003</v>
      </c>
      <c r="D1198">
        <v>-76.614400000000003</v>
      </c>
      <c r="E1198" t="s">
        <v>8013</v>
      </c>
    </row>
    <row r="1199" spans="1:5" hidden="1" x14ac:dyDescent="0.25">
      <c r="A1199" t="s">
        <v>8014</v>
      </c>
      <c r="B1199" t="s">
        <v>6155</v>
      </c>
      <c r="C1199">
        <v>38.543399999999998</v>
      </c>
      <c r="D1199">
        <v>-76.568700000000007</v>
      </c>
      <c r="E1199" t="s">
        <v>8015</v>
      </c>
    </row>
    <row r="1200" spans="1:5" hidden="1" x14ac:dyDescent="0.25">
      <c r="A1200" t="s">
        <v>641</v>
      </c>
      <c r="B1200" t="s">
        <v>6155</v>
      </c>
      <c r="C1200">
        <v>38.871699999999997</v>
      </c>
      <c r="D1200">
        <v>-75.831599999999995</v>
      </c>
      <c r="E1200" t="s">
        <v>8016</v>
      </c>
    </row>
    <row r="1201" spans="1:5" hidden="1" x14ac:dyDescent="0.25">
      <c r="A1201" t="s">
        <v>6340</v>
      </c>
      <c r="B1201" t="s">
        <v>6155</v>
      </c>
      <c r="C1201">
        <v>39.562899999999999</v>
      </c>
      <c r="D1201">
        <v>-77.022499999999994</v>
      </c>
      <c r="E1201" t="s">
        <v>8017</v>
      </c>
    </row>
    <row r="1202" spans="1:5" hidden="1" x14ac:dyDescent="0.25">
      <c r="A1202" t="s">
        <v>8018</v>
      </c>
      <c r="B1202" t="s">
        <v>6155</v>
      </c>
      <c r="C1202">
        <v>39.571199999999997</v>
      </c>
      <c r="D1202">
        <v>-75.940700000000007</v>
      </c>
      <c r="E1202" t="s">
        <v>8019</v>
      </c>
    </row>
    <row r="1203" spans="1:5" hidden="1" x14ac:dyDescent="0.25">
      <c r="A1203" t="s">
        <v>195</v>
      </c>
      <c r="B1203" t="s">
        <v>6155</v>
      </c>
      <c r="C1203">
        <v>38.507300000000001</v>
      </c>
      <c r="D1203">
        <v>-76.992199999999997</v>
      </c>
      <c r="E1203" t="s">
        <v>8020</v>
      </c>
    </row>
    <row r="1204" spans="1:5" hidden="1" x14ac:dyDescent="0.25">
      <c r="A1204" t="s">
        <v>4069</v>
      </c>
      <c r="B1204" t="s">
        <v>6155</v>
      </c>
      <c r="C1204">
        <v>38.482900000000001</v>
      </c>
      <c r="D1204">
        <v>-76.012500000000003</v>
      </c>
      <c r="E1204" t="s">
        <v>8021</v>
      </c>
    </row>
    <row r="1205" spans="1:5" hidden="1" x14ac:dyDescent="0.25">
      <c r="A1205" t="s">
        <v>2499</v>
      </c>
      <c r="B1205" t="s">
        <v>6155</v>
      </c>
      <c r="C1205">
        <v>39.472200000000001</v>
      </c>
      <c r="D1205">
        <v>-77.397999999999996</v>
      </c>
      <c r="E1205" t="s">
        <v>8022</v>
      </c>
    </row>
    <row r="1206" spans="1:5" hidden="1" x14ac:dyDescent="0.25">
      <c r="A1206" t="s">
        <v>5293</v>
      </c>
      <c r="B1206" t="s">
        <v>6155</v>
      </c>
      <c r="C1206">
        <v>39.5289</v>
      </c>
      <c r="D1206">
        <v>-79.272900000000007</v>
      </c>
      <c r="E1206" t="s">
        <v>8023</v>
      </c>
    </row>
    <row r="1207" spans="1:5" hidden="1" x14ac:dyDescent="0.25">
      <c r="A1207" t="s">
        <v>8024</v>
      </c>
      <c r="B1207" t="s">
        <v>6155</v>
      </c>
      <c r="C1207">
        <v>39.561100000000003</v>
      </c>
      <c r="D1207">
        <v>-76.317099999999996</v>
      </c>
      <c r="E1207" t="s">
        <v>8025</v>
      </c>
    </row>
    <row r="1208" spans="1:5" hidden="1" x14ac:dyDescent="0.25">
      <c r="A1208" t="s">
        <v>793</v>
      </c>
      <c r="B1208" t="s">
        <v>6155</v>
      </c>
      <c r="C1208">
        <v>39.250700000000002</v>
      </c>
      <c r="D1208">
        <v>-76.931200000000004</v>
      </c>
      <c r="E1208" t="s">
        <v>8026</v>
      </c>
    </row>
    <row r="1209" spans="1:5" hidden="1" x14ac:dyDescent="0.25">
      <c r="A1209" t="s">
        <v>2070</v>
      </c>
      <c r="B1209" t="s">
        <v>6155</v>
      </c>
      <c r="C1209">
        <v>39.255600000000001</v>
      </c>
      <c r="D1209">
        <v>-76.039000000000001</v>
      </c>
      <c r="E1209" t="s">
        <v>8027</v>
      </c>
    </row>
    <row r="1210" spans="1:5" hidden="1" x14ac:dyDescent="0.25">
      <c r="A1210" t="s">
        <v>6297</v>
      </c>
      <c r="B1210" t="s">
        <v>6155</v>
      </c>
      <c r="C1210">
        <v>39.136299999999999</v>
      </c>
      <c r="D1210">
        <v>-77.2042</v>
      </c>
      <c r="E1210" t="s">
        <v>8028</v>
      </c>
    </row>
    <row r="1211" spans="1:5" hidden="1" x14ac:dyDescent="0.25">
      <c r="A1211" t="s">
        <v>8029</v>
      </c>
      <c r="B1211" t="s">
        <v>6155</v>
      </c>
      <c r="C1211">
        <v>38.829500000000003</v>
      </c>
      <c r="D1211">
        <v>-76.847300000000004</v>
      </c>
      <c r="E1211" t="s">
        <v>8030</v>
      </c>
    </row>
    <row r="1212" spans="1:5" x14ac:dyDescent="0.25">
      <c r="A1212" t="s">
        <v>8031</v>
      </c>
      <c r="B1212" t="s">
        <v>6155</v>
      </c>
      <c r="C1212">
        <v>39.067999999999998</v>
      </c>
      <c r="D1212">
        <v>-76.02</v>
      </c>
      <c r="E1212" t="s">
        <v>8032</v>
      </c>
    </row>
    <row r="1213" spans="1:5" hidden="1" x14ac:dyDescent="0.25">
      <c r="A1213" t="s">
        <v>4538</v>
      </c>
      <c r="B1213" t="s">
        <v>6155</v>
      </c>
      <c r="C1213">
        <v>38.1158</v>
      </c>
      <c r="D1213">
        <v>-75.751800000000003</v>
      </c>
      <c r="E1213" t="s">
        <v>8033</v>
      </c>
    </row>
    <row r="1214" spans="1:5" hidden="1" x14ac:dyDescent="0.25">
      <c r="A1214" t="s">
        <v>8034</v>
      </c>
      <c r="B1214" t="s">
        <v>6155</v>
      </c>
      <c r="C1214">
        <v>38.302399999999999</v>
      </c>
      <c r="D1214">
        <v>-76.605800000000002</v>
      </c>
      <c r="E1214" t="s">
        <v>8035</v>
      </c>
    </row>
    <row r="1215" spans="1:5" hidden="1" x14ac:dyDescent="0.25">
      <c r="A1215" t="s">
        <v>2465</v>
      </c>
      <c r="B1215" t="s">
        <v>6155</v>
      </c>
      <c r="C1215">
        <v>38.7714</v>
      </c>
      <c r="D1215">
        <v>-76.097099999999998</v>
      </c>
      <c r="E1215" t="s">
        <v>8036</v>
      </c>
    </row>
    <row r="1216" spans="1:5" hidden="1" x14ac:dyDescent="0.25">
      <c r="A1216" t="s">
        <v>3052</v>
      </c>
      <c r="B1216" t="s">
        <v>6155</v>
      </c>
      <c r="C1216">
        <v>39.6036</v>
      </c>
      <c r="D1216">
        <v>-77.813999999999993</v>
      </c>
      <c r="E1216" t="s">
        <v>8037</v>
      </c>
    </row>
    <row r="1217" spans="1:5" hidden="1" x14ac:dyDescent="0.25">
      <c r="A1217" t="s">
        <v>8038</v>
      </c>
      <c r="B1217" t="s">
        <v>6155</v>
      </c>
      <c r="C1217">
        <v>38.3733</v>
      </c>
      <c r="D1217">
        <v>-75.620800000000003</v>
      </c>
      <c r="E1217" t="s">
        <v>8039</v>
      </c>
    </row>
    <row r="1218" spans="1:5" hidden="1" x14ac:dyDescent="0.25">
      <c r="A1218" t="s">
        <v>8006</v>
      </c>
      <c r="B1218" t="s">
        <v>6155</v>
      </c>
      <c r="C1218">
        <v>38.212800000000001</v>
      </c>
      <c r="D1218">
        <v>-75.334000000000003</v>
      </c>
      <c r="E1218" t="s">
        <v>8040</v>
      </c>
    </row>
    <row r="1219" spans="1:5" hidden="1" x14ac:dyDescent="0.25">
      <c r="A1219" t="s">
        <v>8041</v>
      </c>
      <c r="B1219" t="s">
        <v>6158</v>
      </c>
      <c r="C1219">
        <v>44.165799999999997</v>
      </c>
      <c r="D1219">
        <v>-70.206500000000005</v>
      </c>
      <c r="E1219" t="s">
        <v>8042</v>
      </c>
    </row>
    <row r="1220" spans="1:5" hidden="1" x14ac:dyDescent="0.25">
      <c r="A1220" t="s">
        <v>8043</v>
      </c>
      <c r="B1220" t="s">
        <v>6158</v>
      </c>
      <c r="C1220">
        <v>46.658900000000003</v>
      </c>
      <c r="D1220">
        <v>-68.5989</v>
      </c>
      <c r="E1220" t="s">
        <v>8044</v>
      </c>
    </row>
    <row r="1221" spans="1:5" hidden="1" x14ac:dyDescent="0.25">
      <c r="A1221" t="s">
        <v>7316</v>
      </c>
      <c r="B1221" t="s">
        <v>6158</v>
      </c>
      <c r="C1221">
        <v>43.846600000000002</v>
      </c>
      <c r="D1221">
        <v>-70.399600000000007</v>
      </c>
      <c r="E1221" t="s">
        <v>8045</v>
      </c>
    </row>
    <row r="1222" spans="1:5" hidden="1" x14ac:dyDescent="0.25">
      <c r="A1222" t="s">
        <v>6260</v>
      </c>
      <c r="B1222" t="s">
        <v>6158</v>
      </c>
      <c r="C1222">
        <v>44.973999999999997</v>
      </c>
      <c r="D1222">
        <v>-70.444000000000003</v>
      </c>
      <c r="E1222" t="s">
        <v>8046</v>
      </c>
    </row>
    <row r="1223" spans="1:5" hidden="1" x14ac:dyDescent="0.25">
      <c r="A1223" t="s">
        <v>1216</v>
      </c>
      <c r="B1223" t="s">
        <v>6158</v>
      </c>
      <c r="C1223">
        <v>44.664700000000003</v>
      </c>
      <c r="D1223">
        <v>-68.358400000000003</v>
      </c>
      <c r="E1223" t="s">
        <v>8047</v>
      </c>
    </row>
    <row r="1224" spans="1:5" hidden="1" x14ac:dyDescent="0.25">
      <c r="A1224" t="s">
        <v>8048</v>
      </c>
      <c r="B1224" t="s">
        <v>6158</v>
      </c>
      <c r="C1224">
        <v>44.409100000000002</v>
      </c>
      <c r="D1224">
        <v>-69.767300000000006</v>
      </c>
      <c r="E1224" t="s">
        <v>8049</v>
      </c>
    </row>
    <row r="1225" spans="1:5" hidden="1" x14ac:dyDescent="0.25">
      <c r="A1225" t="s">
        <v>7357</v>
      </c>
      <c r="B1225" t="s">
        <v>6158</v>
      </c>
      <c r="C1225">
        <v>44.140999999999998</v>
      </c>
      <c r="D1225">
        <v>-69.168700000000001</v>
      </c>
      <c r="E1225" t="s">
        <v>8050</v>
      </c>
    </row>
    <row r="1226" spans="1:5" hidden="1" x14ac:dyDescent="0.25">
      <c r="A1226" t="s">
        <v>6386</v>
      </c>
      <c r="B1226" t="s">
        <v>6158</v>
      </c>
      <c r="C1226">
        <v>44.066499999999998</v>
      </c>
      <c r="D1226">
        <v>-69.543400000000005</v>
      </c>
      <c r="E1226" t="s">
        <v>8051</v>
      </c>
    </row>
    <row r="1227" spans="1:5" hidden="1" x14ac:dyDescent="0.25">
      <c r="A1227" t="s">
        <v>1948</v>
      </c>
      <c r="B1227" t="s">
        <v>6158</v>
      </c>
      <c r="C1227">
        <v>44.499899999999997</v>
      </c>
      <c r="D1227">
        <v>-70.756600000000006</v>
      </c>
      <c r="E1227" t="s">
        <v>8052</v>
      </c>
    </row>
    <row r="1228" spans="1:5" hidden="1" x14ac:dyDescent="0.25">
      <c r="A1228" t="s">
        <v>8053</v>
      </c>
      <c r="B1228" t="s">
        <v>6158</v>
      </c>
      <c r="C1228">
        <v>45.400599999999997</v>
      </c>
      <c r="D1228">
        <v>-68.649500000000003</v>
      </c>
      <c r="E1228" t="s">
        <v>8054</v>
      </c>
    </row>
    <row r="1229" spans="1:5" hidden="1" x14ac:dyDescent="0.25">
      <c r="A1229" t="s">
        <v>8055</v>
      </c>
      <c r="B1229" t="s">
        <v>6158</v>
      </c>
      <c r="C1229">
        <v>45.837299999999999</v>
      </c>
      <c r="D1229">
        <v>-69.284599999999998</v>
      </c>
      <c r="E1229" t="s">
        <v>8056</v>
      </c>
    </row>
    <row r="1230" spans="1:5" hidden="1" x14ac:dyDescent="0.25">
      <c r="A1230" t="s">
        <v>8057</v>
      </c>
      <c r="B1230" t="s">
        <v>6158</v>
      </c>
      <c r="C1230">
        <v>43.959800000000001</v>
      </c>
      <c r="D1230">
        <v>-69.854600000000005</v>
      </c>
      <c r="E1230" t="s">
        <v>8058</v>
      </c>
    </row>
    <row r="1231" spans="1:5" hidden="1" x14ac:dyDescent="0.25">
      <c r="A1231" t="s">
        <v>4538</v>
      </c>
      <c r="B1231" t="s">
        <v>6158</v>
      </c>
      <c r="C1231">
        <v>45.5139</v>
      </c>
      <c r="D1231">
        <v>-69.9589</v>
      </c>
      <c r="E1231" t="s">
        <v>8059</v>
      </c>
    </row>
    <row r="1232" spans="1:5" hidden="1" x14ac:dyDescent="0.25">
      <c r="A1232" t="s">
        <v>8060</v>
      </c>
      <c r="B1232" t="s">
        <v>6158</v>
      </c>
      <c r="C1232">
        <v>44.502600000000001</v>
      </c>
      <c r="D1232">
        <v>-69.145300000000006</v>
      </c>
      <c r="E1232" t="s">
        <v>8061</v>
      </c>
    </row>
    <row r="1233" spans="1:5" hidden="1" x14ac:dyDescent="0.25">
      <c r="A1233" t="s">
        <v>3052</v>
      </c>
      <c r="B1233" t="s">
        <v>6158</v>
      </c>
      <c r="C1233">
        <v>45.030700000000003</v>
      </c>
      <c r="D1233">
        <v>-67.628699999999995</v>
      </c>
      <c r="E1233" t="s">
        <v>8062</v>
      </c>
    </row>
    <row r="1234" spans="1:5" hidden="1" x14ac:dyDescent="0.25">
      <c r="A1234" t="s">
        <v>991</v>
      </c>
      <c r="B1234" t="s">
        <v>6158</v>
      </c>
      <c r="C1234">
        <v>43.478200000000001</v>
      </c>
      <c r="D1234">
        <v>-70.714399999999998</v>
      </c>
      <c r="E1234" t="s">
        <v>8063</v>
      </c>
    </row>
    <row r="1235" spans="1:5" hidden="1" x14ac:dyDescent="0.25">
      <c r="A1235" t="s">
        <v>8064</v>
      </c>
      <c r="B1235" t="s">
        <v>6161</v>
      </c>
      <c r="C1235">
        <v>44.685400000000001</v>
      </c>
      <c r="D1235">
        <v>-83.593800000000002</v>
      </c>
      <c r="E1235" t="s">
        <v>8065</v>
      </c>
    </row>
    <row r="1236" spans="1:5" hidden="1" x14ac:dyDescent="0.25">
      <c r="A1236" t="s">
        <v>8066</v>
      </c>
      <c r="B1236" t="s">
        <v>6161</v>
      </c>
      <c r="C1236">
        <v>46.4086</v>
      </c>
      <c r="D1236">
        <v>-86.603999999999999</v>
      </c>
      <c r="E1236" t="s">
        <v>8067</v>
      </c>
    </row>
    <row r="1237" spans="1:5" hidden="1" x14ac:dyDescent="0.25">
      <c r="A1237" t="s">
        <v>8068</v>
      </c>
      <c r="B1237" t="s">
        <v>6161</v>
      </c>
      <c r="C1237">
        <v>42.591299999999997</v>
      </c>
      <c r="D1237">
        <v>-85.888300000000001</v>
      </c>
      <c r="E1237" t="s">
        <v>8069</v>
      </c>
    </row>
    <row r="1238" spans="1:5" hidden="1" x14ac:dyDescent="0.25">
      <c r="A1238" t="s">
        <v>8070</v>
      </c>
      <c r="B1238" t="s">
        <v>6161</v>
      </c>
      <c r="C1238">
        <v>45.034799999999997</v>
      </c>
      <c r="D1238">
        <v>-83.628200000000007</v>
      </c>
      <c r="E1238" t="s">
        <v>8071</v>
      </c>
    </row>
    <row r="1239" spans="1:5" hidden="1" x14ac:dyDescent="0.25">
      <c r="A1239" t="s">
        <v>8072</v>
      </c>
      <c r="B1239" t="s">
        <v>6161</v>
      </c>
      <c r="C1239">
        <v>44.999099999999999</v>
      </c>
      <c r="D1239">
        <v>-85.140199999999993</v>
      </c>
      <c r="E1239" t="s">
        <v>8073</v>
      </c>
    </row>
    <row r="1240" spans="1:5" hidden="1" x14ac:dyDescent="0.25">
      <c r="A1240" t="s">
        <v>8074</v>
      </c>
      <c r="B1240" t="s">
        <v>6161</v>
      </c>
      <c r="C1240">
        <v>44.0655</v>
      </c>
      <c r="D1240">
        <v>-83.895200000000003</v>
      </c>
      <c r="E1240" t="s">
        <v>8075</v>
      </c>
    </row>
    <row r="1241" spans="1:5" hidden="1" x14ac:dyDescent="0.25">
      <c r="A1241" t="s">
        <v>8076</v>
      </c>
      <c r="B1241" t="s">
        <v>6161</v>
      </c>
      <c r="C1241">
        <v>46.662599999999998</v>
      </c>
      <c r="D1241">
        <v>-88.365200000000002</v>
      </c>
      <c r="E1241" t="s">
        <v>8077</v>
      </c>
    </row>
    <row r="1242" spans="1:5" hidden="1" x14ac:dyDescent="0.25">
      <c r="A1242" t="s">
        <v>4911</v>
      </c>
      <c r="B1242" t="s">
        <v>6161</v>
      </c>
      <c r="C1242">
        <v>42.594999999999999</v>
      </c>
      <c r="D1242">
        <v>-85.308999999999997</v>
      </c>
      <c r="E1242" t="s">
        <v>8078</v>
      </c>
    </row>
    <row r="1243" spans="1:5" hidden="1" x14ac:dyDescent="0.25">
      <c r="A1243" t="s">
        <v>6727</v>
      </c>
      <c r="B1243" t="s">
        <v>6161</v>
      </c>
      <c r="C1243">
        <v>43.707500000000003</v>
      </c>
      <c r="D1243">
        <v>-83.992400000000004</v>
      </c>
      <c r="E1243" t="s">
        <v>8079</v>
      </c>
    </row>
    <row r="1244" spans="1:5" hidden="1" x14ac:dyDescent="0.25">
      <c r="A1244" t="s">
        <v>8080</v>
      </c>
      <c r="B1244" t="s">
        <v>6161</v>
      </c>
      <c r="C1244">
        <v>44.6387</v>
      </c>
      <c r="D1244">
        <v>-86.015500000000003</v>
      </c>
      <c r="E1244" t="s">
        <v>8081</v>
      </c>
    </row>
    <row r="1245" spans="1:5" hidden="1" x14ac:dyDescent="0.25">
      <c r="A1245" t="s">
        <v>6847</v>
      </c>
      <c r="B1245" t="s">
        <v>6161</v>
      </c>
      <c r="C1245">
        <v>41.954700000000003</v>
      </c>
      <c r="D1245">
        <v>-86.412300000000002</v>
      </c>
      <c r="E1245" t="s">
        <v>8082</v>
      </c>
    </row>
    <row r="1246" spans="1:5" hidden="1" x14ac:dyDescent="0.25">
      <c r="A1246" t="s">
        <v>8083</v>
      </c>
      <c r="B1246" t="s">
        <v>6161</v>
      </c>
      <c r="C1246">
        <v>41.9161</v>
      </c>
      <c r="D1246">
        <v>-85.058999999999997</v>
      </c>
      <c r="E1246" t="s">
        <v>8084</v>
      </c>
    </row>
    <row r="1247" spans="1:5" hidden="1" x14ac:dyDescent="0.25">
      <c r="A1247" t="s">
        <v>1505</v>
      </c>
      <c r="B1247" t="s">
        <v>6161</v>
      </c>
      <c r="C1247">
        <v>42.246499999999997</v>
      </c>
      <c r="D1247">
        <v>-85.005600000000001</v>
      </c>
      <c r="E1247" t="s">
        <v>8085</v>
      </c>
    </row>
    <row r="1248" spans="1:5" hidden="1" x14ac:dyDescent="0.25">
      <c r="A1248" t="s">
        <v>7103</v>
      </c>
      <c r="B1248" t="s">
        <v>6161</v>
      </c>
      <c r="C1248">
        <v>41.915399999999998</v>
      </c>
      <c r="D1248">
        <v>-85.993499999999997</v>
      </c>
      <c r="E1248" t="s">
        <v>8086</v>
      </c>
    </row>
    <row r="1249" spans="1:5" hidden="1" x14ac:dyDescent="0.25">
      <c r="A1249" t="s">
        <v>8087</v>
      </c>
      <c r="B1249" t="s">
        <v>6161</v>
      </c>
      <c r="C1249">
        <v>45.299500000000002</v>
      </c>
      <c r="D1249">
        <v>-85.123999999999995</v>
      </c>
      <c r="E1249" t="s">
        <v>8088</v>
      </c>
    </row>
    <row r="1250" spans="1:5" hidden="1" x14ac:dyDescent="0.25">
      <c r="A1250" t="s">
        <v>8089</v>
      </c>
      <c r="B1250" t="s">
        <v>6161</v>
      </c>
      <c r="C1250">
        <v>45.446300000000001</v>
      </c>
      <c r="D1250">
        <v>-84.499899999999997</v>
      </c>
      <c r="E1250" t="s">
        <v>8090</v>
      </c>
    </row>
    <row r="1251" spans="1:5" hidden="1" x14ac:dyDescent="0.25">
      <c r="A1251" t="s">
        <v>8091</v>
      </c>
      <c r="B1251" t="s">
        <v>6161</v>
      </c>
      <c r="C1251">
        <v>46.305300000000003</v>
      </c>
      <c r="D1251">
        <v>-84.578000000000003</v>
      </c>
      <c r="E1251" t="s">
        <v>8092</v>
      </c>
    </row>
    <row r="1252" spans="1:5" hidden="1" x14ac:dyDescent="0.25">
      <c r="A1252" t="s">
        <v>8093</v>
      </c>
      <c r="B1252" t="s">
        <v>6161</v>
      </c>
      <c r="C1252">
        <v>43.987900000000003</v>
      </c>
      <c r="D1252">
        <v>-84.847800000000007</v>
      </c>
      <c r="E1252" t="s">
        <v>8094</v>
      </c>
    </row>
    <row r="1253" spans="1:5" hidden="1" x14ac:dyDescent="0.25">
      <c r="A1253" t="s">
        <v>1113</v>
      </c>
      <c r="B1253" t="s">
        <v>6161</v>
      </c>
      <c r="C1253">
        <v>42.9437</v>
      </c>
      <c r="D1253">
        <v>-84.601500000000001</v>
      </c>
      <c r="E1253" t="s">
        <v>8095</v>
      </c>
    </row>
    <row r="1254" spans="1:5" hidden="1" x14ac:dyDescent="0.25">
      <c r="A1254" t="s">
        <v>3776</v>
      </c>
      <c r="B1254" t="s">
        <v>6161</v>
      </c>
      <c r="C1254">
        <v>44.683700000000002</v>
      </c>
      <c r="D1254">
        <v>-84.610299999999995</v>
      </c>
      <c r="E1254" t="s">
        <v>8096</v>
      </c>
    </row>
    <row r="1255" spans="1:5" hidden="1" x14ac:dyDescent="0.25">
      <c r="A1255" t="s">
        <v>6612</v>
      </c>
      <c r="B1255" t="s">
        <v>6161</v>
      </c>
      <c r="C1255">
        <v>45.9193</v>
      </c>
      <c r="D1255">
        <v>-86.924099999999996</v>
      </c>
      <c r="E1255" t="s">
        <v>8097</v>
      </c>
    </row>
    <row r="1256" spans="1:5" hidden="1" x14ac:dyDescent="0.25">
      <c r="A1256" t="s">
        <v>4825</v>
      </c>
      <c r="B1256" t="s">
        <v>6161</v>
      </c>
      <c r="C1256">
        <v>46.0092</v>
      </c>
      <c r="D1256">
        <v>-87.8703</v>
      </c>
      <c r="E1256" t="s">
        <v>8098</v>
      </c>
    </row>
    <row r="1257" spans="1:5" hidden="1" x14ac:dyDescent="0.25">
      <c r="A1257" t="s">
        <v>8099</v>
      </c>
      <c r="B1257" t="s">
        <v>6161</v>
      </c>
      <c r="C1257">
        <v>42.5961</v>
      </c>
      <c r="D1257">
        <v>-84.838300000000004</v>
      </c>
      <c r="E1257" t="s">
        <v>8100</v>
      </c>
    </row>
    <row r="1258" spans="1:5" hidden="1" x14ac:dyDescent="0.25">
      <c r="A1258" t="s">
        <v>7126</v>
      </c>
      <c r="B1258" t="s">
        <v>6161</v>
      </c>
      <c r="C1258">
        <v>45.520200000000003</v>
      </c>
      <c r="D1258">
        <v>-84.8904</v>
      </c>
      <c r="E1258" t="s">
        <v>8101</v>
      </c>
    </row>
    <row r="1259" spans="1:5" hidden="1" x14ac:dyDescent="0.25">
      <c r="A1259" t="s">
        <v>8102</v>
      </c>
      <c r="B1259" t="s">
        <v>6161</v>
      </c>
      <c r="C1259">
        <v>43.021700000000003</v>
      </c>
      <c r="D1259">
        <v>-83.706699999999998</v>
      </c>
      <c r="E1259" t="s">
        <v>8103</v>
      </c>
    </row>
    <row r="1260" spans="1:5" hidden="1" x14ac:dyDescent="0.25">
      <c r="A1260" t="s">
        <v>8104</v>
      </c>
      <c r="B1260" t="s">
        <v>6161</v>
      </c>
      <c r="C1260">
        <v>43.990699999999997</v>
      </c>
      <c r="D1260">
        <v>-84.388300000000001</v>
      </c>
      <c r="E1260" t="s">
        <v>8105</v>
      </c>
    </row>
    <row r="1261" spans="1:5" hidden="1" x14ac:dyDescent="0.25">
      <c r="A1261" t="s">
        <v>8106</v>
      </c>
      <c r="B1261" t="s">
        <v>6161</v>
      </c>
      <c r="C1261">
        <v>46.408700000000003</v>
      </c>
      <c r="D1261">
        <v>-89.694299999999998</v>
      </c>
      <c r="E1261" t="s">
        <v>8107</v>
      </c>
    </row>
    <row r="1262" spans="1:5" hidden="1" x14ac:dyDescent="0.25">
      <c r="A1262" t="s">
        <v>8108</v>
      </c>
      <c r="B1262" t="s">
        <v>6161</v>
      </c>
      <c r="C1262">
        <v>44.668700000000001</v>
      </c>
      <c r="D1262">
        <v>-85.560500000000005</v>
      </c>
      <c r="E1262" t="s">
        <v>8109</v>
      </c>
    </row>
    <row r="1263" spans="1:5" hidden="1" x14ac:dyDescent="0.25">
      <c r="A1263" t="s">
        <v>8110</v>
      </c>
      <c r="B1263" t="s">
        <v>6161</v>
      </c>
      <c r="C1263">
        <v>43.292700000000004</v>
      </c>
      <c r="D1263">
        <v>-84.604900000000001</v>
      </c>
      <c r="E1263" t="s">
        <v>8111</v>
      </c>
    </row>
    <row r="1264" spans="1:5" hidden="1" x14ac:dyDescent="0.25">
      <c r="A1264" t="s">
        <v>8112</v>
      </c>
      <c r="B1264" t="s">
        <v>6161</v>
      </c>
      <c r="C1264">
        <v>41.887799999999999</v>
      </c>
      <c r="D1264">
        <v>-84.5929</v>
      </c>
      <c r="E1264" t="s">
        <v>8113</v>
      </c>
    </row>
    <row r="1265" spans="1:5" hidden="1" x14ac:dyDescent="0.25">
      <c r="A1265" t="s">
        <v>8114</v>
      </c>
      <c r="B1265" t="s">
        <v>6161</v>
      </c>
      <c r="C1265">
        <v>46.897599999999997</v>
      </c>
      <c r="D1265">
        <v>-88.6875</v>
      </c>
      <c r="E1265" t="s">
        <v>8115</v>
      </c>
    </row>
    <row r="1266" spans="1:5" hidden="1" x14ac:dyDescent="0.25">
      <c r="A1266" t="s">
        <v>8116</v>
      </c>
      <c r="B1266" t="s">
        <v>6161</v>
      </c>
      <c r="C1266">
        <v>43.833300000000001</v>
      </c>
      <c r="D1266">
        <v>-83.019000000000005</v>
      </c>
      <c r="E1266" t="s">
        <v>8117</v>
      </c>
    </row>
    <row r="1267" spans="1:5" hidden="1" x14ac:dyDescent="0.25">
      <c r="A1267" t="s">
        <v>8118</v>
      </c>
      <c r="B1267" t="s">
        <v>6161</v>
      </c>
      <c r="C1267">
        <v>42.597099999999998</v>
      </c>
      <c r="D1267">
        <v>-84.373500000000007</v>
      </c>
      <c r="E1267" t="s">
        <v>8119</v>
      </c>
    </row>
    <row r="1268" spans="1:5" hidden="1" x14ac:dyDescent="0.25">
      <c r="A1268" t="s">
        <v>8120</v>
      </c>
      <c r="B1268" t="s">
        <v>6161</v>
      </c>
      <c r="C1268">
        <v>42.945099999999996</v>
      </c>
      <c r="D1268">
        <v>-85.074600000000004</v>
      </c>
      <c r="E1268" t="s">
        <v>8121</v>
      </c>
    </row>
    <row r="1269" spans="1:5" hidden="1" x14ac:dyDescent="0.25">
      <c r="A1269" t="s">
        <v>8122</v>
      </c>
      <c r="B1269" t="s">
        <v>6161</v>
      </c>
      <c r="C1269">
        <v>44.355899999999998</v>
      </c>
      <c r="D1269">
        <v>-83.635900000000007</v>
      </c>
      <c r="E1269" t="s">
        <v>8123</v>
      </c>
    </row>
    <row r="1270" spans="1:5" hidden="1" x14ac:dyDescent="0.25">
      <c r="A1270" t="s">
        <v>4123</v>
      </c>
      <c r="B1270" t="s">
        <v>6161</v>
      </c>
      <c r="C1270">
        <v>46.2087</v>
      </c>
      <c r="D1270">
        <v>-88.530500000000004</v>
      </c>
      <c r="E1270" t="s">
        <v>8124</v>
      </c>
    </row>
    <row r="1271" spans="1:5" hidden="1" x14ac:dyDescent="0.25">
      <c r="A1271" t="s">
        <v>2146</v>
      </c>
      <c r="B1271" t="s">
        <v>6161</v>
      </c>
      <c r="C1271">
        <v>43.640599999999999</v>
      </c>
      <c r="D1271">
        <v>-84.846800000000002</v>
      </c>
      <c r="E1271" t="s">
        <v>8125</v>
      </c>
    </row>
    <row r="1272" spans="1:5" hidden="1" x14ac:dyDescent="0.25">
      <c r="A1272" t="s">
        <v>191</v>
      </c>
      <c r="B1272" t="s">
        <v>6161</v>
      </c>
      <c r="C1272">
        <v>42.2485</v>
      </c>
      <c r="D1272">
        <v>-84.423400000000001</v>
      </c>
      <c r="E1272" t="s">
        <v>8126</v>
      </c>
    </row>
    <row r="1273" spans="1:5" hidden="1" x14ac:dyDescent="0.25">
      <c r="A1273" t="s">
        <v>8127</v>
      </c>
      <c r="B1273" t="s">
        <v>6161</v>
      </c>
      <c r="C1273">
        <v>42.2455</v>
      </c>
      <c r="D1273">
        <v>-85.531199999999998</v>
      </c>
      <c r="E1273" t="s">
        <v>8128</v>
      </c>
    </row>
    <row r="1274" spans="1:5" hidden="1" x14ac:dyDescent="0.25">
      <c r="A1274" t="s">
        <v>8129</v>
      </c>
      <c r="B1274" t="s">
        <v>6161</v>
      </c>
      <c r="C1274">
        <v>44.684699999999999</v>
      </c>
      <c r="D1274">
        <v>-85.090199999999996</v>
      </c>
      <c r="E1274" t="s">
        <v>8130</v>
      </c>
    </row>
    <row r="1275" spans="1:5" hidden="1" x14ac:dyDescent="0.25">
      <c r="A1275" t="s">
        <v>2070</v>
      </c>
      <c r="B1275" t="s">
        <v>6161</v>
      </c>
      <c r="C1275">
        <v>43.032200000000003</v>
      </c>
      <c r="D1275">
        <v>-85.549300000000002</v>
      </c>
      <c r="E1275" t="s">
        <v>8131</v>
      </c>
    </row>
    <row r="1276" spans="1:5" hidden="1" x14ac:dyDescent="0.25">
      <c r="A1276" t="s">
        <v>8132</v>
      </c>
      <c r="B1276" t="s">
        <v>6161</v>
      </c>
      <c r="C1276">
        <v>47.628</v>
      </c>
      <c r="D1276">
        <v>-88.434600000000003</v>
      </c>
      <c r="E1276" t="s">
        <v>8133</v>
      </c>
    </row>
    <row r="1277" spans="1:5" hidden="1" x14ac:dyDescent="0.25">
      <c r="A1277" t="s">
        <v>3705</v>
      </c>
      <c r="B1277" t="s">
        <v>6161</v>
      </c>
      <c r="C1277">
        <v>43.990099999999998</v>
      </c>
      <c r="D1277">
        <v>-85.801599999999993</v>
      </c>
      <c r="E1277" t="s">
        <v>8134</v>
      </c>
    </row>
    <row r="1278" spans="1:5" hidden="1" x14ac:dyDescent="0.25">
      <c r="A1278" t="s">
        <v>8135</v>
      </c>
      <c r="B1278" t="s">
        <v>6161</v>
      </c>
      <c r="C1278">
        <v>43.0901</v>
      </c>
      <c r="D1278">
        <v>-83.221800000000002</v>
      </c>
      <c r="E1278" t="s">
        <v>8136</v>
      </c>
    </row>
    <row r="1279" spans="1:5" hidden="1" x14ac:dyDescent="0.25">
      <c r="A1279" t="s">
        <v>8137</v>
      </c>
      <c r="B1279" t="s">
        <v>6161</v>
      </c>
      <c r="C1279">
        <v>44.938499999999998</v>
      </c>
      <c r="D1279">
        <v>-85.811999999999998</v>
      </c>
      <c r="E1279" t="s">
        <v>8138</v>
      </c>
    </row>
    <row r="1280" spans="1:5" hidden="1" x14ac:dyDescent="0.25">
      <c r="A1280" t="s">
        <v>8139</v>
      </c>
      <c r="B1280" t="s">
        <v>6161</v>
      </c>
      <c r="C1280">
        <v>41.895099999999999</v>
      </c>
      <c r="D1280">
        <v>-84.066400000000002</v>
      </c>
      <c r="E1280" t="s">
        <v>8140</v>
      </c>
    </row>
    <row r="1281" spans="1:5" hidden="1" x14ac:dyDescent="0.25">
      <c r="A1281" t="s">
        <v>1355</v>
      </c>
      <c r="B1281" t="s">
        <v>6161</v>
      </c>
      <c r="C1281">
        <v>42.602899999999998</v>
      </c>
      <c r="D1281">
        <v>-83.911500000000004</v>
      </c>
      <c r="E1281" t="s">
        <v>8141</v>
      </c>
    </row>
    <row r="1282" spans="1:5" hidden="1" x14ac:dyDescent="0.25">
      <c r="A1282" t="s">
        <v>6064</v>
      </c>
      <c r="B1282" t="s">
        <v>6161</v>
      </c>
      <c r="C1282">
        <v>46.470599999999997</v>
      </c>
      <c r="D1282">
        <v>-85.544399999999996</v>
      </c>
      <c r="E1282" t="s">
        <v>8142</v>
      </c>
    </row>
    <row r="1283" spans="1:5" hidden="1" x14ac:dyDescent="0.25">
      <c r="A1283" t="s">
        <v>8143</v>
      </c>
      <c r="B1283" t="s">
        <v>6161</v>
      </c>
      <c r="C1283">
        <v>46.080500000000001</v>
      </c>
      <c r="D1283">
        <v>-85.087199999999996</v>
      </c>
      <c r="E1283" t="s">
        <v>8144</v>
      </c>
    </row>
    <row r="1284" spans="1:5" hidden="1" x14ac:dyDescent="0.25">
      <c r="A1284" t="s">
        <v>8145</v>
      </c>
      <c r="B1284" t="s">
        <v>6161</v>
      </c>
      <c r="C1284">
        <v>42.695700000000002</v>
      </c>
      <c r="D1284">
        <v>-82.932299999999998</v>
      </c>
      <c r="E1284" t="s">
        <v>8146</v>
      </c>
    </row>
    <row r="1285" spans="1:5" hidden="1" x14ac:dyDescent="0.25">
      <c r="A1285" t="s">
        <v>8147</v>
      </c>
      <c r="B1285" t="s">
        <v>6161</v>
      </c>
      <c r="C1285">
        <v>44.332999999999998</v>
      </c>
      <c r="D1285">
        <v>-86.056799999999996</v>
      </c>
      <c r="E1285" t="s">
        <v>8148</v>
      </c>
    </row>
    <row r="1286" spans="1:5" hidden="1" x14ac:dyDescent="0.25">
      <c r="A1286" t="s">
        <v>8149</v>
      </c>
      <c r="B1286" t="s">
        <v>6161</v>
      </c>
      <c r="C1286">
        <v>46.4313</v>
      </c>
      <c r="D1286">
        <v>-87.641599999999997</v>
      </c>
      <c r="E1286" t="s">
        <v>8150</v>
      </c>
    </row>
    <row r="1287" spans="1:5" hidden="1" x14ac:dyDescent="0.25">
      <c r="A1287" t="s">
        <v>2217</v>
      </c>
      <c r="B1287" t="s">
        <v>6161</v>
      </c>
      <c r="C1287">
        <v>43.995199999999997</v>
      </c>
      <c r="D1287">
        <v>-86.25</v>
      </c>
      <c r="E1287" t="s">
        <v>8151</v>
      </c>
    </row>
    <row r="1288" spans="1:5" hidden="1" x14ac:dyDescent="0.25">
      <c r="A1288" t="s">
        <v>8152</v>
      </c>
      <c r="B1288" t="s">
        <v>6161</v>
      </c>
      <c r="C1288">
        <v>43.640799999999999</v>
      </c>
      <c r="D1288">
        <v>-85.324600000000004</v>
      </c>
      <c r="E1288" t="s">
        <v>8153</v>
      </c>
    </row>
    <row r="1289" spans="1:5" hidden="1" x14ac:dyDescent="0.25">
      <c r="A1289" t="s">
        <v>8154</v>
      </c>
      <c r="B1289" t="s">
        <v>6161</v>
      </c>
      <c r="C1289">
        <v>45.580100000000002</v>
      </c>
      <c r="D1289">
        <v>-87.556600000000003</v>
      </c>
      <c r="E1289" t="s">
        <v>8155</v>
      </c>
    </row>
    <row r="1290" spans="1:5" hidden="1" x14ac:dyDescent="0.25">
      <c r="A1290" t="s">
        <v>8156</v>
      </c>
      <c r="B1290" t="s">
        <v>6161</v>
      </c>
      <c r="C1290">
        <v>43.646799999999999</v>
      </c>
      <c r="D1290">
        <v>-84.388099999999994</v>
      </c>
      <c r="E1290" t="s">
        <v>8157</v>
      </c>
    </row>
    <row r="1291" spans="1:5" hidden="1" x14ac:dyDescent="0.25">
      <c r="A1291" t="s">
        <v>8158</v>
      </c>
      <c r="B1291" t="s">
        <v>6161</v>
      </c>
      <c r="C1291">
        <v>44.337400000000002</v>
      </c>
      <c r="D1291">
        <v>-85.094700000000003</v>
      </c>
      <c r="E1291" t="s">
        <v>8159</v>
      </c>
    </row>
    <row r="1292" spans="1:5" hidden="1" x14ac:dyDescent="0.25">
      <c r="A1292" t="s">
        <v>6295</v>
      </c>
      <c r="B1292" t="s">
        <v>6161</v>
      </c>
      <c r="C1292">
        <v>41.929099999999998</v>
      </c>
      <c r="D1292">
        <v>-83.539400000000001</v>
      </c>
      <c r="E1292" t="s">
        <v>8160</v>
      </c>
    </row>
    <row r="1293" spans="1:5" hidden="1" x14ac:dyDescent="0.25">
      <c r="A1293" t="s">
        <v>8161</v>
      </c>
      <c r="B1293" t="s">
        <v>6161</v>
      </c>
      <c r="C1293">
        <v>43.311</v>
      </c>
      <c r="D1293">
        <v>-85.152500000000003</v>
      </c>
      <c r="E1293" t="s">
        <v>8162</v>
      </c>
    </row>
    <row r="1294" spans="1:5" hidden="1" x14ac:dyDescent="0.25">
      <c r="A1294" t="s">
        <v>8163</v>
      </c>
      <c r="B1294" t="s">
        <v>6161</v>
      </c>
      <c r="C1294">
        <v>45.0276</v>
      </c>
      <c r="D1294">
        <v>-84.127200000000002</v>
      </c>
      <c r="E1294" t="s">
        <v>8164</v>
      </c>
    </row>
    <row r="1295" spans="1:5" hidden="1" x14ac:dyDescent="0.25">
      <c r="A1295" t="s">
        <v>8165</v>
      </c>
      <c r="B1295" t="s">
        <v>6161</v>
      </c>
      <c r="C1295">
        <v>43.291200000000003</v>
      </c>
      <c r="D1295">
        <v>-86.152000000000001</v>
      </c>
      <c r="E1295" t="s">
        <v>8166</v>
      </c>
    </row>
    <row r="1296" spans="1:5" hidden="1" x14ac:dyDescent="0.25">
      <c r="A1296" t="s">
        <v>8167</v>
      </c>
      <c r="B1296" t="s">
        <v>6161</v>
      </c>
      <c r="C1296">
        <v>43.554200000000002</v>
      </c>
      <c r="D1296">
        <v>-85.800899999999999</v>
      </c>
      <c r="E1296" t="s">
        <v>8168</v>
      </c>
    </row>
    <row r="1297" spans="1:5" hidden="1" x14ac:dyDescent="0.25">
      <c r="A1297" t="s">
        <v>8169</v>
      </c>
      <c r="B1297" t="s">
        <v>6161</v>
      </c>
      <c r="C1297">
        <v>42.660400000000003</v>
      </c>
      <c r="D1297">
        <v>-83.385800000000003</v>
      </c>
      <c r="E1297" t="s">
        <v>8170</v>
      </c>
    </row>
    <row r="1298" spans="1:5" hidden="1" x14ac:dyDescent="0.25">
      <c r="A1298" t="s">
        <v>8171</v>
      </c>
      <c r="B1298" t="s">
        <v>6161</v>
      </c>
      <c r="C1298">
        <v>43.640999999999998</v>
      </c>
      <c r="D1298">
        <v>-86.267499999999998</v>
      </c>
      <c r="E1298" t="s">
        <v>8172</v>
      </c>
    </row>
    <row r="1299" spans="1:5" hidden="1" x14ac:dyDescent="0.25">
      <c r="A1299" t="s">
        <v>8173</v>
      </c>
      <c r="B1299" t="s">
        <v>6161</v>
      </c>
      <c r="C1299">
        <v>44.335000000000001</v>
      </c>
      <c r="D1299">
        <v>-84.126400000000004</v>
      </c>
      <c r="E1299" t="s">
        <v>8174</v>
      </c>
    </row>
    <row r="1300" spans="1:5" hidden="1" x14ac:dyDescent="0.25">
      <c r="A1300" t="s">
        <v>8175</v>
      </c>
      <c r="B1300" t="s">
        <v>6161</v>
      </c>
      <c r="C1300">
        <v>46.664400000000001</v>
      </c>
      <c r="D1300">
        <v>-89.314800000000005</v>
      </c>
      <c r="E1300" t="s">
        <v>8176</v>
      </c>
    </row>
    <row r="1301" spans="1:5" hidden="1" x14ac:dyDescent="0.25">
      <c r="A1301" t="s">
        <v>6801</v>
      </c>
      <c r="B1301" t="s">
        <v>6161</v>
      </c>
      <c r="C1301">
        <v>43.989800000000002</v>
      </c>
      <c r="D1301">
        <v>-85.325199999999995</v>
      </c>
      <c r="E1301" t="s">
        <v>8177</v>
      </c>
    </row>
    <row r="1302" spans="1:5" hidden="1" x14ac:dyDescent="0.25">
      <c r="A1302" t="s">
        <v>8178</v>
      </c>
      <c r="B1302" t="s">
        <v>6161</v>
      </c>
      <c r="C1302">
        <v>44.681800000000003</v>
      </c>
      <c r="D1302">
        <v>-84.129800000000003</v>
      </c>
      <c r="E1302" t="s">
        <v>8179</v>
      </c>
    </row>
    <row r="1303" spans="1:5" hidden="1" x14ac:dyDescent="0.25">
      <c r="A1303" t="s">
        <v>8180</v>
      </c>
      <c r="B1303" t="s">
        <v>6161</v>
      </c>
      <c r="C1303">
        <v>45.0214</v>
      </c>
      <c r="D1303">
        <v>-84.599000000000004</v>
      </c>
      <c r="E1303" t="s">
        <v>8181</v>
      </c>
    </row>
    <row r="1304" spans="1:5" hidden="1" x14ac:dyDescent="0.25">
      <c r="A1304" t="s">
        <v>7662</v>
      </c>
      <c r="B1304" t="s">
        <v>6161</v>
      </c>
      <c r="C1304">
        <v>42.959899999999998</v>
      </c>
      <c r="D1304">
        <v>-85.995999999999995</v>
      </c>
      <c r="E1304" t="s">
        <v>8182</v>
      </c>
    </row>
    <row r="1305" spans="1:5" hidden="1" x14ac:dyDescent="0.25">
      <c r="A1305" t="s">
        <v>8183</v>
      </c>
      <c r="B1305" t="s">
        <v>6161</v>
      </c>
      <c r="C1305">
        <v>45.3401</v>
      </c>
      <c r="D1305">
        <v>-83.918000000000006</v>
      </c>
      <c r="E1305" t="s">
        <v>8184</v>
      </c>
    </row>
    <row r="1306" spans="1:5" hidden="1" x14ac:dyDescent="0.25">
      <c r="A1306" t="s">
        <v>8185</v>
      </c>
      <c r="B1306" t="s">
        <v>6161</v>
      </c>
      <c r="C1306">
        <v>44.335599999999999</v>
      </c>
      <c r="D1306">
        <v>-84.611599999999996</v>
      </c>
      <c r="E1306" t="s">
        <v>8186</v>
      </c>
    </row>
    <row r="1307" spans="1:5" hidden="1" x14ac:dyDescent="0.25">
      <c r="A1307" t="s">
        <v>8187</v>
      </c>
      <c r="B1307" t="s">
        <v>6161</v>
      </c>
      <c r="C1307">
        <v>43.335000000000001</v>
      </c>
      <c r="D1307">
        <v>-84.053200000000004</v>
      </c>
      <c r="E1307" t="s">
        <v>8188</v>
      </c>
    </row>
    <row r="1308" spans="1:5" hidden="1" x14ac:dyDescent="0.25">
      <c r="A1308" t="s">
        <v>8189</v>
      </c>
      <c r="B1308" t="s">
        <v>6161</v>
      </c>
      <c r="C1308">
        <v>43.4236</v>
      </c>
      <c r="D1308">
        <v>-82.820300000000003</v>
      </c>
      <c r="E1308" t="s">
        <v>8190</v>
      </c>
    </row>
    <row r="1309" spans="1:5" hidden="1" x14ac:dyDescent="0.25">
      <c r="A1309" t="s">
        <v>8191</v>
      </c>
      <c r="B1309" t="s">
        <v>6161</v>
      </c>
      <c r="C1309">
        <v>46.196599999999997</v>
      </c>
      <c r="D1309">
        <v>-86.199600000000004</v>
      </c>
      <c r="E1309" t="s">
        <v>8192</v>
      </c>
    </row>
    <row r="1310" spans="1:5" hidden="1" x14ac:dyDescent="0.25">
      <c r="A1310" t="s">
        <v>8193</v>
      </c>
      <c r="B1310" t="s">
        <v>6161</v>
      </c>
      <c r="C1310">
        <v>42.953699999999998</v>
      </c>
      <c r="D1310">
        <v>-84.146699999999996</v>
      </c>
      <c r="E1310" t="s">
        <v>8194</v>
      </c>
    </row>
    <row r="1311" spans="1:5" hidden="1" x14ac:dyDescent="0.25">
      <c r="A1311" t="s">
        <v>6311</v>
      </c>
      <c r="B1311" t="s">
        <v>6161</v>
      </c>
      <c r="C1311">
        <v>42.934100000000001</v>
      </c>
      <c r="D1311">
        <v>-82.680599999999998</v>
      </c>
      <c r="E1311" t="s">
        <v>8195</v>
      </c>
    </row>
    <row r="1312" spans="1:5" hidden="1" x14ac:dyDescent="0.25">
      <c r="A1312" t="s">
        <v>7529</v>
      </c>
      <c r="B1312" t="s">
        <v>6161</v>
      </c>
      <c r="C1312">
        <v>41.914400000000001</v>
      </c>
      <c r="D1312">
        <v>-85.527799999999999</v>
      </c>
      <c r="E1312" t="s">
        <v>8196</v>
      </c>
    </row>
    <row r="1313" spans="1:5" hidden="1" x14ac:dyDescent="0.25">
      <c r="A1313" t="s">
        <v>8197</v>
      </c>
      <c r="B1313" t="s">
        <v>6161</v>
      </c>
      <c r="C1313">
        <v>43.464100000000002</v>
      </c>
      <c r="D1313">
        <v>-83.416700000000006</v>
      </c>
      <c r="E1313" t="s">
        <v>8198</v>
      </c>
    </row>
    <row r="1314" spans="1:5" hidden="1" x14ac:dyDescent="0.25">
      <c r="A1314" t="s">
        <v>6433</v>
      </c>
      <c r="B1314" t="s">
        <v>6161</v>
      </c>
      <c r="C1314">
        <v>42.251300000000001</v>
      </c>
      <c r="D1314">
        <v>-86.018799999999999</v>
      </c>
      <c r="E1314" t="s">
        <v>8199</v>
      </c>
    </row>
    <row r="1315" spans="1:5" hidden="1" x14ac:dyDescent="0.25">
      <c r="A1315" t="s">
        <v>8200</v>
      </c>
      <c r="B1315" t="s">
        <v>6161</v>
      </c>
      <c r="C1315">
        <v>42.2532</v>
      </c>
      <c r="D1315">
        <v>-83.838800000000006</v>
      </c>
      <c r="E1315" t="s">
        <v>8201</v>
      </c>
    </row>
    <row r="1316" spans="1:5" hidden="1" x14ac:dyDescent="0.25">
      <c r="A1316" t="s">
        <v>7057</v>
      </c>
      <c r="B1316" t="s">
        <v>6161</v>
      </c>
      <c r="C1316">
        <v>42.282200000000003</v>
      </c>
      <c r="D1316">
        <v>-83.283000000000001</v>
      </c>
      <c r="E1316" t="s">
        <v>8202</v>
      </c>
    </row>
    <row r="1317" spans="1:5" hidden="1" x14ac:dyDescent="0.25">
      <c r="A1317" t="s">
        <v>8203</v>
      </c>
      <c r="B1317" t="s">
        <v>6161</v>
      </c>
      <c r="C1317">
        <v>44.338299999999997</v>
      </c>
      <c r="D1317">
        <v>-85.578500000000005</v>
      </c>
      <c r="E1317" t="s">
        <v>8204</v>
      </c>
    </row>
    <row r="1318" spans="1:5" hidden="1" x14ac:dyDescent="0.25">
      <c r="A1318" t="s">
        <v>8205</v>
      </c>
      <c r="B1318" t="s">
        <v>6163</v>
      </c>
      <c r="C1318">
        <v>46.608199999999997</v>
      </c>
      <c r="D1318">
        <v>-93.415499999999994</v>
      </c>
      <c r="E1318" t="s">
        <v>8206</v>
      </c>
    </row>
    <row r="1319" spans="1:5" hidden="1" x14ac:dyDescent="0.25">
      <c r="A1319" t="s">
        <v>8207</v>
      </c>
      <c r="B1319" t="s">
        <v>6163</v>
      </c>
      <c r="C1319">
        <v>45.273299999999999</v>
      </c>
      <c r="D1319">
        <v>-93.246499999999997</v>
      </c>
      <c r="E1319" t="s">
        <v>8208</v>
      </c>
    </row>
    <row r="1320" spans="1:5" hidden="1" x14ac:dyDescent="0.25">
      <c r="A1320" t="s">
        <v>8209</v>
      </c>
      <c r="B1320" t="s">
        <v>6163</v>
      </c>
      <c r="C1320">
        <v>46.934600000000003</v>
      </c>
      <c r="D1320">
        <v>-95.674000000000007</v>
      </c>
      <c r="E1320" t="s">
        <v>8210</v>
      </c>
    </row>
    <row r="1321" spans="1:5" hidden="1" x14ac:dyDescent="0.25">
      <c r="A1321" t="s">
        <v>8211</v>
      </c>
      <c r="B1321" t="s">
        <v>6163</v>
      </c>
      <c r="C1321">
        <v>47.973799999999997</v>
      </c>
      <c r="D1321">
        <v>-94.937600000000003</v>
      </c>
      <c r="E1321" t="s">
        <v>8212</v>
      </c>
    </row>
    <row r="1322" spans="1:5" hidden="1" x14ac:dyDescent="0.25">
      <c r="A1322" t="s">
        <v>6333</v>
      </c>
      <c r="B1322" t="s">
        <v>6163</v>
      </c>
      <c r="C1322">
        <v>45.699100000000001</v>
      </c>
      <c r="D1322">
        <v>-93.998800000000003</v>
      </c>
      <c r="E1322" t="s">
        <v>8213</v>
      </c>
    </row>
    <row r="1323" spans="1:5" hidden="1" x14ac:dyDescent="0.25">
      <c r="A1323" t="s">
        <v>8214</v>
      </c>
      <c r="B1323" t="s">
        <v>6163</v>
      </c>
      <c r="C1323">
        <v>45.426099999999998</v>
      </c>
      <c r="D1323">
        <v>-96.411000000000001</v>
      </c>
      <c r="E1323" t="s">
        <v>8215</v>
      </c>
    </row>
    <row r="1324" spans="1:5" hidden="1" x14ac:dyDescent="0.25">
      <c r="A1324" t="s">
        <v>8216</v>
      </c>
      <c r="B1324" t="s">
        <v>6163</v>
      </c>
      <c r="C1324">
        <v>44.034599999999998</v>
      </c>
      <c r="D1324">
        <v>-94.066999999999993</v>
      </c>
      <c r="E1324" t="s">
        <v>8217</v>
      </c>
    </row>
    <row r="1325" spans="1:5" hidden="1" x14ac:dyDescent="0.25">
      <c r="A1325" t="s">
        <v>633</v>
      </c>
      <c r="B1325" t="s">
        <v>6163</v>
      </c>
      <c r="C1325">
        <v>44.242100000000001</v>
      </c>
      <c r="D1325">
        <v>-94.727599999999995</v>
      </c>
      <c r="E1325" t="s">
        <v>8218</v>
      </c>
    </row>
    <row r="1326" spans="1:5" hidden="1" x14ac:dyDescent="0.25">
      <c r="A1326" t="s">
        <v>8219</v>
      </c>
      <c r="B1326" t="s">
        <v>6163</v>
      </c>
      <c r="C1326">
        <v>46.592399999999998</v>
      </c>
      <c r="D1326">
        <v>-92.677000000000007</v>
      </c>
      <c r="E1326" t="s">
        <v>8220</v>
      </c>
    </row>
    <row r="1327" spans="1:5" hidden="1" x14ac:dyDescent="0.25">
      <c r="A1327" t="s">
        <v>8221</v>
      </c>
      <c r="B1327" t="s">
        <v>6163</v>
      </c>
      <c r="C1327">
        <v>44.820700000000002</v>
      </c>
      <c r="D1327">
        <v>-93.802599999999998</v>
      </c>
      <c r="E1327" t="s">
        <v>8222</v>
      </c>
    </row>
    <row r="1328" spans="1:5" hidden="1" x14ac:dyDescent="0.25">
      <c r="A1328" t="s">
        <v>7103</v>
      </c>
      <c r="B1328" t="s">
        <v>6163</v>
      </c>
      <c r="C1328">
        <v>46.949599999999997</v>
      </c>
      <c r="D1328">
        <v>-94.325400000000002</v>
      </c>
      <c r="E1328" t="s">
        <v>8223</v>
      </c>
    </row>
    <row r="1329" spans="1:5" hidden="1" x14ac:dyDescent="0.25">
      <c r="A1329" t="s">
        <v>8091</v>
      </c>
      <c r="B1329" t="s">
        <v>6163</v>
      </c>
      <c r="C1329">
        <v>45.022300000000001</v>
      </c>
      <c r="D1329">
        <v>-95.566699999999997</v>
      </c>
      <c r="E1329" t="s">
        <v>8224</v>
      </c>
    </row>
    <row r="1330" spans="1:5" hidden="1" x14ac:dyDescent="0.25">
      <c r="A1330" t="s">
        <v>8225</v>
      </c>
      <c r="B1330" t="s">
        <v>6163</v>
      </c>
      <c r="C1330">
        <v>45.502499999999998</v>
      </c>
      <c r="D1330">
        <v>-92.908299999999997</v>
      </c>
      <c r="E1330" t="s">
        <v>8226</v>
      </c>
    </row>
    <row r="1331" spans="1:5" hidden="1" x14ac:dyDescent="0.25">
      <c r="A1331" t="s">
        <v>6221</v>
      </c>
      <c r="B1331" t="s">
        <v>6163</v>
      </c>
      <c r="C1331">
        <v>46.892299999999999</v>
      </c>
      <c r="D1331">
        <v>-96.490600000000001</v>
      </c>
      <c r="E1331" t="s">
        <v>8227</v>
      </c>
    </row>
    <row r="1332" spans="1:5" hidden="1" x14ac:dyDescent="0.25">
      <c r="A1332" t="s">
        <v>7252</v>
      </c>
      <c r="B1332" t="s">
        <v>6163</v>
      </c>
      <c r="C1332">
        <v>47.5777</v>
      </c>
      <c r="D1332">
        <v>-95.379000000000005</v>
      </c>
      <c r="E1332" t="s">
        <v>8228</v>
      </c>
    </row>
    <row r="1333" spans="1:5" hidden="1" x14ac:dyDescent="0.25">
      <c r="A1333" t="s">
        <v>2926</v>
      </c>
      <c r="B1333" t="s">
        <v>6163</v>
      </c>
      <c r="C1333">
        <v>47.9026</v>
      </c>
      <c r="D1333">
        <v>-90.535399999999996</v>
      </c>
      <c r="E1333" t="s">
        <v>8229</v>
      </c>
    </row>
    <row r="1334" spans="1:5" hidden="1" x14ac:dyDescent="0.25">
      <c r="A1334" t="s">
        <v>8230</v>
      </c>
      <c r="B1334" t="s">
        <v>6163</v>
      </c>
      <c r="C1334">
        <v>44.007100000000001</v>
      </c>
      <c r="D1334">
        <v>-95.181200000000004</v>
      </c>
      <c r="E1334" t="s">
        <v>8231</v>
      </c>
    </row>
    <row r="1335" spans="1:5" hidden="1" x14ac:dyDescent="0.25">
      <c r="A1335" t="s">
        <v>8232</v>
      </c>
      <c r="B1335" t="s">
        <v>6163</v>
      </c>
      <c r="C1335">
        <v>46.482399999999998</v>
      </c>
      <c r="D1335">
        <v>-94.070899999999995</v>
      </c>
      <c r="E1335" t="s">
        <v>8233</v>
      </c>
    </row>
    <row r="1336" spans="1:5" hidden="1" x14ac:dyDescent="0.25">
      <c r="A1336" t="s">
        <v>8234</v>
      </c>
      <c r="B1336" t="s">
        <v>6163</v>
      </c>
      <c r="C1336">
        <v>44.671900000000001</v>
      </c>
      <c r="D1336">
        <v>-93.065399999999997</v>
      </c>
      <c r="E1336" t="s">
        <v>8235</v>
      </c>
    </row>
    <row r="1337" spans="1:5" hidden="1" x14ac:dyDescent="0.25">
      <c r="A1337" t="s">
        <v>6903</v>
      </c>
      <c r="B1337" t="s">
        <v>6163</v>
      </c>
      <c r="C1337">
        <v>44.022599999999997</v>
      </c>
      <c r="D1337">
        <v>-92.862099999999998</v>
      </c>
      <c r="E1337" t="s">
        <v>8236</v>
      </c>
    </row>
    <row r="1338" spans="1:5" hidden="1" x14ac:dyDescent="0.25">
      <c r="A1338" t="s">
        <v>2538</v>
      </c>
      <c r="B1338" t="s">
        <v>6163</v>
      </c>
      <c r="C1338">
        <v>45.933799999999998</v>
      </c>
      <c r="D1338">
        <v>-95.453500000000005</v>
      </c>
      <c r="E1338" t="s">
        <v>8237</v>
      </c>
    </row>
    <row r="1339" spans="1:5" hidden="1" x14ac:dyDescent="0.25">
      <c r="A1339" t="s">
        <v>8238</v>
      </c>
      <c r="B1339" t="s">
        <v>6163</v>
      </c>
      <c r="C1339">
        <v>43.673900000000003</v>
      </c>
      <c r="D1339">
        <v>-93.947999999999993</v>
      </c>
      <c r="E1339" t="s">
        <v>8239</v>
      </c>
    </row>
    <row r="1340" spans="1:5" hidden="1" x14ac:dyDescent="0.25">
      <c r="A1340" t="s">
        <v>8240</v>
      </c>
      <c r="B1340" t="s">
        <v>6163</v>
      </c>
      <c r="C1340">
        <v>43.673999999999999</v>
      </c>
      <c r="D1340">
        <v>-92.090199999999996</v>
      </c>
      <c r="E1340" t="s">
        <v>8241</v>
      </c>
    </row>
    <row r="1341" spans="1:5" hidden="1" x14ac:dyDescent="0.25">
      <c r="A1341" t="s">
        <v>8242</v>
      </c>
      <c r="B1341" t="s">
        <v>6163</v>
      </c>
      <c r="C1341">
        <v>43.6738</v>
      </c>
      <c r="D1341">
        <v>-93.348799999999997</v>
      </c>
      <c r="E1341" t="s">
        <v>8243</v>
      </c>
    </row>
    <row r="1342" spans="1:5" hidden="1" x14ac:dyDescent="0.25">
      <c r="A1342" t="s">
        <v>8244</v>
      </c>
      <c r="B1342" t="s">
        <v>6163</v>
      </c>
      <c r="C1342">
        <v>44.409700000000001</v>
      </c>
      <c r="D1342">
        <v>-92.722899999999996</v>
      </c>
      <c r="E1342" t="s">
        <v>8245</v>
      </c>
    </row>
    <row r="1343" spans="1:5" hidden="1" x14ac:dyDescent="0.25">
      <c r="A1343" t="s">
        <v>4593</v>
      </c>
      <c r="B1343" t="s">
        <v>6163</v>
      </c>
      <c r="C1343">
        <v>45.934100000000001</v>
      </c>
      <c r="D1343">
        <v>-96.012200000000007</v>
      </c>
      <c r="E1343" t="s">
        <v>8246</v>
      </c>
    </row>
    <row r="1344" spans="1:5" hidden="1" x14ac:dyDescent="0.25">
      <c r="A1344" t="s">
        <v>8247</v>
      </c>
      <c r="B1344" t="s">
        <v>6163</v>
      </c>
      <c r="C1344">
        <v>45.004600000000003</v>
      </c>
      <c r="D1344">
        <v>-93.477000000000004</v>
      </c>
      <c r="E1344" t="s">
        <v>8248</v>
      </c>
    </row>
    <row r="1345" spans="1:5" hidden="1" x14ac:dyDescent="0.25">
      <c r="A1345" t="s">
        <v>6269</v>
      </c>
      <c r="B1345" t="s">
        <v>6163</v>
      </c>
      <c r="C1345">
        <v>43.671399999999998</v>
      </c>
      <c r="D1345">
        <v>-91.492900000000006</v>
      </c>
      <c r="E1345" t="s">
        <v>8249</v>
      </c>
    </row>
    <row r="1346" spans="1:5" hidden="1" x14ac:dyDescent="0.25">
      <c r="A1346" t="s">
        <v>8250</v>
      </c>
      <c r="B1346" t="s">
        <v>6163</v>
      </c>
      <c r="C1346">
        <v>47.108600000000003</v>
      </c>
      <c r="D1346">
        <v>-94.916700000000006</v>
      </c>
      <c r="E1346" t="s">
        <v>8251</v>
      </c>
    </row>
    <row r="1347" spans="1:5" hidden="1" x14ac:dyDescent="0.25">
      <c r="A1347" t="s">
        <v>8252</v>
      </c>
      <c r="B1347" t="s">
        <v>6163</v>
      </c>
      <c r="C1347">
        <v>45.561500000000002</v>
      </c>
      <c r="D1347">
        <v>-93.295100000000005</v>
      </c>
      <c r="E1347" t="s">
        <v>8253</v>
      </c>
    </row>
    <row r="1348" spans="1:5" hidden="1" x14ac:dyDescent="0.25">
      <c r="A1348" t="s">
        <v>8254</v>
      </c>
      <c r="B1348" t="s">
        <v>6163</v>
      </c>
      <c r="C1348">
        <v>47.509500000000003</v>
      </c>
      <c r="D1348">
        <v>-93.631900000000002</v>
      </c>
      <c r="E1348" t="s">
        <v>8255</v>
      </c>
    </row>
    <row r="1349" spans="1:5" hidden="1" x14ac:dyDescent="0.25">
      <c r="A1349" t="s">
        <v>191</v>
      </c>
      <c r="B1349" t="s">
        <v>6163</v>
      </c>
      <c r="C1349">
        <v>43.674199999999999</v>
      </c>
      <c r="D1349">
        <v>-95.1541</v>
      </c>
      <c r="E1349" t="s">
        <v>8256</v>
      </c>
    </row>
    <row r="1350" spans="1:5" hidden="1" x14ac:dyDescent="0.25">
      <c r="A1350" t="s">
        <v>8257</v>
      </c>
      <c r="B1350" t="s">
        <v>6163</v>
      </c>
      <c r="C1350">
        <v>45.9452</v>
      </c>
      <c r="D1350">
        <v>-93.293400000000005</v>
      </c>
      <c r="E1350" t="s">
        <v>8258</v>
      </c>
    </row>
    <row r="1351" spans="1:5" hidden="1" x14ac:dyDescent="0.25">
      <c r="A1351" t="s">
        <v>8259</v>
      </c>
      <c r="B1351" t="s">
        <v>6163</v>
      </c>
      <c r="C1351">
        <v>45.1524</v>
      </c>
      <c r="D1351">
        <v>-95.0047</v>
      </c>
      <c r="E1351" t="s">
        <v>8260</v>
      </c>
    </row>
    <row r="1352" spans="1:5" hidden="1" x14ac:dyDescent="0.25">
      <c r="A1352" t="s">
        <v>8261</v>
      </c>
      <c r="B1352" t="s">
        <v>6163</v>
      </c>
      <c r="C1352">
        <v>48.776600000000002</v>
      </c>
      <c r="D1352">
        <v>-96.782899999999998</v>
      </c>
      <c r="E1352" t="s">
        <v>8262</v>
      </c>
    </row>
    <row r="1353" spans="1:5" hidden="1" x14ac:dyDescent="0.25">
      <c r="A1353" t="s">
        <v>8263</v>
      </c>
      <c r="B1353" t="s">
        <v>6163</v>
      </c>
      <c r="C1353">
        <v>48.2453</v>
      </c>
      <c r="D1353">
        <v>-93.7834</v>
      </c>
      <c r="E1353" t="s">
        <v>8264</v>
      </c>
    </row>
    <row r="1354" spans="1:5" hidden="1" x14ac:dyDescent="0.25">
      <c r="A1354" t="s">
        <v>8265</v>
      </c>
      <c r="B1354" t="s">
        <v>6163</v>
      </c>
      <c r="C1354">
        <v>44.9955</v>
      </c>
      <c r="D1354">
        <v>-96.173500000000004</v>
      </c>
      <c r="E1354" t="s">
        <v>8266</v>
      </c>
    </row>
    <row r="1355" spans="1:5" hidden="1" x14ac:dyDescent="0.25">
      <c r="A1355" t="s">
        <v>3705</v>
      </c>
      <c r="B1355" t="s">
        <v>6163</v>
      </c>
      <c r="C1355">
        <v>47.641100000000002</v>
      </c>
      <c r="D1355">
        <v>-91.445800000000006</v>
      </c>
      <c r="E1355" t="s">
        <v>8267</v>
      </c>
    </row>
    <row r="1356" spans="1:5" hidden="1" x14ac:dyDescent="0.25">
      <c r="A1356" t="s">
        <v>8268</v>
      </c>
      <c r="B1356" t="s">
        <v>6163</v>
      </c>
      <c r="C1356">
        <v>48.7712</v>
      </c>
      <c r="D1356">
        <v>-94.904600000000002</v>
      </c>
      <c r="E1356" t="s">
        <v>8269</v>
      </c>
    </row>
    <row r="1357" spans="1:5" hidden="1" x14ac:dyDescent="0.25">
      <c r="A1357" t="s">
        <v>8270</v>
      </c>
      <c r="B1357" t="s">
        <v>6163</v>
      </c>
      <c r="C1357">
        <v>44.371499999999997</v>
      </c>
      <c r="D1357">
        <v>-93.730199999999996</v>
      </c>
      <c r="E1357" t="s">
        <v>8271</v>
      </c>
    </row>
    <row r="1358" spans="1:5" hidden="1" x14ac:dyDescent="0.25">
      <c r="A1358" t="s">
        <v>6386</v>
      </c>
      <c r="B1358" t="s">
        <v>6163</v>
      </c>
      <c r="C1358">
        <v>44.412599999999998</v>
      </c>
      <c r="D1358">
        <v>-96.267099999999999</v>
      </c>
      <c r="E1358" t="s">
        <v>8272</v>
      </c>
    </row>
    <row r="1359" spans="1:5" hidden="1" x14ac:dyDescent="0.25">
      <c r="A1359" t="s">
        <v>4235</v>
      </c>
      <c r="B1359" t="s">
        <v>6163</v>
      </c>
      <c r="C1359">
        <v>44.413499999999999</v>
      </c>
      <c r="D1359">
        <v>-95.838999999999999</v>
      </c>
      <c r="E1359" t="s">
        <v>8273</v>
      </c>
    </row>
    <row r="1360" spans="1:5" hidden="1" x14ac:dyDescent="0.25">
      <c r="A1360" t="s">
        <v>8274</v>
      </c>
      <c r="B1360" t="s">
        <v>6163</v>
      </c>
      <c r="C1360">
        <v>47.325299999999999</v>
      </c>
      <c r="D1360">
        <v>-95.809100000000001</v>
      </c>
      <c r="E1360" t="s">
        <v>8275</v>
      </c>
    </row>
    <row r="1361" spans="1:5" hidden="1" x14ac:dyDescent="0.25">
      <c r="A1361" t="s">
        <v>1391</v>
      </c>
      <c r="B1361" t="s">
        <v>6163</v>
      </c>
      <c r="C1361">
        <v>48.3581</v>
      </c>
      <c r="D1361">
        <v>-96.368499999999997</v>
      </c>
      <c r="E1361" t="s">
        <v>8276</v>
      </c>
    </row>
    <row r="1362" spans="1:5" hidden="1" x14ac:dyDescent="0.25">
      <c r="A1362" t="s">
        <v>2429</v>
      </c>
      <c r="B1362" t="s">
        <v>6163</v>
      </c>
      <c r="C1362">
        <v>43.674399999999999</v>
      </c>
      <c r="D1362">
        <v>-94.551100000000005</v>
      </c>
      <c r="E1362" t="s">
        <v>8277</v>
      </c>
    </row>
    <row r="1363" spans="1:5" hidden="1" x14ac:dyDescent="0.25">
      <c r="A1363" t="s">
        <v>1259</v>
      </c>
      <c r="B1363" t="s">
        <v>6163</v>
      </c>
      <c r="C1363">
        <v>44.823599999999999</v>
      </c>
      <c r="D1363">
        <v>-94.272400000000005</v>
      </c>
      <c r="E1363" t="s">
        <v>8278</v>
      </c>
    </row>
    <row r="1364" spans="1:5" hidden="1" x14ac:dyDescent="0.25">
      <c r="A1364" t="s">
        <v>8279</v>
      </c>
      <c r="B1364" t="s">
        <v>6163</v>
      </c>
      <c r="C1364">
        <v>45.123100000000001</v>
      </c>
      <c r="D1364">
        <v>-94.5274</v>
      </c>
      <c r="E1364" t="s">
        <v>8280</v>
      </c>
    </row>
    <row r="1365" spans="1:5" hidden="1" x14ac:dyDescent="0.25">
      <c r="A1365" t="s">
        <v>8281</v>
      </c>
      <c r="B1365" t="s">
        <v>6163</v>
      </c>
      <c r="C1365">
        <v>45.938000000000002</v>
      </c>
      <c r="D1365">
        <v>-93.630099999999999</v>
      </c>
      <c r="E1365" t="s">
        <v>8282</v>
      </c>
    </row>
    <row r="1366" spans="1:5" hidden="1" x14ac:dyDescent="0.25">
      <c r="A1366" t="s">
        <v>8283</v>
      </c>
      <c r="B1366" t="s">
        <v>6163</v>
      </c>
      <c r="C1366">
        <v>46.012599999999999</v>
      </c>
      <c r="D1366">
        <v>-94.2684</v>
      </c>
      <c r="E1366" t="s">
        <v>8284</v>
      </c>
    </row>
    <row r="1367" spans="1:5" hidden="1" x14ac:dyDescent="0.25">
      <c r="A1367" t="s">
        <v>8285</v>
      </c>
      <c r="B1367" t="s">
        <v>6163</v>
      </c>
      <c r="C1367">
        <v>43.671500000000002</v>
      </c>
      <c r="D1367">
        <v>-92.752499999999998</v>
      </c>
      <c r="E1367" t="s">
        <v>8286</v>
      </c>
    </row>
    <row r="1368" spans="1:5" hidden="1" x14ac:dyDescent="0.25">
      <c r="A1368" t="s">
        <v>3180</v>
      </c>
      <c r="B1368" t="s">
        <v>6163</v>
      </c>
      <c r="C1368">
        <v>44.022100000000002</v>
      </c>
      <c r="D1368">
        <v>-95.763300000000001</v>
      </c>
      <c r="E1368" t="s">
        <v>8287</v>
      </c>
    </row>
    <row r="1369" spans="1:5" hidden="1" x14ac:dyDescent="0.25">
      <c r="A1369" t="s">
        <v>8288</v>
      </c>
      <c r="B1369" t="s">
        <v>6163</v>
      </c>
      <c r="C1369">
        <v>44.349899999999998</v>
      </c>
      <c r="D1369">
        <v>-94.247500000000002</v>
      </c>
      <c r="E1369" t="s">
        <v>8289</v>
      </c>
    </row>
    <row r="1370" spans="1:5" hidden="1" x14ac:dyDescent="0.25">
      <c r="A1370" t="s">
        <v>8290</v>
      </c>
      <c r="B1370" t="s">
        <v>6163</v>
      </c>
      <c r="C1370">
        <v>43.674199999999999</v>
      </c>
      <c r="D1370">
        <v>-95.753399999999999</v>
      </c>
      <c r="E1370" t="s">
        <v>8291</v>
      </c>
    </row>
    <row r="1371" spans="1:5" hidden="1" x14ac:dyDescent="0.25">
      <c r="A1371" t="s">
        <v>8292</v>
      </c>
      <c r="B1371" t="s">
        <v>6163</v>
      </c>
      <c r="C1371">
        <v>47.326500000000003</v>
      </c>
      <c r="D1371">
        <v>-96.455299999999994</v>
      </c>
      <c r="E1371" t="s">
        <v>8293</v>
      </c>
    </row>
    <row r="1372" spans="1:5" hidden="1" x14ac:dyDescent="0.25">
      <c r="A1372" t="s">
        <v>8294</v>
      </c>
      <c r="B1372" t="s">
        <v>6163</v>
      </c>
      <c r="C1372">
        <v>44.003799999999998</v>
      </c>
      <c r="D1372">
        <v>-92.401799999999994</v>
      </c>
      <c r="E1372" t="s">
        <v>8295</v>
      </c>
    </row>
    <row r="1373" spans="1:5" hidden="1" x14ac:dyDescent="0.25">
      <c r="A1373" t="s">
        <v>8296</v>
      </c>
      <c r="B1373" t="s">
        <v>6163</v>
      </c>
      <c r="C1373">
        <v>46.408799999999999</v>
      </c>
      <c r="D1373">
        <v>-95.707999999999998</v>
      </c>
      <c r="E1373" t="s">
        <v>8297</v>
      </c>
    </row>
    <row r="1374" spans="1:5" hidden="1" x14ac:dyDescent="0.25">
      <c r="A1374" t="s">
        <v>8298</v>
      </c>
      <c r="B1374" t="s">
        <v>6163</v>
      </c>
      <c r="C1374">
        <v>48.066200000000002</v>
      </c>
      <c r="D1374">
        <v>-96.036699999999996</v>
      </c>
      <c r="E1374" t="s">
        <v>8299</v>
      </c>
    </row>
    <row r="1375" spans="1:5" hidden="1" x14ac:dyDescent="0.25">
      <c r="A1375" t="s">
        <v>8300</v>
      </c>
      <c r="B1375" t="s">
        <v>6163</v>
      </c>
      <c r="C1375">
        <v>46.120800000000003</v>
      </c>
      <c r="D1375">
        <v>-92.741299999999995</v>
      </c>
      <c r="E1375" t="s">
        <v>8301</v>
      </c>
    </row>
    <row r="1376" spans="1:5" hidden="1" x14ac:dyDescent="0.25">
      <c r="A1376" t="s">
        <v>8302</v>
      </c>
      <c r="B1376" t="s">
        <v>6163</v>
      </c>
      <c r="C1376">
        <v>44.023000000000003</v>
      </c>
      <c r="D1376">
        <v>-96.258600000000001</v>
      </c>
      <c r="E1376" t="s">
        <v>8303</v>
      </c>
    </row>
    <row r="1377" spans="1:5" hidden="1" x14ac:dyDescent="0.25">
      <c r="A1377" t="s">
        <v>6410</v>
      </c>
      <c r="B1377" t="s">
        <v>6163</v>
      </c>
      <c r="C1377">
        <v>47.773899999999998</v>
      </c>
      <c r="D1377">
        <v>-96.401899999999998</v>
      </c>
      <c r="E1377" t="s">
        <v>8304</v>
      </c>
    </row>
    <row r="1378" spans="1:5" hidden="1" x14ac:dyDescent="0.25">
      <c r="A1378" t="s">
        <v>6412</v>
      </c>
      <c r="B1378" t="s">
        <v>6163</v>
      </c>
      <c r="C1378">
        <v>45.585999999999999</v>
      </c>
      <c r="D1378">
        <v>-95.444500000000005</v>
      </c>
      <c r="E1378" t="s">
        <v>8305</v>
      </c>
    </row>
    <row r="1379" spans="1:5" hidden="1" x14ac:dyDescent="0.25">
      <c r="A1379" t="s">
        <v>811</v>
      </c>
      <c r="B1379" t="s">
        <v>6163</v>
      </c>
      <c r="C1379">
        <v>45.017099999999999</v>
      </c>
      <c r="D1379">
        <v>-93.099599999999995</v>
      </c>
      <c r="E1379" t="s">
        <v>8306</v>
      </c>
    </row>
    <row r="1380" spans="1:5" hidden="1" x14ac:dyDescent="0.25">
      <c r="A1380" t="s">
        <v>8307</v>
      </c>
      <c r="B1380" t="s">
        <v>6163</v>
      </c>
      <c r="C1380">
        <v>47.871699999999997</v>
      </c>
      <c r="D1380">
        <v>-96.095299999999995</v>
      </c>
      <c r="E1380" t="s">
        <v>8308</v>
      </c>
    </row>
    <row r="1381" spans="1:5" hidden="1" x14ac:dyDescent="0.25">
      <c r="A1381" t="s">
        <v>8309</v>
      </c>
      <c r="B1381" t="s">
        <v>6163</v>
      </c>
      <c r="C1381">
        <v>44.403700000000001</v>
      </c>
      <c r="D1381">
        <v>-95.253799999999998</v>
      </c>
      <c r="E1381" t="s">
        <v>8310</v>
      </c>
    </row>
    <row r="1382" spans="1:5" hidden="1" x14ac:dyDescent="0.25">
      <c r="A1382" t="s">
        <v>8311</v>
      </c>
      <c r="B1382" t="s">
        <v>6163</v>
      </c>
      <c r="C1382">
        <v>44.726799999999997</v>
      </c>
      <c r="D1382">
        <v>-94.947100000000006</v>
      </c>
      <c r="E1382" t="s">
        <v>8312</v>
      </c>
    </row>
    <row r="1383" spans="1:5" hidden="1" x14ac:dyDescent="0.25">
      <c r="A1383" t="s">
        <v>7677</v>
      </c>
      <c r="B1383" t="s">
        <v>6163</v>
      </c>
      <c r="C1383">
        <v>44.354300000000002</v>
      </c>
      <c r="D1383">
        <v>-93.296700000000001</v>
      </c>
      <c r="E1383" t="s">
        <v>8313</v>
      </c>
    </row>
    <row r="1384" spans="1:5" hidden="1" x14ac:dyDescent="0.25">
      <c r="A1384" t="s">
        <v>8314</v>
      </c>
      <c r="B1384" t="s">
        <v>6163</v>
      </c>
      <c r="C1384">
        <v>43.674700000000001</v>
      </c>
      <c r="D1384">
        <v>-96.253200000000007</v>
      </c>
      <c r="E1384" t="s">
        <v>8315</v>
      </c>
    </row>
    <row r="1385" spans="1:5" hidden="1" x14ac:dyDescent="0.25">
      <c r="A1385" t="s">
        <v>8316</v>
      </c>
      <c r="B1385" t="s">
        <v>6163</v>
      </c>
      <c r="C1385">
        <v>48.775100000000002</v>
      </c>
      <c r="D1385">
        <v>-95.8108</v>
      </c>
      <c r="E1385" t="s">
        <v>8317</v>
      </c>
    </row>
    <row r="1386" spans="1:5" hidden="1" x14ac:dyDescent="0.25">
      <c r="A1386" t="s">
        <v>5291</v>
      </c>
      <c r="B1386" t="s">
        <v>6163</v>
      </c>
      <c r="C1386">
        <v>44.648499999999999</v>
      </c>
      <c r="D1386">
        <v>-93.535899999999998</v>
      </c>
      <c r="E1386" t="s">
        <v>8318</v>
      </c>
    </row>
    <row r="1387" spans="1:5" hidden="1" x14ac:dyDescent="0.25">
      <c r="A1387" t="s">
        <v>8319</v>
      </c>
      <c r="B1387" t="s">
        <v>6163</v>
      </c>
      <c r="C1387">
        <v>45.444000000000003</v>
      </c>
      <c r="D1387">
        <v>-93.774799999999999</v>
      </c>
      <c r="E1387" t="s">
        <v>8320</v>
      </c>
    </row>
    <row r="1388" spans="1:5" hidden="1" x14ac:dyDescent="0.25">
      <c r="A1388" t="s">
        <v>8321</v>
      </c>
      <c r="B1388" t="s">
        <v>6163</v>
      </c>
      <c r="C1388">
        <v>44.579500000000003</v>
      </c>
      <c r="D1388">
        <v>-94.232100000000003</v>
      </c>
      <c r="E1388" t="s">
        <v>8322</v>
      </c>
    </row>
    <row r="1389" spans="1:5" hidden="1" x14ac:dyDescent="0.25">
      <c r="A1389" t="s">
        <v>440</v>
      </c>
      <c r="B1389" t="s">
        <v>6163</v>
      </c>
      <c r="C1389">
        <v>47.603200000000001</v>
      </c>
      <c r="D1389">
        <v>-92.470699999999994</v>
      </c>
      <c r="E1389" t="s">
        <v>8323</v>
      </c>
    </row>
    <row r="1390" spans="1:5" hidden="1" x14ac:dyDescent="0.25">
      <c r="A1390" t="s">
        <v>8324</v>
      </c>
      <c r="B1390" t="s">
        <v>6163</v>
      </c>
      <c r="C1390">
        <v>45.552100000000003</v>
      </c>
      <c r="D1390">
        <v>-94.613100000000003</v>
      </c>
      <c r="E1390" t="s">
        <v>8325</v>
      </c>
    </row>
    <row r="1391" spans="1:5" hidden="1" x14ac:dyDescent="0.25">
      <c r="A1391" t="s">
        <v>2777</v>
      </c>
      <c r="B1391" t="s">
        <v>6163</v>
      </c>
      <c r="C1391">
        <v>44.022300000000001</v>
      </c>
      <c r="D1391">
        <v>-93.226100000000002</v>
      </c>
      <c r="E1391" t="s">
        <v>8326</v>
      </c>
    </row>
    <row r="1392" spans="1:5" hidden="1" x14ac:dyDescent="0.25">
      <c r="A1392" t="s">
        <v>1150</v>
      </c>
      <c r="B1392" t="s">
        <v>6163</v>
      </c>
      <c r="C1392">
        <v>45.586100000000002</v>
      </c>
      <c r="D1392">
        <v>-96.000299999999996</v>
      </c>
      <c r="E1392" t="s">
        <v>8327</v>
      </c>
    </row>
    <row r="1393" spans="1:5" hidden="1" x14ac:dyDescent="0.25">
      <c r="A1393" t="s">
        <v>8328</v>
      </c>
      <c r="B1393" t="s">
        <v>6163</v>
      </c>
      <c r="C1393">
        <v>45.282699999999998</v>
      </c>
      <c r="D1393">
        <v>-95.6815</v>
      </c>
      <c r="E1393" t="s">
        <v>8329</v>
      </c>
    </row>
    <row r="1394" spans="1:5" hidden="1" x14ac:dyDescent="0.25">
      <c r="A1394" t="s">
        <v>7860</v>
      </c>
      <c r="B1394" t="s">
        <v>6163</v>
      </c>
      <c r="C1394">
        <v>46.070599999999999</v>
      </c>
      <c r="D1394">
        <v>-94.897599999999997</v>
      </c>
      <c r="E1394" t="s">
        <v>8330</v>
      </c>
    </row>
    <row r="1395" spans="1:5" hidden="1" x14ac:dyDescent="0.25">
      <c r="A1395" t="s">
        <v>8331</v>
      </c>
      <c r="B1395" t="s">
        <v>6163</v>
      </c>
      <c r="C1395">
        <v>45.772199999999998</v>
      </c>
      <c r="D1395">
        <v>-96.471599999999995</v>
      </c>
      <c r="E1395" t="s">
        <v>8332</v>
      </c>
    </row>
    <row r="1396" spans="1:5" hidden="1" x14ac:dyDescent="0.25">
      <c r="A1396" t="s">
        <v>8333</v>
      </c>
      <c r="B1396" t="s">
        <v>6163</v>
      </c>
      <c r="C1396">
        <v>44.284300000000002</v>
      </c>
      <c r="D1396">
        <v>-92.2303</v>
      </c>
      <c r="E1396" t="s">
        <v>8334</v>
      </c>
    </row>
    <row r="1397" spans="1:5" hidden="1" x14ac:dyDescent="0.25">
      <c r="A1397" t="s">
        <v>8335</v>
      </c>
      <c r="B1397" t="s">
        <v>6163</v>
      </c>
      <c r="C1397">
        <v>46.585799999999999</v>
      </c>
      <c r="D1397">
        <v>-94.969399999999993</v>
      </c>
      <c r="E1397" t="s">
        <v>8336</v>
      </c>
    </row>
    <row r="1398" spans="1:5" hidden="1" x14ac:dyDescent="0.25">
      <c r="A1398" t="s">
        <v>8337</v>
      </c>
      <c r="B1398" t="s">
        <v>6163</v>
      </c>
      <c r="C1398">
        <v>44.022100000000002</v>
      </c>
      <c r="D1398">
        <v>-93.587299999999999</v>
      </c>
      <c r="E1398" t="s">
        <v>8338</v>
      </c>
    </row>
    <row r="1399" spans="1:5" hidden="1" x14ac:dyDescent="0.25">
      <c r="A1399" t="s">
        <v>3052</v>
      </c>
      <c r="B1399" t="s">
        <v>6163</v>
      </c>
      <c r="C1399">
        <v>45.038800000000002</v>
      </c>
      <c r="D1399">
        <v>-92.883799999999994</v>
      </c>
      <c r="E1399" t="s">
        <v>8339</v>
      </c>
    </row>
    <row r="1400" spans="1:5" hidden="1" x14ac:dyDescent="0.25">
      <c r="A1400" t="s">
        <v>8340</v>
      </c>
      <c r="B1400" t="s">
        <v>6163</v>
      </c>
      <c r="C1400">
        <v>43.978400000000001</v>
      </c>
      <c r="D1400">
        <v>-94.614099999999993</v>
      </c>
      <c r="E1400" t="s">
        <v>8341</v>
      </c>
    </row>
    <row r="1401" spans="1:5" hidden="1" x14ac:dyDescent="0.25">
      <c r="A1401" t="s">
        <v>2985</v>
      </c>
      <c r="B1401" t="s">
        <v>6163</v>
      </c>
      <c r="C1401">
        <v>46.356999999999999</v>
      </c>
      <c r="D1401">
        <v>-96.468299999999999</v>
      </c>
      <c r="E1401" t="s">
        <v>8342</v>
      </c>
    </row>
    <row r="1402" spans="1:5" hidden="1" x14ac:dyDescent="0.25">
      <c r="A1402" t="s">
        <v>8343</v>
      </c>
      <c r="B1402" t="s">
        <v>6163</v>
      </c>
      <c r="C1402">
        <v>43.986899999999999</v>
      </c>
      <c r="D1402">
        <v>-91.779200000000003</v>
      </c>
      <c r="E1402" t="s">
        <v>8344</v>
      </c>
    </row>
    <row r="1403" spans="1:5" hidden="1" x14ac:dyDescent="0.25">
      <c r="A1403" t="s">
        <v>465</v>
      </c>
      <c r="B1403" t="s">
        <v>6163</v>
      </c>
      <c r="C1403">
        <v>45.173999999999999</v>
      </c>
      <c r="D1403">
        <v>-93.962999999999994</v>
      </c>
      <c r="E1403" t="s">
        <v>8345</v>
      </c>
    </row>
    <row r="1404" spans="1:5" hidden="1" x14ac:dyDescent="0.25">
      <c r="A1404" t="s">
        <v>8346</v>
      </c>
      <c r="B1404" t="s">
        <v>6163</v>
      </c>
      <c r="C1404">
        <v>44.716200000000001</v>
      </c>
      <c r="D1404">
        <v>-95.868399999999994</v>
      </c>
      <c r="E1404" t="s">
        <v>8347</v>
      </c>
    </row>
    <row r="1405" spans="1:5" hidden="1" x14ac:dyDescent="0.25">
      <c r="A1405" t="s">
        <v>7081</v>
      </c>
      <c r="B1405" t="s">
        <v>6166</v>
      </c>
      <c r="C1405">
        <v>40.190600000000003</v>
      </c>
      <c r="D1405">
        <v>-92.600700000000003</v>
      </c>
      <c r="E1405" t="s">
        <v>8348</v>
      </c>
    </row>
    <row r="1406" spans="1:5" hidden="1" x14ac:dyDescent="0.25">
      <c r="A1406" t="s">
        <v>1126</v>
      </c>
      <c r="B1406" t="s">
        <v>6166</v>
      </c>
      <c r="C1406">
        <v>39.983499999999999</v>
      </c>
      <c r="D1406">
        <v>-94.802099999999996</v>
      </c>
      <c r="E1406" t="s">
        <v>8349</v>
      </c>
    </row>
    <row r="1407" spans="1:5" hidden="1" x14ac:dyDescent="0.25">
      <c r="A1407" t="s">
        <v>7560</v>
      </c>
      <c r="B1407" t="s">
        <v>6166</v>
      </c>
      <c r="C1407">
        <v>40.430799999999998</v>
      </c>
      <c r="D1407">
        <v>-95.428100000000001</v>
      </c>
      <c r="E1407" t="s">
        <v>8350</v>
      </c>
    </row>
    <row r="1408" spans="1:5" hidden="1" x14ac:dyDescent="0.25">
      <c r="A1408" t="s">
        <v>8351</v>
      </c>
      <c r="B1408" t="s">
        <v>6166</v>
      </c>
      <c r="C1408">
        <v>39.215699999999998</v>
      </c>
      <c r="D1408">
        <v>-91.8416</v>
      </c>
      <c r="E1408" t="s">
        <v>8352</v>
      </c>
    </row>
    <row r="1409" spans="1:5" hidden="1" x14ac:dyDescent="0.25">
      <c r="A1409" t="s">
        <v>4911</v>
      </c>
      <c r="B1409" t="s">
        <v>6166</v>
      </c>
      <c r="C1409">
        <v>36.709899999999998</v>
      </c>
      <c r="D1409">
        <v>-93.829099999999997</v>
      </c>
      <c r="E1409" t="s">
        <v>8353</v>
      </c>
    </row>
    <row r="1410" spans="1:5" hidden="1" x14ac:dyDescent="0.25">
      <c r="A1410" t="s">
        <v>7563</v>
      </c>
      <c r="B1410" t="s">
        <v>6166</v>
      </c>
      <c r="C1410">
        <v>37.502299999999998</v>
      </c>
      <c r="D1410">
        <v>-94.347099999999998</v>
      </c>
      <c r="E1410" t="s">
        <v>8354</v>
      </c>
    </row>
    <row r="1411" spans="1:5" hidden="1" x14ac:dyDescent="0.25">
      <c r="A1411" t="s">
        <v>8355</v>
      </c>
      <c r="B1411" t="s">
        <v>6166</v>
      </c>
      <c r="C1411">
        <v>38.257300000000001</v>
      </c>
      <c r="D1411">
        <v>-94.34</v>
      </c>
      <c r="E1411" t="s">
        <v>8356</v>
      </c>
    </row>
    <row r="1412" spans="1:5" hidden="1" x14ac:dyDescent="0.25">
      <c r="A1412" t="s">
        <v>6333</v>
      </c>
      <c r="B1412" t="s">
        <v>6166</v>
      </c>
      <c r="C1412">
        <v>38.294899999999998</v>
      </c>
      <c r="D1412">
        <v>-93.287899999999993</v>
      </c>
      <c r="E1412" t="s">
        <v>8357</v>
      </c>
    </row>
    <row r="1413" spans="1:5" hidden="1" x14ac:dyDescent="0.25">
      <c r="A1413" t="s">
        <v>8358</v>
      </c>
      <c r="B1413" t="s">
        <v>6166</v>
      </c>
      <c r="C1413">
        <v>37.322200000000002</v>
      </c>
      <c r="D1413">
        <v>-90.025899999999993</v>
      </c>
      <c r="E1413" t="s">
        <v>8359</v>
      </c>
    </row>
    <row r="1414" spans="1:5" hidden="1" x14ac:dyDescent="0.25">
      <c r="A1414" t="s">
        <v>6335</v>
      </c>
      <c r="B1414" t="s">
        <v>6166</v>
      </c>
      <c r="C1414">
        <v>38.990600000000001</v>
      </c>
      <c r="D1414">
        <v>-92.309700000000007</v>
      </c>
      <c r="E1414" t="s">
        <v>8360</v>
      </c>
    </row>
    <row r="1415" spans="1:5" hidden="1" x14ac:dyDescent="0.25">
      <c r="A1415" t="s">
        <v>7096</v>
      </c>
      <c r="B1415" t="s">
        <v>6166</v>
      </c>
      <c r="C1415">
        <v>39.659799999999997</v>
      </c>
      <c r="D1415">
        <v>-94.805899999999994</v>
      </c>
      <c r="E1415" t="s">
        <v>8361</v>
      </c>
    </row>
    <row r="1416" spans="1:5" hidden="1" x14ac:dyDescent="0.25">
      <c r="A1416" t="s">
        <v>4103</v>
      </c>
      <c r="B1416" t="s">
        <v>6166</v>
      </c>
      <c r="C1416">
        <v>36.7164</v>
      </c>
      <c r="D1416">
        <v>-90.406599999999997</v>
      </c>
      <c r="E1416" t="s">
        <v>8362</v>
      </c>
    </row>
    <row r="1417" spans="1:5" hidden="1" x14ac:dyDescent="0.25">
      <c r="A1417" t="s">
        <v>3494</v>
      </c>
      <c r="B1417" t="s">
        <v>6166</v>
      </c>
      <c r="C1417">
        <v>39.655700000000003</v>
      </c>
      <c r="D1417">
        <v>-93.982699999999994</v>
      </c>
      <c r="E1417" t="s">
        <v>8363</v>
      </c>
    </row>
    <row r="1418" spans="1:5" hidden="1" x14ac:dyDescent="0.25">
      <c r="A1418" t="s">
        <v>8364</v>
      </c>
      <c r="B1418" t="s">
        <v>6166</v>
      </c>
      <c r="C1418">
        <v>38.835500000000003</v>
      </c>
      <c r="D1418">
        <v>-91.926000000000002</v>
      </c>
      <c r="E1418" t="s">
        <v>8365</v>
      </c>
    </row>
    <row r="1419" spans="1:5" hidden="1" x14ac:dyDescent="0.25">
      <c r="A1419" t="s">
        <v>4482</v>
      </c>
      <c r="B1419" t="s">
        <v>6166</v>
      </c>
      <c r="C1419">
        <v>38.027000000000001</v>
      </c>
      <c r="D1419">
        <v>-92.766000000000005</v>
      </c>
      <c r="E1419" t="s">
        <v>8366</v>
      </c>
    </row>
    <row r="1420" spans="1:5" hidden="1" x14ac:dyDescent="0.25">
      <c r="A1420" t="s">
        <v>8367</v>
      </c>
      <c r="B1420" t="s">
        <v>6166</v>
      </c>
      <c r="C1420">
        <v>37.384</v>
      </c>
      <c r="D1420">
        <v>-89.6845</v>
      </c>
      <c r="E1420" t="s">
        <v>8368</v>
      </c>
    </row>
    <row r="1421" spans="1:5" hidden="1" x14ac:dyDescent="0.25">
      <c r="A1421" t="s">
        <v>6340</v>
      </c>
      <c r="B1421" t="s">
        <v>6166</v>
      </c>
      <c r="C1421">
        <v>39.427</v>
      </c>
      <c r="D1421">
        <v>-93.505200000000002</v>
      </c>
      <c r="E1421" t="s">
        <v>8369</v>
      </c>
    </row>
    <row r="1422" spans="1:5" hidden="1" x14ac:dyDescent="0.25">
      <c r="A1422" t="s">
        <v>427</v>
      </c>
      <c r="B1422" t="s">
        <v>6166</v>
      </c>
      <c r="C1422">
        <v>36.941200000000002</v>
      </c>
      <c r="D1422">
        <v>-90.962299999999999</v>
      </c>
      <c r="E1422" t="s">
        <v>8370</v>
      </c>
    </row>
    <row r="1423" spans="1:5" hidden="1" x14ac:dyDescent="0.25">
      <c r="A1423" t="s">
        <v>7103</v>
      </c>
      <c r="B1423" t="s">
        <v>6166</v>
      </c>
      <c r="C1423">
        <v>38.646999999999998</v>
      </c>
      <c r="D1423">
        <v>-94.354900000000001</v>
      </c>
      <c r="E1423" t="s">
        <v>8371</v>
      </c>
    </row>
    <row r="1424" spans="1:5" hidden="1" x14ac:dyDescent="0.25">
      <c r="A1424" t="s">
        <v>7105</v>
      </c>
      <c r="B1424" t="s">
        <v>6166</v>
      </c>
      <c r="C1424">
        <v>37.723799999999997</v>
      </c>
      <c r="D1424">
        <v>-93.8566</v>
      </c>
      <c r="E1424" t="s">
        <v>8372</v>
      </c>
    </row>
    <row r="1425" spans="1:5" hidden="1" x14ac:dyDescent="0.25">
      <c r="A1425" t="s">
        <v>8373</v>
      </c>
      <c r="B1425" t="s">
        <v>6166</v>
      </c>
      <c r="C1425">
        <v>39.515099999999997</v>
      </c>
      <c r="D1425">
        <v>-92.962599999999995</v>
      </c>
      <c r="E1425" t="s">
        <v>8374</v>
      </c>
    </row>
    <row r="1426" spans="1:5" hidden="1" x14ac:dyDescent="0.25">
      <c r="A1426" t="s">
        <v>3555</v>
      </c>
      <c r="B1426" t="s">
        <v>6166</v>
      </c>
      <c r="C1426">
        <v>36.9696</v>
      </c>
      <c r="D1426">
        <v>-93.188900000000004</v>
      </c>
      <c r="E1426" t="s">
        <v>8375</v>
      </c>
    </row>
    <row r="1427" spans="1:5" hidden="1" x14ac:dyDescent="0.25">
      <c r="A1427" t="s">
        <v>174</v>
      </c>
      <c r="B1427" t="s">
        <v>6166</v>
      </c>
      <c r="C1427">
        <v>40.410299999999999</v>
      </c>
      <c r="D1427">
        <v>-91.738399999999999</v>
      </c>
      <c r="E1427" t="s">
        <v>8376</v>
      </c>
    </row>
    <row r="1428" spans="1:5" hidden="1" x14ac:dyDescent="0.25">
      <c r="A1428" t="s">
        <v>6221</v>
      </c>
      <c r="B1428" t="s">
        <v>6166</v>
      </c>
      <c r="C1428">
        <v>39.310499999999998</v>
      </c>
      <c r="D1428">
        <v>-94.420900000000003</v>
      </c>
      <c r="E1428" t="s">
        <v>8377</v>
      </c>
    </row>
    <row r="1429" spans="1:5" hidden="1" x14ac:dyDescent="0.25">
      <c r="A1429" t="s">
        <v>1113</v>
      </c>
      <c r="B1429" t="s">
        <v>6166</v>
      </c>
      <c r="C1429">
        <v>39.601799999999997</v>
      </c>
      <c r="D1429">
        <v>-94.404600000000002</v>
      </c>
      <c r="E1429" t="s">
        <v>8378</v>
      </c>
    </row>
    <row r="1430" spans="1:5" hidden="1" x14ac:dyDescent="0.25">
      <c r="A1430" t="s">
        <v>1334</v>
      </c>
      <c r="B1430" t="s">
        <v>6166</v>
      </c>
      <c r="C1430">
        <v>38.505400000000002</v>
      </c>
      <c r="D1430">
        <v>-92.281599999999997</v>
      </c>
      <c r="E1430" t="s">
        <v>8379</v>
      </c>
    </row>
    <row r="1431" spans="1:5" hidden="1" x14ac:dyDescent="0.25">
      <c r="A1431" t="s">
        <v>1654</v>
      </c>
      <c r="B1431" t="s">
        <v>6166</v>
      </c>
      <c r="C1431">
        <v>38.843499999999999</v>
      </c>
      <c r="D1431">
        <v>-92.810100000000006</v>
      </c>
      <c r="E1431" t="s">
        <v>8380</v>
      </c>
    </row>
    <row r="1432" spans="1:5" hidden="1" x14ac:dyDescent="0.25">
      <c r="A1432" t="s">
        <v>3776</v>
      </c>
      <c r="B1432" t="s">
        <v>6166</v>
      </c>
      <c r="C1432">
        <v>37.976399999999998</v>
      </c>
      <c r="D1432">
        <v>-91.303899999999999</v>
      </c>
      <c r="E1432" t="s">
        <v>8381</v>
      </c>
    </row>
    <row r="1433" spans="1:5" hidden="1" x14ac:dyDescent="0.25">
      <c r="A1433" t="s">
        <v>6896</v>
      </c>
      <c r="B1433" t="s">
        <v>6166</v>
      </c>
      <c r="C1433">
        <v>37.432099999999998</v>
      </c>
      <c r="D1433">
        <v>-93.850300000000004</v>
      </c>
      <c r="E1433" t="s">
        <v>8382</v>
      </c>
    </row>
    <row r="1434" spans="1:5" hidden="1" x14ac:dyDescent="0.25">
      <c r="A1434" t="s">
        <v>6248</v>
      </c>
      <c r="B1434" t="s">
        <v>6166</v>
      </c>
      <c r="C1434">
        <v>37.680399999999999</v>
      </c>
      <c r="D1434">
        <v>-93.023700000000005</v>
      </c>
      <c r="E1434" t="s">
        <v>8383</v>
      </c>
    </row>
    <row r="1435" spans="1:5" hidden="1" x14ac:dyDescent="0.25">
      <c r="A1435" t="s">
        <v>7450</v>
      </c>
      <c r="B1435" t="s">
        <v>6166</v>
      </c>
      <c r="C1435">
        <v>39.960799999999999</v>
      </c>
      <c r="D1435">
        <v>-93.985500000000002</v>
      </c>
      <c r="E1435" t="s">
        <v>8384</v>
      </c>
    </row>
    <row r="1436" spans="1:5" hidden="1" x14ac:dyDescent="0.25">
      <c r="A1436" t="s">
        <v>6250</v>
      </c>
      <c r="B1436" t="s">
        <v>6166</v>
      </c>
      <c r="C1436">
        <v>39.8932</v>
      </c>
      <c r="D1436">
        <v>-94.404700000000005</v>
      </c>
      <c r="E1436" t="s">
        <v>8385</v>
      </c>
    </row>
    <row r="1437" spans="1:5" hidden="1" x14ac:dyDescent="0.25">
      <c r="A1437" t="s">
        <v>8386</v>
      </c>
      <c r="B1437" t="s">
        <v>6166</v>
      </c>
      <c r="C1437">
        <v>37.6066</v>
      </c>
      <c r="D1437">
        <v>-91.507900000000006</v>
      </c>
      <c r="E1437" t="s">
        <v>8387</v>
      </c>
    </row>
    <row r="1438" spans="1:5" hidden="1" x14ac:dyDescent="0.25">
      <c r="A1438" t="s">
        <v>2538</v>
      </c>
      <c r="B1438" t="s">
        <v>6166</v>
      </c>
      <c r="C1438">
        <v>36.932600000000001</v>
      </c>
      <c r="D1438">
        <v>-92.498800000000003</v>
      </c>
      <c r="E1438" t="s">
        <v>8388</v>
      </c>
    </row>
    <row r="1439" spans="1:5" hidden="1" x14ac:dyDescent="0.25">
      <c r="A1439" t="s">
        <v>8389</v>
      </c>
      <c r="B1439" t="s">
        <v>6166</v>
      </c>
      <c r="C1439">
        <v>36.272100000000002</v>
      </c>
      <c r="D1439">
        <v>-90.090900000000005</v>
      </c>
      <c r="E1439" t="s">
        <v>8390</v>
      </c>
    </row>
    <row r="1440" spans="1:5" hidden="1" x14ac:dyDescent="0.25">
      <c r="A1440" t="s">
        <v>6260</v>
      </c>
      <c r="B1440" t="s">
        <v>6166</v>
      </c>
      <c r="C1440">
        <v>38.411099999999998</v>
      </c>
      <c r="D1440">
        <v>-91.075000000000003</v>
      </c>
      <c r="E1440" t="s">
        <v>8391</v>
      </c>
    </row>
    <row r="1441" spans="1:5" hidden="1" x14ac:dyDescent="0.25">
      <c r="A1441" t="s">
        <v>8392</v>
      </c>
      <c r="B1441" t="s">
        <v>6166</v>
      </c>
      <c r="C1441">
        <v>38.440899999999999</v>
      </c>
      <c r="D1441">
        <v>-91.507900000000006</v>
      </c>
      <c r="E1441" t="s">
        <v>8393</v>
      </c>
    </row>
    <row r="1442" spans="1:5" hidden="1" x14ac:dyDescent="0.25">
      <c r="A1442" t="s">
        <v>8394</v>
      </c>
      <c r="B1442" t="s">
        <v>6166</v>
      </c>
      <c r="C1442">
        <v>40.2121</v>
      </c>
      <c r="D1442">
        <v>-94.409899999999993</v>
      </c>
      <c r="E1442" t="s">
        <v>8395</v>
      </c>
    </row>
    <row r="1443" spans="1:5" hidden="1" x14ac:dyDescent="0.25">
      <c r="A1443" t="s">
        <v>6264</v>
      </c>
      <c r="B1443" t="s">
        <v>6166</v>
      </c>
      <c r="C1443">
        <v>37.258099999999999</v>
      </c>
      <c r="D1443">
        <v>-93.341999999999999</v>
      </c>
      <c r="E1443" t="s">
        <v>8396</v>
      </c>
    </row>
    <row r="1444" spans="1:5" hidden="1" x14ac:dyDescent="0.25">
      <c r="A1444" t="s">
        <v>7133</v>
      </c>
      <c r="B1444" t="s">
        <v>6166</v>
      </c>
      <c r="C1444">
        <v>40.113900000000001</v>
      </c>
      <c r="D1444">
        <v>-93.565299999999993</v>
      </c>
      <c r="E1444" t="s">
        <v>8397</v>
      </c>
    </row>
    <row r="1445" spans="1:5" hidden="1" x14ac:dyDescent="0.25">
      <c r="A1445" t="s">
        <v>1623</v>
      </c>
      <c r="B1445" t="s">
        <v>6166</v>
      </c>
      <c r="C1445">
        <v>40.354700000000001</v>
      </c>
      <c r="D1445">
        <v>-93.992000000000004</v>
      </c>
      <c r="E1445" t="s">
        <v>8398</v>
      </c>
    </row>
    <row r="1446" spans="1:5" hidden="1" x14ac:dyDescent="0.25">
      <c r="A1446" t="s">
        <v>334</v>
      </c>
      <c r="B1446" t="s">
        <v>6166</v>
      </c>
      <c r="C1446">
        <v>38.385199999999998</v>
      </c>
      <c r="D1446">
        <v>-93.7928</v>
      </c>
      <c r="E1446" t="s">
        <v>8399</v>
      </c>
    </row>
    <row r="1447" spans="1:5" hidden="1" x14ac:dyDescent="0.25">
      <c r="A1447" t="s">
        <v>8400</v>
      </c>
      <c r="B1447" t="s">
        <v>6166</v>
      </c>
      <c r="C1447">
        <v>37.940800000000003</v>
      </c>
      <c r="D1447">
        <v>-93.320700000000002</v>
      </c>
      <c r="E1447" t="s">
        <v>8401</v>
      </c>
    </row>
    <row r="1448" spans="1:5" hidden="1" x14ac:dyDescent="0.25">
      <c r="A1448" t="s">
        <v>1863</v>
      </c>
      <c r="B1448" t="s">
        <v>6166</v>
      </c>
      <c r="C1448">
        <v>40.0944</v>
      </c>
      <c r="D1448">
        <v>-95.215500000000006</v>
      </c>
      <c r="E1448" t="s">
        <v>8402</v>
      </c>
    </row>
    <row r="1449" spans="1:5" hidden="1" x14ac:dyDescent="0.25">
      <c r="A1449" t="s">
        <v>793</v>
      </c>
      <c r="B1449" t="s">
        <v>6166</v>
      </c>
      <c r="C1449">
        <v>39.142499999999998</v>
      </c>
      <c r="D1449">
        <v>-92.696299999999994</v>
      </c>
      <c r="E1449" t="s">
        <v>8403</v>
      </c>
    </row>
    <row r="1450" spans="1:5" hidden="1" x14ac:dyDescent="0.25">
      <c r="A1450" t="s">
        <v>8404</v>
      </c>
      <c r="B1450" t="s">
        <v>6166</v>
      </c>
      <c r="C1450">
        <v>36.774000000000001</v>
      </c>
      <c r="D1450">
        <v>-91.886499999999998</v>
      </c>
      <c r="E1450" t="s">
        <v>8405</v>
      </c>
    </row>
    <row r="1451" spans="1:5" hidden="1" x14ac:dyDescent="0.25">
      <c r="A1451" t="s">
        <v>4123</v>
      </c>
      <c r="B1451" t="s">
        <v>6166</v>
      </c>
      <c r="C1451">
        <v>37.555199999999999</v>
      </c>
      <c r="D1451">
        <v>-90.773499999999999</v>
      </c>
      <c r="E1451" t="s">
        <v>8406</v>
      </c>
    </row>
    <row r="1452" spans="1:5" hidden="1" x14ac:dyDescent="0.25">
      <c r="A1452" t="s">
        <v>191</v>
      </c>
      <c r="B1452" t="s">
        <v>6166</v>
      </c>
      <c r="C1452">
        <v>39.008499999999998</v>
      </c>
      <c r="D1452">
        <v>-94.346100000000007</v>
      </c>
      <c r="E1452" t="s">
        <v>8407</v>
      </c>
    </row>
    <row r="1453" spans="1:5" hidden="1" x14ac:dyDescent="0.25">
      <c r="A1453" t="s">
        <v>2108</v>
      </c>
      <c r="B1453" t="s">
        <v>6166</v>
      </c>
      <c r="C1453">
        <v>37.203600000000002</v>
      </c>
      <c r="D1453">
        <v>-94.340599999999995</v>
      </c>
      <c r="E1453" t="s">
        <v>8408</v>
      </c>
    </row>
    <row r="1454" spans="1:5" hidden="1" x14ac:dyDescent="0.25">
      <c r="A1454" t="s">
        <v>6272</v>
      </c>
      <c r="B1454" t="s">
        <v>6166</v>
      </c>
      <c r="C1454">
        <v>38.261000000000003</v>
      </c>
      <c r="D1454">
        <v>-90.537700000000001</v>
      </c>
      <c r="E1454" t="s">
        <v>8409</v>
      </c>
    </row>
    <row r="1455" spans="1:5" hidden="1" x14ac:dyDescent="0.25">
      <c r="A1455" t="s">
        <v>37</v>
      </c>
      <c r="B1455" t="s">
        <v>6166</v>
      </c>
      <c r="C1455">
        <v>38.744100000000003</v>
      </c>
      <c r="D1455">
        <v>-93.806399999999996</v>
      </c>
      <c r="E1455" t="s">
        <v>8410</v>
      </c>
    </row>
    <row r="1456" spans="1:5" hidden="1" x14ac:dyDescent="0.25">
      <c r="A1456" t="s">
        <v>7357</v>
      </c>
      <c r="B1456" t="s">
        <v>6166</v>
      </c>
      <c r="C1456">
        <v>40.128300000000003</v>
      </c>
      <c r="D1456">
        <v>-92.148099999999999</v>
      </c>
      <c r="E1456" t="s">
        <v>8411</v>
      </c>
    </row>
    <row r="1457" spans="1:5" hidden="1" x14ac:dyDescent="0.25">
      <c r="A1457" t="s">
        <v>8412</v>
      </c>
      <c r="B1457" t="s">
        <v>6166</v>
      </c>
      <c r="C1457">
        <v>37.658299999999997</v>
      </c>
      <c r="D1457">
        <v>-92.590299999999999</v>
      </c>
      <c r="E1457" t="s">
        <v>8413</v>
      </c>
    </row>
    <row r="1458" spans="1:5" hidden="1" x14ac:dyDescent="0.25">
      <c r="A1458" t="s">
        <v>6382</v>
      </c>
      <c r="B1458" t="s">
        <v>6166</v>
      </c>
      <c r="C1458">
        <v>39.0655</v>
      </c>
      <c r="D1458">
        <v>-93.785399999999996</v>
      </c>
      <c r="E1458" t="s">
        <v>8414</v>
      </c>
    </row>
    <row r="1459" spans="1:5" hidden="1" x14ac:dyDescent="0.25">
      <c r="A1459" t="s">
        <v>492</v>
      </c>
      <c r="B1459" t="s">
        <v>6166</v>
      </c>
      <c r="C1459">
        <v>37.106400000000001</v>
      </c>
      <c r="D1459">
        <v>-93.832999999999998</v>
      </c>
      <c r="E1459" t="s">
        <v>8415</v>
      </c>
    </row>
    <row r="1460" spans="1:5" hidden="1" x14ac:dyDescent="0.25">
      <c r="A1460" t="s">
        <v>1515</v>
      </c>
      <c r="B1460" t="s">
        <v>6166</v>
      </c>
      <c r="C1460">
        <v>40.096899999999998</v>
      </c>
      <c r="D1460">
        <v>-91.722099999999998</v>
      </c>
      <c r="E1460" t="s">
        <v>8416</v>
      </c>
    </row>
    <row r="1461" spans="1:5" hidden="1" x14ac:dyDescent="0.25">
      <c r="A1461" t="s">
        <v>6386</v>
      </c>
      <c r="B1461" t="s">
        <v>6166</v>
      </c>
      <c r="C1461">
        <v>39.058</v>
      </c>
      <c r="D1461">
        <v>-90.96</v>
      </c>
      <c r="E1461" t="s">
        <v>8417</v>
      </c>
    </row>
    <row r="1462" spans="1:5" hidden="1" x14ac:dyDescent="0.25">
      <c r="A1462" t="s">
        <v>7159</v>
      </c>
      <c r="B1462" t="s">
        <v>6166</v>
      </c>
      <c r="C1462">
        <v>39.870199999999997</v>
      </c>
      <c r="D1462">
        <v>-93.107200000000006</v>
      </c>
      <c r="E1462" t="s">
        <v>8418</v>
      </c>
    </row>
    <row r="1463" spans="1:5" hidden="1" x14ac:dyDescent="0.25">
      <c r="A1463" t="s">
        <v>1355</v>
      </c>
      <c r="B1463" t="s">
        <v>6166</v>
      </c>
      <c r="C1463">
        <v>39.7821</v>
      </c>
      <c r="D1463">
        <v>-93.548299999999998</v>
      </c>
      <c r="E1463" t="s">
        <v>8419</v>
      </c>
    </row>
    <row r="1464" spans="1:5" hidden="1" x14ac:dyDescent="0.25">
      <c r="A1464" t="s">
        <v>6284</v>
      </c>
      <c r="B1464" t="s">
        <v>6166</v>
      </c>
      <c r="C1464">
        <v>39.830800000000004</v>
      </c>
      <c r="D1464">
        <v>-92.564599999999999</v>
      </c>
      <c r="E1464" t="s">
        <v>8420</v>
      </c>
    </row>
    <row r="1465" spans="1:5" hidden="1" x14ac:dyDescent="0.25">
      <c r="A1465" t="s">
        <v>6286</v>
      </c>
      <c r="B1465" t="s">
        <v>6166</v>
      </c>
      <c r="C1465">
        <v>37.478099999999998</v>
      </c>
      <c r="D1465">
        <v>-90.344999999999999</v>
      </c>
      <c r="E1465" t="s">
        <v>8421</v>
      </c>
    </row>
    <row r="1466" spans="1:5" hidden="1" x14ac:dyDescent="0.25">
      <c r="A1466" t="s">
        <v>8422</v>
      </c>
      <c r="B1466" t="s">
        <v>6166</v>
      </c>
      <c r="C1466">
        <v>38.1616</v>
      </c>
      <c r="D1466">
        <v>-91.924899999999994</v>
      </c>
      <c r="E1466" t="s">
        <v>8423</v>
      </c>
    </row>
    <row r="1467" spans="1:5" hidden="1" x14ac:dyDescent="0.25">
      <c r="A1467" t="s">
        <v>6290</v>
      </c>
      <c r="B1467" t="s">
        <v>6166</v>
      </c>
      <c r="C1467">
        <v>39.805900000000001</v>
      </c>
      <c r="D1467">
        <v>-91.622399999999999</v>
      </c>
      <c r="E1467" t="s">
        <v>8424</v>
      </c>
    </row>
    <row r="1468" spans="1:5" hidden="1" x14ac:dyDescent="0.25">
      <c r="A1468" t="s">
        <v>3256</v>
      </c>
      <c r="B1468" t="s">
        <v>6166</v>
      </c>
      <c r="C1468">
        <v>36.628700000000002</v>
      </c>
      <c r="D1468">
        <v>-94.348299999999995</v>
      </c>
      <c r="E1468" t="s">
        <v>8425</v>
      </c>
    </row>
    <row r="1469" spans="1:5" hidden="1" x14ac:dyDescent="0.25">
      <c r="A1469" t="s">
        <v>1636</v>
      </c>
      <c r="B1469" t="s">
        <v>6166</v>
      </c>
      <c r="C1469">
        <v>40.4223</v>
      </c>
      <c r="D1469">
        <v>-93.568600000000004</v>
      </c>
      <c r="E1469" t="s">
        <v>8426</v>
      </c>
    </row>
    <row r="1470" spans="1:5" hidden="1" x14ac:dyDescent="0.25">
      <c r="A1470" t="s">
        <v>1684</v>
      </c>
      <c r="B1470" t="s">
        <v>6166</v>
      </c>
      <c r="C1470">
        <v>38.214500000000001</v>
      </c>
      <c r="D1470">
        <v>-92.428399999999996</v>
      </c>
      <c r="E1470" t="s">
        <v>8427</v>
      </c>
    </row>
    <row r="1471" spans="1:5" hidden="1" x14ac:dyDescent="0.25">
      <c r="A1471" t="s">
        <v>6396</v>
      </c>
      <c r="B1471" t="s">
        <v>6166</v>
      </c>
      <c r="C1471">
        <v>36.828099999999999</v>
      </c>
      <c r="D1471">
        <v>-89.2911</v>
      </c>
      <c r="E1471" t="s">
        <v>8428</v>
      </c>
    </row>
    <row r="1472" spans="1:5" hidden="1" x14ac:dyDescent="0.25">
      <c r="A1472" t="s">
        <v>8429</v>
      </c>
      <c r="B1472" t="s">
        <v>6166</v>
      </c>
      <c r="C1472">
        <v>38.632800000000003</v>
      </c>
      <c r="D1472">
        <v>-92.583100000000002</v>
      </c>
      <c r="E1472" t="s">
        <v>8430</v>
      </c>
    </row>
    <row r="1473" spans="1:5" hidden="1" x14ac:dyDescent="0.25">
      <c r="A1473" t="s">
        <v>6295</v>
      </c>
      <c r="B1473" t="s">
        <v>6166</v>
      </c>
      <c r="C1473">
        <v>39.495399999999997</v>
      </c>
      <c r="D1473">
        <v>-92.000699999999995</v>
      </c>
      <c r="E1473" t="s">
        <v>8431</v>
      </c>
    </row>
    <row r="1474" spans="1:5" hidden="1" x14ac:dyDescent="0.25">
      <c r="A1474" t="s">
        <v>6297</v>
      </c>
      <c r="B1474" t="s">
        <v>6166</v>
      </c>
      <c r="C1474">
        <v>38.941499999999998</v>
      </c>
      <c r="D1474">
        <v>-91.470200000000006</v>
      </c>
      <c r="E1474" t="s">
        <v>8432</v>
      </c>
    </row>
    <row r="1475" spans="1:5" hidden="1" x14ac:dyDescent="0.25">
      <c r="A1475" t="s">
        <v>496</v>
      </c>
      <c r="B1475" t="s">
        <v>6166</v>
      </c>
      <c r="C1475">
        <v>38.423699999999997</v>
      </c>
      <c r="D1475">
        <v>-92.885999999999996</v>
      </c>
      <c r="E1475" t="s">
        <v>8433</v>
      </c>
    </row>
    <row r="1476" spans="1:5" hidden="1" x14ac:dyDescent="0.25">
      <c r="A1476" t="s">
        <v>8434</v>
      </c>
      <c r="B1476" t="s">
        <v>6166</v>
      </c>
      <c r="C1476">
        <v>36.5946</v>
      </c>
      <c r="D1476">
        <v>-89.651700000000005</v>
      </c>
      <c r="E1476" t="s">
        <v>8435</v>
      </c>
    </row>
    <row r="1477" spans="1:5" hidden="1" x14ac:dyDescent="0.25">
      <c r="A1477" t="s">
        <v>3078</v>
      </c>
      <c r="B1477" t="s">
        <v>6166</v>
      </c>
      <c r="C1477">
        <v>36.905500000000004</v>
      </c>
      <c r="D1477">
        <v>-94.339299999999994</v>
      </c>
      <c r="E1477" t="s">
        <v>8436</v>
      </c>
    </row>
    <row r="1478" spans="1:5" hidden="1" x14ac:dyDescent="0.25">
      <c r="A1478" t="s">
        <v>8437</v>
      </c>
      <c r="B1478" t="s">
        <v>6166</v>
      </c>
      <c r="C1478">
        <v>40.360700000000001</v>
      </c>
      <c r="D1478">
        <v>-94.883399999999995</v>
      </c>
      <c r="E1478" t="s">
        <v>8438</v>
      </c>
    </row>
    <row r="1479" spans="1:5" hidden="1" x14ac:dyDescent="0.25">
      <c r="A1479" t="s">
        <v>8439</v>
      </c>
      <c r="B1479" t="s">
        <v>6166</v>
      </c>
      <c r="C1479">
        <v>36.686700000000002</v>
      </c>
      <c r="D1479">
        <v>-91.403300000000002</v>
      </c>
      <c r="E1479" t="s">
        <v>8440</v>
      </c>
    </row>
    <row r="1480" spans="1:5" hidden="1" x14ac:dyDescent="0.25">
      <c r="A1480" t="s">
        <v>7658</v>
      </c>
      <c r="B1480" t="s">
        <v>6166</v>
      </c>
      <c r="C1480">
        <v>38.4604</v>
      </c>
      <c r="D1480">
        <v>-91.861800000000002</v>
      </c>
      <c r="E1480" t="s">
        <v>8441</v>
      </c>
    </row>
    <row r="1481" spans="1:5" hidden="1" x14ac:dyDescent="0.25">
      <c r="A1481" t="s">
        <v>8442</v>
      </c>
      <c r="B1481" t="s">
        <v>6166</v>
      </c>
      <c r="C1481">
        <v>36.649299999999997</v>
      </c>
      <c r="D1481">
        <v>-92.444699999999997</v>
      </c>
      <c r="E1481" t="s">
        <v>8443</v>
      </c>
    </row>
    <row r="1482" spans="1:5" hidden="1" x14ac:dyDescent="0.25">
      <c r="A1482" t="s">
        <v>8444</v>
      </c>
      <c r="B1482" t="s">
        <v>6166</v>
      </c>
      <c r="C1482">
        <v>36.211399999999998</v>
      </c>
      <c r="D1482">
        <v>-89.785399999999996</v>
      </c>
      <c r="E1482" t="s">
        <v>8445</v>
      </c>
    </row>
    <row r="1483" spans="1:5" hidden="1" x14ac:dyDescent="0.25">
      <c r="A1483" t="s">
        <v>1641</v>
      </c>
      <c r="B1483" t="s">
        <v>6166</v>
      </c>
      <c r="C1483">
        <v>37.7072</v>
      </c>
      <c r="D1483">
        <v>-89.824399999999997</v>
      </c>
      <c r="E1483" t="s">
        <v>8446</v>
      </c>
    </row>
    <row r="1484" spans="1:5" hidden="1" x14ac:dyDescent="0.25">
      <c r="A1484" t="s">
        <v>8447</v>
      </c>
      <c r="B1484" t="s">
        <v>6166</v>
      </c>
      <c r="C1484">
        <v>38.728299999999997</v>
      </c>
      <c r="D1484">
        <v>-93.2851</v>
      </c>
      <c r="E1484" t="s">
        <v>8448</v>
      </c>
    </row>
    <row r="1485" spans="1:5" hidden="1" x14ac:dyDescent="0.25">
      <c r="A1485" t="s">
        <v>8449</v>
      </c>
      <c r="B1485" t="s">
        <v>6166</v>
      </c>
      <c r="C1485">
        <v>37.877200000000002</v>
      </c>
      <c r="D1485">
        <v>-91.792299999999997</v>
      </c>
      <c r="E1485" t="s">
        <v>8450</v>
      </c>
    </row>
    <row r="1486" spans="1:5" hidden="1" x14ac:dyDescent="0.25">
      <c r="A1486" t="s">
        <v>6303</v>
      </c>
      <c r="B1486" t="s">
        <v>6166</v>
      </c>
      <c r="C1486">
        <v>39.343800000000002</v>
      </c>
      <c r="D1486">
        <v>-91.171400000000006</v>
      </c>
      <c r="E1486" t="s">
        <v>8451</v>
      </c>
    </row>
    <row r="1487" spans="1:5" hidden="1" x14ac:dyDescent="0.25">
      <c r="A1487" t="s">
        <v>8452</v>
      </c>
      <c r="B1487" t="s">
        <v>6166</v>
      </c>
      <c r="C1487">
        <v>39.380299999999998</v>
      </c>
      <c r="D1487">
        <v>-94.773799999999994</v>
      </c>
      <c r="E1487" t="s">
        <v>8453</v>
      </c>
    </row>
    <row r="1488" spans="1:5" hidden="1" x14ac:dyDescent="0.25">
      <c r="A1488" t="s">
        <v>6410</v>
      </c>
      <c r="B1488" t="s">
        <v>6166</v>
      </c>
      <c r="C1488">
        <v>37.616500000000002</v>
      </c>
      <c r="D1488">
        <v>-93.400499999999994</v>
      </c>
      <c r="E1488" t="s">
        <v>8454</v>
      </c>
    </row>
    <row r="1489" spans="1:5" hidden="1" x14ac:dyDescent="0.25">
      <c r="A1489" t="s">
        <v>6416</v>
      </c>
      <c r="B1489" t="s">
        <v>6166</v>
      </c>
      <c r="C1489">
        <v>37.824599999999997</v>
      </c>
      <c r="D1489">
        <v>-92.207599999999999</v>
      </c>
      <c r="E1489" t="s">
        <v>8455</v>
      </c>
    </row>
    <row r="1490" spans="1:5" hidden="1" x14ac:dyDescent="0.25">
      <c r="A1490" t="s">
        <v>6810</v>
      </c>
      <c r="B1490" t="s">
        <v>6166</v>
      </c>
      <c r="C1490">
        <v>40.478900000000003</v>
      </c>
      <c r="D1490">
        <v>-93.016199999999998</v>
      </c>
      <c r="E1490" t="s">
        <v>8456</v>
      </c>
    </row>
    <row r="1491" spans="1:5" hidden="1" x14ac:dyDescent="0.25">
      <c r="A1491" t="s">
        <v>8457</v>
      </c>
      <c r="B1491" t="s">
        <v>6166</v>
      </c>
      <c r="C1491">
        <v>39.527700000000003</v>
      </c>
      <c r="D1491">
        <v>-91.522000000000006</v>
      </c>
      <c r="E1491" t="s">
        <v>8458</v>
      </c>
    </row>
    <row r="1492" spans="1:5" hidden="1" x14ac:dyDescent="0.25">
      <c r="A1492" t="s">
        <v>6305</v>
      </c>
      <c r="B1492" t="s">
        <v>6166</v>
      </c>
      <c r="C1492">
        <v>39.440199999999997</v>
      </c>
      <c r="D1492">
        <v>-92.497100000000003</v>
      </c>
      <c r="E1492" t="s">
        <v>8459</v>
      </c>
    </row>
    <row r="1493" spans="1:5" hidden="1" x14ac:dyDescent="0.25">
      <c r="A1493" t="s">
        <v>8460</v>
      </c>
      <c r="B1493" t="s">
        <v>6166</v>
      </c>
      <c r="C1493">
        <v>39.3523</v>
      </c>
      <c r="D1493">
        <v>-93.989900000000006</v>
      </c>
      <c r="E1493" t="s">
        <v>8461</v>
      </c>
    </row>
    <row r="1494" spans="1:5" hidden="1" x14ac:dyDescent="0.25">
      <c r="A1494" t="s">
        <v>2265</v>
      </c>
      <c r="B1494" t="s">
        <v>6166</v>
      </c>
      <c r="C1494">
        <v>37.362299999999998</v>
      </c>
      <c r="D1494">
        <v>-90.969099999999997</v>
      </c>
      <c r="E1494" t="s">
        <v>8462</v>
      </c>
    </row>
    <row r="1495" spans="1:5" hidden="1" x14ac:dyDescent="0.25">
      <c r="A1495" t="s">
        <v>7522</v>
      </c>
      <c r="B1495" t="s">
        <v>6166</v>
      </c>
      <c r="C1495">
        <v>36.652799999999999</v>
      </c>
      <c r="D1495">
        <v>-90.863799999999998</v>
      </c>
      <c r="E1495" t="s">
        <v>8463</v>
      </c>
    </row>
    <row r="1496" spans="1:5" hidden="1" x14ac:dyDescent="0.25">
      <c r="A1496" t="s">
        <v>6419</v>
      </c>
      <c r="B1496" t="s">
        <v>6166</v>
      </c>
      <c r="C1496">
        <v>39.136800000000001</v>
      </c>
      <c r="D1496">
        <v>-93.201800000000006</v>
      </c>
      <c r="E1496" t="s">
        <v>8464</v>
      </c>
    </row>
    <row r="1497" spans="1:5" hidden="1" x14ac:dyDescent="0.25">
      <c r="A1497" t="s">
        <v>7408</v>
      </c>
      <c r="B1497" t="s">
        <v>6166</v>
      </c>
      <c r="C1497">
        <v>40.470300000000002</v>
      </c>
      <c r="D1497">
        <v>-92.521000000000001</v>
      </c>
      <c r="E1497" t="s">
        <v>8465</v>
      </c>
    </row>
    <row r="1498" spans="1:5" hidden="1" x14ac:dyDescent="0.25">
      <c r="A1498" t="s">
        <v>4394</v>
      </c>
      <c r="B1498" t="s">
        <v>6166</v>
      </c>
      <c r="C1498">
        <v>40.452599999999997</v>
      </c>
      <c r="D1498">
        <v>-92.147099999999995</v>
      </c>
      <c r="E1498" t="s">
        <v>8466</v>
      </c>
    </row>
    <row r="1499" spans="1:5" hidden="1" x14ac:dyDescent="0.25">
      <c r="A1499" t="s">
        <v>5291</v>
      </c>
      <c r="B1499" t="s">
        <v>6166</v>
      </c>
      <c r="C1499">
        <v>37.052999999999997</v>
      </c>
      <c r="D1499">
        <v>-89.568600000000004</v>
      </c>
      <c r="E1499" t="s">
        <v>8467</v>
      </c>
    </row>
    <row r="1500" spans="1:5" x14ac:dyDescent="0.25">
      <c r="A1500" t="s">
        <v>8468</v>
      </c>
      <c r="B1500" t="s">
        <v>6166</v>
      </c>
      <c r="C1500">
        <v>37.157400000000003</v>
      </c>
      <c r="D1500">
        <v>-91.400499999999994</v>
      </c>
      <c r="E1500" t="s">
        <v>8469</v>
      </c>
    </row>
    <row r="1501" spans="1:5" hidden="1" x14ac:dyDescent="0.25">
      <c r="A1501" t="s">
        <v>6309</v>
      </c>
      <c r="B1501" t="s">
        <v>6166</v>
      </c>
      <c r="C1501">
        <v>39.797800000000002</v>
      </c>
      <c r="D1501">
        <v>-92.076599999999999</v>
      </c>
      <c r="E1501" t="s">
        <v>8470</v>
      </c>
    </row>
    <row r="1502" spans="1:5" hidden="1" x14ac:dyDescent="0.25">
      <c r="A1502" t="s">
        <v>7950</v>
      </c>
      <c r="B1502" t="s">
        <v>6166</v>
      </c>
      <c r="C1502">
        <v>38.781999999999996</v>
      </c>
      <c r="D1502">
        <v>-90.674899999999994</v>
      </c>
      <c r="E1502" t="s">
        <v>8471</v>
      </c>
    </row>
    <row r="1503" spans="1:5" hidden="1" x14ac:dyDescent="0.25">
      <c r="A1503" t="s">
        <v>6311</v>
      </c>
      <c r="B1503" t="s">
        <v>6166</v>
      </c>
      <c r="C1503">
        <v>38.037199999999999</v>
      </c>
      <c r="D1503">
        <v>-93.775999999999996</v>
      </c>
      <c r="E1503" t="s">
        <v>8472</v>
      </c>
    </row>
    <row r="1504" spans="1:5" hidden="1" x14ac:dyDescent="0.25">
      <c r="A1504" t="s">
        <v>8473</v>
      </c>
      <c r="B1504" t="s">
        <v>6166</v>
      </c>
      <c r="C1504">
        <v>37.810299999999998</v>
      </c>
      <c r="D1504">
        <v>-90.472200000000001</v>
      </c>
      <c r="E1504" t="s">
        <v>8474</v>
      </c>
    </row>
    <row r="1505" spans="1:5" hidden="1" x14ac:dyDescent="0.25">
      <c r="A1505" t="s">
        <v>440</v>
      </c>
      <c r="B1505" t="s">
        <v>6166</v>
      </c>
      <c r="C1505">
        <v>38.640700000000002</v>
      </c>
      <c r="D1505">
        <v>-90.443399999999997</v>
      </c>
      <c r="E1505" t="s">
        <v>8475</v>
      </c>
    </row>
    <row r="1506" spans="1:5" hidden="1" x14ac:dyDescent="0.25">
      <c r="A1506" t="s">
        <v>440</v>
      </c>
      <c r="B1506" t="s">
        <v>6166</v>
      </c>
      <c r="C1506">
        <v>38.635800000000003</v>
      </c>
      <c r="D1506">
        <v>-90.245099999999994</v>
      </c>
      <c r="E1506" t="s">
        <v>8475</v>
      </c>
    </row>
    <row r="1507" spans="1:5" hidden="1" x14ac:dyDescent="0.25">
      <c r="A1507" t="s">
        <v>8476</v>
      </c>
      <c r="B1507" t="s">
        <v>6166</v>
      </c>
      <c r="C1507">
        <v>37.894500000000001</v>
      </c>
      <c r="D1507">
        <v>-90.194400000000002</v>
      </c>
      <c r="E1507" t="s">
        <v>8477</v>
      </c>
    </row>
    <row r="1508" spans="1:5" hidden="1" x14ac:dyDescent="0.25">
      <c r="A1508" t="s">
        <v>8478</v>
      </c>
      <c r="B1508" t="s">
        <v>6166</v>
      </c>
      <c r="C1508">
        <v>36.855600000000003</v>
      </c>
      <c r="D1508">
        <v>-89.944299999999998</v>
      </c>
      <c r="E1508" t="s">
        <v>8479</v>
      </c>
    </row>
    <row r="1509" spans="1:5" hidden="1" x14ac:dyDescent="0.25">
      <c r="A1509" t="s">
        <v>1332</v>
      </c>
      <c r="B1509" t="s">
        <v>6166</v>
      </c>
      <c r="C1509">
        <v>36.746899999999997</v>
      </c>
      <c r="D1509">
        <v>-93.456000000000003</v>
      </c>
      <c r="E1509" t="s">
        <v>8480</v>
      </c>
    </row>
    <row r="1510" spans="1:5" hidden="1" x14ac:dyDescent="0.25">
      <c r="A1510" t="s">
        <v>3228</v>
      </c>
      <c r="B1510" t="s">
        <v>6166</v>
      </c>
      <c r="C1510">
        <v>40.210599999999999</v>
      </c>
      <c r="D1510">
        <v>-93.111500000000007</v>
      </c>
      <c r="E1510" t="s">
        <v>8481</v>
      </c>
    </row>
    <row r="1511" spans="1:5" hidden="1" x14ac:dyDescent="0.25">
      <c r="A1511" t="s">
        <v>8482</v>
      </c>
      <c r="B1511" t="s">
        <v>6166</v>
      </c>
      <c r="C1511">
        <v>36.654800000000002</v>
      </c>
      <c r="D1511">
        <v>-93.0411</v>
      </c>
      <c r="E1511" t="s">
        <v>8483</v>
      </c>
    </row>
    <row r="1512" spans="1:5" hidden="1" x14ac:dyDescent="0.25">
      <c r="A1512" t="s">
        <v>8484</v>
      </c>
      <c r="B1512" t="s">
        <v>6166</v>
      </c>
      <c r="C1512">
        <v>37.317300000000003</v>
      </c>
      <c r="D1512">
        <v>-91.965100000000007</v>
      </c>
      <c r="E1512" t="s">
        <v>8485</v>
      </c>
    </row>
    <row r="1513" spans="1:5" hidden="1" x14ac:dyDescent="0.25">
      <c r="A1513" t="s">
        <v>7974</v>
      </c>
      <c r="B1513" t="s">
        <v>6166</v>
      </c>
      <c r="C1513">
        <v>37.8506</v>
      </c>
      <c r="D1513">
        <v>-94.342399999999998</v>
      </c>
      <c r="E1513" t="s">
        <v>8486</v>
      </c>
    </row>
    <row r="1514" spans="1:5" hidden="1" x14ac:dyDescent="0.25">
      <c r="A1514" t="s">
        <v>448</v>
      </c>
      <c r="B1514" t="s">
        <v>6166</v>
      </c>
      <c r="C1514">
        <v>38.764600000000002</v>
      </c>
      <c r="D1514">
        <v>-91.160700000000006</v>
      </c>
      <c r="E1514" t="s">
        <v>8487</v>
      </c>
    </row>
    <row r="1515" spans="1:5" hidden="1" x14ac:dyDescent="0.25">
      <c r="A1515" t="s">
        <v>3052</v>
      </c>
      <c r="B1515" t="s">
        <v>6166</v>
      </c>
      <c r="C1515">
        <v>37.9617</v>
      </c>
      <c r="D1515">
        <v>-90.877399999999994</v>
      </c>
      <c r="E1515" t="s">
        <v>8488</v>
      </c>
    </row>
    <row r="1516" spans="1:5" hidden="1" x14ac:dyDescent="0.25">
      <c r="A1516" t="s">
        <v>7057</v>
      </c>
      <c r="B1516" t="s">
        <v>6166</v>
      </c>
      <c r="C1516">
        <v>37.1126</v>
      </c>
      <c r="D1516">
        <v>-90.461399999999998</v>
      </c>
      <c r="E1516" t="s">
        <v>8489</v>
      </c>
    </row>
    <row r="1517" spans="1:5" hidden="1" x14ac:dyDescent="0.25">
      <c r="A1517" t="s">
        <v>7059</v>
      </c>
      <c r="B1517" t="s">
        <v>6166</v>
      </c>
      <c r="C1517">
        <v>37.280900000000003</v>
      </c>
      <c r="D1517">
        <v>-92.875900000000001</v>
      </c>
      <c r="E1517" t="s">
        <v>8490</v>
      </c>
    </row>
    <row r="1518" spans="1:5" hidden="1" x14ac:dyDescent="0.25">
      <c r="A1518" t="s">
        <v>7069</v>
      </c>
      <c r="B1518" t="s">
        <v>6166</v>
      </c>
      <c r="C1518">
        <v>40.479100000000003</v>
      </c>
      <c r="D1518">
        <v>-94.4221</v>
      </c>
      <c r="E1518" t="s">
        <v>8491</v>
      </c>
    </row>
    <row r="1519" spans="1:5" hidden="1" x14ac:dyDescent="0.25">
      <c r="A1519" t="s">
        <v>465</v>
      </c>
      <c r="B1519" t="s">
        <v>6166</v>
      </c>
      <c r="C1519">
        <v>37.270200000000003</v>
      </c>
      <c r="D1519">
        <v>-92.468699999999998</v>
      </c>
      <c r="E1519" t="s">
        <v>8492</v>
      </c>
    </row>
    <row r="1520" spans="1:5" hidden="1" x14ac:dyDescent="0.25">
      <c r="A1520" t="s">
        <v>1324</v>
      </c>
      <c r="B1520" t="s">
        <v>6169</v>
      </c>
      <c r="C1520">
        <v>31.482900000000001</v>
      </c>
      <c r="D1520">
        <v>-91.353499999999997</v>
      </c>
      <c r="E1520" t="s">
        <v>8493</v>
      </c>
    </row>
    <row r="1521" spans="1:5" hidden="1" x14ac:dyDescent="0.25">
      <c r="A1521" t="s">
        <v>8494</v>
      </c>
      <c r="B1521" t="s">
        <v>6169</v>
      </c>
      <c r="C1521">
        <v>34.880800000000001</v>
      </c>
      <c r="D1521">
        <v>-88.580299999999994</v>
      </c>
      <c r="E1521" t="s">
        <v>8495</v>
      </c>
    </row>
    <row r="1522" spans="1:5" hidden="1" x14ac:dyDescent="0.25">
      <c r="A1522" t="s">
        <v>8496</v>
      </c>
      <c r="B1522" t="s">
        <v>6169</v>
      </c>
      <c r="C1522">
        <v>31.174399999999999</v>
      </c>
      <c r="D1522">
        <v>-90.804400000000001</v>
      </c>
      <c r="E1522" t="s">
        <v>8497</v>
      </c>
    </row>
    <row r="1523" spans="1:5" hidden="1" x14ac:dyDescent="0.25">
      <c r="A1523" t="s">
        <v>8498</v>
      </c>
      <c r="B1523" t="s">
        <v>6169</v>
      </c>
      <c r="C1523">
        <v>33.086300000000001</v>
      </c>
      <c r="D1523">
        <v>-89.581500000000005</v>
      </c>
      <c r="E1523" t="s">
        <v>8499</v>
      </c>
    </row>
    <row r="1524" spans="1:5" hidden="1" x14ac:dyDescent="0.25">
      <c r="A1524" t="s">
        <v>6333</v>
      </c>
      <c r="B1524" t="s">
        <v>6169</v>
      </c>
      <c r="C1524">
        <v>34.817300000000003</v>
      </c>
      <c r="D1524">
        <v>-89.188500000000005</v>
      </c>
      <c r="E1524" t="s">
        <v>8500</v>
      </c>
    </row>
    <row r="1525" spans="1:5" hidden="1" x14ac:dyDescent="0.25">
      <c r="A1525" t="s">
        <v>8501</v>
      </c>
      <c r="B1525" t="s">
        <v>6169</v>
      </c>
      <c r="C1525">
        <v>33.7971</v>
      </c>
      <c r="D1525">
        <v>-90.880600000000001</v>
      </c>
      <c r="E1525" t="s">
        <v>8502</v>
      </c>
    </row>
    <row r="1526" spans="1:5" hidden="1" x14ac:dyDescent="0.25">
      <c r="A1526" t="s">
        <v>1505</v>
      </c>
      <c r="B1526" t="s">
        <v>6169</v>
      </c>
      <c r="C1526">
        <v>33.936500000000002</v>
      </c>
      <c r="D1526">
        <v>-89.336500000000001</v>
      </c>
      <c r="E1526" t="s">
        <v>8503</v>
      </c>
    </row>
    <row r="1527" spans="1:5" hidden="1" x14ac:dyDescent="0.25">
      <c r="A1527" t="s">
        <v>6340</v>
      </c>
      <c r="B1527" t="s">
        <v>6169</v>
      </c>
      <c r="C1527">
        <v>33.448500000000003</v>
      </c>
      <c r="D1527">
        <v>-89.920199999999994</v>
      </c>
      <c r="E1527" t="s">
        <v>8504</v>
      </c>
    </row>
    <row r="1528" spans="1:5" hidden="1" x14ac:dyDescent="0.25">
      <c r="A1528" t="s">
        <v>7110</v>
      </c>
      <c r="B1528" t="s">
        <v>6169</v>
      </c>
      <c r="C1528">
        <v>33.9208</v>
      </c>
      <c r="D1528">
        <v>-88.947900000000004</v>
      </c>
      <c r="E1528" t="s">
        <v>8505</v>
      </c>
    </row>
    <row r="1529" spans="1:5" hidden="1" x14ac:dyDescent="0.25">
      <c r="A1529" t="s">
        <v>6216</v>
      </c>
      <c r="B1529" t="s">
        <v>6169</v>
      </c>
      <c r="C1529">
        <v>33.347299999999997</v>
      </c>
      <c r="D1529">
        <v>-89.248400000000004</v>
      </c>
      <c r="E1529" t="s">
        <v>8506</v>
      </c>
    </row>
    <row r="1530" spans="1:5" hidden="1" x14ac:dyDescent="0.25">
      <c r="A1530" t="s">
        <v>7899</v>
      </c>
      <c r="B1530" t="s">
        <v>6169</v>
      </c>
      <c r="C1530">
        <v>31.973700000000001</v>
      </c>
      <c r="D1530">
        <v>-90.911799999999999</v>
      </c>
      <c r="E1530" t="s">
        <v>8507</v>
      </c>
    </row>
    <row r="1531" spans="1:5" hidden="1" x14ac:dyDescent="0.25">
      <c r="A1531" t="s">
        <v>5280</v>
      </c>
      <c r="B1531" t="s">
        <v>6169</v>
      </c>
      <c r="C1531">
        <v>32.041400000000003</v>
      </c>
      <c r="D1531">
        <v>-88.689400000000006</v>
      </c>
      <c r="E1531" t="s">
        <v>8508</v>
      </c>
    </row>
    <row r="1532" spans="1:5" hidden="1" x14ac:dyDescent="0.25">
      <c r="A1532" t="s">
        <v>6221</v>
      </c>
      <c r="B1532" t="s">
        <v>6169</v>
      </c>
      <c r="C1532">
        <v>33.655700000000003</v>
      </c>
      <c r="D1532">
        <v>-88.781599999999997</v>
      </c>
      <c r="E1532" t="s">
        <v>8509</v>
      </c>
    </row>
    <row r="1533" spans="1:5" hidden="1" x14ac:dyDescent="0.25">
      <c r="A1533" t="s">
        <v>8510</v>
      </c>
      <c r="B1533" t="s">
        <v>6169</v>
      </c>
      <c r="C1533">
        <v>34.229999999999997</v>
      </c>
      <c r="D1533">
        <v>-90.601799999999997</v>
      </c>
      <c r="E1533" t="s">
        <v>8511</v>
      </c>
    </row>
    <row r="1534" spans="1:5" hidden="1" x14ac:dyDescent="0.25">
      <c r="A1534" t="s">
        <v>8512</v>
      </c>
      <c r="B1534" t="s">
        <v>6169</v>
      </c>
      <c r="C1534">
        <v>31.869299999999999</v>
      </c>
      <c r="D1534">
        <v>-90.448800000000006</v>
      </c>
      <c r="E1534" t="s">
        <v>8513</v>
      </c>
    </row>
    <row r="1535" spans="1:5" hidden="1" x14ac:dyDescent="0.25">
      <c r="A1535" t="s">
        <v>6239</v>
      </c>
      <c r="B1535" t="s">
        <v>6169</v>
      </c>
      <c r="C1535">
        <v>31.633199999999999</v>
      </c>
      <c r="D1535">
        <v>-89.552599999999998</v>
      </c>
      <c r="E1535" t="s">
        <v>8514</v>
      </c>
    </row>
    <row r="1536" spans="1:5" hidden="1" x14ac:dyDescent="0.25">
      <c r="A1536" t="s">
        <v>6743</v>
      </c>
      <c r="B1536" t="s">
        <v>6169</v>
      </c>
      <c r="C1536">
        <v>34.875300000000003</v>
      </c>
      <c r="D1536">
        <v>-89.991200000000006</v>
      </c>
      <c r="E1536" t="s">
        <v>8515</v>
      </c>
    </row>
    <row r="1537" spans="1:5" hidden="1" x14ac:dyDescent="0.25">
      <c r="A1537" t="s">
        <v>8516</v>
      </c>
      <c r="B1537" t="s">
        <v>6169</v>
      </c>
      <c r="C1537">
        <v>31.1889</v>
      </c>
      <c r="D1537">
        <v>-89.257900000000006</v>
      </c>
      <c r="E1537" t="s">
        <v>8517</v>
      </c>
    </row>
    <row r="1538" spans="1:5" hidden="1" x14ac:dyDescent="0.25">
      <c r="A1538" t="s">
        <v>6260</v>
      </c>
      <c r="B1538" t="s">
        <v>6169</v>
      </c>
      <c r="C1538">
        <v>31.4772</v>
      </c>
      <c r="D1538">
        <v>-90.897900000000007</v>
      </c>
      <c r="E1538" t="s">
        <v>8518</v>
      </c>
    </row>
    <row r="1539" spans="1:5" hidden="1" x14ac:dyDescent="0.25">
      <c r="A1539" t="s">
        <v>113</v>
      </c>
      <c r="B1539" t="s">
        <v>6169</v>
      </c>
      <c r="C1539">
        <v>30.8626</v>
      </c>
      <c r="D1539">
        <v>-88.644000000000005</v>
      </c>
      <c r="E1539" t="s">
        <v>8519</v>
      </c>
    </row>
    <row r="1540" spans="1:5" hidden="1" x14ac:dyDescent="0.25">
      <c r="A1540" t="s">
        <v>6264</v>
      </c>
      <c r="B1540" t="s">
        <v>6169</v>
      </c>
      <c r="C1540">
        <v>31.214200000000002</v>
      </c>
      <c r="D1540">
        <v>-88.639200000000002</v>
      </c>
      <c r="E1540" t="s">
        <v>8520</v>
      </c>
    </row>
    <row r="1541" spans="1:5" hidden="1" x14ac:dyDescent="0.25">
      <c r="A1541" t="s">
        <v>829</v>
      </c>
      <c r="B1541" t="s">
        <v>6169</v>
      </c>
      <c r="C1541">
        <v>33.7699</v>
      </c>
      <c r="D1541">
        <v>-89.802000000000007</v>
      </c>
      <c r="E1541" t="s">
        <v>8521</v>
      </c>
    </row>
    <row r="1542" spans="1:5" hidden="1" x14ac:dyDescent="0.25">
      <c r="A1542" t="s">
        <v>1216</v>
      </c>
      <c r="B1542" t="s">
        <v>6169</v>
      </c>
      <c r="C1542">
        <v>30.416499999999999</v>
      </c>
      <c r="D1542">
        <v>-89.489000000000004</v>
      </c>
      <c r="E1542" t="s">
        <v>8522</v>
      </c>
    </row>
    <row r="1543" spans="1:5" hidden="1" x14ac:dyDescent="0.25">
      <c r="A1543" t="s">
        <v>1623</v>
      </c>
      <c r="B1543" t="s">
        <v>6169</v>
      </c>
      <c r="C1543">
        <v>30.5122</v>
      </c>
      <c r="D1543">
        <v>-89.116</v>
      </c>
      <c r="E1543" t="s">
        <v>8523</v>
      </c>
    </row>
    <row r="1544" spans="1:5" hidden="1" x14ac:dyDescent="0.25">
      <c r="A1544" t="s">
        <v>8524</v>
      </c>
      <c r="B1544" t="s">
        <v>6169</v>
      </c>
      <c r="C1544">
        <v>32.2667</v>
      </c>
      <c r="D1544">
        <v>-90.442899999999995</v>
      </c>
      <c r="E1544" t="s">
        <v>8525</v>
      </c>
    </row>
    <row r="1545" spans="1:5" hidden="1" x14ac:dyDescent="0.25">
      <c r="A1545" t="s">
        <v>1403</v>
      </c>
      <c r="B1545" t="s">
        <v>6169</v>
      </c>
      <c r="C1545">
        <v>33.1235</v>
      </c>
      <c r="D1545">
        <v>-90.092100000000002</v>
      </c>
      <c r="E1545" t="s">
        <v>8526</v>
      </c>
    </row>
    <row r="1546" spans="1:5" hidden="1" x14ac:dyDescent="0.25">
      <c r="A1546" t="s">
        <v>8527</v>
      </c>
      <c r="B1546" t="s">
        <v>6169</v>
      </c>
      <c r="C1546">
        <v>33.128700000000002</v>
      </c>
      <c r="D1546">
        <v>-90.526600000000002</v>
      </c>
      <c r="E1546" t="s">
        <v>8528</v>
      </c>
    </row>
    <row r="1547" spans="1:5" hidden="1" x14ac:dyDescent="0.25">
      <c r="A1547" t="s">
        <v>8529</v>
      </c>
      <c r="B1547" t="s">
        <v>6169</v>
      </c>
      <c r="C1547">
        <v>32.741399999999999</v>
      </c>
      <c r="D1547">
        <v>-90.989199999999997</v>
      </c>
      <c r="E1547" t="s">
        <v>8530</v>
      </c>
    </row>
    <row r="1548" spans="1:5" hidden="1" x14ac:dyDescent="0.25">
      <c r="A1548" t="s">
        <v>8531</v>
      </c>
      <c r="B1548" t="s">
        <v>6169</v>
      </c>
      <c r="C1548">
        <v>34.28</v>
      </c>
      <c r="D1548">
        <v>-88.3613</v>
      </c>
      <c r="E1548" t="s">
        <v>8532</v>
      </c>
    </row>
    <row r="1549" spans="1:5" hidden="1" x14ac:dyDescent="0.25">
      <c r="A1549" t="s">
        <v>191</v>
      </c>
      <c r="B1549" t="s">
        <v>6169</v>
      </c>
      <c r="C1549">
        <v>30.5425</v>
      </c>
      <c r="D1549">
        <v>-88.635800000000003</v>
      </c>
      <c r="E1549" t="s">
        <v>8533</v>
      </c>
    </row>
    <row r="1550" spans="1:5" hidden="1" x14ac:dyDescent="0.25">
      <c r="A1550" t="s">
        <v>2108</v>
      </c>
      <c r="B1550" t="s">
        <v>6169</v>
      </c>
      <c r="C1550">
        <v>32.019100000000002</v>
      </c>
      <c r="D1550">
        <v>-89.118899999999996</v>
      </c>
      <c r="E1550" t="s">
        <v>8534</v>
      </c>
    </row>
    <row r="1551" spans="1:5" hidden="1" x14ac:dyDescent="0.25">
      <c r="A1551" t="s">
        <v>6272</v>
      </c>
      <c r="B1551" t="s">
        <v>6169</v>
      </c>
      <c r="C1551">
        <v>31.734200000000001</v>
      </c>
      <c r="D1551">
        <v>-91.037300000000002</v>
      </c>
      <c r="E1551" t="s">
        <v>8535</v>
      </c>
    </row>
    <row r="1552" spans="1:5" hidden="1" x14ac:dyDescent="0.25">
      <c r="A1552" t="s">
        <v>7921</v>
      </c>
      <c r="B1552" t="s">
        <v>6169</v>
      </c>
      <c r="C1552">
        <v>31.569700000000001</v>
      </c>
      <c r="D1552">
        <v>-89.822999999999993</v>
      </c>
      <c r="E1552" t="s">
        <v>8536</v>
      </c>
    </row>
    <row r="1553" spans="1:5" hidden="1" x14ac:dyDescent="0.25">
      <c r="A1553" t="s">
        <v>728</v>
      </c>
      <c r="B1553" t="s">
        <v>6169</v>
      </c>
      <c r="C1553">
        <v>31.622499999999999</v>
      </c>
      <c r="D1553">
        <v>-89.168800000000005</v>
      </c>
      <c r="E1553" t="s">
        <v>8537</v>
      </c>
    </row>
    <row r="1554" spans="1:5" hidden="1" x14ac:dyDescent="0.25">
      <c r="A1554" t="s">
        <v>8538</v>
      </c>
      <c r="B1554" t="s">
        <v>6169</v>
      </c>
      <c r="C1554">
        <v>32.754600000000003</v>
      </c>
      <c r="D1554">
        <v>-88.641199999999998</v>
      </c>
      <c r="E1554" t="s">
        <v>8539</v>
      </c>
    </row>
    <row r="1555" spans="1:5" hidden="1" x14ac:dyDescent="0.25">
      <c r="A1555" t="s">
        <v>6382</v>
      </c>
      <c r="B1555" t="s">
        <v>6169</v>
      </c>
      <c r="C1555">
        <v>34.3568</v>
      </c>
      <c r="D1555">
        <v>-89.484999999999999</v>
      </c>
      <c r="E1555" t="s">
        <v>8540</v>
      </c>
    </row>
    <row r="1556" spans="1:5" hidden="1" x14ac:dyDescent="0.25">
      <c r="A1556" t="s">
        <v>6274</v>
      </c>
      <c r="B1556" t="s">
        <v>6169</v>
      </c>
      <c r="C1556">
        <v>31.206</v>
      </c>
      <c r="D1556">
        <v>-89.508700000000005</v>
      </c>
      <c r="E1556" t="s">
        <v>8541</v>
      </c>
    </row>
    <row r="1557" spans="1:5" hidden="1" x14ac:dyDescent="0.25">
      <c r="A1557" t="s">
        <v>6276</v>
      </c>
      <c r="B1557" t="s">
        <v>6169</v>
      </c>
      <c r="C1557">
        <v>32.404299999999999</v>
      </c>
      <c r="D1557">
        <v>-88.662599999999998</v>
      </c>
      <c r="E1557" t="s">
        <v>8542</v>
      </c>
    </row>
    <row r="1558" spans="1:5" hidden="1" x14ac:dyDescent="0.25">
      <c r="A1558" t="s">
        <v>492</v>
      </c>
      <c r="B1558" t="s">
        <v>6169</v>
      </c>
      <c r="C1558">
        <v>31.5502</v>
      </c>
      <c r="D1558">
        <v>-90.106999999999999</v>
      </c>
      <c r="E1558" t="s">
        <v>8543</v>
      </c>
    </row>
    <row r="1559" spans="1:5" hidden="1" x14ac:dyDescent="0.25">
      <c r="A1559" t="s">
        <v>8544</v>
      </c>
      <c r="B1559" t="s">
        <v>6169</v>
      </c>
      <c r="C1559">
        <v>32.753500000000003</v>
      </c>
      <c r="D1559">
        <v>-89.524000000000001</v>
      </c>
      <c r="E1559" t="s">
        <v>8545</v>
      </c>
    </row>
    <row r="1560" spans="1:5" hidden="1" x14ac:dyDescent="0.25">
      <c r="A1560" t="s">
        <v>2353</v>
      </c>
      <c r="B1560" t="s">
        <v>6169</v>
      </c>
      <c r="C1560">
        <v>34.289900000000003</v>
      </c>
      <c r="D1560">
        <v>-88.680400000000006</v>
      </c>
      <c r="E1560" t="s">
        <v>8546</v>
      </c>
    </row>
    <row r="1561" spans="1:5" hidden="1" x14ac:dyDescent="0.25">
      <c r="A1561" t="s">
        <v>8547</v>
      </c>
      <c r="B1561" t="s">
        <v>6169</v>
      </c>
      <c r="C1561">
        <v>33.5505</v>
      </c>
      <c r="D1561">
        <v>-90.301100000000005</v>
      </c>
      <c r="E1561" t="s">
        <v>8548</v>
      </c>
    </row>
    <row r="1562" spans="1:5" hidden="1" x14ac:dyDescent="0.25">
      <c r="A1562" t="s">
        <v>6386</v>
      </c>
      <c r="B1562" t="s">
        <v>6169</v>
      </c>
      <c r="C1562">
        <v>31.532399999999999</v>
      </c>
      <c r="D1562">
        <v>-90.453999999999994</v>
      </c>
      <c r="E1562" t="s">
        <v>8549</v>
      </c>
    </row>
    <row r="1563" spans="1:5" hidden="1" x14ac:dyDescent="0.25">
      <c r="A1563" t="s">
        <v>6282</v>
      </c>
      <c r="B1563" t="s">
        <v>6169</v>
      </c>
      <c r="C1563">
        <v>33.472900000000003</v>
      </c>
      <c r="D1563">
        <v>-88.443299999999994</v>
      </c>
      <c r="E1563" t="s">
        <v>8550</v>
      </c>
    </row>
    <row r="1564" spans="1:5" hidden="1" x14ac:dyDescent="0.25">
      <c r="A1564" t="s">
        <v>6286</v>
      </c>
      <c r="B1564" t="s">
        <v>6169</v>
      </c>
      <c r="C1564">
        <v>32.634700000000002</v>
      </c>
      <c r="D1564">
        <v>-90.033699999999996</v>
      </c>
      <c r="E1564" t="s">
        <v>8551</v>
      </c>
    </row>
    <row r="1565" spans="1:5" hidden="1" x14ac:dyDescent="0.25">
      <c r="A1565" t="s">
        <v>6290</v>
      </c>
      <c r="B1565" t="s">
        <v>6169</v>
      </c>
      <c r="C1565">
        <v>31.230799999999999</v>
      </c>
      <c r="D1565">
        <v>-89.822400000000002</v>
      </c>
      <c r="E1565" t="s">
        <v>8552</v>
      </c>
    </row>
    <row r="1566" spans="1:5" hidden="1" x14ac:dyDescent="0.25">
      <c r="A1566" t="s">
        <v>1391</v>
      </c>
      <c r="B1566" t="s">
        <v>6169</v>
      </c>
      <c r="C1566">
        <v>34.762300000000003</v>
      </c>
      <c r="D1566">
        <v>-89.503100000000003</v>
      </c>
      <c r="E1566" t="s">
        <v>8553</v>
      </c>
    </row>
    <row r="1567" spans="1:5" hidden="1" x14ac:dyDescent="0.25">
      <c r="A1567" t="s">
        <v>6295</v>
      </c>
      <c r="B1567" t="s">
        <v>6169</v>
      </c>
      <c r="C1567">
        <v>33.892299999999999</v>
      </c>
      <c r="D1567">
        <v>-88.480500000000006</v>
      </c>
      <c r="E1567" t="s">
        <v>8554</v>
      </c>
    </row>
    <row r="1568" spans="1:5" hidden="1" x14ac:dyDescent="0.25">
      <c r="A1568" t="s">
        <v>6297</v>
      </c>
      <c r="B1568" t="s">
        <v>6169</v>
      </c>
      <c r="C1568">
        <v>33.494100000000003</v>
      </c>
      <c r="D1568">
        <v>-89.616399999999999</v>
      </c>
      <c r="E1568" t="s">
        <v>8555</v>
      </c>
    </row>
    <row r="1569" spans="1:5" hidden="1" x14ac:dyDescent="0.25">
      <c r="A1569" t="s">
        <v>8556</v>
      </c>
      <c r="B1569" t="s">
        <v>6169</v>
      </c>
      <c r="C1569">
        <v>32.753500000000003</v>
      </c>
      <c r="D1569">
        <v>-89.117599999999996</v>
      </c>
      <c r="E1569" t="s">
        <v>8557</v>
      </c>
    </row>
    <row r="1570" spans="1:5" hidden="1" x14ac:dyDescent="0.25">
      <c r="A1570" t="s">
        <v>3078</v>
      </c>
      <c r="B1570" t="s">
        <v>6169</v>
      </c>
      <c r="C1570">
        <v>32.400199999999998</v>
      </c>
      <c r="D1570">
        <v>-89.118799999999993</v>
      </c>
      <c r="E1570" t="s">
        <v>8558</v>
      </c>
    </row>
    <row r="1571" spans="1:5" hidden="1" x14ac:dyDescent="0.25">
      <c r="A1571" t="s">
        <v>8559</v>
      </c>
      <c r="B1571" t="s">
        <v>6169</v>
      </c>
      <c r="C1571">
        <v>33.110199999999999</v>
      </c>
      <c r="D1571">
        <v>-88.569800000000001</v>
      </c>
      <c r="E1571" t="s">
        <v>8560</v>
      </c>
    </row>
    <row r="1572" spans="1:5" hidden="1" x14ac:dyDescent="0.25">
      <c r="A1572" t="s">
        <v>8561</v>
      </c>
      <c r="B1572" t="s">
        <v>6169</v>
      </c>
      <c r="C1572">
        <v>33.424999999999997</v>
      </c>
      <c r="D1572">
        <v>-88.879300000000001</v>
      </c>
      <c r="E1572" t="s">
        <v>8562</v>
      </c>
    </row>
    <row r="1573" spans="1:5" hidden="1" x14ac:dyDescent="0.25">
      <c r="A1573" t="s">
        <v>8563</v>
      </c>
      <c r="B1573" t="s">
        <v>6169</v>
      </c>
      <c r="C1573">
        <v>34.363900000000001</v>
      </c>
      <c r="D1573">
        <v>-89.950599999999994</v>
      </c>
      <c r="E1573" t="s">
        <v>8564</v>
      </c>
    </row>
    <row r="1574" spans="1:5" hidden="1" x14ac:dyDescent="0.25">
      <c r="A1574" t="s">
        <v>8565</v>
      </c>
      <c r="B1574" t="s">
        <v>6169</v>
      </c>
      <c r="C1574">
        <v>30.768799999999999</v>
      </c>
      <c r="D1574">
        <v>-89.589600000000004</v>
      </c>
      <c r="E1574" t="s">
        <v>8566</v>
      </c>
    </row>
    <row r="1575" spans="1:5" hidden="1" x14ac:dyDescent="0.25">
      <c r="A1575" t="s">
        <v>1641</v>
      </c>
      <c r="B1575" t="s">
        <v>6169</v>
      </c>
      <c r="C1575">
        <v>31.172000000000001</v>
      </c>
      <c r="D1575">
        <v>-88.992400000000004</v>
      </c>
      <c r="E1575" t="s">
        <v>8567</v>
      </c>
    </row>
    <row r="1576" spans="1:5" hidden="1" x14ac:dyDescent="0.25">
      <c r="A1576" t="s">
        <v>6303</v>
      </c>
      <c r="B1576" t="s">
        <v>6169</v>
      </c>
      <c r="C1576">
        <v>31.174900000000001</v>
      </c>
      <c r="D1576">
        <v>-90.404200000000003</v>
      </c>
      <c r="E1576" t="s">
        <v>8568</v>
      </c>
    </row>
    <row r="1577" spans="1:5" hidden="1" x14ac:dyDescent="0.25">
      <c r="A1577" t="s">
        <v>8569</v>
      </c>
      <c r="B1577" t="s">
        <v>6169</v>
      </c>
      <c r="C1577">
        <v>34.2254</v>
      </c>
      <c r="D1577">
        <v>-89.037400000000005</v>
      </c>
      <c r="E1577" t="s">
        <v>8570</v>
      </c>
    </row>
    <row r="1578" spans="1:5" hidden="1" x14ac:dyDescent="0.25">
      <c r="A1578" t="s">
        <v>8571</v>
      </c>
      <c r="B1578" t="s">
        <v>6169</v>
      </c>
      <c r="C1578">
        <v>34.618299999999998</v>
      </c>
      <c r="D1578">
        <v>-88.520099999999999</v>
      </c>
      <c r="E1578" t="s">
        <v>8572</v>
      </c>
    </row>
    <row r="1579" spans="1:5" hidden="1" x14ac:dyDescent="0.25">
      <c r="A1579" t="s">
        <v>7007</v>
      </c>
      <c r="B1579" t="s">
        <v>6169</v>
      </c>
      <c r="C1579">
        <v>34.251399999999997</v>
      </c>
      <c r="D1579">
        <v>-90.289100000000005</v>
      </c>
      <c r="E1579" t="s">
        <v>8573</v>
      </c>
    </row>
    <row r="1580" spans="1:5" hidden="1" x14ac:dyDescent="0.25">
      <c r="A1580" t="s">
        <v>8574</v>
      </c>
      <c r="B1580" t="s">
        <v>6169</v>
      </c>
      <c r="C1580">
        <v>32.264099999999999</v>
      </c>
      <c r="D1580">
        <v>-89.945800000000006</v>
      </c>
      <c r="E1580" t="s">
        <v>8575</v>
      </c>
    </row>
    <row r="1581" spans="1:5" hidden="1" x14ac:dyDescent="0.25">
      <c r="A1581" t="s">
        <v>5291</v>
      </c>
      <c r="B1581" t="s">
        <v>6169</v>
      </c>
      <c r="C1581">
        <v>32.406399999999998</v>
      </c>
      <c r="D1581">
        <v>-89.537599999999998</v>
      </c>
      <c r="E1581" t="s">
        <v>8576</v>
      </c>
    </row>
    <row r="1582" spans="1:5" hidden="1" x14ac:dyDescent="0.25">
      <c r="A1582" t="s">
        <v>8577</v>
      </c>
      <c r="B1582" t="s">
        <v>6169</v>
      </c>
      <c r="C1582">
        <v>32.879800000000003</v>
      </c>
      <c r="D1582">
        <v>-90.813199999999995</v>
      </c>
      <c r="E1582" t="s">
        <v>8578</v>
      </c>
    </row>
    <row r="1583" spans="1:5" hidden="1" x14ac:dyDescent="0.25">
      <c r="A1583" t="s">
        <v>1790</v>
      </c>
      <c r="B1583" t="s">
        <v>6169</v>
      </c>
      <c r="C1583">
        <v>31.9132</v>
      </c>
      <c r="D1583">
        <v>-89.919499999999999</v>
      </c>
      <c r="E1583" t="s">
        <v>8579</v>
      </c>
    </row>
    <row r="1584" spans="1:5" hidden="1" x14ac:dyDescent="0.25">
      <c r="A1584" t="s">
        <v>275</v>
      </c>
      <c r="B1584" t="s">
        <v>6169</v>
      </c>
      <c r="C1584">
        <v>32.017699999999998</v>
      </c>
      <c r="D1584">
        <v>-89.506699999999995</v>
      </c>
      <c r="E1584" t="s">
        <v>8580</v>
      </c>
    </row>
    <row r="1585" spans="1:5" hidden="1" x14ac:dyDescent="0.25">
      <c r="A1585" t="s">
        <v>1332</v>
      </c>
      <c r="B1585" t="s">
        <v>6169</v>
      </c>
      <c r="C1585">
        <v>30.79</v>
      </c>
      <c r="D1585">
        <v>-89.117699999999999</v>
      </c>
      <c r="E1585" t="s">
        <v>8581</v>
      </c>
    </row>
    <row r="1586" spans="1:5" hidden="1" x14ac:dyDescent="0.25">
      <c r="A1586" t="s">
        <v>8582</v>
      </c>
      <c r="B1586" t="s">
        <v>6169</v>
      </c>
      <c r="C1586">
        <v>33.6023</v>
      </c>
      <c r="D1586">
        <v>-90.5886</v>
      </c>
      <c r="E1586" t="s">
        <v>8583</v>
      </c>
    </row>
    <row r="1587" spans="1:5" hidden="1" x14ac:dyDescent="0.25">
      <c r="A1587" t="s">
        <v>8584</v>
      </c>
      <c r="B1587" t="s">
        <v>6169</v>
      </c>
      <c r="C1587">
        <v>33.950499999999998</v>
      </c>
      <c r="D1587">
        <v>-90.173299999999998</v>
      </c>
      <c r="E1587" t="s">
        <v>8585</v>
      </c>
    </row>
    <row r="1588" spans="1:5" hidden="1" x14ac:dyDescent="0.25">
      <c r="A1588" t="s">
        <v>8586</v>
      </c>
      <c r="B1588" t="s">
        <v>6169</v>
      </c>
      <c r="C1588">
        <v>34.650300000000001</v>
      </c>
      <c r="D1588">
        <v>-89.944800000000001</v>
      </c>
      <c r="E1588" t="s">
        <v>8587</v>
      </c>
    </row>
    <row r="1589" spans="1:5" hidden="1" x14ac:dyDescent="0.25">
      <c r="A1589" t="s">
        <v>8588</v>
      </c>
      <c r="B1589" t="s">
        <v>6169</v>
      </c>
      <c r="C1589">
        <v>34.7684</v>
      </c>
      <c r="D1589">
        <v>-88.908900000000003</v>
      </c>
      <c r="E1589" t="s">
        <v>8589</v>
      </c>
    </row>
    <row r="1590" spans="1:5" hidden="1" x14ac:dyDescent="0.25">
      <c r="A1590" t="s">
        <v>8590</v>
      </c>
      <c r="B1590" t="s">
        <v>6169</v>
      </c>
      <c r="C1590">
        <v>34.740400000000001</v>
      </c>
      <c r="D1590">
        <v>-88.2393</v>
      </c>
      <c r="E1590" t="s">
        <v>8591</v>
      </c>
    </row>
    <row r="1591" spans="1:5" hidden="1" x14ac:dyDescent="0.25">
      <c r="A1591" t="s">
        <v>8592</v>
      </c>
      <c r="B1591" t="s">
        <v>6169</v>
      </c>
      <c r="C1591">
        <v>34.650700000000001</v>
      </c>
      <c r="D1591">
        <v>-90.375</v>
      </c>
      <c r="E1591" t="s">
        <v>8593</v>
      </c>
    </row>
    <row r="1592" spans="1:5" hidden="1" x14ac:dyDescent="0.25">
      <c r="A1592" t="s">
        <v>5878</v>
      </c>
      <c r="B1592" t="s">
        <v>6169</v>
      </c>
      <c r="C1592">
        <v>34.490499999999997</v>
      </c>
      <c r="D1592">
        <v>-89.003799999999998</v>
      </c>
      <c r="E1592" t="s">
        <v>8594</v>
      </c>
    </row>
    <row r="1593" spans="1:5" hidden="1" x14ac:dyDescent="0.25">
      <c r="A1593" t="s">
        <v>8595</v>
      </c>
      <c r="B1593" t="s">
        <v>6169</v>
      </c>
      <c r="C1593">
        <v>31.148399999999999</v>
      </c>
      <c r="D1593">
        <v>-90.106099999999998</v>
      </c>
      <c r="E1593" t="s">
        <v>8596</v>
      </c>
    </row>
    <row r="1594" spans="1:5" hidden="1" x14ac:dyDescent="0.25">
      <c r="A1594" t="s">
        <v>448</v>
      </c>
      <c r="B1594" t="s">
        <v>6169</v>
      </c>
      <c r="C1594">
        <v>32.357300000000002</v>
      </c>
      <c r="D1594">
        <v>-90.852000000000004</v>
      </c>
      <c r="E1594" t="s">
        <v>8597</v>
      </c>
    </row>
    <row r="1595" spans="1:5" hidden="1" x14ac:dyDescent="0.25">
      <c r="A1595" t="s">
        <v>3052</v>
      </c>
      <c r="B1595" t="s">
        <v>6169</v>
      </c>
      <c r="C1595">
        <v>33.283900000000003</v>
      </c>
      <c r="D1595">
        <v>-90.947400000000002</v>
      </c>
      <c r="E1595" t="s">
        <v>8598</v>
      </c>
    </row>
    <row r="1596" spans="1:5" hidden="1" x14ac:dyDescent="0.25">
      <c r="A1596" t="s">
        <v>7057</v>
      </c>
      <c r="B1596" t="s">
        <v>6169</v>
      </c>
      <c r="C1596">
        <v>31.640799999999999</v>
      </c>
      <c r="D1596">
        <v>-88.695800000000006</v>
      </c>
      <c r="E1596" t="s">
        <v>8599</v>
      </c>
    </row>
    <row r="1597" spans="1:5" hidden="1" x14ac:dyDescent="0.25">
      <c r="A1597" t="s">
        <v>7059</v>
      </c>
      <c r="B1597" t="s">
        <v>6169</v>
      </c>
      <c r="C1597">
        <v>33.613100000000003</v>
      </c>
      <c r="D1597">
        <v>-89.284800000000004</v>
      </c>
      <c r="E1597" t="s">
        <v>8600</v>
      </c>
    </row>
    <row r="1598" spans="1:5" hidden="1" x14ac:dyDescent="0.25">
      <c r="A1598" t="s">
        <v>2754</v>
      </c>
      <c r="B1598" t="s">
        <v>6169</v>
      </c>
      <c r="C1598">
        <v>31.161100000000001</v>
      </c>
      <c r="D1598">
        <v>-91.310900000000004</v>
      </c>
      <c r="E1598" t="s">
        <v>8601</v>
      </c>
    </row>
    <row r="1599" spans="1:5" hidden="1" x14ac:dyDescent="0.25">
      <c r="A1599" t="s">
        <v>6325</v>
      </c>
      <c r="B1599" t="s">
        <v>6169</v>
      </c>
      <c r="C1599">
        <v>33.088500000000003</v>
      </c>
      <c r="D1599">
        <v>-89.034400000000005</v>
      </c>
      <c r="E1599" t="s">
        <v>8602</v>
      </c>
    </row>
    <row r="1600" spans="1:5" hidden="1" x14ac:dyDescent="0.25">
      <c r="A1600" t="s">
        <v>8603</v>
      </c>
      <c r="B1600" t="s">
        <v>6169</v>
      </c>
      <c r="C1600">
        <v>34.028199999999998</v>
      </c>
      <c r="D1600">
        <v>-89.707700000000003</v>
      </c>
      <c r="E1600" t="s">
        <v>8604</v>
      </c>
    </row>
    <row r="1601" spans="1:5" hidden="1" x14ac:dyDescent="0.25">
      <c r="A1601" t="s">
        <v>8605</v>
      </c>
      <c r="B1601" t="s">
        <v>6169</v>
      </c>
      <c r="C1601">
        <v>32.780299999999997</v>
      </c>
      <c r="D1601">
        <v>-90.3964</v>
      </c>
      <c r="E1601" t="s">
        <v>8606</v>
      </c>
    </row>
    <row r="1602" spans="1:5" hidden="1" x14ac:dyDescent="0.25">
      <c r="A1602" t="s">
        <v>8607</v>
      </c>
      <c r="B1602" t="s">
        <v>6172</v>
      </c>
      <c r="C1602">
        <v>45.1327</v>
      </c>
      <c r="D1602">
        <v>-112.89879999999999</v>
      </c>
      <c r="E1602" t="s">
        <v>8608</v>
      </c>
    </row>
    <row r="1603" spans="1:5" hidden="1" x14ac:dyDescent="0.25">
      <c r="A1603" t="s">
        <v>8609</v>
      </c>
      <c r="B1603" t="s">
        <v>6172</v>
      </c>
      <c r="C1603">
        <v>45.423400000000001</v>
      </c>
      <c r="D1603">
        <v>-107.4898</v>
      </c>
      <c r="E1603" t="s">
        <v>8610</v>
      </c>
    </row>
    <row r="1604" spans="1:5" hidden="1" x14ac:dyDescent="0.25">
      <c r="A1604" t="s">
        <v>7232</v>
      </c>
      <c r="B1604" t="s">
        <v>6172</v>
      </c>
      <c r="C1604">
        <v>48.432699999999997</v>
      </c>
      <c r="D1604">
        <v>-108.9586</v>
      </c>
      <c r="E1604" t="s">
        <v>8611</v>
      </c>
    </row>
    <row r="1605" spans="1:5" hidden="1" x14ac:dyDescent="0.25">
      <c r="A1605" t="s">
        <v>8612</v>
      </c>
      <c r="B1605" t="s">
        <v>6172</v>
      </c>
      <c r="C1605">
        <v>46.3324</v>
      </c>
      <c r="D1605">
        <v>-111.49550000000001</v>
      </c>
      <c r="E1605" t="s">
        <v>8613</v>
      </c>
    </row>
    <row r="1606" spans="1:5" hidden="1" x14ac:dyDescent="0.25">
      <c r="A1606" t="s">
        <v>8614</v>
      </c>
      <c r="B1606" t="s">
        <v>6172</v>
      </c>
      <c r="C1606">
        <v>45.227400000000003</v>
      </c>
      <c r="D1606">
        <v>-109.02809999999999</v>
      </c>
      <c r="E1606" t="s">
        <v>8615</v>
      </c>
    </row>
    <row r="1607" spans="1:5" hidden="1" x14ac:dyDescent="0.25">
      <c r="A1607" t="s">
        <v>427</v>
      </c>
      <c r="B1607" t="s">
        <v>6172</v>
      </c>
      <c r="C1607">
        <v>45.516800000000003</v>
      </c>
      <c r="D1607">
        <v>-104.53619999999999</v>
      </c>
      <c r="E1607" t="s">
        <v>8616</v>
      </c>
    </row>
    <row r="1608" spans="1:5" hidden="1" x14ac:dyDescent="0.25">
      <c r="A1608" t="s">
        <v>8617</v>
      </c>
      <c r="B1608" t="s">
        <v>6172</v>
      </c>
      <c r="C1608">
        <v>47.307899999999997</v>
      </c>
      <c r="D1608">
        <v>-111.34699999999999</v>
      </c>
      <c r="E1608" t="s">
        <v>8618</v>
      </c>
    </row>
    <row r="1609" spans="1:5" hidden="1" x14ac:dyDescent="0.25">
      <c r="A1609" t="s">
        <v>8619</v>
      </c>
      <c r="B1609" t="s">
        <v>6172</v>
      </c>
      <c r="C1609">
        <v>47.880600000000001</v>
      </c>
      <c r="D1609">
        <v>-110.4353</v>
      </c>
      <c r="E1609" t="s">
        <v>8620</v>
      </c>
    </row>
    <row r="1610" spans="1:5" hidden="1" x14ac:dyDescent="0.25">
      <c r="A1610" t="s">
        <v>6610</v>
      </c>
      <c r="B1610" t="s">
        <v>6172</v>
      </c>
      <c r="C1610">
        <v>46.252699999999997</v>
      </c>
      <c r="D1610">
        <v>-105.57170000000001</v>
      </c>
      <c r="E1610" t="s">
        <v>8621</v>
      </c>
    </row>
    <row r="1611" spans="1:5" hidden="1" x14ac:dyDescent="0.25">
      <c r="A1611" t="s">
        <v>8622</v>
      </c>
      <c r="B1611" t="s">
        <v>6172</v>
      </c>
      <c r="C1611">
        <v>48.783799999999999</v>
      </c>
      <c r="D1611">
        <v>-105.5485</v>
      </c>
      <c r="E1611" t="s">
        <v>8623</v>
      </c>
    </row>
    <row r="1612" spans="1:5" hidden="1" x14ac:dyDescent="0.25">
      <c r="A1612" t="s">
        <v>6898</v>
      </c>
      <c r="B1612" t="s">
        <v>6172</v>
      </c>
      <c r="C1612">
        <v>47.266399999999997</v>
      </c>
      <c r="D1612">
        <v>-104.8995</v>
      </c>
      <c r="E1612" t="s">
        <v>8624</v>
      </c>
    </row>
    <row r="1613" spans="1:5" hidden="1" x14ac:dyDescent="0.25">
      <c r="A1613" t="s">
        <v>8625</v>
      </c>
      <c r="B1613" t="s">
        <v>6172</v>
      </c>
      <c r="C1613">
        <v>46.0608</v>
      </c>
      <c r="D1613">
        <v>-113.06780000000001</v>
      </c>
      <c r="E1613" t="s">
        <v>8626</v>
      </c>
    </row>
    <row r="1614" spans="1:5" hidden="1" x14ac:dyDescent="0.25">
      <c r="A1614" t="s">
        <v>8627</v>
      </c>
      <c r="B1614" t="s">
        <v>6172</v>
      </c>
      <c r="C1614">
        <v>46.334000000000003</v>
      </c>
      <c r="D1614">
        <v>-104.4174</v>
      </c>
      <c r="E1614" t="s">
        <v>8628</v>
      </c>
    </row>
    <row r="1615" spans="1:5" hidden="1" x14ac:dyDescent="0.25">
      <c r="A1615" t="s">
        <v>8629</v>
      </c>
      <c r="B1615" t="s">
        <v>6172</v>
      </c>
      <c r="C1615">
        <v>47.263599999999997</v>
      </c>
      <c r="D1615">
        <v>-109.22450000000001</v>
      </c>
      <c r="E1615" t="s">
        <v>8630</v>
      </c>
    </row>
    <row r="1616" spans="1:5" hidden="1" x14ac:dyDescent="0.25">
      <c r="A1616" t="s">
        <v>8631</v>
      </c>
      <c r="B1616" t="s">
        <v>6172</v>
      </c>
      <c r="C1616">
        <v>48.295099999999998</v>
      </c>
      <c r="D1616">
        <v>-114.0497</v>
      </c>
      <c r="E1616" t="s">
        <v>8632</v>
      </c>
    </row>
    <row r="1617" spans="1:5" hidden="1" x14ac:dyDescent="0.25">
      <c r="A1617" t="s">
        <v>7332</v>
      </c>
      <c r="B1617" t="s">
        <v>6172</v>
      </c>
      <c r="C1617">
        <v>45.540399999999998</v>
      </c>
      <c r="D1617">
        <v>-111.1704</v>
      </c>
      <c r="E1617" t="s">
        <v>8633</v>
      </c>
    </row>
    <row r="1618" spans="1:5" hidden="1" x14ac:dyDescent="0.25">
      <c r="A1618" t="s">
        <v>6626</v>
      </c>
      <c r="B1618" t="s">
        <v>6172</v>
      </c>
      <c r="C1618">
        <v>47.2776</v>
      </c>
      <c r="D1618">
        <v>-106.99290000000001</v>
      </c>
      <c r="E1618" t="s">
        <v>8634</v>
      </c>
    </row>
    <row r="1619" spans="1:5" hidden="1" x14ac:dyDescent="0.25">
      <c r="A1619" t="s">
        <v>8635</v>
      </c>
      <c r="B1619" t="s">
        <v>6172</v>
      </c>
      <c r="C1619">
        <v>48.705100000000002</v>
      </c>
      <c r="D1619">
        <v>-112.99469999999999</v>
      </c>
      <c r="E1619" t="s">
        <v>8636</v>
      </c>
    </row>
    <row r="1620" spans="1:5" hidden="1" x14ac:dyDescent="0.25">
      <c r="A1620" t="s">
        <v>8637</v>
      </c>
      <c r="B1620" t="s">
        <v>6172</v>
      </c>
      <c r="C1620">
        <v>46.3812</v>
      </c>
      <c r="D1620">
        <v>-109.1752</v>
      </c>
      <c r="E1620" t="s">
        <v>8638</v>
      </c>
    </row>
    <row r="1621" spans="1:5" hidden="1" x14ac:dyDescent="0.25">
      <c r="A1621" t="s">
        <v>8639</v>
      </c>
      <c r="B1621" t="s">
        <v>6172</v>
      </c>
      <c r="C1621">
        <v>46.404499999999999</v>
      </c>
      <c r="D1621">
        <v>-113.4404</v>
      </c>
      <c r="E1621" t="s">
        <v>8640</v>
      </c>
    </row>
    <row r="1622" spans="1:5" hidden="1" x14ac:dyDescent="0.25">
      <c r="A1622" t="s">
        <v>913</v>
      </c>
      <c r="B1622" t="s">
        <v>6172</v>
      </c>
      <c r="C1622">
        <v>48.6282</v>
      </c>
      <c r="D1622">
        <v>-110.1112</v>
      </c>
      <c r="E1622" t="s">
        <v>8641</v>
      </c>
    </row>
    <row r="1623" spans="1:5" hidden="1" x14ac:dyDescent="0.25">
      <c r="A1623" t="s">
        <v>6272</v>
      </c>
      <c r="B1623" t="s">
        <v>6172</v>
      </c>
      <c r="C1623">
        <v>46.148499999999999</v>
      </c>
      <c r="D1623">
        <v>-112.0938</v>
      </c>
      <c r="E1623" t="s">
        <v>8642</v>
      </c>
    </row>
    <row r="1624" spans="1:5" hidden="1" x14ac:dyDescent="0.25">
      <c r="A1624" t="s">
        <v>8643</v>
      </c>
      <c r="B1624" t="s">
        <v>6172</v>
      </c>
      <c r="C1624">
        <v>47.045400000000001</v>
      </c>
      <c r="D1624">
        <v>-110.26600000000001</v>
      </c>
      <c r="E1624" t="s">
        <v>8644</v>
      </c>
    </row>
    <row r="1625" spans="1:5" hidden="1" x14ac:dyDescent="0.25">
      <c r="A1625" t="s">
        <v>3705</v>
      </c>
      <c r="B1625" t="s">
        <v>6172</v>
      </c>
      <c r="C1625">
        <v>47.645899999999997</v>
      </c>
      <c r="D1625">
        <v>-114.0894</v>
      </c>
      <c r="E1625" t="s">
        <v>8645</v>
      </c>
    </row>
    <row r="1626" spans="1:5" hidden="1" x14ac:dyDescent="0.25">
      <c r="A1626" t="s">
        <v>8646</v>
      </c>
      <c r="B1626" t="s">
        <v>6172</v>
      </c>
      <c r="C1626">
        <v>47.122399999999999</v>
      </c>
      <c r="D1626">
        <v>-112.3905</v>
      </c>
      <c r="E1626" t="s">
        <v>8647</v>
      </c>
    </row>
    <row r="1627" spans="1:5" hidden="1" x14ac:dyDescent="0.25">
      <c r="A1627" t="s">
        <v>5522</v>
      </c>
      <c r="B1627" t="s">
        <v>6172</v>
      </c>
      <c r="C1627">
        <v>48.561700000000002</v>
      </c>
      <c r="D1627">
        <v>-111.02460000000001</v>
      </c>
      <c r="E1627" t="s">
        <v>8648</v>
      </c>
    </row>
    <row r="1628" spans="1:5" hidden="1" x14ac:dyDescent="0.25">
      <c r="A1628" t="s">
        <v>6386</v>
      </c>
      <c r="B1628" t="s">
        <v>6172</v>
      </c>
      <c r="C1628">
        <v>48.542499999999997</v>
      </c>
      <c r="D1628">
        <v>-115.4051</v>
      </c>
      <c r="E1628" t="s">
        <v>8649</v>
      </c>
    </row>
    <row r="1629" spans="1:5" hidden="1" x14ac:dyDescent="0.25">
      <c r="A1629" t="s">
        <v>6286</v>
      </c>
      <c r="B1629" t="s">
        <v>6172</v>
      </c>
      <c r="C1629">
        <v>45.300699999999999</v>
      </c>
      <c r="D1629">
        <v>-111.9203</v>
      </c>
      <c r="E1629" t="s">
        <v>8650</v>
      </c>
    </row>
    <row r="1630" spans="1:5" hidden="1" x14ac:dyDescent="0.25">
      <c r="A1630" t="s">
        <v>8651</v>
      </c>
      <c r="B1630" t="s">
        <v>6172</v>
      </c>
      <c r="C1630">
        <v>47.645200000000003</v>
      </c>
      <c r="D1630">
        <v>-105.7954</v>
      </c>
      <c r="E1630" t="s">
        <v>8652</v>
      </c>
    </row>
    <row r="1631" spans="1:5" hidden="1" x14ac:dyDescent="0.25">
      <c r="A1631" t="s">
        <v>8653</v>
      </c>
      <c r="B1631" t="s">
        <v>6172</v>
      </c>
      <c r="C1631">
        <v>46.598199999999999</v>
      </c>
      <c r="D1631">
        <v>-110.8857</v>
      </c>
      <c r="E1631" t="s">
        <v>8654</v>
      </c>
    </row>
    <row r="1632" spans="1:5" hidden="1" x14ac:dyDescent="0.25">
      <c r="A1632" t="s">
        <v>6655</v>
      </c>
      <c r="B1632" t="s">
        <v>6172</v>
      </c>
      <c r="C1632">
        <v>47.147199999999998</v>
      </c>
      <c r="D1632">
        <v>-114.9983</v>
      </c>
      <c r="E1632" t="s">
        <v>8655</v>
      </c>
    </row>
    <row r="1633" spans="1:5" hidden="1" x14ac:dyDescent="0.25">
      <c r="A1633" t="s">
        <v>8656</v>
      </c>
      <c r="B1633" t="s">
        <v>6172</v>
      </c>
      <c r="C1633">
        <v>47.036499999999997</v>
      </c>
      <c r="D1633">
        <v>-113.9237</v>
      </c>
      <c r="E1633" t="s">
        <v>8657</v>
      </c>
    </row>
    <row r="1634" spans="1:5" hidden="1" x14ac:dyDescent="0.25">
      <c r="A1634" t="s">
        <v>8658</v>
      </c>
      <c r="B1634" t="s">
        <v>6172</v>
      </c>
      <c r="C1634">
        <v>46.496600000000001</v>
      </c>
      <c r="D1634">
        <v>-108.3981</v>
      </c>
      <c r="E1634" t="s">
        <v>8659</v>
      </c>
    </row>
    <row r="1635" spans="1:5" hidden="1" x14ac:dyDescent="0.25">
      <c r="A1635" t="s">
        <v>6668</v>
      </c>
      <c r="B1635" t="s">
        <v>6172</v>
      </c>
      <c r="C1635">
        <v>45.488399999999999</v>
      </c>
      <c r="D1635">
        <v>-110.52670000000001</v>
      </c>
      <c r="E1635" t="s">
        <v>8660</v>
      </c>
    </row>
    <row r="1636" spans="1:5" hidden="1" x14ac:dyDescent="0.25">
      <c r="A1636" t="s">
        <v>8661</v>
      </c>
      <c r="B1636" t="s">
        <v>6172</v>
      </c>
      <c r="C1636">
        <v>47.1175</v>
      </c>
      <c r="D1636">
        <v>-108.25020000000001</v>
      </c>
      <c r="E1636" t="s">
        <v>8662</v>
      </c>
    </row>
    <row r="1637" spans="1:5" hidden="1" x14ac:dyDescent="0.25">
      <c r="A1637" t="s">
        <v>4249</v>
      </c>
      <c r="B1637" t="s">
        <v>6172</v>
      </c>
      <c r="C1637">
        <v>48.2592</v>
      </c>
      <c r="D1637">
        <v>-107.91330000000001</v>
      </c>
      <c r="E1637" t="s">
        <v>8663</v>
      </c>
    </row>
    <row r="1638" spans="1:5" hidden="1" x14ac:dyDescent="0.25">
      <c r="A1638" t="s">
        <v>8664</v>
      </c>
      <c r="B1638" t="s">
        <v>6172</v>
      </c>
      <c r="C1638">
        <v>48.227800000000002</v>
      </c>
      <c r="D1638">
        <v>-112.22629999999999</v>
      </c>
      <c r="E1638" t="s">
        <v>8665</v>
      </c>
    </row>
    <row r="1639" spans="1:5" hidden="1" x14ac:dyDescent="0.25">
      <c r="A1639" t="s">
        <v>8666</v>
      </c>
      <c r="B1639" t="s">
        <v>6172</v>
      </c>
      <c r="C1639">
        <v>45.395000000000003</v>
      </c>
      <c r="D1639">
        <v>-105.6302</v>
      </c>
      <c r="E1639" t="s">
        <v>8667</v>
      </c>
    </row>
    <row r="1640" spans="1:5" hidden="1" x14ac:dyDescent="0.25">
      <c r="A1640" t="s">
        <v>5934</v>
      </c>
      <c r="B1640" t="s">
        <v>6172</v>
      </c>
      <c r="C1640">
        <v>46.856400000000001</v>
      </c>
      <c r="D1640">
        <v>-112.9361</v>
      </c>
      <c r="E1640" t="s">
        <v>8668</v>
      </c>
    </row>
    <row r="1641" spans="1:5" hidden="1" x14ac:dyDescent="0.25">
      <c r="A1641" t="s">
        <v>6414</v>
      </c>
      <c r="B1641" t="s">
        <v>6172</v>
      </c>
      <c r="C1641">
        <v>46.860500000000002</v>
      </c>
      <c r="D1641">
        <v>-105.378</v>
      </c>
      <c r="E1641" t="s">
        <v>8669</v>
      </c>
    </row>
    <row r="1642" spans="1:5" hidden="1" x14ac:dyDescent="0.25">
      <c r="A1642" t="s">
        <v>8670</v>
      </c>
      <c r="B1642" t="s">
        <v>6172</v>
      </c>
      <c r="C1642">
        <v>46.081699999999998</v>
      </c>
      <c r="D1642">
        <v>-114.1207</v>
      </c>
      <c r="E1642" t="s">
        <v>8671</v>
      </c>
    </row>
    <row r="1643" spans="1:5" hidden="1" x14ac:dyDescent="0.25">
      <c r="A1643" t="s">
        <v>7401</v>
      </c>
      <c r="B1643" t="s">
        <v>6172</v>
      </c>
      <c r="C1643">
        <v>47.7879</v>
      </c>
      <c r="D1643">
        <v>-104.56140000000001</v>
      </c>
      <c r="E1643" t="s">
        <v>8672</v>
      </c>
    </row>
    <row r="1644" spans="1:5" hidden="1" x14ac:dyDescent="0.25">
      <c r="A1644" t="s">
        <v>8673</v>
      </c>
      <c r="B1644" t="s">
        <v>6172</v>
      </c>
      <c r="C1644">
        <v>48.294499999999999</v>
      </c>
      <c r="D1644">
        <v>-105.0164</v>
      </c>
      <c r="E1644" t="s">
        <v>8674</v>
      </c>
    </row>
    <row r="1645" spans="1:5" hidden="1" x14ac:dyDescent="0.25">
      <c r="A1645" t="s">
        <v>8675</v>
      </c>
      <c r="B1645" t="s">
        <v>6172</v>
      </c>
      <c r="C1645">
        <v>46.229700000000001</v>
      </c>
      <c r="D1645">
        <v>-106.7307</v>
      </c>
      <c r="E1645" t="s">
        <v>8676</v>
      </c>
    </row>
    <row r="1646" spans="1:5" hidden="1" x14ac:dyDescent="0.25">
      <c r="A1646" t="s">
        <v>3650</v>
      </c>
      <c r="B1646" t="s">
        <v>6172</v>
      </c>
      <c r="C1646">
        <v>47.674799999999998</v>
      </c>
      <c r="D1646">
        <v>-115.13330000000001</v>
      </c>
      <c r="E1646" t="s">
        <v>8677</v>
      </c>
    </row>
    <row r="1647" spans="1:5" hidden="1" x14ac:dyDescent="0.25">
      <c r="A1647" t="s">
        <v>7692</v>
      </c>
      <c r="B1647" t="s">
        <v>6172</v>
      </c>
      <c r="C1647">
        <v>48.721200000000003</v>
      </c>
      <c r="D1647">
        <v>-104.5047</v>
      </c>
      <c r="E1647" t="s">
        <v>8678</v>
      </c>
    </row>
    <row r="1648" spans="1:5" hidden="1" x14ac:dyDescent="0.25">
      <c r="A1648" t="s">
        <v>8679</v>
      </c>
      <c r="B1648" t="s">
        <v>6172</v>
      </c>
      <c r="C1648">
        <v>45.9024</v>
      </c>
      <c r="D1648">
        <v>-112.6567</v>
      </c>
      <c r="E1648" t="s">
        <v>8680</v>
      </c>
    </row>
    <row r="1649" spans="1:5" hidden="1" x14ac:dyDescent="0.25">
      <c r="A1649" t="s">
        <v>8681</v>
      </c>
      <c r="B1649" t="s">
        <v>6172</v>
      </c>
      <c r="C1649">
        <v>45.668999999999997</v>
      </c>
      <c r="D1649">
        <v>-109.3952</v>
      </c>
      <c r="E1649" t="s">
        <v>8682</v>
      </c>
    </row>
    <row r="1650" spans="1:5" hidden="1" x14ac:dyDescent="0.25">
      <c r="A1650" t="s">
        <v>8683</v>
      </c>
      <c r="B1650" t="s">
        <v>6172</v>
      </c>
      <c r="C1650">
        <v>45.813800000000001</v>
      </c>
      <c r="D1650">
        <v>-109.941</v>
      </c>
      <c r="E1650" t="s">
        <v>8684</v>
      </c>
    </row>
    <row r="1651" spans="1:5" hidden="1" x14ac:dyDescent="0.25">
      <c r="A1651" t="s">
        <v>7290</v>
      </c>
      <c r="B1651" t="s">
        <v>6172</v>
      </c>
      <c r="C1651">
        <v>47.8371</v>
      </c>
      <c r="D1651">
        <v>-112.24079999999999</v>
      </c>
      <c r="E1651" t="s">
        <v>8685</v>
      </c>
    </row>
    <row r="1652" spans="1:5" hidden="1" x14ac:dyDescent="0.25">
      <c r="A1652" t="s">
        <v>8686</v>
      </c>
      <c r="B1652" t="s">
        <v>6172</v>
      </c>
      <c r="C1652">
        <v>48.6554</v>
      </c>
      <c r="D1652">
        <v>-111.6956</v>
      </c>
      <c r="E1652" t="s">
        <v>8687</v>
      </c>
    </row>
    <row r="1653" spans="1:5" hidden="1" x14ac:dyDescent="0.25">
      <c r="A1653" t="s">
        <v>8688</v>
      </c>
      <c r="B1653" t="s">
        <v>6172</v>
      </c>
      <c r="C1653">
        <v>46.211500000000001</v>
      </c>
      <c r="D1653">
        <v>-107.27160000000001</v>
      </c>
      <c r="E1653" t="s">
        <v>8689</v>
      </c>
    </row>
    <row r="1654" spans="1:5" hidden="1" x14ac:dyDescent="0.25">
      <c r="A1654" t="s">
        <v>7294</v>
      </c>
      <c r="B1654" t="s">
        <v>6172</v>
      </c>
      <c r="C1654">
        <v>48.365299999999998</v>
      </c>
      <c r="D1654">
        <v>-106.6675</v>
      </c>
      <c r="E1654" t="s">
        <v>8690</v>
      </c>
    </row>
    <row r="1655" spans="1:5" hidden="1" x14ac:dyDescent="0.25">
      <c r="A1655" t="s">
        <v>8691</v>
      </c>
      <c r="B1655" t="s">
        <v>6172</v>
      </c>
      <c r="C1655">
        <v>46.466299999999997</v>
      </c>
      <c r="D1655">
        <v>-109.8446</v>
      </c>
      <c r="E1655" t="s">
        <v>8692</v>
      </c>
    </row>
    <row r="1656" spans="1:5" hidden="1" x14ac:dyDescent="0.25">
      <c r="A1656" t="s">
        <v>8693</v>
      </c>
      <c r="B1656" t="s">
        <v>6172</v>
      </c>
      <c r="C1656">
        <v>46.965299999999999</v>
      </c>
      <c r="D1656">
        <v>-104.249</v>
      </c>
      <c r="E1656" t="s">
        <v>8694</v>
      </c>
    </row>
    <row r="1657" spans="1:5" hidden="1" x14ac:dyDescent="0.25">
      <c r="A1657" t="s">
        <v>8695</v>
      </c>
      <c r="B1657" t="s">
        <v>6172</v>
      </c>
      <c r="C1657">
        <v>45.9373</v>
      </c>
      <c r="D1657">
        <v>-108.2744</v>
      </c>
      <c r="E1657" t="s">
        <v>8696</v>
      </c>
    </row>
    <row r="1658" spans="1:5" hidden="1" x14ac:dyDescent="0.25">
      <c r="A1658" t="s">
        <v>8697</v>
      </c>
      <c r="B1658" t="s">
        <v>6175</v>
      </c>
      <c r="C1658">
        <v>36.043700000000001</v>
      </c>
      <c r="D1658">
        <v>-79.399500000000003</v>
      </c>
      <c r="E1658" t="s">
        <v>8698</v>
      </c>
    </row>
    <row r="1659" spans="1:5" hidden="1" x14ac:dyDescent="0.25">
      <c r="A1659" t="s">
        <v>82</v>
      </c>
      <c r="B1659" t="s">
        <v>6175</v>
      </c>
      <c r="C1659">
        <v>35.920999999999999</v>
      </c>
      <c r="D1659">
        <v>-81.177000000000007</v>
      </c>
      <c r="E1659" t="s">
        <v>8699</v>
      </c>
    </row>
    <row r="1660" spans="1:5" hidden="1" x14ac:dyDescent="0.25">
      <c r="A1660" t="s">
        <v>8700</v>
      </c>
      <c r="B1660" t="s">
        <v>6175</v>
      </c>
      <c r="C1660">
        <v>36.491599999999998</v>
      </c>
      <c r="D1660">
        <v>-81.126999999999995</v>
      </c>
      <c r="E1660" t="s">
        <v>8701</v>
      </c>
    </row>
    <row r="1661" spans="1:5" hidden="1" x14ac:dyDescent="0.25">
      <c r="A1661" t="s">
        <v>1032</v>
      </c>
      <c r="B1661" t="s">
        <v>6175</v>
      </c>
      <c r="C1661">
        <v>34.973799999999997</v>
      </c>
      <c r="D1661">
        <v>-80.102699999999999</v>
      </c>
      <c r="E1661" t="s">
        <v>8702</v>
      </c>
    </row>
    <row r="1662" spans="1:5" hidden="1" x14ac:dyDescent="0.25">
      <c r="A1662" t="s">
        <v>4330</v>
      </c>
      <c r="B1662" t="s">
        <v>6175</v>
      </c>
      <c r="C1662">
        <v>36.434100000000001</v>
      </c>
      <c r="D1662">
        <v>-81.500299999999996</v>
      </c>
      <c r="E1662" t="s">
        <v>8703</v>
      </c>
    </row>
    <row r="1663" spans="1:5" hidden="1" x14ac:dyDescent="0.25">
      <c r="A1663" t="s">
        <v>8704</v>
      </c>
      <c r="B1663" t="s">
        <v>6175</v>
      </c>
      <c r="C1663">
        <v>36.076500000000003</v>
      </c>
      <c r="D1663">
        <v>-81.922600000000003</v>
      </c>
      <c r="E1663" t="s">
        <v>8705</v>
      </c>
    </row>
    <row r="1664" spans="1:5" hidden="1" x14ac:dyDescent="0.25">
      <c r="A1664" t="s">
        <v>1919</v>
      </c>
      <c r="B1664" t="s">
        <v>6175</v>
      </c>
      <c r="C1664">
        <v>35.494</v>
      </c>
      <c r="D1664">
        <v>-76.859800000000007</v>
      </c>
      <c r="E1664" t="s">
        <v>8706</v>
      </c>
    </row>
    <row r="1665" spans="1:5" hidden="1" x14ac:dyDescent="0.25">
      <c r="A1665" t="s">
        <v>8707</v>
      </c>
      <c r="B1665" t="s">
        <v>6175</v>
      </c>
      <c r="C1665">
        <v>36.066299999999998</v>
      </c>
      <c r="D1665">
        <v>-76.978800000000007</v>
      </c>
      <c r="E1665" t="s">
        <v>8708</v>
      </c>
    </row>
    <row r="1666" spans="1:5" hidden="1" x14ac:dyDescent="0.25">
      <c r="A1666" t="s">
        <v>8709</v>
      </c>
      <c r="B1666" t="s">
        <v>6175</v>
      </c>
      <c r="C1666">
        <v>34.614600000000003</v>
      </c>
      <c r="D1666">
        <v>-78.563699999999997</v>
      </c>
      <c r="E1666" t="s">
        <v>8710</v>
      </c>
    </row>
    <row r="1667" spans="1:5" hidden="1" x14ac:dyDescent="0.25">
      <c r="A1667" t="s">
        <v>214</v>
      </c>
      <c r="B1667" t="s">
        <v>6175</v>
      </c>
      <c r="C1667">
        <v>34.0715</v>
      </c>
      <c r="D1667">
        <v>-78.238299999999995</v>
      </c>
      <c r="E1667" t="s">
        <v>8711</v>
      </c>
    </row>
    <row r="1668" spans="1:5" hidden="1" x14ac:dyDescent="0.25">
      <c r="A1668" t="s">
        <v>8712</v>
      </c>
      <c r="B1668" t="s">
        <v>6175</v>
      </c>
      <c r="C1668">
        <v>35.611199999999997</v>
      </c>
      <c r="D1668">
        <v>-82.530100000000004</v>
      </c>
      <c r="E1668" t="s">
        <v>8713</v>
      </c>
    </row>
    <row r="1669" spans="1:5" hidden="1" x14ac:dyDescent="0.25">
      <c r="A1669" t="s">
        <v>6859</v>
      </c>
      <c r="B1669" t="s">
        <v>6175</v>
      </c>
      <c r="C1669">
        <v>35.749600000000001</v>
      </c>
      <c r="D1669">
        <v>-81.704800000000006</v>
      </c>
      <c r="E1669" t="s">
        <v>8714</v>
      </c>
    </row>
    <row r="1670" spans="1:5" hidden="1" x14ac:dyDescent="0.25">
      <c r="A1670" t="s">
        <v>8715</v>
      </c>
      <c r="B1670" t="s">
        <v>6175</v>
      </c>
      <c r="C1670">
        <v>35.386800000000001</v>
      </c>
      <c r="D1670">
        <v>-80.551900000000003</v>
      </c>
      <c r="E1670" t="s">
        <v>8716</v>
      </c>
    </row>
    <row r="1671" spans="1:5" hidden="1" x14ac:dyDescent="0.25">
      <c r="A1671" t="s">
        <v>3494</v>
      </c>
      <c r="B1671" t="s">
        <v>6175</v>
      </c>
      <c r="C1671">
        <v>35.953000000000003</v>
      </c>
      <c r="D1671">
        <v>-81.546400000000006</v>
      </c>
      <c r="E1671" t="s">
        <v>8717</v>
      </c>
    </row>
    <row r="1672" spans="1:5" hidden="1" x14ac:dyDescent="0.25">
      <c r="A1672" t="s">
        <v>4482</v>
      </c>
      <c r="B1672" t="s">
        <v>6175</v>
      </c>
      <c r="C1672">
        <v>36.389099999999999</v>
      </c>
      <c r="D1672">
        <v>-76.207899999999995</v>
      </c>
      <c r="E1672" t="s">
        <v>8718</v>
      </c>
    </row>
    <row r="1673" spans="1:5" hidden="1" x14ac:dyDescent="0.25">
      <c r="A1673" t="s">
        <v>8719</v>
      </c>
      <c r="B1673" t="s">
        <v>6175</v>
      </c>
      <c r="C1673">
        <v>34.835700000000003</v>
      </c>
      <c r="D1673">
        <v>-76.658900000000003</v>
      </c>
      <c r="E1673" t="s">
        <v>8720</v>
      </c>
    </row>
    <row r="1674" spans="1:5" hidden="1" x14ac:dyDescent="0.25">
      <c r="A1674" t="s">
        <v>4091</v>
      </c>
      <c r="B1674" t="s">
        <v>6175</v>
      </c>
      <c r="C1674">
        <v>36.3932</v>
      </c>
      <c r="D1674">
        <v>-79.333500000000001</v>
      </c>
      <c r="E1674" t="s">
        <v>8721</v>
      </c>
    </row>
    <row r="1675" spans="1:5" hidden="1" x14ac:dyDescent="0.25">
      <c r="A1675" t="s">
        <v>8722</v>
      </c>
      <c r="B1675" t="s">
        <v>6175</v>
      </c>
      <c r="C1675">
        <v>35.661999999999999</v>
      </c>
      <c r="D1675">
        <v>-81.215100000000007</v>
      </c>
      <c r="E1675" t="s">
        <v>8723</v>
      </c>
    </row>
    <row r="1676" spans="1:5" hidden="1" x14ac:dyDescent="0.25">
      <c r="A1676" t="s">
        <v>6872</v>
      </c>
      <c r="B1676" t="s">
        <v>6175</v>
      </c>
      <c r="C1676">
        <v>35.702599999999997</v>
      </c>
      <c r="D1676">
        <v>-79.255399999999995</v>
      </c>
      <c r="E1676" t="s">
        <v>8724</v>
      </c>
    </row>
    <row r="1677" spans="1:5" hidden="1" x14ac:dyDescent="0.25">
      <c r="A1677" t="s">
        <v>6210</v>
      </c>
      <c r="B1677" t="s">
        <v>6175</v>
      </c>
      <c r="C1677">
        <v>35.133899999999997</v>
      </c>
      <c r="D1677">
        <v>-84.063500000000005</v>
      </c>
      <c r="E1677" t="s">
        <v>8725</v>
      </c>
    </row>
    <row r="1678" spans="1:5" hidden="1" x14ac:dyDescent="0.25">
      <c r="A1678" t="s">
        <v>8726</v>
      </c>
      <c r="B1678" t="s">
        <v>6175</v>
      </c>
      <c r="C1678">
        <v>36.150799999999997</v>
      </c>
      <c r="D1678">
        <v>-76.607900000000001</v>
      </c>
      <c r="E1678" t="s">
        <v>8727</v>
      </c>
    </row>
    <row r="1679" spans="1:5" hidden="1" x14ac:dyDescent="0.25">
      <c r="A1679" t="s">
        <v>6221</v>
      </c>
      <c r="B1679" t="s">
        <v>6175</v>
      </c>
      <c r="C1679">
        <v>35.057200000000002</v>
      </c>
      <c r="D1679">
        <v>-83.750200000000007</v>
      </c>
      <c r="E1679" t="s">
        <v>8728</v>
      </c>
    </row>
    <row r="1680" spans="1:5" hidden="1" x14ac:dyDescent="0.25">
      <c r="A1680" t="s">
        <v>6347</v>
      </c>
      <c r="B1680" t="s">
        <v>6175</v>
      </c>
      <c r="C1680">
        <v>35.334099999999999</v>
      </c>
      <c r="D1680">
        <v>-81.555499999999995</v>
      </c>
      <c r="E1680" t="s">
        <v>8729</v>
      </c>
    </row>
    <row r="1681" spans="1:5" hidden="1" x14ac:dyDescent="0.25">
      <c r="A1681" t="s">
        <v>8730</v>
      </c>
      <c r="B1681" t="s">
        <v>6175</v>
      </c>
      <c r="C1681">
        <v>34.265700000000002</v>
      </c>
      <c r="D1681">
        <v>-78.655000000000001</v>
      </c>
      <c r="E1681" t="s">
        <v>8731</v>
      </c>
    </row>
    <row r="1682" spans="1:5" hidden="1" x14ac:dyDescent="0.25">
      <c r="A1682" t="s">
        <v>8732</v>
      </c>
      <c r="B1682" t="s">
        <v>6175</v>
      </c>
      <c r="C1682">
        <v>35.124899999999997</v>
      </c>
      <c r="D1682">
        <v>-77.093900000000005</v>
      </c>
      <c r="E1682" t="s">
        <v>8733</v>
      </c>
    </row>
    <row r="1683" spans="1:5" hidden="1" x14ac:dyDescent="0.25">
      <c r="A1683" t="s">
        <v>7316</v>
      </c>
      <c r="B1683" t="s">
        <v>6175</v>
      </c>
      <c r="C1683">
        <v>35.048699999999997</v>
      </c>
      <c r="D1683">
        <v>-78.827699999999993</v>
      </c>
      <c r="E1683" t="s">
        <v>8734</v>
      </c>
    </row>
    <row r="1684" spans="1:5" hidden="1" x14ac:dyDescent="0.25">
      <c r="A1684" t="s">
        <v>8735</v>
      </c>
      <c r="B1684" t="s">
        <v>6175</v>
      </c>
      <c r="C1684">
        <v>36.405000000000001</v>
      </c>
      <c r="D1684">
        <v>-76.007900000000006</v>
      </c>
      <c r="E1684" t="s">
        <v>8736</v>
      </c>
    </row>
    <row r="1685" spans="1:5" hidden="1" x14ac:dyDescent="0.25">
      <c r="A1685" t="s">
        <v>8737</v>
      </c>
      <c r="B1685" t="s">
        <v>6175</v>
      </c>
      <c r="C1685">
        <v>35.782400000000003</v>
      </c>
      <c r="D1685">
        <v>-75.7988</v>
      </c>
      <c r="E1685" t="s">
        <v>8738</v>
      </c>
    </row>
    <row r="1686" spans="1:5" hidden="1" x14ac:dyDescent="0.25">
      <c r="A1686" t="s">
        <v>8739</v>
      </c>
      <c r="B1686" t="s">
        <v>6175</v>
      </c>
      <c r="C1686">
        <v>35.793300000000002</v>
      </c>
      <c r="D1686">
        <v>-80.212699999999998</v>
      </c>
      <c r="E1686" t="s">
        <v>8740</v>
      </c>
    </row>
    <row r="1687" spans="1:5" hidden="1" x14ac:dyDescent="0.25">
      <c r="A1687" t="s">
        <v>8741</v>
      </c>
      <c r="B1687" t="s">
        <v>6175</v>
      </c>
      <c r="C1687">
        <v>35.929099999999998</v>
      </c>
      <c r="D1687">
        <v>-80.544499999999999</v>
      </c>
      <c r="E1687" t="s">
        <v>8742</v>
      </c>
    </row>
    <row r="1688" spans="1:5" hidden="1" x14ac:dyDescent="0.25">
      <c r="A1688" t="s">
        <v>8743</v>
      </c>
      <c r="B1688" t="s">
        <v>6175</v>
      </c>
      <c r="C1688">
        <v>34.936500000000002</v>
      </c>
      <c r="D1688">
        <v>-77.933000000000007</v>
      </c>
      <c r="E1688" t="s">
        <v>8744</v>
      </c>
    </row>
    <row r="1689" spans="1:5" hidden="1" x14ac:dyDescent="0.25">
      <c r="A1689" t="s">
        <v>8745</v>
      </c>
      <c r="B1689" t="s">
        <v>6175</v>
      </c>
      <c r="C1689">
        <v>36.036000000000001</v>
      </c>
      <c r="D1689">
        <v>-78.876599999999996</v>
      </c>
      <c r="E1689" t="s">
        <v>8746</v>
      </c>
    </row>
    <row r="1690" spans="1:5" hidden="1" x14ac:dyDescent="0.25">
      <c r="A1690" t="s">
        <v>8747</v>
      </c>
      <c r="B1690" t="s">
        <v>6175</v>
      </c>
      <c r="C1690">
        <v>35.9129</v>
      </c>
      <c r="D1690">
        <v>-77.597099999999998</v>
      </c>
      <c r="E1690" t="s">
        <v>8748</v>
      </c>
    </row>
    <row r="1691" spans="1:5" hidden="1" x14ac:dyDescent="0.25">
      <c r="A1691" t="s">
        <v>6923</v>
      </c>
      <c r="B1691" t="s">
        <v>6175</v>
      </c>
      <c r="C1691">
        <v>36.130600000000001</v>
      </c>
      <c r="D1691">
        <v>-80.256399999999999</v>
      </c>
      <c r="E1691" t="s">
        <v>8749</v>
      </c>
    </row>
    <row r="1692" spans="1:5" hidden="1" x14ac:dyDescent="0.25">
      <c r="A1692" t="s">
        <v>6260</v>
      </c>
      <c r="B1692" t="s">
        <v>6175</v>
      </c>
      <c r="C1692">
        <v>36.082700000000003</v>
      </c>
      <c r="D1692">
        <v>-78.285700000000006</v>
      </c>
      <c r="E1692" t="s">
        <v>8750</v>
      </c>
    </row>
    <row r="1693" spans="1:5" hidden="1" x14ac:dyDescent="0.25">
      <c r="A1693" t="s">
        <v>8751</v>
      </c>
      <c r="B1693" t="s">
        <v>6175</v>
      </c>
      <c r="C1693">
        <v>35.294400000000003</v>
      </c>
      <c r="D1693">
        <v>-81.180300000000003</v>
      </c>
      <c r="E1693" t="s">
        <v>8752</v>
      </c>
    </row>
    <row r="1694" spans="1:5" hidden="1" x14ac:dyDescent="0.25">
      <c r="A1694" t="s">
        <v>8753</v>
      </c>
      <c r="B1694" t="s">
        <v>6175</v>
      </c>
      <c r="C1694">
        <v>36.444899999999997</v>
      </c>
      <c r="D1694">
        <v>-76.700500000000005</v>
      </c>
      <c r="E1694" t="s">
        <v>8754</v>
      </c>
    </row>
    <row r="1695" spans="1:5" hidden="1" x14ac:dyDescent="0.25">
      <c r="A1695" t="s">
        <v>2404</v>
      </c>
      <c r="B1695" t="s">
        <v>6175</v>
      </c>
      <c r="C1695">
        <v>35.350200000000001</v>
      </c>
      <c r="D1695">
        <v>-83.833500000000001</v>
      </c>
      <c r="E1695" t="s">
        <v>8755</v>
      </c>
    </row>
    <row r="1696" spans="1:5" hidden="1" x14ac:dyDescent="0.25">
      <c r="A1696" t="s">
        <v>8756</v>
      </c>
      <c r="B1696" t="s">
        <v>6175</v>
      </c>
      <c r="C1696">
        <v>36.304000000000002</v>
      </c>
      <c r="D1696">
        <v>-78.652699999999996</v>
      </c>
      <c r="E1696" t="s">
        <v>8757</v>
      </c>
    </row>
    <row r="1697" spans="1:5" hidden="1" x14ac:dyDescent="0.25">
      <c r="A1697" t="s">
        <v>6264</v>
      </c>
      <c r="B1697" t="s">
        <v>6175</v>
      </c>
      <c r="C1697">
        <v>35.484999999999999</v>
      </c>
      <c r="D1697">
        <v>-77.675799999999995</v>
      </c>
      <c r="E1697" t="s">
        <v>8758</v>
      </c>
    </row>
    <row r="1698" spans="1:5" hidden="1" x14ac:dyDescent="0.25">
      <c r="A1698" t="s">
        <v>8759</v>
      </c>
      <c r="B1698" t="s">
        <v>6175</v>
      </c>
      <c r="C1698">
        <v>36.079500000000003</v>
      </c>
      <c r="D1698">
        <v>-79.788899999999998</v>
      </c>
      <c r="E1698" t="s">
        <v>8760</v>
      </c>
    </row>
    <row r="1699" spans="1:5" hidden="1" x14ac:dyDescent="0.25">
      <c r="A1699" t="s">
        <v>597</v>
      </c>
      <c r="B1699" t="s">
        <v>6175</v>
      </c>
      <c r="C1699">
        <v>36.257399999999997</v>
      </c>
      <c r="D1699">
        <v>-77.651700000000005</v>
      </c>
      <c r="E1699" t="s">
        <v>8761</v>
      </c>
    </row>
    <row r="1700" spans="1:5" hidden="1" x14ac:dyDescent="0.25">
      <c r="A1700" t="s">
        <v>8762</v>
      </c>
      <c r="B1700" t="s">
        <v>6175</v>
      </c>
      <c r="C1700">
        <v>35.368899999999996</v>
      </c>
      <c r="D1700">
        <v>-78.869299999999996</v>
      </c>
      <c r="E1700" t="s">
        <v>8763</v>
      </c>
    </row>
    <row r="1701" spans="1:5" hidden="1" x14ac:dyDescent="0.25">
      <c r="A1701" t="s">
        <v>8764</v>
      </c>
      <c r="B1701" t="s">
        <v>6175</v>
      </c>
      <c r="C1701">
        <v>35.555999999999997</v>
      </c>
      <c r="D1701">
        <v>-82.982200000000006</v>
      </c>
      <c r="E1701" t="s">
        <v>8765</v>
      </c>
    </row>
    <row r="1702" spans="1:5" hidden="1" x14ac:dyDescent="0.25">
      <c r="A1702" t="s">
        <v>7339</v>
      </c>
      <c r="B1702" t="s">
        <v>6175</v>
      </c>
      <c r="C1702">
        <v>35.336300000000001</v>
      </c>
      <c r="D1702">
        <v>-82.48</v>
      </c>
      <c r="E1702" t="s">
        <v>8766</v>
      </c>
    </row>
    <row r="1703" spans="1:5" hidden="1" x14ac:dyDescent="0.25">
      <c r="A1703" t="s">
        <v>8767</v>
      </c>
      <c r="B1703" t="s">
        <v>6175</v>
      </c>
      <c r="C1703">
        <v>36.359099999999998</v>
      </c>
      <c r="D1703">
        <v>-76.981999999999999</v>
      </c>
      <c r="E1703" t="s">
        <v>8768</v>
      </c>
    </row>
    <row r="1704" spans="1:5" hidden="1" x14ac:dyDescent="0.25">
      <c r="A1704" t="s">
        <v>8769</v>
      </c>
      <c r="B1704" t="s">
        <v>6175</v>
      </c>
      <c r="C1704">
        <v>35.017499999999998</v>
      </c>
      <c r="D1704">
        <v>-79.237300000000005</v>
      </c>
      <c r="E1704" t="s">
        <v>8770</v>
      </c>
    </row>
    <row r="1705" spans="1:5" hidden="1" x14ac:dyDescent="0.25">
      <c r="A1705" t="s">
        <v>8771</v>
      </c>
      <c r="B1705" t="s">
        <v>6175</v>
      </c>
      <c r="C1705">
        <v>35.5306</v>
      </c>
      <c r="D1705">
        <v>-76.2517</v>
      </c>
      <c r="E1705" t="s">
        <v>8772</v>
      </c>
    </row>
    <row r="1706" spans="1:5" hidden="1" x14ac:dyDescent="0.25">
      <c r="A1706" t="s">
        <v>8773</v>
      </c>
      <c r="B1706" t="s">
        <v>6175</v>
      </c>
      <c r="C1706">
        <v>35.807099999999998</v>
      </c>
      <c r="D1706">
        <v>-80.873400000000004</v>
      </c>
      <c r="E1706" t="s">
        <v>8774</v>
      </c>
    </row>
    <row r="1707" spans="1:5" hidden="1" x14ac:dyDescent="0.25">
      <c r="A1707" t="s">
        <v>191</v>
      </c>
      <c r="B1707" t="s">
        <v>6175</v>
      </c>
      <c r="C1707">
        <v>35.287599999999998</v>
      </c>
      <c r="D1707">
        <v>-83.140799999999999</v>
      </c>
      <c r="E1707" t="s">
        <v>8775</v>
      </c>
    </row>
    <row r="1708" spans="1:5" hidden="1" x14ac:dyDescent="0.25">
      <c r="A1708" t="s">
        <v>3276</v>
      </c>
      <c r="B1708" t="s">
        <v>6175</v>
      </c>
      <c r="C1708">
        <v>35.517800000000001</v>
      </c>
      <c r="D1708">
        <v>-78.365700000000004</v>
      </c>
      <c r="E1708" t="s">
        <v>8776</v>
      </c>
    </row>
    <row r="1709" spans="1:5" hidden="1" x14ac:dyDescent="0.25">
      <c r="A1709" t="s">
        <v>728</v>
      </c>
      <c r="B1709" t="s">
        <v>6175</v>
      </c>
      <c r="C1709">
        <v>35.021700000000003</v>
      </c>
      <c r="D1709">
        <v>-77.355199999999996</v>
      </c>
      <c r="E1709" t="s">
        <v>8777</v>
      </c>
    </row>
    <row r="1710" spans="1:5" hidden="1" x14ac:dyDescent="0.25">
      <c r="A1710" t="s">
        <v>2353</v>
      </c>
      <c r="B1710" t="s">
        <v>6175</v>
      </c>
      <c r="C1710">
        <v>35.475200000000001</v>
      </c>
      <c r="D1710">
        <v>-79.171499999999995</v>
      </c>
      <c r="E1710" t="s">
        <v>8778</v>
      </c>
    </row>
    <row r="1711" spans="1:5" hidden="1" x14ac:dyDescent="0.25">
      <c r="A1711" t="s">
        <v>8779</v>
      </c>
      <c r="B1711" t="s">
        <v>6175</v>
      </c>
      <c r="C1711">
        <v>35.238799999999998</v>
      </c>
      <c r="D1711">
        <v>-77.641300000000001</v>
      </c>
      <c r="E1711" t="s">
        <v>8780</v>
      </c>
    </row>
    <row r="1712" spans="1:5" hidden="1" x14ac:dyDescent="0.25">
      <c r="A1712" t="s">
        <v>6386</v>
      </c>
      <c r="B1712" t="s">
        <v>6175</v>
      </c>
      <c r="C1712">
        <v>35.485599999999998</v>
      </c>
      <c r="D1712">
        <v>-81.223500000000001</v>
      </c>
      <c r="E1712" t="s">
        <v>8781</v>
      </c>
    </row>
    <row r="1713" spans="1:5" hidden="1" x14ac:dyDescent="0.25">
      <c r="A1713" t="s">
        <v>6284</v>
      </c>
      <c r="B1713" t="s">
        <v>6175</v>
      </c>
      <c r="C1713">
        <v>35.150500000000001</v>
      </c>
      <c r="D1713">
        <v>-83.422200000000004</v>
      </c>
      <c r="E1713" t="s">
        <v>8782</v>
      </c>
    </row>
    <row r="1714" spans="1:5" hidden="1" x14ac:dyDescent="0.25">
      <c r="A1714" t="s">
        <v>6286</v>
      </c>
      <c r="B1714" t="s">
        <v>6175</v>
      </c>
      <c r="C1714">
        <v>35.857999999999997</v>
      </c>
      <c r="D1714">
        <v>-82.705799999999996</v>
      </c>
      <c r="E1714" t="s">
        <v>8783</v>
      </c>
    </row>
    <row r="1715" spans="1:5" hidden="1" x14ac:dyDescent="0.25">
      <c r="A1715" t="s">
        <v>2429</v>
      </c>
      <c r="B1715" t="s">
        <v>6175</v>
      </c>
      <c r="C1715">
        <v>35.843200000000003</v>
      </c>
      <c r="D1715">
        <v>-77.109200000000001</v>
      </c>
      <c r="E1715" t="s">
        <v>8784</v>
      </c>
    </row>
    <row r="1716" spans="1:5" hidden="1" x14ac:dyDescent="0.25">
      <c r="A1716" t="s">
        <v>8785</v>
      </c>
      <c r="B1716" t="s">
        <v>6175</v>
      </c>
      <c r="C1716">
        <v>35.681699999999999</v>
      </c>
      <c r="D1716">
        <v>-82.049300000000002</v>
      </c>
      <c r="E1716" t="s">
        <v>8786</v>
      </c>
    </row>
    <row r="1717" spans="1:5" hidden="1" x14ac:dyDescent="0.25">
      <c r="A1717" t="s">
        <v>8787</v>
      </c>
      <c r="B1717" t="s">
        <v>6175</v>
      </c>
      <c r="C1717">
        <v>35.246699999999997</v>
      </c>
      <c r="D1717">
        <v>-80.832800000000006</v>
      </c>
      <c r="E1717" t="s">
        <v>8788</v>
      </c>
    </row>
    <row r="1718" spans="1:5" hidden="1" x14ac:dyDescent="0.25">
      <c r="A1718" t="s">
        <v>172</v>
      </c>
      <c r="B1718" t="s">
        <v>6175</v>
      </c>
      <c r="C1718">
        <v>36.013300000000001</v>
      </c>
      <c r="D1718">
        <v>-82.163600000000002</v>
      </c>
      <c r="E1718" t="s">
        <v>8789</v>
      </c>
    </row>
    <row r="1719" spans="1:5" hidden="1" x14ac:dyDescent="0.25">
      <c r="A1719" t="s">
        <v>6297</v>
      </c>
      <c r="B1719" t="s">
        <v>6175</v>
      </c>
      <c r="C1719">
        <v>35.332500000000003</v>
      </c>
      <c r="D1719">
        <v>-79.905500000000004</v>
      </c>
      <c r="E1719" t="s">
        <v>8790</v>
      </c>
    </row>
    <row r="1720" spans="1:5" hidden="1" x14ac:dyDescent="0.25">
      <c r="A1720" t="s">
        <v>1084</v>
      </c>
      <c r="B1720" t="s">
        <v>6175</v>
      </c>
      <c r="C1720">
        <v>35.310600000000001</v>
      </c>
      <c r="D1720">
        <v>-79.481399999999994</v>
      </c>
      <c r="E1720" t="s">
        <v>8791</v>
      </c>
    </row>
    <row r="1721" spans="1:5" hidden="1" x14ac:dyDescent="0.25">
      <c r="A1721" t="s">
        <v>5247</v>
      </c>
      <c r="B1721" t="s">
        <v>6175</v>
      </c>
      <c r="C1721">
        <v>35.967300000000002</v>
      </c>
      <c r="D1721">
        <v>-77.986400000000003</v>
      </c>
      <c r="E1721" t="s">
        <v>8792</v>
      </c>
    </row>
    <row r="1722" spans="1:5" hidden="1" x14ac:dyDescent="0.25">
      <c r="A1722" t="s">
        <v>8793</v>
      </c>
      <c r="B1722" t="s">
        <v>6175</v>
      </c>
      <c r="C1722">
        <v>34.232900000000001</v>
      </c>
      <c r="D1722">
        <v>-77.884799999999998</v>
      </c>
      <c r="E1722" t="s">
        <v>8794</v>
      </c>
    </row>
    <row r="1723" spans="1:5" hidden="1" x14ac:dyDescent="0.25">
      <c r="A1723" t="s">
        <v>2166</v>
      </c>
      <c r="B1723" t="s">
        <v>6175</v>
      </c>
      <c r="C1723">
        <v>36.4178</v>
      </c>
      <c r="D1723">
        <v>-77.396900000000002</v>
      </c>
      <c r="E1723" t="s">
        <v>8795</v>
      </c>
    </row>
    <row r="1724" spans="1:5" hidden="1" x14ac:dyDescent="0.25">
      <c r="A1724" t="s">
        <v>8796</v>
      </c>
      <c r="B1724" t="s">
        <v>6175</v>
      </c>
      <c r="C1724">
        <v>34.732199999999999</v>
      </c>
      <c r="D1724">
        <v>-77.432199999999995</v>
      </c>
      <c r="E1724" t="s">
        <v>8797</v>
      </c>
    </row>
    <row r="1725" spans="1:5" hidden="1" x14ac:dyDescent="0.25">
      <c r="A1725" t="s">
        <v>6526</v>
      </c>
      <c r="B1725" t="s">
        <v>6175</v>
      </c>
      <c r="C1725">
        <v>36.061100000000003</v>
      </c>
      <c r="D1725">
        <v>-79.120699999999999</v>
      </c>
      <c r="E1725" t="s">
        <v>8798</v>
      </c>
    </row>
    <row r="1726" spans="1:5" hidden="1" x14ac:dyDescent="0.25">
      <c r="A1726" t="s">
        <v>8799</v>
      </c>
      <c r="B1726" t="s">
        <v>6175</v>
      </c>
      <c r="C1726">
        <v>35.1434</v>
      </c>
      <c r="D1726">
        <v>-76.740700000000004</v>
      </c>
      <c r="E1726" t="s">
        <v>8800</v>
      </c>
    </row>
    <row r="1727" spans="1:5" hidden="1" x14ac:dyDescent="0.25">
      <c r="A1727" t="s">
        <v>8801</v>
      </c>
      <c r="B1727" t="s">
        <v>6175</v>
      </c>
      <c r="C1727">
        <v>36.295499999999997</v>
      </c>
      <c r="D1727">
        <v>-76.284300000000002</v>
      </c>
      <c r="E1727" t="s">
        <v>8802</v>
      </c>
    </row>
    <row r="1728" spans="1:5" hidden="1" x14ac:dyDescent="0.25">
      <c r="A1728" t="s">
        <v>8803</v>
      </c>
      <c r="B1728" t="s">
        <v>6175</v>
      </c>
      <c r="C1728">
        <v>34.524900000000002</v>
      </c>
      <c r="D1728">
        <v>-77.905199999999994</v>
      </c>
      <c r="E1728" t="s">
        <v>8804</v>
      </c>
    </row>
    <row r="1729" spans="1:5" hidden="1" x14ac:dyDescent="0.25">
      <c r="A1729" t="s">
        <v>8805</v>
      </c>
      <c r="B1729" t="s">
        <v>6175</v>
      </c>
      <c r="C1729">
        <v>36.2059</v>
      </c>
      <c r="D1729">
        <v>-76.441100000000006</v>
      </c>
      <c r="E1729" t="s">
        <v>8806</v>
      </c>
    </row>
    <row r="1730" spans="1:5" hidden="1" x14ac:dyDescent="0.25">
      <c r="A1730" t="s">
        <v>8807</v>
      </c>
      <c r="B1730" t="s">
        <v>6175</v>
      </c>
      <c r="C1730">
        <v>36.39</v>
      </c>
      <c r="D1730">
        <v>-78.971800000000002</v>
      </c>
      <c r="E1730" t="s">
        <v>8808</v>
      </c>
    </row>
    <row r="1731" spans="1:5" hidden="1" x14ac:dyDescent="0.25">
      <c r="A1731" t="s">
        <v>2289</v>
      </c>
      <c r="B1731" t="s">
        <v>6175</v>
      </c>
      <c r="C1731">
        <v>35.593299999999999</v>
      </c>
      <c r="D1731">
        <v>-77.374499999999998</v>
      </c>
      <c r="E1731" t="s">
        <v>8809</v>
      </c>
    </row>
    <row r="1732" spans="1:5" hidden="1" x14ac:dyDescent="0.25">
      <c r="A1732" t="s">
        <v>6410</v>
      </c>
      <c r="B1732" t="s">
        <v>6175</v>
      </c>
      <c r="C1732">
        <v>35.279299999999999</v>
      </c>
      <c r="D1732">
        <v>-82.169700000000006</v>
      </c>
      <c r="E1732" t="s">
        <v>8810</v>
      </c>
    </row>
    <row r="1733" spans="1:5" hidden="1" x14ac:dyDescent="0.25">
      <c r="A1733" t="s">
        <v>6305</v>
      </c>
      <c r="B1733" t="s">
        <v>6175</v>
      </c>
      <c r="C1733">
        <v>35.710299999999997</v>
      </c>
      <c r="D1733">
        <v>-79.805999999999997</v>
      </c>
      <c r="E1733" t="s">
        <v>8811</v>
      </c>
    </row>
    <row r="1734" spans="1:5" hidden="1" x14ac:dyDescent="0.25">
      <c r="A1734" t="s">
        <v>272</v>
      </c>
      <c r="B1734" t="s">
        <v>6175</v>
      </c>
      <c r="C1734">
        <v>35.005899999999997</v>
      </c>
      <c r="D1734">
        <v>-79.747900000000001</v>
      </c>
      <c r="E1734" t="s">
        <v>8812</v>
      </c>
    </row>
    <row r="1735" spans="1:5" hidden="1" x14ac:dyDescent="0.25">
      <c r="A1735" t="s">
        <v>8813</v>
      </c>
      <c r="B1735" t="s">
        <v>6175</v>
      </c>
      <c r="C1735">
        <v>34.6402</v>
      </c>
      <c r="D1735">
        <v>-79.103899999999996</v>
      </c>
      <c r="E1735" t="s">
        <v>8814</v>
      </c>
    </row>
    <row r="1736" spans="1:5" hidden="1" x14ac:dyDescent="0.25">
      <c r="A1736" t="s">
        <v>8815</v>
      </c>
      <c r="B1736" t="s">
        <v>6175</v>
      </c>
      <c r="C1736">
        <v>36.396000000000001</v>
      </c>
      <c r="D1736">
        <v>-79.775000000000006</v>
      </c>
      <c r="E1736" t="s">
        <v>8816</v>
      </c>
    </row>
    <row r="1737" spans="1:5" hidden="1" x14ac:dyDescent="0.25">
      <c r="A1737" t="s">
        <v>1914</v>
      </c>
      <c r="B1737" t="s">
        <v>6175</v>
      </c>
      <c r="C1737">
        <v>35.639400000000002</v>
      </c>
      <c r="D1737">
        <v>-80.524699999999996</v>
      </c>
      <c r="E1737" t="s">
        <v>8817</v>
      </c>
    </row>
    <row r="1738" spans="1:5" hidden="1" x14ac:dyDescent="0.25">
      <c r="A1738" t="s">
        <v>8818</v>
      </c>
      <c r="B1738" t="s">
        <v>6175</v>
      </c>
      <c r="C1738">
        <v>35.4026</v>
      </c>
      <c r="D1738">
        <v>-81.919799999999995</v>
      </c>
      <c r="E1738" t="s">
        <v>8819</v>
      </c>
    </row>
    <row r="1739" spans="1:5" hidden="1" x14ac:dyDescent="0.25">
      <c r="A1739" t="s">
        <v>1309</v>
      </c>
      <c r="B1739" t="s">
        <v>6175</v>
      </c>
      <c r="C1739">
        <v>34.991599999999998</v>
      </c>
      <c r="D1739">
        <v>-78.371399999999994</v>
      </c>
      <c r="E1739" t="s">
        <v>8820</v>
      </c>
    </row>
    <row r="1740" spans="1:5" hidden="1" x14ac:dyDescent="0.25">
      <c r="A1740" t="s">
        <v>4394</v>
      </c>
      <c r="B1740" t="s">
        <v>6175</v>
      </c>
      <c r="C1740">
        <v>34.840899999999998</v>
      </c>
      <c r="D1740">
        <v>-79.480400000000003</v>
      </c>
      <c r="E1740" t="s">
        <v>8821</v>
      </c>
    </row>
    <row r="1741" spans="1:5" hidden="1" x14ac:dyDescent="0.25">
      <c r="A1741" t="s">
        <v>5042</v>
      </c>
      <c r="B1741" t="s">
        <v>6175</v>
      </c>
      <c r="C1741">
        <v>35.311900000000001</v>
      </c>
      <c r="D1741">
        <v>-80.251000000000005</v>
      </c>
      <c r="E1741" t="s">
        <v>8822</v>
      </c>
    </row>
    <row r="1742" spans="1:5" hidden="1" x14ac:dyDescent="0.25">
      <c r="A1742" t="s">
        <v>2931</v>
      </c>
      <c r="B1742" t="s">
        <v>6175</v>
      </c>
      <c r="C1742">
        <v>36.401899999999998</v>
      </c>
      <c r="D1742">
        <v>-80.239699999999999</v>
      </c>
      <c r="E1742" t="s">
        <v>8823</v>
      </c>
    </row>
    <row r="1743" spans="1:5" hidden="1" x14ac:dyDescent="0.25">
      <c r="A1743" t="s">
        <v>8824</v>
      </c>
      <c r="B1743" t="s">
        <v>6175</v>
      </c>
      <c r="C1743">
        <v>36.4146</v>
      </c>
      <c r="D1743">
        <v>-80.688000000000002</v>
      </c>
      <c r="E1743" t="s">
        <v>8825</v>
      </c>
    </row>
    <row r="1744" spans="1:5" hidden="1" x14ac:dyDescent="0.25">
      <c r="A1744" t="s">
        <v>8826</v>
      </c>
      <c r="B1744" t="s">
        <v>6175</v>
      </c>
      <c r="C1744">
        <v>35.486800000000002</v>
      </c>
      <c r="D1744">
        <v>-83.492800000000003</v>
      </c>
      <c r="E1744" t="s">
        <v>8827</v>
      </c>
    </row>
    <row r="1745" spans="1:5" hidden="1" x14ac:dyDescent="0.25">
      <c r="A1745" t="s">
        <v>8828</v>
      </c>
      <c r="B1745" t="s">
        <v>6175</v>
      </c>
      <c r="C1745">
        <v>35.202100000000002</v>
      </c>
      <c r="D1745">
        <v>-82.798199999999994</v>
      </c>
      <c r="E1745" t="s">
        <v>8829</v>
      </c>
    </row>
    <row r="1746" spans="1:5" hidden="1" x14ac:dyDescent="0.25">
      <c r="A1746" t="s">
        <v>8830</v>
      </c>
      <c r="B1746" t="s">
        <v>6175</v>
      </c>
      <c r="C1746">
        <v>35.8172</v>
      </c>
      <c r="D1746">
        <v>-76.209000000000003</v>
      </c>
      <c r="E1746" t="s">
        <v>8831</v>
      </c>
    </row>
    <row r="1747" spans="1:5" hidden="1" x14ac:dyDescent="0.25">
      <c r="A1747" t="s">
        <v>5878</v>
      </c>
      <c r="B1747" t="s">
        <v>6175</v>
      </c>
      <c r="C1747">
        <v>34.988399999999999</v>
      </c>
      <c r="D1747">
        <v>-80.530699999999996</v>
      </c>
      <c r="E1747" t="s">
        <v>8832</v>
      </c>
    </row>
    <row r="1748" spans="1:5" hidden="1" x14ac:dyDescent="0.25">
      <c r="A1748" t="s">
        <v>8833</v>
      </c>
      <c r="B1748" t="s">
        <v>6175</v>
      </c>
      <c r="C1748">
        <v>36.364899999999999</v>
      </c>
      <c r="D1748">
        <v>-78.407899999999998</v>
      </c>
      <c r="E1748" t="s">
        <v>8834</v>
      </c>
    </row>
    <row r="1749" spans="1:5" hidden="1" x14ac:dyDescent="0.25">
      <c r="A1749" t="s">
        <v>8835</v>
      </c>
      <c r="B1749" t="s">
        <v>6175</v>
      </c>
      <c r="C1749">
        <v>35.790300000000002</v>
      </c>
      <c r="D1749">
        <v>-78.650300000000001</v>
      </c>
      <c r="E1749" t="s">
        <v>8836</v>
      </c>
    </row>
    <row r="1750" spans="1:5" hidden="1" x14ac:dyDescent="0.25">
      <c r="A1750" t="s">
        <v>448</v>
      </c>
      <c r="B1750" t="s">
        <v>6175</v>
      </c>
      <c r="C1750">
        <v>36.396500000000003</v>
      </c>
      <c r="D1750">
        <v>-78.106700000000004</v>
      </c>
      <c r="E1750" t="s">
        <v>8837</v>
      </c>
    </row>
    <row r="1751" spans="1:5" hidden="1" x14ac:dyDescent="0.25">
      <c r="A1751" t="s">
        <v>3052</v>
      </c>
      <c r="B1751" t="s">
        <v>6175</v>
      </c>
      <c r="C1751">
        <v>35.822499999999998</v>
      </c>
      <c r="D1751">
        <v>-76.577500000000001</v>
      </c>
      <c r="E1751" t="s">
        <v>8838</v>
      </c>
    </row>
    <row r="1752" spans="1:5" hidden="1" x14ac:dyDescent="0.25">
      <c r="A1752" t="s">
        <v>8839</v>
      </c>
      <c r="B1752" t="s">
        <v>6175</v>
      </c>
      <c r="C1752">
        <v>36.231099999999998</v>
      </c>
      <c r="D1752">
        <v>-81.696399999999997</v>
      </c>
      <c r="E1752" t="s">
        <v>8840</v>
      </c>
    </row>
    <row r="1753" spans="1:5" hidden="1" x14ac:dyDescent="0.25">
      <c r="A1753" t="s">
        <v>7057</v>
      </c>
      <c r="B1753" t="s">
        <v>6175</v>
      </c>
      <c r="C1753">
        <v>35.363999999999997</v>
      </c>
      <c r="D1753">
        <v>-78.004000000000005</v>
      </c>
      <c r="E1753" t="s">
        <v>8841</v>
      </c>
    </row>
    <row r="1754" spans="1:5" hidden="1" x14ac:dyDescent="0.25">
      <c r="A1754" t="s">
        <v>7066</v>
      </c>
      <c r="B1754" t="s">
        <v>6175</v>
      </c>
      <c r="C1754">
        <v>36.206200000000003</v>
      </c>
      <c r="D1754">
        <v>-81.162999999999997</v>
      </c>
      <c r="E1754" t="s">
        <v>8842</v>
      </c>
    </row>
    <row r="1755" spans="1:5" hidden="1" x14ac:dyDescent="0.25">
      <c r="A1755" t="s">
        <v>2298</v>
      </c>
      <c r="B1755" t="s">
        <v>6175</v>
      </c>
      <c r="C1755">
        <v>35.705100000000002</v>
      </c>
      <c r="D1755">
        <v>-77.918700000000001</v>
      </c>
      <c r="E1755" t="s">
        <v>8843</v>
      </c>
    </row>
    <row r="1756" spans="1:5" hidden="1" x14ac:dyDescent="0.25">
      <c r="A1756" t="s">
        <v>8844</v>
      </c>
      <c r="B1756" t="s">
        <v>6175</v>
      </c>
      <c r="C1756">
        <v>36.160499999999999</v>
      </c>
      <c r="D1756">
        <v>-80.665199999999999</v>
      </c>
      <c r="E1756" t="s">
        <v>8845</v>
      </c>
    </row>
    <row r="1757" spans="1:5" hidden="1" x14ac:dyDescent="0.25">
      <c r="A1757" t="s">
        <v>8846</v>
      </c>
      <c r="B1757" t="s">
        <v>6175</v>
      </c>
      <c r="C1757">
        <v>35.898899999999998</v>
      </c>
      <c r="D1757">
        <v>-82.307599999999994</v>
      </c>
      <c r="E1757" t="s">
        <v>8847</v>
      </c>
    </row>
    <row r="1758" spans="1:5" hidden="1" x14ac:dyDescent="0.25">
      <c r="A1758" t="s">
        <v>1324</v>
      </c>
      <c r="B1758" t="s">
        <v>6178</v>
      </c>
      <c r="C1758">
        <v>46.096800000000002</v>
      </c>
      <c r="D1758">
        <v>-102.5284</v>
      </c>
      <c r="E1758" t="s">
        <v>8848</v>
      </c>
    </row>
    <row r="1759" spans="1:5" hidden="1" x14ac:dyDescent="0.25">
      <c r="A1759" t="s">
        <v>312</v>
      </c>
      <c r="B1759" t="s">
        <v>6178</v>
      </c>
      <c r="C1759">
        <v>46.936100000000003</v>
      </c>
      <c r="D1759">
        <v>-98.071600000000004</v>
      </c>
      <c r="E1759" t="s">
        <v>8849</v>
      </c>
    </row>
    <row r="1760" spans="1:5" hidden="1" x14ac:dyDescent="0.25">
      <c r="A1760" t="s">
        <v>5395</v>
      </c>
      <c r="B1760" t="s">
        <v>6178</v>
      </c>
      <c r="C1760">
        <v>48.069400000000002</v>
      </c>
      <c r="D1760">
        <v>-99.366</v>
      </c>
      <c r="E1760" t="s">
        <v>8850</v>
      </c>
    </row>
    <row r="1761" spans="1:5" hidden="1" x14ac:dyDescent="0.25">
      <c r="A1761" t="s">
        <v>8851</v>
      </c>
      <c r="B1761" t="s">
        <v>6178</v>
      </c>
      <c r="C1761">
        <v>47.023600000000002</v>
      </c>
      <c r="D1761">
        <v>-103.3763</v>
      </c>
      <c r="E1761" t="s">
        <v>8852</v>
      </c>
    </row>
    <row r="1762" spans="1:5" hidden="1" x14ac:dyDescent="0.25">
      <c r="A1762" t="s">
        <v>8853</v>
      </c>
      <c r="B1762" t="s">
        <v>6178</v>
      </c>
      <c r="C1762">
        <v>48.792200000000001</v>
      </c>
      <c r="D1762">
        <v>-100.83329999999999</v>
      </c>
      <c r="E1762" t="s">
        <v>8854</v>
      </c>
    </row>
    <row r="1763" spans="1:5" hidden="1" x14ac:dyDescent="0.25">
      <c r="A1763" t="s">
        <v>8855</v>
      </c>
      <c r="B1763" t="s">
        <v>6178</v>
      </c>
      <c r="C1763">
        <v>46.1126</v>
      </c>
      <c r="D1763">
        <v>-103.5206</v>
      </c>
      <c r="E1763" t="s">
        <v>8856</v>
      </c>
    </row>
    <row r="1764" spans="1:5" hidden="1" x14ac:dyDescent="0.25">
      <c r="A1764" t="s">
        <v>6859</v>
      </c>
      <c r="B1764" t="s">
        <v>6178</v>
      </c>
      <c r="C1764">
        <v>48.790999999999997</v>
      </c>
      <c r="D1764">
        <v>-102.51819999999999</v>
      </c>
      <c r="E1764" t="s">
        <v>8857</v>
      </c>
    </row>
    <row r="1765" spans="1:5" hidden="1" x14ac:dyDescent="0.25">
      <c r="A1765" t="s">
        <v>8858</v>
      </c>
      <c r="B1765" t="s">
        <v>6178</v>
      </c>
      <c r="C1765">
        <v>46.977499999999999</v>
      </c>
      <c r="D1765">
        <v>-100.4687</v>
      </c>
      <c r="E1765" t="s">
        <v>8859</v>
      </c>
    </row>
    <row r="1766" spans="1:5" hidden="1" x14ac:dyDescent="0.25">
      <c r="A1766" t="s">
        <v>7103</v>
      </c>
      <c r="B1766" t="s">
        <v>6178</v>
      </c>
      <c r="C1766">
        <v>46.933</v>
      </c>
      <c r="D1766">
        <v>-97.248000000000005</v>
      </c>
      <c r="E1766" t="s">
        <v>8860</v>
      </c>
    </row>
    <row r="1767" spans="1:5" hidden="1" x14ac:dyDescent="0.25">
      <c r="A1767" t="s">
        <v>8861</v>
      </c>
      <c r="B1767" t="s">
        <v>6178</v>
      </c>
      <c r="C1767">
        <v>48.772300000000001</v>
      </c>
      <c r="D1767">
        <v>-98.464799999999997</v>
      </c>
      <c r="E1767" t="s">
        <v>8862</v>
      </c>
    </row>
    <row r="1768" spans="1:5" hidden="1" x14ac:dyDescent="0.25">
      <c r="A1768" t="s">
        <v>8863</v>
      </c>
      <c r="B1768" t="s">
        <v>6178</v>
      </c>
      <c r="C1768">
        <v>46.110199999999999</v>
      </c>
      <c r="D1768">
        <v>-98.5047</v>
      </c>
      <c r="E1768" t="s">
        <v>8864</v>
      </c>
    </row>
    <row r="1769" spans="1:5" hidden="1" x14ac:dyDescent="0.25">
      <c r="A1769" t="s">
        <v>8865</v>
      </c>
      <c r="B1769" t="s">
        <v>6178</v>
      </c>
      <c r="C1769">
        <v>48.814900000000002</v>
      </c>
      <c r="D1769">
        <v>-103.4872</v>
      </c>
      <c r="E1769" t="s">
        <v>8866</v>
      </c>
    </row>
    <row r="1770" spans="1:5" hidden="1" x14ac:dyDescent="0.25">
      <c r="A1770" t="s">
        <v>2885</v>
      </c>
      <c r="B1770" t="s">
        <v>6178</v>
      </c>
      <c r="C1770">
        <v>47.3568</v>
      </c>
      <c r="D1770">
        <v>-102.6182</v>
      </c>
      <c r="E1770" t="s">
        <v>8867</v>
      </c>
    </row>
    <row r="1771" spans="1:5" hidden="1" x14ac:dyDescent="0.25">
      <c r="A1771" t="s">
        <v>8868</v>
      </c>
      <c r="B1771" t="s">
        <v>6178</v>
      </c>
      <c r="C1771">
        <v>47.717599999999997</v>
      </c>
      <c r="D1771">
        <v>-98.901600000000002</v>
      </c>
      <c r="E1771" t="s">
        <v>8869</v>
      </c>
    </row>
    <row r="1772" spans="1:5" hidden="1" x14ac:dyDescent="0.25">
      <c r="A1772" t="s">
        <v>8870</v>
      </c>
      <c r="B1772" t="s">
        <v>6178</v>
      </c>
      <c r="C1772">
        <v>46.2851</v>
      </c>
      <c r="D1772">
        <v>-100.23869999999999</v>
      </c>
      <c r="E1772" t="s">
        <v>8871</v>
      </c>
    </row>
    <row r="1773" spans="1:5" hidden="1" x14ac:dyDescent="0.25">
      <c r="A1773" t="s">
        <v>5131</v>
      </c>
      <c r="B1773" t="s">
        <v>6178</v>
      </c>
      <c r="C1773">
        <v>47.457099999999997</v>
      </c>
      <c r="D1773">
        <v>-98.882999999999996</v>
      </c>
      <c r="E1773" t="s">
        <v>8872</v>
      </c>
    </row>
    <row r="1774" spans="1:5" hidden="1" x14ac:dyDescent="0.25">
      <c r="A1774" t="s">
        <v>8637</v>
      </c>
      <c r="B1774" t="s">
        <v>6178</v>
      </c>
      <c r="C1774">
        <v>46.940199999999997</v>
      </c>
      <c r="D1774">
        <v>-103.8466</v>
      </c>
      <c r="E1774" t="s">
        <v>8873</v>
      </c>
    </row>
    <row r="1775" spans="1:5" hidden="1" x14ac:dyDescent="0.25">
      <c r="A1775" t="s">
        <v>8874</v>
      </c>
      <c r="B1775" t="s">
        <v>6178</v>
      </c>
      <c r="C1775">
        <v>47.921900000000001</v>
      </c>
      <c r="D1775">
        <v>-97.456900000000005</v>
      </c>
      <c r="E1775" t="s">
        <v>8875</v>
      </c>
    </row>
    <row r="1776" spans="1:5" hidden="1" x14ac:dyDescent="0.25">
      <c r="A1776" t="s">
        <v>4593</v>
      </c>
      <c r="B1776" t="s">
        <v>6178</v>
      </c>
      <c r="C1776">
        <v>46.3583</v>
      </c>
      <c r="D1776">
        <v>-101.6397</v>
      </c>
      <c r="E1776" t="s">
        <v>8876</v>
      </c>
    </row>
    <row r="1777" spans="1:5" hidden="1" x14ac:dyDescent="0.25">
      <c r="A1777" t="s">
        <v>653</v>
      </c>
      <c r="B1777" t="s">
        <v>6178</v>
      </c>
      <c r="C1777">
        <v>47.457299999999996</v>
      </c>
      <c r="D1777">
        <v>-98.236999999999995</v>
      </c>
      <c r="E1777" t="s">
        <v>8877</v>
      </c>
    </row>
    <row r="1778" spans="1:5" hidden="1" x14ac:dyDescent="0.25">
      <c r="A1778" t="s">
        <v>8878</v>
      </c>
      <c r="B1778" t="s">
        <v>6178</v>
      </c>
      <c r="C1778">
        <v>46.432499999999997</v>
      </c>
      <c r="D1778">
        <v>-102.4603</v>
      </c>
      <c r="E1778" t="s">
        <v>8879</v>
      </c>
    </row>
    <row r="1779" spans="1:5" hidden="1" x14ac:dyDescent="0.25">
      <c r="A1779" t="s">
        <v>8880</v>
      </c>
      <c r="B1779" t="s">
        <v>6178</v>
      </c>
      <c r="C1779">
        <v>46.9801</v>
      </c>
      <c r="D1779">
        <v>-99.780100000000004</v>
      </c>
      <c r="E1779" t="s">
        <v>8881</v>
      </c>
    </row>
    <row r="1780" spans="1:5" hidden="1" x14ac:dyDescent="0.25">
      <c r="A1780" t="s">
        <v>8882</v>
      </c>
      <c r="B1780" t="s">
        <v>6178</v>
      </c>
      <c r="C1780">
        <v>46.456899999999997</v>
      </c>
      <c r="D1780">
        <v>-98.535499999999999</v>
      </c>
      <c r="E1780" t="s">
        <v>8883</v>
      </c>
    </row>
    <row r="1781" spans="1:5" hidden="1" x14ac:dyDescent="0.25">
      <c r="A1781" t="s">
        <v>987</v>
      </c>
      <c r="B1781" t="s">
        <v>6178</v>
      </c>
      <c r="C1781">
        <v>46.4574</v>
      </c>
      <c r="D1781">
        <v>-99.477400000000003</v>
      </c>
      <c r="E1781" t="s">
        <v>8884</v>
      </c>
    </row>
    <row r="1782" spans="1:5" hidden="1" x14ac:dyDescent="0.25">
      <c r="A1782" t="s">
        <v>7377</v>
      </c>
      <c r="B1782" t="s">
        <v>6178</v>
      </c>
      <c r="C1782">
        <v>48.2346</v>
      </c>
      <c r="D1782">
        <v>-100.63630000000001</v>
      </c>
      <c r="E1782" t="s">
        <v>8885</v>
      </c>
    </row>
    <row r="1783" spans="1:5" hidden="1" x14ac:dyDescent="0.25">
      <c r="A1783" t="s">
        <v>6979</v>
      </c>
      <c r="B1783" t="s">
        <v>6178</v>
      </c>
      <c r="C1783">
        <v>46.111800000000002</v>
      </c>
      <c r="D1783">
        <v>-99.441199999999995</v>
      </c>
      <c r="E1783" t="s">
        <v>8886</v>
      </c>
    </row>
    <row r="1784" spans="1:5" hidden="1" x14ac:dyDescent="0.25">
      <c r="A1784" t="s">
        <v>3224</v>
      </c>
      <c r="B1784" t="s">
        <v>6178</v>
      </c>
      <c r="C1784">
        <v>47.740200000000002</v>
      </c>
      <c r="D1784">
        <v>-103.39530000000001</v>
      </c>
      <c r="E1784" t="s">
        <v>8887</v>
      </c>
    </row>
    <row r="1785" spans="1:5" hidden="1" x14ac:dyDescent="0.25">
      <c r="A1785" t="s">
        <v>7379</v>
      </c>
      <c r="B1785" t="s">
        <v>6178</v>
      </c>
      <c r="C1785">
        <v>47.606900000000003</v>
      </c>
      <c r="D1785">
        <v>-101.3218</v>
      </c>
      <c r="E1785" t="s">
        <v>8888</v>
      </c>
    </row>
    <row r="1786" spans="1:5" hidden="1" x14ac:dyDescent="0.25">
      <c r="A1786" t="s">
        <v>1636</v>
      </c>
      <c r="B1786" t="s">
        <v>6178</v>
      </c>
      <c r="C1786">
        <v>47.309199999999997</v>
      </c>
      <c r="D1786">
        <v>-101.83150000000001</v>
      </c>
      <c r="E1786" t="s">
        <v>8889</v>
      </c>
    </row>
    <row r="1787" spans="1:5" hidden="1" x14ac:dyDescent="0.25">
      <c r="A1787" t="s">
        <v>7649</v>
      </c>
      <c r="B1787" t="s">
        <v>6178</v>
      </c>
      <c r="C1787">
        <v>46.716099999999997</v>
      </c>
      <c r="D1787">
        <v>-101.2811</v>
      </c>
      <c r="E1787" t="s">
        <v>8890</v>
      </c>
    </row>
    <row r="1788" spans="1:5" hidden="1" x14ac:dyDescent="0.25">
      <c r="A1788" t="s">
        <v>8891</v>
      </c>
      <c r="B1788" t="s">
        <v>6178</v>
      </c>
      <c r="C1788">
        <v>48.201300000000003</v>
      </c>
      <c r="D1788">
        <v>-102.3557</v>
      </c>
      <c r="E1788" t="s">
        <v>8892</v>
      </c>
    </row>
    <row r="1789" spans="1:5" hidden="1" x14ac:dyDescent="0.25">
      <c r="A1789" t="s">
        <v>7835</v>
      </c>
      <c r="B1789" t="s">
        <v>6178</v>
      </c>
      <c r="C1789">
        <v>47.921700000000001</v>
      </c>
      <c r="D1789">
        <v>-98.191999999999993</v>
      </c>
      <c r="E1789" t="s">
        <v>8893</v>
      </c>
    </row>
    <row r="1790" spans="1:5" hidden="1" x14ac:dyDescent="0.25">
      <c r="A1790" t="s">
        <v>1008</v>
      </c>
      <c r="B1790" t="s">
        <v>6178</v>
      </c>
      <c r="C1790">
        <v>47.115299999999998</v>
      </c>
      <c r="D1790">
        <v>-101.3403</v>
      </c>
      <c r="E1790" t="s">
        <v>8894</v>
      </c>
    </row>
    <row r="1791" spans="1:5" hidden="1" x14ac:dyDescent="0.25">
      <c r="A1791" t="s">
        <v>8895</v>
      </c>
      <c r="B1791" t="s">
        <v>6178</v>
      </c>
      <c r="C1791">
        <v>48.767499999999998</v>
      </c>
      <c r="D1791">
        <v>-97.5518</v>
      </c>
      <c r="E1791" t="s">
        <v>8896</v>
      </c>
    </row>
    <row r="1792" spans="1:5" hidden="1" x14ac:dyDescent="0.25">
      <c r="A1792" t="s">
        <v>7001</v>
      </c>
      <c r="B1792" t="s">
        <v>6178</v>
      </c>
      <c r="C1792">
        <v>48.249600000000001</v>
      </c>
      <c r="D1792">
        <v>-99.971800000000002</v>
      </c>
      <c r="E1792" t="s">
        <v>8897</v>
      </c>
    </row>
    <row r="1793" spans="1:5" hidden="1" x14ac:dyDescent="0.25">
      <c r="A1793" t="s">
        <v>811</v>
      </c>
      <c r="B1793" t="s">
        <v>6178</v>
      </c>
      <c r="C1793">
        <v>48.268900000000002</v>
      </c>
      <c r="D1793">
        <v>-98.720100000000002</v>
      </c>
      <c r="E1793" t="s">
        <v>8898</v>
      </c>
    </row>
    <row r="1794" spans="1:5" hidden="1" x14ac:dyDescent="0.25">
      <c r="A1794" t="s">
        <v>8899</v>
      </c>
      <c r="B1794" t="s">
        <v>6178</v>
      </c>
      <c r="C1794">
        <v>46.456200000000003</v>
      </c>
      <c r="D1794">
        <v>-97.657399999999996</v>
      </c>
      <c r="E1794" t="s">
        <v>8900</v>
      </c>
    </row>
    <row r="1795" spans="1:5" hidden="1" x14ac:dyDescent="0.25">
      <c r="A1795" t="s">
        <v>8311</v>
      </c>
      <c r="B1795" t="s">
        <v>6178</v>
      </c>
      <c r="C1795">
        <v>48.719000000000001</v>
      </c>
      <c r="D1795">
        <v>-101.65779999999999</v>
      </c>
      <c r="E1795" t="s">
        <v>8901</v>
      </c>
    </row>
    <row r="1796" spans="1:5" hidden="1" x14ac:dyDescent="0.25">
      <c r="A1796" t="s">
        <v>7401</v>
      </c>
      <c r="B1796" t="s">
        <v>6178</v>
      </c>
      <c r="C1796">
        <v>46.264600000000002</v>
      </c>
      <c r="D1796">
        <v>-96.948300000000003</v>
      </c>
      <c r="E1796" t="s">
        <v>8902</v>
      </c>
    </row>
    <row r="1797" spans="1:5" hidden="1" x14ac:dyDescent="0.25">
      <c r="A1797" t="s">
        <v>8903</v>
      </c>
      <c r="B1797" t="s">
        <v>6178</v>
      </c>
      <c r="C1797">
        <v>48.772500000000001</v>
      </c>
      <c r="D1797">
        <v>-99.840900000000005</v>
      </c>
      <c r="E1797" t="s">
        <v>8904</v>
      </c>
    </row>
    <row r="1798" spans="1:5" hidden="1" x14ac:dyDescent="0.25">
      <c r="A1798" t="s">
        <v>8905</v>
      </c>
      <c r="B1798" t="s">
        <v>6178</v>
      </c>
      <c r="C1798">
        <v>46.107799999999997</v>
      </c>
      <c r="D1798">
        <v>-97.630600000000001</v>
      </c>
      <c r="E1798" t="s">
        <v>8906</v>
      </c>
    </row>
    <row r="1799" spans="1:5" hidden="1" x14ac:dyDescent="0.25">
      <c r="A1799" t="s">
        <v>7692</v>
      </c>
      <c r="B1799" t="s">
        <v>6178</v>
      </c>
      <c r="C1799">
        <v>47.575499999999998</v>
      </c>
      <c r="D1799">
        <v>-100.3456</v>
      </c>
      <c r="E1799" t="s">
        <v>8907</v>
      </c>
    </row>
    <row r="1800" spans="1:5" hidden="1" x14ac:dyDescent="0.25">
      <c r="A1800" t="s">
        <v>7199</v>
      </c>
      <c r="B1800" t="s">
        <v>6178</v>
      </c>
      <c r="C1800">
        <v>46.112699999999997</v>
      </c>
      <c r="D1800">
        <v>-101.04040000000001</v>
      </c>
      <c r="E1800" t="s">
        <v>8908</v>
      </c>
    </row>
    <row r="1801" spans="1:5" hidden="1" x14ac:dyDescent="0.25">
      <c r="A1801" t="s">
        <v>8909</v>
      </c>
      <c r="B1801" t="s">
        <v>6178</v>
      </c>
      <c r="C1801">
        <v>46.447200000000002</v>
      </c>
      <c r="D1801">
        <v>-103.4599</v>
      </c>
      <c r="E1801" t="s">
        <v>8910</v>
      </c>
    </row>
    <row r="1802" spans="1:5" hidden="1" x14ac:dyDescent="0.25">
      <c r="A1802" t="s">
        <v>7413</v>
      </c>
      <c r="B1802" t="s">
        <v>6178</v>
      </c>
      <c r="C1802">
        <v>46.810699999999997</v>
      </c>
      <c r="D1802">
        <v>-102.6551</v>
      </c>
      <c r="E1802" t="s">
        <v>8911</v>
      </c>
    </row>
    <row r="1803" spans="1:5" hidden="1" x14ac:dyDescent="0.25">
      <c r="A1803" t="s">
        <v>2777</v>
      </c>
      <c r="B1803" t="s">
        <v>6178</v>
      </c>
      <c r="C1803">
        <v>47.456200000000003</v>
      </c>
      <c r="D1803">
        <v>-97.724599999999995</v>
      </c>
      <c r="E1803" t="s">
        <v>8912</v>
      </c>
    </row>
    <row r="1804" spans="1:5" hidden="1" x14ac:dyDescent="0.25">
      <c r="A1804" t="s">
        <v>8913</v>
      </c>
      <c r="B1804" t="s">
        <v>6178</v>
      </c>
      <c r="C1804">
        <v>46.979300000000002</v>
      </c>
      <c r="D1804">
        <v>-98.958799999999997</v>
      </c>
      <c r="E1804" t="s">
        <v>8914</v>
      </c>
    </row>
    <row r="1805" spans="1:5" hidden="1" x14ac:dyDescent="0.25">
      <c r="A1805" t="s">
        <v>8915</v>
      </c>
      <c r="B1805" t="s">
        <v>6178</v>
      </c>
      <c r="C1805">
        <v>48.685499999999998</v>
      </c>
      <c r="D1805">
        <v>-99.245699999999999</v>
      </c>
      <c r="E1805" t="s">
        <v>8916</v>
      </c>
    </row>
    <row r="1806" spans="1:5" hidden="1" x14ac:dyDescent="0.25">
      <c r="A1806" t="s">
        <v>8917</v>
      </c>
      <c r="B1806" t="s">
        <v>6178</v>
      </c>
      <c r="C1806">
        <v>47.4542</v>
      </c>
      <c r="D1806">
        <v>-97.161600000000007</v>
      </c>
      <c r="E1806" t="s">
        <v>8918</v>
      </c>
    </row>
    <row r="1807" spans="1:5" hidden="1" x14ac:dyDescent="0.25">
      <c r="A1807" t="s">
        <v>8919</v>
      </c>
      <c r="B1807" t="s">
        <v>6178</v>
      </c>
      <c r="C1807">
        <v>48.369500000000002</v>
      </c>
      <c r="D1807">
        <v>-97.721299999999999</v>
      </c>
      <c r="E1807" t="s">
        <v>8920</v>
      </c>
    </row>
    <row r="1808" spans="1:5" hidden="1" x14ac:dyDescent="0.25">
      <c r="A1808" t="s">
        <v>4555</v>
      </c>
      <c r="B1808" t="s">
        <v>6178</v>
      </c>
      <c r="C1808">
        <v>48.221699999999998</v>
      </c>
      <c r="D1808">
        <v>-101.54179999999999</v>
      </c>
      <c r="E1808" t="s">
        <v>8921</v>
      </c>
    </row>
    <row r="1809" spans="1:5" hidden="1" x14ac:dyDescent="0.25">
      <c r="A1809" t="s">
        <v>2133</v>
      </c>
      <c r="B1809" t="s">
        <v>6178</v>
      </c>
      <c r="C1809">
        <v>47.587499999999999</v>
      </c>
      <c r="D1809">
        <v>-99.661000000000001</v>
      </c>
      <c r="E1809" t="s">
        <v>8922</v>
      </c>
    </row>
    <row r="1810" spans="1:5" hidden="1" x14ac:dyDescent="0.25">
      <c r="A1810" t="s">
        <v>268</v>
      </c>
      <c r="B1810" t="s">
        <v>6178</v>
      </c>
      <c r="C1810">
        <v>48.343699999999998</v>
      </c>
      <c r="D1810">
        <v>-103.4802</v>
      </c>
      <c r="E1810" t="s">
        <v>8923</v>
      </c>
    </row>
    <row r="1811" spans="1:5" hidden="1" x14ac:dyDescent="0.25">
      <c r="A1811" t="s">
        <v>1324</v>
      </c>
      <c r="B1811" t="s">
        <v>6181</v>
      </c>
      <c r="C1811">
        <v>40.524500000000003</v>
      </c>
      <c r="D1811">
        <v>-98.501199999999997</v>
      </c>
      <c r="E1811" t="s">
        <v>8924</v>
      </c>
    </row>
    <row r="1812" spans="1:5" hidden="1" x14ac:dyDescent="0.25">
      <c r="A1812" t="s">
        <v>366</v>
      </c>
      <c r="B1812" t="s">
        <v>6181</v>
      </c>
      <c r="C1812">
        <v>42.176900000000003</v>
      </c>
      <c r="D1812">
        <v>-98.066699999999997</v>
      </c>
      <c r="E1812" t="s">
        <v>8925</v>
      </c>
    </row>
    <row r="1813" spans="1:5" hidden="1" x14ac:dyDescent="0.25">
      <c r="A1813" t="s">
        <v>4651</v>
      </c>
      <c r="B1813" t="s">
        <v>6181</v>
      </c>
      <c r="C1813">
        <v>41.569000000000003</v>
      </c>
      <c r="D1813">
        <v>-101.69580000000001</v>
      </c>
      <c r="E1813" t="s">
        <v>8926</v>
      </c>
    </row>
    <row r="1814" spans="1:5" x14ac:dyDescent="0.25">
      <c r="A1814" t="s">
        <v>8927</v>
      </c>
      <c r="B1814" t="s">
        <v>6181</v>
      </c>
      <c r="C1814">
        <v>41.545999999999999</v>
      </c>
      <c r="D1814">
        <v>-103.7105</v>
      </c>
      <c r="E1814" t="s">
        <v>8928</v>
      </c>
    </row>
    <row r="1815" spans="1:5" hidden="1" x14ac:dyDescent="0.25">
      <c r="A1815" t="s">
        <v>7232</v>
      </c>
      <c r="B1815" t="s">
        <v>6181</v>
      </c>
      <c r="C1815">
        <v>41.912799999999997</v>
      </c>
      <c r="D1815">
        <v>-99.976699999999994</v>
      </c>
      <c r="E1815" t="s">
        <v>8929</v>
      </c>
    </row>
    <row r="1816" spans="1:5" hidden="1" x14ac:dyDescent="0.25">
      <c r="A1816" t="s">
        <v>6335</v>
      </c>
      <c r="B1816" t="s">
        <v>6181</v>
      </c>
      <c r="C1816">
        <v>41.706800000000001</v>
      </c>
      <c r="D1816">
        <v>-98.0672</v>
      </c>
      <c r="E1816" t="s">
        <v>8930</v>
      </c>
    </row>
    <row r="1817" spans="1:5" hidden="1" x14ac:dyDescent="0.25">
      <c r="A1817" t="s">
        <v>8931</v>
      </c>
      <c r="B1817" t="s">
        <v>6181</v>
      </c>
      <c r="C1817">
        <v>42.219700000000003</v>
      </c>
      <c r="D1817">
        <v>-103.0857</v>
      </c>
      <c r="E1817" t="s">
        <v>8932</v>
      </c>
    </row>
    <row r="1818" spans="1:5" hidden="1" x14ac:dyDescent="0.25">
      <c r="A1818" t="s">
        <v>7727</v>
      </c>
      <c r="B1818" t="s">
        <v>6181</v>
      </c>
      <c r="C1818">
        <v>42.899700000000003</v>
      </c>
      <c r="D1818">
        <v>-98.766499999999994</v>
      </c>
      <c r="E1818" t="s">
        <v>8933</v>
      </c>
    </row>
    <row r="1819" spans="1:5" hidden="1" x14ac:dyDescent="0.25">
      <c r="A1819" t="s">
        <v>633</v>
      </c>
      <c r="B1819" t="s">
        <v>6181</v>
      </c>
      <c r="C1819">
        <v>42.43</v>
      </c>
      <c r="D1819">
        <v>-99.929500000000004</v>
      </c>
      <c r="E1819" t="s">
        <v>8934</v>
      </c>
    </row>
    <row r="1820" spans="1:5" hidden="1" x14ac:dyDescent="0.25">
      <c r="A1820" t="s">
        <v>8935</v>
      </c>
      <c r="B1820" t="s">
        <v>6181</v>
      </c>
      <c r="C1820">
        <v>40.855200000000004</v>
      </c>
      <c r="D1820">
        <v>-99.075000000000003</v>
      </c>
      <c r="E1820" t="s">
        <v>8936</v>
      </c>
    </row>
    <row r="1821" spans="1:5" hidden="1" x14ac:dyDescent="0.25">
      <c r="A1821" t="s">
        <v>8937</v>
      </c>
      <c r="B1821" t="s">
        <v>6181</v>
      </c>
      <c r="C1821">
        <v>41.851500000000001</v>
      </c>
      <c r="D1821">
        <v>-96.328599999999994</v>
      </c>
      <c r="E1821" t="s">
        <v>8938</v>
      </c>
    </row>
    <row r="1822" spans="1:5" hidden="1" x14ac:dyDescent="0.25">
      <c r="A1822" t="s">
        <v>4103</v>
      </c>
      <c r="B1822" t="s">
        <v>6181</v>
      </c>
      <c r="C1822">
        <v>41.226100000000002</v>
      </c>
      <c r="D1822">
        <v>-97.131799999999998</v>
      </c>
      <c r="E1822" t="s">
        <v>8939</v>
      </c>
    </row>
    <row r="1823" spans="1:5" hidden="1" x14ac:dyDescent="0.25">
      <c r="A1823" t="s">
        <v>7103</v>
      </c>
      <c r="B1823" t="s">
        <v>6181</v>
      </c>
      <c r="C1823">
        <v>40.909700000000001</v>
      </c>
      <c r="D1823">
        <v>-96.140900000000002</v>
      </c>
      <c r="E1823" t="s">
        <v>8940</v>
      </c>
    </row>
    <row r="1824" spans="1:5" hidden="1" x14ac:dyDescent="0.25">
      <c r="A1824" t="s">
        <v>7105</v>
      </c>
      <c r="B1824" t="s">
        <v>6181</v>
      </c>
      <c r="C1824">
        <v>42.599299999999999</v>
      </c>
      <c r="D1824">
        <v>-97.252399999999994</v>
      </c>
      <c r="E1824" t="s">
        <v>8941</v>
      </c>
    </row>
    <row r="1825" spans="1:5" hidden="1" x14ac:dyDescent="0.25">
      <c r="A1825" t="s">
        <v>5486</v>
      </c>
      <c r="B1825" t="s">
        <v>6181</v>
      </c>
      <c r="C1825">
        <v>40.5242</v>
      </c>
      <c r="D1825">
        <v>-101.69799999999999</v>
      </c>
      <c r="E1825" t="s">
        <v>8942</v>
      </c>
    </row>
    <row r="1826" spans="1:5" hidden="1" x14ac:dyDescent="0.25">
      <c r="A1826" t="s">
        <v>4604</v>
      </c>
      <c r="B1826" t="s">
        <v>6181</v>
      </c>
      <c r="C1826">
        <v>42.545000000000002</v>
      </c>
      <c r="D1826">
        <v>-101.1186</v>
      </c>
      <c r="E1826" t="s">
        <v>8943</v>
      </c>
    </row>
    <row r="1827" spans="1:5" hidden="1" x14ac:dyDescent="0.25">
      <c r="A1827" t="s">
        <v>6600</v>
      </c>
      <c r="B1827" t="s">
        <v>6181</v>
      </c>
      <c r="C1827">
        <v>41.219799999999999</v>
      </c>
      <c r="D1827">
        <v>-102.995</v>
      </c>
      <c r="E1827" t="s">
        <v>8944</v>
      </c>
    </row>
    <row r="1828" spans="1:5" hidden="1" x14ac:dyDescent="0.25">
      <c r="A1828" t="s">
        <v>6221</v>
      </c>
      <c r="B1828" t="s">
        <v>6181</v>
      </c>
      <c r="C1828">
        <v>40.5244</v>
      </c>
      <c r="D1828">
        <v>-98.051299999999998</v>
      </c>
      <c r="E1828" t="s">
        <v>8945</v>
      </c>
    </row>
    <row r="1829" spans="1:5" hidden="1" x14ac:dyDescent="0.25">
      <c r="A1829" t="s">
        <v>8946</v>
      </c>
      <c r="B1829" t="s">
        <v>6181</v>
      </c>
      <c r="C1829">
        <v>41.573999999999998</v>
      </c>
      <c r="D1829">
        <v>-97.086500000000001</v>
      </c>
      <c r="E1829" t="s">
        <v>8947</v>
      </c>
    </row>
    <row r="1830" spans="1:5" hidden="1" x14ac:dyDescent="0.25">
      <c r="A1830" t="s">
        <v>8948</v>
      </c>
      <c r="B1830" t="s">
        <v>6181</v>
      </c>
      <c r="C1830">
        <v>41.916400000000003</v>
      </c>
      <c r="D1830">
        <v>-96.787400000000005</v>
      </c>
      <c r="E1830" t="s">
        <v>8949</v>
      </c>
    </row>
    <row r="1831" spans="1:5" hidden="1" x14ac:dyDescent="0.25">
      <c r="A1831" t="s">
        <v>6610</v>
      </c>
      <c r="B1831" t="s">
        <v>6181</v>
      </c>
      <c r="C1831">
        <v>41.394300000000001</v>
      </c>
      <c r="D1831">
        <v>-99.726200000000006</v>
      </c>
      <c r="E1831" t="s">
        <v>8950</v>
      </c>
    </row>
    <row r="1832" spans="1:5" hidden="1" x14ac:dyDescent="0.25">
      <c r="A1832" t="s">
        <v>8234</v>
      </c>
      <c r="B1832" t="s">
        <v>6181</v>
      </c>
      <c r="C1832">
        <v>42.391100000000002</v>
      </c>
      <c r="D1832">
        <v>-96.564599999999999</v>
      </c>
      <c r="E1832" t="s">
        <v>8951</v>
      </c>
    </row>
    <row r="1833" spans="1:5" hidden="1" x14ac:dyDescent="0.25">
      <c r="A1833" t="s">
        <v>8952</v>
      </c>
      <c r="B1833" t="s">
        <v>6181</v>
      </c>
      <c r="C1833">
        <v>42.719700000000003</v>
      </c>
      <c r="D1833">
        <v>-103.1354</v>
      </c>
      <c r="E1833" t="s">
        <v>8953</v>
      </c>
    </row>
    <row r="1834" spans="1:5" hidden="1" x14ac:dyDescent="0.25">
      <c r="A1834" t="s">
        <v>6898</v>
      </c>
      <c r="B1834" t="s">
        <v>6181</v>
      </c>
      <c r="C1834">
        <v>40.869900000000001</v>
      </c>
      <c r="D1834">
        <v>-99.819599999999994</v>
      </c>
      <c r="E1834" t="s">
        <v>8954</v>
      </c>
    </row>
    <row r="1835" spans="1:5" hidden="1" x14ac:dyDescent="0.25">
      <c r="A1835" t="s">
        <v>8955</v>
      </c>
      <c r="B1835" t="s">
        <v>6181</v>
      </c>
      <c r="C1835">
        <v>41.111600000000003</v>
      </c>
      <c r="D1835">
        <v>-102.3339</v>
      </c>
      <c r="E1835" t="s">
        <v>8956</v>
      </c>
    </row>
    <row r="1836" spans="1:5" hidden="1" x14ac:dyDescent="0.25">
      <c r="A1836" t="s">
        <v>651</v>
      </c>
      <c r="B1836" t="s">
        <v>6181</v>
      </c>
      <c r="C1836">
        <v>42.493099999999998</v>
      </c>
      <c r="D1836">
        <v>-96.867699999999999</v>
      </c>
      <c r="E1836" t="s">
        <v>8957</v>
      </c>
    </row>
    <row r="1837" spans="1:5" hidden="1" x14ac:dyDescent="0.25">
      <c r="A1837" t="s">
        <v>6903</v>
      </c>
      <c r="B1837" t="s">
        <v>6181</v>
      </c>
      <c r="C1837">
        <v>41.5779</v>
      </c>
      <c r="D1837">
        <v>-96.653999999999996</v>
      </c>
      <c r="E1837" t="s">
        <v>8958</v>
      </c>
    </row>
    <row r="1838" spans="1:5" hidden="1" x14ac:dyDescent="0.25">
      <c r="A1838" t="s">
        <v>2538</v>
      </c>
      <c r="B1838" t="s">
        <v>6181</v>
      </c>
      <c r="C1838">
        <v>41.295299999999997</v>
      </c>
      <c r="D1838">
        <v>-96.154300000000006</v>
      </c>
      <c r="E1838" t="s">
        <v>8959</v>
      </c>
    </row>
    <row r="1839" spans="1:5" hidden="1" x14ac:dyDescent="0.25">
      <c r="A1839" t="s">
        <v>8960</v>
      </c>
      <c r="B1839" t="s">
        <v>6181</v>
      </c>
      <c r="C1839">
        <v>40.176200000000001</v>
      </c>
      <c r="D1839">
        <v>-101.6879</v>
      </c>
      <c r="E1839" t="s">
        <v>8961</v>
      </c>
    </row>
    <row r="1840" spans="1:5" hidden="1" x14ac:dyDescent="0.25">
      <c r="A1840" t="s">
        <v>8240</v>
      </c>
      <c r="B1840" t="s">
        <v>6181</v>
      </c>
      <c r="C1840">
        <v>40.524700000000003</v>
      </c>
      <c r="D1840">
        <v>-97.596500000000006</v>
      </c>
      <c r="E1840" t="s">
        <v>8962</v>
      </c>
    </row>
    <row r="1841" spans="1:5" hidden="1" x14ac:dyDescent="0.25">
      <c r="A1841" t="s">
        <v>6260</v>
      </c>
      <c r="B1841" t="s">
        <v>6181</v>
      </c>
      <c r="C1841">
        <v>40.176299999999998</v>
      </c>
      <c r="D1841">
        <v>-98.952799999999996</v>
      </c>
      <c r="E1841" t="s">
        <v>8963</v>
      </c>
    </row>
    <row r="1842" spans="1:5" hidden="1" x14ac:dyDescent="0.25">
      <c r="A1842" t="s">
        <v>8964</v>
      </c>
      <c r="B1842" t="s">
        <v>6181</v>
      </c>
      <c r="C1842">
        <v>40.530099999999997</v>
      </c>
      <c r="D1842">
        <v>-100.3942</v>
      </c>
      <c r="E1842" t="s">
        <v>8965</v>
      </c>
    </row>
    <row r="1843" spans="1:5" hidden="1" x14ac:dyDescent="0.25">
      <c r="A1843" t="s">
        <v>8966</v>
      </c>
      <c r="B1843" t="s">
        <v>6181</v>
      </c>
      <c r="C1843">
        <v>40.176400000000001</v>
      </c>
      <c r="D1843">
        <v>-99.912300000000002</v>
      </c>
      <c r="E1843" t="s">
        <v>8967</v>
      </c>
    </row>
    <row r="1844" spans="1:5" hidden="1" x14ac:dyDescent="0.25">
      <c r="A1844" t="s">
        <v>8968</v>
      </c>
      <c r="B1844" t="s">
        <v>6181</v>
      </c>
      <c r="C1844">
        <v>40.261899999999997</v>
      </c>
      <c r="D1844">
        <v>-96.689400000000006</v>
      </c>
      <c r="E1844" t="s">
        <v>8969</v>
      </c>
    </row>
    <row r="1845" spans="1:5" hidden="1" x14ac:dyDescent="0.25">
      <c r="A1845" t="s">
        <v>8970</v>
      </c>
      <c r="B1845" t="s">
        <v>6181</v>
      </c>
      <c r="C1845">
        <v>41.619399999999999</v>
      </c>
      <c r="D1845">
        <v>-102.33540000000001</v>
      </c>
      <c r="E1845" t="s">
        <v>8971</v>
      </c>
    </row>
    <row r="1846" spans="1:5" hidden="1" x14ac:dyDescent="0.25">
      <c r="A1846" t="s">
        <v>6626</v>
      </c>
      <c r="B1846" t="s">
        <v>6181</v>
      </c>
      <c r="C1846">
        <v>41.914400000000001</v>
      </c>
      <c r="D1846">
        <v>-98.991399999999999</v>
      </c>
      <c r="E1846" t="s">
        <v>8972</v>
      </c>
    </row>
    <row r="1847" spans="1:5" hidden="1" x14ac:dyDescent="0.25">
      <c r="A1847" t="s">
        <v>8973</v>
      </c>
      <c r="B1847" t="s">
        <v>6181</v>
      </c>
      <c r="C1847">
        <v>40.514800000000001</v>
      </c>
      <c r="D1847">
        <v>-99.830699999999993</v>
      </c>
      <c r="E1847" t="s">
        <v>8974</v>
      </c>
    </row>
    <row r="1848" spans="1:5" hidden="1" x14ac:dyDescent="0.25">
      <c r="A1848" t="s">
        <v>4593</v>
      </c>
      <c r="B1848" t="s">
        <v>6181</v>
      </c>
      <c r="C1848">
        <v>41.914999999999999</v>
      </c>
      <c r="D1848">
        <v>-101.7406</v>
      </c>
      <c r="E1848" t="s">
        <v>8975</v>
      </c>
    </row>
    <row r="1849" spans="1:5" hidden="1" x14ac:dyDescent="0.25">
      <c r="A1849" t="s">
        <v>7606</v>
      </c>
      <c r="B1849" t="s">
        <v>6181</v>
      </c>
      <c r="C1849">
        <v>41.567399999999999</v>
      </c>
      <c r="D1849">
        <v>-98.521199999999993</v>
      </c>
      <c r="E1849" t="s">
        <v>8976</v>
      </c>
    </row>
    <row r="1850" spans="1:5" hidden="1" x14ac:dyDescent="0.25">
      <c r="A1850" t="s">
        <v>2889</v>
      </c>
      <c r="B1850" t="s">
        <v>6181</v>
      </c>
      <c r="C1850">
        <v>40.872599999999998</v>
      </c>
      <c r="D1850">
        <v>-98.502200000000002</v>
      </c>
      <c r="E1850" t="s">
        <v>8977</v>
      </c>
    </row>
    <row r="1851" spans="1:5" hidden="1" x14ac:dyDescent="0.25">
      <c r="A1851" t="s">
        <v>6761</v>
      </c>
      <c r="B1851" t="s">
        <v>6181</v>
      </c>
      <c r="C1851">
        <v>40.872999999999998</v>
      </c>
      <c r="D1851">
        <v>-98.022900000000007</v>
      </c>
      <c r="E1851" t="s">
        <v>8978</v>
      </c>
    </row>
    <row r="1852" spans="1:5" hidden="1" x14ac:dyDescent="0.25">
      <c r="A1852" t="s">
        <v>7778</v>
      </c>
      <c r="B1852" t="s">
        <v>6181</v>
      </c>
      <c r="C1852">
        <v>40.176499999999997</v>
      </c>
      <c r="D1852">
        <v>-99.404600000000002</v>
      </c>
      <c r="E1852" t="s">
        <v>8979</v>
      </c>
    </row>
    <row r="1853" spans="1:5" hidden="1" x14ac:dyDescent="0.25">
      <c r="A1853" t="s">
        <v>8980</v>
      </c>
      <c r="B1853" t="s">
        <v>6181</v>
      </c>
      <c r="C1853">
        <v>40.524799999999999</v>
      </c>
      <c r="D1853">
        <v>-101.06189999999999</v>
      </c>
      <c r="E1853" t="s">
        <v>8981</v>
      </c>
    </row>
    <row r="1854" spans="1:5" hidden="1" x14ac:dyDescent="0.25">
      <c r="A1854" t="s">
        <v>8982</v>
      </c>
      <c r="B1854" t="s">
        <v>6181</v>
      </c>
      <c r="C1854">
        <v>40.176299999999998</v>
      </c>
      <c r="D1854">
        <v>-101.0423</v>
      </c>
      <c r="E1854" t="s">
        <v>8983</v>
      </c>
    </row>
    <row r="1855" spans="1:5" hidden="1" x14ac:dyDescent="0.25">
      <c r="A1855" t="s">
        <v>1863</v>
      </c>
      <c r="B1855" t="s">
        <v>6181</v>
      </c>
      <c r="C1855">
        <v>42.4557</v>
      </c>
      <c r="D1855">
        <v>-98.783799999999999</v>
      </c>
      <c r="E1855" t="s">
        <v>8984</v>
      </c>
    </row>
    <row r="1856" spans="1:5" hidden="1" x14ac:dyDescent="0.25">
      <c r="A1856" t="s">
        <v>8985</v>
      </c>
      <c r="B1856" t="s">
        <v>6181</v>
      </c>
      <c r="C1856">
        <v>41.9161</v>
      </c>
      <c r="D1856">
        <v>-101.1353</v>
      </c>
      <c r="E1856" t="s">
        <v>8986</v>
      </c>
    </row>
    <row r="1857" spans="1:5" hidden="1" x14ac:dyDescent="0.25">
      <c r="A1857" t="s">
        <v>793</v>
      </c>
      <c r="B1857" t="s">
        <v>6181</v>
      </c>
      <c r="C1857">
        <v>41.22</v>
      </c>
      <c r="D1857">
        <v>-98.517099999999999</v>
      </c>
      <c r="E1857" t="s">
        <v>8987</v>
      </c>
    </row>
    <row r="1858" spans="1:5" hidden="1" x14ac:dyDescent="0.25">
      <c r="A1858" t="s">
        <v>6272</v>
      </c>
      <c r="B1858" t="s">
        <v>6181</v>
      </c>
      <c r="C1858">
        <v>40.175699999999999</v>
      </c>
      <c r="D1858">
        <v>-97.142700000000005</v>
      </c>
      <c r="E1858" t="s">
        <v>8988</v>
      </c>
    </row>
    <row r="1859" spans="1:5" hidden="1" x14ac:dyDescent="0.25">
      <c r="A1859" t="s">
        <v>37</v>
      </c>
      <c r="B1859" t="s">
        <v>6181</v>
      </c>
      <c r="C1859">
        <v>40.392600000000002</v>
      </c>
      <c r="D1859">
        <v>-96.265100000000004</v>
      </c>
      <c r="E1859" t="s">
        <v>8989</v>
      </c>
    </row>
    <row r="1860" spans="1:5" hidden="1" x14ac:dyDescent="0.25">
      <c r="A1860" t="s">
        <v>8990</v>
      </c>
      <c r="B1860" t="s">
        <v>6181</v>
      </c>
      <c r="C1860">
        <v>40.506700000000002</v>
      </c>
      <c r="D1860">
        <v>-98.947999999999993</v>
      </c>
      <c r="E1860" t="s">
        <v>8991</v>
      </c>
    </row>
    <row r="1861" spans="1:5" hidden="1" x14ac:dyDescent="0.25">
      <c r="A1861" t="s">
        <v>8992</v>
      </c>
      <c r="B1861" t="s">
        <v>6181</v>
      </c>
      <c r="C1861">
        <v>41.198799999999999</v>
      </c>
      <c r="D1861">
        <v>-101.6615</v>
      </c>
      <c r="E1861" t="s">
        <v>8993</v>
      </c>
    </row>
    <row r="1862" spans="1:5" hidden="1" x14ac:dyDescent="0.25">
      <c r="A1862" t="s">
        <v>8994</v>
      </c>
      <c r="B1862" t="s">
        <v>6181</v>
      </c>
      <c r="C1862">
        <v>42.878900000000002</v>
      </c>
      <c r="D1862">
        <v>-99.712400000000002</v>
      </c>
      <c r="E1862" t="s">
        <v>8995</v>
      </c>
    </row>
    <row r="1863" spans="1:5" hidden="1" x14ac:dyDescent="0.25">
      <c r="A1863" t="s">
        <v>8996</v>
      </c>
      <c r="B1863" t="s">
        <v>6181</v>
      </c>
      <c r="C1863">
        <v>41.197800000000001</v>
      </c>
      <c r="D1863">
        <v>-103.7149</v>
      </c>
      <c r="E1863" t="s">
        <v>8997</v>
      </c>
    </row>
    <row r="1864" spans="1:5" hidden="1" x14ac:dyDescent="0.25">
      <c r="A1864" t="s">
        <v>7357</v>
      </c>
      <c r="B1864" t="s">
        <v>6181</v>
      </c>
      <c r="C1864">
        <v>42.636800000000001</v>
      </c>
      <c r="D1864">
        <v>-97.891900000000007</v>
      </c>
      <c r="E1864" t="s">
        <v>8998</v>
      </c>
    </row>
    <row r="1865" spans="1:5" hidden="1" x14ac:dyDescent="0.25">
      <c r="A1865" t="s">
        <v>1151</v>
      </c>
      <c r="B1865" t="s">
        <v>6181</v>
      </c>
      <c r="C1865">
        <v>40.784199999999998</v>
      </c>
      <c r="D1865">
        <v>-96.687799999999996</v>
      </c>
      <c r="E1865" t="s">
        <v>8999</v>
      </c>
    </row>
    <row r="1866" spans="1:5" hidden="1" x14ac:dyDescent="0.25">
      <c r="A1866" t="s">
        <v>6386</v>
      </c>
      <c r="B1866" t="s">
        <v>6181</v>
      </c>
      <c r="C1866">
        <v>41.047699999999999</v>
      </c>
      <c r="D1866">
        <v>-100.7453</v>
      </c>
      <c r="E1866" t="s">
        <v>9000</v>
      </c>
    </row>
    <row r="1867" spans="1:5" hidden="1" x14ac:dyDescent="0.25">
      <c r="A1867" t="s">
        <v>987</v>
      </c>
      <c r="B1867" t="s">
        <v>6181</v>
      </c>
      <c r="C1867">
        <v>41.566600000000001</v>
      </c>
      <c r="D1867">
        <v>-100.48269999999999</v>
      </c>
      <c r="E1867" t="s">
        <v>9001</v>
      </c>
    </row>
    <row r="1868" spans="1:5" hidden="1" x14ac:dyDescent="0.25">
      <c r="A1868" t="s">
        <v>9002</v>
      </c>
      <c r="B1868" t="s">
        <v>6181</v>
      </c>
      <c r="C1868">
        <v>41.913899999999998</v>
      </c>
      <c r="D1868">
        <v>-99.454400000000007</v>
      </c>
      <c r="E1868" t="s">
        <v>9003</v>
      </c>
    </row>
    <row r="1869" spans="1:5" hidden="1" x14ac:dyDescent="0.25">
      <c r="A1869" t="s">
        <v>6286</v>
      </c>
      <c r="B1869" t="s">
        <v>6181</v>
      </c>
      <c r="C1869">
        <v>41.916699999999999</v>
      </c>
      <c r="D1869">
        <v>-97.600800000000007</v>
      </c>
      <c r="E1869" t="s">
        <v>9004</v>
      </c>
    </row>
    <row r="1870" spans="1:5" hidden="1" x14ac:dyDescent="0.25">
      <c r="A1870" t="s">
        <v>7641</v>
      </c>
      <c r="B1870" t="s">
        <v>6181</v>
      </c>
      <c r="C1870">
        <v>41.568199999999997</v>
      </c>
      <c r="D1870">
        <v>-101.0604</v>
      </c>
      <c r="E1870" t="s">
        <v>9005</v>
      </c>
    </row>
    <row r="1871" spans="1:5" hidden="1" x14ac:dyDescent="0.25">
      <c r="A1871" t="s">
        <v>53</v>
      </c>
      <c r="B1871" t="s">
        <v>6181</v>
      </c>
      <c r="C1871">
        <v>41.168999999999997</v>
      </c>
      <c r="D1871">
        <v>-98.037999999999997</v>
      </c>
      <c r="E1871" t="s">
        <v>9006</v>
      </c>
    </row>
    <row r="1872" spans="1:5" hidden="1" x14ac:dyDescent="0.25">
      <c r="A1872" t="s">
        <v>9007</v>
      </c>
      <c r="B1872" t="s">
        <v>6181</v>
      </c>
      <c r="C1872">
        <v>41.716000000000001</v>
      </c>
      <c r="D1872">
        <v>-103.01049999999999</v>
      </c>
      <c r="E1872" t="s">
        <v>9008</v>
      </c>
    </row>
    <row r="1873" spans="1:5" hidden="1" x14ac:dyDescent="0.25">
      <c r="A1873" t="s">
        <v>9009</v>
      </c>
      <c r="B1873" t="s">
        <v>6181</v>
      </c>
      <c r="C1873">
        <v>41.397300000000001</v>
      </c>
      <c r="D1873">
        <v>-97.992199999999997</v>
      </c>
      <c r="E1873" t="s">
        <v>9010</v>
      </c>
    </row>
    <row r="1874" spans="1:5" hidden="1" x14ac:dyDescent="0.25">
      <c r="A1874" t="s">
        <v>7651</v>
      </c>
      <c r="B1874" t="s">
        <v>6181</v>
      </c>
      <c r="C1874">
        <v>40.387599999999999</v>
      </c>
      <c r="D1874">
        <v>-95.849800000000002</v>
      </c>
      <c r="E1874" t="s">
        <v>9011</v>
      </c>
    </row>
    <row r="1875" spans="1:5" hidden="1" x14ac:dyDescent="0.25">
      <c r="A1875" t="s">
        <v>9012</v>
      </c>
      <c r="B1875" t="s">
        <v>6181</v>
      </c>
      <c r="C1875">
        <v>40.176400000000001</v>
      </c>
      <c r="D1875">
        <v>-98.047200000000004</v>
      </c>
      <c r="E1875" t="s">
        <v>9013</v>
      </c>
    </row>
    <row r="1876" spans="1:5" hidden="1" x14ac:dyDescent="0.25">
      <c r="A1876" t="s">
        <v>9014</v>
      </c>
      <c r="B1876" t="s">
        <v>6181</v>
      </c>
      <c r="C1876">
        <v>40.648499999999999</v>
      </c>
      <c r="D1876">
        <v>-96.134799999999998</v>
      </c>
      <c r="E1876" t="s">
        <v>9015</v>
      </c>
    </row>
    <row r="1877" spans="1:5" hidden="1" x14ac:dyDescent="0.25">
      <c r="A1877" t="s">
        <v>7664</v>
      </c>
      <c r="B1877" t="s">
        <v>6181</v>
      </c>
      <c r="C1877">
        <v>40.131500000000003</v>
      </c>
      <c r="D1877">
        <v>-96.237099999999998</v>
      </c>
      <c r="E1877" t="s">
        <v>9016</v>
      </c>
    </row>
    <row r="1878" spans="1:5" hidden="1" x14ac:dyDescent="0.25">
      <c r="A1878" t="s">
        <v>2301</v>
      </c>
      <c r="B1878" t="s">
        <v>6181</v>
      </c>
      <c r="C1878">
        <v>40.850999999999999</v>
      </c>
      <c r="D1878">
        <v>-101.6497</v>
      </c>
      <c r="E1878" t="s">
        <v>9017</v>
      </c>
    </row>
    <row r="1879" spans="1:5" hidden="1" x14ac:dyDescent="0.25">
      <c r="A1879" t="s">
        <v>8449</v>
      </c>
      <c r="B1879" t="s">
        <v>6181</v>
      </c>
      <c r="C1879">
        <v>40.511099999999999</v>
      </c>
      <c r="D1879">
        <v>-99.414500000000004</v>
      </c>
      <c r="E1879" t="s">
        <v>9018</v>
      </c>
    </row>
    <row r="1880" spans="1:5" hidden="1" x14ac:dyDescent="0.25">
      <c r="A1880" t="s">
        <v>7001</v>
      </c>
      <c r="B1880" t="s">
        <v>6181</v>
      </c>
      <c r="C1880">
        <v>42.264400000000002</v>
      </c>
      <c r="D1880">
        <v>-97.601299999999995</v>
      </c>
      <c r="E1880" t="s">
        <v>9019</v>
      </c>
    </row>
    <row r="1881" spans="1:5" hidden="1" x14ac:dyDescent="0.25">
      <c r="A1881" t="s">
        <v>8452</v>
      </c>
      <c r="B1881" t="s">
        <v>6181</v>
      </c>
      <c r="C1881">
        <v>41.571300000000001</v>
      </c>
      <c r="D1881">
        <v>-97.521100000000004</v>
      </c>
      <c r="E1881" t="s">
        <v>9020</v>
      </c>
    </row>
    <row r="1882" spans="1:5" hidden="1" x14ac:dyDescent="0.25">
      <c r="A1882" t="s">
        <v>6410</v>
      </c>
      <c r="B1882" t="s">
        <v>6181</v>
      </c>
      <c r="C1882">
        <v>41.186900000000001</v>
      </c>
      <c r="D1882">
        <v>-97.568399999999997</v>
      </c>
      <c r="E1882" t="s">
        <v>9021</v>
      </c>
    </row>
    <row r="1883" spans="1:5" hidden="1" x14ac:dyDescent="0.25">
      <c r="A1883" t="s">
        <v>9022</v>
      </c>
      <c r="B1883" t="s">
        <v>6181</v>
      </c>
      <c r="C1883">
        <v>40.175800000000002</v>
      </c>
      <c r="D1883">
        <v>-100.4769</v>
      </c>
      <c r="E1883" t="s">
        <v>9023</v>
      </c>
    </row>
    <row r="1884" spans="1:5" hidden="1" x14ac:dyDescent="0.25">
      <c r="A1884" t="s">
        <v>507</v>
      </c>
      <c r="B1884" t="s">
        <v>6181</v>
      </c>
      <c r="C1884">
        <v>40.125</v>
      </c>
      <c r="D1884">
        <v>-95.717500000000001</v>
      </c>
      <c r="E1884" t="s">
        <v>9024</v>
      </c>
    </row>
    <row r="1885" spans="1:5" hidden="1" x14ac:dyDescent="0.25">
      <c r="A1885" t="s">
        <v>8314</v>
      </c>
      <c r="B1885" t="s">
        <v>6181</v>
      </c>
      <c r="C1885">
        <v>42.421300000000002</v>
      </c>
      <c r="D1885">
        <v>-99.4499</v>
      </c>
      <c r="E1885" t="s">
        <v>9025</v>
      </c>
    </row>
    <row r="1886" spans="1:5" hidden="1" x14ac:dyDescent="0.25">
      <c r="A1886" t="s">
        <v>6419</v>
      </c>
      <c r="B1886" t="s">
        <v>6181</v>
      </c>
      <c r="C1886">
        <v>40.524099999999997</v>
      </c>
      <c r="D1886">
        <v>-97.140900000000002</v>
      </c>
      <c r="E1886" t="s">
        <v>9026</v>
      </c>
    </row>
    <row r="1887" spans="1:5" hidden="1" x14ac:dyDescent="0.25">
      <c r="A1887" t="s">
        <v>9027</v>
      </c>
      <c r="B1887" t="s">
        <v>6181</v>
      </c>
      <c r="C1887">
        <v>41.112900000000003</v>
      </c>
      <c r="D1887">
        <v>-96.111999999999995</v>
      </c>
      <c r="E1887" t="s">
        <v>9028</v>
      </c>
    </row>
    <row r="1888" spans="1:5" hidden="1" x14ac:dyDescent="0.25">
      <c r="A1888" t="s">
        <v>1175</v>
      </c>
      <c r="B1888" t="s">
        <v>6181</v>
      </c>
      <c r="C1888">
        <v>41.226399999999998</v>
      </c>
      <c r="D1888">
        <v>-96.6374</v>
      </c>
      <c r="E1888" t="s">
        <v>9029</v>
      </c>
    </row>
    <row r="1889" spans="1:5" hidden="1" x14ac:dyDescent="0.25">
      <c r="A1889" t="s">
        <v>9030</v>
      </c>
      <c r="B1889" t="s">
        <v>6181</v>
      </c>
      <c r="C1889">
        <v>41.8506</v>
      </c>
      <c r="D1889">
        <v>-103.708</v>
      </c>
      <c r="E1889" t="s">
        <v>9031</v>
      </c>
    </row>
    <row r="1890" spans="1:5" hidden="1" x14ac:dyDescent="0.25">
      <c r="A1890" t="s">
        <v>7688</v>
      </c>
      <c r="B1890" t="s">
        <v>6181</v>
      </c>
      <c r="C1890">
        <v>40.872399999999999</v>
      </c>
      <c r="D1890">
        <v>-97.139499999999998</v>
      </c>
      <c r="E1890" t="s">
        <v>9032</v>
      </c>
    </row>
    <row r="1891" spans="1:5" hidden="1" x14ac:dyDescent="0.25">
      <c r="A1891" t="s">
        <v>7692</v>
      </c>
      <c r="B1891" t="s">
        <v>6181</v>
      </c>
      <c r="C1891">
        <v>42.504800000000003</v>
      </c>
      <c r="D1891">
        <v>-102.4089</v>
      </c>
      <c r="E1891" t="s">
        <v>9033</v>
      </c>
    </row>
    <row r="1892" spans="1:5" hidden="1" x14ac:dyDescent="0.25">
      <c r="A1892" t="s">
        <v>7694</v>
      </c>
      <c r="B1892" t="s">
        <v>6181</v>
      </c>
      <c r="C1892">
        <v>41.220599999999997</v>
      </c>
      <c r="D1892">
        <v>-98.976200000000006</v>
      </c>
      <c r="E1892" t="s">
        <v>9034</v>
      </c>
    </row>
    <row r="1893" spans="1:5" hidden="1" x14ac:dyDescent="0.25">
      <c r="A1893" t="s">
        <v>7199</v>
      </c>
      <c r="B1893" t="s">
        <v>6181</v>
      </c>
      <c r="C1893">
        <v>42.487699999999997</v>
      </c>
      <c r="D1893">
        <v>-103.7589</v>
      </c>
      <c r="E1893" t="s">
        <v>9035</v>
      </c>
    </row>
    <row r="1894" spans="1:5" hidden="1" x14ac:dyDescent="0.25">
      <c r="A1894" t="s">
        <v>7698</v>
      </c>
      <c r="B1894" t="s">
        <v>6181</v>
      </c>
      <c r="C1894">
        <v>41.916899999999998</v>
      </c>
      <c r="D1894">
        <v>-97.193899999999999</v>
      </c>
      <c r="E1894" t="s">
        <v>9036</v>
      </c>
    </row>
    <row r="1895" spans="1:5" hidden="1" x14ac:dyDescent="0.25">
      <c r="A1895" t="s">
        <v>9037</v>
      </c>
      <c r="B1895" t="s">
        <v>6181</v>
      </c>
      <c r="C1895">
        <v>40.176200000000001</v>
      </c>
      <c r="D1895">
        <v>-97.594999999999999</v>
      </c>
      <c r="E1895" t="s">
        <v>9038</v>
      </c>
    </row>
    <row r="1896" spans="1:5" hidden="1" x14ac:dyDescent="0.25">
      <c r="A1896" t="s">
        <v>226</v>
      </c>
      <c r="B1896" t="s">
        <v>6181</v>
      </c>
      <c r="C1896">
        <v>41.913699999999999</v>
      </c>
      <c r="D1896">
        <v>-100.5558</v>
      </c>
      <c r="E1896" t="s">
        <v>9039</v>
      </c>
    </row>
    <row r="1897" spans="1:5" hidden="1" x14ac:dyDescent="0.25">
      <c r="A1897" t="s">
        <v>9040</v>
      </c>
      <c r="B1897" t="s">
        <v>6181</v>
      </c>
      <c r="C1897">
        <v>42.158200000000001</v>
      </c>
      <c r="D1897">
        <v>-96.543999999999997</v>
      </c>
      <c r="E1897" t="s">
        <v>9041</v>
      </c>
    </row>
    <row r="1898" spans="1:5" hidden="1" x14ac:dyDescent="0.25">
      <c r="A1898" t="s">
        <v>7294</v>
      </c>
      <c r="B1898" t="s">
        <v>6181</v>
      </c>
      <c r="C1898">
        <v>41.567300000000003</v>
      </c>
      <c r="D1898">
        <v>-98.981899999999996</v>
      </c>
      <c r="E1898" t="s">
        <v>9042</v>
      </c>
    </row>
    <row r="1899" spans="1:5" hidden="1" x14ac:dyDescent="0.25">
      <c r="A1899" t="s">
        <v>3052</v>
      </c>
      <c r="B1899" t="s">
        <v>6181</v>
      </c>
      <c r="C1899">
        <v>41.531100000000002</v>
      </c>
      <c r="D1899">
        <v>-96.221999999999994</v>
      </c>
      <c r="E1899" t="s">
        <v>9043</v>
      </c>
    </row>
    <row r="1900" spans="1:5" hidden="1" x14ac:dyDescent="0.25">
      <c r="A1900" t="s">
        <v>7057</v>
      </c>
      <c r="B1900" t="s">
        <v>6181</v>
      </c>
      <c r="C1900">
        <v>42.209299999999999</v>
      </c>
      <c r="D1900">
        <v>-97.119299999999996</v>
      </c>
      <c r="E1900" t="s">
        <v>9044</v>
      </c>
    </row>
    <row r="1901" spans="1:5" hidden="1" x14ac:dyDescent="0.25">
      <c r="A1901" t="s">
        <v>7059</v>
      </c>
      <c r="B1901" t="s">
        <v>6181</v>
      </c>
      <c r="C1901">
        <v>40.176400000000001</v>
      </c>
      <c r="D1901">
        <v>-98.5</v>
      </c>
      <c r="E1901" t="s">
        <v>9045</v>
      </c>
    </row>
    <row r="1902" spans="1:5" hidden="1" x14ac:dyDescent="0.25">
      <c r="A1902" t="s">
        <v>1447</v>
      </c>
      <c r="B1902" t="s">
        <v>6181</v>
      </c>
      <c r="C1902">
        <v>41.9148</v>
      </c>
      <c r="D1902">
        <v>-98.528199999999998</v>
      </c>
      <c r="E1902" t="s">
        <v>9046</v>
      </c>
    </row>
    <row r="1903" spans="1:5" hidden="1" x14ac:dyDescent="0.25">
      <c r="A1903" t="s">
        <v>991</v>
      </c>
      <c r="B1903" t="s">
        <v>6181</v>
      </c>
      <c r="C1903">
        <v>40.872700000000002</v>
      </c>
      <c r="D1903">
        <v>-97.597099999999998</v>
      </c>
      <c r="E1903" t="s">
        <v>9047</v>
      </c>
    </row>
    <row r="1904" spans="1:5" hidden="1" x14ac:dyDescent="0.25">
      <c r="A1904" t="s">
        <v>9048</v>
      </c>
      <c r="B1904" t="s">
        <v>6184</v>
      </c>
      <c r="C1904">
        <v>43.517899999999997</v>
      </c>
      <c r="D1904">
        <v>-71.422700000000006</v>
      </c>
      <c r="E1904" t="s">
        <v>9049</v>
      </c>
    </row>
    <row r="1905" spans="1:5" hidden="1" x14ac:dyDescent="0.25">
      <c r="A1905" t="s">
        <v>6340</v>
      </c>
      <c r="B1905" t="s">
        <v>6184</v>
      </c>
      <c r="C1905">
        <v>43.873800000000003</v>
      </c>
      <c r="D1905">
        <v>-71.203100000000006</v>
      </c>
      <c r="E1905" t="s">
        <v>9050</v>
      </c>
    </row>
    <row r="1906" spans="1:5" hidden="1" x14ac:dyDescent="0.25">
      <c r="A1906" t="s">
        <v>9051</v>
      </c>
      <c r="B1906" t="s">
        <v>6184</v>
      </c>
      <c r="C1906">
        <v>42.9193</v>
      </c>
      <c r="D1906">
        <v>-72.251199999999997</v>
      </c>
      <c r="E1906" t="s">
        <v>9052</v>
      </c>
    </row>
    <row r="1907" spans="1:5" hidden="1" x14ac:dyDescent="0.25">
      <c r="A1907" t="s">
        <v>9053</v>
      </c>
      <c r="B1907" t="s">
        <v>6184</v>
      </c>
      <c r="C1907">
        <v>44.689599999999999</v>
      </c>
      <c r="D1907">
        <v>-71.305599999999998</v>
      </c>
      <c r="E1907" t="s">
        <v>9054</v>
      </c>
    </row>
    <row r="1908" spans="1:5" hidden="1" x14ac:dyDescent="0.25">
      <c r="A1908" t="s">
        <v>9055</v>
      </c>
      <c r="B1908" t="s">
        <v>6184</v>
      </c>
      <c r="C1908">
        <v>43.9407</v>
      </c>
      <c r="D1908">
        <v>-71.820800000000006</v>
      </c>
      <c r="E1908" t="s">
        <v>9056</v>
      </c>
    </row>
    <row r="1909" spans="1:5" hidden="1" x14ac:dyDescent="0.25">
      <c r="A1909" t="s">
        <v>6771</v>
      </c>
      <c r="B1909" t="s">
        <v>6184</v>
      </c>
      <c r="C1909">
        <v>42.915300000000002</v>
      </c>
      <c r="D1909">
        <v>-71.716099999999997</v>
      </c>
      <c r="E1909" t="s">
        <v>9057</v>
      </c>
    </row>
    <row r="1910" spans="1:5" hidden="1" x14ac:dyDescent="0.25">
      <c r="A1910" t="s">
        <v>9058</v>
      </c>
      <c r="B1910" t="s">
        <v>6184</v>
      </c>
      <c r="C1910">
        <v>43.297499999999999</v>
      </c>
      <c r="D1910">
        <v>-71.680199999999999</v>
      </c>
      <c r="E1910" t="s">
        <v>9059</v>
      </c>
    </row>
    <row r="1911" spans="1:5" hidden="1" x14ac:dyDescent="0.25">
      <c r="A1911" t="s">
        <v>8815</v>
      </c>
      <c r="B1911" t="s">
        <v>6184</v>
      </c>
      <c r="C1911">
        <v>42.9876</v>
      </c>
      <c r="D1911">
        <v>-71.125399999999999</v>
      </c>
      <c r="E1911" t="s">
        <v>9060</v>
      </c>
    </row>
    <row r="1912" spans="1:5" hidden="1" x14ac:dyDescent="0.25">
      <c r="A1912" t="s">
        <v>1522</v>
      </c>
      <c r="B1912" t="s">
        <v>6184</v>
      </c>
      <c r="C1912">
        <v>43.296999999999997</v>
      </c>
      <c r="D1912">
        <v>-71.028800000000004</v>
      </c>
      <c r="E1912" t="s">
        <v>9061</v>
      </c>
    </row>
    <row r="1913" spans="1:5" hidden="1" x14ac:dyDescent="0.25">
      <c r="A1913" t="s">
        <v>3228</v>
      </c>
      <c r="B1913" t="s">
        <v>6184</v>
      </c>
      <c r="C1913">
        <v>43.3613</v>
      </c>
      <c r="D1913">
        <v>-72.222099999999998</v>
      </c>
      <c r="E1913" t="s">
        <v>9062</v>
      </c>
    </row>
    <row r="1914" spans="1:5" hidden="1" x14ac:dyDescent="0.25">
      <c r="A1914" t="s">
        <v>9063</v>
      </c>
      <c r="B1914" t="s">
        <v>6187</v>
      </c>
      <c r="C1914">
        <v>39.477800000000002</v>
      </c>
      <c r="D1914">
        <v>-74.661299999999997</v>
      </c>
      <c r="E1914" t="s">
        <v>9064</v>
      </c>
    </row>
    <row r="1915" spans="1:5" hidden="1" x14ac:dyDescent="0.25">
      <c r="A1915" t="s">
        <v>677</v>
      </c>
      <c r="B1915" t="s">
        <v>6187</v>
      </c>
      <c r="C1915">
        <v>40.959699999999998</v>
      </c>
      <c r="D1915">
        <v>-74.074200000000005</v>
      </c>
      <c r="E1915" t="s">
        <v>9065</v>
      </c>
    </row>
    <row r="1916" spans="1:5" hidden="1" x14ac:dyDescent="0.25">
      <c r="A1916" t="s">
        <v>1788</v>
      </c>
      <c r="B1916" t="s">
        <v>6187</v>
      </c>
      <c r="C1916">
        <v>39.877699999999997</v>
      </c>
      <c r="D1916">
        <v>-74.668099999999995</v>
      </c>
      <c r="E1916" t="s">
        <v>9066</v>
      </c>
    </row>
    <row r="1917" spans="1:5" hidden="1" x14ac:dyDescent="0.25">
      <c r="A1917" t="s">
        <v>4482</v>
      </c>
      <c r="B1917" t="s">
        <v>6187</v>
      </c>
      <c r="C1917">
        <v>39.8035</v>
      </c>
      <c r="D1917">
        <v>-74.959699999999998</v>
      </c>
      <c r="E1917" t="s">
        <v>9067</v>
      </c>
    </row>
    <row r="1918" spans="1:5" hidden="1" x14ac:dyDescent="0.25">
      <c r="A1918" t="s">
        <v>9068</v>
      </c>
      <c r="B1918" t="s">
        <v>6187</v>
      </c>
      <c r="C1918">
        <v>39.1494</v>
      </c>
      <c r="D1918">
        <v>-74.8005</v>
      </c>
      <c r="E1918" t="s">
        <v>9069</v>
      </c>
    </row>
    <row r="1919" spans="1:5" hidden="1" x14ac:dyDescent="0.25">
      <c r="A1919" t="s">
        <v>7316</v>
      </c>
      <c r="B1919" t="s">
        <v>6187</v>
      </c>
      <c r="C1919">
        <v>39.373899999999999</v>
      </c>
      <c r="D1919">
        <v>-75.110699999999994</v>
      </c>
      <c r="E1919" t="s">
        <v>9070</v>
      </c>
    </row>
    <row r="1920" spans="1:5" hidden="1" x14ac:dyDescent="0.25">
      <c r="A1920" t="s">
        <v>7993</v>
      </c>
      <c r="B1920" t="s">
        <v>6187</v>
      </c>
      <c r="C1920">
        <v>40.787999999999997</v>
      </c>
      <c r="D1920">
        <v>-74.248099999999994</v>
      </c>
      <c r="E1920" t="s">
        <v>9071</v>
      </c>
    </row>
    <row r="1921" spans="1:5" hidden="1" x14ac:dyDescent="0.25">
      <c r="A1921" t="s">
        <v>1409</v>
      </c>
      <c r="B1921" t="s">
        <v>6187</v>
      </c>
      <c r="C1921">
        <v>39.717300000000002</v>
      </c>
      <c r="D1921">
        <v>-75.141400000000004</v>
      </c>
      <c r="E1921" t="s">
        <v>9072</v>
      </c>
    </row>
    <row r="1922" spans="1:5" hidden="1" x14ac:dyDescent="0.25">
      <c r="A1922" t="s">
        <v>9073</v>
      </c>
      <c r="B1922" t="s">
        <v>6187</v>
      </c>
      <c r="C1922">
        <v>40.7408</v>
      </c>
      <c r="D1922">
        <v>-74.075100000000006</v>
      </c>
      <c r="E1922" t="s">
        <v>9074</v>
      </c>
    </row>
    <row r="1923" spans="1:5" hidden="1" x14ac:dyDescent="0.25">
      <c r="A1923" t="s">
        <v>9075</v>
      </c>
      <c r="B1923" t="s">
        <v>6187</v>
      </c>
      <c r="C1923">
        <v>40.567300000000003</v>
      </c>
      <c r="D1923">
        <v>-74.912199999999999</v>
      </c>
      <c r="E1923" t="s">
        <v>9076</v>
      </c>
    </row>
    <row r="1924" spans="1:5" hidden="1" x14ac:dyDescent="0.25">
      <c r="A1924" t="s">
        <v>1636</v>
      </c>
      <c r="B1924" t="s">
        <v>6187</v>
      </c>
      <c r="C1924">
        <v>40.2834</v>
      </c>
      <c r="D1924">
        <v>-74.701800000000006</v>
      </c>
      <c r="E1924" t="s">
        <v>9077</v>
      </c>
    </row>
    <row r="1925" spans="1:5" hidden="1" x14ac:dyDescent="0.25">
      <c r="A1925" t="s">
        <v>428</v>
      </c>
      <c r="B1925" t="s">
        <v>6187</v>
      </c>
      <c r="C1925">
        <v>40.4392</v>
      </c>
      <c r="D1925">
        <v>-74.411699999999996</v>
      </c>
      <c r="E1925" t="s">
        <v>9078</v>
      </c>
    </row>
    <row r="1926" spans="1:5" hidden="1" x14ac:dyDescent="0.25">
      <c r="A1926" t="s">
        <v>202</v>
      </c>
      <c r="B1926" t="s">
        <v>6187</v>
      </c>
      <c r="C1926">
        <v>40.26</v>
      </c>
      <c r="D1926">
        <v>-74.221599999999995</v>
      </c>
      <c r="E1926" t="s">
        <v>9079</v>
      </c>
    </row>
    <row r="1927" spans="1:5" hidden="1" x14ac:dyDescent="0.25">
      <c r="A1927" t="s">
        <v>624</v>
      </c>
      <c r="B1927" t="s">
        <v>6187</v>
      </c>
      <c r="C1927">
        <v>40.862000000000002</v>
      </c>
      <c r="D1927">
        <v>-74.544499999999999</v>
      </c>
      <c r="E1927" t="s">
        <v>9080</v>
      </c>
    </row>
    <row r="1928" spans="1:5" hidden="1" x14ac:dyDescent="0.25">
      <c r="A1928" t="s">
        <v>9081</v>
      </c>
      <c r="B1928" t="s">
        <v>6187</v>
      </c>
      <c r="C1928">
        <v>39.885599999999997</v>
      </c>
      <c r="D1928">
        <v>-74.281400000000005</v>
      </c>
      <c r="E1928" t="s">
        <v>9082</v>
      </c>
    </row>
    <row r="1929" spans="1:5" hidden="1" x14ac:dyDescent="0.25">
      <c r="A1929" t="s">
        <v>9083</v>
      </c>
      <c r="B1929" t="s">
        <v>6187</v>
      </c>
      <c r="C1929">
        <v>41.034399999999998</v>
      </c>
      <c r="D1929">
        <v>-74.300899999999999</v>
      </c>
      <c r="E1929" t="s">
        <v>9084</v>
      </c>
    </row>
    <row r="1930" spans="1:5" hidden="1" x14ac:dyDescent="0.25">
      <c r="A1930" t="s">
        <v>4128</v>
      </c>
      <c r="B1930" t="s">
        <v>6187</v>
      </c>
      <c r="C1930">
        <v>39.587600000000002</v>
      </c>
      <c r="D1930">
        <v>-75.349100000000007</v>
      </c>
      <c r="E1930" t="s">
        <v>9085</v>
      </c>
    </row>
    <row r="1931" spans="1:5" hidden="1" x14ac:dyDescent="0.25">
      <c r="A1931" t="s">
        <v>4538</v>
      </c>
      <c r="B1931" t="s">
        <v>6187</v>
      </c>
      <c r="C1931">
        <v>40.563499999999998</v>
      </c>
      <c r="D1931">
        <v>-74.616299999999995</v>
      </c>
      <c r="E1931" t="s">
        <v>9086</v>
      </c>
    </row>
    <row r="1932" spans="1:5" hidden="1" x14ac:dyDescent="0.25">
      <c r="A1932" t="s">
        <v>6722</v>
      </c>
      <c r="B1932" t="s">
        <v>6187</v>
      </c>
      <c r="C1932">
        <v>41.139299999999999</v>
      </c>
      <c r="D1932">
        <v>-74.690899999999999</v>
      </c>
      <c r="E1932" t="s">
        <v>9087</v>
      </c>
    </row>
    <row r="1933" spans="1:5" hidden="1" x14ac:dyDescent="0.25">
      <c r="A1933" t="s">
        <v>5878</v>
      </c>
      <c r="B1933" t="s">
        <v>6187</v>
      </c>
      <c r="C1933">
        <v>40.6601</v>
      </c>
      <c r="D1933">
        <v>-74.31</v>
      </c>
      <c r="E1933" t="s">
        <v>9088</v>
      </c>
    </row>
    <row r="1934" spans="1:5" hidden="1" x14ac:dyDescent="0.25">
      <c r="A1934" t="s">
        <v>448</v>
      </c>
      <c r="B1934" t="s">
        <v>6187</v>
      </c>
      <c r="C1934">
        <v>40.857199999999999</v>
      </c>
      <c r="D1934">
        <v>-74.997299999999996</v>
      </c>
      <c r="E1934" t="s">
        <v>9089</v>
      </c>
    </row>
    <row r="1935" spans="1:5" hidden="1" x14ac:dyDescent="0.25">
      <c r="A1935" t="s">
        <v>9090</v>
      </c>
      <c r="B1935" t="s">
        <v>6190</v>
      </c>
      <c r="C1935">
        <v>35.051400000000001</v>
      </c>
      <c r="D1935">
        <v>-106.67019999999999</v>
      </c>
      <c r="E1935" t="s">
        <v>9091</v>
      </c>
    </row>
    <row r="1936" spans="1:5" hidden="1" x14ac:dyDescent="0.25">
      <c r="A1936" t="s">
        <v>9092</v>
      </c>
      <c r="B1936" t="s">
        <v>6190</v>
      </c>
      <c r="C1936">
        <v>33.915300000000002</v>
      </c>
      <c r="D1936">
        <v>-108.4046</v>
      </c>
      <c r="E1936" t="s">
        <v>9093</v>
      </c>
    </row>
    <row r="1937" spans="1:5" hidden="1" x14ac:dyDescent="0.25">
      <c r="A1937" t="s">
        <v>9094</v>
      </c>
      <c r="B1937" t="s">
        <v>6190</v>
      </c>
      <c r="C1937">
        <v>33.363300000000002</v>
      </c>
      <c r="D1937">
        <v>-104.4669</v>
      </c>
      <c r="E1937" t="s">
        <v>9095</v>
      </c>
    </row>
    <row r="1938" spans="1:5" hidden="1" x14ac:dyDescent="0.25">
      <c r="A1938" t="s">
        <v>9096</v>
      </c>
      <c r="B1938" t="s">
        <v>6190</v>
      </c>
      <c r="C1938">
        <v>34.912500000000001</v>
      </c>
      <c r="D1938">
        <v>-107.9997</v>
      </c>
      <c r="E1938" t="s">
        <v>9097</v>
      </c>
    </row>
    <row r="1939" spans="1:5" hidden="1" x14ac:dyDescent="0.25">
      <c r="A1939" t="s">
        <v>8946</v>
      </c>
      <c r="B1939" t="s">
        <v>6190</v>
      </c>
      <c r="C1939">
        <v>36.606099999999998</v>
      </c>
      <c r="D1939">
        <v>-104.6468</v>
      </c>
      <c r="E1939" t="s">
        <v>9098</v>
      </c>
    </row>
    <row r="1940" spans="1:5" hidden="1" x14ac:dyDescent="0.25">
      <c r="A1940" t="s">
        <v>9099</v>
      </c>
      <c r="B1940" t="s">
        <v>6190</v>
      </c>
      <c r="C1940">
        <v>34.574199999999998</v>
      </c>
      <c r="D1940">
        <v>-103.34699999999999</v>
      </c>
      <c r="E1940" t="s">
        <v>9100</v>
      </c>
    </row>
    <row r="1941" spans="1:5" hidden="1" x14ac:dyDescent="0.25">
      <c r="A1941" t="s">
        <v>9101</v>
      </c>
      <c r="B1941" t="s">
        <v>6190</v>
      </c>
      <c r="C1941">
        <v>34.342500000000001</v>
      </c>
      <c r="D1941">
        <v>-104.41200000000001</v>
      </c>
      <c r="E1941" t="s">
        <v>9102</v>
      </c>
    </row>
    <row r="1942" spans="1:5" hidden="1" x14ac:dyDescent="0.25">
      <c r="A1942" t="s">
        <v>9103</v>
      </c>
      <c r="B1942" t="s">
        <v>6190</v>
      </c>
      <c r="C1942">
        <v>32.352600000000002</v>
      </c>
      <c r="D1942">
        <v>-106.83280000000001</v>
      </c>
      <c r="E1942" t="s">
        <v>9104</v>
      </c>
    </row>
    <row r="1943" spans="1:5" hidden="1" x14ac:dyDescent="0.25">
      <c r="A1943" t="s">
        <v>8868</v>
      </c>
      <c r="B1943" t="s">
        <v>6190</v>
      </c>
      <c r="C1943">
        <v>32.471400000000003</v>
      </c>
      <c r="D1943">
        <v>-104.3044</v>
      </c>
      <c r="E1943" t="s">
        <v>9105</v>
      </c>
    </row>
    <row r="1944" spans="1:5" hidden="1" x14ac:dyDescent="0.25">
      <c r="A1944" t="s">
        <v>4593</v>
      </c>
      <c r="B1944" t="s">
        <v>6190</v>
      </c>
      <c r="C1944">
        <v>32.738900000000001</v>
      </c>
      <c r="D1944">
        <v>-108.3824</v>
      </c>
      <c r="E1944" t="s">
        <v>9106</v>
      </c>
    </row>
    <row r="1945" spans="1:5" hidden="1" x14ac:dyDescent="0.25">
      <c r="A1945" t="s">
        <v>9107</v>
      </c>
      <c r="B1945" t="s">
        <v>6190</v>
      </c>
      <c r="C1945">
        <v>34.863300000000002</v>
      </c>
      <c r="D1945">
        <v>-104.7906</v>
      </c>
      <c r="E1945" t="s">
        <v>9108</v>
      </c>
    </row>
    <row r="1946" spans="1:5" hidden="1" x14ac:dyDescent="0.25">
      <c r="A1946" t="s">
        <v>3108</v>
      </c>
      <c r="B1946" t="s">
        <v>6190</v>
      </c>
      <c r="C1946">
        <v>35.857900000000001</v>
      </c>
      <c r="D1946">
        <v>-103.8203</v>
      </c>
      <c r="E1946" t="s">
        <v>9109</v>
      </c>
    </row>
    <row r="1947" spans="1:5" hidden="1" x14ac:dyDescent="0.25">
      <c r="A1947" t="s">
        <v>9110</v>
      </c>
      <c r="B1947" t="s">
        <v>6190</v>
      </c>
      <c r="C1947">
        <v>31.914000000000001</v>
      </c>
      <c r="D1947">
        <v>-108.7148</v>
      </c>
      <c r="E1947" t="s">
        <v>9111</v>
      </c>
    </row>
    <row r="1948" spans="1:5" hidden="1" x14ac:dyDescent="0.25">
      <c r="A1948" t="s">
        <v>9112</v>
      </c>
      <c r="B1948" t="s">
        <v>6190</v>
      </c>
      <c r="C1948">
        <v>32.792099999999998</v>
      </c>
      <c r="D1948">
        <v>-103.41249999999999</v>
      </c>
      <c r="E1948" t="s">
        <v>9113</v>
      </c>
    </row>
    <row r="1949" spans="1:5" hidden="1" x14ac:dyDescent="0.25">
      <c r="A1949" t="s">
        <v>6386</v>
      </c>
      <c r="B1949" t="s">
        <v>6190</v>
      </c>
      <c r="C1949">
        <v>33.7453</v>
      </c>
      <c r="D1949">
        <v>-105.4593</v>
      </c>
      <c r="E1949" t="s">
        <v>9114</v>
      </c>
    </row>
    <row r="1950" spans="1:5" hidden="1" x14ac:dyDescent="0.25">
      <c r="A1950" t="s">
        <v>9115</v>
      </c>
      <c r="B1950" t="s">
        <v>6190</v>
      </c>
      <c r="C1950">
        <v>35.869300000000003</v>
      </c>
      <c r="D1950">
        <v>-106.3073</v>
      </c>
      <c r="E1950" t="s">
        <v>9116</v>
      </c>
    </row>
    <row r="1951" spans="1:5" hidden="1" x14ac:dyDescent="0.25">
      <c r="A1951" t="s">
        <v>9117</v>
      </c>
      <c r="B1951" t="s">
        <v>6190</v>
      </c>
      <c r="C1951">
        <v>32.182299999999998</v>
      </c>
      <c r="D1951">
        <v>-107.7499</v>
      </c>
      <c r="E1951" t="s">
        <v>9118</v>
      </c>
    </row>
    <row r="1952" spans="1:5" hidden="1" x14ac:dyDescent="0.25">
      <c r="A1952" t="s">
        <v>9119</v>
      </c>
      <c r="B1952" t="s">
        <v>6190</v>
      </c>
      <c r="C1952">
        <v>35.5807</v>
      </c>
      <c r="D1952">
        <v>-108.26179999999999</v>
      </c>
      <c r="E1952" t="s">
        <v>9120</v>
      </c>
    </row>
    <row r="1953" spans="1:5" hidden="1" x14ac:dyDescent="0.25">
      <c r="A1953" t="s">
        <v>9121</v>
      </c>
      <c r="B1953" t="s">
        <v>6190</v>
      </c>
      <c r="C1953">
        <v>36.0105</v>
      </c>
      <c r="D1953">
        <v>-104.94499999999999</v>
      </c>
      <c r="E1953" t="s">
        <v>9122</v>
      </c>
    </row>
    <row r="1954" spans="1:5" hidden="1" x14ac:dyDescent="0.25">
      <c r="A1954" t="s">
        <v>6664</v>
      </c>
      <c r="B1954" t="s">
        <v>6190</v>
      </c>
      <c r="C1954">
        <v>32.613199999999999</v>
      </c>
      <c r="D1954">
        <v>-105.7414</v>
      </c>
      <c r="E1954" t="s">
        <v>9123</v>
      </c>
    </row>
    <row r="1955" spans="1:5" hidden="1" x14ac:dyDescent="0.25">
      <c r="A1955" t="s">
        <v>9124</v>
      </c>
      <c r="B1955" t="s">
        <v>6190</v>
      </c>
      <c r="C1955">
        <v>35.104300000000002</v>
      </c>
      <c r="D1955">
        <v>-103.5498</v>
      </c>
      <c r="E1955" t="s">
        <v>9125</v>
      </c>
    </row>
    <row r="1956" spans="1:5" hidden="1" x14ac:dyDescent="0.25">
      <c r="A1956" t="s">
        <v>9126</v>
      </c>
      <c r="B1956" t="s">
        <v>6190</v>
      </c>
      <c r="C1956">
        <v>36.509599999999999</v>
      </c>
      <c r="D1956">
        <v>-106.6931</v>
      </c>
      <c r="E1956" t="s">
        <v>9127</v>
      </c>
    </row>
    <row r="1957" spans="1:5" hidden="1" x14ac:dyDescent="0.25">
      <c r="A1957" t="s">
        <v>8673</v>
      </c>
      <c r="B1957" t="s">
        <v>6190</v>
      </c>
      <c r="C1957">
        <v>34.0212</v>
      </c>
      <c r="D1957">
        <v>-103.48</v>
      </c>
      <c r="E1957" t="s">
        <v>9128</v>
      </c>
    </row>
    <row r="1958" spans="1:5" hidden="1" x14ac:dyDescent="0.25">
      <c r="A1958" t="s">
        <v>6685</v>
      </c>
      <c r="B1958" t="s">
        <v>6190</v>
      </c>
      <c r="C1958">
        <v>36.508499999999998</v>
      </c>
      <c r="D1958">
        <v>-108.3206</v>
      </c>
      <c r="E1958" t="s">
        <v>9129</v>
      </c>
    </row>
    <row r="1959" spans="1:5" hidden="1" x14ac:dyDescent="0.25">
      <c r="A1959" t="s">
        <v>6687</v>
      </c>
      <c r="B1959" t="s">
        <v>6190</v>
      </c>
      <c r="C1959">
        <v>35.480499999999999</v>
      </c>
      <c r="D1959">
        <v>-104.8158</v>
      </c>
      <c r="E1959" t="s">
        <v>9130</v>
      </c>
    </row>
    <row r="1960" spans="1:5" hidden="1" x14ac:dyDescent="0.25">
      <c r="A1960" t="s">
        <v>9131</v>
      </c>
      <c r="B1960" t="s">
        <v>6190</v>
      </c>
      <c r="C1960">
        <v>35.688600000000001</v>
      </c>
      <c r="D1960">
        <v>-106.8659</v>
      </c>
      <c r="E1960" t="s">
        <v>9132</v>
      </c>
    </row>
    <row r="1961" spans="1:5" hidden="1" x14ac:dyDescent="0.25">
      <c r="A1961" t="s">
        <v>9133</v>
      </c>
      <c r="B1961" t="s">
        <v>6190</v>
      </c>
      <c r="C1961">
        <v>35.506900000000002</v>
      </c>
      <c r="D1961">
        <v>-105.97629999999999</v>
      </c>
      <c r="E1961" t="s">
        <v>9134</v>
      </c>
    </row>
    <row r="1962" spans="1:5" hidden="1" x14ac:dyDescent="0.25">
      <c r="A1962" t="s">
        <v>6557</v>
      </c>
      <c r="B1962" t="s">
        <v>6190</v>
      </c>
      <c r="C1962">
        <v>33.130499999999998</v>
      </c>
      <c r="D1962">
        <v>-107.19240000000001</v>
      </c>
      <c r="E1962" t="s">
        <v>9135</v>
      </c>
    </row>
    <row r="1963" spans="1:5" hidden="1" x14ac:dyDescent="0.25">
      <c r="A1963" t="s">
        <v>9136</v>
      </c>
      <c r="B1963" t="s">
        <v>6190</v>
      </c>
      <c r="C1963">
        <v>34.007100000000001</v>
      </c>
      <c r="D1963">
        <v>-106.9302</v>
      </c>
      <c r="E1963" t="s">
        <v>9137</v>
      </c>
    </row>
    <row r="1964" spans="1:5" hidden="1" x14ac:dyDescent="0.25">
      <c r="A1964" t="s">
        <v>9138</v>
      </c>
      <c r="B1964" t="s">
        <v>6190</v>
      </c>
      <c r="C1964">
        <v>36.578299999999999</v>
      </c>
      <c r="D1964">
        <v>-105.631</v>
      </c>
      <c r="E1964" t="s">
        <v>9139</v>
      </c>
    </row>
    <row r="1965" spans="1:5" hidden="1" x14ac:dyDescent="0.25">
      <c r="A1965" t="s">
        <v>9140</v>
      </c>
      <c r="B1965" t="s">
        <v>6190</v>
      </c>
      <c r="C1965">
        <v>34.640500000000003</v>
      </c>
      <c r="D1965">
        <v>-105.85080000000001</v>
      </c>
      <c r="E1965" t="s">
        <v>9141</v>
      </c>
    </row>
    <row r="1966" spans="1:5" hidden="1" x14ac:dyDescent="0.25">
      <c r="A1966" t="s">
        <v>5878</v>
      </c>
      <c r="B1966" t="s">
        <v>6190</v>
      </c>
      <c r="C1966">
        <v>36.4816</v>
      </c>
      <c r="D1966">
        <v>-103.471</v>
      </c>
      <c r="E1966" t="s">
        <v>9142</v>
      </c>
    </row>
    <row r="1967" spans="1:5" hidden="1" x14ac:dyDescent="0.25">
      <c r="A1967" t="s">
        <v>9143</v>
      </c>
      <c r="B1967" t="s">
        <v>6190</v>
      </c>
      <c r="C1967">
        <v>34.715499999999999</v>
      </c>
      <c r="D1967">
        <v>-106.8091</v>
      </c>
      <c r="E1967" t="s">
        <v>9144</v>
      </c>
    </row>
    <row r="1968" spans="1:5" hidden="1" x14ac:dyDescent="0.25">
      <c r="A1968" t="s">
        <v>9145</v>
      </c>
      <c r="B1968" t="s">
        <v>6193</v>
      </c>
      <c r="C1968">
        <v>39.1511</v>
      </c>
      <c r="D1968">
        <v>-119.74760000000001</v>
      </c>
      <c r="E1968" t="s">
        <v>9146</v>
      </c>
    </row>
    <row r="1969" spans="1:5" hidden="1" x14ac:dyDescent="0.25">
      <c r="A1969" t="s">
        <v>9147</v>
      </c>
      <c r="B1969" t="s">
        <v>6193</v>
      </c>
      <c r="C1969">
        <v>39.5809</v>
      </c>
      <c r="D1969">
        <v>-118.33580000000001</v>
      </c>
      <c r="E1969" t="s">
        <v>9148</v>
      </c>
    </row>
    <row r="1970" spans="1:5" hidden="1" x14ac:dyDescent="0.25">
      <c r="A1970" t="s">
        <v>174</v>
      </c>
      <c r="B1970" t="s">
        <v>6193</v>
      </c>
      <c r="C1970">
        <v>36.215200000000003</v>
      </c>
      <c r="D1970">
        <v>-115.01349999999999</v>
      </c>
      <c r="E1970" t="s">
        <v>9149</v>
      </c>
    </row>
    <row r="1971" spans="1:5" hidden="1" x14ac:dyDescent="0.25">
      <c r="A1971" t="s">
        <v>2538</v>
      </c>
      <c r="B1971" t="s">
        <v>6193</v>
      </c>
      <c r="C1971">
        <v>38.912300000000002</v>
      </c>
      <c r="D1971">
        <v>-119.61620000000001</v>
      </c>
      <c r="E1971" t="s">
        <v>9150</v>
      </c>
    </row>
    <row r="1972" spans="1:5" hidden="1" x14ac:dyDescent="0.25">
      <c r="A1972" t="s">
        <v>9151</v>
      </c>
      <c r="B1972" t="s">
        <v>6193</v>
      </c>
      <c r="C1972">
        <v>41.145699999999998</v>
      </c>
      <c r="D1972">
        <v>-115.35769999999999</v>
      </c>
      <c r="E1972" t="s">
        <v>9152</v>
      </c>
    </row>
    <row r="1973" spans="1:5" hidden="1" x14ac:dyDescent="0.25">
      <c r="A1973" t="s">
        <v>9153</v>
      </c>
      <c r="B1973" t="s">
        <v>6193</v>
      </c>
      <c r="C1973">
        <v>37.784599999999998</v>
      </c>
      <c r="D1973">
        <v>-117.6323</v>
      </c>
      <c r="E1973" t="s">
        <v>9154</v>
      </c>
    </row>
    <row r="1974" spans="1:5" hidden="1" x14ac:dyDescent="0.25">
      <c r="A1974" t="s">
        <v>9155</v>
      </c>
      <c r="B1974" t="s">
        <v>6193</v>
      </c>
      <c r="C1974">
        <v>39.983800000000002</v>
      </c>
      <c r="D1974">
        <v>-116.26860000000001</v>
      </c>
      <c r="E1974" t="s">
        <v>9156</v>
      </c>
    </row>
    <row r="1975" spans="1:5" hidden="1" x14ac:dyDescent="0.25">
      <c r="A1975" t="s">
        <v>6492</v>
      </c>
      <c r="B1975" t="s">
        <v>6193</v>
      </c>
      <c r="C1975">
        <v>41.406799999999997</v>
      </c>
      <c r="D1975">
        <v>-118.11199999999999</v>
      </c>
      <c r="E1975" t="s">
        <v>9157</v>
      </c>
    </row>
    <row r="1976" spans="1:5" hidden="1" x14ac:dyDescent="0.25">
      <c r="A1976" t="s">
        <v>9158</v>
      </c>
      <c r="B1976" t="s">
        <v>6193</v>
      </c>
      <c r="C1976">
        <v>39.933700000000002</v>
      </c>
      <c r="D1976">
        <v>-117.038</v>
      </c>
      <c r="E1976" t="s">
        <v>9159</v>
      </c>
    </row>
    <row r="1977" spans="1:5" hidden="1" x14ac:dyDescent="0.25">
      <c r="A1977" t="s">
        <v>6386</v>
      </c>
      <c r="B1977" t="s">
        <v>6193</v>
      </c>
      <c r="C1977">
        <v>37.643300000000004</v>
      </c>
      <c r="D1977">
        <v>-114.8775</v>
      </c>
      <c r="E1977" t="s">
        <v>9160</v>
      </c>
    </row>
    <row r="1978" spans="1:5" hidden="1" x14ac:dyDescent="0.25">
      <c r="A1978" t="s">
        <v>4235</v>
      </c>
      <c r="B1978" t="s">
        <v>6193</v>
      </c>
      <c r="C1978">
        <v>39.020600000000002</v>
      </c>
      <c r="D1978">
        <v>-119.18899999999999</v>
      </c>
      <c r="E1978" t="s">
        <v>9161</v>
      </c>
    </row>
    <row r="1979" spans="1:5" hidden="1" x14ac:dyDescent="0.25">
      <c r="A1979" t="s">
        <v>6655</v>
      </c>
      <c r="B1979" t="s">
        <v>6193</v>
      </c>
      <c r="C1979">
        <v>38.538600000000002</v>
      </c>
      <c r="D1979">
        <v>-118.4349</v>
      </c>
      <c r="E1979" t="s">
        <v>9162</v>
      </c>
    </row>
    <row r="1980" spans="1:5" hidden="1" x14ac:dyDescent="0.25">
      <c r="A1980" t="s">
        <v>9163</v>
      </c>
      <c r="B1980" t="s">
        <v>6193</v>
      </c>
      <c r="C1980">
        <v>38.042299999999997</v>
      </c>
      <c r="D1980">
        <v>-116.47190000000001</v>
      </c>
      <c r="E1980" t="s">
        <v>9164</v>
      </c>
    </row>
    <row r="1981" spans="1:5" hidden="1" x14ac:dyDescent="0.25">
      <c r="A1981" t="s">
        <v>9165</v>
      </c>
      <c r="B1981" t="s">
        <v>6193</v>
      </c>
      <c r="C1981">
        <v>40.440399999999997</v>
      </c>
      <c r="D1981">
        <v>-118.4044</v>
      </c>
      <c r="E1981" t="s">
        <v>9166</v>
      </c>
    </row>
    <row r="1982" spans="1:5" hidden="1" x14ac:dyDescent="0.25">
      <c r="A1982" t="s">
        <v>9167</v>
      </c>
      <c r="B1982" t="s">
        <v>6193</v>
      </c>
      <c r="C1982">
        <v>39.447000000000003</v>
      </c>
      <c r="D1982">
        <v>-119.5294</v>
      </c>
      <c r="E1982" t="s">
        <v>9168</v>
      </c>
    </row>
    <row r="1983" spans="1:5" hidden="1" x14ac:dyDescent="0.25">
      <c r="A1983" t="s">
        <v>9169</v>
      </c>
      <c r="B1983" t="s">
        <v>6193</v>
      </c>
      <c r="C1983">
        <v>40.665500000000002</v>
      </c>
      <c r="D1983">
        <v>-119.6643</v>
      </c>
      <c r="E1983" t="s">
        <v>9170</v>
      </c>
    </row>
    <row r="1984" spans="1:5" hidden="1" x14ac:dyDescent="0.25">
      <c r="A1984" t="s">
        <v>9171</v>
      </c>
      <c r="B1984" t="s">
        <v>6193</v>
      </c>
      <c r="C1984">
        <v>39.442100000000003</v>
      </c>
      <c r="D1984">
        <v>-114.90170000000001</v>
      </c>
      <c r="E1984" t="s">
        <v>9172</v>
      </c>
    </row>
    <row r="1985" spans="1:5" hidden="1" x14ac:dyDescent="0.25">
      <c r="A1985" t="s">
        <v>1303</v>
      </c>
      <c r="B1985" t="s">
        <v>6196</v>
      </c>
      <c r="C1985">
        <v>42.600200000000001</v>
      </c>
      <c r="D1985">
        <v>-73.973600000000005</v>
      </c>
      <c r="E1985" t="s">
        <v>9173</v>
      </c>
    </row>
    <row r="1986" spans="1:5" hidden="1" x14ac:dyDescent="0.25">
      <c r="A1986" t="s">
        <v>8008</v>
      </c>
      <c r="B1986" t="s">
        <v>6196</v>
      </c>
      <c r="C1986">
        <v>42.257399999999997</v>
      </c>
      <c r="D1986">
        <v>-78.027600000000007</v>
      </c>
      <c r="E1986" t="s">
        <v>9174</v>
      </c>
    </row>
    <row r="1987" spans="1:5" hidden="1" x14ac:dyDescent="0.25">
      <c r="A1987" t="s">
        <v>9175</v>
      </c>
      <c r="B1987" t="s">
        <v>6196</v>
      </c>
      <c r="C1987">
        <v>40.850099999999998</v>
      </c>
      <c r="D1987">
        <v>-73.867099999999994</v>
      </c>
      <c r="E1987" t="s">
        <v>9176</v>
      </c>
    </row>
    <row r="1988" spans="1:5" hidden="1" x14ac:dyDescent="0.25">
      <c r="A1988" t="s">
        <v>9177</v>
      </c>
      <c r="B1988" t="s">
        <v>6196</v>
      </c>
      <c r="C1988">
        <v>42.160200000000003</v>
      </c>
      <c r="D1988">
        <v>-75.819599999999994</v>
      </c>
      <c r="E1988" t="s">
        <v>9178</v>
      </c>
    </row>
    <row r="1989" spans="1:5" hidden="1" x14ac:dyDescent="0.25">
      <c r="A1989" t="s">
        <v>9179</v>
      </c>
      <c r="B1989" t="s">
        <v>6196</v>
      </c>
      <c r="C1989">
        <v>42.248600000000003</v>
      </c>
      <c r="D1989">
        <v>-78.678799999999995</v>
      </c>
      <c r="E1989" t="s">
        <v>9180</v>
      </c>
    </row>
    <row r="1990" spans="1:5" hidden="1" x14ac:dyDescent="0.25">
      <c r="A1990" t="s">
        <v>9181</v>
      </c>
      <c r="B1990" t="s">
        <v>6196</v>
      </c>
      <c r="C1990">
        <v>42.917499999999997</v>
      </c>
      <c r="D1990">
        <v>-76.554500000000004</v>
      </c>
      <c r="E1990" t="s">
        <v>9182</v>
      </c>
    </row>
    <row r="1991" spans="1:5" hidden="1" x14ac:dyDescent="0.25">
      <c r="A1991" t="s">
        <v>7570</v>
      </c>
      <c r="B1991" t="s">
        <v>6196</v>
      </c>
      <c r="C1991">
        <v>42.228099999999998</v>
      </c>
      <c r="D1991">
        <v>-79.366299999999995</v>
      </c>
      <c r="E1991" t="s">
        <v>9183</v>
      </c>
    </row>
    <row r="1992" spans="1:5" hidden="1" x14ac:dyDescent="0.25">
      <c r="A1992" t="s">
        <v>9184</v>
      </c>
      <c r="B1992" t="s">
        <v>6196</v>
      </c>
      <c r="C1992">
        <v>42.141300000000001</v>
      </c>
      <c r="D1992">
        <v>-76.760000000000005</v>
      </c>
      <c r="E1992" t="s">
        <v>9185</v>
      </c>
    </row>
    <row r="1993" spans="1:5" hidden="1" x14ac:dyDescent="0.25">
      <c r="A1993" t="s">
        <v>9186</v>
      </c>
      <c r="B1993" t="s">
        <v>6196</v>
      </c>
      <c r="C1993">
        <v>42.493499999999997</v>
      </c>
      <c r="D1993">
        <v>-75.611599999999996</v>
      </c>
      <c r="E1993" t="s">
        <v>9187</v>
      </c>
    </row>
    <row r="1994" spans="1:5" hidden="1" x14ac:dyDescent="0.25">
      <c r="A1994" t="s">
        <v>1113</v>
      </c>
      <c r="B1994" t="s">
        <v>6196</v>
      </c>
      <c r="C1994">
        <v>44.746200000000002</v>
      </c>
      <c r="D1994">
        <v>-73.678200000000004</v>
      </c>
      <c r="E1994" t="s">
        <v>9188</v>
      </c>
    </row>
    <row r="1995" spans="1:5" hidden="1" x14ac:dyDescent="0.25">
      <c r="A1995" t="s">
        <v>6349</v>
      </c>
      <c r="B1995" t="s">
        <v>6196</v>
      </c>
      <c r="C1995">
        <v>42.250100000000003</v>
      </c>
      <c r="D1995">
        <v>-73.631799999999998</v>
      </c>
      <c r="E1995" t="s">
        <v>9189</v>
      </c>
    </row>
    <row r="1996" spans="1:5" hidden="1" x14ac:dyDescent="0.25">
      <c r="A1996" t="s">
        <v>9190</v>
      </c>
      <c r="B1996" t="s">
        <v>6196</v>
      </c>
      <c r="C1996">
        <v>42.594999999999999</v>
      </c>
      <c r="D1996">
        <v>-76.070300000000003</v>
      </c>
      <c r="E1996" t="s">
        <v>9191</v>
      </c>
    </row>
    <row r="1997" spans="1:5" hidden="1" x14ac:dyDescent="0.25">
      <c r="A1997" t="s">
        <v>3512</v>
      </c>
      <c r="B1997" t="s">
        <v>6196</v>
      </c>
      <c r="C1997">
        <v>42.198099999999997</v>
      </c>
      <c r="D1997">
        <v>-74.966499999999996</v>
      </c>
      <c r="E1997" t="s">
        <v>9192</v>
      </c>
    </row>
    <row r="1998" spans="1:5" hidden="1" x14ac:dyDescent="0.25">
      <c r="A1998" t="s">
        <v>9193</v>
      </c>
      <c r="B1998" t="s">
        <v>6196</v>
      </c>
      <c r="C1998">
        <v>41.7652</v>
      </c>
      <c r="D1998">
        <v>-73.742900000000006</v>
      </c>
      <c r="E1998" t="s">
        <v>9194</v>
      </c>
    </row>
    <row r="1999" spans="1:5" hidden="1" x14ac:dyDescent="0.25">
      <c r="A1999" t="s">
        <v>9195</v>
      </c>
      <c r="B1999" t="s">
        <v>6196</v>
      </c>
      <c r="C1999">
        <v>42.7639</v>
      </c>
      <c r="D1999">
        <v>-78.732299999999995</v>
      </c>
      <c r="E1999" t="s">
        <v>9196</v>
      </c>
    </row>
    <row r="2000" spans="1:5" hidden="1" x14ac:dyDescent="0.25">
      <c r="A2000" t="s">
        <v>7993</v>
      </c>
      <c r="B2000" t="s">
        <v>6196</v>
      </c>
      <c r="C2000">
        <v>44.117199999999997</v>
      </c>
      <c r="D2000">
        <v>-73.772599999999997</v>
      </c>
      <c r="E2000" t="s">
        <v>9197</v>
      </c>
    </row>
    <row r="2001" spans="1:5" hidden="1" x14ac:dyDescent="0.25">
      <c r="A2001" t="s">
        <v>6260</v>
      </c>
      <c r="B2001" t="s">
        <v>6196</v>
      </c>
      <c r="C2001">
        <v>44.5929</v>
      </c>
      <c r="D2001">
        <v>-74.303799999999995</v>
      </c>
      <c r="E2001" t="s">
        <v>9198</v>
      </c>
    </row>
    <row r="2002" spans="1:5" hidden="1" x14ac:dyDescent="0.25">
      <c r="A2002" t="s">
        <v>6366</v>
      </c>
      <c r="B2002" t="s">
        <v>6196</v>
      </c>
      <c r="C2002">
        <v>43.113799999999998</v>
      </c>
      <c r="D2002">
        <v>-74.422200000000004</v>
      </c>
      <c r="E2002" t="s">
        <v>9199</v>
      </c>
    </row>
    <row r="2003" spans="1:5" hidden="1" x14ac:dyDescent="0.25">
      <c r="A2003" t="s">
        <v>8102</v>
      </c>
      <c r="B2003" t="s">
        <v>6196</v>
      </c>
      <c r="C2003">
        <v>43.000900000000001</v>
      </c>
      <c r="D2003">
        <v>-78.193700000000007</v>
      </c>
      <c r="E2003" t="s">
        <v>9200</v>
      </c>
    </row>
    <row r="2004" spans="1:5" hidden="1" x14ac:dyDescent="0.25">
      <c r="A2004" t="s">
        <v>6264</v>
      </c>
      <c r="B2004" t="s">
        <v>6196</v>
      </c>
      <c r="C2004">
        <v>42.276499999999999</v>
      </c>
      <c r="D2004">
        <v>-74.122699999999995</v>
      </c>
      <c r="E2004" t="s">
        <v>9201</v>
      </c>
    </row>
    <row r="2005" spans="1:5" hidden="1" x14ac:dyDescent="0.25">
      <c r="A2005" t="s">
        <v>6761</v>
      </c>
      <c r="B2005" t="s">
        <v>6196</v>
      </c>
      <c r="C2005">
        <v>43.661099999999998</v>
      </c>
      <c r="D2005">
        <v>-74.497399999999999</v>
      </c>
      <c r="E2005" t="s">
        <v>9202</v>
      </c>
    </row>
    <row r="2006" spans="1:5" hidden="1" x14ac:dyDescent="0.25">
      <c r="A2006" t="s">
        <v>9203</v>
      </c>
      <c r="B2006" t="s">
        <v>6196</v>
      </c>
      <c r="C2006">
        <v>43.4193</v>
      </c>
      <c r="D2006">
        <v>-74.962400000000002</v>
      </c>
      <c r="E2006" t="s">
        <v>9204</v>
      </c>
    </row>
    <row r="2007" spans="1:5" hidden="1" x14ac:dyDescent="0.25">
      <c r="A2007" t="s">
        <v>6272</v>
      </c>
      <c r="B2007" t="s">
        <v>6196</v>
      </c>
      <c r="C2007">
        <v>44.049500000000002</v>
      </c>
      <c r="D2007">
        <v>-75.920299999999997</v>
      </c>
      <c r="E2007" t="s">
        <v>9205</v>
      </c>
    </row>
    <row r="2008" spans="1:5" hidden="1" x14ac:dyDescent="0.25">
      <c r="A2008" t="s">
        <v>6500</v>
      </c>
      <c r="B2008" t="s">
        <v>6196</v>
      </c>
      <c r="C2008">
        <v>40.641300000000001</v>
      </c>
      <c r="D2008">
        <v>-73.938299999999998</v>
      </c>
      <c r="E2008" t="s">
        <v>9206</v>
      </c>
    </row>
    <row r="2009" spans="1:5" hidden="1" x14ac:dyDescent="0.25">
      <c r="A2009" t="s">
        <v>1515</v>
      </c>
      <c r="B2009" t="s">
        <v>6196</v>
      </c>
      <c r="C2009">
        <v>43.784999999999997</v>
      </c>
      <c r="D2009">
        <v>-75.448700000000002</v>
      </c>
      <c r="E2009" t="s">
        <v>9207</v>
      </c>
    </row>
    <row r="2010" spans="1:5" hidden="1" x14ac:dyDescent="0.25">
      <c r="A2010" t="s">
        <v>1355</v>
      </c>
      <c r="B2010" t="s">
        <v>6196</v>
      </c>
      <c r="C2010">
        <v>42.728000000000002</v>
      </c>
      <c r="D2010">
        <v>-77.775499999999994</v>
      </c>
      <c r="E2010" t="s">
        <v>9208</v>
      </c>
    </row>
    <row r="2011" spans="1:5" hidden="1" x14ac:dyDescent="0.25">
      <c r="A2011" t="s">
        <v>6286</v>
      </c>
      <c r="B2011" t="s">
        <v>6196</v>
      </c>
      <c r="C2011">
        <v>42.912799999999997</v>
      </c>
      <c r="D2011">
        <v>-75.669600000000003</v>
      </c>
      <c r="E2011" t="s">
        <v>9209</v>
      </c>
    </row>
    <row r="2012" spans="1:5" hidden="1" x14ac:dyDescent="0.25">
      <c r="A2012" t="s">
        <v>6295</v>
      </c>
      <c r="B2012" t="s">
        <v>6196</v>
      </c>
      <c r="C2012">
        <v>43.1464</v>
      </c>
      <c r="D2012">
        <v>-77.696100000000001</v>
      </c>
      <c r="E2012" t="s">
        <v>9210</v>
      </c>
    </row>
    <row r="2013" spans="1:5" hidden="1" x14ac:dyDescent="0.25">
      <c r="A2013" t="s">
        <v>6297</v>
      </c>
      <c r="B2013" t="s">
        <v>6196</v>
      </c>
      <c r="C2013">
        <v>42.902299999999997</v>
      </c>
      <c r="D2013">
        <v>-74.439700000000002</v>
      </c>
      <c r="E2013" t="s">
        <v>9211</v>
      </c>
    </row>
    <row r="2014" spans="1:5" hidden="1" x14ac:dyDescent="0.25">
      <c r="A2014" t="s">
        <v>6794</v>
      </c>
      <c r="B2014" t="s">
        <v>6196</v>
      </c>
      <c r="C2014">
        <v>40.732599999999998</v>
      </c>
      <c r="D2014">
        <v>-73.586200000000005</v>
      </c>
      <c r="E2014" t="s">
        <v>9212</v>
      </c>
    </row>
    <row r="2015" spans="1:5" hidden="1" x14ac:dyDescent="0.25">
      <c r="A2015" t="s">
        <v>89</v>
      </c>
      <c r="B2015" t="s">
        <v>6196</v>
      </c>
      <c r="C2015">
        <v>40.779200000000003</v>
      </c>
      <c r="D2015">
        <v>-73.966800000000006</v>
      </c>
      <c r="E2015" t="s">
        <v>9213</v>
      </c>
    </row>
    <row r="2016" spans="1:5" hidden="1" x14ac:dyDescent="0.25">
      <c r="A2016" t="s">
        <v>9214</v>
      </c>
      <c r="B2016" t="s">
        <v>6196</v>
      </c>
      <c r="C2016">
        <v>43.200099999999999</v>
      </c>
      <c r="D2016">
        <v>-78.745199999999997</v>
      </c>
      <c r="E2016" t="s">
        <v>9215</v>
      </c>
    </row>
    <row r="2017" spans="1:5" hidden="1" x14ac:dyDescent="0.25">
      <c r="A2017" t="s">
        <v>7280</v>
      </c>
      <c r="B2017" t="s">
        <v>6196</v>
      </c>
      <c r="C2017">
        <v>43.241799999999998</v>
      </c>
      <c r="D2017">
        <v>-75.4358</v>
      </c>
      <c r="E2017" t="s">
        <v>9216</v>
      </c>
    </row>
    <row r="2018" spans="1:5" hidden="1" x14ac:dyDescent="0.25">
      <c r="A2018" t="s">
        <v>9217</v>
      </c>
      <c r="B2018" t="s">
        <v>6196</v>
      </c>
      <c r="C2018">
        <v>43.005800000000001</v>
      </c>
      <c r="D2018">
        <v>-76.194599999999994</v>
      </c>
      <c r="E2018" t="s">
        <v>9218</v>
      </c>
    </row>
    <row r="2019" spans="1:5" hidden="1" x14ac:dyDescent="0.25">
      <c r="A2019" t="s">
        <v>9219</v>
      </c>
      <c r="B2019" t="s">
        <v>6196</v>
      </c>
      <c r="C2019">
        <v>42.852800000000002</v>
      </c>
      <c r="D2019">
        <v>-77.299800000000005</v>
      </c>
      <c r="E2019" t="s">
        <v>9220</v>
      </c>
    </row>
    <row r="2020" spans="1:5" hidden="1" x14ac:dyDescent="0.25">
      <c r="A2020" t="s">
        <v>6526</v>
      </c>
      <c r="B2020" t="s">
        <v>6196</v>
      </c>
      <c r="C2020">
        <v>41.402200000000001</v>
      </c>
      <c r="D2020">
        <v>-74.305599999999998</v>
      </c>
      <c r="E2020" t="s">
        <v>9221</v>
      </c>
    </row>
    <row r="2021" spans="1:5" hidden="1" x14ac:dyDescent="0.25">
      <c r="A2021" t="s">
        <v>7934</v>
      </c>
      <c r="B2021" t="s">
        <v>6196</v>
      </c>
      <c r="C2021">
        <v>43.252099999999999</v>
      </c>
      <c r="D2021">
        <v>-78.231200000000001</v>
      </c>
      <c r="E2021" t="s">
        <v>9222</v>
      </c>
    </row>
    <row r="2022" spans="1:5" hidden="1" x14ac:dyDescent="0.25">
      <c r="A2022" t="s">
        <v>9223</v>
      </c>
      <c r="B2022" t="s">
        <v>6196</v>
      </c>
      <c r="C2022">
        <v>43.426900000000003</v>
      </c>
      <c r="D2022">
        <v>-76.141300000000001</v>
      </c>
      <c r="E2022" t="s">
        <v>9224</v>
      </c>
    </row>
    <row r="2023" spans="1:5" hidden="1" x14ac:dyDescent="0.25">
      <c r="A2023" t="s">
        <v>8180</v>
      </c>
      <c r="B2023" t="s">
        <v>6196</v>
      </c>
      <c r="C2023">
        <v>42.633800000000001</v>
      </c>
      <c r="D2023">
        <v>-75.032600000000002</v>
      </c>
      <c r="E2023" t="s">
        <v>9225</v>
      </c>
    </row>
    <row r="2024" spans="1:5" hidden="1" x14ac:dyDescent="0.25">
      <c r="A2024" t="s">
        <v>6810</v>
      </c>
      <c r="B2024" t="s">
        <v>6196</v>
      </c>
      <c r="C2024">
        <v>41.426699999999997</v>
      </c>
      <c r="D2024">
        <v>-73.749499999999998</v>
      </c>
      <c r="E2024" t="s">
        <v>9226</v>
      </c>
    </row>
    <row r="2025" spans="1:5" hidden="1" x14ac:dyDescent="0.25">
      <c r="A2025" t="s">
        <v>9227</v>
      </c>
      <c r="B2025" t="s">
        <v>6196</v>
      </c>
      <c r="C2025">
        <v>40.703499999999998</v>
      </c>
      <c r="D2025">
        <v>-73.819599999999994</v>
      </c>
      <c r="E2025" t="s">
        <v>9228</v>
      </c>
    </row>
    <row r="2026" spans="1:5" hidden="1" x14ac:dyDescent="0.25">
      <c r="A2026" t="s">
        <v>9229</v>
      </c>
      <c r="B2026" t="s">
        <v>6196</v>
      </c>
      <c r="C2026">
        <v>42.711100000000002</v>
      </c>
      <c r="D2026">
        <v>-73.509699999999995</v>
      </c>
      <c r="E2026" t="s">
        <v>9230</v>
      </c>
    </row>
    <row r="2027" spans="1:5" hidden="1" x14ac:dyDescent="0.25">
      <c r="A2027" t="s">
        <v>272</v>
      </c>
      <c r="B2027" t="s">
        <v>6196</v>
      </c>
      <c r="C2027">
        <v>40.580800000000004</v>
      </c>
      <c r="D2027">
        <v>-74.153099999999995</v>
      </c>
      <c r="E2027" t="s">
        <v>9231</v>
      </c>
    </row>
    <row r="2028" spans="1:5" hidden="1" x14ac:dyDescent="0.25">
      <c r="A2028" t="s">
        <v>9232</v>
      </c>
      <c r="B2028" t="s">
        <v>6196</v>
      </c>
      <c r="C2028">
        <v>41.152500000000003</v>
      </c>
      <c r="D2028">
        <v>-74.024199999999993</v>
      </c>
      <c r="E2028" t="s">
        <v>9233</v>
      </c>
    </row>
    <row r="2029" spans="1:5" hidden="1" x14ac:dyDescent="0.25">
      <c r="A2029" t="s">
        <v>9234</v>
      </c>
      <c r="B2029" t="s">
        <v>6196</v>
      </c>
      <c r="C2029">
        <v>43.107399999999998</v>
      </c>
      <c r="D2029">
        <v>-73.863900000000001</v>
      </c>
      <c r="E2029" t="s">
        <v>9235</v>
      </c>
    </row>
    <row r="2030" spans="1:5" hidden="1" x14ac:dyDescent="0.25">
      <c r="A2030" t="s">
        <v>9236</v>
      </c>
      <c r="B2030" t="s">
        <v>6196</v>
      </c>
      <c r="C2030">
        <v>42.818100000000001</v>
      </c>
      <c r="D2030">
        <v>-74.058599999999998</v>
      </c>
      <c r="E2030" t="s">
        <v>9237</v>
      </c>
    </row>
    <row r="2031" spans="1:5" hidden="1" x14ac:dyDescent="0.25">
      <c r="A2031" t="s">
        <v>9238</v>
      </c>
      <c r="B2031" t="s">
        <v>6196</v>
      </c>
      <c r="C2031">
        <v>42.588200000000001</v>
      </c>
      <c r="D2031">
        <v>-74.442099999999996</v>
      </c>
      <c r="E2031" t="s">
        <v>9239</v>
      </c>
    </row>
    <row r="2032" spans="1:5" hidden="1" x14ac:dyDescent="0.25">
      <c r="A2032" t="s">
        <v>7408</v>
      </c>
      <c r="B2032" t="s">
        <v>6196</v>
      </c>
      <c r="C2032">
        <v>42.393799999999999</v>
      </c>
      <c r="D2032">
        <v>-76.875200000000007</v>
      </c>
      <c r="E2032" t="s">
        <v>9240</v>
      </c>
    </row>
    <row r="2033" spans="1:5" hidden="1" x14ac:dyDescent="0.25">
      <c r="A2033" t="s">
        <v>9241</v>
      </c>
      <c r="B2033" t="s">
        <v>6196</v>
      </c>
      <c r="C2033">
        <v>42.780999999999999</v>
      </c>
      <c r="D2033">
        <v>-76.823800000000006</v>
      </c>
      <c r="E2033" t="s">
        <v>9242</v>
      </c>
    </row>
    <row r="2034" spans="1:5" hidden="1" x14ac:dyDescent="0.25">
      <c r="A2034" t="s">
        <v>9243</v>
      </c>
      <c r="B2034" t="s">
        <v>6196</v>
      </c>
      <c r="C2034">
        <v>44.496400000000001</v>
      </c>
      <c r="D2034">
        <v>-75.069100000000006</v>
      </c>
      <c r="E2034" t="s">
        <v>9244</v>
      </c>
    </row>
    <row r="2035" spans="1:5" hidden="1" x14ac:dyDescent="0.25">
      <c r="A2035" t="s">
        <v>7533</v>
      </c>
      <c r="B2035" t="s">
        <v>6196</v>
      </c>
      <c r="C2035">
        <v>42.267800000000001</v>
      </c>
      <c r="D2035">
        <v>-77.383799999999994</v>
      </c>
      <c r="E2035" t="s">
        <v>9245</v>
      </c>
    </row>
    <row r="2036" spans="1:5" hidden="1" x14ac:dyDescent="0.25">
      <c r="A2036" t="s">
        <v>1059</v>
      </c>
      <c r="B2036" t="s">
        <v>6196</v>
      </c>
      <c r="C2036">
        <v>40.868099999999998</v>
      </c>
      <c r="D2036">
        <v>-72.845600000000005</v>
      </c>
      <c r="E2036" t="s">
        <v>9246</v>
      </c>
    </row>
    <row r="2037" spans="1:5" hidden="1" x14ac:dyDescent="0.25">
      <c r="A2037" t="s">
        <v>3228</v>
      </c>
      <c r="B2037" t="s">
        <v>6196</v>
      </c>
      <c r="C2037">
        <v>41.7164</v>
      </c>
      <c r="D2037">
        <v>-74.768100000000004</v>
      </c>
      <c r="E2037" t="s">
        <v>9247</v>
      </c>
    </row>
    <row r="2038" spans="1:5" hidden="1" x14ac:dyDescent="0.25">
      <c r="A2038" t="s">
        <v>9248</v>
      </c>
      <c r="B2038" t="s">
        <v>6196</v>
      </c>
      <c r="C2038">
        <v>42.170299999999997</v>
      </c>
      <c r="D2038">
        <v>-76.306299999999993</v>
      </c>
      <c r="E2038" t="s">
        <v>9249</v>
      </c>
    </row>
    <row r="2039" spans="1:5" hidden="1" x14ac:dyDescent="0.25">
      <c r="A2039" t="s">
        <v>9250</v>
      </c>
      <c r="B2039" t="s">
        <v>6196</v>
      </c>
      <c r="C2039">
        <v>42.451999999999998</v>
      </c>
      <c r="D2039">
        <v>-76.473600000000005</v>
      </c>
      <c r="E2039" t="s">
        <v>9251</v>
      </c>
    </row>
    <row r="2040" spans="1:5" hidden="1" x14ac:dyDescent="0.25">
      <c r="A2040" t="s">
        <v>9252</v>
      </c>
      <c r="B2040" t="s">
        <v>6196</v>
      </c>
      <c r="C2040">
        <v>41.888100000000001</v>
      </c>
      <c r="D2040">
        <v>-74.258600000000001</v>
      </c>
      <c r="E2040" t="s">
        <v>9253</v>
      </c>
    </row>
    <row r="2041" spans="1:5" hidden="1" x14ac:dyDescent="0.25">
      <c r="A2041" t="s">
        <v>448</v>
      </c>
      <c r="B2041" t="s">
        <v>6196</v>
      </c>
      <c r="C2041">
        <v>43.561</v>
      </c>
      <c r="D2041">
        <v>-73.846000000000004</v>
      </c>
      <c r="E2041" t="s">
        <v>9254</v>
      </c>
    </row>
    <row r="2042" spans="1:5" hidden="1" x14ac:dyDescent="0.25">
      <c r="A2042" t="s">
        <v>3052</v>
      </c>
      <c r="B2042" t="s">
        <v>6196</v>
      </c>
      <c r="C2042">
        <v>43.313699999999997</v>
      </c>
      <c r="D2042">
        <v>-73.430800000000005</v>
      </c>
      <c r="E2042" t="s">
        <v>9255</v>
      </c>
    </row>
    <row r="2043" spans="1:5" hidden="1" x14ac:dyDescent="0.25">
      <c r="A2043" t="s">
        <v>7057</v>
      </c>
      <c r="B2043" t="s">
        <v>6196</v>
      </c>
      <c r="C2043">
        <v>43.156599999999997</v>
      </c>
      <c r="D2043">
        <v>-77.029399999999995</v>
      </c>
      <c r="E2043" t="s">
        <v>9256</v>
      </c>
    </row>
    <row r="2044" spans="1:5" hidden="1" x14ac:dyDescent="0.25">
      <c r="A2044" t="s">
        <v>9257</v>
      </c>
      <c r="B2044" t="s">
        <v>6196</v>
      </c>
      <c r="C2044">
        <v>41.162599999999998</v>
      </c>
      <c r="D2044">
        <v>-73.756100000000004</v>
      </c>
      <c r="E2044" t="s">
        <v>9258</v>
      </c>
    </row>
    <row r="2045" spans="1:5" hidden="1" x14ac:dyDescent="0.25">
      <c r="A2045" t="s">
        <v>9259</v>
      </c>
      <c r="B2045" t="s">
        <v>6196</v>
      </c>
      <c r="C2045">
        <v>42.702399999999997</v>
      </c>
      <c r="D2045">
        <v>-78.224400000000003</v>
      </c>
      <c r="E2045" t="s">
        <v>9260</v>
      </c>
    </row>
    <row r="2046" spans="1:5" hidden="1" x14ac:dyDescent="0.25">
      <c r="A2046" t="s">
        <v>9261</v>
      </c>
      <c r="B2046" t="s">
        <v>6196</v>
      </c>
      <c r="C2046">
        <v>42.633499999999998</v>
      </c>
      <c r="D2046">
        <v>-77.105500000000006</v>
      </c>
      <c r="E2046" t="s">
        <v>9262</v>
      </c>
    </row>
    <row r="2047" spans="1:5" hidden="1" x14ac:dyDescent="0.25">
      <c r="A2047" t="s">
        <v>1324</v>
      </c>
      <c r="B2047" t="s">
        <v>6199</v>
      </c>
      <c r="C2047">
        <v>38.845500000000001</v>
      </c>
      <c r="D2047">
        <v>-83.472099999999998</v>
      </c>
      <c r="E2047" t="s">
        <v>9263</v>
      </c>
    </row>
    <row r="2048" spans="1:5" hidden="1" x14ac:dyDescent="0.25">
      <c r="A2048" t="s">
        <v>523</v>
      </c>
      <c r="B2048" t="s">
        <v>6199</v>
      </c>
      <c r="C2048">
        <v>40.771500000000003</v>
      </c>
      <c r="D2048">
        <v>-84.105800000000002</v>
      </c>
      <c r="E2048" t="s">
        <v>9264</v>
      </c>
    </row>
    <row r="2049" spans="1:5" hidden="1" x14ac:dyDescent="0.25">
      <c r="A2049" t="s">
        <v>9265</v>
      </c>
      <c r="B2049" t="s">
        <v>6199</v>
      </c>
      <c r="C2049">
        <v>40.845999999999997</v>
      </c>
      <c r="D2049">
        <v>-82.270700000000005</v>
      </c>
      <c r="E2049" t="s">
        <v>9266</v>
      </c>
    </row>
    <row r="2050" spans="1:5" hidden="1" x14ac:dyDescent="0.25">
      <c r="A2050" t="s">
        <v>9267</v>
      </c>
      <c r="B2050" t="s">
        <v>6199</v>
      </c>
      <c r="C2050">
        <v>41.7072</v>
      </c>
      <c r="D2050">
        <v>-80.748199999999997</v>
      </c>
      <c r="E2050" t="s">
        <v>9268</v>
      </c>
    </row>
    <row r="2051" spans="1:5" hidden="1" x14ac:dyDescent="0.25">
      <c r="A2051" t="s">
        <v>9269</v>
      </c>
      <c r="B2051" t="s">
        <v>6199</v>
      </c>
      <c r="C2051">
        <v>39.3339</v>
      </c>
      <c r="D2051">
        <v>-82.045199999999994</v>
      </c>
      <c r="E2051" t="s">
        <v>9270</v>
      </c>
    </row>
    <row r="2052" spans="1:5" hidden="1" x14ac:dyDescent="0.25">
      <c r="A2052" t="s">
        <v>9271</v>
      </c>
      <c r="B2052" t="s">
        <v>6199</v>
      </c>
      <c r="C2052">
        <v>40.560899999999997</v>
      </c>
      <c r="D2052">
        <v>-84.221699999999998</v>
      </c>
      <c r="E2052" t="s">
        <v>9272</v>
      </c>
    </row>
    <row r="2053" spans="1:5" hidden="1" x14ac:dyDescent="0.25">
      <c r="A2053" t="s">
        <v>9273</v>
      </c>
      <c r="B2053" t="s">
        <v>6199</v>
      </c>
      <c r="C2053">
        <v>40.015799999999999</v>
      </c>
      <c r="D2053">
        <v>-80.988500000000002</v>
      </c>
      <c r="E2053" t="s">
        <v>9274</v>
      </c>
    </row>
    <row r="2054" spans="1:5" hidden="1" x14ac:dyDescent="0.25">
      <c r="A2054" t="s">
        <v>633</v>
      </c>
      <c r="B2054" t="s">
        <v>6199</v>
      </c>
      <c r="C2054">
        <v>38.933799999999998</v>
      </c>
      <c r="D2054">
        <v>-83.8673</v>
      </c>
      <c r="E2054" t="s">
        <v>9275</v>
      </c>
    </row>
    <row r="2055" spans="1:5" hidden="1" x14ac:dyDescent="0.25">
      <c r="A2055" t="s">
        <v>4103</v>
      </c>
      <c r="B2055" t="s">
        <v>6199</v>
      </c>
      <c r="C2055">
        <v>39.438600000000001</v>
      </c>
      <c r="D2055">
        <v>-84.575599999999994</v>
      </c>
      <c r="E2055" t="s">
        <v>9276</v>
      </c>
    </row>
    <row r="2056" spans="1:5" hidden="1" x14ac:dyDescent="0.25">
      <c r="A2056" t="s">
        <v>6340</v>
      </c>
      <c r="B2056" t="s">
        <v>6199</v>
      </c>
      <c r="C2056">
        <v>40.579599999999999</v>
      </c>
      <c r="D2056">
        <v>-81.089699999999993</v>
      </c>
      <c r="E2056" t="s">
        <v>9277</v>
      </c>
    </row>
    <row r="2057" spans="1:5" hidden="1" x14ac:dyDescent="0.25">
      <c r="A2057" t="s">
        <v>7307</v>
      </c>
      <c r="B2057" t="s">
        <v>6199</v>
      </c>
      <c r="C2057">
        <v>40.137700000000002</v>
      </c>
      <c r="D2057">
        <v>-83.769599999999997</v>
      </c>
      <c r="E2057" t="s">
        <v>9278</v>
      </c>
    </row>
    <row r="2058" spans="1:5" hidden="1" x14ac:dyDescent="0.25">
      <c r="A2058" t="s">
        <v>174</v>
      </c>
      <c r="B2058" t="s">
        <v>6199</v>
      </c>
      <c r="C2058">
        <v>39.916699999999999</v>
      </c>
      <c r="D2058">
        <v>-83.784400000000005</v>
      </c>
      <c r="E2058" t="s">
        <v>9279</v>
      </c>
    </row>
    <row r="2059" spans="1:5" hidden="1" x14ac:dyDescent="0.25">
      <c r="A2059" t="s">
        <v>9280</v>
      </c>
      <c r="B2059" t="s">
        <v>6199</v>
      </c>
      <c r="C2059">
        <v>39.047600000000003</v>
      </c>
      <c r="D2059">
        <v>-84.151700000000005</v>
      </c>
      <c r="E2059" t="s">
        <v>9281</v>
      </c>
    </row>
    <row r="2060" spans="1:5" hidden="1" x14ac:dyDescent="0.25">
      <c r="A2060" t="s">
        <v>1113</v>
      </c>
      <c r="B2060" t="s">
        <v>6199</v>
      </c>
      <c r="C2060">
        <v>39.414900000000003</v>
      </c>
      <c r="D2060">
        <v>-83.808400000000006</v>
      </c>
      <c r="E2060" t="s">
        <v>9282</v>
      </c>
    </row>
    <row r="2061" spans="1:5" hidden="1" x14ac:dyDescent="0.25">
      <c r="A2061" t="s">
        <v>9283</v>
      </c>
      <c r="B2061" t="s">
        <v>6199</v>
      </c>
      <c r="C2061">
        <v>40.7684</v>
      </c>
      <c r="D2061">
        <v>-80.777199999999993</v>
      </c>
      <c r="E2061" t="s">
        <v>9284</v>
      </c>
    </row>
    <row r="2062" spans="1:5" hidden="1" x14ac:dyDescent="0.25">
      <c r="A2062" t="s">
        <v>9285</v>
      </c>
      <c r="B2062" t="s">
        <v>6199</v>
      </c>
      <c r="C2062">
        <v>40.301699999999997</v>
      </c>
      <c r="D2062">
        <v>-81.920100000000005</v>
      </c>
      <c r="E2062" t="s">
        <v>9286</v>
      </c>
    </row>
    <row r="2063" spans="1:5" hidden="1" x14ac:dyDescent="0.25">
      <c r="A2063" t="s">
        <v>3776</v>
      </c>
      <c r="B2063" t="s">
        <v>6199</v>
      </c>
      <c r="C2063">
        <v>40.8508</v>
      </c>
      <c r="D2063">
        <v>-82.919799999999995</v>
      </c>
      <c r="E2063" t="s">
        <v>9287</v>
      </c>
    </row>
    <row r="2064" spans="1:5" hidden="1" x14ac:dyDescent="0.25">
      <c r="A2064" t="s">
        <v>9288</v>
      </c>
      <c r="B2064" t="s">
        <v>6199</v>
      </c>
      <c r="C2064">
        <v>41.424300000000002</v>
      </c>
      <c r="D2064">
        <v>-81.658600000000007</v>
      </c>
      <c r="E2064" t="s">
        <v>9289</v>
      </c>
    </row>
    <row r="2065" spans="1:5" hidden="1" x14ac:dyDescent="0.25">
      <c r="A2065" t="s">
        <v>9290</v>
      </c>
      <c r="B2065" t="s">
        <v>6199</v>
      </c>
      <c r="C2065">
        <v>40.133200000000002</v>
      </c>
      <c r="D2065">
        <v>-84.619299999999996</v>
      </c>
      <c r="E2065" t="s">
        <v>9291</v>
      </c>
    </row>
    <row r="2066" spans="1:5" hidden="1" x14ac:dyDescent="0.25">
      <c r="A2066" t="s">
        <v>9292</v>
      </c>
      <c r="B2066" t="s">
        <v>6199</v>
      </c>
      <c r="C2066">
        <v>41.323900000000002</v>
      </c>
      <c r="D2066">
        <v>-84.490499999999997</v>
      </c>
      <c r="E2066" t="s">
        <v>9293</v>
      </c>
    </row>
    <row r="2067" spans="1:5" hidden="1" x14ac:dyDescent="0.25">
      <c r="A2067" t="s">
        <v>3512</v>
      </c>
      <c r="B2067" t="s">
        <v>6199</v>
      </c>
      <c r="C2067">
        <v>40.278399999999998</v>
      </c>
      <c r="D2067">
        <v>-83.004900000000006</v>
      </c>
      <c r="E2067" t="s">
        <v>9294</v>
      </c>
    </row>
    <row r="2068" spans="1:5" hidden="1" x14ac:dyDescent="0.25">
      <c r="A2068" t="s">
        <v>9195</v>
      </c>
      <c r="B2068" t="s">
        <v>6199</v>
      </c>
      <c r="C2068">
        <v>41.364100000000001</v>
      </c>
      <c r="D2068">
        <v>-82.619399999999999</v>
      </c>
      <c r="E2068" t="s">
        <v>9295</v>
      </c>
    </row>
    <row r="2069" spans="1:5" hidden="1" x14ac:dyDescent="0.25">
      <c r="A2069" t="s">
        <v>627</v>
      </c>
      <c r="B2069" t="s">
        <v>6199</v>
      </c>
      <c r="C2069">
        <v>39.751600000000003</v>
      </c>
      <c r="D2069">
        <v>-82.630600000000001</v>
      </c>
      <c r="E2069" t="s">
        <v>9296</v>
      </c>
    </row>
    <row r="2070" spans="1:5" hidden="1" x14ac:dyDescent="0.25">
      <c r="A2070" t="s">
        <v>6258</v>
      </c>
      <c r="B2070" t="s">
        <v>6199</v>
      </c>
      <c r="C2070">
        <v>39.559899999999999</v>
      </c>
      <c r="D2070">
        <v>-83.456100000000006</v>
      </c>
      <c r="E2070" t="s">
        <v>9297</v>
      </c>
    </row>
    <row r="2071" spans="1:5" hidden="1" x14ac:dyDescent="0.25">
      <c r="A2071" t="s">
        <v>6260</v>
      </c>
      <c r="B2071" t="s">
        <v>6199</v>
      </c>
      <c r="C2071">
        <v>39.969499999999996</v>
      </c>
      <c r="D2071">
        <v>-83.009299999999996</v>
      </c>
      <c r="E2071" t="s">
        <v>9298</v>
      </c>
    </row>
    <row r="2072" spans="1:5" hidden="1" x14ac:dyDescent="0.25">
      <c r="A2072" t="s">
        <v>6366</v>
      </c>
      <c r="B2072" t="s">
        <v>6199</v>
      </c>
      <c r="C2072">
        <v>41.601799999999997</v>
      </c>
      <c r="D2072">
        <v>-84.130099999999999</v>
      </c>
      <c r="E2072" t="s">
        <v>9299</v>
      </c>
    </row>
    <row r="2073" spans="1:5" hidden="1" x14ac:dyDescent="0.25">
      <c r="A2073" t="s">
        <v>9300</v>
      </c>
      <c r="B2073" t="s">
        <v>6199</v>
      </c>
      <c r="C2073">
        <v>38.8247</v>
      </c>
      <c r="D2073">
        <v>-82.316900000000004</v>
      </c>
      <c r="E2073" t="s">
        <v>9301</v>
      </c>
    </row>
    <row r="2074" spans="1:5" hidden="1" x14ac:dyDescent="0.25">
      <c r="A2074" t="s">
        <v>9302</v>
      </c>
      <c r="B2074" t="s">
        <v>6199</v>
      </c>
      <c r="C2074">
        <v>41.499600000000001</v>
      </c>
      <c r="D2074">
        <v>-81.178600000000003</v>
      </c>
      <c r="E2074" t="s">
        <v>9303</v>
      </c>
    </row>
    <row r="2075" spans="1:5" hidden="1" x14ac:dyDescent="0.25">
      <c r="A2075" t="s">
        <v>6264</v>
      </c>
      <c r="B2075" t="s">
        <v>6199</v>
      </c>
      <c r="C2075">
        <v>39.691499999999998</v>
      </c>
      <c r="D2075">
        <v>-83.889899999999997</v>
      </c>
      <c r="E2075" t="s">
        <v>9304</v>
      </c>
    </row>
    <row r="2076" spans="1:5" hidden="1" x14ac:dyDescent="0.25">
      <c r="A2076" t="s">
        <v>9305</v>
      </c>
      <c r="B2076" t="s">
        <v>6199</v>
      </c>
      <c r="C2076">
        <v>40.052</v>
      </c>
      <c r="D2076">
        <v>-81.494299999999996</v>
      </c>
      <c r="E2076" t="s">
        <v>9306</v>
      </c>
    </row>
    <row r="2077" spans="1:5" hidden="1" x14ac:dyDescent="0.25">
      <c r="A2077" t="s">
        <v>6761</v>
      </c>
      <c r="B2077" t="s">
        <v>6199</v>
      </c>
      <c r="C2077">
        <v>39.195500000000003</v>
      </c>
      <c r="D2077">
        <v>-84.5428</v>
      </c>
      <c r="E2077" t="s">
        <v>9307</v>
      </c>
    </row>
    <row r="2078" spans="1:5" hidden="1" x14ac:dyDescent="0.25">
      <c r="A2078" t="s">
        <v>1216</v>
      </c>
      <c r="B2078" t="s">
        <v>6199</v>
      </c>
      <c r="C2078">
        <v>41.001899999999999</v>
      </c>
      <c r="D2078">
        <v>-83.666499999999999</v>
      </c>
      <c r="E2078" t="s">
        <v>9308</v>
      </c>
    </row>
    <row r="2079" spans="1:5" hidden="1" x14ac:dyDescent="0.25">
      <c r="A2079" t="s">
        <v>7139</v>
      </c>
      <c r="B2079" t="s">
        <v>6199</v>
      </c>
      <c r="C2079">
        <v>40.6616</v>
      </c>
      <c r="D2079">
        <v>-83.659499999999994</v>
      </c>
      <c r="E2079" t="s">
        <v>9309</v>
      </c>
    </row>
    <row r="2080" spans="1:5" hidden="1" x14ac:dyDescent="0.25">
      <c r="A2080" t="s">
        <v>1623</v>
      </c>
      <c r="B2080" t="s">
        <v>6199</v>
      </c>
      <c r="C2080">
        <v>40.293799999999997</v>
      </c>
      <c r="D2080">
        <v>-81.091099999999997</v>
      </c>
      <c r="E2080" t="s">
        <v>9310</v>
      </c>
    </row>
    <row r="2081" spans="1:5" hidden="1" x14ac:dyDescent="0.25">
      <c r="A2081" t="s">
        <v>334</v>
      </c>
      <c r="B2081" t="s">
        <v>6199</v>
      </c>
      <c r="C2081">
        <v>41.3339</v>
      </c>
      <c r="D2081">
        <v>-84.068200000000004</v>
      </c>
      <c r="E2081" t="s">
        <v>9311</v>
      </c>
    </row>
    <row r="2082" spans="1:5" hidden="1" x14ac:dyDescent="0.25">
      <c r="A2082" t="s">
        <v>9312</v>
      </c>
      <c r="B2082" t="s">
        <v>6199</v>
      </c>
      <c r="C2082">
        <v>39.184699999999999</v>
      </c>
      <c r="D2082">
        <v>-83.600999999999999</v>
      </c>
      <c r="E2082" t="s">
        <v>9313</v>
      </c>
    </row>
    <row r="2083" spans="1:5" hidden="1" x14ac:dyDescent="0.25">
      <c r="A2083" t="s">
        <v>9314</v>
      </c>
      <c r="B2083" t="s">
        <v>6199</v>
      </c>
      <c r="C2083">
        <v>39.497100000000003</v>
      </c>
      <c r="D2083">
        <v>-82.479299999999995</v>
      </c>
      <c r="E2083" t="s">
        <v>9315</v>
      </c>
    </row>
    <row r="2084" spans="1:5" hidden="1" x14ac:dyDescent="0.25">
      <c r="A2084" t="s">
        <v>1403</v>
      </c>
      <c r="B2084" t="s">
        <v>6199</v>
      </c>
      <c r="C2084">
        <v>40.561199999999999</v>
      </c>
      <c r="D2084">
        <v>-81.929299999999998</v>
      </c>
      <c r="E2084" t="s">
        <v>9316</v>
      </c>
    </row>
    <row r="2085" spans="1:5" hidden="1" x14ac:dyDescent="0.25">
      <c r="A2085" t="s">
        <v>8116</v>
      </c>
      <c r="B2085" t="s">
        <v>6199</v>
      </c>
      <c r="C2085">
        <v>41.146299999999997</v>
      </c>
      <c r="D2085">
        <v>-82.597999999999999</v>
      </c>
      <c r="E2085" t="s">
        <v>9317</v>
      </c>
    </row>
    <row r="2086" spans="1:5" hidden="1" x14ac:dyDescent="0.25">
      <c r="A2086" t="s">
        <v>191</v>
      </c>
      <c r="B2086" t="s">
        <v>6199</v>
      </c>
      <c r="C2086">
        <v>39.0197</v>
      </c>
      <c r="D2086">
        <v>-82.618399999999994</v>
      </c>
      <c r="E2086" t="s">
        <v>9318</v>
      </c>
    </row>
    <row r="2087" spans="1:5" hidden="1" x14ac:dyDescent="0.25">
      <c r="A2087" t="s">
        <v>6272</v>
      </c>
      <c r="B2087" t="s">
        <v>6199</v>
      </c>
      <c r="C2087">
        <v>40.384999999999998</v>
      </c>
      <c r="D2087">
        <v>-80.760999999999996</v>
      </c>
      <c r="E2087" t="s">
        <v>9319</v>
      </c>
    </row>
    <row r="2088" spans="1:5" hidden="1" x14ac:dyDescent="0.25">
      <c r="A2088" t="s">
        <v>7357</v>
      </c>
      <c r="B2088" t="s">
        <v>6199</v>
      </c>
      <c r="C2088">
        <v>40.398800000000001</v>
      </c>
      <c r="D2088">
        <v>-82.421499999999995</v>
      </c>
      <c r="E2088" t="s">
        <v>9320</v>
      </c>
    </row>
    <row r="2089" spans="1:5" hidden="1" x14ac:dyDescent="0.25">
      <c r="A2089" t="s">
        <v>3705</v>
      </c>
      <c r="B2089" t="s">
        <v>6199</v>
      </c>
      <c r="C2089">
        <v>41.696300000000001</v>
      </c>
      <c r="D2089">
        <v>-81.237200000000001</v>
      </c>
      <c r="E2089" t="s">
        <v>9321</v>
      </c>
    </row>
    <row r="2090" spans="1:5" hidden="1" x14ac:dyDescent="0.25">
      <c r="A2090" t="s">
        <v>492</v>
      </c>
      <c r="B2090" t="s">
        <v>6199</v>
      </c>
      <c r="C2090">
        <v>38.598399999999998</v>
      </c>
      <c r="D2090">
        <v>-82.536799999999999</v>
      </c>
      <c r="E2090" t="s">
        <v>9322</v>
      </c>
    </row>
    <row r="2091" spans="1:5" hidden="1" x14ac:dyDescent="0.25">
      <c r="A2091" t="s">
        <v>9323</v>
      </c>
      <c r="B2091" t="s">
        <v>6199</v>
      </c>
      <c r="C2091">
        <v>40.0916</v>
      </c>
      <c r="D2091">
        <v>-82.483099999999993</v>
      </c>
      <c r="E2091" t="s">
        <v>9324</v>
      </c>
    </row>
    <row r="2092" spans="1:5" hidden="1" x14ac:dyDescent="0.25">
      <c r="A2092" t="s">
        <v>987</v>
      </c>
      <c r="B2092" t="s">
        <v>6199</v>
      </c>
      <c r="C2092">
        <v>40.388500000000001</v>
      </c>
      <c r="D2092">
        <v>-83.765799999999999</v>
      </c>
      <c r="E2092" t="s">
        <v>9325</v>
      </c>
    </row>
    <row r="2093" spans="1:5" hidden="1" x14ac:dyDescent="0.25">
      <c r="A2093" t="s">
        <v>9326</v>
      </c>
      <c r="B2093" t="s">
        <v>6199</v>
      </c>
      <c r="C2093">
        <v>41.2956</v>
      </c>
      <c r="D2093">
        <v>-82.150999999999996</v>
      </c>
      <c r="E2093" t="s">
        <v>9327</v>
      </c>
    </row>
    <row r="2094" spans="1:5" hidden="1" x14ac:dyDescent="0.25">
      <c r="A2094" t="s">
        <v>4581</v>
      </c>
      <c r="B2094" t="s">
        <v>6199</v>
      </c>
      <c r="C2094">
        <v>41.619700000000002</v>
      </c>
      <c r="D2094">
        <v>-83.658900000000003</v>
      </c>
      <c r="E2094" t="s">
        <v>9328</v>
      </c>
    </row>
    <row r="2095" spans="1:5" hidden="1" x14ac:dyDescent="0.25">
      <c r="A2095" t="s">
        <v>6286</v>
      </c>
      <c r="B2095" t="s">
        <v>6199</v>
      </c>
      <c r="C2095">
        <v>39.894199999999998</v>
      </c>
      <c r="D2095">
        <v>-83.400400000000005</v>
      </c>
      <c r="E2095" t="s">
        <v>9329</v>
      </c>
    </row>
    <row r="2096" spans="1:5" hidden="1" x14ac:dyDescent="0.25">
      <c r="A2096" t="s">
        <v>9330</v>
      </c>
      <c r="B2096" t="s">
        <v>6199</v>
      </c>
      <c r="C2096">
        <v>41.014600000000002</v>
      </c>
      <c r="D2096">
        <v>-80.776300000000006</v>
      </c>
      <c r="E2096" t="s">
        <v>9331</v>
      </c>
    </row>
    <row r="2097" spans="1:5" hidden="1" x14ac:dyDescent="0.25">
      <c r="A2097" t="s">
        <v>6290</v>
      </c>
      <c r="B2097" t="s">
        <v>6199</v>
      </c>
      <c r="C2097">
        <v>40.587200000000003</v>
      </c>
      <c r="D2097">
        <v>-83.160899999999998</v>
      </c>
      <c r="E2097" t="s">
        <v>9332</v>
      </c>
    </row>
    <row r="2098" spans="1:5" hidden="1" x14ac:dyDescent="0.25">
      <c r="A2098" t="s">
        <v>9333</v>
      </c>
      <c r="B2098" t="s">
        <v>6199</v>
      </c>
      <c r="C2098">
        <v>41.117600000000003</v>
      </c>
      <c r="D2098">
        <v>-81.899699999999996</v>
      </c>
      <c r="E2098" t="s">
        <v>9334</v>
      </c>
    </row>
    <row r="2099" spans="1:5" hidden="1" x14ac:dyDescent="0.25">
      <c r="A2099" t="s">
        <v>9335</v>
      </c>
      <c r="B2099" t="s">
        <v>6199</v>
      </c>
      <c r="C2099">
        <v>39.0822</v>
      </c>
      <c r="D2099">
        <v>-82.022900000000007</v>
      </c>
      <c r="E2099" t="s">
        <v>9336</v>
      </c>
    </row>
    <row r="2100" spans="1:5" hidden="1" x14ac:dyDescent="0.25">
      <c r="A2100" t="s">
        <v>1636</v>
      </c>
      <c r="B2100" t="s">
        <v>6199</v>
      </c>
      <c r="C2100">
        <v>40.54</v>
      </c>
      <c r="D2100">
        <v>-84.629400000000004</v>
      </c>
      <c r="E2100" t="s">
        <v>9337</v>
      </c>
    </row>
    <row r="2101" spans="1:5" hidden="1" x14ac:dyDescent="0.25">
      <c r="A2101" t="s">
        <v>7498</v>
      </c>
      <c r="B2101" t="s">
        <v>6199</v>
      </c>
      <c r="C2101">
        <v>40.0535</v>
      </c>
      <c r="D2101">
        <v>-84.228800000000007</v>
      </c>
      <c r="E2101" t="s">
        <v>9338</v>
      </c>
    </row>
    <row r="2102" spans="1:5" hidden="1" x14ac:dyDescent="0.25">
      <c r="A2102" t="s">
        <v>6295</v>
      </c>
      <c r="B2102" t="s">
        <v>6199</v>
      </c>
      <c r="C2102">
        <v>39.727400000000003</v>
      </c>
      <c r="D2102">
        <v>-81.082899999999995</v>
      </c>
      <c r="E2102" t="s">
        <v>9339</v>
      </c>
    </row>
    <row r="2103" spans="1:5" hidden="1" x14ac:dyDescent="0.25">
      <c r="A2103" t="s">
        <v>6297</v>
      </c>
      <c r="B2103" t="s">
        <v>6199</v>
      </c>
      <c r="C2103">
        <v>39.7547</v>
      </c>
      <c r="D2103">
        <v>-84.290700000000001</v>
      </c>
      <c r="E2103" t="s">
        <v>9340</v>
      </c>
    </row>
    <row r="2104" spans="1:5" hidden="1" x14ac:dyDescent="0.25">
      <c r="A2104" t="s">
        <v>496</v>
      </c>
      <c r="B2104" t="s">
        <v>6199</v>
      </c>
      <c r="C2104">
        <v>39.620399999999997</v>
      </c>
      <c r="D2104">
        <v>-81.852699999999999</v>
      </c>
      <c r="E2104" t="s">
        <v>9341</v>
      </c>
    </row>
    <row r="2105" spans="1:5" hidden="1" x14ac:dyDescent="0.25">
      <c r="A2105" t="s">
        <v>9342</v>
      </c>
      <c r="B2105" t="s">
        <v>6199</v>
      </c>
      <c r="C2105">
        <v>40.524099999999997</v>
      </c>
      <c r="D2105">
        <v>-82.7941</v>
      </c>
      <c r="E2105" t="s">
        <v>9343</v>
      </c>
    </row>
    <row r="2106" spans="1:5" hidden="1" x14ac:dyDescent="0.25">
      <c r="A2106" t="s">
        <v>9344</v>
      </c>
      <c r="B2106" t="s">
        <v>6199</v>
      </c>
      <c r="C2106">
        <v>39.965400000000002</v>
      </c>
      <c r="D2106">
        <v>-81.944400000000002</v>
      </c>
      <c r="E2106" t="s">
        <v>9345</v>
      </c>
    </row>
    <row r="2107" spans="1:5" hidden="1" x14ac:dyDescent="0.25">
      <c r="A2107" t="s">
        <v>7504</v>
      </c>
      <c r="B2107" t="s">
        <v>6199</v>
      </c>
      <c r="C2107">
        <v>39.765999999999998</v>
      </c>
      <c r="D2107">
        <v>-81.455500000000001</v>
      </c>
      <c r="E2107" t="s">
        <v>9346</v>
      </c>
    </row>
    <row r="2108" spans="1:5" hidden="1" x14ac:dyDescent="0.25">
      <c r="A2108" t="s">
        <v>7662</v>
      </c>
      <c r="B2108" t="s">
        <v>6199</v>
      </c>
      <c r="C2108">
        <v>41.5379</v>
      </c>
      <c r="D2108">
        <v>-83.143500000000003</v>
      </c>
      <c r="E2108" t="s">
        <v>9347</v>
      </c>
    </row>
    <row r="2109" spans="1:5" hidden="1" x14ac:dyDescent="0.25">
      <c r="A2109" t="s">
        <v>6996</v>
      </c>
      <c r="B2109" t="s">
        <v>6199</v>
      </c>
      <c r="C2109">
        <v>41.116599999999998</v>
      </c>
      <c r="D2109">
        <v>-84.580200000000005</v>
      </c>
      <c r="E2109" t="s">
        <v>9348</v>
      </c>
    </row>
    <row r="2110" spans="1:5" hidden="1" x14ac:dyDescent="0.25">
      <c r="A2110" t="s">
        <v>1641</v>
      </c>
      <c r="B2110" t="s">
        <v>6199</v>
      </c>
      <c r="C2110">
        <v>39.737099999999998</v>
      </c>
      <c r="D2110">
        <v>-82.236099999999993</v>
      </c>
      <c r="E2110" t="s">
        <v>9349</v>
      </c>
    </row>
    <row r="2111" spans="1:5" hidden="1" x14ac:dyDescent="0.25">
      <c r="A2111" t="s">
        <v>9350</v>
      </c>
      <c r="B2111" t="s">
        <v>6199</v>
      </c>
      <c r="C2111">
        <v>39.6419</v>
      </c>
      <c r="D2111">
        <v>-83.0244</v>
      </c>
      <c r="E2111" t="s">
        <v>9351</v>
      </c>
    </row>
    <row r="2112" spans="1:5" hidden="1" x14ac:dyDescent="0.25">
      <c r="A2112" t="s">
        <v>6303</v>
      </c>
      <c r="B2112" t="s">
        <v>6199</v>
      </c>
      <c r="C2112">
        <v>39.077300000000001</v>
      </c>
      <c r="D2112">
        <v>-83.066800000000001</v>
      </c>
      <c r="E2112" t="s">
        <v>9352</v>
      </c>
    </row>
    <row r="2113" spans="1:5" hidden="1" x14ac:dyDescent="0.25">
      <c r="A2113" t="s">
        <v>9353</v>
      </c>
      <c r="B2113" t="s">
        <v>6199</v>
      </c>
      <c r="C2113">
        <v>41.167700000000004</v>
      </c>
      <c r="D2113">
        <v>-81.197400000000002</v>
      </c>
      <c r="E2113" t="s">
        <v>9354</v>
      </c>
    </row>
    <row r="2114" spans="1:5" hidden="1" x14ac:dyDescent="0.25">
      <c r="A2114" t="s">
        <v>9355</v>
      </c>
      <c r="B2114" t="s">
        <v>6199</v>
      </c>
      <c r="C2114">
        <v>39.741500000000002</v>
      </c>
      <c r="D2114">
        <v>-84.647999999999996</v>
      </c>
      <c r="E2114" t="s">
        <v>9356</v>
      </c>
    </row>
    <row r="2115" spans="1:5" hidden="1" x14ac:dyDescent="0.25">
      <c r="A2115" t="s">
        <v>6810</v>
      </c>
      <c r="B2115" t="s">
        <v>6199</v>
      </c>
      <c r="C2115">
        <v>41.022100000000002</v>
      </c>
      <c r="D2115">
        <v>-84.131699999999995</v>
      </c>
      <c r="E2115" t="s">
        <v>9357</v>
      </c>
    </row>
    <row r="2116" spans="1:5" hidden="1" x14ac:dyDescent="0.25">
      <c r="A2116" t="s">
        <v>7401</v>
      </c>
      <c r="B2116" t="s">
        <v>6199</v>
      </c>
      <c r="C2116">
        <v>40.774700000000003</v>
      </c>
      <c r="D2116">
        <v>-82.536500000000004</v>
      </c>
      <c r="E2116" t="s">
        <v>9358</v>
      </c>
    </row>
    <row r="2117" spans="1:5" hidden="1" x14ac:dyDescent="0.25">
      <c r="A2117" t="s">
        <v>9359</v>
      </c>
      <c r="B2117" t="s">
        <v>6199</v>
      </c>
      <c r="C2117">
        <v>39.337600000000002</v>
      </c>
      <c r="D2117">
        <v>-83.057000000000002</v>
      </c>
      <c r="E2117" t="s">
        <v>9360</v>
      </c>
    </row>
    <row r="2118" spans="1:5" hidden="1" x14ac:dyDescent="0.25">
      <c r="A2118" t="s">
        <v>9361</v>
      </c>
      <c r="B2118" t="s">
        <v>6199</v>
      </c>
      <c r="C2118">
        <v>41.356200000000001</v>
      </c>
      <c r="D2118">
        <v>-83.1464</v>
      </c>
      <c r="E2118" t="s">
        <v>9362</v>
      </c>
    </row>
    <row r="2119" spans="1:5" hidden="1" x14ac:dyDescent="0.25">
      <c r="A2119" t="s">
        <v>9363</v>
      </c>
      <c r="B2119" t="s">
        <v>6199</v>
      </c>
      <c r="C2119">
        <v>38.803899999999999</v>
      </c>
      <c r="D2119">
        <v>-82.992900000000006</v>
      </c>
      <c r="E2119" t="s">
        <v>9364</v>
      </c>
    </row>
    <row r="2120" spans="1:5" hidden="1" x14ac:dyDescent="0.25">
      <c r="A2120" t="s">
        <v>9241</v>
      </c>
      <c r="B2120" t="s">
        <v>6199</v>
      </c>
      <c r="C2120">
        <v>41.123899999999999</v>
      </c>
      <c r="D2120">
        <v>-83.127700000000004</v>
      </c>
      <c r="E2120" t="s">
        <v>9365</v>
      </c>
    </row>
    <row r="2121" spans="1:5" hidden="1" x14ac:dyDescent="0.25">
      <c r="A2121" t="s">
        <v>6309</v>
      </c>
      <c r="B2121" t="s">
        <v>6199</v>
      </c>
      <c r="C2121">
        <v>40.331600000000002</v>
      </c>
      <c r="D2121">
        <v>-84.204800000000006</v>
      </c>
      <c r="E2121" t="s">
        <v>9366</v>
      </c>
    </row>
    <row r="2122" spans="1:5" hidden="1" x14ac:dyDescent="0.25">
      <c r="A2122" t="s">
        <v>7413</v>
      </c>
      <c r="B2122" t="s">
        <v>6199</v>
      </c>
      <c r="C2122">
        <v>40.813899999999997</v>
      </c>
      <c r="D2122">
        <v>-81.365600000000001</v>
      </c>
      <c r="E2122" t="s">
        <v>9367</v>
      </c>
    </row>
    <row r="2123" spans="1:5" hidden="1" x14ac:dyDescent="0.25">
      <c r="A2123" t="s">
        <v>6691</v>
      </c>
      <c r="B2123" t="s">
        <v>6199</v>
      </c>
      <c r="C2123">
        <v>41.125999999999998</v>
      </c>
      <c r="D2123">
        <v>-81.532200000000003</v>
      </c>
      <c r="E2123" t="s">
        <v>9368</v>
      </c>
    </row>
    <row r="2124" spans="1:5" hidden="1" x14ac:dyDescent="0.25">
      <c r="A2124" t="s">
        <v>9369</v>
      </c>
      <c r="B2124" t="s">
        <v>6199</v>
      </c>
      <c r="C2124">
        <v>41.317</v>
      </c>
      <c r="D2124">
        <v>-80.761300000000006</v>
      </c>
      <c r="E2124" t="s">
        <v>9370</v>
      </c>
    </row>
    <row r="2125" spans="1:5" hidden="1" x14ac:dyDescent="0.25">
      <c r="A2125" t="s">
        <v>9371</v>
      </c>
      <c r="B2125" t="s">
        <v>6199</v>
      </c>
      <c r="C2125">
        <v>40.440899999999999</v>
      </c>
      <c r="D2125">
        <v>-81.473699999999994</v>
      </c>
      <c r="E2125" t="s">
        <v>9372</v>
      </c>
    </row>
    <row r="2126" spans="1:5" hidden="1" x14ac:dyDescent="0.25">
      <c r="A2126" t="s">
        <v>5878</v>
      </c>
      <c r="B2126" t="s">
        <v>6199</v>
      </c>
      <c r="C2126">
        <v>40.299399999999999</v>
      </c>
      <c r="D2126">
        <v>-83.371600000000001</v>
      </c>
      <c r="E2126" t="s">
        <v>9373</v>
      </c>
    </row>
    <row r="2127" spans="1:5" hidden="1" x14ac:dyDescent="0.25">
      <c r="A2127" t="s">
        <v>9374</v>
      </c>
      <c r="B2127" t="s">
        <v>6199</v>
      </c>
      <c r="C2127">
        <v>40.855400000000003</v>
      </c>
      <c r="D2127">
        <v>-84.586100000000002</v>
      </c>
      <c r="E2127" t="s">
        <v>9375</v>
      </c>
    </row>
    <row r="2128" spans="1:5" hidden="1" x14ac:dyDescent="0.25">
      <c r="A2128" t="s">
        <v>9376</v>
      </c>
      <c r="B2128" t="s">
        <v>6199</v>
      </c>
      <c r="C2128">
        <v>39.250999999999998</v>
      </c>
      <c r="D2128">
        <v>-82.485299999999995</v>
      </c>
      <c r="E2128" t="s">
        <v>9377</v>
      </c>
    </row>
    <row r="2129" spans="1:5" hidden="1" x14ac:dyDescent="0.25">
      <c r="A2129" t="s">
        <v>448</v>
      </c>
      <c r="B2129" t="s">
        <v>6199</v>
      </c>
      <c r="C2129">
        <v>39.427700000000002</v>
      </c>
      <c r="D2129">
        <v>-84.166799999999995</v>
      </c>
      <c r="E2129" t="s">
        <v>9378</v>
      </c>
    </row>
    <row r="2130" spans="1:5" hidden="1" x14ac:dyDescent="0.25">
      <c r="A2130" t="s">
        <v>3052</v>
      </c>
      <c r="B2130" t="s">
        <v>6199</v>
      </c>
      <c r="C2130">
        <v>39.455300000000001</v>
      </c>
      <c r="D2130">
        <v>-81.4953</v>
      </c>
      <c r="E2130" t="s">
        <v>9379</v>
      </c>
    </row>
    <row r="2131" spans="1:5" hidden="1" x14ac:dyDescent="0.25">
      <c r="A2131" t="s">
        <v>7057</v>
      </c>
      <c r="B2131" t="s">
        <v>6199</v>
      </c>
      <c r="C2131">
        <v>40.828899999999997</v>
      </c>
      <c r="D2131">
        <v>-81.888000000000005</v>
      </c>
      <c r="E2131" t="s">
        <v>9380</v>
      </c>
    </row>
    <row r="2132" spans="1:5" hidden="1" x14ac:dyDescent="0.25">
      <c r="A2132" t="s">
        <v>268</v>
      </c>
      <c r="B2132" t="s">
        <v>6199</v>
      </c>
      <c r="C2132">
        <v>41.560299999999998</v>
      </c>
      <c r="D2132">
        <v>-84.588099999999997</v>
      </c>
      <c r="E2132" t="s">
        <v>9381</v>
      </c>
    </row>
    <row r="2133" spans="1:5" hidden="1" x14ac:dyDescent="0.25">
      <c r="A2133" t="s">
        <v>9382</v>
      </c>
      <c r="B2133" t="s">
        <v>6199</v>
      </c>
      <c r="C2133">
        <v>41.361699999999999</v>
      </c>
      <c r="D2133">
        <v>-83.623000000000005</v>
      </c>
      <c r="E2133" t="s">
        <v>9383</v>
      </c>
    </row>
    <row r="2134" spans="1:5" hidden="1" x14ac:dyDescent="0.25">
      <c r="A2134" t="s">
        <v>9384</v>
      </c>
      <c r="B2134" t="s">
        <v>6199</v>
      </c>
      <c r="C2134">
        <v>40.842399999999998</v>
      </c>
      <c r="D2134">
        <v>-83.304400000000001</v>
      </c>
      <c r="E2134" t="s">
        <v>9385</v>
      </c>
    </row>
    <row r="2135" spans="1:5" hidden="1" x14ac:dyDescent="0.25">
      <c r="A2135" t="s">
        <v>7081</v>
      </c>
      <c r="B2135" t="s">
        <v>6202</v>
      </c>
      <c r="C2135">
        <v>35.883899999999997</v>
      </c>
      <c r="D2135">
        <v>-94.658699999999996</v>
      </c>
      <c r="E2135" t="s">
        <v>9386</v>
      </c>
    </row>
    <row r="2136" spans="1:5" hidden="1" x14ac:dyDescent="0.25">
      <c r="A2136" t="s">
        <v>9387</v>
      </c>
      <c r="B2136" t="s">
        <v>6202</v>
      </c>
      <c r="C2136">
        <v>36.731000000000002</v>
      </c>
      <c r="D2136">
        <v>-98.323999999999998</v>
      </c>
      <c r="E2136" t="s">
        <v>9388</v>
      </c>
    </row>
    <row r="2137" spans="1:5" hidden="1" x14ac:dyDescent="0.25">
      <c r="A2137" t="s">
        <v>9389</v>
      </c>
      <c r="B2137" t="s">
        <v>6202</v>
      </c>
      <c r="C2137">
        <v>34.373699999999999</v>
      </c>
      <c r="D2137">
        <v>-96.037800000000004</v>
      </c>
      <c r="E2137" t="s">
        <v>9390</v>
      </c>
    </row>
    <row r="2138" spans="1:5" hidden="1" x14ac:dyDescent="0.25">
      <c r="A2138" t="s">
        <v>706</v>
      </c>
      <c r="B2138" t="s">
        <v>6202</v>
      </c>
      <c r="C2138">
        <v>36.749699999999997</v>
      </c>
      <c r="D2138">
        <v>-100.4768</v>
      </c>
      <c r="E2138" t="s">
        <v>9391</v>
      </c>
    </row>
    <row r="2139" spans="1:5" hidden="1" x14ac:dyDescent="0.25">
      <c r="A2139" t="s">
        <v>9392</v>
      </c>
      <c r="B2139" t="s">
        <v>6202</v>
      </c>
      <c r="C2139">
        <v>35.268700000000003</v>
      </c>
      <c r="D2139">
        <v>-99.682000000000002</v>
      </c>
      <c r="E2139" t="s">
        <v>9393</v>
      </c>
    </row>
    <row r="2140" spans="1:5" hidden="1" x14ac:dyDescent="0.25">
      <c r="A2140" t="s">
        <v>7232</v>
      </c>
      <c r="B2140" t="s">
        <v>6202</v>
      </c>
      <c r="C2140">
        <v>35.8752</v>
      </c>
      <c r="D2140">
        <v>-98.433400000000006</v>
      </c>
      <c r="E2140" t="s">
        <v>9394</v>
      </c>
    </row>
    <row r="2141" spans="1:5" hidden="1" x14ac:dyDescent="0.25">
      <c r="A2141" t="s">
        <v>977</v>
      </c>
      <c r="B2141" t="s">
        <v>6202</v>
      </c>
      <c r="C2141">
        <v>33.962299999999999</v>
      </c>
      <c r="D2141">
        <v>-96.259799999999998</v>
      </c>
      <c r="E2141" t="s">
        <v>9395</v>
      </c>
    </row>
    <row r="2142" spans="1:5" hidden="1" x14ac:dyDescent="0.25">
      <c r="A2142" t="s">
        <v>7890</v>
      </c>
      <c r="B2142" t="s">
        <v>6202</v>
      </c>
      <c r="C2142">
        <v>35.174399999999999</v>
      </c>
      <c r="D2142">
        <v>-98.375100000000003</v>
      </c>
      <c r="E2142" t="s">
        <v>9396</v>
      </c>
    </row>
    <row r="2143" spans="1:5" hidden="1" x14ac:dyDescent="0.25">
      <c r="A2143" t="s">
        <v>9397</v>
      </c>
      <c r="B2143" t="s">
        <v>6202</v>
      </c>
      <c r="C2143">
        <v>35.542400000000001</v>
      </c>
      <c r="D2143">
        <v>-97.982399999999998</v>
      </c>
      <c r="E2143" t="s">
        <v>9398</v>
      </c>
    </row>
    <row r="2144" spans="1:5" hidden="1" x14ac:dyDescent="0.25">
      <c r="A2144" t="s">
        <v>427</v>
      </c>
      <c r="B2144" t="s">
        <v>6202</v>
      </c>
      <c r="C2144">
        <v>34.250900000000001</v>
      </c>
      <c r="D2144">
        <v>-97.285799999999995</v>
      </c>
      <c r="E2144" t="s">
        <v>9399</v>
      </c>
    </row>
    <row r="2145" spans="1:5" hidden="1" x14ac:dyDescent="0.25">
      <c r="A2145" t="s">
        <v>6210</v>
      </c>
      <c r="B2145" t="s">
        <v>6202</v>
      </c>
      <c r="C2145">
        <v>35.906700000000001</v>
      </c>
      <c r="D2145">
        <v>-94.999700000000004</v>
      </c>
      <c r="E2145" t="s">
        <v>9400</v>
      </c>
    </row>
    <row r="2146" spans="1:5" hidden="1" x14ac:dyDescent="0.25">
      <c r="A2146" t="s">
        <v>6216</v>
      </c>
      <c r="B2146" t="s">
        <v>6202</v>
      </c>
      <c r="C2146">
        <v>34.026600000000002</v>
      </c>
      <c r="D2146">
        <v>-95.552199999999999</v>
      </c>
      <c r="E2146" t="s">
        <v>9401</v>
      </c>
    </row>
    <row r="2147" spans="1:5" hidden="1" x14ac:dyDescent="0.25">
      <c r="A2147" t="s">
        <v>9402</v>
      </c>
      <c r="B2147" t="s">
        <v>6202</v>
      </c>
      <c r="C2147">
        <v>36.7483</v>
      </c>
      <c r="D2147">
        <v>-102.51779999999999</v>
      </c>
      <c r="E2147" t="s">
        <v>9403</v>
      </c>
    </row>
    <row r="2148" spans="1:5" hidden="1" x14ac:dyDescent="0.25">
      <c r="A2148" t="s">
        <v>6347</v>
      </c>
      <c r="B2148" t="s">
        <v>6202</v>
      </c>
      <c r="C2148">
        <v>35.203099999999999</v>
      </c>
      <c r="D2148">
        <v>-97.326499999999996</v>
      </c>
      <c r="E2148" t="s">
        <v>9404</v>
      </c>
    </row>
    <row r="2149" spans="1:5" hidden="1" x14ac:dyDescent="0.25">
      <c r="A2149" t="s">
        <v>9405</v>
      </c>
      <c r="B2149" t="s">
        <v>6202</v>
      </c>
      <c r="C2149">
        <v>34.588200000000001</v>
      </c>
      <c r="D2149">
        <v>-96.297799999999995</v>
      </c>
      <c r="E2149" t="s">
        <v>9406</v>
      </c>
    </row>
    <row r="2150" spans="1:5" hidden="1" x14ac:dyDescent="0.25">
      <c r="A2150" t="s">
        <v>7580</v>
      </c>
      <c r="B2150" t="s">
        <v>6202</v>
      </c>
      <c r="C2150">
        <v>34.662100000000002</v>
      </c>
      <c r="D2150">
        <v>-98.471699999999998</v>
      </c>
      <c r="E2150" t="s">
        <v>9407</v>
      </c>
    </row>
    <row r="2151" spans="1:5" hidden="1" x14ac:dyDescent="0.25">
      <c r="A2151" t="s">
        <v>9408</v>
      </c>
      <c r="B2151" t="s">
        <v>6202</v>
      </c>
      <c r="C2151">
        <v>34.290199999999999</v>
      </c>
      <c r="D2151">
        <v>-98.372200000000007</v>
      </c>
      <c r="E2151" t="s">
        <v>9409</v>
      </c>
    </row>
    <row r="2152" spans="1:5" hidden="1" x14ac:dyDescent="0.25">
      <c r="A2152" t="s">
        <v>9410</v>
      </c>
      <c r="B2152" t="s">
        <v>6202</v>
      </c>
      <c r="C2152">
        <v>36.761800000000001</v>
      </c>
      <c r="D2152">
        <v>-95.208500000000001</v>
      </c>
      <c r="E2152" t="s">
        <v>9411</v>
      </c>
    </row>
    <row r="2153" spans="1:5" hidden="1" x14ac:dyDescent="0.25">
      <c r="A2153" t="s">
        <v>3920</v>
      </c>
      <c r="B2153" t="s">
        <v>6202</v>
      </c>
      <c r="C2153">
        <v>35.9026</v>
      </c>
      <c r="D2153">
        <v>-96.370900000000006</v>
      </c>
      <c r="E2153" t="s">
        <v>9412</v>
      </c>
    </row>
    <row r="2154" spans="1:5" hidden="1" x14ac:dyDescent="0.25">
      <c r="A2154" t="s">
        <v>6610</v>
      </c>
      <c r="B2154" t="s">
        <v>6202</v>
      </c>
      <c r="C2154">
        <v>35.638800000000003</v>
      </c>
      <c r="D2154">
        <v>-99.001499999999993</v>
      </c>
      <c r="E2154" t="s">
        <v>9413</v>
      </c>
    </row>
    <row r="2155" spans="1:5" hidden="1" x14ac:dyDescent="0.25">
      <c r="A2155" t="s">
        <v>3512</v>
      </c>
      <c r="B2155" t="s">
        <v>6202</v>
      </c>
      <c r="C2155">
        <v>36.408200000000001</v>
      </c>
      <c r="D2155">
        <v>-94.802599999999998</v>
      </c>
      <c r="E2155" t="s">
        <v>9414</v>
      </c>
    </row>
    <row r="2156" spans="1:5" hidden="1" x14ac:dyDescent="0.25">
      <c r="A2156" t="s">
        <v>9415</v>
      </c>
      <c r="B2156" t="s">
        <v>6202</v>
      </c>
      <c r="C2156">
        <v>35.9876</v>
      </c>
      <c r="D2156">
        <v>-99.007900000000006</v>
      </c>
      <c r="E2156" t="s">
        <v>9416</v>
      </c>
    </row>
    <row r="2157" spans="1:5" hidden="1" x14ac:dyDescent="0.25">
      <c r="A2157" t="s">
        <v>5208</v>
      </c>
      <c r="B2157" t="s">
        <v>6202</v>
      </c>
      <c r="C2157">
        <v>36.218400000000003</v>
      </c>
      <c r="D2157">
        <v>-99.754599999999996</v>
      </c>
      <c r="E2157" t="s">
        <v>9417</v>
      </c>
    </row>
    <row r="2158" spans="1:5" hidden="1" x14ac:dyDescent="0.25">
      <c r="A2158" t="s">
        <v>6626</v>
      </c>
      <c r="B2158" t="s">
        <v>6202</v>
      </c>
      <c r="C2158">
        <v>36.379100000000001</v>
      </c>
      <c r="D2158">
        <v>-97.782700000000006</v>
      </c>
      <c r="E2158" t="s">
        <v>9418</v>
      </c>
    </row>
    <row r="2159" spans="1:5" hidden="1" x14ac:dyDescent="0.25">
      <c r="A2159" t="s">
        <v>9419</v>
      </c>
      <c r="B2159" t="s">
        <v>6202</v>
      </c>
      <c r="C2159">
        <v>34.704599999999999</v>
      </c>
      <c r="D2159">
        <v>-97.309299999999993</v>
      </c>
      <c r="E2159" t="s">
        <v>9420</v>
      </c>
    </row>
    <row r="2160" spans="1:5" hidden="1" x14ac:dyDescent="0.25">
      <c r="A2160" t="s">
        <v>6934</v>
      </c>
      <c r="B2160" t="s">
        <v>6202</v>
      </c>
      <c r="C2160">
        <v>35.0169</v>
      </c>
      <c r="D2160">
        <v>-97.884100000000004</v>
      </c>
      <c r="E2160" t="s">
        <v>9421</v>
      </c>
    </row>
    <row r="2161" spans="1:5" hidden="1" x14ac:dyDescent="0.25">
      <c r="A2161" t="s">
        <v>4593</v>
      </c>
      <c r="B2161" t="s">
        <v>6202</v>
      </c>
      <c r="C2161">
        <v>36.796100000000003</v>
      </c>
      <c r="D2161">
        <v>-97.786100000000005</v>
      </c>
      <c r="E2161" t="s">
        <v>9422</v>
      </c>
    </row>
    <row r="2162" spans="1:5" hidden="1" x14ac:dyDescent="0.25">
      <c r="A2162" t="s">
        <v>9423</v>
      </c>
      <c r="B2162" t="s">
        <v>6202</v>
      </c>
      <c r="C2162">
        <v>34.935699999999997</v>
      </c>
      <c r="D2162">
        <v>-99.5608</v>
      </c>
      <c r="E2162" t="s">
        <v>9424</v>
      </c>
    </row>
    <row r="2163" spans="1:5" hidden="1" x14ac:dyDescent="0.25">
      <c r="A2163" t="s">
        <v>9425</v>
      </c>
      <c r="B2163" t="s">
        <v>6202</v>
      </c>
      <c r="C2163">
        <v>34.744100000000003</v>
      </c>
      <c r="D2163">
        <v>-99.846199999999996</v>
      </c>
      <c r="E2163" t="s">
        <v>9426</v>
      </c>
    </row>
    <row r="2164" spans="1:5" hidden="1" x14ac:dyDescent="0.25">
      <c r="A2164" t="s">
        <v>7611</v>
      </c>
      <c r="B2164" t="s">
        <v>6202</v>
      </c>
      <c r="C2164">
        <v>36.788800000000002</v>
      </c>
      <c r="D2164">
        <v>-99.667299999999997</v>
      </c>
      <c r="E2164" t="s">
        <v>9427</v>
      </c>
    </row>
    <row r="2165" spans="1:5" hidden="1" x14ac:dyDescent="0.25">
      <c r="A2165" t="s">
        <v>7615</v>
      </c>
      <c r="B2165" t="s">
        <v>6202</v>
      </c>
      <c r="C2165">
        <v>35.224800000000002</v>
      </c>
      <c r="D2165">
        <v>-95.116600000000005</v>
      </c>
      <c r="E2165" t="s">
        <v>9428</v>
      </c>
    </row>
    <row r="2166" spans="1:5" hidden="1" x14ac:dyDescent="0.25">
      <c r="A2166" t="s">
        <v>9429</v>
      </c>
      <c r="B2166" t="s">
        <v>6202</v>
      </c>
      <c r="C2166">
        <v>35.048400000000001</v>
      </c>
      <c r="D2166">
        <v>-96.250200000000007</v>
      </c>
      <c r="E2166" t="s">
        <v>9430</v>
      </c>
    </row>
    <row r="2167" spans="1:5" hidden="1" x14ac:dyDescent="0.25">
      <c r="A2167" t="s">
        <v>191</v>
      </c>
      <c r="B2167" t="s">
        <v>6202</v>
      </c>
      <c r="C2167">
        <v>34.588000000000001</v>
      </c>
      <c r="D2167">
        <v>-99.4148</v>
      </c>
      <c r="E2167" t="s">
        <v>9431</v>
      </c>
    </row>
    <row r="2168" spans="1:5" hidden="1" x14ac:dyDescent="0.25">
      <c r="A2168" t="s">
        <v>6272</v>
      </c>
      <c r="B2168" t="s">
        <v>6202</v>
      </c>
      <c r="C2168">
        <v>34.110999999999997</v>
      </c>
      <c r="D2168">
        <v>-97.835800000000006</v>
      </c>
      <c r="E2168" t="s">
        <v>9432</v>
      </c>
    </row>
    <row r="2169" spans="1:5" hidden="1" x14ac:dyDescent="0.25">
      <c r="A2169" t="s">
        <v>3276</v>
      </c>
      <c r="B2169" t="s">
        <v>6202</v>
      </c>
      <c r="C2169">
        <v>34.316499999999998</v>
      </c>
      <c r="D2169">
        <v>-96.660600000000002</v>
      </c>
      <c r="E2169" t="s">
        <v>9433</v>
      </c>
    </row>
    <row r="2170" spans="1:5" hidden="1" x14ac:dyDescent="0.25">
      <c r="A2170" t="s">
        <v>9434</v>
      </c>
      <c r="B2170" t="s">
        <v>6202</v>
      </c>
      <c r="C2170">
        <v>36.817999999999998</v>
      </c>
      <c r="D2170">
        <v>-97.143900000000002</v>
      </c>
      <c r="E2170" t="s">
        <v>9435</v>
      </c>
    </row>
    <row r="2171" spans="1:5" hidden="1" x14ac:dyDescent="0.25">
      <c r="A2171" t="s">
        <v>9436</v>
      </c>
      <c r="B2171" t="s">
        <v>6202</v>
      </c>
      <c r="C2171">
        <v>35.945399999999999</v>
      </c>
      <c r="D2171">
        <v>-97.942099999999996</v>
      </c>
      <c r="E2171" t="s">
        <v>9437</v>
      </c>
    </row>
    <row r="2172" spans="1:5" hidden="1" x14ac:dyDescent="0.25">
      <c r="A2172" t="s">
        <v>6640</v>
      </c>
      <c r="B2172" t="s">
        <v>6202</v>
      </c>
      <c r="C2172">
        <v>34.916400000000003</v>
      </c>
      <c r="D2172">
        <v>-98.980900000000005</v>
      </c>
      <c r="E2172" t="s">
        <v>9438</v>
      </c>
    </row>
    <row r="2173" spans="1:5" hidden="1" x14ac:dyDescent="0.25">
      <c r="A2173" t="s">
        <v>9439</v>
      </c>
      <c r="B2173" t="s">
        <v>6202</v>
      </c>
      <c r="C2173">
        <v>34.875999999999998</v>
      </c>
      <c r="D2173">
        <v>-95.250399999999999</v>
      </c>
      <c r="E2173" t="s">
        <v>9440</v>
      </c>
    </row>
    <row r="2174" spans="1:5" hidden="1" x14ac:dyDescent="0.25">
      <c r="A2174" t="s">
        <v>9441</v>
      </c>
      <c r="B2174" t="s">
        <v>6202</v>
      </c>
      <c r="C2174">
        <v>34.900300000000001</v>
      </c>
      <c r="D2174">
        <v>-94.703400000000002</v>
      </c>
      <c r="E2174" t="s">
        <v>9442</v>
      </c>
    </row>
    <row r="2175" spans="1:5" hidden="1" x14ac:dyDescent="0.25">
      <c r="A2175" t="s">
        <v>6386</v>
      </c>
      <c r="B2175" t="s">
        <v>6202</v>
      </c>
      <c r="C2175">
        <v>35.703000000000003</v>
      </c>
      <c r="D2175">
        <v>-96.880899999999997</v>
      </c>
      <c r="E2175" t="s">
        <v>9443</v>
      </c>
    </row>
    <row r="2176" spans="1:5" hidden="1" x14ac:dyDescent="0.25">
      <c r="A2176" t="s">
        <v>987</v>
      </c>
      <c r="B2176" t="s">
        <v>6202</v>
      </c>
      <c r="C2176">
        <v>35.9193</v>
      </c>
      <c r="D2176">
        <v>-97.443299999999994</v>
      </c>
      <c r="E2176" t="s">
        <v>9444</v>
      </c>
    </row>
    <row r="2177" spans="1:5" hidden="1" x14ac:dyDescent="0.25">
      <c r="A2177" t="s">
        <v>9445</v>
      </c>
      <c r="B2177" t="s">
        <v>6202</v>
      </c>
      <c r="C2177">
        <v>33.9499</v>
      </c>
      <c r="D2177">
        <v>-97.244100000000003</v>
      </c>
      <c r="E2177" t="s">
        <v>9446</v>
      </c>
    </row>
    <row r="2178" spans="1:5" hidden="1" x14ac:dyDescent="0.25">
      <c r="A2178" t="s">
        <v>9447</v>
      </c>
      <c r="B2178" t="s">
        <v>6202</v>
      </c>
      <c r="C2178">
        <v>36.311599999999999</v>
      </c>
      <c r="D2178">
        <v>-98.535899999999998</v>
      </c>
      <c r="E2178" t="s">
        <v>9448</v>
      </c>
    </row>
    <row r="2179" spans="1:5" hidden="1" x14ac:dyDescent="0.25">
      <c r="A2179" t="s">
        <v>1391</v>
      </c>
      <c r="B2179" t="s">
        <v>6202</v>
      </c>
      <c r="C2179">
        <v>34.024500000000003</v>
      </c>
      <c r="D2179">
        <v>-96.769099999999995</v>
      </c>
      <c r="E2179" t="s">
        <v>9449</v>
      </c>
    </row>
    <row r="2180" spans="1:5" hidden="1" x14ac:dyDescent="0.25">
      <c r="A2180" t="s">
        <v>9450</v>
      </c>
      <c r="B2180" t="s">
        <v>6202</v>
      </c>
      <c r="C2180">
        <v>36.301900000000003</v>
      </c>
      <c r="D2180">
        <v>-95.230699999999999</v>
      </c>
      <c r="E2180" t="s">
        <v>9451</v>
      </c>
    </row>
    <row r="2181" spans="1:5" hidden="1" x14ac:dyDescent="0.25">
      <c r="A2181" t="s">
        <v>9452</v>
      </c>
      <c r="B2181" t="s">
        <v>6202</v>
      </c>
      <c r="C2181">
        <v>35.009300000000003</v>
      </c>
      <c r="D2181">
        <v>-97.444299999999998</v>
      </c>
      <c r="E2181" t="s">
        <v>9453</v>
      </c>
    </row>
    <row r="2182" spans="1:5" hidden="1" x14ac:dyDescent="0.25">
      <c r="A2182" t="s">
        <v>9454</v>
      </c>
      <c r="B2182" t="s">
        <v>6202</v>
      </c>
      <c r="C2182">
        <v>34.115400000000001</v>
      </c>
      <c r="D2182">
        <v>-94.771299999999997</v>
      </c>
      <c r="E2182" t="s">
        <v>9455</v>
      </c>
    </row>
    <row r="2183" spans="1:5" hidden="1" x14ac:dyDescent="0.25">
      <c r="A2183" t="s">
        <v>6979</v>
      </c>
      <c r="B2183" t="s">
        <v>6202</v>
      </c>
      <c r="C2183">
        <v>35.373600000000003</v>
      </c>
      <c r="D2183">
        <v>-95.666799999999995</v>
      </c>
      <c r="E2183" t="s">
        <v>9456</v>
      </c>
    </row>
    <row r="2184" spans="1:5" hidden="1" x14ac:dyDescent="0.25">
      <c r="A2184" t="s">
        <v>3180</v>
      </c>
      <c r="B2184" t="s">
        <v>6202</v>
      </c>
      <c r="C2184">
        <v>34.482300000000002</v>
      </c>
      <c r="D2184">
        <v>-97.067899999999995</v>
      </c>
      <c r="E2184" t="s">
        <v>9457</v>
      </c>
    </row>
    <row r="2185" spans="1:5" hidden="1" x14ac:dyDescent="0.25">
      <c r="A2185" t="s">
        <v>9458</v>
      </c>
      <c r="B2185" t="s">
        <v>6202</v>
      </c>
      <c r="C2185">
        <v>35.616199999999999</v>
      </c>
      <c r="D2185">
        <v>-95.379499999999993</v>
      </c>
      <c r="E2185" t="s">
        <v>9459</v>
      </c>
    </row>
    <row r="2186" spans="1:5" hidden="1" x14ac:dyDescent="0.25">
      <c r="A2186" t="s">
        <v>7504</v>
      </c>
      <c r="B2186" t="s">
        <v>6202</v>
      </c>
      <c r="C2186">
        <v>36.388599999999997</v>
      </c>
      <c r="D2186">
        <v>-97.230500000000006</v>
      </c>
      <c r="E2186" t="s">
        <v>9460</v>
      </c>
    </row>
    <row r="2187" spans="1:5" hidden="1" x14ac:dyDescent="0.25">
      <c r="A2187" t="s">
        <v>9461</v>
      </c>
      <c r="B2187" t="s">
        <v>6202</v>
      </c>
      <c r="C2187">
        <v>36.798499999999997</v>
      </c>
      <c r="D2187">
        <v>-95.617400000000004</v>
      </c>
      <c r="E2187" t="s">
        <v>9462</v>
      </c>
    </row>
    <row r="2188" spans="1:5" hidden="1" x14ac:dyDescent="0.25">
      <c r="A2188" t="s">
        <v>9463</v>
      </c>
      <c r="B2188" t="s">
        <v>6202</v>
      </c>
      <c r="C2188">
        <v>35.465499999999999</v>
      </c>
      <c r="D2188">
        <v>-96.322800000000001</v>
      </c>
      <c r="E2188" t="s">
        <v>9464</v>
      </c>
    </row>
    <row r="2189" spans="1:5" hidden="1" x14ac:dyDescent="0.25">
      <c r="A2189" t="s">
        <v>9465</v>
      </c>
      <c r="B2189" t="s">
        <v>6202</v>
      </c>
      <c r="C2189">
        <v>35.551499999999997</v>
      </c>
      <c r="D2189">
        <v>-97.407200000000003</v>
      </c>
      <c r="E2189" t="s">
        <v>9466</v>
      </c>
    </row>
    <row r="2190" spans="1:5" hidden="1" x14ac:dyDescent="0.25">
      <c r="A2190" t="s">
        <v>9467</v>
      </c>
      <c r="B2190" t="s">
        <v>6202</v>
      </c>
      <c r="C2190">
        <v>35.646599999999999</v>
      </c>
      <c r="D2190">
        <v>-95.964299999999994</v>
      </c>
      <c r="E2190" t="s">
        <v>9468</v>
      </c>
    </row>
    <row r="2191" spans="1:5" hidden="1" x14ac:dyDescent="0.25">
      <c r="A2191" t="s">
        <v>7658</v>
      </c>
      <c r="B2191" t="s">
        <v>6202</v>
      </c>
      <c r="C2191">
        <v>36.629199999999997</v>
      </c>
      <c r="D2191">
        <v>-96.398499999999999</v>
      </c>
      <c r="E2191" t="s">
        <v>9469</v>
      </c>
    </row>
    <row r="2192" spans="1:5" hidden="1" x14ac:dyDescent="0.25">
      <c r="A2192" t="s">
        <v>7662</v>
      </c>
      <c r="B2192" t="s">
        <v>6202</v>
      </c>
      <c r="C2192">
        <v>36.835500000000003</v>
      </c>
      <c r="D2192">
        <v>-94.810400000000001</v>
      </c>
      <c r="E2192" t="s">
        <v>9470</v>
      </c>
    </row>
    <row r="2193" spans="1:5" hidden="1" x14ac:dyDescent="0.25">
      <c r="A2193" t="s">
        <v>7664</v>
      </c>
      <c r="B2193" t="s">
        <v>6202</v>
      </c>
      <c r="C2193">
        <v>36.316899999999997</v>
      </c>
      <c r="D2193">
        <v>-96.699200000000005</v>
      </c>
      <c r="E2193" t="s">
        <v>9471</v>
      </c>
    </row>
    <row r="2194" spans="1:5" hidden="1" x14ac:dyDescent="0.25">
      <c r="A2194" t="s">
        <v>1632</v>
      </c>
      <c r="B2194" t="s">
        <v>6202</v>
      </c>
      <c r="C2194">
        <v>36.077300000000001</v>
      </c>
      <c r="D2194">
        <v>-96.9756</v>
      </c>
      <c r="E2194" t="s">
        <v>9472</v>
      </c>
    </row>
    <row r="2195" spans="1:5" hidden="1" x14ac:dyDescent="0.25">
      <c r="A2195" t="s">
        <v>9473</v>
      </c>
      <c r="B2195" t="s">
        <v>6202</v>
      </c>
      <c r="C2195">
        <v>34.923900000000003</v>
      </c>
      <c r="D2195">
        <v>-95.748400000000004</v>
      </c>
      <c r="E2195" t="s">
        <v>9474</v>
      </c>
    </row>
    <row r="2196" spans="1:5" hidden="1" x14ac:dyDescent="0.25">
      <c r="A2196" t="s">
        <v>8569</v>
      </c>
      <c r="B2196" t="s">
        <v>6202</v>
      </c>
      <c r="C2196">
        <v>34.728000000000002</v>
      </c>
      <c r="D2196">
        <v>-96.684399999999997</v>
      </c>
      <c r="E2196" t="s">
        <v>9475</v>
      </c>
    </row>
    <row r="2197" spans="1:5" hidden="1" x14ac:dyDescent="0.25">
      <c r="A2197" t="s">
        <v>7667</v>
      </c>
      <c r="B2197" t="s">
        <v>6202</v>
      </c>
      <c r="C2197">
        <v>35.206600000000002</v>
      </c>
      <c r="D2197">
        <v>-96.948400000000007</v>
      </c>
      <c r="E2197" t="s">
        <v>9476</v>
      </c>
    </row>
    <row r="2198" spans="1:5" hidden="1" x14ac:dyDescent="0.25">
      <c r="A2198" t="s">
        <v>9477</v>
      </c>
      <c r="B2198" t="s">
        <v>6202</v>
      </c>
      <c r="C2198">
        <v>34.416200000000003</v>
      </c>
      <c r="D2198">
        <v>-95.375900000000001</v>
      </c>
      <c r="E2198" t="s">
        <v>9478</v>
      </c>
    </row>
    <row r="2199" spans="1:5" hidden="1" x14ac:dyDescent="0.25">
      <c r="A2199" t="s">
        <v>9479</v>
      </c>
      <c r="B2199" t="s">
        <v>6202</v>
      </c>
      <c r="C2199">
        <v>35.688299999999998</v>
      </c>
      <c r="D2199">
        <v>-99.695800000000006</v>
      </c>
      <c r="E2199" t="s">
        <v>9480</v>
      </c>
    </row>
    <row r="2200" spans="1:5" hidden="1" x14ac:dyDescent="0.25">
      <c r="A2200" t="s">
        <v>338</v>
      </c>
      <c r="B2200" t="s">
        <v>6202</v>
      </c>
      <c r="C2200">
        <v>36.371499999999997</v>
      </c>
      <c r="D2200">
        <v>-95.604299999999995</v>
      </c>
      <c r="E2200" t="s">
        <v>9481</v>
      </c>
    </row>
    <row r="2201" spans="1:5" hidden="1" x14ac:dyDescent="0.25">
      <c r="A2201" t="s">
        <v>6816</v>
      </c>
      <c r="B2201" t="s">
        <v>6202</v>
      </c>
      <c r="C2201">
        <v>35.167499999999997</v>
      </c>
      <c r="D2201">
        <v>-96.615499999999997</v>
      </c>
      <c r="E2201" t="s">
        <v>9482</v>
      </c>
    </row>
    <row r="2202" spans="1:5" hidden="1" x14ac:dyDescent="0.25">
      <c r="A2202" t="s">
        <v>9483</v>
      </c>
      <c r="B2202" t="s">
        <v>6202</v>
      </c>
      <c r="C2202">
        <v>35.4953</v>
      </c>
      <c r="D2202">
        <v>-94.755200000000002</v>
      </c>
      <c r="E2202" t="s">
        <v>9484</v>
      </c>
    </row>
    <row r="2203" spans="1:5" hidden="1" x14ac:dyDescent="0.25">
      <c r="A2203" t="s">
        <v>1223</v>
      </c>
      <c r="B2203" t="s">
        <v>6202</v>
      </c>
      <c r="C2203">
        <v>34.485599999999998</v>
      </c>
      <c r="D2203">
        <v>-97.851500000000001</v>
      </c>
      <c r="E2203" t="s">
        <v>9485</v>
      </c>
    </row>
    <row r="2204" spans="1:5" hidden="1" x14ac:dyDescent="0.25">
      <c r="A2204" t="s">
        <v>8484</v>
      </c>
      <c r="B2204" t="s">
        <v>6202</v>
      </c>
      <c r="C2204">
        <v>36.747900000000001</v>
      </c>
      <c r="D2204">
        <v>-101.4901</v>
      </c>
      <c r="E2204" t="s">
        <v>9486</v>
      </c>
    </row>
    <row r="2205" spans="1:5" hidden="1" x14ac:dyDescent="0.25">
      <c r="A2205" t="s">
        <v>9487</v>
      </c>
      <c r="B2205" t="s">
        <v>6202</v>
      </c>
      <c r="C2205">
        <v>34.372799999999998</v>
      </c>
      <c r="D2205">
        <v>-98.924199999999999</v>
      </c>
      <c r="E2205" t="s">
        <v>9488</v>
      </c>
    </row>
    <row r="2206" spans="1:5" hidden="1" x14ac:dyDescent="0.25">
      <c r="A2206" t="s">
        <v>9489</v>
      </c>
      <c r="B2206" t="s">
        <v>6202</v>
      </c>
      <c r="C2206">
        <v>36.121099999999998</v>
      </c>
      <c r="D2206">
        <v>-95.941500000000005</v>
      </c>
      <c r="E2206" t="s">
        <v>9490</v>
      </c>
    </row>
    <row r="2207" spans="1:5" hidden="1" x14ac:dyDescent="0.25">
      <c r="A2207" t="s">
        <v>9491</v>
      </c>
      <c r="B2207" t="s">
        <v>6202</v>
      </c>
      <c r="C2207">
        <v>35.961100000000002</v>
      </c>
      <c r="D2207">
        <v>-95.521199999999993</v>
      </c>
      <c r="E2207" t="s">
        <v>9492</v>
      </c>
    </row>
    <row r="2208" spans="1:5" hidden="1" x14ac:dyDescent="0.25">
      <c r="A2208" t="s">
        <v>3052</v>
      </c>
      <c r="B2208" t="s">
        <v>6202</v>
      </c>
      <c r="C2208">
        <v>36.715200000000003</v>
      </c>
      <c r="D2208">
        <v>-95.904399999999995</v>
      </c>
      <c r="E2208" t="s">
        <v>9493</v>
      </c>
    </row>
    <row r="2209" spans="1:5" hidden="1" x14ac:dyDescent="0.25">
      <c r="A2209" t="s">
        <v>9494</v>
      </c>
      <c r="B2209" t="s">
        <v>6202</v>
      </c>
      <c r="C2209">
        <v>35.290399999999998</v>
      </c>
      <c r="D2209">
        <v>-98.992199999999997</v>
      </c>
      <c r="E2209" t="s">
        <v>9495</v>
      </c>
    </row>
    <row r="2210" spans="1:5" hidden="1" x14ac:dyDescent="0.25">
      <c r="A2210" t="s">
        <v>9496</v>
      </c>
      <c r="B2210" t="s">
        <v>6202</v>
      </c>
      <c r="C2210">
        <v>36.7669</v>
      </c>
      <c r="D2210">
        <v>-98.865099999999998</v>
      </c>
      <c r="E2210" t="s">
        <v>9497</v>
      </c>
    </row>
    <row r="2211" spans="1:5" hidden="1" x14ac:dyDescent="0.25">
      <c r="A2211" t="s">
        <v>9498</v>
      </c>
      <c r="B2211" t="s">
        <v>6202</v>
      </c>
      <c r="C2211">
        <v>36.422699999999999</v>
      </c>
      <c r="D2211">
        <v>-99.265100000000004</v>
      </c>
      <c r="E2211" t="s">
        <v>9499</v>
      </c>
    </row>
    <row r="2212" spans="1:5" hidden="1" x14ac:dyDescent="0.25">
      <c r="A2212" t="s">
        <v>1620</v>
      </c>
      <c r="B2212" t="s">
        <v>6204</v>
      </c>
      <c r="C2212">
        <v>44.709200000000003</v>
      </c>
      <c r="D2212">
        <v>-117.67529999999999</v>
      </c>
      <c r="E2212" t="s">
        <v>9500</v>
      </c>
    </row>
    <row r="2213" spans="1:5" hidden="1" x14ac:dyDescent="0.25">
      <c r="A2213" t="s">
        <v>6333</v>
      </c>
      <c r="B2213" t="s">
        <v>6204</v>
      </c>
      <c r="C2213">
        <v>44.491799999999998</v>
      </c>
      <c r="D2213">
        <v>-123.4293</v>
      </c>
      <c r="E2213" t="s">
        <v>9501</v>
      </c>
    </row>
    <row r="2214" spans="1:5" hidden="1" x14ac:dyDescent="0.25">
      <c r="A2214" t="s">
        <v>9502</v>
      </c>
      <c r="B2214" t="s">
        <v>6204</v>
      </c>
      <c r="C2214">
        <v>45.188000000000002</v>
      </c>
      <c r="D2214">
        <v>-122.2208</v>
      </c>
      <c r="E2214" t="s">
        <v>9503</v>
      </c>
    </row>
    <row r="2215" spans="1:5" hidden="1" x14ac:dyDescent="0.25">
      <c r="A2215" t="s">
        <v>9504</v>
      </c>
      <c r="B2215" t="s">
        <v>6204</v>
      </c>
      <c r="C2215">
        <v>45.994999999999997</v>
      </c>
      <c r="D2215">
        <v>-123.6557</v>
      </c>
      <c r="E2215" t="s">
        <v>9505</v>
      </c>
    </row>
    <row r="2216" spans="1:5" hidden="1" x14ac:dyDescent="0.25">
      <c r="A2216" t="s">
        <v>6349</v>
      </c>
      <c r="B2216" t="s">
        <v>6204</v>
      </c>
      <c r="C2216">
        <v>45.943800000000003</v>
      </c>
      <c r="D2216">
        <v>-123.0883</v>
      </c>
      <c r="E2216" t="s">
        <v>9506</v>
      </c>
    </row>
    <row r="2217" spans="1:5" hidden="1" x14ac:dyDescent="0.25">
      <c r="A2217" t="s">
        <v>9053</v>
      </c>
      <c r="B2217" t="s">
        <v>6204</v>
      </c>
      <c r="C2217">
        <v>43.174199999999999</v>
      </c>
      <c r="D2217">
        <v>-124.0594</v>
      </c>
      <c r="E2217" t="s">
        <v>9507</v>
      </c>
    </row>
    <row r="2218" spans="1:5" hidden="1" x14ac:dyDescent="0.25">
      <c r="A2218" t="s">
        <v>9508</v>
      </c>
      <c r="B2218" t="s">
        <v>6204</v>
      </c>
      <c r="C2218">
        <v>44.142200000000003</v>
      </c>
      <c r="D2218">
        <v>-120.3566</v>
      </c>
      <c r="E2218" t="s">
        <v>9509</v>
      </c>
    </row>
    <row r="2219" spans="1:5" hidden="1" x14ac:dyDescent="0.25">
      <c r="A2219" t="s">
        <v>9099</v>
      </c>
      <c r="B2219" t="s">
        <v>6204</v>
      </c>
      <c r="C2219">
        <v>42.457599999999999</v>
      </c>
      <c r="D2219">
        <v>-124.1568</v>
      </c>
      <c r="E2219" t="s">
        <v>9510</v>
      </c>
    </row>
    <row r="2220" spans="1:5" hidden="1" x14ac:dyDescent="0.25">
      <c r="A2220" t="s">
        <v>9511</v>
      </c>
      <c r="B2220" t="s">
        <v>6204</v>
      </c>
      <c r="C2220">
        <v>43.914999999999999</v>
      </c>
      <c r="D2220">
        <v>-121.2281</v>
      </c>
      <c r="E2220" t="s">
        <v>9512</v>
      </c>
    </row>
    <row r="2221" spans="1:5" hidden="1" x14ac:dyDescent="0.25">
      <c r="A2221" t="s">
        <v>2538</v>
      </c>
      <c r="B2221" t="s">
        <v>6204</v>
      </c>
      <c r="C2221">
        <v>43.279699999999998</v>
      </c>
      <c r="D2221">
        <v>-123.1665</v>
      </c>
      <c r="E2221" t="s">
        <v>9513</v>
      </c>
    </row>
    <row r="2222" spans="1:5" hidden="1" x14ac:dyDescent="0.25">
      <c r="A2222" t="s">
        <v>9514</v>
      </c>
      <c r="B2222" t="s">
        <v>6204</v>
      </c>
      <c r="C2222">
        <v>45.378300000000003</v>
      </c>
      <c r="D2222">
        <v>-120.21080000000001</v>
      </c>
      <c r="E2222" t="s">
        <v>9515</v>
      </c>
    </row>
    <row r="2223" spans="1:5" hidden="1" x14ac:dyDescent="0.25">
      <c r="A2223" t="s">
        <v>4593</v>
      </c>
      <c r="B2223" t="s">
        <v>6204</v>
      </c>
      <c r="C2223">
        <v>44.491599999999998</v>
      </c>
      <c r="D2223">
        <v>-119.0073</v>
      </c>
      <c r="E2223" t="s">
        <v>9516</v>
      </c>
    </row>
    <row r="2224" spans="1:5" hidden="1" x14ac:dyDescent="0.25">
      <c r="A2224" t="s">
        <v>9517</v>
      </c>
      <c r="B2224" t="s">
        <v>6204</v>
      </c>
      <c r="C2224">
        <v>43.064100000000003</v>
      </c>
      <c r="D2224">
        <v>-118.968</v>
      </c>
      <c r="E2224" t="s">
        <v>9518</v>
      </c>
    </row>
    <row r="2225" spans="1:5" hidden="1" x14ac:dyDescent="0.25">
      <c r="A2225" t="s">
        <v>9519</v>
      </c>
      <c r="B2225" t="s">
        <v>6204</v>
      </c>
      <c r="C2225">
        <v>45.518999999999998</v>
      </c>
      <c r="D2225">
        <v>-121.6511</v>
      </c>
      <c r="E2225" t="s">
        <v>9520</v>
      </c>
    </row>
    <row r="2226" spans="1:5" hidden="1" x14ac:dyDescent="0.25">
      <c r="A2226" t="s">
        <v>191</v>
      </c>
      <c r="B2226" t="s">
        <v>6204</v>
      </c>
      <c r="C2226">
        <v>42.432200000000002</v>
      </c>
      <c r="D2226">
        <v>-122.7285</v>
      </c>
      <c r="E2226" t="s">
        <v>9521</v>
      </c>
    </row>
    <row r="2227" spans="1:5" hidden="1" x14ac:dyDescent="0.25">
      <c r="A2227" t="s">
        <v>6272</v>
      </c>
      <c r="B2227" t="s">
        <v>6204</v>
      </c>
      <c r="C2227">
        <v>44.629399999999997</v>
      </c>
      <c r="D2227">
        <v>-121.17610000000001</v>
      </c>
      <c r="E2227" t="s">
        <v>9522</v>
      </c>
    </row>
    <row r="2228" spans="1:5" hidden="1" x14ac:dyDescent="0.25">
      <c r="A2228" t="s">
        <v>9523</v>
      </c>
      <c r="B2228" t="s">
        <v>6204</v>
      </c>
      <c r="C2228">
        <v>42.365499999999997</v>
      </c>
      <c r="D2228">
        <v>-123.55549999999999</v>
      </c>
      <c r="E2228" t="s">
        <v>9524</v>
      </c>
    </row>
    <row r="2229" spans="1:5" hidden="1" x14ac:dyDescent="0.25">
      <c r="A2229" t="s">
        <v>9525</v>
      </c>
      <c r="B2229" t="s">
        <v>6204</v>
      </c>
      <c r="C2229">
        <v>42.686399999999999</v>
      </c>
      <c r="D2229">
        <v>-121.65009999999999</v>
      </c>
      <c r="E2229" t="s">
        <v>9526</v>
      </c>
    </row>
    <row r="2230" spans="1:5" hidden="1" x14ac:dyDescent="0.25">
      <c r="A2230" t="s">
        <v>3705</v>
      </c>
      <c r="B2230" t="s">
        <v>6204</v>
      </c>
      <c r="C2230">
        <v>42.793500000000002</v>
      </c>
      <c r="D2230">
        <v>-120.3874</v>
      </c>
      <c r="E2230" t="s">
        <v>9527</v>
      </c>
    </row>
    <row r="2231" spans="1:5" hidden="1" x14ac:dyDescent="0.25">
      <c r="A2231" t="s">
        <v>7631</v>
      </c>
      <c r="B2231" t="s">
        <v>6204</v>
      </c>
      <c r="C2231">
        <v>43.938699999999997</v>
      </c>
      <c r="D2231">
        <v>-122.8479</v>
      </c>
      <c r="E2231" t="s">
        <v>9528</v>
      </c>
    </row>
    <row r="2232" spans="1:5" hidden="1" x14ac:dyDescent="0.25">
      <c r="A2232" t="s">
        <v>6386</v>
      </c>
      <c r="B2232" t="s">
        <v>6204</v>
      </c>
      <c r="C2232">
        <v>44.642000000000003</v>
      </c>
      <c r="D2232">
        <v>-123.8682</v>
      </c>
      <c r="E2232" t="s">
        <v>9529</v>
      </c>
    </row>
    <row r="2233" spans="1:5" hidden="1" x14ac:dyDescent="0.25">
      <c r="A2233" t="s">
        <v>7159</v>
      </c>
      <c r="B2233" t="s">
        <v>6204</v>
      </c>
      <c r="C2233">
        <v>44.488700000000001</v>
      </c>
      <c r="D2233">
        <v>-122.5343</v>
      </c>
      <c r="E2233" t="s">
        <v>9530</v>
      </c>
    </row>
    <row r="2234" spans="1:5" hidden="1" x14ac:dyDescent="0.25">
      <c r="A2234" t="s">
        <v>9531</v>
      </c>
      <c r="B2234" t="s">
        <v>6204</v>
      </c>
      <c r="C2234">
        <v>43.193399999999997</v>
      </c>
      <c r="D2234">
        <v>-117.62309999999999</v>
      </c>
      <c r="E2234" t="s">
        <v>9532</v>
      </c>
    </row>
    <row r="2235" spans="1:5" hidden="1" x14ac:dyDescent="0.25">
      <c r="A2235" t="s">
        <v>6290</v>
      </c>
      <c r="B2235" t="s">
        <v>6204</v>
      </c>
      <c r="C2235">
        <v>44.903300000000002</v>
      </c>
      <c r="D2235">
        <v>-122.58459999999999</v>
      </c>
      <c r="E2235" t="s">
        <v>9533</v>
      </c>
    </row>
    <row r="2236" spans="1:5" hidden="1" x14ac:dyDescent="0.25">
      <c r="A2236" t="s">
        <v>9342</v>
      </c>
      <c r="B2236" t="s">
        <v>6204</v>
      </c>
      <c r="C2236">
        <v>45.418999999999997</v>
      </c>
      <c r="D2236">
        <v>-119.5844</v>
      </c>
      <c r="E2236" t="s">
        <v>9534</v>
      </c>
    </row>
    <row r="2237" spans="1:5" hidden="1" x14ac:dyDescent="0.25">
      <c r="A2237" t="s">
        <v>9535</v>
      </c>
      <c r="B2237" t="s">
        <v>6204</v>
      </c>
      <c r="C2237">
        <v>45.546799999999998</v>
      </c>
      <c r="D2237">
        <v>-122.4149</v>
      </c>
      <c r="E2237" t="s">
        <v>9536</v>
      </c>
    </row>
    <row r="2238" spans="1:5" hidden="1" x14ac:dyDescent="0.25">
      <c r="A2238" t="s">
        <v>6410</v>
      </c>
      <c r="B2238" t="s">
        <v>6204</v>
      </c>
      <c r="C2238">
        <v>44.903500000000001</v>
      </c>
      <c r="D2238">
        <v>-123.4132</v>
      </c>
      <c r="E2238" t="s">
        <v>9537</v>
      </c>
    </row>
    <row r="2239" spans="1:5" hidden="1" x14ac:dyDescent="0.25">
      <c r="A2239" t="s">
        <v>7694</v>
      </c>
      <c r="B2239" t="s">
        <v>6204</v>
      </c>
      <c r="C2239">
        <v>45.405200000000001</v>
      </c>
      <c r="D2239">
        <v>-120.68940000000001</v>
      </c>
      <c r="E2239" t="s">
        <v>9538</v>
      </c>
    </row>
    <row r="2240" spans="1:5" hidden="1" x14ac:dyDescent="0.25">
      <c r="A2240" t="s">
        <v>9539</v>
      </c>
      <c r="B2240" t="s">
        <v>6204</v>
      </c>
      <c r="C2240">
        <v>45.463700000000003</v>
      </c>
      <c r="D2240">
        <v>-123.71259999999999</v>
      </c>
      <c r="E2240" t="s">
        <v>9540</v>
      </c>
    </row>
    <row r="2241" spans="1:5" hidden="1" x14ac:dyDescent="0.25">
      <c r="A2241" t="s">
        <v>9541</v>
      </c>
      <c r="B2241" t="s">
        <v>6204</v>
      </c>
      <c r="C2241">
        <v>45.591900000000003</v>
      </c>
      <c r="D2241">
        <v>-118.73690000000001</v>
      </c>
      <c r="E2241" t="s">
        <v>9542</v>
      </c>
    </row>
    <row r="2242" spans="1:5" hidden="1" x14ac:dyDescent="0.25">
      <c r="A2242" t="s">
        <v>5878</v>
      </c>
      <c r="B2242" t="s">
        <v>6204</v>
      </c>
      <c r="C2242">
        <v>45.310200000000002</v>
      </c>
      <c r="D2242">
        <v>-118.00879999999999</v>
      </c>
      <c r="E2242" t="s">
        <v>9543</v>
      </c>
    </row>
    <row r="2243" spans="1:5" hidden="1" x14ac:dyDescent="0.25">
      <c r="A2243" t="s">
        <v>9544</v>
      </c>
      <c r="B2243" t="s">
        <v>6204</v>
      </c>
      <c r="C2243">
        <v>45.579900000000002</v>
      </c>
      <c r="D2243">
        <v>-117.181</v>
      </c>
      <c r="E2243" t="s">
        <v>9545</v>
      </c>
    </row>
    <row r="2244" spans="1:5" hidden="1" x14ac:dyDescent="0.25">
      <c r="A2244" t="s">
        <v>9546</v>
      </c>
      <c r="B2244" t="s">
        <v>6204</v>
      </c>
      <c r="C2244">
        <v>45.16</v>
      </c>
      <c r="D2244">
        <v>-121.1678</v>
      </c>
      <c r="E2244" t="s">
        <v>9547</v>
      </c>
    </row>
    <row r="2245" spans="1:5" hidden="1" x14ac:dyDescent="0.25">
      <c r="A2245" t="s">
        <v>3052</v>
      </c>
      <c r="B2245" t="s">
        <v>6204</v>
      </c>
      <c r="C2245">
        <v>45.56</v>
      </c>
      <c r="D2245">
        <v>-123.0984</v>
      </c>
      <c r="E2245" t="s">
        <v>9548</v>
      </c>
    </row>
    <row r="2246" spans="1:5" hidden="1" x14ac:dyDescent="0.25">
      <c r="A2246" t="s">
        <v>1447</v>
      </c>
      <c r="B2246" t="s">
        <v>6204</v>
      </c>
      <c r="C2246">
        <v>44.725999999999999</v>
      </c>
      <c r="D2246">
        <v>-120.0275</v>
      </c>
      <c r="E2246" t="s">
        <v>9549</v>
      </c>
    </row>
    <row r="2247" spans="1:5" hidden="1" x14ac:dyDescent="0.25">
      <c r="A2247" t="s">
        <v>9550</v>
      </c>
      <c r="B2247" t="s">
        <v>6204</v>
      </c>
      <c r="C2247">
        <v>45.232599999999998</v>
      </c>
      <c r="D2247">
        <v>-123.3081</v>
      </c>
      <c r="E2247" t="s">
        <v>9551</v>
      </c>
    </row>
    <row r="2248" spans="1:5" hidden="1" x14ac:dyDescent="0.25">
      <c r="A2248" t="s">
        <v>1324</v>
      </c>
      <c r="B2248" t="s">
        <v>6206</v>
      </c>
      <c r="C2248">
        <v>39.871499999999997</v>
      </c>
      <c r="D2248">
        <v>-77.2179</v>
      </c>
      <c r="E2248" t="s">
        <v>9552</v>
      </c>
    </row>
    <row r="2249" spans="1:5" hidden="1" x14ac:dyDescent="0.25">
      <c r="A2249" t="s">
        <v>9553</v>
      </c>
      <c r="B2249" t="s">
        <v>6206</v>
      </c>
      <c r="C2249">
        <v>40.468800000000002</v>
      </c>
      <c r="D2249">
        <v>-79.981200000000001</v>
      </c>
      <c r="E2249" t="s">
        <v>9554</v>
      </c>
    </row>
    <row r="2250" spans="1:5" hidden="1" x14ac:dyDescent="0.25">
      <c r="A2250" t="s">
        <v>9555</v>
      </c>
      <c r="B2250" t="s">
        <v>6206</v>
      </c>
      <c r="C2250">
        <v>40.812100000000001</v>
      </c>
      <c r="D2250">
        <v>-79.464600000000004</v>
      </c>
      <c r="E2250" t="s">
        <v>9556</v>
      </c>
    </row>
    <row r="2251" spans="1:5" hidden="1" x14ac:dyDescent="0.25">
      <c r="A2251" t="s">
        <v>706</v>
      </c>
      <c r="B2251" t="s">
        <v>6206</v>
      </c>
      <c r="C2251">
        <v>40.682299999999998</v>
      </c>
      <c r="D2251">
        <v>-80.349299999999999</v>
      </c>
      <c r="E2251" t="s">
        <v>9557</v>
      </c>
    </row>
    <row r="2252" spans="1:5" hidden="1" x14ac:dyDescent="0.25">
      <c r="A2252" t="s">
        <v>2749</v>
      </c>
      <c r="B2252" t="s">
        <v>6206</v>
      </c>
      <c r="C2252">
        <v>40.006500000000003</v>
      </c>
      <c r="D2252">
        <v>-78.490300000000005</v>
      </c>
      <c r="E2252" t="s">
        <v>9558</v>
      </c>
    </row>
    <row r="2253" spans="1:5" hidden="1" x14ac:dyDescent="0.25">
      <c r="A2253" t="s">
        <v>9559</v>
      </c>
      <c r="B2253" t="s">
        <v>6206</v>
      </c>
      <c r="C2253">
        <v>40.4163</v>
      </c>
      <c r="D2253">
        <v>-75.926000000000002</v>
      </c>
      <c r="E2253" t="s">
        <v>9560</v>
      </c>
    </row>
    <row r="2254" spans="1:5" hidden="1" x14ac:dyDescent="0.25">
      <c r="A2254" t="s">
        <v>3522</v>
      </c>
      <c r="B2254" t="s">
        <v>6206</v>
      </c>
      <c r="C2254">
        <v>40.481099999999998</v>
      </c>
      <c r="D2254">
        <v>-78.348299999999995</v>
      </c>
      <c r="E2254" t="s">
        <v>9561</v>
      </c>
    </row>
    <row r="2255" spans="1:5" hidden="1" x14ac:dyDescent="0.25">
      <c r="A2255" t="s">
        <v>6729</v>
      </c>
      <c r="B2255" t="s">
        <v>6206</v>
      </c>
      <c r="C2255">
        <v>41.788699999999999</v>
      </c>
      <c r="D2255">
        <v>-76.5154</v>
      </c>
      <c r="E2255" t="s">
        <v>9562</v>
      </c>
    </row>
    <row r="2256" spans="1:5" hidden="1" x14ac:dyDescent="0.25">
      <c r="A2256" t="s">
        <v>9563</v>
      </c>
      <c r="B2256" t="s">
        <v>6206</v>
      </c>
      <c r="C2256">
        <v>40.3369</v>
      </c>
      <c r="D2256">
        <v>-75.106899999999996</v>
      </c>
      <c r="E2256" t="s">
        <v>9564</v>
      </c>
    </row>
    <row r="2257" spans="1:5" hidden="1" x14ac:dyDescent="0.25">
      <c r="A2257" t="s">
        <v>4103</v>
      </c>
      <c r="B2257" t="s">
        <v>6206</v>
      </c>
      <c r="C2257">
        <v>40.911999999999999</v>
      </c>
      <c r="D2257">
        <v>-79.913300000000007</v>
      </c>
      <c r="E2257" t="s">
        <v>9565</v>
      </c>
    </row>
    <row r="2258" spans="1:5" hidden="1" x14ac:dyDescent="0.25">
      <c r="A2258" t="s">
        <v>9566</v>
      </c>
      <c r="B2258" t="s">
        <v>6206</v>
      </c>
      <c r="C2258">
        <v>40.495100000000001</v>
      </c>
      <c r="D2258">
        <v>-78.713399999999993</v>
      </c>
      <c r="E2258" t="s">
        <v>9567</v>
      </c>
    </row>
    <row r="2259" spans="1:5" hidden="1" x14ac:dyDescent="0.25">
      <c r="A2259" t="s">
        <v>7895</v>
      </c>
      <c r="B2259" t="s">
        <v>6206</v>
      </c>
      <c r="C2259">
        <v>41.436700000000002</v>
      </c>
      <c r="D2259">
        <v>-78.203999999999994</v>
      </c>
      <c r="E2259" t="s">
        <v>9568</v>
      </c>
    </row>
    <row r="2260" spans="1:5" hidden="1" x14ac:dyDescent="0.25">
      <c r="A2260" t="s">
        <v>8614</v>
      </c>
      <c r="B2260" t="s">
        <v>6206</v>
      </c>
      <c r="C2260">
        <v>40.918199999999999</v>
      </c>
      <c r="D2260">
        <v>-75.7089</v>
      </c>
      <c r="E2260" t="s">
        <v>9569</v>
      </c>
    </row>
    <row r="2261" spans="1:5" hidden="1" x14ac:dyDescent="0.25">
      <c r="A2261" t="s">
        <v>9570</v>
      </c>
      <c r="B2261" t="s">
        <v>6206</v>
      </c>
      <c r="C2261">
        <v>40.918900000000001</v>
      </c>
      <c r="D2261">
        <v>-77.819900000000004</v>
      </c>
      <c r="E2261" t="s">
        <v>9571</v>
      </c>
    </row>
    <row r="2262" spans="1:5" hidden="1" x14ac:dyDescent="0.25">
      <c r="A2262" t="s">
        <v>856</v>
      </c>
      <c r="B2262" t="s">
        <v>6206</v>
      </c>
      <c r="C2262">
        <v>39.973100000000002</v>
      </c>
      <c r="D2262">
        <v>-75.748400000000004</v>
      </c>
      <c r="E2262" t="s">
        <v>9572</v>
      </c>
    </row>
    <row r="2263" spans="1:5" hidden="1" x14ac:dyDescent="0.25">
      <c r="A2263" t="s">
        <v>9573</v>
      </c>
      <c r="B2263" t="s">
        <v>6206</v>
      </c>
      <c r="C2263">
        <v>41.192399999999999</v>
      </c>
      <c r="D2263">
        <v>-79.421000000000006</v>
      </c>
      <c r="E2263" t="s">
        <v>9574</v>
      </c>
    </row>
    <row r="2264" spans="1:5" hidden="1" x14ac:dyDescent="0.25">
      <c r="A2264" t="s">
        <v>9575</v>
      </c>
      <c r="B2264" t="s">
        <v>6206</v>
      </c>
      <c r="C2264">
        <v>41</v>
      </c>
      <c r="D2264">
        <v>-78.474199999999996</v>
      </c>
      <c r="E2264" t="s">
        <v>9576</v>
      </c>
    </row>
    <row r="2265" spans="1:5" hidden="1" x14ac:dyDescent="0.25">
      <c r="A2265" t="s">
        <v>1113</v>
      </c>
      <c r="B2265" t="s">
        <v>6206</v>
      </c>
      <c r="C2265">
        <v>41.234000000000002</v>
      </c>
      <c r="D2265">
        <v>-77.638499999999993</v>
      </c>
      <c r="E2265" t="s">
        <v>9577</v>
      </c>
    </row>
    <row r="2266" spans="1:5" hidden="1" x14ac:dyDescent="0.25">
      <c r="A2266" t="s">
        <v>6349</v>
      </c>
      <c r="B2266" t="s">
        <v>6206</v>
      </c>
      <c r="C2266">
        <v>41.0486</v>
      </c>
      <c r="D2266">
        <v>-76.405199999999994</v>
      </c>
      <c r="E2266" t="s">
        <v>9578</v>
      </c>
    </row>
    <row r="2267" spans="1:5" hidden="1" x14ac:dyDescent="0.25">
      <c r="A2267" t="s">
        <v>3776</v>
      </c>
      <c r="B2267" t="s">
        <v>6206</v>
      </c>
      <c r="C2267">
        <v>41.684699999999999</v>
      </c>
      <c r="D2267">
        <v>-80.106200000000001</v>
      </c>
      <c r="E2267" t="s">
        <v>9579</v>
      </c>
    </row>
    <row r="2268" spans="1:5" hidden="1" x14ac:dyDescent="0.25">
      <c r="A2268" t="s">
        <v>7316</v>
      </c>
      <c r="B2268" t="s">
        <v>6206</v>
      </c>
      <c r="C2268">
        <v>40.163600000000002</v>
      </c>
      <c r="D2268">
        <v>-77.265500000000003</v>
      </c>
      <c r="E2268" t="s">
        <v>9580</v>
      </c>
    </row>
    <row r="2269" spans="1:5" hidden="1" x14ac:dyDescent="0.25">
      <c r="A2269" t="s">
        <v>9581</v>
      </c>
      <c r="B2269" t="s">
        <v>6206</v>
      </c>
      <c r="C2269">
        <v>40.415500000000002</v>
      </c>
      <c r="D2269">
        <v>-76.779399999999995</v>
      </c>
      <c r="E2269" t="s">
        <v>9582</v>
      </c>
    </row>
    <row r="2270" spans="1:5" hidden="1" x14ac:dyDescent="0.25">
      <c r="A2270" t="s">
        <v>3512</v>
      </c>
      <c r="B2270" t="s">
        <v>6206</v>
      </c>
      <c r="C2270">
        <v>39.916699999999999</v>
      </c>
      <c r="D2270">
        <v>-75.399100000000004</v>
      </c>
      <c r="E2270" t="s">
        <v>9583</v>
      </c>
    </row>
    <row r="2271" spans="1:5" hidden="1" x14ac:dyDescent="0.25">
      <c r="A2271" t="s">
        <v>1727</v>
      </c>
      <c r="B2271" t="s">
        <v>6206</v>
      </c>
      <c r="C2271">
        <v>41.4251</v>
      </c>
      <c r="D2271">
        <v>-78.649100000000004</v>
      </c>
      <c r="E2271" t="s">
        <v>9584</v>
      </c>
    </row>
    <row r="2272" spans="1:5" hidden="1" x14ac:dyDescent="0.25">
      <c r="A2272" t="s">
        <v>9195</v>
      </c>
      <c r="B2272" t="s">
        <v>6206</v>
      </c>
      <c r="C2272">
        <v>41.9925</v>
      </c>
      <c r="D2272">
        <v>-80.032700000000006</v>
      </c>
      <c r="E2272" t="s">
        <v>9585</v>
      </c>
    </row>
    <row r="2273" spans="1:5" hidden="1" x14ac:dyDescent="0.25">
      <c r="A2273" t="s">
        <v>6258</v>
      </c>
      <c r="B2273" t="s">
        <v>6206</v>
      </c>
      <c r="C2273">
        <v>39.920099999999998</v>
      </c>
      <c r="D2273">
        <v>-79.647400000000005</v>
      </c>
      <c r="E2273" t="s">
        <v>9586</v>
      </c>
    </row>
    <row r="2274" spans="1:5" hidden="1" x14ac:dyDescent="0.25">
      <c r="A2274" t="s">
        <v>9587</v>
      </c>
      <c r="B2274" t="s">
        <v>6206</v>
      </c>
      <c r="C2274">
        <v>41.512999999999998</v>
      </c>
      <c r="D2274">
        <v>-79.236000000000004</v>
      </c>
      <c r="E2274" t="s">
        <v>9588</v>
      </c>
    </row>
    <row r="2275" spans="1:5" hidden="1" x14ac:dyDescent="0.25">
      <c r="A2275" t="s">
        <v>6260</v>
      </c>
      <c r="B2275" t="s">
        <v>6206</v>
      </c>
      <c r="C2275">
        <v>39.927399999999999</v>
      </c>
      <c r="D2275">
        <v>-77.721299999999999</v>
      </c>
      <c r="E2275" t="s">
        <v>9589</v>
      </c>
    </row>
    <row r="2276" spans="1:5" hidden="1" x14ac:dyDescent="0.25">
      <c r="A2276" t="s">
        <v>6366</v>
      </c>
      <c r="B2276" t="s">
        <v>6206</v>
      </c>
      <c r="C2276">
        <v>39.925400000000003</v>
      </c>
      <c r="D2276">
        <v>-78.112700000000004</v>
      </c>
      <c r="E2276" t="s">
        <v>9590</v>
      </c>
    </row>
    <row r="2277" spans="1:5" hidden="1" x14ac:dyDescent="0.25">
      <c r="A2277" t="s">
        <v>6264</v>
      </c>
      <c r="B2277" t="s">
        <v>6206</v>
      </c>
      <c r="C2277">
        <v>39.8538</v>
      </c>
      <c r="D2277">
        <v>-80.222899999999996</v>
      </c>
      <c r="E2277" t="s">
        <v>9591</v>
      </c>
    </row>
    <row r="2278" spans="1:5" hidden="1" x14ac:dyDescent="0.25">
      <c r="A2278" t="s">
        <v>2528</v>
      </c>
      <c r="B2278" t="s">
        <v>6206</v>
      </c>
      <c r="C2278">
        <v>40.416899999999998</v>
      </c>
      <c r="D2278">
        <v>-77.981200000000001</v>
      </c>
      <c r="E2278" t="s">
        <v>9592</v>
      </c>
    </row>
    <row r="2279" spans="1:5" hidden="1" x14ac:dyDescent="0.25">
      <c r="A2279" t="s">
        <v>9593</v>
      </c>
      <c r="B2279" t="s">
        <v>6206</v>
      </c>
      <c r="C2279">
        <v>40.652000000000001</v>
      </c>
      <c r="D2279">
        <v>-79.087599999999995</v>
      </c>
      <c r="E2279" t="s">
        <v>9594</v>
      </c>
    </row>
    <row r="2280" spans="1:5" hidden="1" x14ac:dyDescent="0.25">
      <c r="A2280" t="s">
        <v>6272</v>
      </c>
      <c r="B2280" t="s">
        <v>6206</v>
      </c>
      <c r="C2280">
        <v>41.1282</v>
      </c>
      <c r="D2280">
        <v>-78.999399999999994</v>
      </c>
      <c r="E2280" t="s">
        <v>9595</v>
      </c>
    </row>
    <row r="2281" spans="1:5" hidden="1" x14ac:dyDescent="0.25">
      <c r="A2281" t="s">
        <v>9596</v>
      </c>
      <c r="B2281" t="s">
        <v>6206</v>
      </c>
      <c r="C2281">
        <v>40.531100000000002</v>
      </c>
      <c r="D2281">
        <v>-77.402199999999993</v>
      </c>
      <c r="E2281" t="s">
        <v>9597</v>
      </c>
    </row>
    <row r="2282" spans="1:5" x14ac:dyDescent="0.25">
      <c r="A2282" t="s">
        <v>9598</v>
      </c>
      <c r="B2282" t="s">
        <v>6206</v>
      </c>
      <c r="C2282">
        <v>41.436700000000002</v>
      </c>
      <c r="D2282">
        <v>-75.609200000000001</v>
      </c>
      <c r="E2282" t="s">
        <v>9599</v>
      </c>
    </row>
    <row r="2283" spans="1:5" hidden="1" x14ac:dyDescent="0.25">
      <c r="A2283" t="s">
        <v>1151</v>
      </c>
      <c r="B2283" t="s">
        <v>6206</v>
      </c>
      <c r="C2283">
        <v>40.042400000000001</v>
      </c>
      <c r="D2283">
        <v>-76.247699999999995</v>
      </c>
      <c r="E2283" t="s">
        <v>9600</v>
      </c>
    </row>
    <row r="2284" spans="1:5" hidden="1" x14ac:dyDescent="0.25">
      <c r="A2284" t="s">
        <v>492</v>
      </c>
      <c r="B2284" t="s">
        <v>6206</v>
      </c>
      <c r="C2284">
        <v>40.991199999999999</v>
      </c>
      <c r="D2284">
        <v>-80.334699999999998</v>
      </c>
      <c r="E2284" t="s">
        <v>9601</v>
      </c>
    </row>
    <row r="2285" spans="1:5" hidden="1" x14ac:dyDescent="0.25">
      <c r="A2285" t="s">
        <v>9602</v>
      </c>
      <c r="B2285" t="s">
        <v>6206</v>
      </c>
      <c r="C2285">
        <v>40.367199999999997</v>
      </c>
      <c r="D2285">
        <v>-76.457700000000003</v>
      </c>
      <c r="E2285" t="s">
        <v>9603</v>
      </c>
    </row>
    <row r="2286" spans="1:5" hidden="1" x14ac:dyDescent="0.25">
      <c r="A2286" t="s">
        <v>3842</v>
      </c>
      <c r="B2286" t="s">
        <v>6206</v>
      </c>
      <c r="C2286">
        <v>40.612699999999997</v>
      </c>
      <c r="D2286">
        <v>-75.592299999999994</v>
      </c>
      <c r="E2286" t="s">
        <v>9604</v>
      </c>
    </row>
    <row r="2287" spans="1:5" hidden="1" x14ac:dyDescent="0.25">
      <c r="A2287" t="s">
        <v>9605</v>
      </c>
      <c r="B2287" t="s">
        <v>6206</v>
      </c>
      <c r="C2287">
        <v>41.177</v>
      </c>
      <c r="D2287">
        <v>-75.989199999999997</v>
      </c>
      <c r="E2287" t="s">
        <v>9606</v>
      </c>
    </row>
    <row r="2288" spans="1:5" hidden="1" x14ac:dyDescent="0.25">
      <c r="A2288" t="s">
        <v>9607</v>
      </c>
      <c r="B2288" t="s">
        <v>6206</v>
      </c>
      <c r="C2288">
        <v>41.343400000000003</v>
      </c>
      <c r="D2288">
        <v>-77.064499999999995</v>
      </c>
      <c r="E2288" t="s">
        <v>9608</v>
      </c>
    </row>
    <row r="2289" spans="1:5" hidden="1" x14ac:dyDescent="0.25">
      <c r="A2289" t="s">
        <v>9609</v>
      </c>
      <c r="B2289" t="s">
        <v>6206</v>
      </c>
      <c r="C2289">
        <v>41.807600000000001</v>
      </c>
      <c r="D2289">
        <v>-78.569000000000003</v>
      </c>
      <c r="E2289" t="s">
        <v>9610</v>
      </c>
    </row>
    <row r="2290" spans="1:5" hidden="1" x14ac:dyDescent="0.25">
      <c r="A2290" t="s">
        <v>1636</v>
      </c>
      <c r="B2290" t="s">
        <v>6206</v>
      </c>
      <c r="C2290">
        <v>41.302199999999999</v>
      </c>
      <c r="D2290">
        <v>-80.2577</v>
      </c>
      <c r="E2290" t="s">
        <v>9611</v>
      </c>
    </row>
    <row r="2291" spans="1:5" hidden="1" x14ac:dyDescent="0.25">
      <c r="A2291" t="s">
        <v>1993</v>
      </c>
      <c r="B2291" t="s">
        <v>6206</v>
      </c>
      <c r="C2291">
        <v>40.610399999999998</v>
      </c>
      <c r="D2291">
        <v>-77.617000000000004</v>
      </c>
      <c r="E2291" t="s">
        <v>9612</v>
      </c>
    </row>
    <row r="2292" spans="1:5" hidden="1" x14ac:dyDescent="0.25">
      <c r="A2292" t="s">
        <v>6295</v>
      </c>
      <c r="B2292" t="s">
        <v>6206</v>
      </c>
      <c r="C2292">
        <v>41.058100000000003</v>
      </c>
      <c r="D2292">
        <v>-75.339500000000001</v>
      </c>
      <c r="E2292" t="s">
        <v>9613</v>
      </c>
    </row>
    <row r="2293" spans="1:5" hidden="1" x14ac:dyDescent="0.25">
      <c r="A2293" t="s">
        <v>6297</v>
      </c>
      <c r="B2293" t="s">
        <v>6206</v>
      </c>
      <c r="C2293">
        <v>40.210799999999999</v>
      </c>
      <c r="D2293">
        <v>-75.3673</v>
      </c>
      <c r="E2293" t="s">
        <v>9614</v>
      </c>
    </row>
    <row r="2294" spans="1:5" hidden="1" x14ac:dyDescent="0.25">
      <c r="A2294" t="s">
        <v>9615</v>
      </c>
      <c r="B2294" t="s">
        <v>6206</v>
      </c>
      <c r="C2294">
        <v>41.027900000000002</v>
      </c>
      <c r="D2294">
        <v>-76.658600000000007</v>
      </c>
      <c r="E2294" t="s">
        <v>9616</v>
      </c>
    </row>
    <row r="2295" spans="1:5" hidden="1" x14ac:dyDescent="0.25">
      <c r="A2295" t="s">
        <v>2166</v>
      </c>
      <c r="B2295" t="s">
        <v>6206</v>
      </c>
      <c r="C2295">
        <v>40.754199999999997</v>
      </c>
      <c r="D2295">
        <v>-75.307599999999994</v>
      </c>
      <c r="E2295" t="s">
        <v>9617</v>
      </c>
    </row>
    <row r="2296" spans="1:5" hidden="1" x14ac:dyDescent="0.25">
      <c r="A2296" t="s">
        <v>3015</v>
      </c>
      <c r="B2296" t="s">
        <v>6206</v>
      </c>
      <c r="C2296">
        <v>40.851999999999997</v>
      </c>
      <c r="D2296">
        <v>-76.709500000000006</v>
      </c>
      <c r="E2296" t="s">
        <v>9618</v>
      </c>
    </row>
    <row r="2297" spans="1:5" hidden="1" x14ac:dyDescent="0.25">
      <c r="A2297" t="s">
        <v>1641</v>
      </c>
      <c r="B2297" t="s">
        <v>6206</v>
      </c>
      <c r="C2297">
        <v>40.398400000000002</v>
      </c>
      <c r="D2297">
        <v>-77.262299999999996</v>
      </c>
      <c r="E2297" t="s">
        <v>9619</v>
      </c>
    </row>
    <row r="2298" spans="1:5" hidden="1" x14ac:dyDescent="0.25">
      <c r="A2298" t="s">
        <v>593</v>
      </c>
      <c r="B2298" t="s">
        <v>6206</v>
      </c>
      <c r="C2298">
        <v>40.007599999999996</v>
      </c>
      <c r="D2298">
        <v>-75.134</v>
      </c>
      <c r="E2298" t="s">
        <v>9620</v>
      </c>
    </row>
    <row r="2299" spans="1:5" hidden="1" x14ac:dyDescent="0.25">
      <c r="A2299" t="s">
        <v>6303</v>
      </c>
      <c r="B2299" t="s">
        <v>6206</v>
      </c>
      <c r="C2299">
        <v>41.332000000000001</v>
      </c>
      <c r="D2299">
        <v>-75.033799999999999</v>
      </c>
      <c r="E2299" t="s">
        <v>9621</v>
      </c>
    </row>
    <row r="2300" spans="1:5" hidden="1" x14ac:dyDescent="0.25">
      <c r="A2300" t="s">
        <v>635</v>
      </c>
      <c r="B2300" t="s">
        <v>6206</v>
      </c>
      <c r="C2300">
        <v>41.744900000000001</v>
      </c>
      <c r="D2300">
        <v>-77.895799999999994</v>
      </c>
      <c r="E2300" t="s">
        <v>9622</v>
      </c>
    </row>
    <row r="2301" spans="1:5" hidden="1" x14ac:dyDescent="0.25">
      <c r="A2301" t="s">
        <v>9623</v>
      </c>
      <c r="B2301" t="s">
        <v>6206</v>
      </c>
      <c r="C2301">
        <v>40.705800000000004</v>
      </c>
      <c r="D2301">
        <v>-76.215999999999994</v>
      </c>
      <c r="E2301" t="s">
        <v>9624</v>
      </c>
    </row>
    <row r="2302" spans="1:5" hidden="1" x14ac:dyDescent="0.25">
      <c r="A2302" t="s">
        <v>9625</v>
      </c>
      <c r="B2302" t="s">
        <v>6206</v>
      </c>
      <c r="C2302">
        <v>40.769799999999996</v>
      </c>
      <c r="D2302">
        <v>-77.0702</v>
      </c>
      <c r="E2302" t="s">
        <v>9626</v>
      </c>
    </row>
    <row r="2303" spans="1:5" hidden="1" x14ac:dyDescent="0.25">
      <c r="A2303" t="s">
        <v>4538</v>
      </c>
      <c r="B2303" t="s">
        <v>6206</v>
      </c>
      <c r="C2303">
        <v>39.972499999999997</v>
      </c>
      <c r="D2303">
        <v>-79.028300000000002</v>
      </c>
      <c r="E2303" t="s">
        <v>9627</v>
      </c>
    </row>
    <row r="2304" spans="1:5" hidden="1" x14ac:dyDescent="0.25">
      <c r="A2304" t="s">
        <v>3228</v>
      </c>
      <c r="B2304" t="s">
        <v>6206</v>
      </c>
      <c r="C2304">
        <v>41.446199999999997</v>
      </c>
      <c r="D2304">
        <v>-76.512200000000007</v>
      </c>
      <c r="E2304" t="s">
        <v>9628</v>
      </c>
    </row>
    <row r="2305" spans="1:5" x14ac:dyDescent="0.25">
      <c r="A2305" t="s">
        <v>1726</v>
      </c>
      <c r="B2305" t="s">
        <v>6206</v>
      </c>
      <c r="C2305">
        <v>41.821399999999997</v>
      </c>
      <c r="D2305">
        <v>-75.800700000000006</v>
      </c>
      <c r="E2305" t="s">
        <v>9629</v>
      </c>
    </row>
    <row r="2306" spans="1:5" hidden="1" x14ac:dyDescent="0.25">
      <c r="A2306" t="s">
        <v>9248</v>
      </c>
      <c r="B2306" t="s">
        <v>6206</v>
      </c>
      <c r="C2306">
        <v>41.772199999999998</v>
      </c>
      <c r="D2306">
        <v>-77.254300000000001</v>
      </c>
      <c r="E2306" t="s">
        <v>9630</v>
      </c>
    </row>
    <row r="2307" spans="1:5" hidden="1" x14ac:dyDescent="0.25">
      <c r="A2307" t="s">
        <v>5878</v>
      </c>
      <c r="B2307" t="s">
        <v>6206</v>
      </c>
      <c r="C2307">
        <v>40.963000000000001</v>
      </c>
      <c r="D2307">
        <v>-77.062200000000004</v>
      </c>
      <c r="E2307" t="s">
        <v>9631</v>
      </c>
    </row>
    <row r="2308" spans="1:5" hidden="1" x14ac:dyDescent="0.25">
      <c r="A2308" t="s">
        <v>9632</v>
      </c>
      <c r="B2308" t="s">
        <v>6206</v>
      </c>
      <c r="C2308">
        <v>41.401000000000003</v>
      </c>
      <c r="D2308">
        <v>-79.757999999999996</v>
      </c>
      <c r="E2308" t="s">
        <v>9633</v>
      </c>
    </row>
    <row r="2309" spans="1:5" hidden="1" x14ac:dyDescent="0.25">
      <c r="A2309" t="s">
        <v>448</v>
      </c>
      <c r="B2309" t="s">
        <v>6206</v>
      </c>
      <c r="C2309">
        <v>41.814500000000002</v>
      </c>
      <c r="D2309">
        <v>-79.274100000000004</v>
      </c>
      <c r="E2309" t="s">
        <v>9634</v>
      </c>
    </row>
    <row r="2310" spans="1:5" hidden="1" x14ac:dyDescent="0.25">
      <c r="A2310" t="s">
        <v>3052</v>
      </c>
      <c r="B2310" t="s">
        <v>6206</v>
      </c>
      <c r="C2310">
        <v>40.189399999999999</v>
      </c>
      <c r="D2310">
        <v>-80.2483</v>
      </c>
      <c r="E2310" t="s">
        <v>9635</v>
      </c>
    </row>
    <row r="2311" spans="1:5" hidden="1" x14ac:dyDescent="0.25">
      <c r="A2311" t="s">
        <v>7057</v>
      </c>
      <c r="B2311" t="s">
        <v>6206</v>
      </c>
      <c r="C2311">
        <v>41.648699999999998</v>
      </c>
      <c r="D2311">
        <v>-75.303299999999993</v>
      </c>
      <c r="E2311" t="s">
        <v>9636</v>
      </c>
    </row>
    <row r="2312" spans="1:5" hidden="1" x14ac:dyDescent="0.25">
      <c r="A2312" t="s">
        <v>1212</v>
      </c>
      <c r="B2312" t="s">
        <v>6206</v>
      </c>
      <c r="C2312">
        <v>40.310899999999997</v>
      </c>
      <c r="D2312">
        <v>-79.466800000000006</v>
      </c>
      <c r="E2312" t="s">
        <v>9637</v>
      </c>
    </row>
    <row r="2313" spans="1:5" hidden="1" x14ac:dyDescent="0.25">
      <c r="A2313" t="s">
        <v>9259</v>
      </c>
      <c r="B2313" t="s">
        <v>6206</v>
      </c>
      <c r="C2313">
        <v>41.5184</v>
      </c>
      <c r="D2313">
        <v>-76.016400000000004</v>
      </c>
      <c r="E2313" t="s">
        <v>9638</v>
      </c>
    </row>
    <row r="2314" spans="1:5" hidden="1" x14ac:dyDescent="0.25">
      <c r="A2314" t="s">
        <v>991</v>
      </c>
      <c r="B2314" t="s">
        <v>6206</v>
      </c>
      <c r="C2314">
        <v>39.92</v>
      </c>
      <c r="D2314">
        <v>-76.726500000000001</v>
      </c>
      <c r="E2314" t="s">
        <v>9639</v>
      </c>
    </row>
    <row r="2315" spans="1:5" hidden="1" x14ac:dyDescent="0.25">
      <c r="A2315" t="s">
        <v>556</v>
      </c>
      <c r="B2315" t="s">
        <v>6209</v>
      </c>
      <c r="C2315">
        <v>41.717300000000002</v>
      </c>
      <c r="D2315">
        <v>-71.284000000000006</v>
      </c>
      <c r="E2315" t="s">
        <v>9640</v>
      </c>
    </row>
    <row r="2316" spans="1:5" hidden="1" x14ac:dyDescent="0.25">
      <c r="A2316" t="s">
        <v>2070</v>
      </c>
      <c r="B2316" t="s">
        <v>6209</v>
      </c>
      <c r="C2316">
        <v>41.672199999999997</v>
      </c>
      <c r="D2316">
        <v>-71.593199999999996</v>
      </c>
      <c r="E2316" t="s">
        <v>9641</v>
      </c>
    </row>
    <row r="2317" spans="1:5" hidden="1" x14ac:dyDescent="0.25">
      <c r="A2317" t="s">
        <v>314</v>
      </c>
      <c r="B2317" t="s">
        <v>6209</v>
      </c>
      <c r="C2317">
        <v>41.556800000000003</v>
      </c>
      <c r="D2317">
        <v>-71.2363</v>
      </c>
      <c r="E2317" t="s">
        <v>9642</v>
      </c>
    </row>
    <row r="2318" spans="1:5" hidden="1" x14ac:dyDescent="0.25">
      <c r="A2318" t="s">
        <v>5029</v>
      </c>
      <c r="B2318" t="s">
        <v>6209</v>
      </c>
      <c r="C2318">
        <v>41.872100000000003</v>
      </c>
      <c r="D2318">
        <v>-71.58</v>
      </c>
      <c r="E2318" t="s">
        <v>9643</v>
      </c>
    </row>
    <row r="2319" spans="1:5" hidden="1" x14ac:dyDescent="0.25">
      <c r="A2319" t="s">
        <v>3052</v>
      </c>
      <c r="B2319" t="s">
        <v>6209</v>
      </c>
      <c r="C2319">
        <v>41.469700000000003</v>
      </c>
      <c r="D2319">
        <v>-71.622600000000006</v>
      </c>
      <c r="E2319" t="s">
        <v>9644</v>
      </c>
    </row>
    <row r="2320" spans="1:5" hidden="1" x14ac:dyDescent="0.25">
      <c r="A2320" t="s">
        <v>9645</v>
      </c>
      <c r="B2320" t="s">
        <v>6212</v>
      </c>
      <c r="C2320">
        <v>34.2226</v>
      </c>
      <c r="D2320">
        <v>-82.459299999999999</v>
      </c>
      <c r="E2320" t="s">
        <v>9646</v>
      </c>
    </row>
    <row r="2321" spans="1:5" hidden="1" x14ac:dyDescent="0.25">
      <c r="A2321" t="s">
        <v>9647</v>
      </c>
      <c r="B2321" t="s">
        <v>6212</v>
      </c>
      <c r="C2321">
        <v>33.544199999999996</v>
      </c>
      <c r="D2321">
        <v>-81.634699999999995</v>
      </c>
      <c r="E2321" t="s">
        <v>9648</v>
      </c>
    </row>
    <row r="2322" spans="1:5" hidden="1" x14ac:dyDescent="0.25">
      <c r="A2322" t="s">
        <v>9649</v>
      </c>
      <c r="B2322" t="s">
        <v>6212</v>
      </c>
      <c r="C2322">
        <v>32.988100000000003</v>
      </c>
      <c r="D2322">
        <v>-81.358199999999997</v>
      </c>
      <c r="E2322" t="s">
        <v>9650</v>
      </c>
    </row>
    <row r="2323" spans="1:5" hidden="1" x14ac:dyDescent="0.25">
      <c r="A2323" t="s">
        <v>646</v>
      </c>
      <c r="B2323" t="s">
        <v>6212</v>
      </c>
      <c r="C2323">
        <v>34.519300000000001</v>
      </c>
      <c r="D2323">
        <v>-82.637799999999999</v>
      </c>
      <c r="E2323" t="s">
        <v>9651</v>
      </c>
    </row>
    <row r="2324" spans="1:5" hidden="1" x14ac:dyDescent="0.25">
      <c r="A2324" t="s">
        <v>9652</v>
      </c>
      <c r="B2324" t="s">
        <v>6212</v>
      </c>
      <c r="C2324">
        <v>33.214799999999997</v>
      </c>
      <c r="D2324">
        <v>-81.054199999999994</v>
      </c>
      <c r="E2324" t="s">
        <v>9653</v>
      </c>
    </row>
    <row r="2325" spans="1:5" hidden="1" x14ac:dyDescent="0.25">
      <c r="A2325" t="s">
        <v>9654</v>
      </c>
      <c r="B2325" t="s">
        <v>6212</v>
      </c>
      <c r="C2325">
        <v>33.266100000000002</v>
      </c>
      <c r="D2325">
        <v>-81.434899999999999</v>
      </c>
      <c r="E2325" t="s">
        <v>9655</v>
      </c>
    </row>
    <row r="2326" spans="1:5" hidden="1" x14ac:dyDescent="0.25">
      <c r="A2326" t="s">
        <v>1919</v>
      </c>
      <c r="B2326" t="s">
        <v>6212</v>
      </c>
      <c r="C2326">
        <v>32.3857</v>
      </c>
      <c r="D2326">
        <v>-80.730599999999995</v>
      </c>
      <c r="E2326" t="s">
        <v>9656</v>
      </c>
    </row>
    <row r="2327" spans="1:5" hidden="1" x14ac:dyDescent="0.25">
      <c r="A2327" t="s">
        <v>9657</v>
      </c>
      <c r="B2327" t="s">
        <v>6212</v>
      </c>
      <c r="C2327">
        <v>33.197099999999999</v>
      </c>
      <c r="D2327">
        <v>-79.952200000000005</v>
      </c>
      <c r="E2327" t="s">
        <v>9658</v>
      </c>
    </row>
    <row r="2328" spans="1:5" hidden="1" x14ac:dyDescent="0.25">
      <c r="A2328" t="s">
        <v>1505</v>
      </c>
      <c r="B2328" t="s">
        <v>6212</v>
      </c>
      <c r="C2328">
        <v>33.674900000000001</v>
      </c>
      <c r="D2328">
        <v>-80.780299999999997</v>
      </c>
      <c r="E2328" t="s">
        <v>9659</v>
      </c>
    </row>
    <row r="2329" spans="1:5" hidden="1" x14ac:dyDescent="0.25">
      <c r="A2329" t="s">
        <v>3835</v>
      </c>
      <c r="B2329" t="s">
        <v>6212</v>
      </c>
      <c r="C2329">
        <v>32.834800000000001</v>
      </c>
      <c r="D2329">
        <v>-79.953100000000006</v>
      </c>
      <c r="E2329" t="s">
        <v>9660</v>
      </c>
    </row>
    <row r="2330" spans="1:5" hidden="1" x14ac:dyDescent="0.25">
      <c r="A2330" t="s">
        <v>6210</v>
      </c>
      <c r="B2330" t="s">
        <v>6212</v>
      </c>
      <c r="C2330">
        <v>35.048099999999998</v>
      </c>
      <c r="D2330">
        <v>-81.620599999999996</v>
      </c>
      <c r="E2330" t="s">
        <v>9661</v>
      </c>
    </row>
    <row r="2331" spans="1:5" hidden="1" x14ac:dyDescent="0.25">
      <c r="A2331" t="s">
        <v>856</v>
      </c>
      <c r="B2331" t="s">
        <v>6212</v>
      </c>
      <c r="C2331">
        <v>34.692100000000003</v>
      </c>
      <c r="D2331">
        <v>-81.159700000000001</v>
      </c>
      <c r="E2331" t="s">
        <v>9662</v>
      </c>
    </row>
    <row r="2332" spans="1:5" hidden="1" x14ac:dyDescent="0.25">
      <c r="A2332" t="s">
        <v>2431</v>
      </c>
      <c r="B2332" t="s">
        <v>6212</v>
      </c>
      <c r="C2332">
        <v>34.639800000000001</v>
      </c>
      <c r="D2332">
        <v>-80.158699999999996</v>
      </c>
      <c r="E2332" t="s">
        <v>9663</v>
      </c>
    </row>
    <row r="2333" spans="1:5" hidden="1" x14ac:dyDescent="0.25">
      <c r="A2333" t="s">
        <v>6005</v>
      </c>
      <c r="B2333" t="s">
        <v>6212</v>
      </c>
      <c r="C2333">
        <v>33.665799999999997</v>
      </c>
      <c r="D2333">
        <v>-80.216399999999993</v>
      </c>
      <c r="E2333" t="s">
        <v>9664</v>
      </c>
    </row>
    <row r="2334" spans="1:5" hidden="1" x14ac:dyDescent="0.25">
      <c r="A2334" t="s">
        <v>9665</v>
      </c>
      <c r="B2334" t="s">
        <v>6212</v>
      </c>
      <c r="C2334">
        <v>32.863799999999998</v>
      </c>
      <c r="D2334">
        <v>-80.667100000000005</v>
      </c>
      <c r="E2334" t="s">
        <v>9666</v>
      </c>
    </row>
    <row r="2335" spans="1:5" hidden="1" x14ac:dyDescent="0.25">
      <c r="A2335" t="s">
        <v>9667</v>
      </c>
      <c r="B2335" t="s">
        <v>6212</v>
      </c>
      <c r="C2335">
        <v>34.332500000000003</v>
      </c>
      <c r="D2335">
        <v>-79.957700000000003</v>
      </c>
      <c r="E2335" t="s">
        <v>9668</v>
      </c>
    </row>
    <row r="2336" spans="1:5" hidden="1" x14ac:dyDescent="0.25">
      <c r="A2336" t="s">
        <v>9669</v>
      </c>
      <c r="B2336" t="s">
        <v>6212</v>
      </c>
      <c r="C2336">
        <v>34.391500000000001</v>
      </c>
      <c r="D2336">
        <v>-79.378900000000002</v>
      </c>
      <c r="E2336" t="s">
        <v>9670</v>
      </c>
    </row>
    <row r="2337" spans="1:5" hidden="1" x14ac:dyDescent="0.25">
      <c r="A2337" t="s">
        <v>4069</v>
      </c>
      <c r="B2337" t="s">
        <v>6212</v>
      </c>
      <c r="C2337">
        <v>33.0794</v>
      </c>
      <c r="D2337">
        <v>-80.406800000000004</v>
      </c>
      <c r="E2337" t="s">
        <v>9671</v>
      </c>
    </row>
    <row r="2338" spans="1:5" hidden="1" x14ac:dyDescent="0.25">
      <c r="A2338" t="s">
        <v>9672</v>
      </c>
      <c r="B2338" t="s">
        <v>6212</v>
      </c>
      <c r="C2338">
        <v>33.772199999999998</v>
      </c>
      <c r="D2338">
        <v>-81.966399999999993</v>
      </c>
      <c r="E2338" t="s">
        <v>9673</v>
      </c>
    </row>
    <row r="2339" spans="1:5" hidden="1" x14ac:dyDescent="0.25">
      <c r="A2339" t="s">
        <v>627</v>
      </c>
      <c r="B2339" t="s">
        <v>6212</v>
      </c>
      <c r="C2339">
        <v>34.395099999999999</v>
      </c>
      <c r="D2339">
        <v>-81.121200000000002</v>
      </c>
      <c r="E2339" t="s">
        <v>9674</v>
      </c>
    </row>
    <row r="2340" spans="1:5" hidden="1" x14ac:dyDescent="0.25">
      <c r="A2340" t="s">
        <v>9675</v>
      </c>
      <c r="B2340" t="s">
        <v>6212</v>
      </c>
      <c r="C2340">
        <v>34.024500000000003</v>
      </c>
      <c r="D2340">
        <v>-79.703000000000003</v>
      </c>
      <c r="E2340" t="s">
        <v>9676</v>
      </c>
    </row>
    <row r="2341" spans="1:5" hidden="1" x14ac:dyDescent="0.25">
      <c r="A2341" t="s">
        <v>1909</v>
      </c>
      <c r="B2341" t="s">
        <v>6212</v>
      </c>
      <c r="C2341">
        <v>33.4343</v>
      </c>
      <c r="D2341">
        <v>-79.332700000000003</v>
      </c>
      <c r="E2341" t="s">
        <v>9677</v>
      </c>
    </row>
    <row r="2342" spans="1:5" hidden="1" x14ac:dyDescent="0.25">
      <c r="A2342" t="s">
        <v>9678</v>
      </c>
      <c r="B2342" t="s">
        <v>6212</v>
      </c>
      <c r="C2342">
        <v>34.894100000000002</v>
      </c>
      <c r="D2342">
        <v>-82.370599999999996</v>
      </c>
      <c r="E2342" t="s">
        <v>9679</v>
      </c>
    </row>
    <row r="2343" spans="1:5" hidden="1" x14ac:dyDescent="0.25">
      <c r="A2343" t="s">
        <v>7608</v>
      </c>
      <c r="B2343" t="s">
        <v>6212</v>
      </c>
      <c r="C2343">
        <v>34.153700000000001</v>
      </c>
      <c r="D2343">
        <v>-82.125900000000001</v>
      </c>
      <c r="E2343" t="s">
        <v>9680</v>
      </c>
    </row>
    <row r="2344" spans="1:5" hidden="1" x14ac:dyDescent="0.25">
      <c r="A2344" t="s">
        <v>247</v>
      </c>
      <c r="B2344" t="s">
        <v>6212</v>
      </c>
      <c r="C2344">
        <v>32.776299999999999</v>
      </c>
      <c r="D2344">
        <v>-81.140699999999995</v>
      </c>
      <c r="E2344" t="s">
        <v>9681</v>
      </c>
    </row>
    <row r="2345" spans="1:5" hidden="1" x14ac:dyDescent="0.25">
      <c r="A2345" t="s">
        <v>9682</v>
      </c>
      <c r="B2345" t="s">
        <v>6212</v>
      </c>
      <c r="C2345">
        <v>33.921599999999998</v>
      </c>
      <c r="D2345">
        <v>-78.996899999999997</v>
      </c>
      <c r="E2345" t="s">
        <v>9683</v>
      </c>
    </row>
    <row r="2346" spans="1:5" hidden="1" x14ac:dyDescent="0.25">
      <c r="A2346" t="s">
        <v>2108</v>
      </c>
      <c r="B2346" t="s">
        <v>6212</v>
      </c>
      <c r="C2346">
        <v>32.4375</v>
      </c>
      <c r="D2346">
        <v>-81.031700000000001</v>
      </c>
      <c r="E2346" t="s">
        <v>9684</v>
      </c>
    </row>
    <row r="2347" spans="1:5" hidden="1" x14ac:dyDescent="0.25">
      <c r="A2347" t="s">
        <v>9685</v>
      </c>
      <c r="B2347" t="s">
        <v>6212</v>
      </c>
      <c r="C2347">
        <v>34.338799999999999</v>
      </c>
      <c r="D2347">
        <v>-80.590199999999996</v>
      </c>
      <c r="E2347" t="s">
        <v>9686</v>
      </c>
    </row>
    <row r="2348" spans="1:5" hidden="1" x14ac:dyDescent="0.25">
      <c r="A2348" t="s">
        <v>1151</v>
      </c>
      <c r="B2348" t="s">
        <v>6212</v>
      </c>
      <c r="C2348">
        <v>34.686700000000002</v>
      </c>
      <c r="D2348">
        <v>-80.705500000000001</v>
      </c>
      <c r="E2348" t="s">
        <v>9687</v>
      </c>
    </row>
    <row r="2349" spans="1:5" hidden="1" x14ac:dyDescent="0.25">
      <c r="A2349" t="s">
        <v>6964</v>
      </c>
      <c r="B2349" t="s">
        <v>6212</v>
      </c>
      <c r="C2349">
        <v>34.483400000000003</v>
      </c>
      <c r="D2349">
        <v>-82.005700000000004</v>
      </c>
      <c r="E2349" t="s">
        <v>9688</v>
      </c>
    </row>
    <row r="2350" spans="1:5" hidden="1" x14ac:dyDescent="0.25">
      <c r="A2350" t="s">
        <v>2353</v>
      </c>
      <c r="B2350" t="s">
        <v>6212</v>
      </c>
      <c r="C2350">
        <v>34.1633</v>
      </c>
      <c r="D2350">
        <v>-80.254499999999993</v>
      </c>
      <c r="E2350" t="s">
        <v>9689</v>
      </c>
    </row>
    <row r="2351" spans="1:5" hidden="1" x14ac:dyDescent="0.25">
      <c r="A2351" t="s">
        <v>9690</v>
      </c>
      <c r="B2351" t="s">
        <v>6212</v>
      </c>
      <c r="C2351">
        <v>33.902299999999997</v>
      </c>
      <c r="D2351">
        <v>-81.272000000000006</v>
      </c>
      <c r="E2351" t="s">
        <v>9691</v>
      </c>
    </row>
    <row r="2352" spans="1:5" hidden="1" x14ac:dyDescent="0.25">
      <c r="A2352" t="s">
        <v>6290</v>
      </c>
      <c r="B2352" t="s">
        <v>6212</v>
      </c>
      <c r="C2352">
        <v>34.080100000000002</v>
      </c>
      <c r="D2352">
        <v>-79.362499999999997</v>
      </c>
      <c r="E2352" t="s">
        <v>9692</v>
      </c>
    </row>
    <row r="2353" spans="1:5" hidden="1" x14ac:dyDescent="0.25">
      <c r="A2353" t="s">
        <v>9693</v>
      </c>
      <c r="B2353" t="s">
        <v>6212</v>
      </c>
      <c r="C2353">
        <v>34.601999999999997</v>
      </c>
      <c r="D2353">
        <v>-79.678600000000003</v>
      </c>
      <c r="E2353" t="s">
        <v>9694</v>
      </c>
    </row>
    <row r="2354" spans="1:5" hidden="1" x14ac:dyDescent="0.25">
      <c r="A2354" t="s">
        <v>9695</v>
      </c>
      <c r="B2354" t="s">
        <v>6212</v>
      </c>
      <c r="C2354">
        <v>33.899500000000003</v>
      </c>
      <c r="D2354">
        <v>-82.309899999999999</v>
      </c>
      <c r="E2354" t="s">
        <v>9696</v>
      </c>
    </row>
    <row r="2355" spans="1:5" hidden="1" x14ac:dyDescent="0.25">
      <c r="A2355" t="s">
        <v>9697</v>
      </c>
      <c r="B2355" t="s">
        <v>6212</v>
      </c>
      <c r="C2355">
        <v>34.2898</v>
      </c>
      <c r="D2355">
        <v>-81.600099999999998</v>
      </c>
      <c r="E2355" t="s">
        <v>9698</v>
      </c>
    </row>
    <row r="2356" spans="1:5" hidden="1" x14ac:dyDescent="0.25">
      <c r="A2356" t="s">
        <v>6992</v>
      </c>
      <c r="B2356" t="s">
        <v>6212</v>
      </c>
      <c r="C2356">
        <v>34.753500000000003</v>
      </c>
      <c r="D2356">
        <v>-83.065899999999999</v>
      </c>
      <c r="E2356" t="s">
        <v>9699</v>
      </c>
    </row>
    <row r="2357" spans="1:5" hidden="1" x14ac:dyDescent="0.25">
      <c r="A2357" t="s">
        <v>9700</v>
      </c>
      <c r="B2357" t="s">
        <v>6212</v>
      </c>
      <c r="C2357">
        <v>33.439</v>
      </c>
      <c r="D2357">
        <v>-80.800299999999993</v>
      </c>
      <c r="E2357" t="s">
        <v>9701</v>
      </c>
    </row>
    <row r="2358" spans="1:5" hidden="1" x14ac:dyDescent="0.25">
      <c r="A2358" t="s">
        <v>6301</v>
      </c>
      <c r="B2358" t="s">
        <v>6212</v>
      </c>
      <c r="C2358">
        <v>34.887300000000003</v>
      </c>
      <c r="D2358">
        <v>-82.725300000000004</v>
      </c>
      <c r="E2358" t="s">
        <v>9702</v>
      </c>
    </row>
    <row r="2359" spans="1:5" hidden="1" x14ac:dyDescent="0.25">
      <c r="A2359" t="s">
        <v>7401</v>
      </c>
      <c r="B2359" t="s">
        <v>6212</v>
      </c>
      <c r="C2359">
        <v>34.021799999999999</v>
      </c>
      <c r="D2359">
        <v>-80.903099999999995</v>
      </c>
      <c r="E2359" t="s">
        <v>9703</v>
      </c>
    </row>
    <row r="2360" spans="1:5" hidden="1" x14ac:dyDescent="0.25">
      <c r="A2360" t="s">
        <v>9704</v>
      </c>
      <c r="B2360" t="s">
        <v>6212</v>
      </c>
      <c r="C2360">
        <v>34.006</v>
      </c>
      <c r="D2360">
        <v>-81.726600000000005</v>
      </c>
      <c r="E2360" t="s">
        <v>9705</v>
      </c>
    </row>
    <row r="2361" spans="1:5" hidden="1" x14ac:dyDescent="0.25">
      <c r="A2361" t="s">
        <v>9706</v>
      </c>
      <c r="B2361" t="s">
        <v>6212</v>
      </c>
      <c r="C2361">
        <v>34.930900000000001</v>
      </c>
      <c r="D2361">
        <v>-81.990799999999993</v>
      </c>
      <c r="E2361" t="s">
        <v>9707</v>
      </c>
    </row>
    <row r="2362" spans="1:5" hidden="1" x14ac:dyDescent="0.25">
      <c r="A2362" t="s">
        <v>6313</v>
      </c>
      <c r="B2362" t="s">
        <v>6212</v>
      </c>
      <c r="C2362">
        <v>33.916200000000003</v>
      </c>
      <c r="D2362">
        <v>-80.382199999999997</v>
      </c>
      <c r="E2362" t="s">
        <v>9708</v>
      </c>
    </row>
    <row r="2363" spans="1:5" hidden="1" x14ac:dyDescent="0.25">
      <c r="A2363" t="s">
        <v>5878</v>
      </c>
      <c r="B2363" t="s">
        <v>6212</v>
      </c>
      <c r="C2363">
        <v>34.689500000000002</v>
      </c>
      <c r="D2363">
        <v>-81.619200000000006</v>
      </c>
      <c r="E2363" t="s">
        <v>9709</v>
      </c>
    </row>
    <row r="2364" spans="1:5" hidden="1" x14ac:dyDescent="0.25">
      <c r="A2364" t="s">
        <v>1247</v>
      </c>
      <c r="B2364" t="s">
        <v>6212</v>
      </c>
      <c r="C2364">
        <v>33.619900000000001</v>
      </c>
      <c r="D2364">
        <v>-79.727699999999999</v>
      </c>
      <c r="E2364" t="s">
        <v>9710</v>
      </c>
    </row>
    <row r="2365" spans="1:5" hidden="1" x14ac:dyDescent="0.25">
      <c r="A2365" t="s">
        <v>991</v>
      </c>
      <c r="B2365" t="s">
        <v>6212</v>
      </c>
      <c r="C2365">
        <v>34.974899999999998</v>
      </c>
      <c r="D2365">
        <v>-81.184399999999997</v>
      </c>
      <c r="E2365" t="s">
        <v>9711</v>
      </c>
    </row>
    <row r="2366" spans="1:5" hidden="1" x14ac:dyDescent="0.25">
      <c r="A2366" t="s">
        <v>532</v>
      </c>
      <c r="B2366" t="s">
        <v>6215</v>
      </c>
      <c r="C2366">
        <v>43.718000000000004</v>
      </c>
      <c r="D2366">
        <v>-98.561499999999995</v>
      </c>
      <c r="E2366" t="s">
        <v>9712</v>
      </c>
    </row>
    <row r="2367" spans="1:5" hidden="1" x14ac:dyDescent="0.25">
      <c r="A2367" t="s">
        <v>9713</v>
      </c>
      <c r="B2367" t="s">
        <v>6215</v>
      </c>
      <c r="C2367">
        <v>44.414499999999997</v>
      </c>
      <c r="D2367">
        <v>-98.278099999999995</v>
      </c>
      <c r="E2367" t="s">
        <v>9714</v>
      </c>
    </row>
    <row r="2368" spans="1:5" hidden="1" x14ac:dyDescent="0.25">
      <c r="A2368" t="s">
        <v>9715</v>
      </c>
      <c r="B2368" t="s">
        <v>6215</v>
      </c>
      <c r="C2368">
        <v>43.195</v>
      </c>
      <c r="D2368">
        <v>-101.664</v>
      </c>
      <c r="E2368" t="s">
        <v>9716</v>
      </c>
    </row>
    <row r="2369" spans="1:5" hidden="1" x14ac:dyDescent="0.25">
      <c r="A2369" t="s">
        <v>9717</v>
      </c>
      <c r="B2369" t="s">
        <v>6215</v>
      </c>
      <c r="C2369">
        <v>42.988500000000002</v>
      </c>
      <c r="D2369">
        <v>-97.884600000000006</v>
      </c>
      <c r="E2369" t="s">
        <v>9718</v>
      </c>
    </row>
    <row r="2370" spans="1:5" hidden="1" x14ac:dyDescent="0.25">
      <c r="A2370" t="s">
        <v>9719</v>
      </c>
      <c r="B2370" t="s">
        <v>6215</v>
      </c>
      <c r="C2370">
        <v>44.369700000000002</v>
      </c>
      <c r="D2370">
        <v>-96.790400000000005</v>
      </c>
      <c r="E2370" t="s">
        <v>9720</v>
      </c>
    </row>
    <row r="2371" spans="1:5" hidden="1" x14ac:dyDescent="0.25">
      <c r="A2371" t="s">
        <v>633</v>
      </c>
      <c r="B2371" t="s">
        <v>6215</v>
      </c>
      <c r="C2371">
        <v>45.589799999999997</v>
      </c>
      <c r="D2371">
        <v>-98.351600000000005</v>
      </c>
      <c r="E2371" t="s">
        <v>9721</v>
      </c>
    </row>
    <row r="2372" spans="1:5" hidden="1" x14ac:dyDescent="0.25">
      <c r="A2372" t="s">
        <v>9722</v>
      </c>
      <c r="B2372" t="s">
        <v>6215</v>
      </c>
      <c r="C2372">
        <v>43.7181</v>
      </c>
      <c r="D2372">
        <v>-99.0809</v>
      </c>
      <c r="E2372" t="s">
        <v>9723</v>
      </c>
    </row>
    <row r="2373" spans="1:5" hidden="1" x14ac:dyDescent="0.25">
      <c r="A2373" t="s">
        <v>8935</v>
      </c>
      <c r="B2373" t="s">
        <v>6215</v>
      </c>
      <c r="C2373">
        <v>44.076300000000003</v>
      </c>
      <c r="D2373">
        <v>-99.204800000000006</v>
      </c>
      <c r="E2373" t="s">
        <v>9724</v>
      </c>
    </row>
    <row r="2374" spans="1:5" hidden="1" x14ac:dyDescent="0.25">
      <c r="A2374" t="s">
        <v>6476</v>
      </c>
      <c r="B2374" t="s">
        <v>6215</v>
      </c>
      <c r="C2374">
        <v>44.905799999999999</v>
      </c>
      <c r="D2374">
        <v>-103.50790000000001</v>
      </c>
      <c r="E2374" t="s">
        <v>9725</v>
      </c>
    </row>
    <row r="2375" spans="1:5" hidden="1" x14ac:dyDescent="0.25">
      <c r="A2375" t="s">
        <v>1941</v>
      </c>
      <c r="B2375" t="s">
        <v>6215</v>
      </c>
      <c r="C2375">
        <v>45.7712</v>
      </c>
      <c r="D2375">
        <v>-100.05159999999999</v>
      </c>
      <c r="E2375" t="s">
        <v>9726</v>
      </c>
    </row>
    <row r="2376" spans="1:5" hidden="1" x14ac:dyDescent="0.25">
      <c r="A2376" t="s">
        <v>9727</v>
      </c>
      <c r="B2376" t="s">
        <v>6215</v>
      </c>
      <c r="C2376">
        <v>43.207900000000002</v>
      </c>
      <c r="D2376">
        <v>-98.587900000000005</v>
      </c>
      <c r="E2376" t="s">
        <v>9728</v>
      </c>
    </row>
    <row r="2377" spans="1:5" hidden="1" x14ac:dyDescent="0.25">
      <c r="A2377" t="s">
        <v>174</v>
      </c>
      <c r="B2377" t="s">
        <v>6215</v>
      </c>
      <c r="C2377">
        <v>44.858199999999997</v>
      </c>
      <c r="D2377">
        <v>-97.729500000000002</v>
      </c>
      <c r="E2377" t="s">
        <v>9729</v>
      </c>
    </row>
    <row r="2378" spans="1:5" hidden="1" x14ac:dyDescent="0.25">
      <c r="A2378" t="s">
        <v>6221</v>
      </c>
      <c r="B2378" t="s">
        <v>6215</v>
      </c>
      <c r="C2378">
        <v>42.9146</v>
      </c>
      <c r="D2378">
        <v>-96.9756</v>
      </c>
      <c r="E2378" t="s">
        <v>9730</v>
      </c>
    </row>
    <row r="2379" spans="1:5" hidden="1" x14ac:dyDescent="0.25">
      <c r="A2379" t="s">
        <v>9731</v>
      </c>
      <c r="B2379" t="s">
        <v>6215</v>
      </c>
      <c r="C2379">
        <v>44.977899999999998</v>
      </c>
      <c r="D2379">
        <v>-97.188599999999994</v>
      </c>
      <c r="E2379" t="s">
        <v>9732</v>
      </c>
    </row>
    <row r="2380" spans="1:5" hidden="1" x14ac:dyDescent="0.25">
      <c r="A2380" t="s">
        <v>9733</v>
      </c>
      <c r="B2380" t="s">
        <v>6215</v>
      </c>
      <c r="C2380">
        <v>45.708599999999997</v>
      </c>
      <c r="D2380">
        <v>-101.1969</v>
      </c>
      <c r="E2380" t="s">
        <v>9734</v>
      </c>
    </row>
    <row r="2381" spans="1:5" hidden="1" x14ac:dyDescent="0.25">
      <c r="A2381" t="s">
        <v>6610</v>
      </c>
      <c r="B2381" t="s">
        <v>6215</v>
      </c>
      <c r="C2381">
        <v>43.677599999999998</v>
      </c>
      <c r="D2381">
        <v>-103.4515</v>
      </c>
      <c r="E2381" t="s">
        <v>9735</v>
      </c>
    </row>
    <row r="2382" spans="1:5" hidden="1" x14ac:dyDescent="0.25">
      <c r="A2382" t="s">
        <v>9736</v>
      </c>
      <c r="B2382" t="s">
        <v>6215</v>
      </c>
      <c r="C2382">
        <v>43.674700000000001</v>
      </c>
      <c r="D2382">
        <v>-98.146000000000001</v>
      </c>
      <c r="E2382" t="s">
        <v>9737</v>
      </c>
    </row>
    <row r="2383" spans="1:5" hidden="1" x14ac:dyDescent="0.25">
      <c r="A2383" t="s">
        <v>9738</v>
      </c>
      <c r="B2383" t="s">
        <v>6215</v>
      </c>
      <c r="C2383">
        <v>45.367100000000001</v>
      </c>
      <c r="D2383">
        <v>-97.607399999999998</v>
      </c>
      <c r="E2383" t="s">
        <v>9739</v>
      </c>
    </row>
    <row r="2384" spans="1:5" hidden="1" x14ac:dyDescent="0.25">
      <c r="A2384" t="s">
        <v>8955</v>
      </c>
      <c r="B2384" t="s">
        <v>6215</v>
      </c>
      <c r="C2384">
        <v>44.76</v>
      </c>
      <c r="D2384">
        <v>-96.668000000000006</v>
      </c>
      <c r="E2384" t="s">
        <v>9740</v>
      </c>
    </row>
    <row r="2385" spans="1:5" hidden="1" x14ac:dyDescent="0.25">
      <c r="A2385" t="s">
        <v>9415</v>
      </c>
      <c r="B2385" t="s">
        <v>6215</v>
      </c>
      <c r="C2385">
        <v>45.156599999999997</v>
      </c>
      <c r="D2385">
        <v>-100.87179999999999</v>
      </c>
      <c r="E2385" t="s">
        <v>9741</v>
      </c>
    </row>
    <row r="2386" spans="1:5" hidden="1" x14ac:dyDescent="0.25">
      <c r="A2386" t="s">
        <v>2538</v>
      </c>
      <c r="B2386" t="s">
        <v>6215</v>
      </c>
      <c r="C2386">
        <v>43.386899999999997</v>
      </c>
      <c r="D2386">
        <v>-98.366100000000003</v>
      </c>
      <c r="E2386" t="s">
        <v>9742</v>
      </c>
    </row>
    <row r="2387" spans="1:5" hidden="1" x14ac:dyDescent="0.25">
      <c r="A2387" t="s">
        <v>9743</v>
      </c>
      <c r="B2387" t="s">
        <v>6215</v>
      </c>
      <c r="C2387">
        <v>45.418799999999997</v>
      </c>
      <c r="D2387">
        <v>-99.215299999999999</v>
      </c>
      <c r="E2387" t="s">
        <v>9744</v>
      </c>
    </row>
    <row r="2388" spans="1:5" hidden="1" x14ac:dyDescent="0.25">
      <c r="A2388" t="s">
        <v>9745</v>
      </c>
      <c r="B2388" t="s">
        <v>6215</v>
      </c>
      <c r="C2388">
        <v>43.239400000000003</v>
      </c>
      <c r="D2388">
        <v>-103.5275</v>
      </c>
      <c r="E2388" t="s">
        <v>9746</v>
      </c>
    </row>
    <row r="2389" spans="1:5" hidden="1" x14ac:dyDescent="0.25">
      <c r="A2389" t="s">
        <v>9747</v>
      </c>
      <c r="B2389" t="s">
        <v>6215</v>
      </c>
      <c r="C2389">
        <v>45.070999999999998</v>
      </c>
      <c r="D2389">
        <v>-99.145300000000006</v>
      </c>
      <c r="E2389" t="s">
        <v>9748</v>
      </c>
    </row>
    <row r="2390" spans="1:5" hidden="1" x14ac:dyDescent="0.25">
      <c r="A2390" t="s">
        <v>4593</v>
      </c>
      <c r="B2390" t="s">
        <v>6215</v>
      </c>
      <c r="C2390">
        <v>45.171900000000001</v>
      </c>
      <c r="D2390">
        <v>-96.767700000000005</v>
      </c>
      <c r="E2390" t="s">
        <v>9749</v>
      </c>
    </row>
    <row r="2391" spans="1:5" hidden="1" x14ac:dyDescent="0.25">
      <c r="A2391" t="s">
        <v>9750</v>
      </c>
      <c r="B2391" t="s">
        <v>6215</v>
      </c>
      <c r="C2391">
        <v>43.192399999999999</v>
      </c>
      <c r="D2391">
        <v>-99.185599999999994</v>
      </c>
      <c r="E2391" t="s">
        <v>9751</v>
      </c>
    </row>
    <row r="2392" spans="1:5" hidden="1" x14ac:dyDescent="0.25">
      <c r="A2392" t="s">
        <v>9752</v>
      </c>
      <c r="B2392" t="s">
        <v>6215</v>
      </c>
      <c r="C2392">
        <v>44.294499999999999</v>
      </c>
      <c r="D2392">
        <v>-101.5399</v>
      </c>
      <c r="E2392" t="s">
        <v>9753</v>
      </c>
    </row>
    <row r="2393" spans="1:5" hidden="1" x14ac:dyDescent="0.25">
      <c r="A2393" t="s">
        <v>9754</v>
      </c>
      <c r="B2393" t="s">
        <v>6215</v>
      </c>
      <c r="C2393">
        <v>44.6738</v>
      </c>
      <c r="D2393">
        <v>-97.188299999999998</v>
      </c>
      <c r="E2393" t="s">
        <v>9755</v>
      </c>
    </row>
    <row r="2394" spans="1:5" hidden="1" x14ac:dyDescent="0.25">
      <c r="A2394" t="s">
        <v>3947</v>
      </c>
      <c r="B2394" t="s">
        <v>6215</v>
      </c>
      <c r="C2394">
        <v>44.547800000000002</v>
      </c>
      <c r="D2394">
        <v>-99.004900000000006</v>
      </c>
      <c r="E2394" t="s">
        <v>9756</v>
      </c>
    </row>
    <row r="2395" spans="1:5" hidden="1" x14ac:dyDescent="0.25">
      <c r="A2395" t="s">
        <v>3811</v>
      </c>
      <c r="B2395" t="s">
        <v>6215</v>
      </c>
      <c r="C2395">
        <v>43.674799999999998</v>
      </c>
      <c r="D2395">
        <v>-97.787300000000002</v>
      </c>
      <c r="E2395" t="s">
        <v>9757</v>
      </c>
    </row>
    <row r="2396" spans="1:5" hidden="1" x14ac:dyDescent="0.25">
      <c r="A2396" t="s">
        <v>3108</v>
      </c>
      <c r="B2396" t="s">
        <v>6215</v>
      </c>
      <c r="C2396">
        <v>45.580300000000001</v>
      </c>
      <c r="D2396">
        <v>-103.4958</v>
      </c>
      <c r="E2396" t="s">
        <v>9758</v>
      </c>
    </row>
    <row r="2397" spans="1:5" hidden="1" x14ac:dyDescent="0.25">
      <c r="A2397" t="s">
        <v>9429</v>
      </c>
      <c r="B2397" t="s">
        <v>6215</v>
      </c>
      <c r="C2397">
        <v>44.389000000000003</v>
      </c>
      <c r="D2397">
        <v>-99.995999999999995</v>
      </c>
      <c r="E2397" t="s">
        <v>9759</v>
      </c>
    </row>
    <row r="2398" spans="1:5" hidden="1" x14ac:dyDescent="0.25">
      <c r="A2398" t="s">
        <v>9760</v>
      </c>
      <c r="B2398" t="s">
        <v>6215</v>
      </c>
      <c r="C2398">
        <v>43.334899999999998</v>
      </c>
      <c r="D2398">
        <v>-97.754400000000004</v>
      </c>
      <c r="E2398" t="s">
        <v>9761</v>
      </c>
    </row>
    <row r="2399" spans="1:5" hidden="1" x14ac:dyDescent="0.25">
      <c r="A2399" t="s">
        <v>8771</v>
      </c>
      <c r="B2399" t="s">
        <v>6215</v>
      </c>
      <c r="C2399">
        <v>44.5473</v>
      </c>
      <c r="D2399">
        <v>-99.487099999999998</v>
      </c>
      <c r="E2399" t="s">
        <v>9762</v>
      </c>
    </row>
    <row r="2400" spans="1:5" hidden="1" x14ac:dyDescent="0.25">
      <c r="A2400" t="s">
        <v>191</v>
      </c>
      <c r="B2400" t="s">
        <v>6215</v>
      </c>
      <c r="C2400">
        <v>43.694299999999998</v>
      </c>
      <c r="D2400">
        <v>-101.6281</v>
      </c>
      <c r="E2400" t="s">
        <v>9763</v>
      </c>
    </row>
    <row r="2401" spans="1:5" hidden="1" x14ac:dyDescent="0.25">
      <c r="A2401" t="s">
        <v>9764</v>
      </c>
      <c r="B2401" t="s">
        <v>6215</v>
      </c>
      <c r="C2401">
        <v>44.066299999999998</v>
      </c>
      <c r="D2401">
        <v>-98.6297</v>
      </c>
      <c r="E2401" t="s">
        <v>9765</v>
      </c>
    </row>
    <row r="2402" spans="1:5" hidden="1" x14ac:dyDescent="0.25">
      <c r="A2402" t="s">
        <v>728</v>
      </c>
      <c r="B2402" t="s">
        <v>6215</v>
      </c>
      <c r="C2402">
        <v>43.960599999999999</v>
      </c>
      <c r="D2402">
        <v>-100.6897</v>
      </c>
      <c r="E2402" t="s">
        <v>9766</v>
      </c>
    </row>
    <row r="2403" spans="1:5" hidden="1" x14ac:dyDescent="0.25">
      <c r="A2403" t="s">
        <v>9767</v>
      </c>
      <c r="B2403" t="s">
        <v>6215</v>
      </c>
      <c r="C2403">
        <v>44.369599999999998</v>
      </c>
      <c r="D2403">
        <v>-97.491500000000002</v>
      </c>
      <c r="E2403" t="s">
        <v>9768</v>
      </c>
    </row>
    <row r="2404" spans="1:5" hidden="1" x14ac:dyDescent="0.25">
      <c r="A2404" t="s">
        <v>3705</v>
      </c>
      <c r="B2404" t="s">
        <v>6215</v>
      </c>
      <c r="C2404">
        <v>44.022100000000002</v>
      </c>
      <c r="D2404">
        <v>-97.129400000000004</v>
      </c>
      <c r="E2404" t="s">
        <v>9769</v>
      </c>
    </row>
    <row r="2405" spans="1:5" hidden="1" x14ac:dyDescent="0.25">
      <c r="A2405" t="s">
        <v>492</v>
      </c>
      <c r="B2405" t="s">
        <v>6215</v>
      </c>
      <c r="C2405">
        <v>44.358600000000003</v>
      </c>
      <c r="D2405">
        <v>-103.7923</v>
      </c>
      <c r="E2405" t="s">
        <v>9770</v>
      </c>
    </row>
    <row r="2406" spans="1:5" hidden="1" x14ac:dyDescent="0.25">
      <c r="A2406" t="s">
        <v>6386</v>
      </c>
      <c r="B2406" t="s">
        <v>6215</v>
      </c>
      <c r="C2406">
        <v>43.2789</v>
      </c>
      <c r="D2406">
        <v>-96.721800000000002</v>
      </c>
      <c r="E2406" t="s">
        <v>9771</v>
      </c>
    </row>
    <row r="2407" spans="1:5" hidden="1" x14ac:dyDescent="0.25">
      <c r="A2407" t="s">
        <v>9772</v>
      </c>
      <c r="B2407" t="s">
        <v>6215</v>
      </c>
      <c r="C2407">
        <v>43.895800000000001</v>
      </c>
      <c r="D2407">
        <v>-99.847399999999993</v>
      </c>
      <c r="E2407" t="s">
        <v>9773</v>
      </c>
    </row>
    <row r="2408" spans="1:5" hidden="1" x14ac:dyDescent="0.25">
      <c r="A2408" t="s">
        <v>1391</v>
      </c>
      <c r="B2408" t="s">
        <v>6215</v>
      </c>
      <c r="C2408">
        <v>45.758600000000001</v>
      </c>
      <c r="D2408">
        <v>-97.598600000000005</v>
      </c>
      <c r="E2408" t="s">
        <v>9774</v>
      </c>
    </row>
    <row r="2409" spans="1:5" hidden="1" x14ac:dyDescent="0.25">
      <c r="A2409" t="s">
        <v>9775</v>
      </c>
      <c r="B2409" t="s">
        <v>6215</v>
      </c>
      <c r="C2409">
        <v>43.674300000000002</v>
      </c>
      <c r="D2409">
        <v>-97.368499999999997</v>
      </c>
      <c r="E2409" t="s">
        <v>9776</v>
      </c>
    </row>
    <row r="2410" spans="1:5" hidden="1" x14ac:dyDescent="0.25">
      <c r="A2410" t="s">
        <v>7641</v>
      </c>
      <c r="B2410" t="s">
        <v>6215</v>
      </c>
      <c r="C2410">
        <v>45.766399999999997</v>
      </c>
      <c r="D2410">
        <v>-99.221400000000003</v>
      </c>
      <c r="E2410" t="s">
        <v>9777</v>
      </c>
    </row>
    <row r="2411" spans="1:5" hidden="1" x14ac:dyDescent="0.25">
      <c r="A2411" t="s">
        <v>7643</v>
      </c>
      <c r="B2411" t="s">
        <v>6215</v>
      </c>
      <c r="C2411">
        <v>44.566800000000001</v>
      </c>
      <c r="D2411">
        <v>-102.7169</v>
      </c>
      <c r="E2411" t="s">
        <v>9778</v>
      </c>
    </row>
    <row r="2412" spans="1:5" hidden="1" x14ac:dyDescent="0.25">
      <c r="A2412" t="s">
        <v>9779</v>
      </c>
      <c r="B2412" t="s">
        <v>6215</v>
      </c>
      <c r="C2412">
        <v>43.581299999999999</v>
      </c>
      <c r="D2412">
        <v>-100.76</v>
      </c>
      <c r="E2412" t="s">
        <v>9780</v>
      </c>
    </row>
    <row r="2413" spans="1:5" hidden="1" x14ac:dyDescent="0.25">
      <c r="A2413" t="s">
        <v>9781</v>
      </c>
      <c r="B2413" t="s">
        <v>6215</v>
      </c>
      <c r="C2413">
        <v>44.021900000000002</v>
      </c>
      <c r="D2413">
        <v>-97.610200000000006</v>
      </c>
      <c r="E2413" t="s">
        <v>9782</v>
      </c>
    </row>
    <row r="2414" spans="1:5" hidden="1" x14ac:dyDescent="0.25">
      <c r="A2414" t="s">
        <v>9783</v>
      </c>
      <c r="B2414" t="s">
        <v>6215</v>
      </c>
      <c r="C2414">
        <v>43.674199999999999</v>
      </c>
      <c r="D2414">
        <v>-96.791499999999999</v>
      </c>
      <c r="E2414" t="s">
        <v>9784</v>
      </c>
    </row>
    <row r="2415" spans="1:5" hidden="1" x14ac:dyDescent="0.25">
      <c r="A2415" t="s">
        <v>3049</v>
      </c>
      <c r="B2415" t="s">
        <v>6215</v>
      </c>
      <c r="C2415">
        <v>44.021999999999998</v>
      </c>
      <c r="D2415">
        <v>-96.670900000000003</v>
      </c>
      <c r="E2415" t="s">
        <v>9785</v>
      </c>
    </row>
    <row r="2416" spans="1:5" hidden="1" x14ac:dyDescent="0.25">
      <c r="A2416" t="s">
        <v>9786</v>
      </c>
      <c r="B2416" t="s">
        <v>6215</v>
      </c>
      <c r="C2416">
        <v>43.335500000000003</v>
      </c>
      <c r="D2416">
        <v>-102.55159999999999</v>
      </c>
      <c r="E2416" t="s">
        <v>9787</v>
      </c>
    </row>
    <row r="2417" spans="1:5" hidden="1" x14ac:dyDescent="0.25">
      <c r="A2417" t="s">
        <v>8298</v>
      </c>
      <c r="B2417" t="s">
        <v>6215</v>
      </c>
      <c r="C2417">
        <v>44.003700000000002</v>
      </c>
      <c r="D2417">
        <v>-102.82380000000001</v>
      </c>
      <c r="E2417" t="s">
        <v>9788</v>
      </c>
    </row>
    <row r="2418" spans="1:5" hidden="1" x14ac:dyDescent="0.25">
      <c r="A2418" t="s">
        <v>2301</v>
      </c>
      <c r="B2418" t="s">
        <v>6215</v>
      </c>
      <c r="C2418">
        <v>45.490499999999997</v>
      </c>
      <c r="D2418">
        <v>-102.4757</v>
      </c>
      <c r="E2418" t="s">
        <v>9789</v>
      </c>
    </row>
    <row r="2419" spans="1:5" hidden="1" x14ac:dyDescent="0.25">
      <c r="A2419" t="s">
        <v>635</v>
      </c>
      <c r="B2419" t="s">
        <v>6215</v>
      </c>
      <c r="C2419">
        <v>45.064500000000002</v>
      </c>
      <c r="D2419">
        <v>-99.9572</v>
      </c>
      <c r="E2419" t="s">
        <v>9790</v>
      </c>
    </row>
    <row r="2420" spans="1:5" hidden="1" x14ac:dyDescent="0.25">
      <c r="A2420" t="s">
        <v>704</v>
      </c>
      <c r="B2420" t="s">
        <v>6215</v>
      </c>
      <c r="C2420">
        <v>45.629600000000003</v>
      </c>
      <c r="D2420">
        <v>-96.946100000000001</v>
      </c>
      <c r="E2420" t="s">
        <v>9791</v>
      </c>
    </row>
    <row r="2421" spans="1:5" hidden="1" x14ac:dyDescent="0.25">
      <c r="A2421" t="s">
        <v>9792</v>
      </c>
      <c r="B2421" t="s">
        <v>6215</v>
      </c>
      <c r="C2421">
        <v>44.023400000000002</v>
      </c>
      <c r="D2421">
        <v>-98.091300000000004</v>
      </c>
      <c r="E2421" t="s">
        <v>9793</v>
      </c>
    </row>
    <row r="2422" spans="1:5" hidden="1" x14ac:dyDescent="0.25">
      <c r="A2422" t="s">
        <v>9794</v>
      </c>
      <c r="B2422" t="s">
        <v>6215</v>
      </c>
      <c r="C2422">
        <v>44.938000000000002</v>
      </c>
      <c r="D2422">
        <v>-98.346199999999996</v>
      </c>
      <c r="E2422" t="s">
        <v>9795</v>
      </c>
    </row>
    <row r="2423" spans="1:5" hidden="1" x14ac:dyDescent="0.25">
      <c r="A2423" t="s">
        <v>5068</v>
      </c>
      <c r="B2423" t="s">
        <v>6215</v>
      </c>
      <c r="C2423">
        <v>44.412300000000002</v>
      </c>
      <c r="D2423">
        <v>-100.7359</v>
      </c>
      <c r="E2423" t="s">
        <v>9796</v>
      </c>
    </row>
    <row r="2424" spans="1:5" hidden="1" x14ac:dyDescent="0.25">
      <c r="A2424" t="s">
        <v>9797</v>
      </c>
      <c r="B2424" t="s">
        <v>6215</v>
      </c>
      <c r="C2424">
        <v>44.715600000000002</v>
      </c>
      <c r="D2424">
        <v>-100.1322</v>
      </c>
      <c r="E2424" t="s">
        <v>9798</v>
      </c>
    </row>
    <row r="2425" spans="1:5" hidden="1" x14ac:dyDescent="0.25">
      <c r="A2425" t="s">
        <v>7860</v>
      </c>
      <c r="B2425" t="s">
        <v>6215</v>
      </c>
      <c r="C2425">
        <v>43.193399999999997</v>
      </c>
      <c r="D2425">
        <v>-100.7184</v>
      </c>
      <c r="E2425" t="s">
        <v>9799</v>
      </c>
    </row>
    <row r="2426" spans="1:5" hidden="1" x14ac:dyDescent="0.25">
      <c r="A2426" t="s">
        <v>9800</v>
      </c>
      <c r="B2426" t="s">
        <v>6215</v>
      </c>
      <c r="C2426">
        <v>43.3459</v>
      </c>
      <c r="D2426">
        <v>-99.883899999999997</v>
      </c>
      <c r="E2426" t="s">
        <v>9801</v>
      </c>
    </row>
    <row r="2427" spans="1:5" hidden="1" x14ac:dyDescent="0.25">
      <c r="A2427" t="s">
        <v>3138</v>
      </c>
      <c r="B2427" t="s">
        <v>6215</v>
      </c>
      <c r="C2427">
        <v>43.310899999999997</v>
      </c>
      <c r="D2427">
        <v>-97.148700000000005</v>
      </c>
      <c r="E2427" t="s">
        <v>9802</v>
      </c>
    </row>
    <row r="2428" spans="1:5" hidden="1" x14ac:dyDescent="0.25">
      <c r="A2428" t="s">
        <v>5878</v>
      </c>
      <c r="B2428" t="s">
        <v>6215</v>
      </c>
      <c r="C2428">
        <v>42.832500000000003</v>
      </c>
      <c r="D2428">
        <v>-96.656000000000006</v>
      </c>
      <c r="E2428" t="s">
        <v>9803</v>
      </c>
    </row>
    <row r="2429" spans="1:5" hidden="1" x14ac:dyDescent="0.25">
      <c r="A2429" t="s">
        <v>9804</v>
      </c>
      <c r="B2429" t="s">
        <v>6215</v>
      </c>
      <c r="C2429">
        <v>45.429900000000004</v>
      </c>
      <c r="D2429">
        <v>-100.03149999999999</v>
      </c>
      <c r="E2429" t="s">
        <v>9805</v>
      </c>
    </row>
    <row r="2430" spans="1:5" hidden="1" x14ac:dyDescent="0.25">
      <c r="A2430" t="s">
        <v>9806</v>
      </c>
      <c r="B2430" t="s">
        <v>6215</v>
      </c>
      <c r="C2430">
        <v>43.009</v>
      </c>
      <c r="D2430">
        <v>-97.394800000000004</v>
      </c>
      <c r="E2430" t="s">
        <v>9807</v>
      </c>
    </row>
    <row r="2431" spans="1:5" hidden="1" x14ac:dyDescent="0.25">
      <c r="A2431" t="s">
        <v>9808</v>
      </c>
      <c r="B2431" t="s">
        <v>6215</v>
      </c>
      <c r="C2431">
        <v>44.980400000000003</v>
      </c>
      <c r="D2431">
        <v>-101.6658</v>
      </c>
      <c r="E2431" t="s">
        <v>9809</v>
      </c>
    </row>
    <row r="2432" spans="1:5" hidden="1" x14ac:dyDescent="0.25">
      <c r="A2432" t="s">
        <v>646</v>
      </c>
      <c r="B2432" t="s">
        <v>6218</v>
      </c>
      <c r="C2432">
        <v>36.118499999999997</v>
      </c>
      <c r="D2432">
        <v>-84.198499999999996</v>
      </c>
      <c r="E2432" t="s">
        <v>9810</v>
      </c>
    </row>
    <row r="2433" spans="1:5" hidden="1" x14ac:dyDescent="0.25">
      <c r="A2433" t="s">
        <v>2749</v>
      </c>
      <c r="B2433" t="s">
        <v>6218</v>
      </c>
      <c r="C2433">
        <v>35.513800000000003</v>
      </c>
      <c r="D2433">
        <v>-86.4589</v>
      </c>
      <c r="E2433" t="s">
        <v>9811</v>
      </c>
    </row>
    <row r="2434" spans="1:5" hidden="1" x14ac:dyDescent="0.25">
      <c r="A2434" t="s">
        <v>6333</v>
      </c>
      <c r="B2434" t="s">
        <v>6218</v>
      </c>
      <c r="C2434">
        <v>36.069800000000001</v>
      </c>
      <c r="D2434">
        <v>-88.068299999999994</v>
      </c>
      <c r="E2434" t="s">
        <v>9812</v>
      </c>
    </row>
    <row r="2435" spans="1:5" hidden="1" x14ac:dyDescent="0.25">
      <c r="A2435" t="s">
        <v>9813</v>
      </c>
      <c r="B2435" t="s">
        <v>6218</v>
      </c>
      <c r="C2435">
        <v>35.596400000000003</v>
      </c>
      <c r="D2435">
        <v>-85.205100000000002</v>
      </c>
      <c r="E2435" t="s">
        <v>9814</v>
      </c>
    </row>
    <row r="2436" spans="1:5" hidden="1" x14ac:dyDescent="0.25">
      <c r="A2436" t="s">
        <v>6197</v>
      </c>
      <c r="B2436" t="s">
        <v>6218</v>
      </c>
      <c r="C2436">
        <v>35.687199999999997</v>
      </c>
      <c r="D2436">
        <v>-83.9255</v>
      </c>
      <c r="E2436" t="s">
        <v>9815</v>
      </c>
    </row>
    <row r="2437" spans="1:5" hidden="1" x14ac:dyDescent="0.25">
      <c r="A2437" t="s">
        <v>6337</v>
      </c>
      <c r="B2437" t="s">
        <v>6218</v>
      </c>
      <c r="C2437">
        <v>35.1541</v>
      </c>
      <c r="D2437">
        <v>-84.8596</v>
      </c>
      <c r="E2437" t="s">
        <v>9816</v>
      </c>
    </row>
    <row r="2438" spans="1:5" hidden="1" x14ac:dyDescent="0.25">
      <c r="A2438" t="s">
        <v>1941</v>
      </c>
      <c r="B2438" t="s">
        <v>6218</v>
      </c>
      <c r="C2438">
        <v>36.403500000000001</v>
      </c>
      <c r="D2438">
        <v>-84.1494</v>
      </c>
      <c r="E2438" t="s">
        <v>9817</v>
      </c>
    </row>
    <row r="2439" spans="1:5" x14ac:dyDescent="0.25">
      <c r="A2439" t="s">
        <v>2576</v>
      </c>
      <c r="B2439" t="s">
        <v>6218</v>
      </c>
      <c r="C2439">
        <v>35.808700000000002</v>
      </c>
      <c r="D2439">
        <v>-86.061800000000005</v>
      </c>
      <c r="E2439" t="s">
        <v>9818</v>
      </c>
    </row>
    <row r="2440" spans="1:5" hidden="1" x14ac:dyDescent="0.25">
      <c r="A2440" t="s">
        <v>6340</v>
      </c>
      <c r="B2440" t="s">
        <v>6218</v>
      </c>
      <c r="C2440">
        <v>35.973199999999999</v>
      </c>
      <c r="D2440">
        <v>-88.450299999999999</v>
      </c>
      <c r="E2440" t="s">
        <v>9819</v>
      </c>
    </row>
    <row r="2441" spans="1:5" hidden="1" x14ac:dyDescent="0.25">
      <c r="A2441" t="s">
        <v>427</v>
      </c>
      <c r="B2441" t="s">
        <v>6218</v>
      </c>
      <c r="C2441">
        <v>36.2928</v>
      </c>
      <c r="D2441">
        <v>-82.127499999999998</v>
      </c>
      <c r="E2441" t="s">
        <v>9820</v>
      </c>
    </row>
    <row r="2442" spans="1:5" hidden="1" x14ac:dyDescent="0.25">
      <c r="A2442" t="s">
        <v>9821</v>
      </c>
      <c r="B2442" t="s">
        <v>6218</v>
      </c>
      <c r="C2442">
        <v>36.261099999999999</v>
      </c>
      <c r="D2442">
        <v>-87.086799999999997</v>
      </c>
      <c r="E2442" t="s">
        <v>9822</v>
      </c>
    </row>
    <row r="2443" spans="1:5" hidden="1" x14ac:dyDescent="0.25">
      <c r="A2443" t="s">
        <v>856</v>
      </c>
      <c r="B2443" t="s">
        <v>6218</v>
      </c>
      <c r="C2443">
        <v>35.421700000000001</v>
      </c>
      <c r="D2443">
        <v>-88.613500000000002</v>
      </c>
      <c r="E2443" t="s">
        <v>9823</v>
      </c>
    </row>
    <row r="2444" spans="1:5" hidden="1" x14ac:dyDescent="0.25">
      <c r="A2444" t="s">
        <v>7899</v>
      </c>
      <c r="B2444" t="s">
        <v>6218</v>
      </c>
      <c r="C2444">
        <v>36.485900000000001</v>
      </c>
      <c r="D2444">
        <v>-83.660399999999996</v>
      </c>
      <c r="E2444" t="s">
        <v>9824</v>
      </c>
    </row>
    <row r="2445" spans="1:5" hidden="1" x14ac:dyDescent="0.25">
      <c r="A2445" t="s">
        <v>6221</v>
      </c>
      <c r="B2445" t="s">
        <v>6218</v>
      </c>
      <c r="C2445">
        <v>36.551099999999998</v>
      </c>
      <c r="D2445">
        <v>-85.543899999999994</v>
      </c>
      <c r="E2445" t="s">
        <v>9825</v>
      </c>
    </row>
    <row r="2446" spans="1:5" hidden="1" x14ac:dyDescent="0.25">
      <c r="A2446" t="s">
        <v>9826</v>
      </c>
      <c r="B2446" t="s">
        <v>6218</v>
      </c>
      <c r="C2446">
        <v>35.925400000000003</v>
      </c>
      <c r="D2446">
        <v>-83.121200000000002</v>
      </c>
      <c r="E2446" t="s">
        <v>9827</v>
      </c>
    </row>
    <row r="2447" spans="1:5" hidden="1" x14ac:dyDescent="0.25">
      <c r="A2447" t="s">
        <v>6227</v>
      </c>
      <c r="B2447" t="s">
        <v>6218</v>
      </c>
      <c r="C2447">
        <v>35.490600000000001</v>
      </c>
      <c r="D2447">
        <v>-86.074799999999996</v>
      </c>
      <c r="E2447" t="s">
        <v>9828</v>
      </c>
    </row>
    <row r="2448" spans="1:5" hidden="1" x14ac:dyDescent="0.25">
      <c r="A2448" t="s">
        <v>9829</v>
      </c>
      <c r="B2448" t="s">
        <v>6218</v>
      </c>
      <c r="C2448">
        <v>35.813499999999998</v>
      </c>
      <c r="D2448">
        <v>-89.139499999999998</v>
      </c>
      <c r="E2448" t="s">
        <v>9830</v>
      </c>
    </row>
    <row r="2449" spans="1:5" hidden="1" x14ac:dyDescent="0.25">
      <c r="A2449" t="s">
        <v>7316</v>
      </c>
      <c r="B2449" t="s">
        <v>6218</v>
      </c>
      <c r="C2449">
        <v>35.950400000000002</v>
      </c>
      <c r="D2449">
        <v>-84.998400000000004</v>
      </c>
      <c r="E2449" t="s">
        <v>9831</v>
      </c>
    </row>
    <row r="2450" spans="1:5" hidden="1" x14ac:dyDescent="0.25">
      <c r="A2450" t="s">
        <v>8739</v>
      </c>
      <c r="B2450" t="s">
        <v>6218</v>
      </c>
      <c r="C2450">
        <v>36.169499999999999</v>
      </c>
      <c r="D2450">
        <v>-86.784800000000004</v>
      </c>
      <c r="E2450" t="s">
        <v>9832</v>
      </c>
    </row>
    <row r="2451" spans="1:5" hidden="1" x14ac:dyDescent="0.25">
      <c r="A2451" t="s">
        <v>6250</v>
      </c>
      <c r="B2451" t="s">
        <v>6218</v>
      </c>
      <c r="C2451">
        <v>35.979900000000001</v>
      </c>
      <c r="D2451">
        <v>-85.832800000000006</v>
      </c>
      <c r="E2451" t="s">
        <v>9833</v>
      </c>
    </row>
    <row r="2452" spans="1:5" hidden="1" x14ac:dyDescent="0.25">
      <c r="A2452" t="s">
        <v>6901</v>
      </c>
      <c r="B2452" t="s">
        <v>6218</v>
      </c>
      <c r="C2452">
        <v>35.603000000000002</v>
      </c>
      <c r="D2452">
        <v>-88.108800000000002</v>
      </c>
      <c r="E2452" t="s">
        <v>9834</v>
      </c>
    </row>
    <row r="2453" spans="1:5" hidden="1" x14ac:dyDescent="0.25">
      <c r="A2453" t="s">
        <v>1635</v>
      </c>
      <c r="B2453" t="s">
        <v>6218</v>
      </c>
      <c r="C2453">
        <v>36.149000000000001</v>
      </c>
      <c r="D2453">
        <v>-87.356700000000004</v>
      </c>
      <c r="E2453" t="s">
        <v>9835</v>
      </c>
    </row>
    <row r="2454" spans="1:5" hidden="1" x14ac:dyDescent="0.25">
      <c r="A2454" t="s">
        <v>3803</v>
      </c>
      <c r="B2454" t="s">
        <v>6218</v>
      </c>
      <c r="C2454">
        <v>36.059199999999997</v>
      </c>
      <c r="D2454">
        <v>-89.413700000000006</v>
      </c>
      <c r="E2454" t="s">
        <v>9836</v>
      </c>
    </row>
    <row r="2455" spans="1:5" hidden="1" x14ac:dyDescent="0.25">
      <c r="A2455" t="s">
        <v>6258</v>
      </c>
      <c r="B2455" t="s">
        <v>6218</v>
      </c>
      <c r="C2455">
        <v>35.197000000000003</v>
      </c>
      <c r="D2455">
        <v>-89.414199999999994</v>
      </c>
      <c r="E2455" t="s">
        <v>9837</v>
      </c>
    </row>
    <row r="2456" spans="1:5" hidden="1" x14ac:dyDescent="0.25">
      <c r="A2456" t="s">
        <v>9838</v>
      </c>
      <c r="B2456" t="s">
        <v>6218</v>
      </c>
      <c r="C2456">
        <v>36.380499999999998</v>
      </c>
      <c r="D2456">
        <v>-84.932400000000001</v>
      </c>
      <c r="E2456" t="s">
        <v>9839</v>
      </c>
    </row>
    <row r="2457" spans="1:5" hidden="1" x14ac:dyDescent="0.25">
      <c r="A2457" t="s">
        <v>6260</v>
      </c>
      <c r="B2457" t="s">
        <v>6218</v>
      </c>
      <c r="C2457">
        <v>35.1556</v>
      </c>
      <c r="D2457">
        <v>-86.093699999999998</v>
      </c>
      <c r="E2457" t="s">
        <v>9840</v>
      </c>
    </row>
    <row r="2458" spans="1:5" hidden="1" x14ac:dyDescent="0.25">
      <c r="A2458" t="s">
        <v>2982</v>
      </c>
      <c r="B2458" t="s">
        <v>6218</v>
      </c>
      <c r="C2458">
        <v>35.996600000000001</v>
      </c>
      <c r="D2458">
        <v>-88.932599999999994</v>
      </c>
      <c r="E2458" t="s">
        <v>9841</v>
      </c>
    </row>
    <row r="2459" spans="1:5" hidden="1" x14ac:dyDescent="0.25">
      <c r="A2459" t="s">
        <v>9842</v>
      </c>
      <c r="B2459" t="s">
        <v>6218</v>
      </c>
      <c r="C2459">
        <v>35.202100000000002</v>
      </c>
      <c r="D2459">
        <v>-87.034800000000004</v>
      </c>
      <c r="E2459" t="s">
        <v>9843</v>
      </c>
    </row>
    <row r="2460" spans="1:5" hidden="1" x14ac:dyDescent="0.25">
      <c r="A2460" t="s">
        <v>9844</v>
      </c>
      <c r="B2460" t="s">
        <v>6218</v>
      </c>
      <c r="C2460">
        <v>36.276299999999999</v>
      </c>
      <c r="D2460">
        <v>-83.509600000000006</v>
      </c>
      <c r="E2460" t="s">
        <v>9845</v>
      </c>
    </row>
    <row r="2461" spans="1:5" hidden="1" x14ac:dyDescent="0.25">
      <c r="A2461" t="s">
        <v>6264</v>
      </c>
      <c r="B2461" t="s">
        <v>6218</v>
      </c>
      <c r="C2461">
        <v>36.1753</v>
      </c>
      <c r="D2461">
        <v>-82.845799999999997</v>
      </c>
      <c r="E2461" t="s">
        <v>9846</v>
      </c>
    </row>
    <row r="2462" spans="1:5" hidden="1" x14ac:dyDescent="0.25">
      <c r="A2462" t="s">
        <v>7133</v>
      </c>
      <c r="B2462" t="s">
        <v>6218</v>
      </c>
      <c r="C2462">
        <v>35.388399999999997</v>
      </c>
      <c r="D2462">
        <v>-85.7226</v>
      </c>
      <c r="E2462" t="s">
        <v>9847</v>
      </c>
    </row>
    <row r="2463" spans="1:5" hidden="1" x14ac:dyDescent="0.25">
      <c r="A2463" t="s">
        <v>9848</v>
      </c>
      <c r="B2463" t="s">
        <v>6218</v>
      </c>
      <c r="C2463">
        <v>36.217100000000002</v>
      </c>
      <c r="D2463">
        <v>-83.2667</v>
      </c>
      <c r="E2463" t="s">
        <v>9849</v>
      </c>
    </row>
    <row r="2464" spans="1:5" hidden="1" x14ac:dyDescent="0.25">
      <c r="A2464" t="s">
        <v>6761</v>
      </c>
      <c r="B2464" t="s">
        <v>6218</v>
      </c>
      <c r="C2464">
        <v>35.180799999999998</v>
      </c>
      <c r="D2464">
        <v>-85.1648</v>
      </c>
      <c r="E2464" t="s">
        <v>9850</v>
      </c>
    </row>
    <row r="2465" spans="1:5" hidden="1" x14ac:dyDescent="0.25">
      <c r="A2465" t="s">
        <v>1216</v>
      </c>
      <c r="B2465" t="s">
        <v>6218</v>
      </c>
      <c r="C2465">
        <v>36.523600000000002</v>
      </c>
      <c r="D2465">
        <v>-83.221900000000005</v>
      </c>
      <c r="E2465" t="s">
        <v>9851</v>
      </c>
    </row>
    <row r="2466" spans="1:5" hidden="1" x14ac:dyDescent="0.25">
      <c r="A2466" t="s">
        <v>9852</v>
      </c>
      <c r="B2466" t="s">
        <v>6218</v>
      </c>
      <c r="C2466">
        <v>35.206800000000001</v>
      </c>
      <c r="D2466">
        <v>-88.993099999999998</v>
      </c>
      <c r="E2466" t="s">
        <v>9853</v>
      </c>
    </row>
    <row r="2467" spans="1:5" hidden="1" x14ac:dyDescent="0.25">
      <c r="A2467" t="s">
        <v>7139</v>
      </c>
      <c r="B2467" t="s">
        <v>6218</v>
      </c>
      <c r="C2467">
        <v>35.198700000000002</v>
      </c>
      <c r="D2467">
        <v>-88.1845</v>
      </c>
      <c r="E2467" t="s">
        <v>9854</v>
      </c>
    </row>
    <row r="2468" spans="1:5" hidden="1" x14ac:dyDescent="0.25">
      <c r="A2468" t="s">
        <v>2794</v>
      </c>
      <c r="B2468" t="s">
        <v>6218</v>
      </c>
      <c r="C2468">
        <v>36.441200000000002</v>
      </c>
      <c r="D2468">
        <v>-82.944699999999997</v>
      </c>
      <c r="E2468" t="s">
        <v>9855</v>
      </c>
    </row>
    <row r="2469" spans="1:5" hidden="1" x14ac:dyDescent="0.25">
      <c r="A2469" t="s">
        <v>8764</v>
      </c>
      <c r="B2469" t="s">
        <v>6218</v>
      </c>
      <c r="C2469">
        <v>35.583199999999998</v>
      </c>
      <c r="D2469">
        <v>-89.283799999999999</v>
      </c>
      <c r="E2469" t="s">
        <v>9856</v>
      </c>
    </row>
    <row r="2470" spans="1:5" hidden="1" x14ac:dyDescent="0.25">
      <c r="A2470" t="s">
        <v>7339</v>
      </c>
      <c r="B2470" t="s">
        <v>6218</v>
      </c>
      <c r="C2470">
        <v>35.654200000000003</v>
      </c>
      <c r="D2470">
        <v>-88.388000000000005</v>
      </c>
      <c r="E2470" t="s">
        <v>9857</v>
      </c>
    </row>
    <row r="2471" spans="1:5" hidden="1" x14ac:dyDescent="0.25">
      <c r="A2471" t="s">
        <v>334</v>
      </c>
      <c r="B2471" t="s">
        <v>6218</v>
      </c>
      <c r="C2471">
        <v>36.331800000000001</v>
      </c>
      <c r="D2471">
        <v>-88.301299999999998</v>
      </c>
      <c r="E2471" t="s">
        <v>9858</v>
      </c>
    </row>
    <row r="2472" spans="1:5" hidden="1" x14ac:dyDescent="0.25">
      <c r="A2472" t="s">
        <v>7784</v>
      </c>
      <c r="B2472" t="s">
        <v>6218</v>
      </c>
      <c r="C2472">
        <v>35.803199999999997</v>
      </c>
      <c r="D2472">
        <v>-87.473299999999995</v>
      </c>
      <c r="E2472" t="s">
        <v>9859</v>
      </c>
    </row>
    <row r="2473" spans="1:5" hidden="1" x14ac:dyDescent="0.25">
      <c r="A2473" t="s">
        <v>6269</v>
      </c>
      <c r="B2473" t="s">
        <v>6218</v>
      </c>
      <c r="C2473">
        <v>36.286000000000001</v>
      </c>
      <c r="D2473">
        <v>-87.717100000000002</v>
      </c>
      <c r="E2473" t="s">
        <v>9860</v>
      </c>
    </row>
    <row r="2474" spans="1:5" hidden="1" x14ac:dyDescent="0.25">
      <c r="A2474" t="s">
        <v>8527</v>
      </c>
      <c r="B2474" t="s">
        <v>6218</v>
      </c>
      <c r="C2474">
        <v>36.040799999999997</v>
      </c>
      <c r="D2474">
        <v>-87.775599999999997</v>
      </c>
      <c r="E2474" t="s">
        <v>9861</v>
      </c>
    </row>
    <row r="2475" spans="1:5" hidden="1" x14ac:dyDescent="0.25">
      <c r="A2475" t="s">
        <v>191</v>
      </c>
      <c r="B2475" t="s">
        <v>6218</v>
      </c>
      <c r="C2475">
        <v>36.359200000000001</v>
      </c>
      <c r="D2475">
        <v>-85.673199999999994</v>
      </c>
      <c r="E2475" t="s">
        <v>9862</v>
      </c>
    </row>
    <row r="2476" spans="1:5" hidden="1" x14ac:dyDescent="0.25">
      <c r="A2476" t="s">
        <v>6272</v>
      </c>
      <c r="B2476" t="s">
        <v>6218</v>
      </c>
      <c r="C2476">
        <v>36.051000000000002</v>
      </c>
      <c r="D2476">
        <v>-83.446299999999994</v>
      </c>
      <c r="E2476" t="s">
        <v>9863</v>
      </c>
    </row>
    <row r="2477" spans="1:5" hidden="1" x14ac:dyDescent="0.25">
      <c r="A2477" t="s">
        <v>37</v>
      </c>
      <c r="B2477" t="s">
        <v>6218</v>
      </c>
      <c r="C2477">
        <v>36.454900000000002</v>
      </c>
      <c r="D2477">
        <v>-81.851799999999997</v>
      </c>
      <c r="E2477" t="s">
        <v>9864</v>
      </c>
    </row>
    <row r="2478" spans="1:5" hidden="1" x14ac:dyDescent="0.25">
      <c r="A2478" t="s">
        <v>7357</v>
      </c>
      <c r="B2478" t="s">
        <v>6218</v>
      </c>
      <c r="C2478">
        <v>35.993200000000002</v>
      </c>
      <c r="D2478">
        <v>-83.937100000000001</v>
      </c>
      <c r="E2478" t="s">
        <v>9865</v>
      </c>
    </row>
    <row r="2479" spans="1:5" hidden="1" x14ac:dyDescent="0.25">
      <c r="A2479" t="s">
        <v>3705</v>
      </c>
      <c r="B2479" t="s">
        <v>6218</v>
      </c>
      <c r="C2479">
        <v>36.3352</v>
      </c>
      <c r="D2479">
        <v>-89.493499999999997</v>
      </c>
      <c r="E2479" t="s">
        <v>9866</v>
      </c>
    </row>
    <row r="2480" spans="1:5" hidden="1" x14ac:dyDescent="0.25">
      <c r="A2480" t="s">
        <v>6276</v>
      </c>
      <c r="B2480" t="s">
        <v>6218</v>
      </c>
      <c r="C2480">
        <v>35.7605</v>
      </c>
      <c r="D2480">
        <v>-89.630499999999998</v>
      </c>
      <c r="E2480" t="s">
        <v>9867</v>
      </c>
    </row>
    <row r="2481" spans="1:5" hidden="1" x14ac:dyDescent="0.25">
      <c r="A2481" t="s">
        <v>492</v>
      </c>
      <c r="B2481" t="s">
        <v>6218</v>
      </c>
      <c r="C2481">
        <v>35.217399999999998</v>
      </c>
      <c r="D2481">
        <v>-87.395600000000002</v>
      </c>
      <c r="E2481" t="s">
        <v>9868</v>
      </c>
    </row>
    <row r="2482" spans="1:5" hidden="1" x14ac:dyDescent="0.25">
      <c r="A2482" t="s">
        <v>1515</v>
      </c>
      <c r="B2482" t="s">
        <v>6218</v>
      </c>
      <c r="C2482">
        <v>35.527299999999997</v>
      </c>
      <c r="D2482">
        <v>-87.493099999999998</v>
      </c>
      <c r="E2482" t="s">
        <v>9869</v>
      </c>
    </row>
    <row r="2483" spans="1:5" hidden="1" x14ac:dyDescent="0.25">
      <c r="A2483" t="s">
        <v>6386</v>
      </c>
      <c r="B2483" t="s">
        <v>6218</v>
      </c>
      <c r="C2483">
        <v>35.140500000000003</v>
      </c>
      <c r="D2483">
        <v>-86.588999999999999</v>
      </c>
      <c r="E2483" t="s">
        <v>9870</v>
      </c>
    </row>
    <row r="2484" spans="1:5" hidden="1" x14ac:dyDescent="0.25">
      <c r="A2484" t="s">
        <v>9871</v>
      </c>
      <c r="B2484" t="s">
        <v>6218</v>
      </c>
      <c r="C2484">
        <v>35.7348</v>
      </c>
      <c r="D2484">
        <v>-84.311899999999994</v>
      </c>
      <c r="E2484" t="s">
        <v>9872</v>
      </c>
    </row>
    <row r="2485" spans="1:5" hidden="1" x14ac:dyDescent="0.25">
      <c r="A2485" t="s">
        <v>6284</v>
      </c>
      <c r="B2485" t="s">
        <v>6218</v>
      </c>
      <c r="C2485">
        <v>36.531999999999996</v>
      </c>
      <c r="D2485">
        <v>-86.007300000000001</v>
      </c>
      <c r="E2485" t="s">
        <v>9873</v>
      </c>
    </row>
    <row r="2486" spans="1:5" hidden="1" x14ac:dyDescent="0.25">
      <c r="A2486" t="s">
        <v>6286</v>
      </c>
      <c r="B2486" t="s">
        <v>6218</v>
      </c>
      <c r="C2486">
        <v>35.6081</v>
      </c>
      <c r="D2486">
        <v>-88.838499999999996</v>
      </c>
      <c r="E2486" t="s">
        <v>9874</v>
      </c>
    </row>
    <row r="2487" spans="1:5" hidden="1" x14ac:dyDescent="0.25">
      <c r="A2487" t="s">
        <v>6290</v>
      </c>
      <c r="B2487" t="s">
        <v>6218</v>
      </c>
      <c r="C2487">
        <v>35.128900000000002</v>
      </c>
      <c r="D2487">
        <v>-85.623900000000006</v>
      </c>
      <c r="E2487" t="s">
        <v>9875</v>
      </c>
    </row>
    <row r="2488" spans="1:5" hidden="1" x14ac:dyDescent="0.25">
      <c r="A2488" t="s">
        <v>1391</v>
      </c>
      <c r="B2488" t="s">
        <v>6218</v>
      </c>
      <c r="C2488">
        <v>35.468899999999998</v>
      </c>
      <c r="D2488">
        <v>-86.765000000000001</v>
      </c>
      <c r="E2488" t="s">
        <v>9876</v>
      </c>
    </row>
    <row r="2489" spans="1:5" hidden="1" x14ac:dyDescent="0.25">
      <c r="A2489" t="s">
        <v>9877</v>
      </c>
      <c r="B2489" t="s">
        <v>6218</v>
      </c>
      <c r="C2489">
        <v>35.616900000000001</v>
      </c>
      <c r="D2489">
        <v>-87.076999999999998</v>
      </c>
      <c r="E2489" t="s">
        <v>9878</v>
      </c>
    </row>
    <row r="2490" spans="1:5" hidden="1" x14ac:dyDescent="0.25">
      <c r="A2490" t="s">
        <v>9879</v>
      </c>
      <c r="B2490" t="s">
        <v>6218</v>
      </c>
      <c r="C2490">
        <v>35.424700000000001</v>
      </c>
      <c r="D2490">
        <v>-84.617500000000007</v>
      </c>
      <c r="E2490" t="s">
        <v>9880</v>
      </c>
    </row>
    <row r="2491" spans="1:5" hidden="1" x14ac:dyDescent="0.25">
      <c r="A2491" t="s">
        <v>9881</v>
      </c>
      <c r="B2491" t="s">
        <v>6218</v>
      </c>
      <c r="C2491">
        <v>35.1755</v>
      </c>
      <c r="D2491">
        <v>-88.563599999999994</v>
      </c>
      <c r="E2491" t="s">
        <v>9882</v>
      </c>
    </row>
    <row r="2492" spans="1:5" hidden="1" x14ac:dyDescent="0.25">
      <c r="A2492" t="s">
        <v>9335</v>
      </c>
      <c r="B2492" t="s">
        <v>6218</v>
      </c>
      <c r="C2492">
        <v>35.512900000000002</v>
      </c>
      <c r="D2492">
        <v>-84.813299999999998</v>
      </c>
      <c r="E2492" t="s">
        <v>9883</v>
      </c>
    </row>
    <row r="2493" spans="1:5" hidden="1" x14ac:dyDescent="0.25">
      <c r="A2493" t="s">
        <v>6295</v>
      </c>
      <c r="B2493" t="s">
        <v>6218</v>
      </c>
      <c r="C2493">
        <v>35.442700000000002</v>
      </c>
      <c r="D2493">
        <v>-84.252700000000004</v>
      </c>
      <c r="E2493" t="s">
        <v>9884</v>
      </c>
    </row>
    <row r="2494" spans="1:5" hidden="1" x14ac:dyDescent="0.25">
      <c r="A2494" t="s">
        <v>6297</v>
      </c>
      <c r="B2494" t="s">
        <v>6218</v>
      </c>
      <c r="C2494">
        <v>36.496899999999997</v>
      </c>
      <c r="D2494">
        <v>-87.382800000000003</v>
      </c>
      <c r="E2494" t="s">
        <v>9885</v>
      </c>
    </row>
    <row r="2495" spans="1:5" hidden="1" x14ac:dyDescent="0.25">
      <c r="A2495" t="s">
        <v>1084</v>
      </c>
      <c r="B2495" t="s">
        <v>6218</v>
      </c>
      <c r="C2495">
        <v>35.284599999999998</v>
      </c>
      <c r="D2495">
        <v>-86.358699999999999</v>
      </c>
      <c r="E2495" t="s">
        <v>9886</v>
      </c>
    </row>
    <row r="2496" spans="1:5" hidden="1" x14ac:dyDescent="0.25">
      <c r="A2496" t="s">
        <v>496</v>
      </c>
      <c r="B2496" t="s">
        <v>6218</v>
      </c>
      <c r="C2496">
        <v>36.134999999999998</v>
      </c>
      <c r="D2496">
        <v>-84.649199999999993</v>
      </c>
      <c r="E2496" t="s">
        <v>9887</v>
      </c>
    </row>
    <row r="2497" spans="1:5" hidden="1" x14ac:dyDescent="0.25">
      <c r="A2497" t="s">
        <v>9888</v>
      </c>
      <c r="B2497" t="s">
        <v>6218</v>
      </c>
      <c r="C2497">
        <v>36.358199999999997</v>
      </c>
      <c r="D2497">
        <v>-89.148799999999994</v>
      </c>
      <c r="E2497" t="s">
        <v>9889</v>
      </c>
    </row>
    <row r="2498" spans="1:5" hidden="1" x14ac:dyDescent="0.25">
      <c r="A2498" t="s">
        <v>9890</v>
      </c>
      <c r="B2498" t="s">
        <v>6218</v>
      </c>
      <c r="C2498">
        <v>36.344999999999999</v>
      </c>
      <c r="D2498">
        <v>-85.2881</v>
      </c>
      <c r="E2498" t="s">
        <v>9891</v>
      </c>
    </row>
    <row r="2499" spans="1:5" hidden="1" x14ac:dyDescent="0.25">
      <c r="A2499" t="s">
        <v>1641</v>
      </c>
      <c r="B2499" t="s">
        <v>6218</v>
      </c>
      <c r="C2499">
        <v>35.642600000000002</v>
      </c>
      <c r="D2499">
        <v>-87.858999999999995</v>
      </c>
      <c r="E2499" t="s">
        <v>9892</v>
      </c>
    </row>
    <row r="2500" spans="1:5" hidden="1" x14ac:dyDescent="0.25">
      <c r="A2500" t="s">
        <v>9893</v>
      </c>
      <c r="B2500" t="s">
        <v>6218</v>
      </c>
      <c r="C2500">
        <v>36.558399999999999</v>
      </c>
      <c r="D2500">
        <v>-85.0749</v>
      </c>
      <c r="E2500" t="s">
        <v>9894</v>
      </c>
    </row>
    <row r="2501" spans="1:5" hidden="1" x14ac:dyDescent="0.25">
      <c r="A2501" t="s">
        <v>6410</v>
      </c>
      <c r="B2501" t="s">
        <v>6218</v>
      </c>
      <c r="C2501">
        <v>35.119900000000001</v>
      </c>
      <c r="D2501">
        <v>-84.523300000000006</v>
      </c>
      <c r="E2501" t="s">
        <v>9895</v>
      </c>
    </row>
    <row r="2502" spans="1:5" hidden="1" x14ac:dyDescent="0.25">
      <c r="A2502" t="s">
        <v>6810</v>
      </c>
      <c r="B2502" t="s">
        <v>6218</v>
      </c>
      <c r="C2502">
        <v>36.140799999999999</v>
      </c>
      <c r="D2502">
        <v>-85.495199999999997</v>
      </c>
      <c r="E2502" t="s">
        <v>9896</v>
      </c>
    </row>
    <row r="2503" spans="1:5" hidden="1" x14ac:dyDescent="0.25">
      <c r="A2503" t="s">
        <v>9897</v>
      </c>
      <c r="B2503" t="s">
        <v>6218</v>
      </c>
      <c r="C2503">
        <v>35.608699999999999</v>
      </c>
      <c r="D2503">
        <v>-84.924400000000006</v>
      </c>
      <c r="E2503" t="s">
        <v>9898</v>
      </c>
    </row>
    <row r="2504" spans="1:5" hidden="1" x14ac:dyDescent="0.25">
      <c r="A2504" t="s">
        <v>9899</v>
      </c>
      <c r="B2504" t="s">
        <v>6218</v>
      </c>
      <c r="C2504">
        <v>35.847900000000003</v>
      </c>
      <c r="D2504">
        <v>-84.523200000000003</v>
      </c>
      <c r="E2504" t="s">
        <v>9900</v>
      </c>
    </row>
    <row r="2505" spans="1:5" hidden="1" x14ac:dyDescent="0.25">
      <c r="A2505" t="s">
        <v>133</v>
      </c>
      <c r="B2505" t="s">
        <v>6218</v>
      </c>
      <c r="C2505">
        <v>36.525500000000001</v>
      </c>
      <c r="D2505">
        <v>-86.870599999999996</v>
      </c>
      <c r="E2505" t="s">
        <v>9901</v>
      </c>
    </row>
    <row r="2506" spans="1:5" hidden="1" x14ac:dyDescent="0.25">
      <c r="A2506" t="s">
        <v>8818</v>
      </c>
      <c r="B2506" t="s">
        <v>6218</v>
      </c>
      <c r="C2506">
        <v>35.842700000000001</v>
      </c>
      <c r="D2506">
        <v>-86.416700000000006</v>
      </c>
      <c r="E2506" t="s">
        <v>9902</v>
      </c>
    </row>
    <row r="2507" spans="1:5" hidden="1" x14ac:dyDescent="0.25">
      <c r="A2507" t="s">
        <v>5291</v>
      </c>
      <c r="B2507" t="s">
        <v>6218</v>
      </c>
      <c r="C2507">
        <v>36.4285</v>
      </c>
      <c r="D2507">
        <v>-84.503500000000003</v>
      </c>
      <c r="E2507" t="s">
        <v>9903</v>
      </c>
    </row>
    <row r="2508" spans="1:5" hidden="1" x14ac:dyDescent="0.25">
      <c r="A2508" t="s">
        <v>9904</v>
      </c>
      <c r="B2508" t="s">
        <v>6218</v>
      </c>
      <c r="C2508">
        <v>35.371200000000002</v>
      </c>
      <c r="D2508">
        <v>-85.410600000000002</v>
      </c>
      <c r="E2508" t="s">
        <v>9905</v>
      </c>
    </row>
    <row r="2509" spans="1:5" hidden="1" x14ac:dyDescent="0.25">
      <c r="A2509" t="s">
        <v>6426</v>
      </c>
      <c r="B2509" t="s">
        <v>6218</v>
      </c>
      <c r="C2509">
        <v>35.784599999999998</v>
      </c>
      <c r="D2509">
        <v>-83.524199999999993</v>
      </c>
      <c r="E2509" t="s">
        <v>9906</v>
      </c>
    </row>
    <row r="2510" spans="1:5" hidden="1" x14ac:dyDescent="0.25">
      <c r="A2510" t="s">
        <v>6309</v>
      </c>
      <c r="B2510" t="s">
        <v>6218</v>
      </c>
      <c r="C2510">
        <v>35.1843</v>
      </c>
      <c r="D2510">
        <v>-89.893799999999999</v>
      </c>
      <c r="E2510" t="s">
        <v>9907</v>
      </c>
    </row>
    <row r="2511" spans="1:5" hidden="1" x14ac:dyDescent="0.25">
      <c r="A2511" t="s">
        <v>275</v>
      </c>
      <c r="B2511" t="s">
        <v>6218</v>
      </c>
      <c r="C2511">
        <v>36.250500000000002</v>
      </c>
      <c r="D2511">
        <v>-85.956699999999998</v>
      </c>
      <c r="E2511" t="s">
        <v>9908</v>
      </c>
    </row>
    <row r="2512" spans="1:5" hidden="1" x14ac:dyDescent="0.25">
      <c r="A2512" t="s">
        <v>1377</v>
      </c>
      <c r="B2512" t="s">
        <v>6218</v>
      </c>
      <c r="C2512">
        <v>36.501199999999997</v>
      </c>
      <c r="D2512">
        <v>-87.838399999999993</v>
      </c>
      <c r="E2512" t="s">
        <v>9909</v>
      </c>
    </row>
    <row r="2513" spans="1:5" hidden="1" x14ac:dyDescent="0.25">
      <c r="A2513" t="s">
        <v>3228</v>
      </c>
      <c r="B2513" t="s">
        <v>6218</v>
      </c>
      <c r="C2513">
        <v>36.512900000000002</v>
      </c>
      <c r="D2513">
        <v>-82.304199999999994</v>
      </c>
      <c r="E2513" t="s">
        <v>9910</v>
      </c>
    </row>
    <row r="2514" spans="1:5" hidden="1" x14ac:dyDescent="0.25">
      <c r="A2514" t="s">
        <v>5288</v>
      </c>
      <c r="B2514" t="s">
        <v>6218</v>
      </c>
      <c r="C2514">
        <v>36.469000000000001</v>
      </c>
      <c r="D2514">
        <v>-86.460599999999999</v>
      </c>
      <c r="E2514" t="s">
        <v>9911</v>
      </c>
    </row>
    <row r="2515" spans="1:5" hidden="1" x14ac:dyDescent="0.25">
      <c r="A2515" t="s">
        <v>7540</v>
      </c>
      <c r="B2515" t="s">
        <v>6218</v>
      </c>
      <c r="C2515">
        <v>35.497300000000003</v>
      </c>
      <c r="D2515">
        <v>-89.756600000000006</v>
      </c>
      <c r="E2515" t="s">
        <v>9912</v>
      </c>
    </row>
    <row r="2516" spans="1:5" hidden="1" x14ac:dyDescent="0.25">
      <c r="A2516" t="s">
        <v>9913</v>
      </c>
      <c r="B2516" t="s">
        <v>6218</v>
      </c>
      <c r="C2516">
        <v>36.392099999999999</v>
      </c>
      <c r="D2516">
        <v>-86.156800000000004</v>
      </c>
      <c r="E2516" t="s">
        <v>9914</v>
      </c>
    </row>
    <row r="2517" spans="1:5" hidden="1" x14ac:dyDescent="0.25">
      <c r="A2517" t="s">
        <v>9915</v>
      </c>
      <c r="B2517" t="s">
        <v>6218</v>
      </c>
      <c r="C2517">
        <v>36.110700000000001</v>
      </c>
      <c r="D2517">
        <v>-82.432299999999998</v>
      </c>
      <c r="E2517" t="s">
        <v>9916</v>
      </c>
    </row>
    <row r="2518" spans="1:5" hidden="1" x14ac:dyDescent="0.25">
      <c r="A2518" t="s">
        <v>5878</v>
      </c>
      <c r="B2518" t="s">
        <v>6218</v>
      </c>
      <c r="C2518">
        <v>36.2879</v>
      </c>
      <c r="D2518">
        <v>-83.837500000000006</v>
      </c>
      <c r="E2518" t="s">
        <v>9917</v>
      </c>
    </row>
    <row r="2519" spans="1:5" hidden="1" x14ac:dyDescent="0.25">
      <c r="A2519" t="s">
        <v>6433</v>
      </c>
      <c r="B2519" t="s">
        <v>6218</v>
      </c>
      <c r="C2519">
        <v>35.695999999999998</v>
      </c>
      <c r="D2519">
        <v>-85.452600000000004</v>
      </c>
      <c r="E2519" t="s">
        <v>9918</v>
      </c>
    </row>
    <row r="2520" spans="1:5" hidden="1" x14ac:dyDescent="0.25">
      <c r="A2520" t="s">
        <v>448</v>
      </c>
      <c r="B2520" t="s">
        <v>6218</v>
      </c>
      <c r="C2520">
        <v>35.678699999999999</v>
      </c>
      <c r="D2520">
        <v>-85.778499999999994</v>
      </c>
      <c r="E2520" t="s">
        <v>9919</v>
      </c>
    </row>
    <row r="2521" spans="1:5" hidden="1" x14ac:dyDescent="0.25">
      <c r="A2521" t="s">
        <v>3052</v>
      </c>
      <c r="B2521" t="s">
        <v>6218</v>
      </c>
      <c r="C2521">
        <v>36.293300000000002</v>
      </c>
      <c r="D2521">
        <v>-82.497399999999999</v>
      </c>
      <c r="E2521" t="s">
        <v>9920</v>
      </c>
    </row>
    <row r="2522" spans="1:5" hidden="1" x14ac:dyDescent="0.25">
      <c r="A2522" t="s">
        <v>7057</v>
      </c>
      <c r="B2522" t="s">
        <v>6218</v>
      </c>
      <c r="C2522">
        <v>35.239899999999999</v>
      </c>
      <c r="D2522">
        <v>-87.787999999999997</v>
      </c>
      <c r="E2522" t="s">
        <v>9921</v>
      </c>
    </row>
    <row r="2523" spans="1:5" hidden="1" x14ac:dyDescent="0.25">
      <c r="A2523" t="s">
        <v>9922</v>
      </c>
      <c r="B2523" t="s">
        <v>6218</v>
      </c>
      <c r="C2523">
        <v>36.298299999999998</v>
      </c>
      <c r="D2523">
        <v>-88.717799999999997</v>
      </c>
      <c r="E2523" t="s">
        <v>9923</v>
      </c>
    </row>
    <row r="2524" spans="1:5" hidden="1" x14ac:dyDescent="0.25">
      <c r="A2524" t="s">
        <v>1147</v>
      </c>
      <c r="B2524" t="s">
        <v>6218</v>
      </c>
      <c r="C2524">
        <v>35.926400000000001</v>
      </c>
      <c r="D2524">
        <v>-85.455200000000005</v>
      </c>
      <c r="E2524" t="s">
        <v>9924</v>
      </c>
    </row>
    <row r="2525" spans="1:5" hidden="1" x14ac:dyDescent="0.25">
      <c r="A2525" t="s">
        <v>7430</v>
      </c>
      <c r="B2525" t="s">
        <v>6218</v>
      </c>
      <c r="C2525">
        <v>35.893799999999999</v>
      </c>
      <c r="D2525">
        <v>-86.898700000000005</v>
      </c>
      <c r="E2525" t="s">
        <v>9925</v>
      </c>
    </row>
    <row r="2526" spans="1:5" hidden="1" x14ac:dyDescent="0.25">
      <c r="A2526" t="s">
        <v>2298</v>
      </c>
      <c r="B2526" t="s">
        <v>6218</v>
      </c>
      <c r="C2526">
        <v>36.154699999999998</v>
      </c>
      <c r="D2526">
        <v>-86.297300000000007</v>
      </c>
      <c r="E2526" t="s">
        <v>9926</v>
      </c>
    </row>
    <row r="2527" spans="1:5" hidden="1" x14ac:dyDescent="0.25">
      <c r="A2527" t="s">
        <v>646</v>
      </c>
      <c r="B2527" t="s">
        <v>6220</v>
      </c>
      <c r="C2527">
        <v>31.813300000000002</v>
      </c>
      <c r="D2527">
        <v>-95.652500000000003</v>
      </c>
      <c r="E2527" t="s">
        <v>9927</v>
      </c>
    </row>
    <row r="2528" spans="1:5" hidden="1" x14ac:dyDescent="0.25">
      <c r="A2528" t="s">
        <v>2164</v>
      </c>
      <c r="B2528" t="s">
        <v>6220</v>
      </c>
      <c r="C2528">
        <v>32.305</v>
      </c>
      <c r="D2528">
        <v>-102.6377</v>
      </c>
      <c r="E2528" t="s">
        <v>9928</v>
      </c>
    </row>
    <row r="2529" spans="1:5" hidden="1" x14ac:dyDescent="0.25">
      <c r="A2529" t="s">
        <v>9929</v>
      </c>
      <c r="B2529" t="s">
        <v>6220</v>
      </c>
      <c r="C2529">
        <v>31.254799999999999</v>
      </c>
      <c r="D2529">
        <v>-94.611900000000006</v>
      </c>
      <c r="E2529" t="s">
        <v>9930</v>
      </c>
    </row>
    <row r="2530" spans="1:5" hidden="1" x14ac:dyDescent="0.25">
      <c r="A2530" t="s">
        <v>9931</v>
      </c>
      <c r="B2530" t="s">
        <v>6220</v>
      </c>
      <c r="C2530">
        <v>28.125399999999999</v>
      </c>
      <c r="D2530">
        <v>-96.993300000000005</v>
      </c>
      <c r="E2530" t="s">
        <v>9932</v>
      </c>
    </row>
    <row r="2531" spans="1:5" hidden="1" x14ac:dyDescent="0.25">
      <c r="A2531" t="s">
        <v>2518</v>
      </c>
      <c r="B2531" t="s">
        <v>6220</v>
      </c>
      <c r="C2531">
        <v>33.615299999999998</v>
      </c>
      <c r="D2531">
        <v>-98.687700000000007</v>
      </c>
      <c r="E2531" t="s">
        <v>9933</v>
      </c>
    </row>
    <row r="2532" spans="1:5" hidden="1" x14ac:dyDescent="0.25">
      <c r="A2532" t="s">
        <v>9555</v>
      </c>
      <c r="B2532" t="s">
        <v>6220</v>
      </c>
      <c r="C2532">
        <v>34.9649</v>
      </c>
      <c r="D2532">
        <v>-101.3574</v>
      </c>
      <c r="E2532" t="s">
        <v>9934</v>
      </c>
    </row>
    <row r="2533" spans="1:5" hidden="1" x14ac:dyDescent="0.25">
      <c r="A2533" t="s">
        <v>9935</v>
      </c>
      <c r="B2533" t="s">
        <v>6220</v>
      </c>
      <c r="C2533">
        <v>28.8935</v>
      </c>
      <c r="D2533">
        <v>-98.527199999999993</v>
      </c>
      <c r="E2533" t="s">
        <v>9936</v>
      </c>
    </row>
    <row r="2534" spans="1:5" hidden="1" x14ac:dyDescent="0.25">
      <c r="A2534" t="s">
        <v>9937</v>
      </c>
      <c r="B2534" t="s">
        <v>6220</v>
      </c>
      <c r="C2534">
        <v>29.887</v>
      </c>
      <c r="D2534">
        <v>-96.277900000000002</v>
      </c>
      <c r="E2534" t="s">
        <v>9938</v>
      </c>
    </row>
    <row r="2535" spans="1:5" hidden="1" x14ac:dyDescent="0.25">
      <c r="A2535" t="s">
        <v>3591</v>
      </c>
      <c r="B2535" t="s">
        <v>6220</v>
      </c>
      <c r="C2535">
        <v>34.068600000000004</v>
      </c>
      <c r="D2535">
        <v>-102.82989999999999</v>
      </c>
      <c r="E2535" t="s">
        <v>9939</v>
      </c>
    </row>
    <row r="2536" spans="1:5" hidden="1" x14ac:dyDescent="0.25">
      <c r="A2536" t="s">
        <v>9940</v>
      </c>
      <c r="B2536" t="s">
        <v>6220</v>
      </c>
      <c r="C2536">
        <v>29.747199999999999</v>
      </c>
      <c r="D2536">
        <v>-99.246300000000005</v>
      </c>
      <c r="E2536" t="s">
        <v>9941</v>
      </c>
    </row>
    <row r="2537" spans="1:5" hidden="1" x14ac:dyDescent="0.25">
      <c r="A2537" t="s">
        <v>9942</v>
      </c>
      <c r="B2537" t="s">
        <v>6220</v>
      </c>
      <c r="C2537">
        <v>30.1036</v>
      </c>
      <c r="D2537">
        <v>-97.311999999999998</v>
      </c>
      <c r="E2537" t="s">
        <v>9943</v>
      </c>
    </row>
    <row r="2538" spans="1:5" hidden="1" x14ac:dyDescent="0.25">
      <c r="A2538" t="s">
        <v>9944</v>
      </c>
      <c r="B2538" t="s">
        <v>6220</v>
      </c>
      <c r="C2538">
        <v>33.616500000000002</v>
      </c>
      <c r="D2538">
        <v>-99.213499999999996</v>
      </c>
      <c r="E2538" t="s">
        <v>9945</v>
      </c>
    </row>
    <row r="2539" spans="1:5" hidden="1" x14ac:dyDescent="0.25">
      <c r="A2539" t="s">
        <v>9946</v>
      </c>
      <c r="B2539" t="s">
        <v>6220</v>
      </c>
      <c r="C2539">
        <v>28.417400000000001</v>
      </c>
      <c r="D2539">
        <v>-97.741200000000006</v>
      </c>
      <c r="E2539" t="s">
        <v>9947</v>
      </c>
    </row>
    <row r="2540" spans="1:5" hidden="1" x14ac:dyDescent="0.25">
      <c r="A2540" t="s">
        <v>3500</v>
      </c>
      <c r="B2540" t="s">
        <v>6220</v>
      </c>
      <c r="C2540">
        <v>31.037299999999998</v>
      </c>
      <c r="D2540">
        <v>-97.478800000000007</v>
      </c>
      <c r="E2540" t="s">
        <v>9948</v>
      </c>
    </row>
    <row r="2541" spans="1:5" hidden="1" x14ac:dyDescent="0.25">
      <c r="A2541" t="s">
        <v>9949</v>
      </c>
      <c r="B2541" t="s">
        <v>6220</v>
      </c>
      <c r="C2541">
        <v>29.448899999999998</v>
      </c>
      <c r="D2541">
        <v>-98.52</v>
      </c>
      <c r="E2541" t="s">
        <v>9950</v>
      </c>
    </row>
    <row r="2542" spans="1:5" hidden="1" x14ac:dyDescent="0.25">
      <c r="A2542" t="s">
        <v>9951</v>
      </c>
      <c r="B2542" t="s">
        <v>6220</v>
      </c>
      <c r="C2542">
        <v>30.266400000000001</v>
      </c>
      <c r="D2542">
        <v>-98.399900000000002</v>
      </c>
      <c r="E2542" t="s">
        <v>9952</v>
      </c>
    </row>
    <row r="2543" spans="1:5" hidden="1" x14ac:dyDescent="0.25">
      <c r="A2543" t="s">
        <v>4703</v>
      </c>
      <c r="B2543" t="s">
        <v>6220</v>
      </c>
      <c r="C2543">
        <v>32.743600000000001</v>
      </c>
      <c r="D2543">
        <v>-101.43170000000001</v>
      </c>
      <c r="E2543" t="s">
        <v>9953</v>
      </c>
    </row>
    <row r="2544" spans="1:5" hidden="1" x14ac:dyDescent="0.25">
      <c r="A2544" t="s">
        <v>9954</v>
      </c>
      <c r="B2544" t="s">
        <v>6220</v>
      </c>
      <c r="C2544">
        <v>31.900400000000001</v>
      </c>
      <c r="D2544">
        <v>-97.634299999999996</v>
      </c>
      <c r="E2544" t="s">
        <v>9955</v>
      </c>
    </row>
    <row r="2545" spans="1:5" hidden="1" x14ac:dyDescent="0.25">
      <c r="A2545" t="s">
        <v>9956</v>
      </c>
      <c r="B2545" t="s">
        <v>6220</v>
      </c>
      <c r="C2545">
        <v>33.445799999999998</v>
      </c>
      <c r="D2545">
        <v>-94.423400000000001</v>
      </c>
      <c r="E2545" t="s">
        <v>9957</v>
      </c>
    </row>
    <row r="2546" spans="1:5" hidden="1" x14ac:dyDescent="0.25">
      <c r="A2546" t="s">
        <v>9958</v>
      </c>
      <c r="B2546" t="s">
        <v>6220</v>
      </c>
      <c r="C2546">
        <v>29.189800000000002</v>
      </c>
      <c r="D2546">
        <v>-95.452100000000002</v>
      </c>
      <c r="E2546" t="s">
        <v>9959</v>
      </c>
    </row>
    <row r="2547" spans="1:5" hidden="1" x14ac:dyDescent="0.25">
      <c r="A2547" t="s">
        <v>9960</v>
      </c>
      <c r="B2547" t="s">
        <v>6220</v>
      </c>
      <c r="C2547">
        <v>30.660799999999998</v>
      </c>
      <c r="D2547">
        <v>-96.302400000000006</v>
      </c>
      <c r="E2547" t="s">
        <v>9961</v>
      </c>
    </row>
    <row r="2548" spans="1:5" hidden="1" x14ac:dyDescent="0.25">
      <c r="A2548" t="s">
        <v>9962</v>
      </c>
      <c r="B2548" t="s">
        <v>6220</v>
      </c>
      <c r="C2548">
        <v>29.811900000000001</v>
      </c>
      <c r="D2548">
        <v>-103.2517</v>
      </c>
      <c r="E2548" t="s">
        <v>9963</v>
      </c>
    </row>
    <row r="2549" spans="1:5" hidden="1" x14ac:dyDescent="0.25">
      <c r="A2549" t="s">
        <v>9964</v>
      </c>
      <c r="B2549" t="s">
        <v>6220</v>
      </c>
      <c r="C2549">
        <v>34.530299999999997</v>
      </c>
      <c r="D2549">
        <v>-101.2085</v>
      </c>
      <c r="E2549" t="s">
        <v>9965</v>
      </c>
    </row>
    <row r="2550" spans="1:5" hidden="1" x14ac:dyDescent="0.25">
      <c r="A2550" t="s">
        <v>6854</v>
      </c>
      <c r="B2550" t="s">
        <v>6220</v>
      </c>
      <c r="C2550">
        <v>27.031600000000001</v>
      </c>
      <c r="D2550">
        <v>-98.218699999999998</v>
      </c>
      <c r="E2550" t="s">
        <v>9966</v>
      </c>
    </row>
    <row r="2551" spans="1:5" hidden="1" x14ac:dyDescent="0.25">
      <c r="A2551" t="s">
        <v>633</v>
      </c>
      <c r="B2551" t="s">
        <v>6220</v>
      </c>
      <c r="C2551">
        <v>31.7742</v>
      </c>
      <c r="D2551">
        <v>-98.999799999999993</v>
      </c>
      <c r="E2551" t="s">
        <v>9967</v>
      </c>
    </row>
    <row r="2552" spans="1:5" hidden="1" x14ac:dyDescent="0.25">
      <c r="A2552" t="s">
        <v>9968</v>
      </c>
      <c r="B2552" t="s">
        <v>6220</v>
      </c>
      <c r="C2552">
        <v>30.4925</v>
      </c>
      <c r="D2552">
        <v>-96.621499999999997</v>
      </c>
      <c r="E2552" t="s">
        <v>9969</v>
      </c>
    </row>
    <row r="2553" spans="1:5" hidden="1" x14ac:dyDescent="0.25">
      <c r="A2553" t="s">
        <v>9970</v>
      </c>
      <c r="B2553" t="s">
        <v>6220</v>
      </c>
      <c r="C2553">
        <v>30.788399999999999</v>
      </c>
      <c r="D2553">
        <v>-98.182299999999998</v>
      </c>
      <c r="E2553" t="s">
        <v>9971</v>
      </c>
    </row>
    <row r="2554" spans="1:5" hidden="1" x14ac:dyDescent="0.25">
      <c r="A2554" t="s">
        <v>3494</v>
      </c>
      <c r="B2554" t="s">
        <v>6220</v>
      </c>
      <c r="C2554">
        <v>29.8368</v>
      </c>
      <c r="D2554">
        <v>-97.619900000000001</v>
      </c>
      <c r="E2554" t="s">
        <v>9972</v>
      </c>
    </row>
    <row r="2555" spans="1:5" hidden="1" x14ac:dyDescent="0.25">
      <c r="A2555" t="s">
        <v>1505</v>
      </c>
      <c r="B2555" t="s">
        <v>6220</v>
      </c>
      <c r="C2555">
        <v>28.507400000000001</v>
      </c>
      <c r="D2555">
        <v>-96.601799999999997</v>
      </c>
      <c r="E2555" t="s">
        <v>9973</v>
      </c>
    </row>
    <row r="2556" spans="1:5" hidden="1" x14ac:dyDescent="0.25">
      <c r="A2556" t="s">
        <v>9974</v>
      </c>
      <c r="B2556" t="s">
        <v>6220</v>
      </c>
      <c r="C2556">
        <v>32.297600000000003</v>
      </c>
      <c r="D2556">
        <v>-99.373500000000007</v>
      </c>
      <c r="E2556" t="s">
        <v>9975</v>
      </c>
    </row>
    <row r="2557" spans="1:5" hidden="1" x14ac:dyDescent="0.25">
      <c r="A2557" t="s">
        <v>7895</v>
      </c>
      <c r="B2557" t="s">
        <v>6220</v>
      </c>
      <c r="C2557">
        <v>26.133299999999998</v>
      </c>
      <c r="D2557">
        <v>-97.518699999999995</v>
      </c>
      <c r="E2557" t="s">
        <v>9976</v>
      </c>
    </row>
    <row r="2558" spans="1:5" hidden="1" x14ac:dyDescent="0.25">
      <c r="A2558" t="s">
        <v>9977</v>
      </c>
      <c r="B2558" t="s">
        <v>6220</v>
      </c>
      <c r="C2558">
        <v>32.973199999999999</v>
      </c>
      <c r="D2558">
        <v>-94.978499999999997</v>
      </c>
      <c r="E2558" t="s">
        <v>9978</v>
      </c>
    </row>
    <row r="2559" spans="1:5" hidden="1" x14ac:dyDescent="0.25">
      <c r="A2559" t="s">
        <v>9979</v>
      </c>
      <c r="B2559" t="s">
        <v>6220</v>
      </c>
      <c r="C2559">
        <v>35.403500000000001</v>
      </c>
      <c r="D2559">
        <v>-101.35420000000001</v>
      </c>
      <c r="E2559" t="s">
        <v>9980</v>
      </c>
    </row>
    <row r="2560" spans="1:5" hidden="1" x14ac:dyDescent="0.25">
      <c r="A2560" t="s">
        <v>7103</v>
      </c>
      <c r="B2560" t="s">
        <v>6220</v>
      </c>
      <c r="C2560">
        <v>33.077500000000001</v>
      </c>
      <c r="D2560">
        <v>-94.343500000000006</v>
      </c>
      <c r="E2560" t="s">
        <v>9981</v>
      </c>
    </row>
    <row r="2561" spans="1:5" hidden="1" x14ac:dyDescent="0.25">
      <c r="A2561" t="s">
        <v>9982</v>
      </c>
      <c r="B2561" t="s">
        <v>6220</v>
      </c>
      <c r="C2561">
        <v>34.529899999999998</v>
      </c>
      <c r="D2561">
        <v>-102.2617</v>
      </c>
      <c r="E2561" t="s">
        <v>9983</v>
      </c>
    </row>
    <row r="2562" spans="1:5" hidden="1" x14ac:dyDescent="0.25">
      <c r="A2562" t="s">
        <v>6207</v>
      </c>
      <c r="B2562" t="s">
        <v>6220</v>
      </c>
      <c r="C2562">
        <v>29.738399999999999</v>
      </c>
      <c r="D2562">
        <v>-94.61</v>
      </c>
      <c r="E2562" t="s">
        <v>9984</v>
      </c>
    </row>
    <row r="2563" spans="1:5" hidden="1" x14ac:dyDescent="0.25">
      <c r="A2563" t="s">
        <v>6210</v>
      </c>
      <c r="B2563" t="s">
        <v>6220</v>
      </c>
      <c r="C2563">
        <v>31.837</v>
      </c>
      <c r="D2563">
        <v>-95.165199999999999</v>
      </c>
      <c r="E2563" t="s">
        <v>9985</v>
      </c>
    </row>
    <row r="2564" spans="1:5" hidden="1" x14ac:dyDescent="0.25">
      <c r="A2564" t="s">
        <v>9986</v>
      </c>
      <c r="B2564" t="s">
        <v>6220</v>
      </c>
      <c r="C2564">
        <v>34.5291</v>
      </c>
      <c r="D2564">
        <v>-100.2076</v>
      </c>
      <c r="E2564" t="s">
        <v>9987</v>
      </c>
    </row>
    <row r="2565" spans="1:5" hidden="1" x14ac:dyDescent="0.25">
      <c r="A2565" t="s">
        <v>6221</v>
      </c>
      <c r="B2565" t="s">
        <v>6220</v>
      </c>
      <c r="C2565">
        <v>33.785499999999999</v>
      </c>
      <c r="D2565">
        <v>-98.208500000000001</v>
      </c>
      <c r="E2565" t="s">
        <v>9988</v>
      </c>
    </row>
    <row r="2566" spans="1:5" hidden="1" x14ac:dyDescent="0.25">
      <c r="A2566" t="s">
        <v>9989</v>
      </c>
      <c r="B2566" t="s">
        <v>6220</v>
      </c>
      <c r="C2566">
        <v>33.604199999999999</v>
      </c>
      <c r="D2566">
        <v>-102.82850000000001</v>
      </c>
      <c r="E2566" t="s">
        <v>9990</v>
      </c>
    </row>
    <row r="2567" spans="1:5" hidden="1" x14ac:dyDescent="0.25">
      <c r="A2567" t="s">
        <v>9991</v>
      </c>
      <c r="B2567" t="s">
        <v>6220</v>
      </c>
      <c r="C2567">
        <v>31.8886</v>
      </c>
      <c r="D2567">
        <v>-100.53</v>
      </c>
      <c r="E2567" t="s">
        <v>9992</v>
      </c>
    </row>
    <row r="2568" spans="1:5" hidden="1" x14ac:dyDescent="0.25">
      <c r="A2568" t="s">
        <v>5742</v>
      </c>
      <c r="B2568" t="s">
        <v>6220</v>
      </c>
      <c r="C2568">
        <v>31.773199999999999</v>
      </c>
      <c r="D2568">
        <v>-99.453599999999994</v>
      </c>
      <c r="E2568" t="s">
        <v>9993</v>
      </c>
    </row>
    <row r="2569" spans="1:5" hidden="1" x14ac:dyDescent="0.25">
      <c r="A2569" t="s">
        <v>243</v>
      </c>
      <c r="B2569" t="s">
        <v>6220</v>
      </c>
      <c r="C2569">
        <v>33.188000000000002</v>
      </c>
      <c r="D2569">
        <v>-96.572400000000002</v>
      </c>
      <c r="E2569" t="s">
        <v>9994</v>
      </c>
    </row>
    <row r="2570" spans="1:5" hidden="1" x14ac:dyDescent="0.25">
      <c r="A2570" t="s">
        <v>9995</v>
      </c>
      <c r="B2570" t="s">
        <v>6220</v>
      </c>
      <c r="C2570">
        <v>34.964799999999997</v>
      </c>
      <c r="D2570">
        <v>-100.27</v>
      </c>
      <c r="E2570" t="s">
        <v>9996</v>
      </c>
    </row>
    <row r="2571" spans="1:5" hidden="1" x14ac:dyDescent="0.25">
      <c r="A2571" t="s">
        <v>9997</v>
      </c>
      <c r="B2571" t="s">
        <v>6220</v>
      </c>
      <c r="C2571">
        <v>29.620799999999999</v>
      </c>
      <c r="D2571">
        <v>-96.526300000000006</v>
      </c>
      <c r="E2571" t="s">
        <v>9998</v>
      </c>
    </row>
    <row r="2572" spans="1:5" hidden="1" x14ac:dyDescent="0.25">
      <c r="A2572" t="s">
        <v>9999</v>
      </c>
      <c r="B2572" t="s">
        <v>6220</v>
      </c>
      <c r="C2572">
        <v>29.808199999999999</v>
      </c>
      <c r="D2572">
        <v>-98.278300000000002</v>
      </c>
      <c r="E2572" t="s">
        <v>10000</v>
      </c>
    </row>
    <row r="2573" spans="1:5" hidden="1" x14ac:dyDescent="0.25">
      <c r="A2573" t="s">
        <v>7580</v>
      </c>
      <c r="B2573" t="s">
        <v>6220</v>
      </c>
      <c r="C2573">
        <v>31.948</v>
      </c>
      <c r="D2573">
        <v>-98.558199999999999</v>
      </c>
      <c r="E2573" t="s">
        <v>10001</v>
      </c>
    </row>
    <row r="2574" spans="1:5" hidden="1" x14ac:dyDescent="0.25">
      <c r="A2574" t="s">
        <v>10002</v>
      </c>
      <c r="B2574" t="s">
        <v>6220</v>
      </c>
      <c r="C2574">
        <v>31.326599999999999</v>
      </c>
      <c r="D2574">
        <v>-99.864000000000004</v>
      </c>
      <c r="E2574" t="s">
        <v>10003</v>
      </c>
    </row>
    <row r="2575" spans="1:5" hidden="1" x14ac:dyDescent="0.25">
      <c r="A2575" t="s">
        <v>10004</v>
      </c>
      <c r="B2575" t="s">
        <v>6220</v>
      </c>
      <c r="C2575">
        <v>33.639299999999999</v>
      </c>
      <c r="D2575">
        <v>-97.212599999999995</v>
      </c>
      <c r="E2575" t="s">
        <v>10005</v>
      </c>
    </row>
    <row r="2576" spans="1:5" hidden="1" x14ac:dyDescent="0.25">
      <c r="A2576" t="s">
        <v>10006</v>
      </c>
      <c r="B2576" t="s">
        <v>6220</v>
      </c>
      <c r="C2576">
        <v>31.390899999999998</v>
      </c>
      <c r="D2576">
        <v>-97.799300000000002</v>
      </c>
      <c r="E2576" t="s">
        <v>10007</v>
      </c>
    </row>
    <row r="2577" spans="1:5" hidden="1" x14ac:dyDescent="0.25">
      <c r="A2577" t="s">
        <v>10008</v>
      </c>
      <c r="B2577" t="s">
        <v>6220</v>
      </c>
      <c r="C2577">
        <v>34.077599999999997</v>
      </c>
      <c r="D2577">
        <v>-100.2788</v>
      </c>
      <c r="E2577" t="s">
        <v>10009</v>
      </c>
    </row>
    <row r="2578" spans="1:5" hidden="1" x14ac:dyDescent="0.25">
      <c r="A2578" t="s">
        <v>10010</v>
      </c>
      <c r="B2578" t="s">
        <v>6220</v>
      </c>
      <c r="C2578">
        <v>31.428599999999999</v>
      </c>
      <c r="D2578">
        <v>-102.51560000000001</v>
      </c>
      <c r="E2578" t="s">
        <v>10011</v>
      </c>
    </row>
    <row r="2579" spans="1:5" hidden="1" x14ac:dyDescent="0.25">
      <c r="A2579" t="s">
        <v>9829</v>
      </c>
      <c r="B2579" t="s">
        <v>6220</v>
      </c>
      <c r="C2579">
        <v>30.723099999999999</v>
      </c>
      <c r="D2579">
        <v>-101.41200000000001</v>
      </c>
      <c r="E2579" t="s">
        <v>10012</v>
      </c>
    </row>
    <row r="2580" spans="1:5" hidden="1" x14ac:dyDescent="0.25">
      <c r="A2580" t="s">
        <v>4700</v>
      </c>
      <c r="B2580" t="s">
        <v>6220</v>
      </c>
      <c r="C2580">
        <v>33.614699999999999</v>
      </c>
      <c r="D2580">
        <v>-101.3</v>
      </c>
      <c r="E2580" t="s">
        <v>10013</v>
      </c>
    </row>
    <row r="2581" spans="1:5" hidden="1" x14ac:dyDescent="0.25">
      <c r="A2581" t="s">
        <v>10014</v>
      </c>
      <c r="B2581" t="s">
        <v>6220</v>
      </c>
      <c r="C2581">
        <v>31.446999999999999</v>
      </c>
      <c r="D2581">
        <v>-104.51730000000001</v>
      </c>
      <c r="E2581" t="s">
        <v>10015</v>
      </c>
    </row>
    <row r="2582" spans="1:5" hidden="1" x14ac:dyDescent="0.25">
      <c r="A2582" t="s">
        <v>10016</v>
      </c>
      <c r="B2582" t="s">
        <v>6220</v>
      </c>
      <c r="C2582">
        <v>36.277900000000002</v>
      </c>
      <c r="D2582">
        <v>-102.6022</v>
      </c>
      <c r="E2582" t="s">
        <v>10017</v>
      </c>
    </row>
    <row r="2583" spans="1:5" hidden="1" x14ac:dyDescent="0.25">
      <c r="A2583" t="s">
        <v>6248</v>
      </c>
      <c r="B2583" t="s">
        <v>6220</v>
      </c>
      <c r="C2583">
        <v>32.766599999999997</v>
      </c>
      <c r="D2583">
        <v>-96.777799999999999</v>
      </c>
      <c r="E2583" t="s">
        <v>10018</v>
      </c>
    </row>
    <row r="2584" spans="1:5" hidden="1" x14ac:dyDescent="0.25">
      <c r="A2584" t="s">
        <v>6898</v>
      </c>
      <c r="B2584" t="s">
        <v>6220</v>
      </c>
      <c r="C2584">
        <v>32.742600000000003</v>
      </c>
      <c r="D2584">
        <v>-101.94759999999999</v>
      </c>
      <c r="E2584" t="s">
        <v>10019</v>
      </c>
    </row>
    <row r="2585" spans="1:5" hidden="1" x14ac:dyDescent="0.25">
      <c r="A2585" t="s">
        <v>10020</v>
      </c>
      <c r="B2585" t="s">
        <v>6220</v>
      </c>
      <c r="C2585">
        <v>29.082100000000001</v>
      </c>
      <c r="D2585">
        <v>-97.356700000000004</v>
      </c>
      <c r="E2585" t="s">
        <v>10021</v>
      </c>
    </row>
    <row r="2586" spans="1:5" hidden="1" x14ac:dyDescent="0.25">
      <c r="A2586" t="s">
        <v>10022</v>
      </c>
      <c r="B2586" t="s">
        <v>6220</v>
      </c>
      <c r="C2586">
        <v>34.966000000000001</v>
      </c>
      <c r="D2586">
        <v>-102.605</v>
      </c>
      <c r="E2586" t="s">
        <v>10023</v>
      </c>
    </row>
    <row r="2587" spans="1:5" hidden="1" x14ac:dyDescent="0.25">
      <c r="A2587" t="s">
        <v>6612</v>
      </c>
      <c r="B2587" t="s">
        <v>6220</v>
      </c>
      <c r="C2587">
        <v>33.386299999999999</v>
      </c>
      <c r="D2587">
        <v>-95.672300000000007</v>
      </c>
      <c r="E2587" t="s">
        <v>10024</v>
      </c>
    </row>
    <row r="2588" spans="1:5" hidden="1" x14ac:dyDescent="0.25">
      <c r="A2588" t="s">
        <v>2017</v>
      </c>
      <c r="B2588" t="s">
        <v>6220</v>
      </c>
      <c r="C2588">
        <v>33.205500000000001</v>
      </c>
      <c r="D2588">
        <v>-97.116799999999998</v>
      </c>
      <c r="E2588" t="s">
        <v>10025</v>
      </c>
    </row>
    <row r="2589" spans="1:5" hidden="1" x14ac:dyDescent="0.25">
      <c r="A2589" t="s">
        <v>10026</v>
      </c>
      <c r="B2589" t="s">
        <v>6220</v>
      </c>
      <c r="C2589">
        <v>33.616500000000002</v>
      </c>
      <c r="D2589">
        <v>-100.77889999999999</v>
      </c>
      <c r="E2589" t="s">
        <v>10027</v>
      </c>
    </row>
    <row r="2590" spans="1:5" hidden="1" x14ac:dyDescent="0.25">
      <c r="A2590" t="s">
        <v>10028</v>
      </c>
      <c r="B2590" t="s">
        <v>6220</v>
      </c>
      <c r="C2590">
        <v>28.422599999999999</v>
      </c>
      <c r="D2590">
        <v>-99.756600000000006</v>
      </c>
      <c r="E2590" t="s">
        <v>10029</v>
      </c>
    </row>
    <row r="2591" spans="1:5" hidden="1" x14ac:dyDescent="0.25">
      <c r="A2591" t="s">
        <v>10030</v>
      </c>
      <c r="B2591" t="s">
        <v>6220</v>
      </c>
      <c r="C2591">
        <v>34.965400000000002</v>
      </c>
      <c r="D2591">
        <v>-100.81399999999999</v>
      </c>
      <c r="E2591" t="s">
        <v>10031</v>
      </c>
    </row>
    <row r="2592" spans="1:5" hidden="1" x14ac:dyDescent="0.25">
      <c r="A2592" t="s">
        <v>6747</v>
      </c>
      <c r="B2592" t="s">
        <v>6220</v>
      </c>
      <c r="C2592">
        <v>27.6814</v>
      </c>
      <c r="D2592">
        <v>-98.508899999999997</v>
      </c>
      <c r="E2592" t="s">
        <v>10032</v>
      </c>
    </row>
    <row r="2593" spans="1:5" hidden="1" x14ac:dyDescent="0.25">
      <c r="A2593" t="s">
        <v>10033</v>
      </c>
      <c r="B2593" t="s">
        <v>6220</v>
      </c>
      <c r="C2593">
        <v>32.327100000000002</v>
      </c>
      <c r="D2593">
        <v>-98.832300000000004</v>
      </c>
      <c r="E2593" t="s">
        <v>10034</v>
      </c>
    </row>
    <row r="2594" spans="1:5" hidden="1" x14ac:dyDescent="0.25">
      <c r="A2594" t="s">
        <v>10035</v>
      </c>
      <c r="B2594" t="s">
        <v>6220</v>
      </c>
      <c r="C2594">
        <v>31.869199999999999</v>
      </c>
      <c r="D2594">
        <v>-102.5429</v>
      </c>
      <c r="E2594" t="s">
        <v>10036</v>
      </c>
    </row>
    <row r="2595" spans="1:5" hidden="1" x14ac:dyDescent="0.25">
      <c r="A2595" t="s">
        <v>1936</v>
      </c>
      <c r="B2595" t="s">
        <v>6220</v>
      </c>
      <c r="C2595">
        <v>29.982700000000001</v>
      </c>
      <c r="D2595">
        <v>-100.3048</v>
      </c>
      <c r="E2595" t="s">
        <v>10037</v>
      </c>
    </row>
    <row r="2596" spans="1:5" hidden="1" x14ac:dyDescent="0.25">
      <c r="A2596" t="s">
        <v>6620</v>
      </c>
      <c r="B2596" t="s">
        <v>6220</v>
      </c>
      <c r="C2596">
        <v>31.768599999999999</v>
      </c>
      <c r="D2596">
        <v>-106.23480000000001</v>
      </c>
      <c r="E2596" t="s">
        <v>10038</v>
      </c>
    </row>
    <row r="2597" spans="1:5" hidden="1" x14ac:dyDescent="0.25">
      <c r="A2597" t="s">
        <v>5208</v>
      </c>
      <c r="B2597" t="s">
        <v>6220</v>
      </c>
      <c r="C2597">
        <v>32.348399999999998</v>
      </c>
      <c r="D2597">
        <v>-96.794700000000006</v>
      </c>
      <c r="E2597" t="s">
        <v>10039</v>
      </c>
    </row>
    <row r="2598" spans="1:5" hidden="1" x14ac:dyDescent="0.25">
      <c r="A2598" t="s">
        <v>10040</v>
      </c>
      <c r="B2598" t="s">
        <v>6220</v>
      </c>
      <c r="C2598">
        <v>32.2363</v>
      </c>
      <c r="D2598">
        <v>-98.2179</v>
      </c>
      <c r="E2598" t="s">
        <v>10041</v>
      </c>
    </row>
    <row r="2599" spans="1:5" hidden="1" x14ac:dyDescent="0.25">
      <c r="A2599" t="s">
        <v>10042</v>
      </c>
      <c r="B2599" t="s">
        <v>6220</v>
      </c>
      <c r="C2599">
        <v>31.253299999999999</v>
      </c>
      <c r="D2599">
        <v>-96.935900000000004</v>
      </c>
      <c r="E2599" t="s">
        <v>10043</v>
      </c>
    </row>
    <row r="2600" spans="1:5" x14ac:dyDescent="0.25">
      <c r="A2600" t="s">
        <v>6919</v>
      </c>
      <c r="B2600" t="s">
        <v>6220</v>
      </c>
      <c r="C2600">
        <v>33.593800000000002</v>
      </c>
      <c r="D2600">
        <v>-96.106899999999996</v>
      </c>
      <c r="E2600" t="s">
        <v>10044</v>
      </c>
    </row>
    <row r="2601" spans="1:5" hidden="1" x14ac:dyDescent="0.25">
      <c r="A2601" t="s">
        <v>6258</v>
      </c>
      <c r="B2601" t="s">
        <v>6220</v>
      </c>
      <c r="C2601">
        <v>29.876799999999999</v>
      </c>
      <c r="D2601">
        <v>-96.919799999999995</v>
      </c>
      <c r="E2601" t="s">
        <v>10045</v>
      </c>
    </row>
    <row r="2602" spans="1:5" hidden="1" x14ac:dyDescent="0.25">
      <c r="A2602" t="s">
        <v>10046</v>
      </c>
      <c r="B2602" t="s">
        <v>6220</v>
      </c>
      <c r="C2602">
        <v>32.742800000000003</v>
      </c>
      <c r="D2602">
        <v>-100.40219999999999</v>
      </c>
      <c r="E2602" t="s">
        <v>10047</v>
      </c>
    </row>
    <row r="2603" spans="1:5" hidden="1" x14ac:dyDescent="0.25">
      <c r="A2603" t="s">
        <v>1320</v>
      </c>
      <c r="B2603" t="s">
        <v>6220</v>
      </c>
      <c r="C2603">
        <v>34.072400000000002</v>
      </c>
      <c r="D2603">
        <v>-101.3032</v>
      </c>
      <c r="E2603" t="s">
        <v>10048</v>
      </c>
    </row>
    <row r="2604" spans="1:5" hidden="1" x14ac:dyDescent="0.25">
      <c r="A2604" t="s">
        <v>10049</v>
      </c>
      <c r="B2604" t="s">
        <v>6220</v>
      </c>
      <c r="C2604">
        <v>33.974600000000002</v>
      </c>
      <c r="D2604">
        <v>-99.778000000000006</v>
      </c>
      <c r="E2604" t="s">
        <v>10050</v>
      </c>
    </row>
    <row r="2605" spans="1:5" hidden="1" x14ac:dyDescent="0.25">
      <c r="A2605" t="s">
        <v>10051</v>
      </c>
      <c r="B2605" t="s">
        <v>6220</v>
      </c>
      <c r="C2605">
        <v>29.5275</v>
      </c>
      <c r="D2605">
        <v>-95.770899999999997</v>
      </c>
      <c r="E2605" t="s">
        <v>10052</v>
      </c>
    </row>
    <row r="2606" spans="1:5" hidden="1" x14ac:dyDescent="0.25">
      <c r="A2606" t="s">
        <v>6260</v>
      </c>
      <c r="B2606" t="s">
        <v>6220</v>
      </c>
      <c r="C2606">
        <v>33.1755</v>
      </c>
      <c r="D2606">
        <v>-95.218400000000003</v>
      </c>
      <c r="E2606" t="s">
        <v>10053</v>
      </c>
    </row>
    <row r="2607" spans="1:5" hidden="1" x14ac:dyDescent="0.25">
      <c r="A2607" t="s">
        <v>10054</v>
      </c>
      <c r="B2607" t="s">
        <v>6220</v>
      </c>
      <c r="C2607">
        <v>31.704899999999999</v>
      </c>
      <c r="D2607">
        <v>-96.149100000000004</v>
      </c>
      <c r="E2607" t="s">
        <v>10055</v>
      </c>
    </row>
    <row r="2608" spans="1:5" hidden="1" x14ac:dyDescent="0.25">
      <c r="A2608" t="s">
        <v>10056</v>
      </c>
      <c r="B2608" t="s">
        <v>6220</v>
      </c>
      <c r="C2608">
        <v>28.867799999999999</v>
      </c>
      <c r="D2608">
        <v>-99.108199999999997</v>
      </c>
      <c r="E2608" t="s">
        <v>10057</v>
      </c>
    </row>
    <row r="2609" spans="1:5" hidden="1" x14ac:dyDescent="0.25">
      <c r="A2609" t="s">
        <v>10058</v>
      </c>
      <c r="B2609" t="s">
        <v>6220</v>
      </c>
      <c r="C2609">
        <v>32.7408</v>
      </c>
      <c r="D2609">
        <v>-102.6352</v>
      </c>
      <c r="E2609" t="s">
        <v>10059</v>
      </c>
    </row>
    <row r="2610" spans="1:5" hidden="1" x14ac:dyDescent="0.25">
      <c r="A2610" t="s">
        <v>10060</v>
      </c>
      <c r="B2610" t="s">
        <v>6220</v>
      </c>
      <c r="C2610">
        <v>29.394400000000001</v>
      </c>
      <c r="D2610">
        <v>-94.964200000000005</v>
      </c>
      <c r="E2610" t="s">
        <v>10061</v>
      </c>
    </row>
    <row r="2611" spans="1:5" hidden="1" x14ac:dyDescent="0.25">
      <c r="A2611" t="s">
        <v>10062</v>
      </c>
      <c r="B2611" t="s">
        <v>6220</v>
      </c>
      <c r="C2611">
        <v>33.179900000000004</v>
      </c>
      <c r="D2611">
        <v>-101.2984</v>
      </c>
      <c r="E2611" t="s">
        <v>10063</v>
      </c>
    </row>
    <row r="2612" spans="1:5" hidden="1" x14ac:dyDescent="0.25">
      <c r="A2612" t="s">
        <v>10064</v>
      </c>
      <c r="B2612" t="s">
        <v>6220</v>
      </c>
      <c r="C2612">
        <v>30.318100000000001</v>
      </c>
      <c r="D2612">
        <v>-98.9465</v>
      </c>
      <c r="E2612" t="s">
        <v>10065</v>
      </c>
    </row>
    <row r="2613" spans="1:5" hidden="1" x14ac:dyDescent="0.25">
      <c r="A2613" t="s">
        <v>10066</v>
      </c>
      <c r="B2613" t="s">
        <v>6220</v>
      </c>
      <c r="C2613">
        <v>31.869399999999999</v>
      </c>
      <c r="D2613">
        <v>-101.52079999999999</v>
      </c>
      <c r="E2613" t="s">
        <v>10067</v>
      </c>
    </row>
    <row r="2614" spans="1:5" hidden="1" x14ac:dyDescent="0.25">
      <c r="A2614" t="s">
        <v>10068</v>
      </c>
      <c r="B2614" t="s">
        <v>6220</v>
      </c>
      <c r="C2614">
        <v>28.6571</v>
      </c>
      <c r="D2614">
        <v>-97.426400000000001</v>
      </c>
      <c r="E2614" t="s">
        <v>10069</v>
      </c>
    </row>
    <row r="2615" spans="1:5" hidden="1" x14ac:dyDescent="0.25">
      <c r="A2615" t="s">
        <v>10070</v>
      </c>
      <c r="B2615" t="s">
        <v>6220</v>
      </c>
      <c r="C2615">
        <v>29.456700000000001</v>
      </c>
      <c r="D2615">
        <v>-97.492500000000007</v>
      </c>
      <c r="E2615" t="s">
        <v>10071</v>
      </c>
    </row>
    <row r="2616" spans="1:5" hidden="1" x14ac:dyDescent="0.25">
      <c r="A2616" t="s">
        <v>260</v>
      </c>
      <c r="B2616" t="s">
        <v>6220</v>
      </c>
      <c r="C2616">
        <v>35.401200000000003</v>
      </c>
      <c r="D2616">
        <v>-100.8126</v>
      </c>
      <c r="E2616" t="s">
        <v>10072</v>
      </c>
    </row>
    <row r="2617" spans="1:5" hidden="1" x14ac:dyDescent="0.25">
      <c r="A2617" t="s">
        <v>4215</v>
      </c>
      <c r="B2617" t="s">
        <v>6220</v>
      </c>
      <c r="C2617">
        <v>33.626800000000003</v>
      </c>
      <c r="D2617">
        <v>-96.677700000000002</v>
      </c>
      <c r="E2617" t="s">
        <v>10073</v>
      </c>
    </row>
    <row r="2618" spans="1:5" hidden="1" x14ac:dyDescent="0.25">
      <c r="A2618" t="s">
        <v>10074</v>
      </c>
      <c r="B2618" t="s">
        <v>6220</v>
      </c>
      <c r="C2618">
        <v>32.480499999999999</v>
      </c>
      <c r="D2618">
        <v>-94.816999999999993</v>
      </c>
      <c r="E2618" t="s">
        <v>10075</v>
      </c>
    </row>
    <row r="2619" spans="1:5" hidden="1" x14ac:dyDescent="0.25">
      <c r="A2619" t="s">
        <v>10076</v>
      </c>
      <c r="B2619" t="s">
        <v>6220</v>
      </c>
      <c r="C2619">
        <v>30.543500000000002</v>
      </c>
      <c r="D2619">
        <v>-95.985500000000002</v>
      </c>
      <c r="E2619" t="s">
        <v>10077</v>
      </c>
    </row>
    <row r="2620" spans="1:5" hidden="1" x14ac:dyDescent="0.25">
      <c r="A2620" t="s">
        <v>9107</v>
      </c>
      <c r="B2620" t="s">
        <v>6220</v>
      </c>
      <c r="C2620">
        <v>29.583100000000002</v>
      </c>
      <c r="D2620">
        <v>-97.948599999999999</v>
      </c>
      <c r="E2620" t="s">
        <v>10078</v>
      </c>
    </row>
    <row r="2621" spans="1:5" hidden="1" x14ac:dyDescent="0.25">
      <c r="A2621" t="s">
        <v>6266</v>
      </c>
      <c r="B2621" t="s">
        <v>6220</v>
      </c>
      <c r="C2621">
        <v>34.070500000000003</v>
      </c>
      <c r="D2621">
        <v>-101.82689999999999</v>
      </c>
      <c r="E2621" t="s">
        <v>10079</v>
      </c>
    </row>
    <row r="2622" spans="1:5" hidden="1" x14ac:dyDescent="0.25">
      <c r="A2622" t="s">
        <v>2889</v>
      </c>
      <c r="B2622" t="s">
        <v>6220</v>
      </c>
      <c r="C2622">
        <v>34.530799999999999</v>
      </c>
      <c r="D2622">
        <v>-100.6811</v>
      </c>
      <c r="E2622" t="s">
        <v>10080</v>
      </c>
    </row>
    <row r="2623" spans="1:5" hidden="1" x14ac:dyDescent="0.25">
      <c r="A2623" t="s">
        <v>6761</v>
      </c>
      <c r="B2623" t="s">
        <v>6220</v>
      </c>
      <c r="C2623">
        <v>31.704799999999999</v>
      </c>
      <c r="D2623">
        <v>-98.110699999999994</v>
      </c>
      <c r="E2623" t="s">
        <v>10081</v>
      </c>
    </row>
    <row r="2624" spans="1:5" hidden="1" x14ac:dyDescent="0.25">
      <c r="A2624" t="s">
        <v>10082</v>
      </c>
      <c r="B2624" t="s">
        <v>6220</v>
      </c>
      <c r="C2624">
        <v>36.2774</v>
      </c>
      <c r="D2624">
        <v>-101.3546</v>
      </c>
      <c r="E2624" t="s">
        <v>10083</v>
      </c>
    </row>
    <row r="2625" spans="1:5" hidden="1" x14ac:dyDescent="0.25">
      <c r="A2625" t="s">
        <v>9852</v>
      </c>
      <c r="B2625" t="s">
        <v>6220</v>
      </c>
      <c r="C2625">
        <v>34.290199999999999</v>
      </c>
      <c r="D2625">
        <v>-99.745699999999999</v>
      </c>
      <c r="E2625" t="s">
        <v>10084</v>
      </c>
    </row>
    <row r="2626" spans="1:5" hidden="1" x14ac:dyDescent="0.25">
      <c r="A2626" t="s">
        <v>7139</v>
      </c>
      <c r="B2626" t="s">
        <v>6220</v>
      </c>
      <c r="C2626">
        <v>30.3324</v>
      </c>
      <c r="D2626">
        <v>-94.390199999999993</v>
      </c>
      <c r="E2626" t="s">
        <v>10085</v>
      </c>
    </row>
    <row r="2627" spans="1:5" hidden="1" x14ac:dyDescent="0.25">
      <c r="A2627" t="s">
        <v>1861</v>
      </c>
      <c r="B2627" t="s">
        <v>6220</v>
      </c>
      <c r="C2627">
        <v>29.857800000000001</v>
      </c>
      <c r="D2627">
        <v>-95.393799999999999</v>
      </c>
      <c r="E2627" t="s">
        <v>10086</v>
      </c>
    </row>
    <row r="2628" spans="1:5" hidden="1" x14ac:dyDescent="0.25">
      <c r="A2628" t="s">
        <v>1623</v>
      </c>
      <c r="B2628" t="s">
        <v>6220</v>
      </c>
      <c r="C2628">
        <v>32.548099999999998</v>
      </c>
      <c r="D2628">
        <v>-94.371499999999997</v>
      </c>
      <c r="E2628" t="s">
        <v>10087</v>
      </c>
    </row>
    <row r="2629" spans="1:5" hidden="1" x14ac:dyDescent="0.25">
      <c r="A2629" t="s">
        <v>1827</v>
      </c>
      <c r="B2629" t="s">
        <v>6220</v>
      </c>
      <c r="C2629">
        <v>35.840000000000003</v>
      </c>
      <c r="D2629">
        <v>-102.60290000000001</v>
      </c>
      <c r="E2629" t="s">
        <v>10088</v>
      </c>
    </row>
    <row r="2630" spans="1:5" hidden="1" x14ac:dyDescent="0.25">
      <c r="A2630" t="s">
        <v>7615</v>
      </c>
      <c r="B2630" t="s">
        <v>6220</v>
      </c>
      <c r="C2630">
        <v>33.178199999999997</v>
      </c>
      <c r="D2630">
        <v>-99.7303</v>
      </c>
      <c r="E2630" t="s">
        <v>10089</v>
      </c>
    </row>
    <row r="2631" spans="1:5" hidden="1" x14ac:dyDescent="0.25">
      <c r="A2631" t="s">
        <v>4359</v>
      </c>
      <c r="B2631" t="s">
        <v>6220</v>
      </c>
      <c r="C2631">
        <v>30.0579</v>
      </c>
      <c r="D2631">
        <v>-98.031199999999998</v>
      </c>
      <c r="E2631" t="s">
        <v>10090</v>
      </c>
    </row>
    <row r="2632" spans="1:5" hidden="1" x14ac:dyDescent="0.25">
      <c r="A2632" t="s">
        <v>10091</v>
      </c>
      <c r="B2632" t="s">
        <v>6220</v>
      </c>
      <c r="C2632">
        <v>35.837600000000002</v>
      </c>
      <c r="D2632">
        <v>-100.2706</v>
      </c>
      <c r="E2632" t="s">
        <v>10092</v>
      </c>
    </row>
    <row r="2633" spans="1:5" hidden="1" x14ac:dyDescent="0.25">
      <c r="A2633" t="s">
        <v>7339</v>
      </c>
      <c r="B2633" t="s">
        <v>6220</v>
      </c>
      <c r="C2633">
        <v>32.2119</v>
      </c>
      <c r="D2633">
        <v>-95.8536</v>
      </c>
      <c r="E2633" t="s">
        <v>10093</v>
      </c>
    </row>
    <row r="2634" spans="1:5" hidden="1" x14ac:dyDescent="0.25">
      <c r="A2634" t="s">
        <v>9110</v>
      </c>
      <c r="B2634" t="s">
        <v>6220</v>
      </c>
      <c r="C2634">
        <v>26.396899999999999</v>
      </c>
      <c r="D2634">
        <v>-98.181200000000004</v>
      </c>
      <c r="E2634" t="s">
        <v>10094</v>
      </c>
    </row>
    <row r="2635" spans="1:5" hidden="1" x14ac:dyDescent="0.25">
      <c r="A2635" t="s">
        <v>913</v>
      </c>
      <c r="B2635" t="s">
        <v>6220</v>
      </c>
      <c r="C2635">
        <v>31.9907</v>
      </c>
      <c r="D2635">
        <v>-97.132400000000004</v>
      </c>
      <c r="E2635" t="s">
        <v>10095</v>
      </c>
    </row>
    <row r="2636" spans="1:5" hidden="1" x14ac:dyDescent="0.25">
      <c r="A2636" t="s">
        <v>10096</v>
      </c>
      <c r="B2636" t="s">
        <v>6220</v>
      </c>
      <c r="C2636">
        <v>33.607599999999998</v>
      </c>
      <c r="D2636">
        <v>-102.3432</v>
      </c>
      <c r="E2636" t="s">
        <v>10097</v>
      </c>
    </row>
    <row r="2637" spans="1:5" hidden="1" x14ac:dyDescent="0.25">
      <c r="A2637" t="s">
        <v>10098</v>
      </c>
      <c r="B2637" t="s">
        <v>6220</v>
      </c>
      <c r="C2637">
        <v>32.429900000000004</v>
      </c>
      <c r="D2637">
        <v>-97.832300000000004</v>
      </c>
      <c r="E2637" t="s">
        <v>10099</v>
      </c>
    </row>
    <row r="2638" spans="1:5" hidden="1" x14ac:dyDescent="0.25">
      <c r="A2638" t="s">
        <v>7786</v>
      </c>
      <c r="B2638" t="s">
        <v>6220</v>
      </c>
      <c r="C2638">
        <v>33.1496</v>
      </c>
      <c r="D2638">
        <v>-95.563999999999993</v>
      </c>
      <c r="E2638" t="s">
        <v>10100</v>
      </c>
    </row>
    <row r="2639" spans="1:5" hidden="1" x14ac:dyDescent="0.25">
      <c r="A2639" t="s">
        <v>6269</v>
      </c>
      <c r="B2639" t="s">
        <v>6220</v>
      </c>
      <c r="C2639">
        <v>31.317699999999999</v>
      </c>
      <c r="D2639">
        <v>-95.422700000000006</v>
      </c>
      <c r="E2639" t="s">
        <v>10101</v>
      </c>
    </row>
    <row r="2640" spans="1:5" hidden="1" x14ac:dyDescent="0.25">
      <c r="A2640" t="s">
        <v>793</v>
      </c>
      <c r="B2640" t="s">
        <v>6220</v>
      </c>
      <c r="C2640">
        <v>32.306199999999997</v>
      </c>
      <c r="D2640">
        <v>-101.43559999999999</v>
      </c>
      <c r="E2640" t="s">
        <v>10102</v>
      </c>
    </row>
    <row r="2641" spans="1:5" hidden="1" x14ac:dyDescent="0.25">
      <c r="A2641" t="s">
        <v>10103</v>
      </c>
      <c r="B2641" t="s">
        <v>6220</v>
      </c>
      <c r="C2641">
        <v>31.456199999999999</v>
      </c>
      <c r="D2641">
        <v>-105.3865</v>
      </c>
      <c r="E2641" t="s">
        <v>10104</v>
      </c>
    </row>
    <row r="2642" spans="1:5" hidden="1" x14ac:dyDescent="0.25">
      <c r="A2642" t="s">
        <v>10105</v>
      </c>
      <c r="B2642" t="s">
        <v>6220</v>
      </c>
      <c r="C2642">
        <v>33.123600000000003</v>
      </c>
      <c r="D2642">
        <v>-96.085499999999996</v>
      </c>
      <c r="E2642" t="s">
        <v>10106</v>
      </c>
    </row>
    <row r="2643" spans="1:5" hidden="1" x14ac:dyDescent="0.25">
      <c r="A2643" t="s">
        <v>9760</v>
      </c>
      <c r="B2643" t="s">
        <v>6220</v>
      </c>
      <c r="C2643">
        <v>35.840000000000003</v>
      </c>
      <c r="D2643">
        <v>-101.35469999999999</v>
      </c>
      <c r="E2643" t="s">
        <v>10107</v>
      </c>
    </row>
    <row r="2644" spans="1:5" hidden="1" x14ac:dyDescent="0.25">
      <c r="A2644" t="s">
        <v>10108</v>
      </c>
      <c r="B2644" t="s">
        <v>6220</v>
      </c>
      <c r="C2644">
        <v>31.303899999999999</v>
      </c>
      <c r="D2644">
        <v>-100.9824</v>
      </c>
      <c r="E2644" t="s">
        <v>10109</v>
      </c>
    </row>
    <row r="2645" spans="1:5" hidden="1" x14ac:dyDescent="0.25">
      <c r="A2645" t="s">
        <v>361</v>
      </c>
      <c r="B2645" t="s">
        <v>6220</v>
      </c>
      <c r="C2645">
        <v>33.233499999999999</v>
      </c>
      <c r="D2645">
        <v>-98.172499999999999</v>
      </c>
      <c r="E2645" t="s">
        <v>10110</v>
      </c>
    </row>
    <row r="2646" spans="1:5" hidden="1" x14ac:dyDescent="0.25">
      <c r="A2646" t="s">
        <v>191</v>
      </c>
      <c r="B2646" t="s">
        <v>6220</v>
      </c>
      <c r="C2646">
        <v>28.9542</v>
      </c>
      <c r="D2646">
        <v>-96.577600000000004</v>
      </c>
      <c r="E2646" t="s">
        <v>10111</v>
      </c>
    </row>
    <row r="2647" spans="1:5" hidden="1" x14ac:dyDescent="0.25">
      <c r="A2647" t="s">
        <v>2108</v>
      </c>
      <c r="B2647" t="s">
        <v>6220</v>
      </c>
      <c r="C2647">
        <v>30.744</v>
      </c>
      <c r="D2647">
        <v>-94.025099999999995</v>
      </c>
      <c r="E2647" t="s">
        <v>10112</v>
      </c>
    </row>
    <row r="2648" spans="1:5" hidden="1" x14ac:dyDescent="0.25">
      <c r="A2648" t="s">
        <v>6955</v>
      </c>
      <c r="B2648" t="s">
        <v>6220</v>
      </c>
      <c r="C2648">
        <v>30.715399999999999</v>
      </c>
      <c r="D2648">
        <v>-104.14</v>
      </c>
      <c r="E2648" t="s">
        <v>10113</v>
      </c>
    </row>
    <row r="2649" spans="1:5" hidden="1" x14ac:dyDescent="0.25">
      <c r="A2649" t="s">
        <v>6272</v>
      </c>
      <c r="B2649" t="s">
        <v>6220</v>
      </c>
      <c r="C2649">
        <v>29.8841</v>
      </c>
      <c r="D2649">
        <v>-94.162899999999993</v>
      </c>
      <c r="E2649" t="s">
        <v>10114</v>
      </c>
    </row>
    <row r="2650" spans="1:5" hidden="1" x14ac:dyDescent="0.25">
      <c r="A2650" t="s">
        <v>10115</v>
      </c>
      <c r="B2650" t="s">
        <v>6220</v>
      </c>
      <c r="C2650">
        <v>27.043399999999998</v>
      </c>
      <c r="D2650">
        <v>-98.697299999999998</v>
      </c>
      <c r="E2650" t="s">
        <v>10116</v>
      </c>
    </row>
    <row r="2651" spans="1:5" hidden="1" x14ac:dyDescent="0.25">
      <c r="A2651" t="s">
        <v>10117</v>
      </c>
      <c r="B2651" t="s">
        <v>6220</v>
      </c>
      <c r="C2651">
        <v>27.731400000000001</v>
      </c>
      <c r="D2651">
        <v>-98.0899</v>
      </c>
      <c r="E2651" t="s">
        <v>10118</v>
      </c>
    </row>
    <row r="2652" spans="1:5" hidden="1" x14ac:dyDescent="0.25">
      <c r="A2652" t="s">
        <v>37</v>
      </c>
      <c r="B2652" t="s">
        <v>6220</v>
      </c>
      <c r="C2652">
        <v>32.378999999999998</v>
      </c>
      <c r="D2652">
        <v>-97.366600000000005</v>
      </c>
      <c r="E2652" t="s">
        <v>10119</v>
      </c>
    </row>
    <row r="2653" spans="1:5" hidden="1" x14ac:dyDescent="0.25">
      <c r="A2653" t="s">
        <v>728</v>
      </c>
      <c r="B2653" t="s">
        <v>6220</v>
      </c>
      <c r="C2653">
        <v>32.739899999999999</v>
      </c>
      <c r="D2653">
        <v>-99.878799999999998</v>
      </c>
      <c r="E2653" t="s">
        <v>10120</v>
      </c>
    </row>
    <row r="2654" spans="1:5" hidden="1" x14ac:dyDescent="0.25">
      <c r="A2654" t="s">
        <v>10121</v>
      </c>
      <c r="B2654" t="s">
        <v>6220</v>
      </c>
      <c r="C2654">
        <v>28.9057</v>
      </c>
      <c r="D2654">
        <v>-97.859399999999994</v>
      </c>
      <c r="E2654" t="s">
        <v>10122</v>
      </c>
    </row>
    <row r="2655" spans="1:5" hidden="1" x14ac:dyDescent="0.25">
      <c r="A2655" t="s">
        <v>10123</v>
      </c>
      <c r="B2655" t="s">
        <v>6220</v>
      </c>
      <c r="C2655">
        <v>32.599299999999999</v>
      </c>
      <c r="D2655">
        <v>-96.287800000000004</v>
      </c>
      <c r="E2655" t="s">
        <v>10124</v>
      </c>
    </row>
    <row r="2656" spans="1:5" hidden="1" x14ac:dyDescent="0.25">
      <c r="A2656" t="s">
        <v>7355</v>
      </c>
      <c r="B2656" t="s">
        <v>6220</v>
      </c>
      <c r="C2656">
        <v>29.944700000000001</v>
      </c>
      <c r="D2656">
        <v>-98.711500000000001</v>
      </c>
      <c r="E2656" t="s">
        <v>10125</v>
      </c>
    </row>
    <row r="2657" spans="1:5" hidden="1" x14ac:dyDescent="0.25">
      <c r="A2657" t="s">
        <v>10126</v>
      </c>
      <c r="B2657" t="s">
        <v>6220</v>
      </c>
      <c r="C2657">
        <v>26.9285</v>
      </c>
      <c r="D2657">
        <v>-97.701700000000002</v>
      </c>
      <c r="E2657" t="s">
        <v>10127</v>
      </c>
    </row>
    <row r="2658" spans="1:5" hidden="1" x14ac:dyDescent="0.25">
      <c r="A2658" t="s">
        <v>2070</v>
      </c>
      <c r="B2658" t="s">
        <v>6220</v>
      </c>
      <c r="C2658">
        <v>33.1813</v>
      </c>
      <c r="D2658">
        <v>-100.77760000000001</v>
      </c>
      <c r="E2658" t="s">
        <v>10128</v>
      </c>
    </row>
    <row r="2659" spans="1:5" hidden="1" x14ac:dyDescent="0.25">
      <c r="A2659" t="s">
        <v>10129</v>
      </c>
      <c r="B2659" t="s">
        <v>6220</v>
      </c>
      <c r="C2659">
        <v>30.061499999999999</v>
      </c>
      <c r="D2659">
        <v>-99.35</v>
      </c>
      <c r="E2659" t="s">
        <v>10130</v>
      </c>
    </row>
    <row r="2660" spans="1:5" hidden="1" x14ac:dyDescent="0.25">
      <c r="A2660" t="s">
        <v>10131</v>
      </c>
      <c r="B2660" t="s">
        <v>6220</v>
      </c>
      <c r="C2660">
        <v>30.486799999999999</v>
      </c>
      <c r="D2660">
        <v>-99.748699999999999</v>
      </c>
      <c r="E2660" t="s">
        <v>10132</v>
      </c>
    </row>
    <row r="2661" spans="1:5" hidden="1" x14ac:dyDescent="0.25">
      <c r="A2661" t="s">
        <v>1091</v>
      </c>
      <c r="B2661" t="s">
        <v>6220</v>
      </c>
      <c r="C2661">
        <v>33.616500000000002</v>
      </c>
      <c r="D2661">
        <v>-100.25579999999999</v>
      </c>
      <c r="E2661" t="s">
        <v>10133</v>
      </c>
    </row>
    <row r="2662" spans="1:5" hidden="1" x14ac:dyDescent="0.25">
      <c r="A2662" t="s">
        <v>10134</v>
      </c>
      <c r="B2662" t="s">
        <v>6220</v>
      </c>
      <c r="C2662">
        <v>29.350200000000001</v>
      </c>
      <c r="D2662">
        <v>-100.41800000000001</v>
      </c>
      <c r="E2662" t="s">
        <v>10135</v>
      </c>
    </row>
    <row r="2663" spans="1:5" hidden="1" x14ac:dyDescent="0.25">
      <c r="A2663" t="s">
        <v>10136</v>
      </c>
      <c r="B2663" t="s">
        <v>6220</v>
      </c>
      <c r="C2663">
        <v>27.433700000000002</v>
      </c>
      <c r="D2663">
        <v>-97.7273</v>
      </c>
      <c r="E2663" t="s">
        <v>10137</v>
      </c>
    </row>
    <row r="2664" spans="1:5" hidden="1" x14ac:dyDescent="0.25">
      <c r="A2664" t="s">
        <v>7357</v>
      </c>
      <c r="B2664" t="s">
        <v>6220</v>
      </c>
      <c r="C2664">
        <v>33.606099999999998</v>
      </c>
      <c r="D2664">
        <v>-99.741399999999999</v>
      </c>
      <c r="E2664" t="s">
        <v>10138</v>
      </c>
    </row>
    <row r="2665" spans="1:5" hidden="1" x14ac:dyDescent="0.25">
      <c r="A2665" t="s">
        <v>10139</v>
      </c>
      <c r="B2665" t="s">
        <v>6220</v>
      </c>
      <c r="C2665">
        <v>28.345199999999998</v>
      </c>
      <c r="D2665">
        <v>-99.099599999999995</v>
      </c>
      <c r="E2665" t="s">
        <v>10140</v>
      </c>
    </row>
    <row r="2666" spans="1:5" hidden="1" x14ac:dyDescent="0.25">
      <c r="A2666" t="s">
        <v>6274</v>
      </c>
      <c r="B2666" t="s">
        <v>6220</v>
      </c>
      <c r="C2666">
        <v>33.667299999999997</v>
      </c>
      <c r="D2666">
        <v>-95.571200000000005</v>
      </c>
      <c r="E2666" t="s">
        <v>10141</v>
      </c>
    </row>
    <row r="2667" spans="1:5" hidden="1" x14ac:dyDescent="0.25">
      <c r="A2667" t="s">
        <v>4216</v>
      </c>
      <c r="B2667" t="s">
        <v>6220</v>
      </c>
      <c r="C2667">
        <v>34.068600000000004</v>
      </c>
      <c r="D2667">
        <v>-102.35169999999999</v>
      </c>
      <c r="E2667" t="s">
        <v>10142</v>
      </c>
    </row>
    <row r="2668" spans="1:5" hidden="1" x14ac:dyDescent="0.25">
      <c r="A2668" t="s">
        <v>10143</v>
      </c>
      <c r="B2668" t="s">
        <v>6220</v>
      </c>
      <c r="C2668">
        <v>31.196200000000001</v>
      </c>
      <c r="D2668">
        <v>-98.241500000000002</v>
      </c>
      <c r="E2668" t="s">
        <v>10144</v>
      </c>
    </row>
    <row r="2669" spans="1:5" hidden="1" x14ac:dyDescent="0.25">
      <c r="A2669" t="s">
        <v>10145</v>
      </c>
      <c r="B2669" t="s">
        <v>6220</v>
      </c>
      <c r="C2669">
        <v>29.3843</v>
      </c>
      <c r="D2669">
        <v>-96.930199999999999</v>
      </c>
      <c r="E2669" t="s">
        <v>10146</v>
      </c>
    </row>
    <row r="2670" spans="1:5" hidden="1" x14ac:dyDescent="0.25">
      <c r="A2670" t="s">
        <v>2353</v>
      </c>
      <c r="B2670" t="s">
        <v>6220</v>
      </c>
      <c r="C2670">
        <v>30.310700000000001</v>
      </c>
      <c r="D2670">
        <v>-96.965699999999998</v>
      </c>
      <c r="E2670" t="s">
        <v>10147</v>
      </c>
    </row>
    <row r="2671" spans="1:5" hidden="1" x14ac:dyDescent="0.25">
      <c r="A2671" t="s">
        <v>6781</v>
      </c>
      <c r="B2671" t="s">
        <v>6220</v>
      </c>
      <c r="C2671">
        <v>31.296500000000002</v>
      </c>
      <c r="D2671">
        <v>-95.995699999999999</v>
      </c>
      <c r="E2671" t="s">
        <v>10148</v>
      </c>
    </row>
    <row r="2672" spans="1:5" hidden="1" x14ac:dyDescent="0.25">
      <c r="A2672" t="s">
        <v>5522</v>
      </c>
      <c r="B2672" t="s">
        <v>6220</v>
      </c>
      <c r="C2672">
        <v>30.151599999999998</v>
      </c>
      <c r="D2672">
        <v>-94.812200000000004</v>
      </c>
      <c r="E2672" t="s">
        <v>10149</v>
      </c>
    </row>
    <row r="2673" spans="1:5" hidden="1" x14ac:dyDescent="0.25">
      <c r="A2673" t="s">
        <v>6280</v>
      </c>
      <c r="B2673" t="s">
        <v>6220</v>
      </c>
      <c r="C2673">
        <v>31.545500000000001</v>
      </c>
      <c r="D2673">
        <v>-96.580500000000001</v>
      </c>
      <c r="E2673" t="s">
        <v>10150</v>
      </c>
    </row>
    <row r="2674" spans="1:5" hidden="1" x14ac:dyDescent="0.25">
      <c r="A2674" t="s">
        <v>10151</v>
      </c>
      <c r="B2674" t="s">
        <v>6220</v>
      </c>
      <c r="C2674">
        <v>36.2776</v>
      </c>
      <c r="D2674">
        <v>-100.2731</v>
      </c>
      <c r="E2674" t="s">
        <v>10152</v>
      </c>
    </row>
    <row r="2675" spans="1:5" hidden="1" x14ac:dyDescent="0.25">
      <c r="A2675" t="s">
        <v>10153</v>
      </c>
      <c r="B2675" t="s">
        <v>6220</v>
      </c>
      <c r="C2675">
        <v>28.351400000000002</v>
      </c>
      <c r="D2675">
        <v>-98.124799999999993</v>
      </c>
      <c r="E2675" t="s">
        <v>10154</v>
      </c>
    </row>
    <row r="2676" spans="1:5" hidden="1" x14ac:dyDescent="0.25">
      <c r="A2676" t="s">
        <v>10155</v>
      </c>
      <c r="B2676" t="s">
        <v>6220</v>
      </c>
      <c r="C2676">
        <v>30.7058</v>
      </c>
      <c r="D2676">
        <v>-98.684100000000001</v>
      </c>
      <c r="E2676" t="s">
        <v>10156</v>
      </c>
    </row>
    <row r="2677" spans="1:5" hidden="1" x14ac:dyDescent="0.25">
      <c r="A2677" t="s">
        <v>10157</v>
      </c>
      <c r="B2677" t="s">
        <v>6220</v>
      </c>
      <c r="C2677">
        <v>31.849299999999999</v>
      </c>
      <c r="D2677">
        <v>-103.58</v>
      </c>
      <c r="E2677" t="s">
        <v>10158</v>
      </c>
    </row>
    <row r="2678" spans="1:5" hidden="1" x14ac:dyDescent="0.25">
      <c r="A2678" t="s">
        <v>10159</v>
      </c>
      <c r="B2678" t="s">
        <v>6220</v>
      </c>
      <c r="C2678">
        <v>33.610199999999999</v>
      </c>
      <c r="D2678">
        <v>-101.8205</v>
      </c>
      <c r="E2678" t="s">
        <v>10160</v>
      </c>
    </row>
    <row r="2679" spans="1:5" hidden="1" x14ac:dyDescent="0.25">
      <c r="A2679" t="s">
        <v>10161</v>
      </c>
      <c r="B2679" t="s">
        <v>6220</v>
      </c>
      <c r="C2679">
        <v>33.1768</v>
      </c>
      <c r="D2679">
        <v>-101.81610000000001</v>
      </c>
      <c r="E2679" t="s">
        <v>10162</v>
      </c>
    </row>
    <row r="2680" spans="1:5" hidden="1" x14ac:dyDescent="0.25">
      <c r="A2680" t="s">
        <v>6286</v>
      </c>
      <c r="B2680" t="s">
        <v>6220</v>
      </c>
      <c r="C2680">
        <v>30.965499999999999</v>
      </c>
      <c r="D2680">
        <v>-95.928399999999996</v>
      </c>
      <c r="E2680" t="s">
        <v>10163</v>
      </c>
    </row>
    <row r="2681" spans="1:5" hidden="1" x14ac:dyDescent="0.25">
      <c r="A2681" t="s">
        <v>6290</v>
      </c>
      <c r="B2681" t="s">
        <v>6220</v>
      </c>
      <c r="C2681">
        <v>32.798000000000002</v>
      </c>
      <c r="D2681">
        <v>-94.357200000000006</v>
      </c>
      <c r="E2681" t="s">
        <v>10164</v>
      </c>
    </row>
    <row r="2682" spans="1:5" hidden="1" x14ac:dyDescent="0.25">
      <c r="A2682" t="s">
        <v>2429</v>
      </c>
      <c r="B2682" t="s">
        <v>6220</v>
      </c>
      <c r="C2682">
        <v>32.305999999999997</v>
      </c>
      <c r="D2682">
        <v>-101.9513</v>
      </c>
      <c r="E2682" t="s">
        <v>10165</v>
      </c>
    </row>
    <row r="2683" spans="1:5" hidden="1" x14ac:dyDescent="0.25">
      <c r="A2683" t="s">
        <v>2217</v>
      </c>
      <c r="B2683" t="s">
        <v>6220</v>
      </c>
      <c r="C2683">
        <v>30.717700000000001</v>
      </c>
      <c r="D2683">
        <v>-99.226100000000002</v>
      </c>
      <c r="E2683" t="s">
        <v>10166</v>
      </c>
    </row>
    <row r="2684" spans="1:5" hidden="1" x14ac:dyDescent="0.25">
      <c r="A2684" t="s">
        <v>10167</v>
      </c>
      <c r="B2684" t="s">
        <v>6220</v>
      </c>
      <c r="C2684">
        <v>28.821200000000001</v>
      </c>
      <c r="D2684">
        <v>-96.010999999999996</v>
      </c>
      <c r="E2684" t="s">
        <v>10168</v>
      </c>
    </row>
    <row r="2685" spans="1:5" hidden="1" x14ac:dyDescent="0.25">
      <c r="A2685" t="s">
        <v>10169</v>
      </c>
      <c r="B2685" t="s">
        <v>6220</v>
      </c>
      <c r="C2685">
        <v>28.742599999999999</v>
      </c>
      <c r="D2685">
        <v>-100.3145</v>
      </c>
      <c r="E2685" t="s">
        <v>10170</v>
      </c>
    </row>
    <row r="2686" spans="1:5" hidden="1" x14ac:dyDescent="0.25">
      <c r="A2686" t="s">
        <v>5212</v>
      </c>
      <c r="B2686" t="s">
        <v>6220</v>
      </c>
      <c r="C2686">
        <v>31.198899999999998</v>
      </c>
      <c r="D2686">
        <v>-99.347499999999997</v>
      </c>
      <c r="E2686" t="s">
        <v>10171</v>
      </c>
    </row>
    <row r="2687" spans="1:5" hidden="1" x14ac:dyDescent="0.25">
      <c r="A2687" t="s">
        <v>10172</v>
      </c>
      <c r="B2687" t="s">
        <v>6220</v>
      </c>
      <c r="C2687">
        <v>31.552399999999999</v>
      </c>
      <c r="D2687">
        <v>-97.201800000000006</v>
      </c>
      <c r="E2687" t="s">
        <v>10173</v>
      </c>
    </row>
    <row r="2688" spans="1:5" hidden="1" x14ac:dyDescent="0.25">
      <c r="A2688" t="s">
        <v>10174</v>
      </c>
      <c r="B2688" t="s">
        <v>6220</v>
      </c>
      <c r="C2688">
        <v>28.352599999999999</v>
      </c>
      <c r="D2688">
        <v>-98.567899999999995</v>
      </c>
      <c r="E2688" t="s">
        <v>10175</v>
      </c>
    </row>
    <row r="2689" spans="1:5" hidden="1" x14ac:dyDescent="0.25">
      <c r="A2689" t="s">
        <v>9333</v>
      </c>
      <c r="B2689" t="s">
        <v>6220</v>
      </c>
      <c r="C2689">
        <v>29.355699999999999</v>
      </c>
      <c r="D2689">
        <v>-99.110100000000003</v>
      </c>
      <c r="E2689" t="s">
        <v>10176</v>
      </c>
    </row>
    <row r="2690" spans="1:5" hidden="1" x14ac:dyDescent="0.25">
      <c r="A2690" t="s">
        <v>7381</v>
      </c>
      <c r="B2690" t="s">
        <v>6220</v>
      </c>
      <c r="C2690">
        <v>30.889800000000001</v>
      </c>
      <c r="D2690">
        <v>-99.820599999999999</v>
      </c>
      <c r="E2690" t="s">
        <v>10177</v>
      </c>
    </row>
    <row r="2691" spans="1:5" hidden="1" x14ac:dyDescent="0.25">
      <c r="A2691" t="s">
        <v>8156</v>
      </c>
      <c r="B2691" t="s">
        <v>6220</v>
      </c>
      <c r="C2691">
        <v>31.8691</v>
      </c>
      <c r="D2691">
        <v>-102.0316</v>
      </c>
      <c r="E2691" t="s">
        <v>10178</v>
      </c>
    </row>
    <row r="2692" spans="1:5" hidden="1" x14ac:dyDescent="0.25">
      <c r="A2692" t="s">
        <v>10179</v>
      </c>
      <c r="B2692" t="s">
        <v>6220</v>
      </c>
      <c r="C2692">
        <v>30.786300000000001</v>
      </c>
      <c r="D2692">
        <v>-96.976799999999997</v>
      </c>
      <c r="E2692" t="s">
        <v>10180</v>
      </c>
    </row>
    <row r="2693" spans="1:5" hidden="1" x14ac:dyDescent="0.25">
      <c r="A2693" t="s">
        <v>4458</v>
      </c>
      <c r="B2693" t="s">
        <v>6220</v>
      </c>
      <c r="C2693">
        <v>31.495200000000001</v>
      </c>
      <c r="D2693">
        <v>-98.595399999999998</v>
      </c>
      <c r="E2693" t="s">
        <v>10181</v>
      </c>
    </row>
    <row r="2694" spans="1:5" hidden="1" x14ac:dyDescent="0.25">
      <c r="A2694" t="s">
        <v>172</v>
      </c>
      <c r="B2694" t="s">
        <v>6220</v>
      </c>
      <c r="C2694">
        <v>32.306199999999997</v>
      </c>
      <c r="D2694">
        <v>-100.9211</v>
      </c>
      <c r="E2694" t="s">
        <v>10182</v>
      </c>
    </row>
    <row r="2695" spans="1:5" hidden="1" x14ac:dyDescent="0.25">
      <c r="A2695" t="s">
        <v>4448</v>
      </c>
      <c r="B2695" t="s">
        <v>6220</v>
      </c>
      <c r="C2695">
        <v>33.675699999999999</v>
      </c>
      <c r="D2695">
        <v>-97.724599999999995</v>
      </c>
      <c r="E2695" t="s">
        <v>10183</v>
      </c>
    </row>
    <row r="2696" spans="1:5" hidden="1" x14ac:dyDescent="0.25">
      <c r="A2696" t="s">
        <v>6297</v>
      </c>
      <c r="B2696" t="s">
        <v>6220</v>
      </c>
      <c r="C2696">
        <v>30.3002</v>
      </c>
      <c r="D2696">
        <v>-95.503</v>
      </c>
      <c r="E2696" t="s">
        <v>10184</v>
      </c>
    </row>
    <row r="2697" spans="1:5" hidden="1" x14ac:dyDescent="0.25">
      <c r="A2697" t="s">
        <v>1084</v>
      </c>
      <c r="B2697" t="s">
        <v>6220</v>
      </c>
      <c r="C2697">
        <v>35.837699999999998</v>
      </c>
      <c r="D2697">
        <v>-101.893</v>
      </c>
      <c r="E2697" t="s">
        <v>10185</v>
      </c>
    </row>
    <row r="2698" spans="1:5" hidden="1" x14ac:dyDescent="0.25">
      <c r="A2698" t="s">
        <v>624</v>
      </c>
      <c r="B2698" t="s">
        <v>6220</v>
      </c>
      <c r="C2698">
        <v>33.113500000000002</v>
      </c>
      <c r="D2698">
        <v>-94.732600000000005</v>
      </c>
      <c r="E2698" t="s">
        <v>10186</v>
      </c>
    </row>
    <row r="2699" spans="1:5" hidden="1" x14ac:dyDescent="0.25">
      <c r="A2699" t="s">
        <v>10187</v>
      </c>
      <c r="B2699" t="s">
        <v>6220</v>
      </c>
      <c r="C2699">
        <v>34.074100000000001</v>
      </c>
      <c r="D2699">
        <v>-100.77979999999999</v>
      </c>
      <c r="E2699" t="s">
        <v>10188</v>
      </c>
    </row>
    <row r="2700" spans="1:5" hidden="1" x14ac:dyDescent="0.25">
      <c r="A2700" t="s">
        <v>10189</v>
      </c>
      <c r="B2700" t="s">
        <v>6220</v>
      </c>
      <c r="C2700">
        <v>31.616</v>
      </c>
      <c r="D2700">
        <v>-94.615899999999996</v>
      </c>
      <c r="E2700" t="s">
        <v>10190</v>
      </c>
    </row>
    <row r="2701" spans="1:5" hidden="1" x14ac:dyDescent="0.25">
      <c r="A2701" t="s">
        <v>10191</v>
      </c>
      <c r="B2701" t="s">
        <v>6220</v>
      </c>
      <c r="C2701">
        <v>32.046999999999997</v>
      </c>
      <c r="D2701">
        <v>-96.472499999999997</v>
      </c>
      <c r="E2701" t="s">
        <v>10192</v>
      </c>
    </row>
    <row r="2702" spans="1:5" hidden="1" x14ac:dyDescent="0.25">
      <c r="A2702" t="s">
        <v>3078</v>
      </c>
      <c r="B2702" t="s">
        <v>6220</v>
      </c>
      <c r="C2702">
        <v>30.786300000000001</v>
      </c>
      <c r="D2702">
        <v>-93.744799999999998</v>
      </c>
      <c r="E2702" t="s">
        <v>10193</v>
      </c>
    </row>
    <row r="2703" spans="1:5" hidden="1" x14ac:dyDescent="0.25">
      <c r="A2703" t="s">
        <v>10194</v>
      </c>
      <c r="B2703" t="s">
        <v>6220</v>
      </c>
      <c r="C2703">
        <v>32.3035</v>
      </c>
      <c r="D2703">
        <v>-100.40600000000001</v>
      </c>
      <c r="E2703" t="s">
        <v>10195</v>
      </c>
    </row>
    <row r="2704" spans="1:5" hidden="1" x14ac:dyDescent="0.25">
      <c r="A2704" t="s">
        <v>10196</v>
      </c>
      <c r="B2704" t="s">
        <v>6220</v>
      </c>
      <c r="C2704">
        <v>27.7254</v>
      </c>
      <c r="D2704">
        <v>-97.613399999999999</v>
      </c>
      <c r="E2704" t="s">
        <v>10197</v>
      </c>
    </row>
    <row r="2705" spans="1:5" hidden="1" x14ac:dyDescent="0.25">
      <c r="A2705" t="s">
        <v>10198</v>
      </c>
      <c r="B2705" t="s">
        <v>6220</v>
      </c>
      <c r="C2705">
        <v>36.278399999999998</v>
      </c>
      <c r="D2705">
        <v>-100.81570000000001</v>
      </c>
      <c r="E2705" t="s">
        <v>10199</v>
      </c>
    </row>
    <row r="2706" spans="1:5" hidden="1" x14ac:dyDescent="0.25">
      <c r="A2706" t="s">
        <v>7839</v>
      </c>
      <c r="B2706" t="s">
        <v>6220</v>
      </c>
      <c r="C2706">
        <v>35.405000000000001</v>
      </c>
      <c r="D2706">
        <v>-102.6028</v>
      </c>
      <c r="E2706" t="s">
        <v>10200</v>
      </c>
    </row>
    <row r="2707" spans="1:5" hidden="1" x14ac:dyDescent="0.25">
      <c r="A2707" t="s">
        <v>6526</v>
      </c>
      <c r="B2707" t="s">
        <v>6220</v>
      </c>
      <c r="C2707">
        <v>30.121300000000002</v>
      </c>
      <c r="D2707">
        <v>-93.893900000000002</v>
      </c>
      <c r="E2707" t="s">
        <v>10201</v>
      </c>
    </row>
    <row r="2708" spans="1:5" hidden="1" x14ac:dyDescent="0.25">
      <c r="A2708" t="s">
        <v>10202</v>
      </c>
      <c r="B2708" t="s">
        <v>6220</v>
      </c>
      <c r="C2708">
        <v>32.7532</v>
      </c>
      <c r="D2708">
        <v>-98.313000000000002</v>
      </c>
      <c r="E2708" t="s">
        <v>10203</v>
      </c>
    </row>
    <row r="2709" spans="1:5" hidden="1" x14ac:dyDescent="0.25">
      <c r="A2709" t="s">
        <v>8563</v>
      </c>
      <c r="B2709" t="s">
        <v>6220</v>
      </c>
      <c r="C2709">
        <v>32.162399999999998</v>
      </c>
      <c r="D2709">
        <v>-94.305599999999998</v>
      </c>
      <c r="E2709" t="s">
        <v>10204</v>
      </c>
    </row>
    <row r="2710" spans="1:5" hidden="1" x14ac:dyDescent="0.25">
      <c r="A2710" t="s">
        <v>2901</v>
      </c>
      <c r="B2710" t="s">
        <v>6220</v>
      </c>
      <c r="C2710">
        <v>32.7776</v>
      </c>
      <c r="D2710">
        <v>-97.805099999999996</v>
      </c>
      <c r="E2710" t="s">
        <v>10205</v>
      </c>
    </row>
    <row r="2711" spans="1:5" hidden="1" x14ac:dyDescent="0.25">
      <c r="A2711" t="s">
        <v>10206</v>
      </c>
      <c r="B2711" t="s">
        <v>6220</v>
      </c>
      <c r="C2711">
        <v>34.530099999999997</v>
      </c>
      <c r="D2711">
        <v>-102.78449999999999</v>
      </c>
      <c r="E2711" t="s">
        <v>10207</v>
      </c>
    </row>
    <row r="2712" spans="1:5" hidden="1" x14ac:dyDescent="0.25">
      <c r="A2712" t="s">
        <v>10208</v>
      </c>
      <c r="B2712" t="s">
        <v>6220</v>
      </c>
      <c r="C2712">
        <v>30.780999999999999</v>
      </c>
      <c r="D2712">
        <v>-102.7235</v>
      </c>
      <c r="E2712" t="s">
        <v>10209</v>
      </c>
    </row>
    <row r="2713" spans="1:5" hidden="1" x14ac:dyDescent="0.25">
      <c r="A2713" t="s">
        <v>6410</v>
      </c>
      <c r="B2713" t="s">
        <v>6220</v>
      </c>
      <c r="C2713">
        <v>30.7927</v>
      </c>
      <c r="D2713">
        <v>-94.83</v>
      </c>
      <c r="E2713" t="s">
        <v>10210</v>
      </c>
    </row>
    <row r="2714" spans="1:5" hidden="1" x14ac:dyDescent="0.25">
      <c r="A2714" t="s">
        <v>635</v>
      </c>
      <c r="B2714" t="s">
        <v>6220</v>
      </c>
      <c r="C2714">
        <v>35.401299999999999</v>
      </c>
      <c r="D2714">
        <v>-101.8939</v>
      </c>
      <c r="E2714" t="s">
        <v>10211</v>
      </c>
    </row>
    <row r="2715" spans="1:5" hidden="1" x14ac:dyDescent="0.25">
      <c r="A2715" t="s">
        <v>10212</v>
      </c>
      <c r="B2715" t="s">
        <v>6220</v>
      </c>
      <c r="C2715">
        <v>29.9998</v>
      </c>
      <c r="D2715">
        <v>-104.2405</v>
      </c>
      <c r="E2715" t="s">
        <v>10213</v>
      </c>
    </row>
    <row r="2716" spans="1:5" hidden="1" x14ac:dyDescent="0.25">
      <c r="A2716" t="s">
        <v>10214</v>
      </c>
      <c r="B2716" t="s">
        <v>6220</v>
      </c>
      <c r="C2716">
        <v>32.8703</v>
      </c>
      <c r="D2716">
        <v>-95.793400000000005</v>
      </c>
      <c r="E2716" t="s">
        <v>10215</v>
      </c>
    </row>
    <row r="2717" spans="1:5" hidden="1" x14ac:dyDescent="0.25">
      <c r="A2717" t="s">
        <v>1145</v>
      </c>
      <c r="B2717" t="s">
        <v>6220</v>
      </c>
      <c r="C2717">
        <v>34.965899999999998</v>
      </c>
      <c r="D2717">
        <v>-101.89700000000001</v>
      </c>
      <c r="E2717" t="s">
        <v>10216</v>
      </c>
    </row>
    <row r="2718" spans="1:5" hidden="1" x14ac:dyDescent="0.25">
      <c r="A2718" t="s">
        <v>10217</v>
      </c>
      <c r="B2718" t="s">
        <v>6220</v>
      </c>
      <c r="C2718">
        <v>31.366099999999999</v>
      </c>
      <c r="D2718">
        <v>-101.5231</v>
      </c>
      <c r="E2718" t="s">
        <v>10218</v>
      </c>
    </row>
    <row r="2719" spans="1:5" hidden="1" x14ac:dyDescent="0.25">
      <c r="A2719" t="s">
        <v>10219</v>
      </c>
      <c r="B2719" t="s">
        <v>6220</v>
      </c>
      <c r="C2719">
        <v>29.831800000000001</v>
      </c>
      <c r="D2719">
        <v>-99.822199999999995</v>
      </c>
      <c r="E2719" t="s">
        <v>10220</v>
      </c>
    </row>
    <row r="2720" spans="1:5" hidden="1" x14ac:dyDescent="0.25">
      <c r="A2720" t="s">
        <v>7943</v>
      </c>
      <c r="B2720" t="s">
        <v>6220</v>
      </c>
      <c r="C2720">
        <v>33.620699999999999</v>
      </c>
      <c r="D2720">
        <v>-95.050299999999993</v>
      </c>
      <c r="E2720" t="s">
        <v>10221</v>
      </c>
    </row>
    <row r="2721" spans="1:5" hidden="1" x14ac:dyDescent="0.25">
      <c r="A2721" t="s">
        <v>10222</v>
      </c>
      <c r="B2721" t="s">
        <v>6220</v>
      </c>
      <c r="C2721">
        <v>31.323</v>
      </c>
      <c r="D2721">
        <v>-103.693</v>
      </c>
      <c r="E2721" t="s">
        <v>10223</v>
      </c>
    </row>
    <row r="2722" spans="1:5" hidden="1" x14ac:dyDescent="0.25">
      <c r="A2722" t="s">
        <v>10224</v>
      </c>
      <c r="B2722" t="s">
        <v>6220</v>
      </c>
      <c r="C2722">
        <v>28.325299999999999</v>
      </c>
      <c r="D2722">
        <v>-97.165599999999998</v>
      </c>
      <c r="E2722" t="s">
        <v>10225</v>
      </c>
    </row>
    <row r="2723" spans="1:5" hidden="1" x14ac:dyDescent="0.25">
      <c r="A2723" t="s">
        <v>704</v>
      </c>
      <c r="B2723" t="s">
        <v>6220</v>
      </c>
      <c r="C2723">
        <v>35.8384</v>
      </c>
      <c r="D2723">
        <v>-100.81359999999999</v>
      </c>
      <c r="E2723" t="s">
        <v>10226</v>
      </c>
    </row>
    <row r="2724" spans="1:5" hidden="1" x14ac:dyDescent="0.25">
      <c r="A2724" t="s">
        <v>133</v>
      </c>
      <c r="B2724" t="s">
        <v>6220</v>
      </c>
      <c r="C2724">
        <v>31.027000000000001</v>
      </c>
      <c r="D2724">
        <v>-96.512900000000002</v>
      </c>
      <c r="E2724" t="s">
        <v>10227</v>
      </c>
    </row>
    <row r="2725" spans="1:5" hidden="1" x14ac:dyDescent="0.25">
      <c r="A2725" t="s">
        <v>10228</v>
      </c>
      <c r="B2725" t="s">
        <v>6220</v>
      </c>
      <c r="C2725">
        <v>32.897799999999997</v>
      </c>
      <c r="D2725">
        <v>-96.407899999999998</v>
      </c>
      <c r="E2725" t="s">
        <v>10229</v>
      </c>
    </row>
    <row r="2726" spans="1:5" hidden="1" x14ac:dyDescent="0.25">
      <c r="A2726" t="s">
        <v>10230</v>
      </c>
      <c r="B2726" t="s">
        <v>6220</v>
      </c>
      <c r="C2726">
        <v>31.831099999999999</v>
      </c>
      <c r="D2726">
        <v>-99.976200000000006</v>
      </c>
      <c r="E2726" t="s">
        <v>10231</v>
      </c>
    </row>
    <row r="2727" spans="1:5" hidden="1" x14ac:dyDescent="0.25">
      <c r="A2727" t="s">
        <v>10232</v>
      </c>
      <c r="B2727" t="s">
        <v>6220</v>
      </c>
      <c r="C2727">
        <v>32.107700000000001</v>
      </c>
      <c r="D2727">
        <v>-94.761799999999994</v>
      </c>
      <c r="E2727" t="s">
        <v>10233</v>
      </c>
    </row>
    <row r="2728" spans="1:5" hidden="1" x14ac:dyDescent="0.25">
      <c r="A2728" t="s">
        <v>7946</v>
      </c>
      <c r="B2728" t="s">
        <v>6220</v>
      </c>
      <c r="C2728">
        <v>31.3432</v>
      </c>
      <c r="D2728">
        <v>-93.851799999999997</v>
      </c>
      <c r="E2728" t="s">
        <v>10234</v>
      </c>
    </row>
    <row r="2729" spans="1:5" hidden="1" x14ac:dyDescent="0.25">
      <c r="A2729" t="s">
        <v>10235</v>
      </c>
      <c r="B2729" t="s">
        <v>6220</v>
      </c>
      <c r="C2729">
        <v>31.394200000000001</v>
      </c>
      <c r="D2729">
        <v>-94.168199999999999</v>
      </c>
      <c r="E2729" t="s">
        <v>10236</v>
      </c>
    </row>
    <row r="2730" spans="1:5" hidden="1" x14ac:dyDescent="0.25">
      <c r="A2730" t="s">
        <v>10237</v>
      </c>
      <c r="B2730" t="s">
        <v>6220</v>
      </c>
      <c r="C2730">
        <v>30.579499999999999</v>
      </c>
      <c r="D2730">
        <v>-95.166899999999998</v>
      </c>
      <c r="E2730" t="s">
        <v>10238</v>
      </c>
    </row>
    <row r="2731" spans="1:5" hidden="1" x14ac:dyDescent="0.25">
      <c r="A2731" t="s">
        <v>10239</v>
      </c>
      <c r="B2731" t="s">
        <v>6220</v>
      </c>
      <c r="C2731">
        <v>28.0092</v>
      </c>
      <c r="D2731">
        <v>-97.518799999999999</v>
      </c>
      <c r="E2731" t="s">
        <v>10240</v>
      </c>
    </row>
    <row r="2732" spans="1:5" hidden="1" x14ac:dyDescent="0.25">
      <c r="A2732" t="s">
        <v>10241</v>
      </c>
      <c r="B2732" t="s">
        <v>6220</v>
      </c>
      <c r="C2732">
        <v>31.155200000000001</v>
      </c>
      <c r="D2732">
        <v>-98.817599999999999</v>
      </c>
      <c r="E2732" t="s">
        <v>10242</v>
      </c>
    </row>
    <row r="2733" spans="1:5" hidden="1" x14ac:dyDescent="0.25">
      <c r="A2733" t="s">
        <v>10243</v>
      </c>
      <c r="B2733" t="s">
        <v>6220</v>
      </c>
      <c r="C2733">
        <v>30.897400000000001</v>
      </c>
      <c r="D2733">
        <v>-100.53830000000001</v>
      </c>
      <c r="E2733" t="s">
        <v>10244</v>
      </c>
    </row>
    <row r="2734" spans="1:5" hidden="1" x14ac:dyDescent="0.25">
      <c r="A2734" t="s">
        <v>10245</v>
      </c>
      <c r="B2734" t="s">
        <v>6220</v>
      </c>
      <c r="C2734">
        <v>32.746299999999998</v>
      </c>
      <c r="D2734">
        <v>-100.9164</v>
      </c>
      <c r="E2734" t="s">
        <v>10246</v>
      </c>
    </row>
    <row r="2735" spans="1:5" hidden="1" x14ac:dyDescent="0.25">
      <c r="A2735" t="s">
        <v>10247</v>
      </c>
      <c r="B2735" t="s">
        <v>6220</v>
      </c>
      <c r="C2735">
        <v>32.735900000000001</v>
      </c>
      <c r="D2735">
        <v>-99.353999999999999</v>
      </c>
      <c r="E2735" t="s">
        <v>10248</v>
      </c>
    </row>
    <row r="2736" spans="1:5" hidden="1" x14ac:dyDescent="0.25">
      <c r="A2736" t="s">
        <v>6309</v>
      </c>
      <c r="B2736" t="s">
        <v>6220</v>
      </c>
      <c r="C2736">
        <v>31.792400000000001</v>
      </c>
      <c r="D2736">
        <v>-94.144999999999996</v>
      </c>
      <c r="E2736" t="s">
        <v>10249</v>
      </c>
    </row>
    <row r="2737" spans="1:5" hidden="1" x14ac:dyDescent="0.25">
      <c r="A2737" t="s">
        <v>7694</v>
      </c>
      <c r="B2737" t="s">
        <v>6220</v>
      </c>
      <c r="C2737">
        <v>36.277700000000003</v>
      </c>
      <c r="D2737">
        <v>-101.8934</v>
      </c>
      <c r="E2737" t="s">
        <v>10250</v>
      </c>
    </row>
    <row r="2738" spans="1:5" hidden="1" x14ac:dyDescent="0.25">
      <c r="A2738" t="s">
        <v>275</v>
      </c>
      <c r="B2738" t="s">
        <v>6220</v>
      </c>
      <c r="C2738">
        <v>32.375</v>
      </c>
      <c r="D2738">
        <v>-95.269199999999998</v>
      </c>
      <c r="E2738" t="s">
        <v>10251</v>
      </c>
    </row>
    <row r="2739" spans="1:5" hidden="1" x14ac:dyDescent="0.25">
      <c r="A2739" t="s">
        <v>10252</v>
      </c>
      <c r="B2739" t="s">
        <v>6220</v>
      </c>
      <c r="C2739">
        <v>32.222200000000001</v>
      </c>
      <c r="D2739">
        <v>-97.774600000000007</v>
      </c>
      <c r="E2739" t="s">
        <v>10253</v>
      </c>
    </row>
    <row r="2740" spans="1:5" hidden="1" x14ac:dyDescent="0.25">
      <c r="A2740" t="s">
        <v>10254</v>
      </c>
      <c r="B2740" t="s">
        <v>6220</v>
      </c>
      <c r="C2740">
        <v>26.562100000000001</v>
      </c>
      <c r="D2740">
        <v>-98.738699999999994</v>
      </c>
      <c r="E2740" t="s">
        <v>10255</v>
      </c>
    </row>
    <row r="2741" spans="1:5" hidden="1" x14ac:dyDescent="0.25">
      <c r="A2741" t="s">
        <v>1223</v>
      </c>
      <c r="B2741" t="s">
        <v>6220</v>
      </c>
      <c r="C2741">
        <v>32.735900000000001</v>
      </c>
      <c r="D2741">
        <v>-98.836200000000005</v>
      </c>
      <c r="E2741" t="s">
        <v>10256</v>
      </c>
    </row>
    <row r="2742" spans="1:5" hidden="1" x14ac:dyDescent="0.25">
      <c r="A2742" t="s">
        <v>10257</v>
      </c>
      <c r="B2742" t="s">
        <v>6220</v>
      </c>
      <c r="C2742">
        <v>31.8278</v>
      </c>
      <c r="D2742">
        <v>-101.0501</v>
      </c>
      <c r="E2742" t="s">
        <v>10258</v>
      </c>
    </row>
    <row r="2743" spans="1:5" hidden="1" x14ac:dyDescent="0.25">
      <c r="A2743" t="s">
        <v>10259</v>
      </c>
      <c r="B2743" t="s">
        <v>6220</v>
      </c>
      <c r="C2743">
        <v>33.179200000000002</v>
      </c>
      <c r="D2743">
        <v>-100.2534</v>
      </c>
      <c r="E2743" t="s">
        <v>10260</v>
      </c>
    </row>
    <row r="2744" spans="1:5" hidden="1" x14ac:dyDescent="0.25">
      <c r="A2744" t="s">
        <v>10261</v>
      </c>
      <c r="B2744" t="s">
        <v>6220</v>
      </c>
      <c r="C2744">
        <v>30.4984</v>
      </c>
      <c r="D2744">
        <v>-100.5382</v>
      </c>
      <c r="E2744" t="s">
        <v>10262</v>
      </c>
    </row>
    <row r="2745" spans="1:5" hidden="1" x14ac:dyDescent="0.25">
      <c r="A2745" t="s">
        <v>10263</v>
      </c>
      <c r="B2745" t="s">
        <v>6220</v>
      </c>
      <c r="C2745">
        <v>34.5304</v>
      </c>
      <c r="D2745">
        <v>-101.735</v>
      </c>
      <c r="E2745" t="s">
        <v>10264</v>
      </c>
    </row>
    <row r="2746" spans="1:5" hidden="1" x14ac:dyDescent="0.25">
      <c r="A2746" t="s">
        <v>10265</v>
      </c>
      <c r="B2746" t="s">
        <v>6220</v>
      </c>
      <c r="C2746">
        <v>32.771900000000002</v>
      </c>
      <c r="D2746">
        <v>-97.2911</v>
      </c>
      <c r="E2746" t="s">
        <v>10266</v>
      </c>
    </row>
    <row r="2747" spans="1:5" hidden="1" x14ac:dyDescent="0.25">
      <c r="A2747" t="s">
        <v>3564</v>
      </c>
      <c r="B2747" t="s">
        <v>6220</v>
      </c>
      <c r="C2747">
        <v>32.301499999999997</v>
      </c>
      <c r="D2747">
        <v>-99.890100000000004</v>
      </c>
      <c r="E2747" t="s">
        <v>10267</v>
      </c>
    </row>
    <row r="2748" spans="1:5" hidden="1" x14ac:dyDescent="0.25">
      <c r="A2748" t="s">
        <v>3832</v>
      </c>
      <c r="B2748" t="s">
        <v>6220</v>
      </c>
      <c r="C2748">
        <v>30.225000000000001</v>
      </c>
      <c r="D2748">
        <v>-102.0765</v>
      </c>
      <c r="E2748" t="s">
        <v>10268</v>
      </c>
    </row>
    <row r="2749" spans="1:5" hidden="1" x14ac:dyDescent="0.25">
      <c r="A2749" t="s">
        <v>10269</v>
      </c>
      <c r="B2749" t="s">
        <v>6220</v>
      </c>
      <c r="C2749">
        <v>33.1738</v>
      </c>
      <c r="D2749">
        <v>-102.3352</v>
      </c>
      <c r="E2749" t="s">
        <v>10270</v>
      </c>
    </row>
    <row r="2750" spans="1:5" hidden="1" x14ac:dyDescent="0.25">
      <c r="A2750" t="s">
        <v>10271</v>
      </c>
      <c r="B2750" t="s">
        <v>6220</v>
      </c>
      <c r="C2750">
        <v>33.177500000000002</v>
      </c>
      <c r="D2750">
        <v>-99.212299999999999</v>
      </c>
      <c r="E2750" t="s">
        <v>10272</v>
      </c>
    </row>
    <row r="2751" spans="1:5" hidden="1" x14ac:dyDescent="0.25">
      <c r="A2751" t="s">
        <v>1089</v>
      </c>
      <c r="B2751" t="s">
        <v>6220</v>
      </c>
      <c r="C2751">
        <v>33.2166</v>
      </c>
      <c r="D2751">
        <v>-94.965699999999998</v>
      </c>
      <c r="E2751" t="s">
        <v>10273</v>
      </c>
    </row>
    <row r="2752" spans="1:5" hidden="1" x14ac:dyDescent="0.25">
      <c r="A2752" t="s">
        <v>10274</v>
      </c>
      <c r="B2752" t="s">
        <v>6220</v>
      </c>
      <c r="C2752">
        <v>31.404399999999999</v>
      </c>
      <c r="D2752">
        <v>-100.46210000000001</v>
      </c>
      <c r="E2752" t="s">
        <v>10275</v>
      </c>
    </row>
    <row r="2753" spans="1:5" hidden="1" x14ac:dyDescent="0.25">
      <c r="A2753" t="s">
        <v>10276</v>
      </c>
      <c r="B2753" t="s">
        <v>6220</v>
      </c>
      <c r="C2753">
        <v>30.334399999999999</v>
      </c>
      <c r="D2753">
        <v>-97.781999999999996</v>
      </c>
      <c r="E2753" t="s">
        <v>10277</v>
      </c>
    </row>
    <row r="2754" spans="1:5" hidden="1" x14ac:dyDescent="0.25">
      <c r="A2754" t="s">
        <v>6571</v>
      </c>
      <c r="B2754" t="s">
        <v>6220</v>
      </c>
      <c r="C2754">
        <v>31.088799999999999</v>
      </c>
      <c r="D2754">
        <v>-95.135499999999993</v>
      </c>
      <c r="E2754" t="s">
        <v>10278</v>
      </c>
    </row>
    <row r="2755" spans="1:5" hidden="1" x14ac:dyDescent="0.25">
      <c r="A2755" t="s">
        <v>10279</v>
      </c>
      <c r="B2755" t="s">
        <v>6220</v>
      </c>
      <c r="C2755">
        <v>30.7712</v>
      </c>
      <c r="D2755">
        <v>-94.376599999999996</v>
      </c>
      <c r="E2755" t="s">
        <v>10280</v>
      </c>
    </row>
    <row r="2756" spans="1:5" hidden="1" x14ac:dyDescent="0.25">
      <c r="A2756" t="s">
        <v>10281</v>
      </c>
      <c r="B2756" t="s">
        <v>6220</v>
      </c>
      <c r="C2756">
        <v>32.7363</v>
      </c>
      <c r="D2756">
        <v>-94.941500000000005</v>
      </c>
      <c r="E2756" t="s">
        <v>10282</v>
      </c>
    </row>
    <row r="2757" spans="1:5" hidden="1" x14ac:dyDescent="0.25">
      <c r="A2757" t="s">
        <v>10283</v>
      </c>
      <c r="B2757" t="s">
        <v>6220</v>
      </c>
      <c r="C2757">
        <v>31.3688</v>
      </c>
      <c r="D2757">
        <v>-102.0431</v>
      </c>
      <c r="E2757" t="s">
        <v>10284</v>
      </c>
    </row>
    <row r="2758" spans="1:5" hidden="1" x14ac:dyDescent="0.25">
      <c r="A2758" t="s">
        <v>10285</v>
      </c>
      <c r="B2758" t="s">
        <v>6220</v>
      </c>
      <c r="C2758">
        <v>29.357299999999999</v>
      </c>
      <c r="D2758">
        <v>-99.762200000000007</v>
      </c>
      <c r="E2758" t="s">
        <v>10286</v>
      </c>
    </row>
    <row r="2759" spans="1:5" hidden="1" x14ac:dyDescent="0.25">
      <c r="A2759" t="s">
        <v>10287</v>
      </c>
      <c r="B2759" t="s">
        <v>6220</v>
      </c>
      <c r="C2759">
        <v>29.892900000000001</v>
      </c>
      <c r="D2759">
        <v>-101.15170000000001</v>
      </c>
      <c r="E2759" t="s">
        <v>10288</v>
      </c>
    </row>
    <row r="2760" spans="1:5" hidden="1" x14ac:dyDescent="0.25">
      <c r="A2760" t="s">
        <v>10289</v>
      </c>
      <c r="B2760" t="s">
        <v>6220</v>
      </c>
      <c r="C2760">
        <v>32.563699999999997</v>
      </c>
      <c r="D2760">
        <v>-95.836500000000001</v>
      </c>
      <c r="E2760" t="s">
        <v>10290</v>
      </c>
    </row>
    <row r="2761" spans="1:5" hidden="1" x14ac:dyDescent="0.25">
      <c r="A2761" t="s">
        <v>10291</v>
      </c>
      <c r="B2761" t="s">
        <v>6220</v>
      </c>
      <c r="C2761">
        <v>28.796399999999998</v>
      </c>
      <c r="D2761">
        <v>-96.971500000000006</v>
      </c>
      <c r="E2761" t="s">
        <v>10292</v>
      </c>
    </row>
    <row r="2762" spans="1:5" hidden="1" x14ac:dyDescent="0.25">
      <c r="A2762" t="s">
        <v>246</v>
      </c>
      <c r="B2762" t="s">
        <v>6220</v>
      </c>
      <c r="C2762">
        <v>30.739000000000001</v>
      </c>
      <c r="D2762">
        <v>-95.572299999999998</v>
      </c>
      <c r="E2762" t="s">
        <v>10293</v>
      </c>
    </row>
    <row r="2763" spans="1:5" hidden="1" x14ac:dyDescent="0.25">
      <c r="A2763" t="s">
        <v>10294</v>
      </c>
      <c r="B2763" t="s">
        <v>6220</v>
      </c>
      <c r="C2763">
        <v>30.0108</v>
      </c>
      <c r="D2763">
        <v>-95.9876</v>
      </c>
      <c r="E2763" t="s">
        <v>10295</v>
      </c>
    </row>
    <row r="2764" spans="1:5" hidden="1" x14ac:dyDescent="0.25">
      <c r="A2764" t="s">
        <v>4555</v>
      </c>
      <c r="B2764" t="s">
        <v>6220</v>
      </c>
      <c r="C2764">
        <v>31.509499999999999</v>
      </c>
      <c r="D2764">
        <v>-103.10250000000001</v>
      </c>
      <c r="E2764" t="s">
        <v>10296</v>
      </c>
    </row>
    <row r="2765" spans="1:5" hidden="1" x14ac:dyDescent="0.25">
      <c r="A2765" t="s">
        <v>3052</v>
      </c>
      <c r="B2765" t="s">
        <v>6220</v>
      </c>
      <c r="C2765">
        <v>30.214500000000001</v>
      </c>
      <c r="D2765">
        <v>-96.403400000000005</v>
      </c>
      <c r="E2765" t="s">
        <v>10297</v>
      </c>
    </row>
    <row r="2766" spans="1:5" hidden="1" x14ac:dyDescent="0.25">
      <c r="A2766" t="s">
        <v>1755</v>
      </c>
      <c r="B2766" t="s">
        <v>6220</v>
      </c>
      <c r="C2766">
        <v>27.761099999999999</v>
      </c>
      <c r="D2766">
        <v>-99.331500000000005</v>
      </c>
      <c r="E2766" t="s">
        <v>10298</v>
      </c>
    </row>
    <row r="2767" spans="1:5" hidden="1" x14ac:dyDescent="0.25">
      <c r="A2767" t="s">
        <v>10299</v>
      </c>
      <c r="B2767" t="s">
        <v>6220</v>
      </c>
      <c r="C2767">
        <v>29.277899999999999</v>
      </c>
      <c r="D2767">
        <v>-96.222099999999998</v>
      </c>
      <c r="E2767" t="s">
        <v>10300</v>
      </c>
    </row>
    <row r="2768" spans="1:5" hidden="1" x14ac:dyDescent="0.25">
      <c r="A2768" t="s">
        <v>1447</v>
      </c>
      <c r="B2768" t="s">
        <v>6220</v>
      </c>
      <c r="C2768">
        <v>35.401200000000003</v>
      </c>
      <c r="D2768">
        <v>-100.2698</v>
      </c>
      <c r="E2768" t="s">
        <v>10301</v>
      </c>
    </row>
    <row r="2769" spans="1:5" hidden="1" x14ac:dyDescent="0.25">
      <c r="A2769" t="s">
        <v>7709</v>
      </c>
      <c r="B2769" t="s">
        <v>6220</v>
      </c>
      <c r="C2769">
        <v>33.988</v>
      </c>
      <c r="D2769">
        <v>-98.703500000000005</v>
      </c>
      <c r="E2769" t="s">
        <v>10302</v>
      </c>
    </row>
    <row r="2770" spans="1:5" hidden="1" x14ac:dyDescent="0.25">
      <c r="A2770" t="s">
        <v>10303</v>
      </c>
      <c r="B2770" t="s">
        <v>6220</v>
      </c>
      <c r="C2770">
        <v>34.080800000000004</v>
      </c>
      <c r="D2770">
        <v>-99.241</v>
      </c>
      <c r="E2770" t="s">
        <v>10304</v>
      </c>
    </row>
    <row r="2771" spans="1:5" hidden="1" x14ac:dyDescent="0.25">
      <c r="A2771" t="s">
        <v>10305</v>
      </c>
      <c r="B2771" t="s">
        <v>6220</v>
      </c>
      <c r="C2771">
        <v>26.4693</v>
      </c>
      <c r="D2771">
        <v>-97.663200000000003</v>
      </c>
      <c r="E2771" t="s">
        <v>10306</v>
      </c>
    </row>
    <row r="2772" spans="1:5" hidden="1" x14ac:dyDescent="0.25">
      <c r="A2772" t="s">
        <v>7430</v>
      </c>
      <c r="B2772" t="s">
        <v>6220</v>
      </c>
      <c r="C2772">
        <v>30.647500000000001</v>
      </c>
      <c r="D2772">
        <v>-97.600399999999993</v>
      </c>
      <c r="E2772" t="s">
        <v>10307</v>
      </c>
    </row>
    <row r="2773" spans="1:5" hidden="1" x14ac:dyDescent="0.25">
      <c r="A2773" t="s">
        <v>2298</v>
      </c>
      <c r="B2773" t="s">
        <v>6220</v>
      </c>
      <c r="C2773">
        <v>29.173999999999999</v>
      </c>
      <c r="D2773">
        <v>-98.086600000000004</v>
      </c>
      <c r="E2773" t="s">
        <v>10308</v>
      </c>
    </row>
    <row r="2774" spans="1:5" hidden="1" x14ac:dyDescent="0.25">
      <c r="A2774" t="s">
        <v>10309</v>
      </c>
      <c r="B2774" t="s">
        <v>6220</v>
      </c>
      <c r="C2774">
        <v>31.850100000000001</v>
      </c>
      <c r="D2774">
        <v>-103.0483</v>
      </c>
      <c r="E2774" t="s">
        <v>10310</v>
      </c>
    </row>
    <row r="2775" spans="1:5" hidden="1" x14ac:dyDescent="0.25">
      <c r="A2775" t="s">
        <v>391</v>
      </c>
      <c r="B2775" t="s">
        <v>6220</v>
      </c>
      <c r="C2775">
        <v>33.215899999999998</v>
      </c>
      <c r="D2775">
        <v>-97.654499999999999</v>
      </c>
      <c r="E2775" t="s">
        <v>10311</v>
      </c>
    </row>
    <row r="2776" spans="1:5" hidden="1" x14ac:dyDescent="0.25">
      <c r="A2776" t="s">
        <v>9382</v>
      </c>
      <c r="B2776" t="s">
        <v>6220</v>
      </c>
      <c r="C2776">
        <v>32.7864</v>
      </c>
      <c r="D2776">
        <v>-95.382099999999994</v>
      </c>
      <c r="E2776" t="s">
        <v>10312</v>
      </c>
    </row>
    <row r="2777" spans="1:5" hidden="1" x14ac:dyDescent="0.25">
      <c r="A2777" t="s">
        <v>10313</v>
      </c>
      <c r="B2777" t="s">
        <v>6220</v>
      </c>
      <c r="C2777">
        <v>33.173000000000002</v>
      </c>
      <c r="D2777">
        <v>-102.8278</v>
      </c>
      <c r="E2777" t="s">
        <v>10314</v>
      </c>
    </row>
    <row r="2778" spans="1:5" hidden="1" x14ac:dyDescent="0.25">
      <c r="A2778" t="s">
        <v>3205</v>
      </c>
      <c r="B2778" t="s">
        <v>6220</v>
      </c>
      <c r="C2778">
        <v>33.176600000000001</v>
      </c>
      <c r="D2778">
        <v>-98.687799999999996</v>
      </c>
      <c r="E2778" t="s">
        <v>10315</v>
      </c>
    </row>
    <row r="2779" spans="1:5" hidden="1" x14ac:dyDescent="0.25">
      <c r="A2779" t="s">
        <v>10316</v>
      </c>
      <c r="B2779" t="s">
        <v>6220</v>
      </c>
      <c r="C2779">
        <v>27.000800000000002</v>
      </c>
      <c r="D2779">
        <v>-99.168599999999998</v>
      </c>
      <c r="E2779" t="s">
        <v>10317</v>
      </c>
    </row>
    <row r="2780" spans="1:5" hidden="1" x14ac:dyDescent="0.25">
      <c r="A2780" t="s">
        <v>10318</v>
      </c>
      <c r="B2780" t="s">
        <v>6220</v>
      </c>
      <c r="C2780">
        <v>28.866199999999999</v>
      </c>
      <c r="D2780">
        <v>-99.760499999999993</v>
      </c>
      <c r="E2780" t="s">
        <v>10319</v>
      </c>
    </row>
    <row r="2781" spans="1:5" hidden="1" x14ac:dyDescent="0.25">
      <c r="A2781" t="s">
        <v>706</v>
      </c>
      <c r="B2781" t="s">
        <v>6223</v>
      </c>
      <c r="C2781">
        <v>38.356999999999999</v>
      </c>
      <c r="D2781">
        <v>-113.2355</v>
      </c>
      <c r="E2781" t="s">
        <v>10320</v>
      </c>
    </row>
    <row r="2782" spans="1:5" hidden="1" x14ac:dyDescent="0.25">
      <c r="A2782" t="s">
        <v>10321</v>
      </c>
      <c r="B2782" t="s">
        <v>6223</v>
      </c>
      <c r="C2782">
        <v>41.521000000000001</v>
      </c>
      <c r="D2782">
        <v>-113.0821</v>
      </c>
      <c r="E2782" t="s">
        <v>10322</v>
      </c>
    </row>
    <row r="2783" spans="1:5" hidden="1" x14ac:dyDescent="0.25">
      <c r="A2783" t="s">
        <v>10323</v>
      </c>
      <c r="B2783" t="s">
        <v>6223</v>
      </c>
      <c r="C2783">
        <v>41.722499999999997</v>
      </c>
      <c r="D2783">
        <v>-111.7436</v>
      </c>
      <c r="E2783" t="s">
        <v>10324</v>
      </c>
    </row>
    <row r="2784" spans="1:5" hidden="1" x14ac:dyDescent="0.25">
      <c r="A2784" t="s">
        <v>8614</v>
      </c>
      <c r="B2784" t="s">
        <v>6223</v>
      </c>
      <c r="C2784">
        <v>39.648099999999999</v>
      </c>
      <c r="D2784">
        <v>-110.5887</v>
      </c>
      <c r="E2784" t="s">
        <v>10325</v>
      </c>
    </row>
    <row r="2785" spans="1:5" hidden="1" x14ac:dyDescent="0.25">
      <c r="A2785" t="s">
        <v>10326</v>
      </c>
      <c r="B2785" t="s">
        <v>6223</v>
      </c>
      <c r="C2785">
        <v>40.887300000000003</v>
      </c>
      <c r="D2785">
        <v>-109.5077</v>
      </c>
      <c r="E2785" t="s">
        <v>10327</v>
      </c>
    </row>
    <row r="2786" spans="1:5" hidden="1" x14ac:dyDescent="0.25">
      <c r="A2786" t="s">
        <v>1879</v>
      </c>
      <c r="B2786" t="s">
        <v>6223</v>
      </c>
      <c r="C2786">
        <v>40.99</v>
      </c>
      <c r="D2786">
        <v>-112.11150000000001</v>
      </c>
      <c r="E2786" t="s">
        <v>10328</v>
      </c>
    </row>
    <row r="2787" spans="1:5" hidden="1" x14ac:dyDescent="0.25">
      <c r="A2787" t="s">
        <v>10329</v>
      </c>
      <c r="B2787" t="s">
        <v>6223</v>
      </c>
      <c r="C2787">
        <v>40.298200000000001</v>
      </c>
      <c r="D2787">
        <v>-110.4252</v>
      </c>
      <c r="E2787" t="s">
        <v>10330</v>
      </c>
    </row>
    <row r="2788" spans="1:5" hidden="1" x14ac:dyDescent="0.25">
      <c r="A2788" t="s">
        <v>10331</v>
      </c>
      <c r="B2788" t="s">
        <v>6223</v>
      </c>
      <c r="C2788">
        <v>38.996699999999997</v>
      </c>
      <c r="D2788">
        <v>-110.70059999999999</v>
      </c>
      <c r="E2788" t="s">
        <v>10332</v>
      </c>
    </row>
    <row r="2789" spans="1:5" hidden="1" x14ac:dyDescent="0.25">
      <c r="A2789" t="s">
        <v>6626</v>
      </c>
      <c r="B2789" t="s">
        <v>6223</v>
      </c>
      <c r="C2789">
        <v>37.854900000000001</v>
      </c>
      <c r="D2789">
        <v>-111.4432</v>
      </c>
      <c r="E2789" t="s">
        <v>10333</v>
      </c>
    </row>
    <row r="2790" spans="1:5" hidden="1" x14ac:dyDescent="0.25">
      <c r="A2790" t="s">
        <v>6630</v>
      </c>
      <c r="B2790" t="s">
        <v>6223</v>
      </c>
      <c r="C2790">
        <v>38.981999999999999</v>
      </c>
      <c r="D2790">
        <v>-109.5698</v>
      </c>
      <c r="E2790" t="s">
        <v>10334</v>
      </c>
    </row>
    <row r="2791" spans="1:5" hidden="1" x14ac:dyDescent="0.25">
      <c r="A2791" t="s">
        <v>4123</v>
      </c>
      <c r="B2791" t="s">
        <v>6223</v>
      </c>
      <c r="C2791">
        <v>37.859200000000001</v>
      </c>
      <c r="D2791">
        <v>-113.2895</v>
      </c>
      <c r="E2791" t="s">
        <v>10335</v>
      </c>
    </row>
    <row r="2792" spans="1:5" hidden="1" x14ac:dyDescent="0.25">
      <c r="A2792" t="s">
        <v>10336</v>
      </c>
      <c r="B2792" t="s">
        <v>6223</v>
      </c>
      <c r="C2792">
        <v>39.7027</v>
      </c>
      <c r="D2792">
        <v>-112.7848</v>
      </c>
      <c r="E2792" t="s">
        <v>10337</v>
      </c>
    </row>
    <row r="2793" spans="1:5" hidden="1" x14ac:dyDescent="0.25">
      <c r="A2793" t="s">
        <v>7351</v>
      </c>
      <c r="B2793" t="s">
        <v>6223</v>
      </c>
      <c r="C2793">
        <v>37.2851</v>
      </c>
      <c r="D2793">
        <v>-111.8878</v>
      </c>
      <c r="E2793" t="s">
        <v>10338</v>
      </c>
    </row>
    <row r="2794" spans="1:5" hidden="1" x14ac:dyDescent="0.25">
      <c r="A2794" t="s">
        <v>10339</v>
      </c>
      <c r="B2794" t="s">
        <v>6223</v>
      </c>
      <c r="C2794">
        <v>39.073300000000003</v>
      </c>
      <c r="D2794">
        <v>-113.10080000000001</v>
      </c>
      <c r="E2794" t="s">
        <v>10340</v>
      </c>
    </row>
    <row r="2795" spans="1:5" hidden="1" x14ac:dyDescent="0.25">
      <c r="A2795" t="s">
        <v>496</v>
      </c>
      <c r="B2795" t="s">
        <v>6223</v>
      </c>
      <c r="C2795">
        <v>41.089300000000001</v>
      </c>
      <c r="D2795">
        <v>-111.5732</v>
      </c>
      <c r="E2795" t="s">
        <v>10341</v>
      </c>
    </row>
    <row r="2796" spans="1:5" hidden="1" x14ac:dyDescent="0.25">
      <c r="A2796" t="s">
        <v>10342</v>
      </c>
      <c r="B2796" t="s">
        <v>6223</v>
      </c>
      <c r="C2796">
        <v>38.336599999999997</v>
      </c>
      <c r="D2796">
        <v>-112.12730000000001</v>
      </c>
      <c r="E2796" t="s">
        <v>10343</v>
      </c>
    </row>
    <row r="2797" spans="1:5" hidden="1" x14ac:dyDescent="0.25">
      <c r="A2797" t="s">
        <v>10344</v>
      </c>
      <c r="B2797" t="s">
        <v>6223</v>
      </c>
      <c r="C2797">
        <v>41.632300000000001</v>
      </c>
      <c r="D2797">
        <v>-111.2445</v>
      </c>
      <c r="E2797" t="s">
        <v>10345</v>
      </c>
    </row>
    <row r="2798" spans="1:5" hidden="1" x14ac:dyDescent="0.25">
      <c r="A2798" t="s">
        <v>10346</v>
      </c>
      <c r="B2798" t="s">
        <v>6223</v>
      </c>
      <c r="C2798">
        <v>40.667299999999997</v>
      </c>
      <c r="D2798">
        <v>-111.92359999999999</v>
      </c>
      <c r="E2798" t="s">
        <v>10347</v>
      </c>
    </row>
    <row r="2799" spans="1:5" hidden="1" x14ac:dyDescent="0.25">
      <c r="A2799" t="s">
        <v>6685</v>
      </c>
      <c r="B2799" t="s">
        <v>6223</v>
      </c>
      <c r="C2799">
        <v>37.625999999999998</v>
      </c>
      <c r="D2799">
        <v>-109.80459999999999</v>
      </c>
      <c r="E2799" t="s">
        <v>10348</v>
      </c>
    </row>
    <row r="2800" spans="1:5" hidden="1" x14ac:dyDescent="0.25">
      <c r="A2800" t="s">
        <v>10349</v>
      </c>
      <c r="B2800" t="s">
        <v>6223</v>
      </c>
      <c r="C2800">
        <v>39.373899999999999</v>
      </c>
      <c r="D2800">
        <v>-111.5763</v>
      </c>
      <c r="E2800" t="s">
        <v>10350</v>
      </c>
    </row>
    <row r="2801" spans="1:5" hidden="1" x14ac:dyDescent="0.25">
      <c r="A2801" t="s">
        <v>6426</v>
      </c>
      <c r="B2801" t="s">
        <v>6223</v>
      </c>
      <c r="C2801">
        <v>38.747700000000002</v>
      </c>
      <c r="D2801">
        <v>-111.80459999999999</v>
      </c>
      <c r="E2801" t="s">
        <v>10351</v>
      </c>
    </row>
    <row r="2802" spans="1:5" hidden="1" x14ac:dyDescent="0.25">
      <c r="A2802" t="s">
        <v>6691</v>
      </c>
      <c r="B2802" t="s">
        <v>6223</v>
      </c>
      <c r="C2802">
        <v>40.868299999999998</v>
      </c>
      <c r="D2802">
        <v>-110.95569999999999</v>
      </c>
      <c r="E2802" t="s">
        <v>10352</v>
      </c>
    </row>
    <row r="2803" spans="1:5" hidden="1" x14ac:dyDescent="0.25">
      <c r="A2803" t="s">
        <v>10353</v>
      </c>
      <c r="B2803" t="s">
        <v>6223</v>
      </c>
      <c r="C2803">
        <v>40.448700000000002</v>
      </c>
      <c r="D2803">
        <v>-113.1311</v>
      </c>
      <c r="E2803" t="s">
        <v>10354</v>
      </c>
    </row>
    <row r="2804" spans="1:5" hidden="1" x14ac:dyDescent="0.25">
      <c r="A2804" t="s">
        <v>10355</v>
      </c>
      <c r="B2804" t="s">
        <v>6223</v>
      </c>
      <c r="C2804">
        <v>40.1248</v>
      </c>
      <c r="D2804">
        <v>-109.51860000000001</v>
      </c>
      <c r="E2804" t="s">
        <v>10356</v>
      </c>
    </row>
    <row r="2805" spans="1:5" hidden="1" x14ac:dyDescent="0.25">
      <c r="A2805" t="s">
        <v>10357</v>
      </c>
      <c r="B2805" t="s">
        <v>6223</v>
      </c>
      <c r="C2805">
        <v>40.119900000000001</v>
      </c>
      <c r="D2805">
        <v>-111.67019999999999</v>
      </c>
      <c r="E2805" t="s">
        <v>10358</v>
      </c>
    </row>
    <row r="2806" spans="1:5" hidden="1" x14ac:dyDescent="0.25">
      <c r="A2806" t="s">
        <v>10359</v>
      </c>
      <c r="B2806" t="s">
        <v>6223</v>
      </c>
      <c r="C2806">
        <v>40.330800000000004</v>
      </c>
      <c r="D2806">
        <v>-111.1682</v>
      </c>
      <c r="E2806" t="s">
        <v>10360</v>
      </c>
    </row>
    <row r="2807" spans="1:5" hidden="1" x14ac:dyDescent="0.25">
      <c r="A2807" t="s">
        <v>3052</v>
      </c>
      <c r="B2807" t="s">
        <v>6223</v>
      </c>
      <c r="C2807">
        <v>37.2804</v>
      </c>
      <c r="D2807">
        <v>-113.5047</v>
      </c>
      <c r="E2807" t="s">
        <v>10361</v>
      </c>
    </row>
    <row r="2808" spans="1:5" hidden="1" x14ac:dyDescent="0.25">
      <c r="A2808" t="s">
        <v>7057</v>
      </c>
      <c r="B2808" t="s">
        <v>6223</v>
      </c>
      <c r="C2808">
        <v>38.324399999999997</v>
      </c>
      <c r="D2808">
        <v>-110.9038</v>
      </c>
      <c r="E2808" t="s">
        <v>10362</v>
      </c>
    </row>
    <row r="2809" spans="1:5" hidden="1" x14ac:dyDescent="0.25">
      <c r="A2809" t="s">
        <v>10363</v>
      </c>
      <c r="B2809" t="s">
        <v>6223</v>
      </c>
      <c r="C2809">
        <v>41.269799999999996</v>
      </c>
      <c r="D2809">
        <v>-111.9134</v>
      </c>
      <c r="E2809" t="s">
        <v>10364</v>
      </c>
    </row>
    <row r="2810" spans="1:5" hidden="1" x14ac:dyDescent="0.25">
      <c r="A2810" t="s">
        <v>1511</v>
      </c>
      <c r="B2810" t="s">
        <v>6226</v>
      </c>
      <c r="C2810">
        <v>37.764400000000002</v>
      </c>
      <c r="D2810">
        <v>-75.633399999999995</v>
      </c>
      <c r="E2810" t="s">
        <v>10365</v>
      </c>
    </row>
    <row r="2811" spans="1:5" hidden="1" x14ac:dyDescent="0.25">
      <c r="A2811" t="s">
        <v>10366</v>
      </c>
      <c r="B2811" t="s">
        <v>6226</v>
      </c>
      <c r="C2811">
        <v>38.0229</v>
      </c>
      <c r="D2811">
        <v>-78.556700000000006</v>
      </c>
      <c r="E2811" t="s">
        <v>10367</v>
      </c>
    </row>
    <row r="2812" spans="1:5" hidden="1" x14ac:dyDescent="0.25">
      <c r="A2812" t="s">
        <v>10368</v>
      </c>
      <c r="B2812" t="s">
        <v>6226</v>
      </c>
      <c r="C2812">
        <v>38.8185</v>
      </c>
      <c r="D2812">
        <v>-77.086100000000002</v>
      </c>
      <c r="E2812" t="s">
        <v>10369</v>
      </c>
    </row>
    <row r="2813" spans="1:5" hidden="1" x14ac:dyDescent="0.25">
      <c r="A2813" t="s">
        <v>8700</v>
      </c>
      <c r="B2813" t="s">
        <v>6226</v>
      </c>
      <c r="C2813">
        <v>37.787799999999997</v>
      </c>
      <c r="D2813">
        <v>-80.006200000000007</v>
      </c>
      <c r="E2813" t="s">
        <v>10370</v>
      </c>
    </row>
    <row r="2814" spans="1:5" hidden="1" x14ac:dyDescent="0.25">
      <c r="A2814" t="s">
        <v>1037</v>
      </c>
      <c r="B2814" t="s">
        <v>6226</v>
      </c>
      <c r="C2814">
        <v>37.335999999999999</v>
      </c>
      <c r="D2814">
        <v>-77.976100000000002</v>
      </c>
      <c r="E2814" t="s">
        <v>10371</v>
      </c>
    </row>
    <row r="2815" spans="1:5" hidden="1" x14ac:dyDescent="0.25">
      <c r="A2815" t="s">
        <v>10372</v>
      </c>
      <c r="B2815" t="s">
        <v>6226</v>
      </c>
      <c r="C2815">
        <v>37.604799999999997</v>
      </c>
      <c r="D2815">
        <v>-79.145200000000003</v>
      </c>
      <c r="E2815" t="s">
        <v>10373</v>
      </c>
    </row>
    <row r="2816" spans="1:5" hidden="1" x14ac:dyDescent="0.25">
      <c r="A2816" t="s">
        <v>10374</v>
      </c>
      <c r="B2816" t="s">
        <v>6226</v>
      </c>
      <c r="C2816">
        <v>37.372300000000003</v>
      </c>
      <c r="D2816">
        <v>-78.812600000000003</v>
      </c>
      <c r="E2816" t="s">
        <v>10375</v>
      </c>
    </row>
    <row r="2817" spans="1:5" hidden="1" x14ac:dyDescent="0.25">
      <c r="A2817" t="s">
        <v>10376</v>
      </c>
      <c r="B2817" t="s">
        <v>6226</v>
      </c>
      <c r="C2817">
        <v>38.878599999999999</v>
      </c>
      <c r="D2817">
        <v>-77.101100000000002</v>
      </c>
      <c r="E2817" t="s">
        <v>10377</v>
      </c>
    </row>
    <row r="2818" spans="1:5" hidden="1" x14ac:dyDescent="0.25">
      <c r="A2818" t="s">
        <v>365</v>
      </c>
      <c r="B2818" t="s">
        <v>6226</v>
      </c>
      <c r="C2818">
        <v>38.164400000000001</v>
      </c>
      <c r="D2818">
        <v>-79.133799999999994</v>
      </c>
      <c r="E2818" t="s">
        <v>10378</v>
      </c>
    </row>
    <row r="2819" spans="1:5" hidden="1" x14ac:dyDescent="0.25">
      <c r="A2819" t="s">
        <v>7722</v>
      </c>
      <c r="B2819" t="s">
        <v>6226</v>
      </c>
      <c r="C2819">
        <v>38.058700000000002</v>
      </c>
      <c r="D2819">
        <v>-79.741100000000003</v>
      </c>
      <c r="E2819" t="s">
        <v>10379</v>
      </c>
    </row>
    <row r="2820" spans="1:5" hidden="1" x14ac:dyDescent="0.25">
      <c r="A2820" t="s">
        <v>2749</v>
      </c>
      <c r="B2820" t="s">
        <v>6226</v>
      </c>
      <c r="C2820">
        <v>37.315199999999997</v>
      </c>
      <c r="D2820">
        <v>-79.524199999999993</v>
      </c>
      <c r="E2820" t="s">
        <v>10380</v>
      </c>
    </row>
    <row r="2821" spans="1:5" hidden="1" x14ac:dyDescent="0.25">
      <c r="A2821" t="s">
        <v>10381</v>
      </c>
      <c r="B2821" t="s">
        <v>6226</v>
      </c>
      <c r="C2821">
        <v>37.134</v>
      </c>
      <c r="D2821">
        <v>-81.130200000000002</v>
      </c>
      <c r="E2821" t="s">
        <v>10382</v>
      </c>
    </row>
    <row r="2822" spans="1:5" hidden="1" x14ac:dyDescent="0.25">
      <c r="A2822" t="s">
        <v>10383</v>
      </c>
      <c r="B2822" t="s">
        <v>6226</v>
      </c>
      <c r="C2822">
        <v>37.557099999999998</v>
      </c>
      <c r="D2822">
        <v>-79.812299999999993</v>
      </c>
      <c r="E2822" t="s">
        <v>10384</v>
      </c>
    </row>
    <row r="2823" spans="1:5" hidden="1" x14ac:dyDescent="0.25">
      <c r="A2823" t="s">
        <v>556</v>
      </c>
      <c r="B2823" t="s">
        <v>6226</v>
      </c>
      <c r="C2823">
        <v>36.618000000000002</v>
      </c>
      <c r="D2823">
        <v>-82.160499999999999</v>
      </c>
      <c r="E2823" t="s">
        <v>10385</v>
      </c>
    </row>
    <row r="2824" spans="1:5" hidden="1" x14ac:dyDescent="0.25">
      <c r="A2824" t="s">
        <v>214</v>
      </c>
      <c r="B2824" t="s">
        <v>6226</v>
      </c>
      <c r="C2824">
        <v>36.764800000000001</v>
      </c>
      <c r="D2824">
        <v>-77.858999999999995</v>
      </c>
      <c r="E2824" t="s">
        <v>10386</v>
      </c>
    </row>
    <row r="2825" spans="1:5" hidden="1" x14ac:dyDescent="0.25">
      <c r="A2825" t="s">
        <v>7096</v>
      </c>
      <c r="B2825" t="s">
        <v>6226</v>
      </c>
      <c r="C2825">
        <v>37.266599999999997</v>
      </c>
      <c r="D2825">
        <v>-82.036000000000001</v>
      </c>
      <c r="E2825" t="s">
        <v>10387</v>
      </c>
    </row>
    <row r="2826" spans="1:5" hidden="1" x14ac:dyDescent="0.25">
      <c r="A2826" t="s">
        <v>10388</v>
      </c>
      <c r="B2826" t="s">
        <v>6226</v>
      </c>
      <c r="C2826">
        <v>37.572200000000002</v>
      </c>
      <c r="D2826">
        <v>-78.528800000000004</v>
      </c>
      <c r="E2826" t="s">
        <v>10389</v>
      </c>
    </row>
    <row r="2827" spans="1:5" hidden="1" x14ac:dyDescent="0.25">
      <c r="A2827" t="s">
        <v>7098</v>
      </c>
      <c r="B2827" t="s">
        <v>6226</v>
      </c>
      <c r="C2827">
        <v>37.731900000000003</v>
      </c>
      <c r="D2827">
        <v>-79.356800000000007</v>
      </c>
      <c r="E2827" t="s">
        <v>10390</v>
      </c>
    </row>
    <row r="2828" spans="1:5" hidden="1" x14ac:dyDescent="0.25">
      <c r="A2828" t="s">
        <v>1941</v>
      </c>
      <c r="B2828" t="s">
        <v>6226</v>
      </c>
      <c r="C2828">
        <v>37.205399999999997</v>
      </c>
      <c r="D2828">
        <v>-79.096599999999995</v>
      </c>
      <c r="E2828" t="s">
        <v>10391</v>
      </c>
    </row>
    <row r="2829" spans="1:5" hidden="1" x14ac:dyDescent="0.25">
      <c r="A2829" t="s">
        <v>641</v>
      </c>
      <c r="B2829" t="s">
        <v>6226</v>
      </c>
      <c r="C2829">
        <v>38.026699999999998</v>
      </c>
      <c r="D2829">
        <v>-77.347200000000001</v>
      </c>
      <c r="E2829" t="s">
        <v>10392</v>
      </c>
    </row>
    <row r="2830" spans="1:5" hidden="1" x14ac:dyDescent="0.25">
      <c r="A2830" t="s">
        <v>6340</v>
      </c>
      <c r="B2830" t="s">
        <v>6226</v>
      </c>
      <c r="C2830">
        <v>36.7316</v>
      </c>
      <c r="D2830">
        <v>-80.733900000000006</v>
      </c>
      <c r="E2830" t="s">
        <v>10393</v>
      </c>
    </row>
    <row r="2831" spans="1:5" hidden="1" x14ac:dyDescent="0.25">
      <c r="A2831" t="s">
        <v>5550</v>
      </c>
      <c r="B2831" t="s">
        <v>6226</v>
      </c>
      <c r="C2831">
        <v>37.356699999999996</v>
      </c>
      <c r="D2831">
        <v>-77.062200000000004</v>
      </c>
      <c r="E2831" t="s">
        <v>10394</v>
      </c>
    </row>
    <row r="2832" spans="1:5" hidden="1" x14ac:dyDescent="0.25">
      <c r="A2832" t="s">
        <v>2124</v>
      </c>
      <c r="B2832" t="s">
        <v>6226</v>
      </c>
      <c r="C2832">
        <v>37.011600000000001</v>
      </c>
      <c r="D2832">
        <v>-78.661600000000007</v>
      </c>
      <c r="E2832" t="s">
        <v>10395</v>
      </c>
    </row>
    <row r="2833" spans="1:5" hidden="1" x14ac:dyDescent="0.25">
      <c r="A2833" t="s">
        <v>10396</v>
      </c>
      <c r="B2833" t="s">
        <v>6226</v>
      </c>
      <c r="C2833">
        <v>38.037500000000001</v>
      </c>
      <c r="D2833">
        <v>-78.485500000000002</v>
      </c>
      <c r="E2833" t="s">
        <v>10397</v>
      </c>
    </row>
    <row r="2834" spans="1:5" hidden="1" x14ac:dyDescent="0.25">
      <c r="A2834" t="s">
        <v>2071</v>
      </c>
      <c r="B2834" t="s">
        <v>6226</v>
      </c>
      <c r="C2834">
        <v>36.677799999999998</v>
      </c>
      <c r="D2834">
        <v>-76.302300000000002</v>
      </c>
      <c r="E2834" t="s">
        <v>10398</v>
      </c>
    </row>
    <row r="2835" spans="1:5" hidden="1" x14ac:dyDescent="0.25">
      <c r="A2835" t="s">
        <v>2431</v>
      </c>
      <c r="B2835" t="s">
        <v>6226</v>
      </c>
      <c r="C2835">
        <v>37.378500000000003</v>
      </c>
      <c r="D2835">
        <v>-77.587000000000003</v>
      </c>
      <c r="E2835" t="s">
        <v>10399</v>
      </c>
    </row>
    <row r="2836" spans="1:5" hidden="1" x14ac:dyDescent="0.25">
      <c r="A2836" t="s">
        <v>5280</v>
      </c>
      <c r="B2836" t="s">
        <v>6226</v>
      </c>
      <c r="C2836">
        <v>39.112299999999998</v>
      </c>
      <c r="D2836">
        <v>-77.996700000000004</v>
      </c>
      <c r="E2836" t="s">
        <v>10400</v>
      </c>
    </row>
    <row r="2837" spans="1:5" hidden="1" x14ac:dyDescent="0.25">
      <c r="A2837" t="s">
        <v>10401</v>
      </c>
      <c r="B2837" t="s">
        <v>6226</v>
      </c>
      <c r="C2837">
        <v>37.265000000000001</v>
      </c>
      <c r="D2837">
        <v>-77.396900000000002</v>
      </c>
      <c r="E2837" t="s">
        <v>10402</v>
      </c>
    </row>
    <row r="2838" spans="1:5" hidden="1" x14ac:dyDescent="0.25">
      <c r="A2838" t="s">
        <v>6239</v>
      </c>
      <c r="B2838" t="s">
        <v>6226</v>
      </c>
      <c r="C2838">
        <v>37.778500000000001</v>
      </c>
      <c r="D2838">
        <v>-79.986800000000002</v>
      </c>
      <c r="E2838" t="s">
        <v>10403</v>
      </c>
    </row>
    <row r="2839" spans="1:5" hidden="1" x14ac:dyDescent="0.25">
      <c r="A2839" t="s">
        <v>9410</v>
      </c>
      <c r="B2839" t="s">
        <v>6226</v>
      </c>
      <c r="C2839">
        <v>37.481699999999996</v>
      </c>
      <c r="D2839">
        <v>-80.211399999999998</v>
      </c>
      <c r="E2839" t="s">
        <v>10404</v>
      </c>
    </row>
    <row r="2840" spans="1:5" hidden="1" x14ac:dyDescent="0.25">
      <c r="A2840" t="s">
        <v>10405</v>
      </c>
      <c r="B2840" t="s">
        <v>6226</v>
      </c>
      <c r="C2840">
        <v>38.485999999999997</v>
      </c>
      <c r="D2840">
        <v>-77.955799999999996</v>
      </c>
      <c r="E2840" t="s">
        <v>10406</v>
      </c>
    </row>
    <row r="2841" spans="1:5" hidden="1" x14ac:dyDescent="0.25">
      <c r="A2841" t="s">
        <v>7316</v>
      </c>
      <c r="B2841" t="s">
        <v>6226</v>
      </c>
      <c r="C2841">
        <v>37.512099999999997</v>
      </c>
      <c r="D2841">
        <v>-78.245000000000005</v>
      </c>
      <c r="E2841" t="s">
        <v>10407</v>
      </c>
    </row>
    <row r="2842" spans="1:5" hidden="1" x14ac:dyDescent="0.25">
      <c r="A2842" t="s">
        <v>10408</v>
      </c>
      <c r="B2842" t="s">
        <v>6226</v>
      </c>
      <c r="C2842">
        <v>36.583100000000002</v>
      </c>
      <c r="D2842">
        <v>-79.408699999999996</v>
      </c>
      <c r="E2842" t="s">
        <v>10409</v>
      </c>
    </row>
    <row r="2843" spans="1:5" hidden="1" x14ac:dyDescent="0.25">
      <c r="A2843" t="s">
        <v>3753</v>
      </c>
      <c r="B2843" t="s">
        <v>6226</v>
      </c>
      <c r="C2843">
        <v>37.125799999999998</v>
      </c>
      <c r="D2843">
        <v>-82.350399999999993</v>
      </c>
      <c r="E2843" t="s">
        <v>10410</v>
      </c>
    </row>
    <row r="2844" spans="1:5" hidden="1" x14ac:dyDescent="0.25">
      <c r="A2844" t="s">
        <v>10411</v>
      </c>
      <c r="B2844" t="s">
        <v>6226</v>
      </c>
      <c r="C2844">
        <v>37.076000000000001</v>
      </c>
      <c r="D2844">
        <v>-77.632300000000001</v>
      </c>
      <c r="E2844" t="s">
        <v>10412</v>
      </c>
    </row>
    <row r="2845" spans="1:5" hidden="1" x14ac:dyDescent="0.25">
      <c r="A2845" t="s">
        <v>10413</v>
      </c>
      <c r="B2845" t="s">
        <v>6226</v>
      </c>
      <c r="C2845">
        <v>36.6952</v>
      </c>
      <c r="D2845">
        <v>-77.5364</v>
      </c>
      <c r="E2845" t="s">
        <v>10414</v>
      </c>
    </row>
    <row r="2846" spans="1:5" hidden="1" x14ac:dyDescent="0.25">
      <c r="A2846" t="s">
        <v>7993</v>
      </c>
      <c r="B2846" t="s">
        <v>6226</v>
      </c>
      <c r="C2846">
        <v>37.942799999999998</v>
      </c>
      <c r="D2846">
        <v>-76.951899999999995</v>
      </c>
      <c r="E2846" t="s">
        <v>10415</v>
      </c>
    </row>
    <row r="2847" spans="1:5" hidden="1" x14ac:dyDescent="0.25">
      <c r="A2847" t="s">
        <v>10416</v>
      </c>
      <c r="B2847" t="s">
        <v>6226</v>
      </c>
      <c r="C2847">
        <v>38.836799999999997</v>
      </c>
      <c r="D2847">
        <v>-77.277000000000001</v>
      </c>
      <c r="E2847" t="s">
        <v>10417</v>
      </c>
    </row>
    <row r="2848" spans="1:5" hidden="1" x14ac:dyDescent="0.25">
      <c r="A2848" t="s">
        <v>10416</v>
      </c>
      <c r="B2848" t="s">
        <v>6226</v>
      </c>
      <c r="C2848">
        <v>38.853099999999998</v>
      </c>
      <c r="D2848">
        <v>-77.299800000000005</v>
      </c>
      <c r="E2848" t="s">
        <v>10417</v>
      </c>
    </row>
    <row r="2849" spans="1:5" hidden="1" x14ac:dyDescent="0.25">
      <c r="A2849" t="s">
        <v>10418</v>
      </c>
      <c r="B2849" t="s">
        <v>6226</v>
      </c>
      <c r="C2849">
        <v>38.884700000000002</v>
      </c>
      <c r="D2849">
        <v>-77.1751</v>
      </c>
      <c r="E2849" t="s">
        <v>10419</v>
      </c>
    </row>
    <row r="2850" spans="1:5" hidden="1" x14ac:dyDescent="0.25">
      <c r="A2850" t="s">
        <v>10420</v>
      </c>
      <c r="B2850" t="s">
        <v>6226</v>
      </c>
      <c r="C2850">
        <v>38.738599999999998</v>
      </c>
      <c r="D2850">
        <v>-77.809200000000004</v>
      </c>
      <c r="E2850" t="s">
        <v>10421</v>
      </c>
    </row>
    <row r="2851" spans="1:5" hidden="1" x14ac:dyDescent="0.25">
      <c r="A2851" t="s">
        <v>1320</v>
      </c>
      <c r="B2851" t="s">
        <v>6226</v>
      </c>
      <c r="C2851">
        <v>36.931600000000003</v>
      </c>
      <c r="D2851">
        <v>-80.362499999999997</v>
      </c>
      <c r="E2851" t="s">
        <v>10422</v>
      </c>
    </row>
    <row r="2852" spans="1:5" x14ac:dyDescent="0.25">
      <c r="A2852" t="s">
        <v>10423</v>
      </c>
      <c r="B2852" t="s">
        <v>6226</v>
      </c>
      <c r="C2852">
        <v>37.841900000000003</v>
      </c>
      <c r="D2852">
        <v>-78.277299999999997</v>
      </c>
      <c r="E2852" t="s">
        <v>10424</v>
      </c>
    </row>
    <row r="2853" spans="1:5" hidden="1" x14ac:dyDescent="0.25">
      <c r="A2853" t="s">
        <v>6260</v>
      </c>
      <c r="B2853" t="s">
        <v>6226</v>
      </c>
      <c r="C2853">
        <v>36.991999999999997</v>
      </c>
      <c r="D2853">
        <v>-79.881100000000004</v>
      </c>
      <c r="E2853" t="s">
        <v>10425</v>
      </c>
    </row>
    <row r="2854" spans="1:5" hidden="1" x14ac:dyDescent="0.25">
      <c r="A2854" t="s">
        <v>6260</v>
      </c>
      <c r="B2854" t="s">
        <v>6226</v>
      </c>
      <c r="C2854">
        <v>36.683100000000003</v>
      </c>
      <c r="D2854">
        <v>-76.938599999999994</v>
      </c>
      <c r="E2854" t="s">
        <v>10425</v>
      </c>
    </row>
    <row r="2855" spans="1:5" hidden="1" x14ac:dyDescent="0.25">
      <c r="A2855" t="s">
        <v>2499</v>
      </c>
      <c r="B2855" t="s">
        <v>6226</v>
      </c>
      <c r="C2855">
        <v>39.204599999999999</v>
      </c>
      <c r="D2855">
        <v>-78.262600000000006</v>
      </c>
      <c r="E2855" t="s">
        <v>10426</v>
      </c>
    </row>
    <row r="2856" spans="1:5" hidden="1" x14ac:dyDescent="0.25">
      <c r="A2856" t="s">
        <v>4511</v>
      </c>
      <c r="B2856" t="s">
        <v>6226</v>
      </c>
      <c r="C2856">
        <v>38.299199999999999</v>
      </c>
      <c r="D2856">
        <v>-77.487200000000001</v>
      </c>
      <c r="E2856" t="s">
        <v>10427</v>
      </c>
    </row>
    <row r="2857" spans="1:5" hidden="1" x14ac:dyDescent="0.25">
      <c r="A2857" t="s">
        <v>10428</v>
      </c>
      <c r="B2857" t="s">
        <v>6226</v>
      </c>
      <c r="C2857">
        <v>36.665999999999997</v>
      </c>
      <c r="D2857">
        <v>-80.917599999999993</v>
      </c>
      <c r="E2857" t="s">
        <v>10429</v>
      </c>
    </row>
    <row r="2858" spans="1:5" hidden="1" x14ac:dyDescent="0.25">
      <c r="A2858" t="s">
        <v>9842</v>
      </c>
      <c r="B2858" t="s">
        <v>6226</v>
      </c>
      <c r="C2858">
        <v>37.3142</v>
      </c>
      <c r="D2858">
        <v>-80.7029</v>
      </c>
      <c r="E2858" t="s">
        <v>10430</v>
      </c>
    </row>
    <row r="2859" spans="1:5" hidden="1" x14ac:dyDescent="0.25">
      <c r="A2859" t="s">
        <v>1409</v>
      </c>
      <c r="B2859" t="s">
        <v>6226</v>
      </c>
      <c r="C2859">
        <v>37.415999999999997</v>
      </c>
      <c r="D2859">
        <v>-76.543400000000005</v>
      </c>
      <c r="E2859" t="s">
        <v>10431</v>
      </c>
    </row>
    <row r="2860" spans="1:5" hidden="1" x14ac:dyDescent="0.25">
      <c r="A2860" t="s">
        <v>10432</v>
      </c>
      <c r="B2860" t="s">
        <v>6226</v>
      </c>
      <c r="C2860">
        <v>37.722099999999998</v>
      </c>
      <c r="D2860">
        <v>-77.915800000000004</v>
      </c>
      <c r="E2860" t="s">
        <v>10433</v>
      </c>
    </row>
    <row r="2861" spans="1:5" hidden="1" x14ac:dyDescent="0.25">
      <c r="A2861" t="s">
        <v>4215</v>
      </c>
      <c r="B2861" t="s">
        <v>6226</v>
      </c>
      <c r="C2861">
        <v>36.656500000000001</v>
      </c>
      <c r="D2861">
        <v>-81.224900000000005</v>
      </c>
      <c r="E2861" t="s">
        <v>10434</v>
      </c>
    </row>
    <row r="2862" spans="1:5" hidden="1" x14ac:dyDescent="0.25">
      <c r="A2862" t="s">
        <v>6264</v>
      </c>
      <c r="B2862" t="s">
        <v>6226</v>
      </c>
      <c r="C2862">
        <v>38.297600000000003</v>
      </c>
      <c r="D2862">
        <v>-78.466899999999995</v>
      </c>
      <c r="E2862" t="s">
        <v>10435</v>
      </c>
    </row>
    <row r="2863" spans="1:5" hidden="1" x14ac:dyDescent="0.25">
      <c r="A2863" t="s">
        <v>10436</v>
      </c>
      <c r="B2863" t="s">
        <v>6226</v>
      </c>
      <c r="C2863">
        <v>36.675899999999999</v>
      </c>
      <c r="D2863">
        <v>-77.559600000000003</v>
      </c>
      <c r="E2863" t="s">
        <v>10437</v>
      </c>
    </row>
    <row r="2864" spans="1:5" hidden="1" x14ac:dyDescent="0.25">
      <c r="A2864" t="s">
        <v>597</v>
      </c>
      <c r="B2864" t="s">
        <v>6226</v>
      </c>
      <c r="C2864">
        <v>36.7669</v>
      </c>
      <c r="D2864">
        <v>-78.936599999999999</v>
      </c>
      <c r="E2864" t="s">
        <v>10438</v>
      </c>
    </row>
    <row r="2865" spans="1:5" hidden="1" x14ac:dyDescent="0.25">
      <c r="A2865" t="s">
        <v>247</v>
      </c>
      <c r="B2865" t="s">
        <v>6226</v>
      </c>
      <c r="C2865">
        <v>37.055399999999999</v>
      </c>
      <c r="D2865">
        <v>-76.363200000000006</v>
      </c>
      <c r="E2865" t="s">
        <v>10439</v>
      </c>
    </row>
    <row r="2866" spans="1:5" hidden="1" x14ac:dyDescent="0.25">
      <c r="A2866" t="s">
        <v>10440</v>
      </c>
      <c r="B2866" t="s">
        <v>6226</v>
      </c>
      <c r="C2866">
        <v>37.760100000000001</v>
      </c>
      <c r="D2866">
        <v>-77.491</v>
      </c>
      <c r="E2866" t="s">
        <v>10441</v>
      </c>
    </row>
    <row r="2867" spans="1:5" hidden="1" x14ac:dyDescent="0.25">
      <c r="A2867" t="s">
        <v>10442</v>
      </c>
      <c r="B2867" t="s">
        <v>6226</v>
      </c>
      <c r="C2867">
        <v>38.436199999999999</v>
      </c>
      <c r="D2867">
        <v>-78.873500000000007</v>
      </c>
      <c r="E2867" t="s">
        <v>10443</v>
      </c>
    </row>
    <row r="2868" spans="1:5" hidden="1" x14ac:dyDescent="0.25">
      <c r="A2868" t="s">
        <v>10444</v>
      </c>
      <c r="B2868" t="s">
        <v>6226</v>
      </c>
      <c r="C2868">
        <v>37.537999999999997</v>
      </c>
      <c r="D2868">
        <v>-77.405799999999999</v>
      </c>
      <c r="E2868" t="s">
        <v>10445</v>
      </c>
    </row>
    <row r="2869" spans="1:5" hidden="1" x14ac:dyDescent="0.25">
      <c r="A2869" t="s">
        <v>334</v>
      </c>
      <c r="B2869" t="s">
        <v>6226</v>
      </c>
      <c r="C2869">
        <v>36.6828</v>
      </c>
      <c r="D2869">
        <v>-79.873999999999995</v>
      </c>
      <c r="E2869" t="s">
        <v>10446</v>
      </c>
    </row>
    <row r="2870" spans="1:5" hidden="1" x14ac:dyDescent="0.25">
      <c r="A2870" t="s">
        <v>9312</v>
      </c>
      <c r="B2870" t="s">
        <v>6226</v>
      </c>
      <c r="C2870">
        <v>38.362299999999998</v>
      </c>
      <c r="D2870">
        <v>-79.568600000000004</v>
      </c>
      <c r="E2870" t="s">
        <v>10447</v>
      </c>
    </row>
    <row r="2871" spans="1:5" hidden="1" x14ac:dyDescent="0.25">
      <c r="A2871" t="s">
        <v>1038</v>
      </c>
      <c r="B2871" t="s">
        <v>6226</v>
      </c>
      <c r="C2871">
        <v>37.291499999999999</v>
      </c>
      <c r="D2871">
        <v>-77.298500000000004</v>
      </c>
      <c r="E2871" t="s">
        <v>10448</v>
      </c>
    </row>
    <row r="2872" spans="1:5" hidden="1" x14ac:dyDescent="0.25">
      <c r="A2872" t="s">
        <v>1343</v>
      </c>
      <c r="B2872" t="s">
        <v>6226</v>
      </c>
      <c r="C2872">
        <v>36.891199999999998</v>
      </c>
      <c r="D2872">
        <v>-76.725899999999996</v>
      </c>
      <c r="E2872" t="s">
        <v>10449</v>
      </c>
    </row>
    <row r="2873" spans="1:5" hidden="1" x14ac:dyDescent="0.25">
      <c r="A2873" t="s">
        <v>10450</v>
      </c>
      <c r="B2873" t="s">
        <v>6226</v>
      </c>
      <c r="C2873">
        <v>37.328899999999997</v>
      </c>
      <c r="D2873">
        <v>-76.778899999999993</v>
      </c>
      <c r="E2873" t="s">
        <v>10451</v>
      </c>
    </row>
    <row r="2874" spans="1:5" hidden="1" x14ac:dyDescent="0.25">
      <c r="A2874" t="s">
        <v>2856</v>
      </c>
      <c r="B2874" t="s">
        <v>6226</v>
      </c>
      <c r="C2874">
        <v>38.273299999999999</v>
      </c>
      <c r="D2874">
        <v>-77.157200000000003</v>
      </c>
      <c r="E2874" t="s">
        <v>10452</v>
      </c>
    </row>
    <row r="2875" spans="1:5" hidden="1" x14ac:dyDescent="0.25">
      <c r="A2875" t="s">
        <v>10453</v>
      </c>
      <c r="B2875" t="s">
        <v>6226</v>
      </c>
      <c r="C2875">
        <v>37.706600000000002</v>
      </c>
      <c r="D2875">
        <v>-77.088499999999996</v>
      </c>
      <c r="E2875" t="s">
        <v>10454</v>
      </c>
    </row>
    <row r="2876" spans="1:5" hidden="1" x14ac:dyDescent="0.25">
      <c r="A2876" t="s">
        <v>10455</v>
      </c>
      <c r="B2876" t="s">
        <v>6226</v>
      </c>
      <c r="C2876">
        <v>37.718600000000002</v>
      </c>
      <c r="D2876">
        <v>-76.895300000000006</v>
      </c>
      <c r="E2876" t="s">
        <v>10456</v>
      </c>
    </row>
    <row r="2877" spans="1:5" hidden="1" x14ac:dyDescent="0.25">
      <c r="A2877" t="s">
        <v>1151</v>
      </c>
      <c r="B2877" t="s">
        <v>6226</v>
      </c>
      <c r="C2877">
        <v>37.734499999999997</v>
      </c>
      <c r="D2877">
        <v>-76.463200000000001</v>
      </c>
      <c r="E2877" t="s">
        <v>10457</v>
      </c>
    </row>
    <row r="2878" spans="1:5" hidden="1" x14ac:dyDescent="0.25">
      <c r="A2878" t="s">
        <v>2353</v>
      </c>
      <c r="B2878" t="s">
        <v>6226</v>
      </c>
      <c r="C2878">
        <v>36.705399999999997</v>
      </c>
      <c r="D2878">
        <v>-83.128600000000006</v>
      </c>
      <c r="E2878" t="s">
        <v>10458</v>
      </c>
    </row>
    <row r="2879" spans="1:5" hidden="1" x14ac:dyDescent="0.25">
      <c r="A2879" t="s">
        <v>9690</v>
      </c>
      <c r="B2879" t="s">
        <v>6226</v>
      </c>
      <c r="C2879">
        <v>37.782499999999999</v>
      </c>
      <c r="D2879">
        <v>-79.444000000000003</v>
      </c>
      <c r="E2879" t="s">
        <v>10459</v>
      </c>
    </row>
    <row r="2880" spans="1:5" hidden="1" x14ac:dyDescent="0.25">
      <c r="A2880" t="s">
        <v>10460</v>
      </c>
      <c r="B2880" t="s">
        <v>6226</v>
      </c>
      <c r="C2880">
        <v>39.090699999999998</v>
      </c>
      <c r="D2880">
        <v>-77.6357</v>
      </c>
      <c r="E2880" t="s">
        <v>10461</v>
      </c>
    </row>
    <row r="2881" spans="1:5" hidden="1" x14ac:dyDescent="0.25">
      <c r="A2881" t="s">
        <v>7161</v>
      </c>
      <c r="B2881" t="s">
        <v>6226</v>
      </c>
      <c r="C2881">
        <v>37.9786</v>
      </c>
      <c r="D2881">
        <v>-77.962999999999994</v>
      </c>
      <c r="E2881" t="s">
        <v>10462</v>
      </c>
    </row>
    <row r="2882" spans="1:5" hidden="1" x14ac:dyDescent="0.25">
      <c r="A2882" t="s">
        <v>10463</v>
      </c>
      <c r="B2882" t="s">
        <v>6226</v>
      </c>
      <c r="C2882">
        <v>36.946199999999997</v>
      </c>
      <c r="D2882">
        <v>-78.240600000000001</v>
      </c>
      <c r="E2882" t="s">
        <v>10464</v>
      </c>
    </row>
    <row r="2883" spans="1:5" hidden="1" x14ac:dyDescent="0.25">
      <c r="A2883" t="s">
        <v>10465</v>
      </c>
      <c r="B2883" t="s">
        <v>6226</v>
      </c>
      <c r="C2883">
        <v>37.400399999999998</v>
      </c>
      <c r="D2883">
        <v>-79.190799999999996</v>
      </c>
      <c r="E2883" t="s">
        <v>10466</v>
      </c>
    </row>
    <row r="2884" spans="1:5" hidden="1" x14ac:dyDescent="0.25">
      <c r="A2884" t="s">
        <v>6286</v>
      </c>
      <c r="B2884" t="s">
        <v>6226</v>
      </c>
      <c r="C2884">
        <v>38.413699999999999</v>
      </c>
      <c r="D2884">
        <v>-78.279200000000003</v>
      </c>
      <c r="E2884" t="s">
        <v>10467</v>
      </c>
    </row>
    <row r="2885" spans="1:5" hidden="1" x14ac:dyDescent="0.25">
      <c r="A2885" t="s">
        <v>10468</v>
      </c>
      <c r="B2885" t="s">
        <v>6226</v>
      </c>
      <c r="C2885">
        <v>38.747900000000001</v>
      </c>
      <c r="D2885">
        <v>-77.483900000000006</v>
      </c>
      <c r="E2885" t="s">
        <v>10469</v>
      </c>
    </row>
    <row r="2886" spans="1:5" hidden="1" x14ac:dyDescent="0.25">
      <c r="A2886" t="s">
        <v>10470</v>
      </c>
      <c r="B2886" t="s">
        <v>6226</v>
      </c>
      <c r="C2886">
        <v>38.770899999999997</v>
      </c>
      <c r="D2886">
        <v>-77.442899999999995</v>
      </c>
      <c r="E2886" t="s">
        <v>10471</v>
      </c>
    </row>
    <row r="2887" spans="1:5" hidden="1" x14ac:dyDescent="0.25">
      <c r="A2887" t="s">
        <v>10472</v>
      </c>
      <c r="B2887" t="s">
        <v>6226</v>
      </c>
      <c r="C2887">
        <v>36.682699999999997</v>
      </c>
      <c r="D2887">
        <v>-79.863600000000005</v>
      </c>
      <c r="E2887" t="s">
        <v>10473</v>
      </c>
    </row>
    <row r="2888" spans="1:5" hidden="1" x14ac:dyDescent="0.25">
      <c r="A2888" t="s">
        <v>10474</v>
      </c>
      <c r="B2888" t="s">
        <v>6226</v>
      </c>
      <c r="C2888">
        <v>37.435299999999998</v>
      </c>
      <c r="D2888">
        <v>-76.343800000000002</v>
      </c>
      <c r="E2888" t="s">
        <v>10475</v>
      </c>
    </row>
    <row r="2889" spans="1:5" hidden="1" x14ac:dyDescent="0.25">
      <c r="A2889" t="s">
        <v>8787</v>
      </c>
      <c r="B2889" t="s">
        <v>6226</v>
      </c>
      <c r="C2889">
        <v>36.680399999999999</v>
      </c>
      <c r="D2889">
        <v>-78.362700000000004</v>
      </c>
      <c r="E2889" t="s">
        <v>10476</v>
      </c>
    </row>
    <row r="2890" spans="1:5" hidden="1" x14ac:dyDescent="0.25">
      <c r="A2890" t="s">
        <v>428</v>
      </c>
      <c r="B2890" t="s">
        <v>6226</v>
      </c>
      <c r="C2890">
        <v>37.630299999999998</v>
      </c>
      <c r="D2890">
        <v>-76.569800000000001</v>
      </c>
      <c r="E2890" t="s">
        <v>10477</v>
      </c>
    </row>
    <row r="2891" spans="1:5" hidden="1" x14ac:dyDescent="0.25">
      <c r="A2891" t="s">
        <v>6297</v>
      </c>
      <c r="B2891" t="s">
        <v>6226</v>
      </c>
      <c r="C2891">
        <v>37.174300000000002</v>
      </c>
      <c r="D2891">
        <v>-80.387200000000007</v>
      </c>
      <c r="E2891" t="s">
        <v>10478</v>
      </c>
    </row>
    <row r="2892" spans="1:5" hidden="1" x14ac:dyDescent="0.25">
      <c r="A2892" t="s">
        <v>7835</v>
      </c>
      <c r="B2892" t="s">
        <v>6226</v>
      </c>
      <c r="C2892">
        <v>37.787399999999998</v>
      </c>
      <c r="D2892">
        <v>-78.886799999999994</v>
      </c>
      <c r="E2892" t="s">
        <v>10479</v>
      </c>
    </row>
    <row r="2893" spans="1:5" hidden="1" x14ac:dyDescent="0.25">
      <c r="A2893" t="s">
        <v>5459</v>
      </c>
      <c r="B2893" t="s">
        <v>6226</v>
      </c>
      <c r="C2893">
        <v>37.505200000000002</v>
      </c>
      <c r="D2893">
        <v>-76.997399999999999</v>
      </c>
      <c r="E2893" t="s">
        <v>10480</v>
      </c>
    </row>
    <row r="2894" spans="1:5" hidden="1" x14ac:dyDescent="0.25">
      <c r="A2894" t="s">
        <v>10481</v>
      </c>
      <c r="B2894" t="s">
        <v>6226</v>
      </c>
      <c r="C2894">
        <v>37.104999999999997</v>
      </c>
      <c r="D2894">
        <v>-76.518100000000004</v>
      </c>
      <c r="E2894" t="s">
        <v>10482</v>
      </c>
    </row>
    <row r="2895" spans="1:5" hidden="1" x14ac:dyDescent="0.25">
      <c r="A2895" t="s">
        <v>169</v>
      </c>
      <c r="B2895" t="s">
        <v>6226</v>
      </c>
      <c r="C2895">
        <v>36.8947</v>
      </c>
      <c r="D2895">
        <v>-76.257000000000005</v>
      </c>
      <c r="E2895" t="s">
        <v>10483</v>
      </c>
    </row>
    <row r="2896" spans="1:5" hidden="1" x14ac:dyDescent="0.25">
      <c r="A2896" t="s">
        <v>2166</v>
      </c>
      <c r="B2896" t="s">
        <v>6226</v>
      </c>
      <c r="C2896">
        <v>37.344000000000001</v>
      </c>
      <c r="D2896">
        <v>-75.877200000000002</v>
      </c>
      <c r="E2896" t="s">
        <v>10484</v>
      </c>
    </row>
    <row r="2897" spans="1:5" hidden="1" x14ac:dyDescent="0.25">
      <c r="A2897" t="s">
        <v>3015</v>
      </c>
      <c r="B2897" t="s">
        <v>6226</v>
      </c>
      <c r="C2897">
        <v>37.887300000000003</v>
      </c>
      <c r="D2897">
        <v>-76.419499999999999</v>
      </c>
      <c r="E2897" t="s">
        <v>10485</v>
      </c>
    </row>
    <row r="2898" spans="1:5" hidden="1" x14ac:dyDescent="0.25">
      <c r="A2898" t="s">
        <v>7656</v>
      </c>
      <c r="B2898" t="s">
        <v>6226</v>
      </c>
      <c r="C2898">
        <v>36.9315</v>
      </c>
      <c r="D2898">
        <v>-82.626199999999997</v>
      </c>
      <c r="E2898" t="s">
        <v>10486</v>
      </c>
    </row>
    <row r="2899" spans="1:5" hidden="1" x14ac:dyDescent="0.25">
      <c r="A2899" t="s">
        <v>10487</v>
      </c>
      <c r="B2899" t="s">
        <v>6226</v>
      </c>
      <c r="C2899">
        <v>37.143000000000001</v>
      </c>
      <c r="D2899">
        <v>-78.051199999999994</v>
      </c>
      <c r="E2899" t="s">
        <v>10488</v>
      </c>
    </row>
    <row r="2900" spans="1:5" hidden="1" x14ac:dyDescent="0.25">
      <c r="A2900" t="s">
        <v>6526</v>
      </c>
      <c r="B2900" t="s">
        <v>6226</v>
      </c>
      <c r="C2900">
        <v>38.246099999999998</v>
      </c>
      <c r="D2900">
        <v>-78.013999999999996</v>
      </c>
      <c r="E2900" t="s">
        <v>10489</v>
      </c>
    </row>
    <row r="2901" spans="1:5" hidden="1" x14ac:dyDescent="0.25">
      <c r="A2901" t="s">
        <v>4707</v>
      </c>
      <c r="B2901" t="s">
        <v>6226</v>
      </c>
      <c r="C2901">
        <v>38.619399999999999</v>
      </c>
      <c r="D2901">
        <v>-78.484399999999994</v>
      </c>
      <c r="E2901" t="s">
        <v>10490</v>
      </c>
    </row>
    <row r="2902" spans="1:5" hidden="1" x14ac:dyDescent="0.25">
      <c r="A2902" t="s">
        <v>1143</v>
      </c>
      <c r="B2902" t="s">
        <v>6226</v>
      </c>
      <c r="C2902">
        <v>36.6783</v>
      </c>
      <c r="D2902">
        <v>-80.284400000000005</v>
      </c>
      <c r="E2902" t="s">
        <v>10491</v>
      </c>
    </row>
    <row r="2903" spans="1:5" hidden="1" x14ac:dyDescent="0.25">
      <c r="A2903" t="s">
        <v>3997</v>
      </c>
      <c r="B2903" t="s">
        <v>6226</v>
      </c>
      <c r="C2903">
        <v>37.204300000000003</v>
      </c>
      <c r="D2903">
        <v>-77.391300000000001</v>
      </c>
      <c r="E2903" t="s">
        <v>10492</v>
      </c>
    </row>
    <row r="2904" spans="1:5" hidden="1" x14ac:dyDescent="0.25">
      <c r="A2904" t="s">
        <v>10493</v>
      </c>
      <c r="B2904" t="s">
        <v>6226</v>
      </c>
      <c r="C2904">
        <v>36.821300000000001</v>
      </c>
      <c r="D2904">
        <v>-79.397099999999995</v>
      </c>
      <c r="E2904" t="s">
        <v>10494</v>
      </c>
    </row>
    <row r="2905" spans="1:5" hidden="1" x14ac:dyDescent="0.25">
      <c r="A2905" t="s">
        <v>10495</v>
      </c>
      <c r="B2905" t="s">
        <v>6226</v>
      </c>
      <c r="C2905">
        <v>37.130899999999997</v>
      </c>
      <c r="D2905">
        <v>-76.356899999999996</v>
      </c>
      <c r="E2905" t="s">
        <v>10496</v>
      </c>
    </row>
    <row r="2906" spans="1:5" hidden="1" x14ac:dyDescent="0.25">
      <c r="A2906" t="s">
        <v>143</v>
      </c>
      <c r="B2906" t="s">
        <v>6226</v>
      </c>
      <c r="C2906">
        <v>36.845300000000002</v>
      </c>
      <c r="D2906">
        <v>-76.355400000000003</v>
      </c>
      <c r="E2906" t="s">
        <v>10497</v>
      </c>
    </row>
    <row r="2907" spans="1:5" hidden="1" x14ac:dyDescent="0.25">
      <c r="A2907" t="s">
        <v>10498</v>
      </c>
      <c r="B2907" t="s">
        <v>6226</v>
      </c>
      <c r="C2907">
        <v>37.550199999999997</v>
      </c>
      <c r="D2907">
        <v>-77.915199999999999</v>
      </c>
      <c r="E2907" t="s">
        <v>10499</v>
      </c>
    </row>
    <row r="2908" spans="1:5" hidden="1" x14ac:dyDescent="0.25">
      <c r="A2908" t="s">
        <v>10500</v>
      </c>
      <c r="B2908" t="s">
        <v>6226</v>
      </c>
      <c r="C2908">
        <v>37.224299999999999</v>
      </c>
      <c r="D2908">
        <v>-78.441100000000006</v>
      </c>
      <c r="E2908" t="s">
        <v>10501</v>
      </c>
    </row>
    <row r="2909" spans="1:5" hidden="1" x14ac:dyDescent="0.25">
      <c r="A2909" t="s">
        <v>1998</v>
      </c>
      <c r="B2909" t="s">
        <v>6226</v>
      </c>
      <c r="C2909">
        <v>37.186500000000002</v>
      </c>
      <c r="D2909">
        <v>-77.224199999999996</v>
      </c>
      <c r="E2909" t="s">
        <v>10502</v>
      </c>
    </row>
    <row r="2910" spans="1:5" hidden="1" x14ac:dyDescent="0.25">
      <c r="A2910" t="s">
        <v>10503</v>
      </c>
      <c r="B2910" t="s">
        <v>6226</v>
      </c>
      <c r="C2910">
        <v>38.7029</v>
      </c>
      <c r="D2910">
        <v>-77.480900000000005</v>
      </c>
      <c r="E2910" t="s">
        <v>10504</v>
      </c>
    </row>
    <row r="2911" spans="1:5" hidden="1" x14ac:dyDescent="0.25">
      <c r="A2911" t="s">
        <v>6416</v>
      </c>
      <c r="B2911" t="s">
        <v>6226</v>
      </c>
      <c r="C2911">
        <v>37.063600000000001</v>
      </c>
      <c r="D2911">
        <v>-80.714399999999998</v>
      </c>
      <c r="E2911" t="s">
        <v>10505</v>
      </c>
    </row>
    <row r="2912" spans="1:5" hidden="1" x14ac:dyDescent="0.25">
      <c r="A2912" t="s">
        <v>10506</v>
      </c>
      <c r="B2912" t="s">
        <v>6226</v>
      </c>
      <c r="C2912">
        <v>37.122900000000001</v>
      </c>
      <c r="D2912">
        <v>-80.558700000000002</v>
      </c>
      <c r="E2912" t="s">
        <v>10507</v>
      </c>
    </row>
    <row r="2913" spans="1:5" x14ac:dyDescent="0.25">
      <c r="A2913" t="s">
        <v>1351</v>
      </c>
      <c r="B2913" t="s">
        <v>6226</v>
      </c>
      <c r="C2913">
        <v>38.684800000000003</v>
      </c>
      <c r="D2913">
        <v>-78.159199999999998</v>
      </c>
      <c r="E2913" t="s">
        <v>10508</v>
      </c>
    </row>
    <row r="2914" spans="1:5" hidden="1" x14ac:dyDescent="0.25">
      <c r="A2914" t="s">
        <v>272</v>
      </c>
      <c r="B2914" t="s">
        <v>6226</v>
      </c>
      <c r="C2914">
        <v>37.529400000000003</v>
      </c>
      <c r="D2914">
        <v>-77.4756</v>
      </c>
      <c r="E2914" t="s">
        <v>10509</v>
      </c>
    </row>
    <row r="2915" spans="1:5" hidden="1" x14ac:dyDescent="0.25">
      <c r="A2915" t="s">
        <v>272</v>
      </c>
      <c r="B2915" t="s">
        <v>6226</v>
      </c>
      <c r="C2915">
        <v>37.942599999999999</v>
      </c>
      <c r="D2915">
        <v>-76.725200000000001</v>
      </c>
      <c r="E2915" t="s">
        <v>10509</v>
      </c>
    </row>
    <row r="2916" spans="1:5" hidden="1" x14ac:dyDescent="0.25">
      <c r="A2916" t="s">
        <v>10510</v>
      </c>
      <c r="B2916" t="s">
        <v>6226</v>
      </c>
      <c r="C2916">
        <v>37.278500000000001</v>
      </c>
      <c r="D2916">
        <v>-79.957999999999998</v>
      </c>
      <c r="E2916" t="s">
        <v>10511</v>
      </c>
    </row>
    <row r="2917" spans="1:5" hidden="1" x14ac:dyDescent="0.25">
      <c r="A2917" t="s">
        <v>10510</v>
      </c>
      <c r="B2917" t="s">
        <v>6226</v>
      </c>
      <c r="C2917">
        <v>37.269300000000001</v>
      </c>
      <c r="D2917">
        <v>-80.067999999999998</v>
      </c>
      <c r="E2917" t="s">
        <v>10511</v>
      </c>
    </row>
    <row r="2918" spans="1:5" hidden="1" x14ac:dyDescent="0.25">
      <c r="A2918" t="s">
        <v>10512</v>
      </c>
      <c r="B2918" t="s">
        <v>6226</v>
      </c>
      <c r="C2918">
        <v>37.814500000000002</v>
      </c>
      <c r="D2918">
        <v>-79.447299999999998</v>
      </c>
      <c r="E2918" t="s">
        <v>10513</v>
      </c>
    </row>
    <row r="2919" spans="1:5" hidden="1" x14ac:dyDescent="0.25">
      <c r="A2919" t="s">
        <v>8815</v>
      </c>
      <c r="B2919" t="s">
        <v>6226</v>
      </c>
      <c r="C2919">
        <v>38.512</v>
      </c>
      <c r="D2919">
        <v>-78.875699999999995</v>
      </c>
      <c r="E2919" t="s">
        <v>10514</v>
      </c>
    </row>
    <row r="2920" spans="1:5" hidden="1" x14ac:dyDescent="0.25">
      <c r="A2920" t="s">
        <v>6307</v>
      </c>
      <c r="B2920" t="s">
        <v>6226</v>
      </c>
      <c r="C2920">
        <v>36.933900000000001</v>
      </c>
      <c r="D2920">
        <v>-82.095399999999998</v>
      </c>
      <c r="E2920" t="s">
        <v>10515</v>
      </c>
    </row>
    <row r="2921" spans="1:5" hidden="1" x14ac:dyDescent="0.25">
      <c r="A2921" t="s">
        <v>4128</v>
      </c>
      <c r="B2921" t="s">
        <v>6226</v>
      </c>
      <c r="C2921">
        <v>37.2864</v>
      </c>
      <c r="D2921">
        <v>-80.055400000000006</v>
      </c>
      <c r="E2921" t="s">
        <v>10516</v>
      </c>
    </row>
    <row r="2922" spans="1:5" hidden="1" x14ac:dyDescent="0.25">
      <c r="A2922" t="s">
        <v>5291</v>
      </c>
      <c r="B2922" t="s">
        <v>6226</v>
      </c>
      <c r="C2922">
        <v>36.714300000000001</v>
      </c>
      <c r="D2922">
        <v>-82.602900000000005</v>
      </c>
      <c r="E2922" t="s">
        <v>10517</v>
      </c>
    </row>
    <row r="2923" spans="1:5" hidden="1" x14ac:dyDescent="0.25">
      <c r="A2923" t="s">
        <v>10518</v>
      </c>
      <c r="B2923" t="s">
        <v>6226</v>
      </c>
      <c r="C2923">
        <v>38.8583</v>
      </c>
      <c r="D2923">
        <v>-78.570899999999995</v>
      </c>
      <c r="E2923" t="s">
        <v>10519</v>
      </c>
    </row>
    <row r="2924" spans="1:5" hidden="1" x14ac:dyDescent="0.25">
      <c r="A2924" t="s">
        <v>10520</v>
      </c>
      <c r="B2924" t="s">
        <v>6226</v>
      </c>
      <c r="C2924">
        <v>36.843800000000002</v>
      </c>
      <c r="D2924">
        <v>-81.537000000000006</v>
      </c>
      <c r="E2924" t="s">
        <v>10521</v>
      </c>
    </row>
    <row r="2925" spans="1:5" hidden="1" x14ac:dyDescent="0.25">
      <c r="A2925" t="s">
        <v>2154</v>
      </c>
      <c r="B2925" t="s">
        <v>6226</v>
      </c>
      <c r="C2925">
        <v>36.720399999999998</v>
      </c>
      <c r="D2925">
        <v>-77.106200000000001</v>
      </c>
      <c r="E2925" t="s">
        <v>10522</v>
      </c>
    </row>
    <row r="2926" spans="1:5" hidden="1" x14ac:dyDescent="0.25">
      <c r="A2926" t="s">
        <v>10523</v>
      </c>
      <c r="B2926" t="s">
        <v>6226</v>
      </c>
      <c r="C2926">
        <v>38.185099999999998</v>
      </c>
      <c r="D2926">
        <v>-77.656099999999995</v>
      </c>
      <c r="E2926" t="s">
        <v>10524</v>
      </c>
    </row>
    <row r="2927" spans="1:5" hidden="1" x14ac:dyDescent="0.25">
      <c r="A2927" t="s">
        <v>575</v>
      </c>
      <c r="B2927" t="s">
        <v>6226</v>
      </c>
      <c r="C2927">
        <v>38.420699999999997</v>
      </c>
      <c r="D2927">
        <v>-77.457999999999998</v>
      </c>
      <c r="E2927" t="s">
        <v>10525</v>
      </c>
    </row>
    <row r="2928" spans="1:5" hidden="1" x14ac:dyDescent="0.25">
      <c r="A2928" t="s">
        <v>10526</v>
      </c>
      <c r="B2928" t="s">
        <v>6226</v>
      </c>
      <c r="C2928">
        <v>38.159300000000002</v>
      </c>
      <c r="D2928">
        <v>-79.061099999999996</v>
      </c>
      <c r="E2928" t="s">
        <v>10527</v>
      </c>
    </row>
    <row r="2929" spans="1:5" hidden="1" x14ac:dyDescent="0.25">
      <c r="A2929" t="s">
        <v>1059</v>
      </c>
      <c r="B2929" t="s">
        <v>6226</v>
      </c>
      <c r="C2929">
        <v>36.695300000000003</v>
      </c>
      <c r="D2929">
        <v>-76.639799999999994</v>
      </c>
      <c r="E2929" t="s">
        <v>10528</v>
      </c>
    </row>
    <row r="2930" spans="1:5" hidden="1" x14ac:dyDescent="0.25">
      <c r="A2930" t="s">
        <v>8824</v>
      </c>
      <c r="B2930" t="s">
        <v>6226</v>
      </c>
      <c r="C2930">
        <v>37.1098</v>
      </c>
      <c r="D2930">
        <v>-76.900199999999998</v>
      </c>
      <c r="E2930" t="s">
        <v>10529</v>
      </c>
    </row>
    <row r="2931" spans="1:5" hidden="1" x14ac:dyDescent="0.25">
      <c r="A2931" t="s">
        <v>6722</v>
      </c>
      <c r="B2931" t="s">
        <v>6226</v>
      </c>
      <c r="C2931">
        <v>36.921799999999998</v>
      </c>
      <c r="D2931">
        <v>-77.261799999999994</v>
      </c>
      <c r="E2931" t="s">
        <v>10530</v>
      </c>
    </row>
    <row r="2932" spans="1:5" hidden="1" x14ac:dyDescent="0.25">
      <c r="A2932" t="s">
        <v>7416</v>
      </c>
      <c r="B2932" t="s">
        <v>6226</v>
      </c>
      <c r="C2932">
        <v>37.125</v>
      </c>
      <c r="D2932">
        <v>-81.560599999999994</v>
      </c>
      <c r="E2932" t="s">
        <v>10531</v>
      </c>
    </row>
    <row r="2933" spans="1:5" hidden="1" x14ac:dyDescent="0.25">
      <c r="A2933" t="s">
        <v>10532</v>
      </c>
      <c r="B2933" t="s">
        <v>6226</v>
      </c>
      <c r="C2933">
        <v>36.733499999999999</v>
      </c>
      <c r="D2933">
        <v>-76.043499999999995</v>
      </c>
      <c r="E2933" t="s">
        <v>10533</v>
      </c>
    </row>
    <row r="2934" spans="1:5" hidden="1" x14ac:dyDescent="0.25">
      <c r="A2934" t="s">
        <v>448</v>
      </c>
      <c r="B2934" t="s">
        <v>6226</v>
      </c>
      <c r="C2934">
        <v>38.908700000000003</v>
      </c>
      <c r="D2934">
        <v>-78.208500000000001</v>
      </c>
      <c r="E2934" t="s">
        <v>10534</v>
      </c>
    </row>
    <row r="2935" spans="1:5" hidden="1" x14ac:dyDescent="0.25">
      <c r="A2935" t="s">
        <v>3052</v>
      </c>
      <c r="B2935" t="s">
        <v>6226</v>
      </c>
      <c r="C2935">
        <v>36.724400000000003</v>
      </c>
      <c r="D2935">
        <v>-81.959800000000001</v>
      </c>
      <c r="E2935" t="s">
        <v>10535</v>
      </c>
    </row>
    <row r="2936" spans="1:5" hidden="1" x14ac:dyDescent="0.25">
      <c r="A2936" t="s">
        <v>10536</v>
      </c>
      <c r="B2936" t="s">
        <v>6226</v>
      </c>
      <c r="C2936">
        <v>38.067399999999999</v>
      </c>
      <c r="D2936">
        <v>-78.901399999999995</v>
      </c>
      <c r="E2936" t="s">
        <v>10537</v>
      </c>
    </row>
    <row r="2937" spans="1:5" hidden="1" x14ac:dyDescent="0.25">
      <c r="A2937" t="s">
        <v>1212</v>
      </c>
      <c r="B2937" t="s">
        <v>6226</v>
      </c>
      <c r="C2937">
        <v>38.112000000000002</v>
      </c>
      <c r="D2937">
        <v>-76.804199999999994</v>
      </c>
      <c r="E2937" t="s">
        <v>10538</v>
      </c>
    </row>
    <row r="2938" spans="1:5" hidden="1" x14ac:dyDescent="0.25">
      <c r="A2938" t="s">
        <v>1247</v>
      </c>
      <c r="B2938" t="s">
        <v>6226</v>
      </c>
      <c r="C2938">
        <v>37.269300000000001</v>
      </c>
      <c r="D2938">
        <v>-76.707599999999999</v>
      </c>
      <c r="E2938" t="s">
        <v>10539</v>
      </c>
    </row>
    <row r="2939" spans="1:5" hidden="1" x14ac:dyDescent="0.25">
      <c r="A2939" t="s">
        <v>10540</v>
      </c>
      <c r="B2939" t="s">
        <v>6226</v>
      </c>
      <c r="C2939">
        <v>39.173499999999997</v>
      </c>
      <c r="D2939">
        <v>-78.174599999999998</v>
      </c>
      <c r="E2939" t="s">
        <v>10541</v>
      </c>
    </row>
    <row r="2940" spans="1:5" hidden="1" x14ac:dyDescent="0.25">
      <c r="A2940" t="s">
        <v>391</v>
      </c>
      <c r="B2940" t="s">
        <v>6226</v>
      </c>
      <c r="C2940">
        <v>36.975200000000001</v>
      </c>
      <c r="D2940">
        <v>-82.621200000000002</v>
      </c>
      <c r="E2940" t="s">
        <v>10542</v>
      </c>
    </row>
    <row r="2941" spans="1:5" hidden="1" x14ac:dyDescent="0.25">
      <c r="A2941" t="s">
        <v>10543</v>
      </c>
      <c r="B2941" t="s">
        <v>6226</v>
      </c>
      <c r="C2941">
        <v>36.917099999999998</v>
      </c>
      <c r="D2941">
        <v>-81.078699999999998</v>
      </c>
      <c r="E2941" t="s">
        <v>10544</v>
      </c>
    </row>
    <row r="2942" spans="1:5" hidden="1" x14ac:dyDescent="0.25">
      <c r="A2942" t="s">
        <v>991</v>
      </c>
      <c r="B2942" t="s">
        <v>6226</v>
      </c>
      <c r="C2942">
        <v>37.243099999999998</v>
      </c>
      <c r="D2942">
        <v>-76.563500000000005</v>
      </c>
      <c r="E2942" t="s">
        <v>10545</v>
      </c>
    </row>
    <row r="2943" spans="1:5" hidden="1" x14ac:dyDescent="0.25">
      <c r="A2943" t="s">
        <v>10546</v>
      </c>
      <c r="B2943" t="s">
        <v>6229</v>
      </c>
      <c r="C2943">
        <v>44.030900000000003</v>
      </c>
      <c r="D2943">
        <v>-73.140799999999999</v>
      </c>
      <c r="E2943" t="s">
        <v>10547</v>
      </c>
    </row>
    <row r="2944" spans="1:5" hidden="1" x14ac:dyDescent="0.25">
      <c r="A2944" t="s">
        <v>10548</v>
      </c>
      <c r="B2944" t="s">
        <v>6229</v>
      </c>
      <c r="C2944">
        <v>43.035400000000003</v>
      </c>
      <c r="D2944">
        <v>-73.093199999999996</v>
      </c>
      <c r="E2944" t="s">
        <v>10549</v>
      </c>
    </row>
    <row r="2945" spans="1:5" hidden="1" x14ac:dyDescent="0.25">
      <c r="A2945" t="s">
        <v>10550</v>
      </c>
      <c r="B2945" t="s">
        <v>6229</v>
      </c>
      <c r="C2945">
        <v>44.464700000000001</v>
      </c>
      <c r="D2945">
        <v>-72.102199999999996</v>
      </c>
      <c r="E2945" t="s">
        <v>10551</v>
      </c>
    </row>
    <row r="2946" spans="1:5" hidden="1" x14ac:dyDescent="0.25">
      <c r="A2946" t="s">
        <v>10552</v>
      </c>
      <c r="B2946" t="s">
        <v>6229</v>
      </c>
      <c r="C2946">
        <v>44.461100000000002</v>
      </c>
      <c r="D2946">
        <v>-73.081299999999999</v>
      </c>
      <c r="E2946" t="s">
        <v>10553</v>
      </c>
    </row>
    <row r="2947" spans="1:5" hidden="1" x14ac:dyDescent="0.25">
      <c r="A2947" t="s">
        <v>7993</v>
      </c>
      <c r="B2947" t="s">
        <v>6229</v>
      </c>
      <c r="C2947">
        <v>44.727499999999999</v>
      </c>
      <c r="D2947">
        <v>-71.735900000000001</v>
      </c>
      <c r="E2947" t="s">
        <v>10554</v>
      </c>
    </row>
    <row r="2948" spans="1:5" hidden="1" x14ac:dyDescent="0.25">
      <c r="A2948" t="s">
        <v>6260</v>
      </c>
      <c r="B2948" t="s">
        <v>6229</v>
      </c>
      <c r="C2948">
        <v>44.857599999999998</v>
      </c>
      <c r="D2948">
        <v>-72.9131</v>
      </c>
      <c r="E2948" t="s">
        <v>10555</v>
      </c>
    </row>
    <row r="2949" spans="1:5" hidden="1" x14ac:dyDescent="0.25">
      <c r="A2949" t="s">
        <v>10556</v>
      </c>
      <c r="B2949" t="s">
        <v>6229</v>
      </c>
      <c r="C2949">
        <v>44.798099999999998</v>
      </c>
      <c r="D2949">
        <v>-73.294799999999995</v>
      </c>
      <c r="E2949" t="s">
        <v>10557</v>
      </c>
    </row>
    <row r="2950" spans="1:5" hidden="1" x14ac:dyDescent="0.25">
      <c r="A2950" t="s">
        <v>10558</v>
      </c>
      <c r="B2950" t="s">
        <v>6229</v>
      </c>
      <c r="C2950">
        <v>44.606999999999999</v>
      </c>
      <c r="D2950">
        <v>-72.641900000000007</v>
      </c>
      <c r="E2950" t="s">
        <v>10559</v>
      </c>
    </row>
    <row r="2951" spans="1:5" hidden="1" x14ac:dyDescent="0.25">
      <c r="A2951" t="s">
        <v>6526</v>
      </c>
      <c r="B2951" t="s">
        <v>6229</v>
      </c>
      <c r="C2951">
        <v>44.005600000000001</v>
      </c>
      <c r="D2951">
        <v>-72.376800000000003</v>
      </c>
      <c r="E2951" t="s">
        <v>10560</v>
      </c>
    </row>
    <row r="2952" spans="1:5" hidden="1" x14ac:dyDescent="0.25">
      <c r="A2952" t="s">
        <v>7934</v>
      </c>
      <c r="B2952" t="s">
        <v>6229</v>
      </c>
      <c r="C2952">
        <v>44.829000000000001</v>
      </c>
      <c r="D2952">
        <v>-72.243600000000001</v>
      </c>
      <c r="E2952" t="s">
        <v>10561</v>
      </c>
    </row>
    <row r="2953" spans="1:5" hidden="1" x14ac:dyDescent="0.25">
      <c r="A2953" t="s">
        <v>10562</v>
      </c>
      <c r="B2953" t="s">
        <v>6229</v>
      </c>
      <c r="C2953">
        <v>43.580100000000002</v>
      </c>
      <c r="D2953">
        <v>-73.036299999999997</v>
      </c>
      <c r="E2953" t="s">
        <v>10563</v>
      </c>
    </row>
    <row r="2954" spans="1:5" hidden="1" x14ac:dyDescent="0.25">
      <c r="A2954" t="s">
        <v>3052</v>
      </c>
      <c r="B2954" t="s">
        <v>6229</v>
      </c>
      <c r="C2954">
        <v>44.273600000000002</v>
      </c>
      <c r="D2954">
        <v>-72.614699999999999</v>
      </c>
      <c r="E2954" t="s">
        <v>10564</v>
      </c>
    </row>
    <row r="2955" spans="1:5" hidden="1" x14ac:dyDescent="0.25">
      <c r="A2955" t="s">
        <v>10565</v>
      </c>
      <c r="B2955" t="s">
        <v>6229</v>
      </c>
      <c r="C2955">
        <v>42.990600000000001</v>
      </c>
      <c r="D2955">
        <v>-72.713899999999995</v>
      </c>
      <c r="E2955" t="s">
        <v>10566</v>
      </c>
    </row>
    <row r="2956" spans="1:5" hidden="1" x14ac:dyDescent="0.25">
      <c r="A2956" t="s">
        <v>10567</v>
      </c>
      <c r="B2956" t="s">
        <v>6229</v>
      </c>
      <c r="C2956">
        <v>43.579900000000002</v>
      </c>
      <c r="D2956">
        <v>-72.586200000000005</v>
      </c>
      <c r="E2956" t="s">
        <v>10568</v>
      </c>
    </row>
    <row r="2957" spans="1:5" hidden="1" x14ac:dyDescent="0.25">
      <c r="A2957" t="s">
        <v>1324</v>
      </c>
      <c r="B2957" t="s">
        <v>6232</v>
      </c>
      <c r="C2957">
        <v>46.983400000000003</v>
      </c>
      <c r="D2957">
        <v>-118.56059999999999</v>
      </c>
      <c r="E2957" t="s">
        <v>10569</v>
      </c>
    </row>
    <row r="2958" spans="1:5" hidden="1" x14ac:dyDescent="0.25">
      <c r="A2958" t="s">
        <v>10570</v>
      </c>
      <c r="B2958" t="s">
        <v>6232</v>
      </c>
      <c r="C2958">
        <v>46.191800000000001</v>
      </c>
      <c r="D2958">
        <v>-117.203</v>
      </c>
      <c r="E2958" t="s">
        <v>10571</v>
      </c>
    </row>
    <row r="2959" spans="1:5" hidden="1" x14ac:dyDescent="0.25">
      <c r="A2959" t="s">
        <v>6333</v>
      </c>
      <c r="B2959" t="s">
        <v>6232</v>
      </c>
      <c r="C2959">
        <v>46.239800000000002</v>
      </c>
      <c r="D2959">
        <v>-119.5112</v>
      </c>
      <c r="E2959" t="s">
        <v>10572</v>
      </c>
    </row>
    <row r="2960" spans="1:5" hidden="1" x14ac:dyDescent="0.25">
      <c r="A2960" t="s">
        <v>10573</v>
      </c>
      <c r="B2960" t="s">
        <v>6232</v>
      </c>
      <c r="C2960">
        <v>47.869199999999999</v>
      </c>
      <c r="D2960">
        <v>-120.619</v>
      </c>
      <c r="E2960" t="s">
        <v>10574</v>
      </c>
    </row>
    <row r="2961" spans="1:5" hidden="1" x14ac:dyDescent="0.25">
      <c r="A2961" t="s">
        <v>10575</v>
      </c>
      <c r="B2961" t="s">
        <v>6232</v>
      </c>
      <c r="C2961">
        <v>48.049300000000002</v>
      </c>
      <c r="D2961">
        <v>-123.9308</v>
      </c>
      <c r="E2961" t="s">
        <v>10576</v>
      </c>
    </row>
    <row r="2962" spans="1:5" hidden="1" x14ac:dyDescent="0.25">
      <c r="A2962" t="s">
        <v>174</v>
      </c>
      <c r="B2962" t="s">
        <v>6232</v>
      </c>
      <c r="C2962">
        <v>45.779200000000003</v>
      </c>
      <c r="D2962">
        <v>-122.4825</v>
      </c>
      <c r="E2962" t="s">
        <v>10577</v>
      </c>
    </row>
    <row r="2963" spans="1:5" hidden="1" x14ac:dyDescent="0.25">
      <c r="A2963" t="s">
        <v>6349</v>
      </c>
      <c r="B2963" t="s">
        <v>6232</v>
      </c>
      <c r="C2963">
        <v>46.297499999999999</v>
      </c>
      <c r="D2963">
        <v>-117.90779999999999</v>
      </c>
      <c r="E2963" t="s">
        <v>10578</v>
      </c>
    </row>
    <row r="2964" spans="1:5" hidden="1" x14ac:dyDescent="0.25">
      <c r="A2964" t="s">
        <v>10579</v>
      </c>
      <c r="B2964" t="s">
        <v>6232</v>
      </c>
      <c r="C2964">
        <v>46.193199999999997</v>
      </c>
      <c r="D2964">
        <v>-122.681</v>
      </c>
      <c r="E2964" t="s">
        <v>10580</v>
      </c>
    </row>
    <row r="2965" spans="1:5" hidden="1" x14ac:dyDescent="0.25">
      <c r="A2965" t="s">
        <v>2538</v>
      </c>
      <c r="B2965" t="s">
        <v>6232</v>
      </c>
      <c r="C2965">
        <v>47.7361</v>
      </c>
      <c r="D2965">
        <v>-119.6918</v>
      </c>
      <c r="E2965" t="s">
        <v>10581</v>
      </c>
    </row>
    <row r="2966" spans="1:5" hidden="1" x14ac:dyDescent="0.25">
      <c r="A2966" t="s">
        <v>10582</v>
      </c>
      <c r="B2966" t="s">
        <v>6232</v>
      </c>
      <c r="C2966">
        <v>48.470300000000002</v>
      </c>
      <c r="D2966">
        <v>-118.5166</v>
      </c>
      <c r="E2966" t="s">
        <v>10583</v>
      </c>
    </row>
    <row r="2967" spans="1:5" hidden="1" x14ac:dyDescent="0.25">
      <c r="A2967" t="s">
        <v>6260</v>
      </c>
      <c r="B2967" t="s">
        <v>6232</v>
      </c>
      <c r="C2967">
        <v>46.534700000000001</v>
      </c>
      <c r="D2967">
        <v>-118.899</v>
      </c>
      <c r="E2967" t="s">
        <v>10584</v>
      </c>
    </row>
    <row r="2968" spans="1:5" hidden="1" x14ac:dyDescent="0.25">
      <c r="A2968" t="s">
        <v>6626</v>
      </c>
      <c r="B2968" t="s">
        <v>6232</v>
      </c>
      <c r="C2968">
        <v>46.431600000000003</v>
      </c>
      <c r="D2968">
        <v>-117.54519999999999</v>
      </c>
      <c r="E2968" t="s">
        <v>10585</v>
      </c>
    </row>
    <row r="2969" spans="1:5" hidden="1" x14ac:dyDescent="0.25">
      <c r="A2969" t="s">
        <v>4593</v>
      </c>
      <c r="B2969" t="s">
        <v>6232</v>
      </c>
      <c r="C2969">
        <v>47.2057</v>
      </c>
      <c r="D2969">
        <v>-119.45180000000001</v>
      </c>
      <c r="E2969" t="s">
        <v>10586</v>
      </c>
    </row>
    <row r="2970" spans="1:5" hidden="1" x14ac:dyDescent="0.25">
      <c r="A2970" t="s">
        <v>10587</v>
      </c>
      <c r="B2970" t="s">
        <v>6232</v>
      </c>
      <c r="C2970">
        <v>47.150300000000001</v>
      </c>
      <c r="D2970">
        <v>-123.7735</v>
      </c>
      <c r="E2970" t="s">
        <v>10588</v>
      </c>
    </row>
    <row r="2971" spans="1:5" hidden="1" x14ac:dyDescent="0.25">
      <c r="A2971" t="s">
        <v>937</v>
      </c>
      <c r="B2971" t="s">
        <v>6232</v>
      </c>
      <c r="C2971">
        <v>48.162999999999997</v>
      </c>
      <c r="D2971">
        <v>-122.54810000000001</v>
      </c>
      <c r="E2971" t="s">
        <v>10589</v>
      </c>
    </row>
    <row r="2972" spans="1:5" hidden="1" x14ac:dyDescent="0.25">
      <c r="A2972" t="s">
        <v>6272</v>
      </c>
      <c r="B2972" t="s">
        <v>6232</v>
      </c>
      <c r="C2972">
        <v>47.748600000000003</v>
      </c>
      <c r="D2972">
        <v>-123.5964</v>
      </c>
      <c r="E2972" t="s">
        <v>10590</v>
      </c>
    </row>
    <row r="2973" spans="1:5" hidden="1" x14ac:dyDescent="0.25">
      <c r="A2973" t="s">
        <v>1091</v>
      </c>
      <c r="B2973" t="s">
        <v>6232</v>
      </c>
      <c r="C2973">
        <v>47.490299999999998</v>
      </c>
      <c r="D2973">
        <v>-121.8052</v>
      </c>
      <c r="E2973" t="s">
        <v>10591</v>
      </c>
    </row>
    <row r="2974" spans="1:5" hidden="1" x14ac:dyDescent="0.25">
      <c r="A2974" t="s">
        <v>10592</v>
      </c>
      <c r="B2974" t="s">
        <v>6232</v>
      </c>
      <c r="C2974">
        <v>47.612699999999997</v>
      </c>
      <c r="D2974">
        <v>-122.67619999999999</v>
      </c>
      <c r="E2974" t="s">
        <v>10593</v>
      </c>
    </row>
    <row r="2975" spans="1:5" hidden="1" x14ac:dyDescent="0.25">
      <c r="A2975" t="s">
        <v>10594</v>
      </c>
      <c r="B2975" t="s">
        <v>6232</v>
      </c>
      <c r="C2975">
        <v>47.124400000000001</v>
      </c>
      <c r="D2975">
        <v>-120.6799</v>
      </c>
      <c r="E2975" t="s">
        <v>10595</v>
      </c>
    </row>
    <row r="2976" spans="1:5" hidden="1" x14ac:dyDescent="0.25">
      <c r="A2976" t="s">
        <v>10596</v>
      </c>
      <c r="B2976" t="s">
        <v>6232</v>
      </c>
      <c r="C2976">
        <v>45.873800000000003</v>
      </c>
      <c r="D2976">
        <v>-120.7891</v>
      </c>
      <c r="E2976" t="s">
        <v>10597</v>
      </c>
    </row>
    <row r="2977" spans="1:5" hidden="1" x14ac:dyDescent="0.25">
      <c r="A2977" t="s">
        <v>1515</v>
      </c>
      <c r="B2977" t="s">
        <v>6232</v>
      </c>
      <c r="C2977">
        <v>46.577800000000003</v>
      </c>
      <c r="D2977">
        <v>-122.3927</v>
      </c>
      <c r="E2977" t="s">
        <v>10598</v>
      </c>
    </row>
    <row r="2978" spans="1:5" hidden="1" x14ac:dyDescent="0.25">
      <c r="A2978" t="s">
        <v>6386</v>
      </c>
      <c r="B2978" t="s">
        <v>6232</v>
      </c>
      <c r="C2978">
        <v>47.576300000000003</v>
      </c>
      <c r="D2978">
        <v>-118.4187</v>
      </c>
      <c r="E2978" t="s">
        <v>10599</v>
      </c>
    </row>
    <row r="2979" spans="1:5" hidden="1" x14ac:dyDescent="0.25">
      <c r="A2979" t="s">
        <v>2217</v>
      </c>
      <c r="B2979" t="s">
        <v>6232</v>
      </c>
      <c r="C2979">
        <v>47.348300000000002</v>
      </c>
      <c r="D2979">
        <v>-123.193</v>
      </c>
      <c r="E2979" t="s">
        <v>10600</v>
      </c>
    </row>
    <row r="2980" spans="1:5" hidden="1" x14ac:dyDescent="0.25">
      <c r="A2980" t="s">
        <v>10601</v>
      </c>
      <c r="B2980" t="s">
        <v>6232</v>
      </c>
      <c r="C2980">
        <v>48.5488</v>
      </c>
      <c r="D2980">
        <v>-119.74079999999999</v>
      </c>
      <c r="E2980" t="s">
        <v>10602</v>
      </c>
    </row>
    <row r="2981" spans="1:5" hidden="1" x14ac:dyDescent="0.25">
      <c r="A2981" t="s">
        <v>10603</v>
      </c>
      <c r="B2981" t="s">
        <v>6232</v>
      </c>
      <c r="C2981">
        <v>46.555599999999998</v>
      </c>
      <c r="D2981">
        <v>-123.7039</v>
      </c>
      <c r="E2981" t="s">
        <v>10604</v>
      </c>
    </row>
    <row r="2982" spans="1:5" hidden="1" x14ac:dyDescent="0.25">
      <c r="A2982" t="s">
        <v>10605</v>
      </c>
      <c r="B2982" t="s">
        <v>6232</v>
      </c>
      <c r="C2982">
        <v>48.532299999999999</v>
      </c>
      <c r="D2982">
        <v>-117.274</v>
      </c>
      <c r="E2982" t="s">
        <v>10606</v>
      </c>
    </row>
    <row r="2983" spans="1:5" hidden="1" x14ac:dyDescent="0.25">
      <c r="A2983" t="s">
        <v>7001</v>
      </c>
      <c r="B2983" t="s">
        <v>6232</v>
      </c>
      <c r="C2983">
        <v>47.023899999999998</v>
      </c>
      <c r="D2983">
        <v>-122.1041</v>
      </c>
      <c r="E2983" t="s">
        <v>10607</v>
      </c>
    </row>
    <row r="2984" spans="1:5" hidden="1" x14ac:dyDescent="0.25">
      <c r="A2984" t="s">
        <v>6685</v>
      </c>
      <c r="B2984" t="s">
        <v>6232</v>
      </c>
      <c r="C2984">
        <v>48.577599999999997</v>
      </c>
      <c r="D2984">
        <v>-122.9654</v>
      </c>
      <c r="E2984" t="s">
        <v>10608</v>
      </c>
    </row>
    <row r="2985" spans="1:5" hidden="1" x14ac:dyDescent="0.25">
      <c r="A2985" t="s">
        <v>10609</v>
      </c>
      <c r="B2985" t="s">
        <v>6232</v>
      </c>
      <c r="C2985">
        <v>48.479500000000002</v>
      </c>
      <c r="D2985">
        <v>-121.729</v>
      </c>
      <c r="E2985" t="s">
        <v>10610</v>
      </c>
    </row>
    <row r="2986" spans="1:5" hidden="1" x14ac:dyDescent="0.25">
      <c r="A2986" t="s">
        <v>10611</v>
      </c>
      <c r="B2986" t="s">
        <v>6232</v>
      </c>
      <c r="C2986">
        <v>46.023000000000003</v>
      </c>
      <c r="D2986">
        <v>-121.9147</v>
      </c>
      <c r="E2986" t="s">
        <v>10612</v>
      </c>
    </row>
    <row r="2987" spans="1:5" hidden="1" x14ac:dyDescent="0.25">
      <c r="A2987" t="s">
        <v>10613</v>
      </c>
      <c r="B2987" t="s">
        <v>6232</v>
      </c>
      <c r="C2987">
        <v>48.047400000000003</v>
      </c>
      <c r="D2987">
        <v>-121.6972</v>
      </c>
      <c r="E2987" t="s">
        <v>10614</v>
      </c>
    </row>
    <row r="2988" spans="1:5" hidden="1" x14ac:dyDescent="0.25">
      <c r="A2988" t="s">
        <v>10615</v>
      </c>
      <c r="B2988" t="s">
        <v>6232</v>
      </c>
      <c r="C2988">
        <v>47.620800000000003</v>
      </c>
      <c r="D2988">
        <v>-117.404</v>
      </c>
      <c r="E2988" t="s">
        <v>10616</v>
      </c>
    </row>
    <row r="2989" spans="1:5" hidden="1" x14ac:dyDescent="0.25">
      <c r="A2989" t="s">
        <v>1150</v>
      </c>
      <c r="B2989" t="s">
        <v>6232</v>
      </c>
      <c r="C2989">
        <v>48.399099999999997</v>
      </c>
      <c r="D2989">
        <v>-117.8552</v>
      </c>
      <c r="E2989" t="s">
        <v>10617</v>
      </c>
    </row>
    <row r="2990" spans="1:5" hidden="1" x14ac:dyDescent="0.25">
      <c r="A2990" t="s">
        <v>9040</v>
      </c>
      <c r="B2990" t="s">
        <v>6232</v>
      </c>
      <c r="C2990">
        <v>46.925600000000003</v>
      </c>
      <c r="D2990">
        <v>-122.83329999999999</v>
      </c>
      <c r="E2990" t="s">
        <v>10618</v>
      </c>
    </row>
    <row r="2991" spans="1:5" hidden="1" x14ac:dyDescent="0.25">
      <c r="A2991" t="s">
        <v>10619</v>
      </c>
      <c r="B2991" t="s">
        <v>6232</v>
      </c>
      <c r="C2991">
        <v>46.291800000000002</v>
      </c>
      <c r="D2991">
        <v>-123.42440000000001</v>
      </c>
      <c r="E2991" t="s">
        <v>10620</v>
      </c>
    </row>
    <row r="2992" spans="1:5" hidden="1" x14ac:dyDescent="0.25">
      <c r="A2992" t="s">
        <v>10621</v>
      </c>
      <c r="B2992" t="s">
        <v>6232</v>
      </c>
      <c r="C2992">
        <v>46.229799999999997</v>
      </c>
      <c r="D2992">
        <v>-118.47839999999999</v>
      </c>
      <c r="E2992" t="s">
        <v>10622</v>
      </c>
    </row>
    <row r="2993" spans="1:5" hidden="1" x14ac:dyDescent="0.25">
      <c r="A2993" t="s">
        <v>10623</v>
      </c>
      <c r="B2993" t="s">
        <v>6232</v>
      </c>
      <c r="C2993">
        <v>48.825899999999997</v>
      </c>
      <c r="D2993">
        <v>-121.7199</v>
      </c>
      <c r="E2993" t="s">
        <v>10624</v>
      </c>
    </row>
    <row r="2994" spans="1:5" hidden="1" x14ac:dyDescent="0.25">
      <c r="A2994" t="s">
        <v>10625</v>
      </c>
      <c r="B2994" t="s">
        <v>6232</v>
      </c>
      <c r="C2994">
        <v>46.901200000000003</v>
      </c>
      <c r="D2994">
        <v>-117.523</v>
      </c>
      <c r="E2994" t="s">
        <v>10626</v>
      </c>
    </row>
    <row r="2995" spans="1:5" hidden="1" x14ac:dyDescent="0.25">
      <c r="A2995" t="s">
        <v>10627</v>
      </c>
      <c r="B2995" t="s">
        <v>6232</v>
      </c>
      <c r="C2995">
        <v>46.457099999999997</v>
      </c>
      <c r="D2995">
        <v>-120.7385</v>
      </c>
      <c r="E2995" t="s">
        <v>10628</v>
      </c>
    </row>
    <row r="2996" spans="1:5" hidden="1" x14ac:dyDescent="0.25">
      <c r="A2996" t="s">
        <v>1324</v>
      </c>
      <c r="B2996" t="s">
        <v>6235</v>
      </c>
      <c r="C2996">
        <v>43.969499999999996</v>
      </c>
      <c r="D2996">
        <v>-89.770399999999995</v>
      </c>
      <c r="E2996" t="s">
        <v>10629</v>
      </c>
    </row>
    <row r="2997" spans="1:5" hidden="1" x14ac:dyDescent="0.25">
      <c r="A2997" t="s">
        <v>9265</v>
      </c>
      <c r="B2997" t="s">
        <v>6235</v>
      </c>
      <c r="C2997">
        <v>46.314799999999998</v>
      </c>
      <c r="D2997">
        <v>-90.678100000000001</v>
      </c>
      <c r="E2997" t="s">
        <v>10630</v>
      </c>
    </row>
    <row r="2998" spans="1:5" hidden="1" x14ac:dyDescent="0.25">
      <c r="A2998" t="s">
        <v>10631</v>
      </c>
      <c r="B2998" t="s">
        <v>6235</v>
      </c>
      <c r="C2998">
        <v>45.423699999999997</v>
      </c>
      <c r="D2998">
        <v>-91.848299999999995</v>
      </c>
      <c r="E2998" t="s">
        <v>10632</v>
      </c>
    </row>
    <row r="2999" spans="1:5" hidden="1" x14ac:dyDescent="0.25">
      <c r="A2999" t="s">
        <v>10633</v>
      </c>
      <c r="B2999" t="s">
        <v>6235</v>
      </c>
      <c r="C2999">
        <v>46.523699999999998</v>
      </c>
      <c r="D2999">
        <v>-91.200900000000004</v>
      </c>
      <c r="E2999" t="s">
        <v>10634</v>
      </c>
    </row>
    <row r="3000" spans="1:5" hidden="1" x14ac:dyDescent="0.25">
      <c r="A3000" t="s">
        <v>633</v>
      </c>
      <c r="B3000" t="s">
        <v>6235</v>
      </c>
      <c r="C3000">
        <v>44.452500000000001</v>
      </c>
      <c r="D3000">
        <v>-88.003699999999995</v>
      </c>
      <c r="E3000" t="s">
        <v>10635</v>
      </c>
    </row>
    <row r="3001" spans="1:5" hidden="1" x14ac:dyDescent="0.25">
      <c r="A3001" t="s">
        <v>8935</v>
      </c>
      <c r="B3001" t="s">
        <v>6235</v>
      </c>
      <c r="C3001">
        <v>44.379800000000003</v>
      </c>
      <c r="D3001">
        <v>-91.754499999999993</v>
      </c>
      <c r="E3001" t="s">
        <v>10636</v>
      </c>
    </row>
    <row r="3002" spans="1:5" hidden="1" x14ac:dyDescent="0.25">
      <c r="A3002" t="s">
        <v>10637</v>
      </c>
      <c r="B3002" t="s">
        <v>6235</v>
      </c>
      <c r="C3002">
        <v>45.862699999999997</v>
      </c>
      <c r="D3002">
        <v>-92.367599999999996</v>
      </c>
      <c r="E3002" t="s">
        <v>10638</v>
      </c>
    </row>
    <row r="3003" spans="1:5" hidden="1" x14ac:dyDescent="0.25">
      <c r="A3003" t="s">
        <v>10639</v>
      </c>
      <c r="B3003" t="s">
        <v>6235</v>
      </c>
      <c r="C3003">
        <v>44.081600000000002</v>
      </c>
      <c r="D3003">
        <v>-88.218100000000007</v>
      </c>
      <c r="E3003" t="s">
        <v>10640</v>
      </c>
    </row>
    <row r="3004" spans="1:5" hidden="1" x14ac:dyDescent="0.25">
      <c r="A3004" t="s">
        <v>8091</v>
      </c>
      <c r="B3004" t="s">
        <v>6235</v>
      </c>
      <c r="C3004">
        <v>45.069400000000002</v>
      </c>
      <c r="D3004">
        <v>-91.279899999999998</v>
      </c>
      <c r="E3004" t="s">
        <v>10641</v>
      </c>
    </row>
    <row r="3005" spans="1:5" hidden="1" x14ac:dyDescent="0.25">
      <c r="A3005" t="s">
        <v>174</v>
      </c>
      <c r="B3005" t="s">
        <v>6235</v>
      </c>
      <c r="C3005">
        <v>44.734699999999997</v>
      </c>
      <c r="D3005">
        <v>-90.612099999999998</v>
      </c>
      <c r="E3005" t="s">
        <v>10642</v>
      </c>
    </row>
    <row r="3006" spans="1:5" hidden="1" x14ac:dyDescent="0.25">
      <c r="A3006" t="s">
        <v>6349</v>
      </c>
      <c r="B3006" t="s">
        <v>6235</v>
      </c>
      <c r="C3006">
        <v>43.4666</v>
      </c>
      <c r="D3006">
        <v>-89.333699999999993</v>
      </c>
      <c r="E3006" t="s">
        <v>10643</v>
      </c>
    </row>
    <row r="3007" spans="1:5" hidden="1" x14ac:dyDescent="0.25">
      <c r="A3007" t="s">
        <v>3776</v>
      </c>
      <c r="B3007" t="s">
        <v>6235</v>
      </c>
      <c r="C3007">
        <v>43.2395</v>
      </c>
      <c r="D3007">
        <v>-90.930999999999997</v>
      </c>
      <c r="E3007" t="s">
        <v>10644</v>
      </c>
    </row>
    <row r="3008" spans="1:5" hidden="1" x14ac:dyDescent="0.25">
      <c r="A3008" t="s">
        <v>10645</v>
      </c>
      <c r="B3008" t="s">
        <v>6235</v>
      </c>
      <c r="C3008">
        <v>43.067300000000003</v>
      </c>
      <c r="D3008">
        <v>-89.418099999999995</v>
      </c>
      <c r="E3008" t="s">
        <v>10646</v>
      </c>
    </row>
    <row r="3009" spans="1:5" hidden="1" x14ac:dyDescent="0.25">
      <c r="A3009" t="s">
        <v>6903</v>
      </c>
      <c r="B3009" t="s">
        <v>6235</v>
      </c>
      <c r="C3009">
        <v>43.4163</v>
      </c>
      <c r="D3009">
        <v>-88.707499999999996</v>
      </c>
      <c r="E3009" t="s">
        <v>10647</v>
      </c>
    </row>
    <row r="3010" spans="1:5" hidden="1" x14ac:dyDescent="0.25">
      <c r="A3010" t="s">
        <v>10648</v>
      </c>
      <c r="B3010" t="s">
        <v>6235</v>
      </c>
      <c r="C3010">
        <v>44.9452</v>
      </c>
      <c r="D3010">
        <v>-87.315399999999997</v>
      </c>
      <c r="E3010" t="s">
        <v>10649</v>
      </c>
    </row>
    <row r="3011" spans="1:5" hidden="1" x14ac:dyDescent="0.25">
      <c r="A3011" t="s">
        <v>2538</v>
      </c>
      <c r="B3011" t="s">
        <v>6235</v>
      </c>
      <c r="C3011">
        <v>46.432899999999997</v>
      </c>
      <c r="D3011">
        <v>-91.916200000000003</v>
      </c>
      <c r="E3011" t="s">
        <v>10650</v>
      </c>
    </row>
    <row r="3012" spans="1:5" hidden="1" x14ac:dyDescent="0.25">
      <c r="A3012" t="s">
        <v>2885</v>
      </c>
      <c r="B3012" t="s">
        <v>6235</v>
      </c>
      <c r="C3012">
        <v>44.946599999999997</v>
      </c>
      <c r="D3012">
        <v>-91.8964</v>
      </c>
      <c r="E3012" t="s">
        <v>10651</v>
      </c>
    </row>
    <row r="3013" spans="1:5" hidden="1" x14ac:dyDescent="0.25">
      <c r="A3013" t="s">
        <v>10652</v>
      </c>
      <c r="B3013" t="s">
        <v>6235</v>
      </c>
      <c r="C3013">
        <v>44.726799999999997</v>
      </c>
      <c r="D3013">
        <v>-91.286000000000001</v>
      </c>
      <c r="E3013" t="s">
        <v>10653</v>
      </c>
    </row>
    <row r="3014" spans="1:5" hidden="1" x14ac:dyDescent="0.25">
      <c r="A3014" t="s">
        <v>9675</v>
      </c>
      <c r="B3014" t="s">
        <v>6235</v>
      </c>
      <c r="C3014">
        <v>45.848500000000001</v>
      </c>
      <c r="D3014">
        <v>-88.398099999999999</v>
      </c>
      <c r="E3014" t="s">
        <v>10654</v>
      </c>
    </row>
    <row r="3015" spans="1:5" hidden="1" x14ac:dyDescent="0.25">
      <c r="A3015" t="s">
        <v>10655</v>
      </c>
      <c r="B3015" t="s">
        <v>6235</v>
      </c>
      <c r="C3015">
        <v>43.753599999999999</v>
      </c>
      <c r="D3015">
        <v>-88.488299999999995</v>
      </c>
      <c r="E3015" t="s">
        <v>10656</v>
      </c>
    </row>
    <row r="3016" spans="1:5" hidden="1" x14ac:dyDescent="0.25">
      <c r="A3016" t="s">
        <v>9587</v>
      </c>
      <c r="B3016" t="s">
        <v>6235</v>
      </c>
      <c r="C3016">
        <v>45.667299999999997</v>
      </c>
      <c r="D3016">
        <v>-88.770399999999995</v>
      </c>
      <c r="E3016" t="s">
        <v>10657</v>
      </c>
    </row>
    <row r="3017" spans="1:5" hidden="1" x14ac:dyDescent="0.25">
      <c r="A3017" t="s">
        <v>4593</v>
      </c>
      <c r="B3017" t="s">
        <v>6235</v>
      </c>
      <c r="C3017">
        <v>42.8675</v>
      </c>
      <c r="D3017">
        <v>-90.706199999999995</v>
      </c>
      <c r="E3017" t="s">
        <v>10658</v>
      </c>
    </row>
    <row r="3018" spans="1:5" hidden="1" x14ac:dyDescent="0.25">
      <c r="A3018" t="s">
        <v>3314</v>
      </c>
      <c r="B3018" t="s">
        <v>6235</v>
      </c>
      <c r="C3018">
        <v>42.68</v>
      </c>
      <c r="D3018">
        <v>-89.602199999999996</v>
      </c>
      <c r="E3018" t="s">
        <v>10659</v>
      </c>
    </row>
    <row r="3019" spans="1:5" hidden="1" x14ac:dyDescent="0.25">
      <c r="A3019" t="s">
        <v>10660</v>
      </c>
      <c r="B3019" t="s">
        <v>6235</v>
      </c>
      <c r="C3019">
        <v>43.800400000000003</v>
      </c>
      <c r="D3019">
        <v>-89.044899999999998</v>
      </c>
      <c r="E3019" t="s">
        <v>10661</v>
      </c>
    </row>
    <row r="3020" spans="1:5" hidden="1" x14ac:dyDescent="0.25">
      <c r="A3020" t="s">
        <v>7147</v>
      </c>
      <c r="B3020" t="s">
        <v>6235</v>
      </c>
      <c r="C3020">
        <v>43.000500000000002</v>
      </c>
      <c r="D3020">
        <v>-90.135400000000004</v>
      </c>
      <c r="E3020" t="s">
        <v>10662</v>
      </c>
    </row>
    <row r="3021" spans="1:5" hidden="1" x14ac:dyDescent="0.25">
      <c r="A3021" t="s">
        <v>4123</v>
      </c>
      <c r="B3021" t="s">
        <v>6235</v>
      </c>
      <c r="C3021">
        <v>46.262300000000003</v>
      </c>
      <c r="D3021">
        <v>-90.242099999999994</v>
      </c>
      <c r="E3021" t="s">
        <v>10663</v>
      </c>
    </row>
    <row r="3022" spans="1:5" hidden="1" x14ac:dyDescent="0.25">
      <c r="A3022" t="s">
        <v>191</v>
      </c>
      <c r="B3022" t="s">
        <v>6235</v>
      </c>
      <c r="C3022">
        <v>44.319200000000002</v>
      </c>
      <c r="D3022">
        <v>-90.805300000000003</v>
      </c>
      <c r="E3022" t="s">
        <v>10664</v>
      </c>
    </row>
    <row r="3023" spans="1:5" hidden="1" x14ac:dyDescent="0.25">
      <c r="A3023" t="s">
        <v>6272</v>
      </c>
      <c r="B3023" t="s">
        <v>6235</v>
      </c>
      <c r="C3023">
        <v>43.020800000000001</v>
      </c>
      <c r="D3023">
        <v>-88.775899999999993</v>
      </c>
      <c r="E3023" t="s">
        <v>10665</v>
      </c>
    </row>
    <row r="3024" spans="1:5" hidden="1" x14ac:dyDescent="0.25">
      <c r="A3024" t="s">
        <v>6133</v>
      </c>
      <c r="B3024" t="s">
        <v>6235</v>
      </c>
      <c r="C3024">
        <v>43.924599999999998</v>
      </c>
      <c r="D3024">
        <v>-90.113799999999998</v>
      </c>
      <c r="E3024" t="s">
        <v>10666</v>
      </c>
    </row>
    <row r="3025" spans="1:5" hidden="1" x14ac:dyDescent="0.25">
      <c r="A3025" t="s">
        <v>10667</v>
      </c>
      <c r="B3025" t="s">
        <v>6235</v>
      </c>
      <c r="C3025">
        <v>42.576900000000002</v>
      </c>
      <c r="D3025">
        <v>-88.042400000000001</v>
      </c>
      <c r="E3025" t="s">
        <v>10668</v>
      </c>
    </row>
    <row r="3026" spans="1:5" hidden="1" x14ac:dyDescent="0.25">
      <c r="A3026" t="s">
        <v>10669</v>
      </c>
      <c r="B3026" t="s">
        <v>6235</v>
      </c>
      <c r="C3026">
        <v>44.516100000000002</v>
      </c>
      <c r="D3026">
        <v>-87.615300000000005</v>
      </c>
      <c r="E3026" t="s">
        <v>10670</v>
      </c>
    </row>
    <row r="3027" spans="1:5" hidden="1" x14ac:dyDescent="0.25">
      <c r="A3027" t="s">
        <v>10671</v>
      </c>
      <c r="B3027" t="s">
        <v>6235</v>
      </c>
      <c r="C3027">
        <v>43.906599999999997</v>
      </c>
      <c r="D3027">
        <v>-91.115200000000002</v>
      </c>
      <c r="E3027" t="s">
        <v>10672</v>
      </c>
    </row>
    <row r="3028" spans="1:5" hidden="1" x14ac:dyDescent="0.25">
      <c r="A3028" t="s">
        <v>6382</v>
      </c>
      <c r="B3028" t="s">
        <v>6235</v>
      </c>
      <c r="C3028">
        <v>42.660499999999999</v>
      </c>
      <c r="D3028">
        <v>-90.131699999999995</v>
      </c>
      <c r="E3028" t="s">
        <v>10673</v>
      </c>
    </row>
    <row r="3029" spans="1:5" hidden="1" x14ac:dyDescent="0.25">
      <c r="A3029" t="s">
        <v>10674</v>
      </c>
      <c r="B3029" t="s">
        <v>6235</v>
      </c>
      <c r="C3029">
        <v>45.262300000000003</v>
      </c>
      <c r="D3029">
        <v>-89.071899999999999</v>
      </c>
      <c r="E3029" t="s">
        <v>10675</v>
      </c>
    </row>
    <row r="3030" spans="1:5" hidden="1" x14ac:dyDescent="0.25">
      <c r="A3030" t="s">
        <v>6386</v>
      </c>
      <c r="B3030" t="s">
        <v>6235</v>
      </c>
      <c r="C3030">
        <v>45.337400000000002</v>
      </c>
      <c r="D3030">
        <v>-89.7346</v>
      </c>
      <c r="E3030" t="s">
        <v>10676</v>
      </c>
    </row>
    <row r="3031" spans="1:5" hidden="1" x14ac:dyDescent="0.25">
      <c r="A3031" t="s">
        <v>10677</v>
      </c>
      <c r="B3031" t="s">
        <v>6235</v>
      </c>
      <c r="C3031">
        <v>44.12</v>
      </c>
      <c r="D3031">
        <v>-87.809700000000007</v>
      </c>
      <c r="E3031" t="s">
        <v>10678</v>
      </c>
    </row>
    <row r="3032" spans="1:5" hidden="1" x14ac:dyDescent="0.25">
      <c r="A3032" t="s">
        <v>10679</v>
      </c>
      <c r="B3032" t="s">
        <v>6235</v>
      </c>
      <c r="C3032">
        <v>44.898299999999999</v>
      </c>
      <c r="D3032">
        <v>-89.759100000000004</v>
      </c>
      <c r="E3032" t="s">
        <v>10680</v>
      </c>
    </row>
    <row r="3033" spans="1:5" hidden="1" x14ac:dyDescent="0.25">
      <c r="A3033" t="s">
        <v>10681</v>
      </c>
      <c r="B3033" t="s">
        <v>6235</v>
      </c>
      <c r="C3033">
        <v>45.383400000000002</v>
      </c>
      <c r="D3033">
        <v>-88.033699999999996</v>
      </c>
      <c r="E3033" t="s">
        <v>10682</v>
      </c>
    </row>
    <row r="3034" spans="1:5" hidden="1" x14ac:dyDescent="0.25">
      <c r="A3034" t="s">
        <v>8149</v>
      </c>
      <c r="B3034" t="s">
        <v>6235</v>
      </c>
      <c r="C3034">
        <v>43.819600000000001</v>
      </c>
      <c r="D3034">
        <v>-89.398700000000005</v>
      </c>
      <c r="E3034" t="s">
        <v>10683</v>
      </c>
    </row>
    <row r="3035" spans="1:5" hidden="1" x14ac:dyDescent="0.25">
      <c r="A3035" t="s">
        <v>8154</v>
      </c>
      <c r="B3035" t="s">
        <v>6235</v>
      </c>
      <c r="C3035">
        <v>45.004399999999997</v>
      </c>
      <c r="D3035">
        <v>-88.71</v>
      </c>
      <c r="E3035" t="s">
        <v>10684</v>
      </c>
    </row>
    <row r="3036" spans="1:5" hidden="1" x14ac:dyDescent="0.25">
      <c r="A3036" t="s">
        <v>10685</v>
      </c>
      <c r="B3036" t="s">
        <v>6235</v>
      </c>
      <c r="C3036">
        <v>43.007199999999997</v>
      </c>
      <c r="D3036">
        <v>-87.966899999999995</v>
      </c>
      <c r="E3036" t="s">
        <v>10686</v>
      </c>
    </row>
    <row r="3037" spans="1:5" hidden="1" x14ac:dyDescent="0.25">
      <c r="A3037" t="s">
        <v>6295</v>
      </c>
      <c r="B3037" t="s">
        <v>6235</v>
      </c>
      <c r="C3037">
        <v>43.945700000000002</v>
      </c>
      <c r="D3037">
        <v>-90.617800000000003</v>
      </c>
      <c r="E3037" t="s">
        <v>10687</v>
      </c>
    </row>
    <row r="3038" spans="1:5" hidden="1" x14ac:dyDescent="0.25">
      <c r="A3038" t="s">
        <v>10688</v>
      </c>
      <c r="B3038" t="s">
        <v>6235</v>
      </c>
      <c r="C3038">
        <v>45.026400000000002</v>
      </c>
      <c r="D3038">
        <v>-88.2697</v>
      </c>
      <c r="E3038" t="s">
        <v>10689</v>
      </c>
    </row>
    <row r="3039" spans="1:5" hidden="1" x14ac:dyDescent="0.25">
      <c r="A3039" t="s">
        <v>7280</v>
      </c>
      <c r="B3039" t="s">
        <v>6235</v>
      </c>
      <c r="C3039">
        <v>45.705500000000001</v>
      </c>
      <c r="D3039">
        <v>-89.521799999999999</v>
      </c>
      <c r="E3039" t="s">
        <v>10690</v>
      </c>
    </row>
    <row r="3040" spans="1:5" hidden="1" x14ac:dyDescent="0.25">
      <c r="A3040" t="s">
        <v>10691</v>
      </c>
      <c r="B3040" t="s">
        <v>6235</v>
      </c>
      <c r="C3040">
        <v>44.4161</v>
      </c>
      <c r="D3040">
        <v>-88.4649</v>
      </c>
      <c r="E3040" t="s">
        <v>10692</v>
      </c>
    </row>
    <row r="3041" spans="1:5" hidden="1" x14ac:dyDescent="0.25">
      <c r="A3041" t="s">
        <v>10693</v>
      </c>
      <c r="B3041" t="s">
        <v>6235</v>
      </c>
      <c r="C3041">
        <v>43.384</v>
      </c>
      <c r="D3041">
        <v>-87.950900000000004</v>
      </c>
      <c r="E3041" t="s">
        <v>10694</v>
      </c>
    </row>
    <row r="3042" spans="1:5" hidden="1" x14ac:dyDescent="0.25">
      <c r="A3042" t="s">
        <v>10695</v>
      </c>
      <c r="B3042" t="s">
        <v>6235</v>
      </c>
      <c r="C3042">
        <v>44.582900000000002</v>
      </c>
      <c r="D3042">
        <v>-92.001499999999993</v>
      </c>
      <c r="E3042" t="s">
        <v>10696</v>
      </c>
    </row>
    <row r="3043" spans="1:5" hidden="1" x14ac:dyDescent="0.25">
      <c r="A3043" t="s">
        <v>7001</v>
      </c>
      <c r="B3043" t="s">
        <v>6235</v>
      </c>
      <c r="C3043">
        <v>44.7194</v>
      </c>
      <c r="D3043">
        <v>-92.422399999999996</v>
      </c>
      <c r="E3043" t="s">
        <v>10697</v>
      </c>
    </row>
    <row r="3044" spans="1:5" hidden="1" x14ac:dyDescent="0.25">
      <c r="A3044" t="s">
        <v>6410</v>
      </c>
      <c r="B3044" t="s">
        <v>6235</v>
      </c>
      <c r="C3044">
        <v>45.461399999999998</v>
      </c>
      <c r="D3044">
        <v>-92.441400000000002</v>
      </c>
      <c r="E3044" t="s">
        <v>10698</v>
      </c>
    </row>
    <row r="3045" spans="1:5" hidden="1" x14ac:dyDescent="0.25">
      <c r="A3045" t="s">
        <v>9353</v>
      </c>
      <c r="B3045" t="s">
        <v>6235</v>
      </c>
      <c r="C3045">
        <v>44.475999999999999</v>
      </c>
      <c r="D3045">
        <v>-89.501400000000004</v>
      </c>
      <c r="E3045" t="s">
        <v>10699</v>
      </c>
    </row>
    <row r="3046" spans="1:5" hidden="1" x14ac:dyDescent="0.25">
      <c r="A3046" t="s">
        <v>1900</v>
      </c>
      <c r="B3046" t="s">
        <v>6235</v>
      </c>
      <c r="C3046">
        <v>45.680399999999999</v>
      </c>
      <c r="D3046">
        <v>-90.361400000000003</v>
      </c>
      <c r="E3046" t="s">
        <v>10700</v>
      </c>
    </row>
    <row r="3047" spans="1:5" hidden="1" x14ac:dyDescent="0.25">
      <c r="A3047" t="s">
        <v>10701</v>
      </c>
      <c r="B3047" t="s">
        <v>6235</v>
      </c>
      <c r="C3047">
        <v>42.747500000000002</v>
      </c>
      <c r="D3047">
        <v>-88.061300000000003</v>
      </c>
      <c r="E3047" t="s">
        <v>10702</v>
      </c>
    </row>
    <row r="3048" spans="1:5" hidden="1" x14ac:dyDescent="0.25">
      <c r="A3048" t="s">
        <v>7401</v>
      </c>
      <c r="B3048" t="s">
        <v>6235</v>
      </c>
      <c r="C3048">
        <v>43.375599999999999</v>
      </c>
      <c r="D3048">
        <v>-90.429500000000004</v>
      </c>
      <c r="E3048" t="s">
        <v>10703</v>
      </c>
    </row>
    <row r="3049" spans="1:5" hidden="1" x14ac:dyDescent="0.25">
      <c r="A3049" t="s">
        <v>8314</v>
      </c>
      <c r="B3049" t="s">
        <v>6235</v>
      </c>
      <c r="C3049">
        <v>42.671199999999999</v>
      </c>
      <c r="D3049">
        <v>-89.071600000000004</v>
      </c>
      <c r="E3049" t="s">
        <v>10704</v>
      </c>
    </row>
    <row r="3050" spans="1:5" hidden="1" x14ac:dyDescent="0.25">
      <c r="A3050" t="s">
        <v>10232</v>
      </c>
      <c r="B3050" t="s">
        <v>6235</v>
      </c>
      <c r="C3050">
        <v>45.475099999999998</v>
      </c>
      <c r="D3050">
        <v>-91.133200000000002</v>
      </c>
      <c r="E3050" t="s">
        <v>10705</v>
      </c>
    </row>
    <row r="3051" spans="1:5" hidden="1" x14ac:dyDescent="0.25">
      <c r="A3051" t="s">
        <v>10706</v>
      </c>
      <c r="B3051" t="s">
        <v>6235</v>
      </c>
      <c r="C3051">
        <v>43.426699999999997</v>
      </c>
      <c r="D3051">
        <v>-89.9482</v>
      </c>
      <c r="E3051" t="s">
        <v>10707</v>
      </c>
    </row>
    <row r="3052" spans="1:5" hidden="1" x14ac:dyDescent="0.25">
      <c r="A3052" t="s">
        <v>4912</v>
      </c>
      <c r="B3052" t="s">
        <v>6235</v>
      </c>
      <c r="C3052">
        <v>45.88</v>
      </c>
      <c r="D3052">
        <v>-91.144599999999997</v>
      </c>
      <c r="E3052" t="s">
        <v>10708</v>
      </c>
    </row>
    <row r="3053" spans="1:5" hidden="1" x14ac:dyDescent="0.25">
      <c r="A3053" t="s">
        <v>10709</v>
      </c>
      <c r="B3053" t="s">
        <v>6235</v>
      </c>
      <c r="C3053">
        <v>44.789200000000001</v>
      </c>
      <c r="D3053">
        <v>-88.7654</v>
      </c>
      <c r="E3053" t="s">
        <v>10710</v>
      </c>
    </row>
    <row r="3054" spans="1:5" hidden="1" x14ac:dyDescent="0.25">
      <c r="A3054" t="s">
        <v>10711</v>
      </c>
      <c r="B3054" t="s">
        <v>6235</v>
      </c>
      <c r="C3054">
        <v>43.721200000000003</v>
      </c>
      <c r="D3054">
        <v>-87.945400000000006</v>
      </c>
      <c r="E3054" t="s">
        <v>10712</v>
      </c>
    </row>
    <row r="3055" spans="1:5" hidden="1" x14ac:dyDescent="0.25">
      <c r="A3055" t="s">
        <v>10713</v>
      </c>
      <c r="B3055" t="s">
        <v>6235</v>
      </c>
      <c r="C3055">
        <v>45.033999999999999</v>
      </c>
      <c r="D3055">
        <v>-92.452600000000004</v>
      </c>
      <c r="E3055" t="s">
        <v>10714</v>
      </c>
    </row>
    <row r="3056" spans="1:5" hidden="1" x14ac:dyDescent="0.25">
      <c r="A3056" t="s">
        <v>3564</v>
      </c>
      <c r="B3056" t="s">
        <v>6235</v>
      </c>
      <c r="C3056">
        <v>45.211599999999997</v>
      </c>
      <c r="D3056">
        <v>-90.501199999999997</v>
      </c>
      <c r="E3056" t="s">
        <v>10715</v>
      </c>
    </row>
    <row r="3057" spans="1:5" hidden="1" x14ac:dyDescent="0.25">
      <c r="A3057" t="s">
        <v>10716</v>
      </c>
      <c r="B3057" t="s">
        <v>6235</v>
      </c>
      <c r="C3057">
        <v>44.304000000000002</v>
      </c>
      <c r="D3057">
        <v>-91.358500000000006</v>
      </c>
      <c r="E3057" t="s">
        <v>10717</v>
      </c>
    </row>
    <row r="3058" spans="1:5" hidden="1" x14ac:dyDescent="0.25">
      <c r="A3058" t="s">
        <v>7974</v>
      </c>
      <c r="B3058" t="s">
        <v>6235</v>
      </c>
      <c r="C3058">
        <v>43.593899999999998</v>
      </c>
      <c r="D3058">
        <v>-90.834400000000002</v>
      </c>
      <c r="E3058" t="s">
        <v>10718</v>
      </c>
    </row>
    <row r="3059" spans="1:5" hidden="1" x14ac:dyDescent="0.25">
      <c r="A3059" t="s">
        <v>10719</v>
      </c>
      <c r="B3059" t="s">
        <v>6235</v>
      </c>
      <c r="C3059">
        <v>46.052900000000001</v>
      </c>
      <c r="D3059">
        <v>-89.514799999999994</v>
      </c>
      <c r="E3059" t="s">
        <v>10720</v>
      </c>
    </row>
    <row r="3060" spans="1:5" hidden="1" x14ac:dyDescent="0.25">
      <c r="A3060" t="s">
        <v>9804</v>
      </c>
      <c r="B3060" t="s">
        <v>6235</v>
      </c>
      <c r="C3060">
        <v>42.668500000000002</v>
      </c>
      <c r="D3060">
        <v>-88.541899999999998</v>
      </c>
      <c r="E3060" t="s">
        <v>10721</v>
      </c>
    </row>
    <row r="3061" spans="1:5" hidden="1" x14ac:dyDescent="0.25">
      <c r="A3061" t="s">
        <v>10722</v>
      </c>
      <c r="B3061" t="s">
        <v>6235</v>
      </c>
      <c r="C3061">
        <v>45.8992</v>
      </c>
      <c r="D3061">
        <v>-91.791200000000003</v>
      </c>
      <c r="E3061" t="s">
        <v>10723</v>
      </c>
    </row>
    <row r="3062" spans="1:5" hidden="1" x14ac:dyDescent="0.25">
      <c r="A3062" t="s">
        <v>3052</v>
      </c>
      <c r="B3062" t="s">
        <v>6235</v>
      </c>
      <c r="C3062">
        <v>43.368499999999997</v>
      </c>
      <c r="D3062">
        <v>-88.230699999999999</v>
      </c>
      <c r="E3062" t="s">
        <v>10724</v>
      </c>
    </row>
    <row r="3063" spans="1:5" hidden="1" x14ac:dyDescent="0.25">
      <c r="A3063" t="s">
        <v>10725</v>
      </c>
      <c r="B3063" t="s">
        <v>6235</v>
      </c>
      <c r="C3063">
        <v>43.0182</v>
      </c>
      <c r="D3063">
        <v>-88.304500000000004</v>
      </c>
      <c r="E3063" t="s">
        <v>10726</v>
      </c>
    </row>
    <row r="3064" spans="1:5" hidden="1" x14ac:dyDescent="0.25">
      <c r="A3064" t="s">
        <v>10727</v>
      </c>
      <c r="B3064" t="s">
        <v>6235</v>
      </c>
      <c r="C3064">
        <v>44.470500000000001</v>
      </c>
      <c r="D3064">
        <v>-88.964799999999997</v>
      </c>
      <c r="E3064" t="s">
        <v>10728</v>
      </c>
    </row>
    <row r="3065" spans="1:5" hidden="1" x14ac:dyDescent="0.25">
      <c r="A3065" t="s">
        <v>10729</v>
      </c>
      <c r="B3065" t="s">
        <v>6235</v>
      </c>
      <c r="C3065">
        <v>44.113100000000003</v>
      </c>
      <c r="D3065">
        <v>-89.242900000000006</v>
      </c>
      <c r="E3065" t="s">
        <v>10730</v>
      </c>
    </row>
    <row r="3066" spans="1:5" hidden="1" x14ac:dyDescent="0.25">
      <c r="A3066" t="s">
        <v>7214</v>
      </c>
      <c r="B3066" t="s">
        <v>6235</v>
      </c>
      <c r="C3066">
        <v>44.068899999999999</v>
      </c>
      <c r="D3066">
        <v>-88.644599999999997</v>
      </c>
      <c r="E3066" t="s">
        <v>10731</v>
      </c>
    </row>
    <row r="3067" spans="1:5" hidden="1" x14ac:dyDescent="0.25">
      <c r="A3067" t="s">
        <v>9382</v>
      </c>
      <c r="B3067" t="s">
        <v>6235</v>
      </c>
      <c r="C3067">
        <v>44.455300000000001</v>
      </c>
      <c r="D3067">
        <v>-90.041600000000003</v>
      </c>
      <c r="E3067" t="s">
        <v>10732</v>
      </c>
    </row>
    <row r="3068" spans="1:5" hidden="1" x14ac:dyDescent="0.25">
      <c r="A3068" t="s">
        <v>6191</v>
      </c>
      <c r="B3068" t="s">
        <v>6238</v>
      </c>
      <c r="C3068">
        <v>39.133000000000003</v>
      </c>
      <c r="D3068">
        <v>-80.003</v>
      </c>
      <c r="E3068" t="s">
        <v>10733</v>
      </c>
    </row>
    <row r="3069" spans="1:5" hidden="1" x14ac:dyDescent="0.25">
      <c r="A3069" t="s">
        <v>9657</v>
      </c>
      <c r="B3069" t="s">
        <v>6238</v>
      </c>
      <c r="C3069">
        <v>39.464100000000002</v>
      </c>
      <c r="D3069">
        <v>-78.027500000000003</v>
      </c>
      <c r="E3069" t="s">
        <v>10734</v>
      </c>
    </row>
    <row r="3070" spans="1:5" hidden="1" x14ac:dyDescent="0.25">
      <c r="A3070" t="s">
        <v>6335</v>
      </c>
      <c r="B3070" t="s">
        <v>6238</v>
      </c>
      <c r="C3070">
        <v>38.0229</v>
      </c>
      <c r="D3070">
        <v>-81.711500000000001</v>
      </c>
      <c r="E3070" t="s">
        <v>10735</v>
      </c>
    </row>
    <row r="3071" spans="1:5" hidden="1" x14ac:dyDescent="0.25">
      <c r="A3071" t="s">
        <v>10736</v>
      </c>
      <c r="B3071" t="s">
        <v>6238</v>
      </c>
      <c r="C3071">
        <v>38.6999</v>
      </c>
      <c r="D3071">
        <v>-80.719300000000004</v>
      </c>
      <c r="E3071" t="s">
        <v>10737</v>
      </c>
    </row>
    <row r="3072" spans="1:5" hidden="1" x14ac:dyDescent="0.25">
      <c r="A3072" t="s">
        <v>10738</v>
      </c>
      <c r="B3072" t="s">
        <v>6238</v>
      </c>
      <c r="C3072">
        <v>40.273899999999998</v>
      </c>
      <c r="D3072">
        <v>-80.576400000000007</v>
      </c>
      <c r="E3072" t="s">
        <v>10739</v>
      </c>
    </row>
    <row r="3073" spans="1:5" hidden="1" x14ac:dyDescent="0.25">
      <c r="A3073" t="s">
        <v>10740</v>
      </c>
      <c r="B3073" t="s">
        <v>6238</v>
      </c>
      <c r="C3073">
        <v>38.420299999999997</v>
      </c>
      <c r="D3073">
        <v>-82.241699999999994</v>
      </c>
      <c r="E3073" t="s">
        <v>10741</v>
      </c>
    </row>
    <row r="3074" spans="1:5" hidden="1" x14ac:dyDescent="0.25">
      <c r="A3074" t="s">
        <v>1505</v>
      </c>
      <c r="B3074" t="s">
        <v>6238</v>
      </c>
      <c r="C3074">
        <v>38.844499999999996</v>
      </c>
      <c r="D3074">
        <v>-81.117599999999996</v>
      </c>
      <c r="E3074" t="s">
        <v>10742</v>
      </c>
    </row>
    <row r="3075" spans="1:5" hidden="1" x14ac:dyDescent="0.25">
      <c r="A3075" t="s">
        <v>6221</v>
      </c>
      <c r="B3075" t="s">
        <v>6238</v>
      </c>
      <c r="C3075">
        <v>38.462499999999999</v>
      </c>
      <c r="D3075">
        <v>-81.075100000000006</v>
      </c>
      <c r="E3075" t="s">
        <v>10743</v>
      </c>
    </row>
    <row r="3076" spans="1:5" hidden="1" x14ac:dyDescent="0.25">
      <c r="A3076" t="s">
        <v>10744</v>
      </c>
      <c r="B3076" t="s">
        <v>6238</v>
      </c>
      <c r="C3076">
        <v>39.269199999999998</v>
      </c>
      <c r="D3076">
        <v>-80.706999999999994</v>
      </c>
      <c r="E3076" t="s">
        <v>10745</v>
      </c>
    </row>
    <row r="3077" spans="1:5" hidden="1" x14ac:dyDescent="0.25">
      <c r="A3077" t="s">
        <v>6258</v>
      </c>
      <c r="B3077" t="s">
        <v>6238</v>
      </c>
      <c r="C3077">
        <v>38.028700000000001</v>
      </c>
      <c r="D3077">
        <v>-81.081199999999995</v>
      </c>
      <c r="E3077" t="s">
        <v>10746</v>
      </c>
    </row>
    <row r="3078" spans="1:5" hidden="1" x14ac:dyDescent="0.25">
      <c r="A3078" t="s">
        <v>6927</v>
      </c>
      <c r="B3078" t="s">
        <v>6238</v>
      </c>
      <c r="C3078">
        <v>38.924100000000003</v>
      </c>
      <c r="D3078">
        <v>-80.857100000000003</v>
      </c>
      <c r="E3078" t="s">
        <v>10747</v>
      </c>
    </row>
    <row r="3079" spans="1:5" hidden="1" x14ac:dyDescent="0.25">
      <c r="A3079" t="s">
        <v>4593</v>
      </c>
      <c r="B3079" t="s">
        <v>6238</v>
      </c>
      <c r="C3079">
        <v>39.1051</v>
      </c>
      <c r="D3079">
        <v>-79.195599999999999</v>
      </c>
      <c r="E3079" t="s">
        <v>10748</v>
      </c>
    </row>
    <row r="3080" spans="1:5" hidden="1" x14ac:dyDescent="0.25">
      <c r="A3080" t="s">
        <v>10749</v>
      </c>
      <c r="B3080" t="s">
        <v>6238</v>
      </c>
      <c r="C3080">
        <v>37.946899999999999</v>
      </c>
      <c r="D3080">
        <v>-80.453000000000003</v>
      </c>
      <c r="E3080" t="s">
        <v>10750</v>
      </c>
    </row>
    <row r="3081" spans="1:5" hidden="1" x14ac:dyDescent="0.25">
      <c r="A3081" t="s">
        <v>7998</v>
      </c>
      <c r="B3081" t="s">
        <v>6238</v>
      </c>
      <c r="C3081">
        <v>39.317100000000003</v>
      </c>
      <c r="D3081">
        <v>-78.614099999999993</v>
      </c>
      <c r="E3081" t="s">
        <v>10751</v>
      </c>
    </row>
    <row r="3082" spans="1:5" hidden="1" x14ac:dyDescent="0.25">
      <c r="A3082" t="s">
        <v>1216</v>
      </c>
      <c r="B3082" t="s">
        <v>6238</v>
      </c>
      <c r="C3082">
        <v>40.521900000000002</v>
      </c>
      <c r="D3082">
        <v>-80.573899999999995</v>
      </c>
      <c r="E3082" t="s">
        <v>10752</v>
      </c>
    </row>
    <row r="3083" spans="1:5" hidden="1" x14ac:dyDescent="0.25">
      <c r="A3083" t="s">
        <v>10753</v>
      </c>
      <c r="B3083" t="s">
        <v>6238</v>
      </c>
      <c r="C3083">
        <v>39.0075</v>
      </c>
      <c r="D3083">
        <v>-78.858000000000004</v>
      </c>
      <c r="E3083" t="s">
        <v>10754</v>
      </c>
    </row>
    <row r="3084" spans="1:5" hidden="1" x14ac:dyDescent="0.25">
      <c r="A3084" t="s">
        <v>1623</v>
      </c>
      <c r="B3084" t="s">
        <v>6238</v>
      </c>
      <c r="C3084">
        <v>39.283499999999997</v>
      </c>
      <c r="D3084">
        <v>-80.379900000000006</v>
      </c>
      <c r="E3084" t="s">
        <v>10755</v>
      </c>
    </row>
    <row r="3085" spans="1:5" hidden="1" x14ac:dyDescent="0.25">
      <c r="A3085" t="s">
        <v>191</v>
      </c>
      <c r="B3085" t="s">
        <v>6238</v>
      </c>
      <c r="C3085">
        <v>38.834499999999998</v>
      </c>
      <c r="D3085">
        <v>-81.674800000000005</v>
      </c>
      <c r="E3085" t="s">
        <v>10756</v>
      </c>
    </row>
    <row r="3086" spans="1:5" hidden="1" x14ac:dyDescent="0.25">
      <c r="A3086" t="s">
        <v>6272</v>
      </c>
      <c r="B3086" t="s">
        <v>6238</v>
      </c>
      <c r="C3086">
        <v>39.307600000000001</v>
      </c>
      <c r="D3086">
        <v>-77.862799999999993</v>
      </c>
      <c r="E3086" t="s">
        <v>10757</v>
      </c>
    </row>
    <row r="3087" spans="1:5" hidden="1" x14ac:dyDescent="0.25">
      <c r="A3087" t="s">
        <v>10758</v>
      </c>
      <c r="B3087" t="s">
        <v>6238</v>
      </c>
      <c r="C3087">
        <v>38.336500000000001</v>
      </c>
      <c r="D3087">
        <v>-81.528099999999995</v>
      </c>
      <c r="E3087" t="s">
        <v>10759</v>
      </c>
    </row>
    <row r="3088" spans="1:5" hidden="1" x14ac:dyDescent="0.25">
      <c r="A3088" t="s">
        <v>1515</v>
      </c>
      <c r="B3088" t="s">
        <v>6238</v>
      </c>
      <c r="C3088">
        <v>38.995899999999999</v>
      </c>
      <c r="D3088">
        <v>-80.502200000000002</v>
      </c>
      <c r="E3088" t="s">
        <v>10760</v>
      </c>
    </row>
    <row r="3089" spans="1:5" hidden="1" x14ac:dyDescent="0.25">
      <c r="A3089" t="s">
        <v>6386</v>
      </c>
      <c r="B3089" t="s">
        <v>6238</v>
      </c>
      <c r="C3089">
        <v>38.1753</v>
      </c>
      <c r="D3089">
        <v>-82.070400000000006</v>
      </c>
      <c r="E3089" t="s">
        <v>10761</v>
      </c>
    </row>
    <row r="3090" spans="1:5" hidden="1" x14ac:dyDescent="0.25">
      <c r="A3090" t="s">
        <v>987</v>
      </c>
      <c r="B3090" t="s">
        <v>6238</v>
      </c>
      <c r="C3090">
        <v>37.831299999999999</v>
      </c>
      <c r="D3090">
        <v>-81.935400000000001</v>
      </c>
      <c r="E3090" t="s">
        <v>10762</v>
      </c>
    </row>
    <row r="3091" spans="1:5" hidden="1" x14ac:dyDescent="0.25">
      <c r="A3091" t="s">
        <v>6290</v>
      </c>
      <c r="B3091" t="s">
        <v>6238</v>
      </c>
      <c r="C3091">
        <v>39.51</v>
      </c>
      <c r="D3091">
        <v>-80.243399999999994</v>
      </c>
      <c r="E3091" t="s">
        <v>10763</v>
      </c>
    </row>
    <row r="3092" spans="1:5" hidden="1" x14ac:dyDescent="0.25">
      <c r="A3092" t="s">
        <v>1391</v>
      </c>
      <c r="B3092" t="s">
        <v>6238</v>
      </c>
      <c r="C3092">
        <v>39.860599999999998</v>
      </c>
      <c r="D3092">
        <v>-80.663399999999996</v>
      </c>
      <c r="E3092" t="s">
        <v>10764</v>
      </c>
    </row>
    <row r="3093" spans="1:5" hidden="1" x14ac:dyDescent="0.25">
      <c r="A3093" t="s">
        <v>2217</v>
      </c>
      <c r="B3093" t="s">
        <v>6238</v>
      </c>
      <c r="C3093">
        <v>38.7697</v>
      </c>
      <c r="D3093">
        <v>-82.026600000000002</v>
      </c>
      <c r="E3093" t="s">
        <v>10765</v>
      </c>
    </row>
    <row r="3094" spans="1:5" hidden="1" x14ac:dyDescent="0.25">
      <c r="A3094" t="s">
        <v>8785</v>
      </c>
      <c r="B3094" t="s">
        <v>6238</v>
      </c>
      <c r="C3094">
        <v>37.378500000000003</v>
      </c>
      <c r="D3094">
        <v>-81.653599999999997</v>
      </c>
      <c r="E3094" t="s">
        <v>10766</v>
      </c>
    </row>
    <row r="3095" spans="1:5" hidden="1" x14ac:dyDescent="0.25">
      <c r="A3095" t="s">
        <v>1636</v>
      </c>
      <c r="B3095" t="s">
        <v>6238</v>
      </c>
      <c r="C3095">
        <v>37.405500000000004</v>
      </c>
      <c r="D3095">
        <v>-81.111400000000003</v>
      </c>
      <c r="E3095" t="s">
        <v>10767</v>
      </c>
    </row>
    <row r="3096" spans="1:5" hidden="1" x14ac:dyDescent="0.25">
      <c r="A3096" t="s">
        <v>6655</v>
      </c>
      <c r="B3096" t="s">
        <v>6238</v>
      </c>
      <c r="C3096">
        <v>39.414700000000003</v>
      </c>
      <c r="D3096">
        <v>-78.943799999999996</v>
      </c>
      <c r="E3096" t="s">
        <v>10768</v>
      </c>
    </row>
    <row r="3097" spans="1:5" hidden="1" x14ac:dyDescent="0.25">
      <c r="A3097" t="s">
        <v>1129</v>
      </c>
      <c r="B3097" t="s">
        <v>6238</v>
      </c>
      <c r="C3097">
        <v>37.726399999999998</v>
      </c>
      <c r="D3097">
        <v>-82.134699999999995</v>
      </c>
      <c r="E3097" t="s">
        <v>10769</v>
      </c>
    </row>
    <row r="3098" spans="1:5" hidden="1" x14ac:dyDescent="0.25">
      <c r="A3098" t="s">
        <v>10770</v>
      </c>
      <c r="B3098" t="s">
        <v>6238</v>
      </c>
      <c r="C3098">
        <v>39.630299999999998</v>
      </c>
      <c r="D3098">
        <v>-80.046599999999998</v>
      </c>
      <c r="E3098" t="s">
        <v>10771</v>
      </c>
    </row>
    <row r="3099" spans="1:5" hidden="1" x14ac:dyDescent="0.25">
      <c r="A3099" t="s">
        <v>6295</v>
      </c>
      <c r="B3099" t="s">
        <v>6238</v>
      </c>
      <c r="C3099">
        <v>37.560400000000001</v>
      </c>
      <c r="D3099">
        <v>-80.5505</v>
      </c>
      <c r="E3099" t="s">
        <v>10772</v>
      </c>
    </row>
    <row r="3100" spans="1:5" hidden="1" x14ac:dyDescent="0.25">
      <c r="A3100" t="s">
        <v>496</v>
      </c>
      <c r="B3100" t="s">
        <v>6238</v>
      </c>
      <c r="C3100">
        <v>39.560400000000001</v>
      </c>
      <c r="D3100">
        <v>-78.257800000000003</v>
      </c>
      <c r="E3100" t="s">
        <v>10773</v>
      </c>
    </row>
    <row r="3101" spans="1:5" hidden="1" x14ac:dyDescent="0.25">
      <c r="A3101" t="s">
        <v>691</v>
      </c>
      <c r="B3101" t="s">
        <v>6238</v>
      </c>
      <c r="C3101">
        <v>38.291699999999999</v>
      </c>
      <c r="D3101">
        <v>-80.799300000000002</v>
      </c>
      <c r="E3101" t="s">
        <v>10774</v>
      </c>
    </row>
    <row r="3102" spans="1:5" hidden="1" x14ac:dyDescent="0.25">
      <c r="A3102" t="s">
        <v>7506</v>
      </c>
      <c r="B3102" t="s">
        <v>6238</v>
      </c>
      <c r="C3102">
        <v>40.096899999999998</v>
      </c>
      <c r="D3102">
        <v>-80.618899999999996</v>
      </c>
      <c r="E3102" t="s">
        <v>10775</v>
      </c>
    </row>
    <row r="3103" spans="1:5" hidden="1" x14ac:dyDescent="0.25">
      <c r="A3103" t="s">
        <v>7844</v>
      </c>
      <c r="B3103" t="s">
        <v>6238</v>
      </c>
      <c r="C3103">
        <v>38.680700000000002</v>
      </c>
      <c r="D3103">
        <v>-79.350899999999996</v>
      </c>
      <c r="E3103" t="s">
        <v>10776</v>
      </c>
    </row>
    <row r="3104" spans="1:5" hidden="1" x14ac:dyDescent="0.25">
      <c r="A3104" t="s">
        <v>10777</v>
      </c>
      <c r="B3104" t="s">
        <v>6238</v>
      </c>
      <c r="C3104">
        <v>39.370899999999999</v>
      </c>
      <c r="D3104">
        <v>-81.160600000000002</v>
      </c>
      <c r="E3104" t="s">
        <v>10778</v>
      </c>
    </row>
    <row r="3105" spans="1:5" hidden="1" x14ac:dyDescent="0.25">
      <c r="A3105" t="s">
        <v>7186</v>
      </c>
      <c r="B3105" t="s">
        <v>6238</v>
      </c>
      <c r="C3105">
        <v>38.331800000000001</v>
      </c>
      <c r="D3105">
        <v>-80.007800000000003</v>
      </c>
      <c r="E3105" t="s">
        <v>10779</v>
      </c>
    </row>
    <row r="3106" spans="1:5" hidden="1" x14ac:dyDescent="0.25">
      <c r="A3106" t="s">
        <v>10780</v>
      </c>
      <c r="B3106" t="s">
        <v>6238</v>
      </c>
      <c r="C3106">
        <v>39.469299999999997</v>
      </c>
      <c r="D3106">
        <v>-79.668199999999999</v>
      </c>
      <c r="E3106" t="s">
        <v>10781</v>
      </c>
    </row>
    <row r="3107" spans="1:5" hidden="1" x14ac:dyDescent="0.25">
      <c r="A3107" t="s">
        <v>6810</v>
      </c>
      <c r="B3107" t="s">
        <v>6238</v>
      </c>
      <c r="C3107">
        <v>38.508600000000001</v>
      </c>
      <c r="D3107">
        <v>-81.909000000000006</v>
      </c>
      <c r="E3107" t="s">
        <v>10782</v>
      </c>
    </row>
    <row r="3108" spans="1:5" hidden="1" x14ac:dyDescent="0.25">
      <c r="A3108" t="s">
        <v>10783</v>
      </c>
      <c r="B3108" t="s">
        <v>6238</v>
      </c>
      <c r="C3108">
        <v>37.771299999999997</v>
      </c>
      <c r="D3108">
        <v>-81.248699999999999</v>
      </c>
      <c r="E3108" t="s">
        <v>10784</v>
      </c>
    </row>
    <row r="3109" spans="1:5" hidden="1" x14ac:dyDescent="0.25">
      <c r="A3109" t="s">
        <v>6305</v>
      </c>
      <c r="B3109" t="s">
        <v>6238</v>
      </c>
      <c r="C3109">
        <v>38.774700000000003</v>
      </c>
      <c r="D3109">
        <v>-79.875799999999998</v>
      </c>
      <c r="E3109" t="s">
        <v>10785</v>
      </c>
    </row>
    <row r="3110" spans="1:5" hidden="1" x14ac:dyDescent="0.25">
      <c r="A3110" t="s">
        <v>10786</v>
      </c>
      <c r="B3110" t="s">
        <v>6238</v>
      </c>
      <c r="C3110">
        <v>39.1783</v>
      </c>
      <c r="D3110">
        <v>-81.063000000000002</v>
      </c>
      <c r="E3110" t="s">
        <v>10787</v>
      </c>
    </row>
    <row r="3111" spans="1:5" hidden="1" x14ac:dyDescent="0.25">
      <c r="A3111" t="s">
        <v>9899</v>
      </c>
      <c r="B3111" t="s">
        <v>6238</v>
      </c>
      <c r="C3111">
        <v>38.713999999999999</v>
      </c>
      <c r="D3111">
        <v>-81.348299999999995</v>
      </c>
      <c r="E3111" t="s">
        <v>10788</v>
      </c>
    </row>
    <row r="3112" spans="1:5" hidden="1" x14ac:dyDescent="0.25">
      <c r="A3112" t="s">
        <v>1691</v>
      </c>
      <c r="B3112" t="s">
        <v>6238</v>
      </c>
      <c r="C3112">
        <v>37.655900000000003</v>
      </c>
      <c r="D3112">
        <v>-80.858599999999996</v>
      </c>
      <c r="E3112" t="s">
        <v>10789</v>
      </c>
    </row>
    <row r="3113" spans="1:5" hidden="1" x14ac:dyDescent="0.25">
      <c r="A3113" t="s">
        <v>3564</v>
      </c>
      <c r="B3113" t="s">
        <v>6238</v>
      </c>
      <c r="C3113">
        <v>39.335999999999999</v>
      </c>
      <c r="D3113">
        <v>-80.046199999999999</v>
      </c>
      <c r="E3113" t="s">
        <v>10790</v>
      </c>
    </row>
    <row r="3114" spans="1:5" hidden="1" x14ac:dyDescent="0.25">
      <c r="A3114" t="s">
        <v>1507</v>
      </c>
      <c r="B3114" t="s">
        <v>6238</v>
      </c>
      <c r="C3114">
        <v>39.113599999999998</v>
      </c>
      <c r="D3114">
        <v>-79.564999999999998</v>
      </c>
      <c r="E3114" t="s">
        <v>10791</v>
      </c>
    </row>
    <row r="3115" spans="1:5" hidden="1" x14ac:dyDescent="0.25">
      <c r="A3115" t="s">
        <v>10279</v>
      </c>
      <c r="B3115" t="s">
        <v>6238</v>
      </c>
      <c r="C3115">
        <v>39.465299999999999</v>
      </c>
      <c r="D3115">
        <v>-80.884799999999998</v>
      </c>
      <c r="E3115" t="s">
        <v>10792</v>
      </c>
    </row>
    <row r="3116" spans="1:5" hidden="1" x14ac:dyDescent="0.25">
      <c r="A3116" t="s">
        <v>10281</v>
      </c>
      <c r="B3116" t="s">
        <v>6238</v>
      </c>
      <c r="C3116">
        <v>38.897799999999997</v>
      </c>
      <c r="D3116">
        <v>-80.233400000000003</v>
      </c>
      <c r="E3116" t="s">
        <v>10793</v>
      </c>
    </row>
    <row r="3117" spans="1:5" hidden="1" x14ac:dyDescent="0.25">
      <c r="A3117" t="s">
        <v>7057</v>
      </c>
      <c r="B3117" t="s">
        <v>6238</v>
      </c>
      <c r="C3117">
        <v>38.145899999999997</v>
      </c>
      <c r="D3117">
        <v>-82.427000000000007</v>
      </c>
      <c r="E3117" t="s">
        <v>10794</v>
      </c>
    </row>
    <row r="3118" spans="1:5" hidden="1" x14ac:dyDescent="0.25">
      <c r="A3118" t="s">
        <v>7059</v>
      </c>
      <c r="B3118" t="s">
        <v>6238</v>
      </c>
      <c r="C3118">
        <v>38.494700000000002</v>
      </c>
      <c r="D3118">
        <v>-80.421899999999994</v>
      </c>
      <c r="E3118" t="s">
        <v>10795</v>
      </c>
    </row>
    <row r="3119" spans="1:5" hidden="1" x14ac:dyDescent="0.25">
      <c r="A3119" t="s">
        <v>10796</v>
      </c>
      <c r="B3119" t="s">
        <v>6238</v>
      </c>
      <c r="C3119">
        <v>39.6053</v>
      </c>
      <c r="D3119">
        <v>-80.639099999999999</v>
      </c>
      <c r="E3119" t="s">
        <v>10797</v>
      </c>
    </row>
    <row r="3120" spans="1:5" hidden="1" x14ac:dyDescent="0.25">
      <c r="A3120" t="s">
        <v>10798</v>
      </c>
      <c r="B3120" t="s">
        <v>6238</v>
      </c>
      <c r="C3120">
        <v>39.022500000000001</v>
      </c>
      <c r="D3120">
        <v>-81.378699999999995</v>
      </c>
      <c r="E3120" t="s">
        <v>10799</v>
      </c>
    </row>
    <row r="3121" spans="1:5" hidden="1" x14ac:dyDescent="0.25">
      <c r="A3121" t="s">
        <v>9382</v>
      </c>
      <c r="B3121" t="s">
        <v>6238</v>
      </c>
      <c r="C3121">
        <v>39.211199999999998</v>
      </c>
      <c r="D3121">
        <v>-81.515000000000001</v>
      </c>
      <c r="E3121" t="s">
        <v>10800</v>
      </c>
    </row>
    <row r="3122" spans="1:5" hidden="1" x14ac:dyDescent="0.25">
      <c r="A3122" t="s">
        <v>9259</v>
      </c>
      <c r="B3122" t="s">
        <v>6238</v>
      </c>
      <c r="C3122">
        <v>37.6096</v>
      </c>
      <c r="D3122">
        <v>-81.549199999999999</v>
      </c>
      <c r="E3122" t="s">
        <v>10801</v>
      </c>
    </row>
    <row r="3123" spans="1:5" hidden="1" x14ac:dyDescent="0.25">
      <c r="A3123" t="s">
        <v>1303</v>
      </c>
      <c r="B3123" t="s">
        <v>6241</v>
      </c>
      <c r="C3123">
        <v>41.654499999999999</v>
      </c>
      <c r="D3123">
        <v>-105.7238</v>
      </c>
      <c r="E3123" t="s">
        <v>10802</v>
      </c>
    </row>
    <row r="3124" spans="1:5" hidden="1" x14ac:dyDescent="0.25">
      <c r="A3124" t="s">
        <v>8609</v>
      </c>
      <c r="B3124" t="s">
        <v>6241</v>
      </c>
      <c r="C3124">
        <v>44.526699999999998</v>
      </c>
      <c r="D3124">
        <v>-107.9952</v>
      </c>
      <c r="E3124" t="s">
        <v>10803</v>
      </c>
    </row>
    <row r="3125" spans="1:5" hidden="1" x14ac:dyDescent="0.25">
      <c r="A3125" t="s">
        <v>1941</v>
      </c>
      <c r="B3125" t="s">
        <v>6241</v>
      </c>
      <c r="C3125">
        <v>44.248199999999997</v>
      </c>
      <c r="D3125">
        <v>-105.54819999999999</v>
      </c>
      <c r="E3125" t="s">
        <v>10804</v>
      </c>
    </row>
    <row r="3126" spans="1:5" hidden="1" x14ac:dyDescent="0.25">
      <c r="A3126" t="s">
        <v>8614</v>
      </c>
      <c r="B3126" t="s">
        <v>6241</v>
      </c>
      <c r="C3126">
        <v>41.694400000000002</v>
      </c>
      <c r="D3126">
        <v>-106.93049999999999</v>
      </c>
      <c r="E3126" t="s">
        <v>10805</v>
      </c>
    </row>
    <row r="3127" spans="1:5" hidden="1" x14ac:dyDescent="0.25">
      <c r="A3127" t="s">
        <v>10806</v>
      </c>
      <c r="B3127" t="s">
        <v>6241</v>
      </c>
      <c r="C3127">
        <v>42.972299999999997</v>
      </c>
      <c r="D3127">
        <v>-105.5072</v>
      </c>
      <c r="E3127" t="s">
        <v>10807</v>
      </c>
    </row>
    <row r="3128" spans="1:5" hidden="1" x14ac:dyDescent="0.25">
      <c r="A3128" t="s">
        <v>9508</v>
      </c>
      <c r="B3128" t="s">
        <v>6241</v>
      </c>
      <c r="C3128">
        <v>44.588500000000003</v>
      </c>
      <c r="D3128">
        <v>-104.5699</v>
      </c>
      <c r="E3128" t="s">
        <v>10808</v>
      </c>
    </row>
    <row r="3129" spans="1:5" hidden="1" x14ac:dyDescent="0.25">
      <c r="A3129" t="s">
        <v>6624</v>
      </c>
      <c r="B3129" t="s">
        <v>6241</v>
      </c>
      <c r="C3129">
        <v>43.040500000000002</v>
      </c>
      <c r="D3129">
        <v>-108.63039999999999</v>
      </c>
      <c r="E3129" t="s">
        <v>10809</v>
      </c>
    </row>
    <row r="3130" spans="1:5" hidden="1" x14ac:dyDescent="0.25">
      <c r="A3130" t="s">
        <v>850</v>
      </c>
      <c r="B3130" t="s">
        <v>6241</v>
      </c>
      <c r="C3130">
        <v>42.087899999999998</v>
      </c>
      <c r="D3130">
        <v>-104.3533</v>
      </c>
      <c r="E3130" t="s">
        <v>10810</v>
      </c>
    </row>
    <row r="3131" spans="1:5" hidden="1" x14ac:dyDescent="0.25">
      <c r="A3131" t="s">
        <v>10811</v>
      </c>
      <c r="B3131" t="s">
        <v>6241</v>
      </c>
      <c r="C3131">
        <v>43.719000000000001</v>
      </c>
      <c r="D3131">
        <v>-108.4422</v>
      </c>
      <c r="E3131" t="s">
        <v>10812</v>
      </c>
    </row>
    <row r="3132" spans="1:5" hidden="1" x14ac:dyDescent="0.25">
      <c r="A3132" t="s">
        <v>37</v>
      </c>
      <c r="B3132" t="s">
        <v>6241</v>
      </c>
      <c r="C3132">
        <v>44.038800000000002</v>
      </c>
      <c r="D3132">
        <v>-106.5847</v>
      </c>
      <c r="E3132" t="s">
        <v>10813</v>
      </c>
    </row>
    <row r="3133" spans="1:5" hidden="1" x14ac:dyDescent="0.25">
      <c r="A3133" t="s">
        <v>10814</v>
      </c>
      <c r="B3133" t="s">
        <v>6241</v>
      </c>
      <c r="C3133">
        <v>41.307000000000002</v>
      </c>
      <c r="D3133">
        <v>-104.6895</v>
      </c>
      <c r="E3133" t="s">
        <v>10815</v>
      </c>
    </row>
    <row r="3134" spans="1:5" hidden="1" x14ac:dyDescent="0.25">
      <c r="A3134" t="s">
        <v>6386</v>
      </c>
      <c r="B3134" t="s">
        <v>6241</v>
      </c>
      <c r="C3134">
        <v>42.264000000000003</v>
      </c>
      <c r="D3134">
        <v>-110.65600000000001</v>
      </c>
      <c r="E3134" t="s">
        <v>10816</v>
      </c>
    </row>
    <row r="3135" spans="1:5" hidden="1" x14ac:dyDescent="0.25">
      <c r="A3135" t="s">
        <v>10817</v>
      </c>
      <c r="B3135" t="s">
        <v>6241</v>
      </c>
      <c r="C3135">
        <v>42.962200000000003</v>
      </c>
      <c r="D3135">
        <v>-106.79859999999999</v>
      </c>
      <c r="E3135" t="s">
        <v>10818</v>
      </c>
    </row>
    <row r="3136" spans="1:5" hidden="1" x14ac:dyDescent="0.25">
      <c r="A3136" t="s">
        <v>10819</v>
      </c>
      <c r="B3136" t="s">
        <v>6241</v>
      </c>
      <c r="C3136">
        <v>43.0565</v>
      </c>
      <c r="D3136">
        <v>-104.47539999999999</v>
      </c>
      <c r="E3136" t="s">
        <v>10820</v>
      </c>
    </row>
    <row r="3137" spans="1:5" hidden="1" x14ac:dyDescent="0.25">
      <c r="A3137" t="s">
        <v>6668</v>
      </c>
      <c r="B3137" t="s">
        <v>6241</v>
      </c>
      <c r="C3137">
        <v>44.520499999999998</v>
      </c>
      <c r="D3137">
        <v>-109.5879</v>
      </c>
      <c r="E3137" t="s">
        <v>10821</v>
      </c>
    </row>
    <row r="3138" spans="1:5" hidden="1" x14ac:dyDescent="0.25">
      <c r="A3138" t="s">
        <v>8452</v>
      </c>
      <c r="B3138" t="s">
        <v>6241</v>
      </c>
      <c r="C3138">
        <v>42.133099999999999</v>
      </c>
      <c r="D3138">
        <v>-104.9659</v>
      </c>
      <c r="E3138" t="s">
        <v>10822</v>
      </c>
    </row>
    <row r="3139" spans="1:5" hidden="1" x14ac:dyDescent="0.25">
      <c r="A3139" t="s">
        <v>7692</v>
      </c>
      <c r="B3139" t="s">
        <v>6241</v>
      </c>
      <c r="C3139">
        <v>44.79</v>
      </c>
      <c r="D3139">
        <v>-106.8792</v>
      </c>
      <c r="E3139" t="s">
        <v>10823</v>
      </c>
    </row>
    <row r="3140" spans="1:5" hidden="1" x14ac:dyDescent="0.25">
      <c r="A3140" t="s">
        <v>10824</v>
      </c>
      <c r="B3140" t="s">
        <v>6241</v>
      </c>
      <c r="C3140">
        <v>42.7669</v>
      </c>
      <c r="D3140">
        <v>-109.9147</v>
      </c>
      <c r="E3140" t="s">
        <v>10825</v>
      </c>
    </row>
    <row r="3141" spans="1:5" hidden="1" x14ac:dyDescent="0.25">
      <c r="A3141" t="s">
        <v>10826</v>
      </c>
      <c r="B3141" t="s">
        <v>6241</v>
      </c>
      <c r="C3141">
        <v>41.659500000000001</v>
      </c>
      <c r="D3141">
        <v>-108.8796</v>
      </c>
      <c r="E3141" t="s">
        <v>10827</v>
      </c>
    </row>
    <row r="3142" spans="1:5" hidden="1" x14ac:dyDescent="0.25">
      <c r="A3142" t="s">
        <v>7290</v>
      </c>
      <c r="B3142" t="s">
        <v>6241</v>
      </c>
      <c r="C3142">
        <v>43.934600000000003</v>
      </c>
      <c r="D3142">
        <v>-110.5898</v>
      </c>
      <c r="E3142" t="s">
        <v>10828</v>
      </c>
    </row>
    <row r="3143" spans="1:5" hidden="1" x14ac:dyDescent="0.25">
      <c r="A3143" t="s">
        <v>10829</v>
      </c>
      <c r="B3143" t="s">
        <v>6241</v>
      </c>
      <c r="C3143">
        <v>41.287599999999998</v>
      </c>
      <c r="D3143">
        <v>-110.5476</v>
      </c>
      <c r="E3143" t="s">
        <v>10830</v>
      </c>
    </row>
    <row r="3144" spans="1:5" hidden="1" x14ac:dyDescent="0.25">
      <c r="A3144" t="s">
        <v>10831</v>
      </c>
      <c r="B3144" t="s">
        <v>6241</v>
      </c>
      <c r="C3144">
        <v>43.905000000000001</v>
      </c>
      <c r="D3144">
        <v>-107.6828</v>
      </c>
      <c r="E3144" t="s">
        <v>10832</v>
      </c>
    </row>
    <row r="3145" spans="1:5" hidden="1" x14ac:dyDescent="0.25">
      <c r="A3145" t="s">
        <v>10833</v>
      </c>
      <c r="B3145" t="s">
        <v>6241</v>
      </c>
      <c r="C3145">
        <v>43.840400000000002</v>
      </c>
      <c r="D3145">
        <v>-104.5677</v>
      </c>
      <c r="E3145" t="s">
        <v>10834</v>
      </c>
    </row>
  </sheetData>
  <autoFilter ref="A1:E3145" xr:uid="{00000000-0001-0000-0100-000000000000}">
    <filterColumn colId="0">
      <filters>
        <filter val="Anne Arundel"/>
        <filter val="Banner"/>
        <filter val="Bannock"/>
        <filter val="Cannon"/>
        <filter val="Fannin"/>
        <filter val="Fluvanna"/>
        <filter val="Lackawanna"/>
        <filter val="Queen Anne's"/>
        <filter val="Rappahannock"/>
        <filter val="Shannon"/>
        <filter val="Susquehanna"/>
        <filter val="Suwanne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Bin Habib</cp:lastModifiedBy>
  <dcterms:created xsi:type="dcterms:W3CDTF">2026-04-13T18:28:31Z</dcterms:created>
  <dcterms:modified xsi:type="dcterms:W3CDTF">2026-04-13T19:25:23Z</dcterms:modified>
</cp:coreProperties>
</file>